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344c08efded66f/Documents/"/>
    </mc:Choice>
  </mc:AlternateContent>
  <xr:revisionPtr revIDLastSave="153" documentId="8_{35DBF658-7AD0-4921-B297-0B956E36394D}" xr6:coauthVersionLast="47" xr6:coauthVersionMax="47" xr10:uidLastSave="{580BFA04-EF23-49E1-8FCA-D215DED3F427}"/>
  <bookViews>
    <workbookView xWindow="-110" yWindow="-110" windowWidth="19420" windowHeight="10300" xr2:uid="{1D64490D-D2F8-4DB4-988F-BFA89E90F4B7}"/>
  </bookViews>
  <sheets>
    <sheet name="Sheet1" sheetId="1" r:id="rId1"/>
  </sheets>
  <externalReferences>
    <externalReference r:id="rId2"/>
  </externalReferences>
  <definedNames>
    <definedName name="_xlchart.v1.0" hidden="1">[1]Calculations!$Q$2:$Q$10001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4" i="1" l="1"/>
  <c r="C254" i="1"/>
  <c r="E253" i="1"/>
  <c r="C253" i="1"/>
  <c r="E252" i="1"/>
  <c r="C252" i="1"/>
  <c r="E251" i="1"/>
  <c r="C251" i="1"/>
  <c r="E250" i="1"/>
  <c r="C250" i="1"/>
  <c r="E249" i="1"/>
  <c r="C249" i="1"/>
  <c r="E248" i="1"/>
  <c r="C248" i="1"/>
  <c r="E247" i="1"/>
  <c r="C247" i="1"/>
  <c r="E246" i="1"/>
  <c r="C246" i="1"/>
  <c r="E245" i="1"/>
  <c r="C245" i="1"/>
  <c r="E244" i="1"/>
  <c r="C244" i="1"/>
  <c r="E243" i="1"/>
  <c r="C243" i="1"/>
  <c r="E242" i="1"/>
  <c r="C242" i="1"/>
  <c r="E241" i="1"/>
  <c r="C241" i="1"/>
  <c r="E240" i="1"/>
  <c r="C240" i="1"/>
  <c r="E239" i="1"/>
  <c r="C239" i="1"/>
  <c r="E238" i="1"/>
  <c r="C238" i="1"/>
  <c r="E237" i="1"/>
  <c r="C237" i="1"/>
  <c r="E236" i="1"/>
  <c r="C236" i="1"/>
  <c r="E235" i="1"/>
  <c r="C235" i="1"/>
  <c r="E234" i="1"/>
  <c r="C234" i="1"/>
  <c r="E233" i="1"/>
  <c r="C233" i="1"/>
  <c r="E232" i="1"/>
  <c r="C232" i="1"/>
  <c r="E231" i="1"/>
  <c r="C231" i="1"/>
  <c r="E230" i="1"/>
  <c r="C230" i="1"/>
  <c r="E229" i="1"/>
  <c r="C229" i="1"/>
  <c r="E228" i="1"/>
  <c r="C228" i="1"/>
  <c r="E227" i="1"/>
  <c r="C227" i="1"/>
  <c r="E226" i="1"/>
  <c r="C226" i="1"/>
  <c r="E225" i="1"/>
  <c r="C225" i="1"/>
  <c r="E224" i="1"/>
  <c r="C224" i="1"/>
  <c r="E223" i="1"/>
  <c r="C223" i="1"/>
  <c r="E222" i="1"/>
  <c r="C222" i="1"/>
  <c r="E221" i="1"/>
  <c r="C221" i="1"/>
  <c r="E220" i="1"/>
  <c r="C220" i="1"/>
  <c r="E219" i="1"/>
  <c r="C219" i="1"/>
  <c r="E218" i="1"/>
  <c r="C218" i="1"/>
  <c r="E217" i="1"/>
  <c r="C217" i="1"/>
  <c r="E216" i="1"/>
  <c r="C216" i="1"/>
  <c r="E215" i="1"/>
  <c r="C215" i="1"/>
  <c r="E214" i="1"/>
  <c r="C214" i="1"/>
  <c r="E213" i="1"/>
  <c r="C213" i="1"/>
  <c r="E212" i="1"/>
  <c r="C212" i="1"/>
  <c r="E211" i="1"/>
  <c r="C211" i="1"/>
  <c r="E210" i="1"/>
  <c r="C210" i="1"/>
  <c r="E209" i="1"/>
  <c r="C209" i="1"/>
  <c r="E208" i="1"/>
  <c r="C208" i="1"/>
  <c r="E207" i="1"/>
  <c r="C207" i="1"/>
  <c r="E206" i="1"/>
  <c r="C206" i="1"/>
  <c r="E205" i="1"/>
  <c r="C205" i="1"/>
  <c r="E204" i="1"/>
  <c r="C204" i="1"/>
  <c r="E203" i="1"/>
  <c r="C203" i="1"/>
  <c r="E202" i="1"/>
  <c r="C202" i="1"/>
  <c r="E201" i="1"/>
  <c r="C201" i="1"/>
  <c r="E200" i="1"/>
  <c r="C200" i="1"/>
  <c r="E199" i="1"/>
  <c r="C199" i="1"/>
  <c r="E198" i="1"/>
  <c r="C198" i="1"/>
  <c r="E197" i="1"/>
  <c r="C197" i="1"/>
  <c r="E196" i="1"/>
  <c r="C196" i="1"/>
  <c r="E195" i="1"/>
  <c r="C195" i="1"/>
  <c r="E194" i="1"/>
  <c r="C194" i="1"/>
  <c r="E193" i="1"/>
  <c r="C193" i="1"/>
  <c r="E192" i="1"/>
  <c r="C192" i="1"/>
  <c r="E191" i="1"/>
  <c r="C191" i="1"/>
  <c r="E190" i="1"/>
  <c r="C190" i="1"/>
  <c r="E189" i="1"/>
  <c r="C189" i="1"/>
  <c r="E188" i="1"/>
  <c r="C188" i="1"/>
  <c r="E187" i="1"/>
  <c r="C187" i="1"/>
  <c r="E186" i="1"/>
  <c r="C186" i="1"/>
  <c r="E185" i="1"/>
  <c r="C185" i="1"/>
  <c r="E184" i="1"/>
  <c r="C184" i="1"/>
  <c r="E183" i="1"/>
  <c r="C183" i="1"/>
  <c r="E182" i="1"/>
  <c r="C182" i="1"/>
  <c r="E181" i="1"/>
  <c r="C181" i="1"/>
  <c r="E180" i="1"/>
  <c r="C180" i="1"/>
  <c r="E179" i="1"/>
  <c r="C179" i="1"/>
  <c r="E178" i="1"/>
  <c r="C178" i="1"/>
  <c r="E177" i="1"/>
  <c r="C177" i="1"/>
  <c r="E176" i="1"/>
  <c r="C176" i="1"/>
  <c r="E175" i="1"/>
  <c r="C175" i="1"/>
  <c r="E174" i="1"/>
  <c r="C174" i="1"/>
  <c r="E173" i="1"/>
  <c r="C173" i="1"/>
  <c r="E172" i="1"/>
  <c r="C172" i="1"/>
  <c r="E171" i="1"/>
  <c r="C171" i="1"/>
  <c r="E170" i="1"/>
  <c r="C170" i="1"/>
  <c r="E169" i="1"/>
  <c r="C169" i="1"/>
  <c r="E168" i="1"/>
  <c r="C168" i="1"/>
  <c r="E167" i="1"/>
  <c r="C167" i="1"/>
  <c r="E166" i="1"/>
  <c r="C166" i="1"/>
  <c r="E165" i="1"/>
  <c r="C165" i="1"/>
  <c r="E164" i="1"/>
  <c r="C164" i="1"/>
  <c r="E163" i="1"/>
  <c r="C163" i="1"/>
  <c r="E162" i="1"/>
  <c r="C162" i="1"/>
  <c r="E161" i="1"/>
  <c r="C161" i="1"/>
  <c r="E160" i="1"/>
  <c r="C160" i="1"/>
  <c r="E159" i="1"/>
  <c r="C159" i="1"/>
  <c r="E158" i="1"/>
  <c r="C158" i="1"/>
  <c r="E157" i="1"/>
  <c r="C157" i="1"/>
  <c r="E156" i="1"/>
  <c r="C156" i="1"/>
  <c r="E155" i="1"/>
  <c r="C155" i="1"/>
  <c r="E154" i="1"/>
  <c r="C154" i="1"/>
  <c r="E153" i="1"/>
  <c r="C153" i="1"/>
  <c r="E152" i="1"/>
  <c r="C152" i="1"/>
  <c r="E151" i="1"/>
  <c r="C151" i="1"/>
  <c r="E150" i="1"/>
  <c r="C150" i="1"/>
  <c r="E149" i="1"/>
  <c r="C149" i="1"/>
  <c r="E148" i="1"/>
  <c r="C148" i="1"/>
  <c r="E147" i="1"/>
  <c r="C147" i="1"/>
  <c r="E146" i="1"/>
  <c r="C146" i="1"/>
  <c r="E145" i="1"/>
  <c r="C145" i="1"/>
  <c r="E144" i="1"/>
  <c r="C144" i="1"/>
  <c r="E143" i="1"/>
  <c r="C143" i="1"/>
  <c r="E142" i="1"/>
  <c r="C142" i="1"/>
  <c r="E141" i="1"/>
  <c r="C141" i="1"/>
  <c r="E140" i="1"/>
  <c r="C140" i="1"/>
  <c r="E139" i="1"/>
  <c r="C139" i="1"/>
  <c r="E138" i="1"/>
  <c r="C138" i="1"/>
  <c r="E137" i="1"/>
  <c r="C137" i="1"/>
  <c r="E136" i="1"/>
  <c r="C136" i="1"/>
  <c r="E135" i="1"/>
  <c r="C135" i="1"/>
  <c r="E134" i="1"/>
  <c r="C134" i="1"/>
  <c r="E133" i="1"/>
  <c r="C133" i="1"/>
  <c r="E132" i="1"/>
  <c r="C132" i="1"/>
  <c r="E131" i="1"/>
  <c r="C131" i="1"/>
  <c r="E130" i="1"/>
  <c r="C130" i="1"/>
  <c r="E129" i="1"/>
  <c r="C129" i="1"/>
  <c r="E128" i="1"/>
  <c r="C128" i="1"/>
  <c r="E127" i="1"/>
  <c r="C127" i="1"/>
  <c r="E126" i="1"/>
  <c r="C126" i="1"/>
  <c r="E125" i="1"/>
  <c r="C125" i="1"/>
  <c r="E124" i="1"/>
  <c r="C124" i="1"/>
  <c r="E123" i="1"/>
  <c r="C123" i="1"/>
  <c r="E122" i="1"/>
  <c r="C122" i="1"/>
  <c r="E121" i="1"/>
  <c r="C121" i="1"/>
  <c r="E120" i="1"/>
  <c r="C120" i="1"/>
  <c r="E119" i="1"/>
  <c r="C119" i="1"/>
  <c r="E118" i="1"/>
  <c r="C118" i="1"/>
  <c r="E117" i="1"/>
  <c r="C117" i="1"/>
  <c r="E116" i="1"/>
  <c r="C116" i="1"/>
  <c r="E115" i="1"/>
  <c r="C115" i="1"/>
  <c r="E114" i="1"/>
  <c r="C114" i="1"/>
  <c r="E113" i="1"/>
  <c r="C113" i="1"/>
  <c r="E112" i="1"/>
  <c r="C112" i="1"/>
  <c r="E111" i="1"/>
  <c r="C111" i="1"/>
  <c r="E110" i="1"/>
  <c r="C110" i="1"/>
  <c r="E109" i="1"/>
  <c r="C109" i="1"/>
  <c r="E108" i="1"/>
  <c r="C108" i="1"/>
  <c r="E107" i="1"/>
  <c r="C107" i="1"/>
  <c r="E106" i="1"/>
  <c r="C106" i="1"/>
  <c r="E105" i="1"/>
  <c r="C105" i="1"/>
  <c r="E104" i="1"/>
  <c r="C104" i="1"/>
  <c r="E103" i="1"/>
  <c r="C103" i="1"/>
  <c r="E102" i="1"/>
  <c r="C102" i="1"/>
  <c r="E101" i="1"/>
  <c r="C101" i="1"/>
  <c r="E100" i="1"/>
  <c r="C100" i="1"/>
  <c r="E99" i="1"/>
  <c r="C99" i="1"/>
  <c r="E98" i="1"/>
  <c r="C98" i="1"/>
  <c r="E97" i="1"/>
  <c r="C97" i="1"/>
  <c r="E96" i="1"/>
  <c r="C96" i="1"/>
  <c r="E95" i="1"/>
  <c r="C95" i="1"/>
  <c r="E94" i="1"/>
  <c r="C94" i="1"/>
  <c r="E93" i="1"/>
  <c r="C93" i="1"/>
  <c r="E92" i="1"/>
  <c r="C92" i="1"/>
  <c r="E91" i="1"/>
  <c r="C91" i="1"/>
  <c r="E90" i="1"/>
  <c r="C90" i="1"/>
  <c r="E89" i="1"/>
  <c r="C89" i="1"/>
  <c r="E88" i="1"/>
  <c r="C88" i="1"/>
  <c r="E87" i="1"/>
  <c r="C87" i="1"/>
  <c r="E86" i="1"/>
  <c r="C86" i="1"/>
  <c r="E85" i="1"/>
  <c r="C85" i="1"/>
  <c r="E84" i="1"/>
  <c r="C84" i="1"/>
  <c r="E83" i="1"/>
  <c r="C83" i="1"/>
  <c r="E82" i="1"/>
  <c r="C82" i="1"/>
  <c r="E81" i="1"/>
  <c r="C81" i="1"/>
  <c r="E80" i="1"/>
  <c r="C80" i="1"/>
  <c r="E79" i="1"/>
  <c r="C79" i="1"/>
  <c r="E78" i="1"/>
  <c r="C78" i="1"/>
  <c r="E77" i="1"/>
  <c r="C77" i="1"/>
  <c r="E76" i="1"/>
  <c r="C76" i="1"/>
  <c r="E75" i="1"/>
  <c r="C75" i="1"/>
  <c r="E74" i="1"/>
  <c r="C74" i="1"/>
  <c r="E73" i="1"/>
  <c r="C73" i="1"/>
  <c r="E72" i="1"/>
  <c r="C72" i="1"/>
  <c r="E71" i="1"/>
  <c r="C71" i="1"/>
  <c r="E70" i="1"/>
  <c r="C70" i="1"/>
  <c r="E69" i="1"/>
  <c r="C69" i="1"/>
  <c r="E68" i="1"/>
  <c r="C68" i="1"/>
  <c r="E67" i="1"/>
  <c r="C67" i="1"/>
  <c r="E66" i="1"/>
  <c r="C66" i="1"/>
  <c r="E65" i="1"/>
  <c r="C65" i="1"/>
  <c r="E64" i="1"/>
  <c r="C64" i="1"/>
  <c r="E63" i="1"/>
  <c r="C63" i="1"/>
  <c r="E62" i="1"/>
  <c r="C62" i="1"/>
  <c r="E61" i="1"/>
  <c r="C61" i="1"/>
  <c r="E60" i="1"/>
  <c r="C60" i="1"/>
  <c r="E59" i="1"/>
  <c r="C59" i="1"/>
  <c r="E58" i="1"/>
  <c r="C58" i="1"/>
  <c r="E57" i="1"/>
  <c r="C57" i="1"/>
  <c r="E56" i="1"/>
  <c r="C56" i="1"/>
  <c r="E55" i="1"/>
  <c r="C55" i="1"/>
  <c r="E54" i="1"/>
  <c r="C54" i="1"/>
  <c r="E53" i="1"/>
  <c r="C53" i="1"/>
  <c r="E52" i="1"/>
  <c r="C52" i="1"/>
  <c r="E51" i="1"/>
  <c r="C51" i="1"/>
  <c r="E50" i="1"/>
  <c r="C50" i="1"/>
  <c r="E49" i="1"/>
  <c r="C49" i="1"/>
  <c r="E48" i="1"/>
  <c r="C48" i="1"/>
  <c r="E47" i="1"/>
  <c r="C47" i="1"/>
  <c r="E46" i="1"/>
  <c r="C46" i="1"/>
  <c r="E45" i="1"/>
  <c r="C45" i="1"/>
  <c r="E44" i="1"/>
  <c r="C44" i="1"/>
  <c r="E43" i="1"/>
  <c r="C43" i="1"/>
  <c r="E42" i="1"/>
  <c r="C42" i="1"/>
  <c r="E41" i="1"/>
  <c r="C41" i="1"/>
  <c r="E40" i="1"/>
  <c r="C40" i="1"/>
  <c r="E39" i="1"/>
  <c r="C39" i="1"/>
  <c r="E38" i="1"/>
  <c r="C38" i="1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W9" i="1"/>
  <c r="E9" i="1"/>
  <c r="C9" i="1"/>
  <c r="E8" i="1"/>
  <c r="C8" i="1"/>
  <c r="E7" i="1"/>
  <c r="C7" i="1"/>
  <c r="E6" i="1"/>
  <c r="C6" i="1"/>
  <c r="W5" i="1"/>
  <c r="Q5" i="1"/>
  <c r="W4" i="1" s="1"/>
  <c r="E5" i="1"/>
  <c r="C5" i="1"/>
  <c r="E4" i="1"/>
  <c r="C4" i="1"/>
  <c r="E3" i="1"/>
  <c r="C3" i="1"/>
  <c r="J9" i="1" l="1"/>
  <c r="J10" i="1"/>
  <c r="J4" i="1"/>
  <c r="Q7" i="1" l="1"/>
  <c r="Q8" i="1" s="1"/>
  <c r="W7" i="1" l="1"/>
  <c r="AH1" i="1" s="1"/>
</calcChain>
</file>

<file path=xl/sharedStrings.xml><?xml version="1.0" encoding="utf-8"?>
<sst xmlns="http://schemas.openxmlformats.org/spreadsheetml/2006/main" count="26" uniqueCount="24">
  <si>
    <t>Date</t>
  </si>
  <si>
    <t>SPY Close</t>
  </si>
  <si>
    <t>SPY Daily Return</t>
  </si>
  <si>
    <t>BND Close</t>
  </si>
  <si>
    <t>BND Daily Return</t>
  </si>
  <si>
    <t>Simulation</t>
  </si>
  <si>
    <t>S&amp;P 500 (SPY)</t>
  </si>
  <si>
    <t>Total Portfolio</t>
  </si>
  <si>
    <t>Value at Risk (VaR)</t>
  </si>
  <si>
    <t>Expected Return (assumed based on historcial data)</t>
  </si>
  <si>
    <t>Portfolio Value</t>
  </si>
  <si>
    <t>Days (specified time interval)</t>
  </si>
  <si>
    <t>St. Dev. (annualized)</t>
  </si>
  <si>
    <t>Weight of SPY</t>
  </si>
  <si>
    <t>Confidence Interval</t>
  </si>
  <si>
    <t>Weight of BND</t>
  </si>
  <si>
    <t>Z-score</t>
  </si>
  <si>
    <t>Total Bond Market (BND)</t>
  </si>
  <si>
    <t>Portfolio Variance</t>
  </si>
  <si>
    <t xml:space="preserve">Scenario VaR </t>
  </si>
  <si>
    <t>Portfolio St. Dev.</t>
  </si>
  <si>
    <t>Monte Carlo VaR</t>
  </si>
  <si>
    <t>Covariance</t>
  </si>
  <si>
    <t>Expected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</si>
</sst>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164" formatCode="&quot;$&quot;#,##0.00"/>
    <numFmt numFmtId="165" formatCode="_-[$$-409]* #,##0.00_ ;_-[$$-409]* \-#,##0.00\ ;_-[$$-409]* &quot;-&quot;??_ ;_-@_ "/>
    <numFmt numFmtId="166" formatCode="yyyy\-mm\-dd"/>
    <numFmt numFmtId="167" formatCode="0.00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9DAF8"/>
        <bgColor rgb="FFC9DAF8"/>
      </patternFill>
    </fill>
    <fill>
      <patternFill patternType="solid">
        <fgColor rgb="FF8E7CC3"/>
        <bgColor rgb="FF8E7CC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 wrapText="1"/>
    </xf>
    <xf numFmtId="10" fontId="3" fillId="2" borderId="1" xfId="0" applyNumberFormat="1" applyFont="1" applyFill="1" applyBorder="1" applyAlignment="1">
      <alignment horizontal="center" wrapText="1"/>
    </xf>
    <xf numFmtId="164" fontId="3" fillId="2" borderId="1" xfId="0" applyNumberFormat="1" applyFont="1" applyFill="1" applyBorder="1" applyAlignment="1">
      <alignment horizontal="center" wrapText="1"/>
    </xf>
    <xf numFmtId="0" fontId="4" fillId="0" borderId="0" xfId="0" applyFont="1"/>
    <xf numFmtId="0" fontId="4" fillId="3" borderId="2" xfId="0" applyFont="1" applyFill="1" applyBorder="1" applyAlignment="1">
      <alignment horizontal="center"/>
    </xf>
    <xf numFmtId="165" fontId="4" fillId="3" borderId="2" xfId="1" applyNumberFormat="1" applyFont="1" applyFill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0" fontId="7" fillId="0" borderId="1" xfId="0" applyNumberFormat="1" applyFont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8" fillId="0" borderId="4" xfId="0" applyFont="1" applyBorder="1"/>
    <xf numFmtId="0" fontId="4" fillId="0" borderId="0" xfId="0" applyFont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8" fillId="0" borderId="2" xfId="0" applyFont="1" applyBorder="1"/>
    <xf numFmtId="0" fontId="4" fillId="0" borderId="2" xfId="0" applyFont="1" applyBorder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4" fillId="7" borderId="1" xfId="0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9" fillId="0" borderId="2" xfId="0" applyFont="1" applyBorder="1" applyAlignment="1">
      <alignment horizontal="center"/>
    </xf>
    <xf numFmtId="10" fontId="7" fillId="0" borderId="0" xfId="0" applyNumberFormat="1" applyFont="1" applyBorder="1" applyAlignment="1">
      <alignment horizontal="center"/>
    </xf>
    <xf numFmtId="10" fontId="3" fillId="0" borderId="0" xfId="0" applyNumberFormat="1" applyFont="1" applyFill="1" applyBorder="1" applyAlignment="1">
      <alignment horizontal="center" wrapText="1"/>
    </xf>
    <xf numFmtId="10" fontId="7" fillId="0" borderId="0" xfId="0" applyNumberFormat="1" applyFont="1" applyFill="1" applyBorder="1" applyAlignment="1">
      <alignment horizontal="center"/>
    </xf>
    <xf numFmtId="10" fontId="7" fillId="0" borderId="0" xfId="0" applyNumberFormat="1" applyFont="1" applyFill="1" applyAlignment="1">
      <alignment horizontal="center"/>
    </xf>
    <xf numFmtId="0" fontId="0" fillId="0" borderId="0" xfId="0" applyFill="1"/>
    <xf numFmtId="0" fontId="8" fillId="0" borderId="0" xfId="0" applyFont="1" applyBorder="1"/>
    <xf numFmtId="167" fontId="7" fillId="0" borderId="0" xfId="0" applyNumberFormat="1" applyFont="1" applyBorder="1" applyAlignment="1">
      <alignment horizontal="center"/>
    </xf>
    <xf numFmtId="164" fontId="7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4" fillId="8" borderId="2" xfId="0" applyFont="1" applyFill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2372451D-7E82-49FE-B9F7-B9904B239276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9524</xdr:colOff>
      <xdr:row>0</xdr:row>
      <xdr:rowOff>0</xdr:rowOff>
    </xdr:from>
    <xdr:to>
      <xdr:col>40</xdr:col>
      <xdr:colOff>133349</xdr:colOff>
      <xdr:row>11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25EF4F9-9F11-4009-850F-41412B81AF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25624" y="0"/>
              <a:ext cx="5419725" cy="3105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88900</xdr:colOff>
      <xdr:row>0</xdr:row>
      <xdr:rowOff>57150</xdr:rowOff>
    </xdr:from>
    <xdr:to>
      <xdr:col>7</xdr:col>
      <xdr:colOff>463550</xdr:colOff>
      <xdr:row>7</xdr:row>
      <xdr:rowOff>57150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54CD8F2-9AC9-A057-0BE2-D873D8FADC9F}"/>
                </a:ext>
              </a:extLst>
            </xdr:cNvPr>
            <xdr:cNvSpPr txBox="1"/>
          </xdr:nvSpPr>
          <xdr:spPr>
            <a:xfrm>
              <a:off x="4254500" y="57150"/>
              <a:ext cx="4184650" cy="2012950"/>
            </a:xfrm>
            <a:prstGeom prst="rect">
              <a:avLst/>
            </a:prstGeom>
            <a:solidFill>
              <a:schemeClr val="accent5">
                <a:lumMod val="40000"/>
                <a:lumOff val="6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b="1" u="sng"/>
                <a:t>Step 1: Collect Daily Price Data</a:t>
              </a:r>
            </a:p>
            <a:p>
              <a:r>
                <a:rPr lang="en-IN"/>
                <a:t>Imported daily closing price data for two ETFs from </a:t>
              </a:r>
              <a:r>
                <a:rPr lang="en-IN" b="1"/>
                <a:t>Yahoo!</a:t>
              </a:r>
              <a:r>
                <a:rPr lang="en-IN" b="1" baseline="0"/>
                <a:t> </a:t>
              </a:r>
              <a:r>
                <a:rPr lang="en-IN" b="1"/>
                <a:t>Finance</a:t>
              </a:r>
              <a:r>
                <a:rPr lang="en-IN"/>
                <a:t>:</a:t>
              </a:r>
            </a:p>
            <a:p>
              <a:pPr lvl="1"/>
              <a:r>
                <a:rPr lang="en-IN" b="1"/>
                <a:t>-&gt; SPY (S&amp;P 500 ETF)</a:t>
              </a:r>
              <a:r>
                <a:rPr lang="en-IN"/>
                <a:t> – representing the equity portion.</a:t>
              </a:r>
            </a:p>
            <a:p>
              <a:pPr lvl="1"/>
              <a:r>
                <a:rPr lang="en-I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-&gt; </a:t>
              </a:r>
              <a:r>
                <a:rPr lang="en-IN" b="1"/>
                <a:t>BND (Vanguard Total Bond Market ETF)</a:t>
              </a:r>
              <a:r>
                <a:rPr lang="en-IN"/>
                <a:t> – representing the bond portion.</a:t>
              </a:r>
            </a:p>
            <a:p>
              <a:r>
                <a:rPr lang="en-IN" b="1"/>
                <a:t>_________________________________________________________</a:t>
              </a:r>
            </a:p>
            <a:p>
              <a:r>
                <a:rPr lang="en-IN" b="1" u="sng"/>
                <a:t>Step 2: Calculate Daily Returns</a:t>
              </a:r>
            </a:p>
            <a:p>
              <a:r>
                <a:rPr lang="en-IN"/>
                <a:t>Computed </a:t>
              </a:r>
              <a:r>
                <a:rPr lang="en-IN" b="1"/>
                <a:t>daily returns</a:t>
              </a:r>
              <a:r>
                <a:rPr lang="en-IN"/>
                <a:t> for each ETF using the formula: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IN" b="0"/>
                      <m:t>Daily</m:t>
                    </m:r>
                    <m:r>
                      <m:rPr>
                        <m:nor/>
                      </m:rPr>
                      <a:rPr lang="en-IN" b="0" i="1"/>
                      <m:t> </m:t>
                    </m:r>
                    <m:r>
                      <m:rPr>
                        <m:nor/>
                      </m:rPr>
                      <a:rPr lang="en-IN" b="0" i="1"/>
                      <m:t>Return</m:t>
                    </m:r>
                    <m:r>
                      <a:rPr lang="en-IN" sz="1100" b="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𝑃</m:t>
                            </m:r>
                          </m:e>
                          <m:sub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𝑡</m:t>
                            </m:r>
                          </m:sub>
                        </m:sSub>
                        <m:r>
                          <a:rPr lang="ar-AE" sz="1100" b="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𝑃</m:t>
                            </m:r>
                          </m:e>
                          <m:sub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𝑡</m:t>
                            </m:r>
                            <m:r>
                              <a:rPr lang="ar-AE" sz="1100" b="0" i="0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ar-AE" sz="1100" b="0" i="0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𝑃</m:t>
                            </m:r>
                          </m:e>
                          <m:sub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𝑡</m:t>
                            </m:r>
                            <m:r>
                              <a:rPr lang="ar-AE" sz="1100" b="0" i="0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ar-AE" sz="1100" b="0" i="0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ar-AE" b="0"/>
            </a:p>
            <a:p>
              <a:r>
                <a:rPr lang="en-IN"/>
                <a:t>where </a:t>
              </a:r>
              <a14:m>
                <m:oMath xmlns:m="http://schemas.openxmlformats.org/officeDocument/2006/math">
                  <m:sSub>
                    <m:sSubPr>
                      <m:ctrlPr>
                        <a:rPr lang="ar-AE"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𝑃</m:t>
                      </m:r>
                    </m:e>
                    <m:sub>
                      <m:r>
                        <a:rPr lang="ar-AE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𝑡</m:t>
                      </m:r>
                    </m:sub>
                  </m:sSub>
                </m:oMath>
              </a14:m>
              <a:r>
                <a:rPr lang="en-IN"/>
                <a:t>is the closing price on day </a:t>
              </a:r>
              <a:r>
                <a:rPr lang="en-IN" i="1"/>
                <a:t>t</a:t>
              </a:r>
              <a:r>
                <a:rPr lang="en-IN"/>
                <a:t>.</a:t>
              </a:r>
            </a:p>
            <a:p>
              <a:endParaRPr lang="en-IN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54CD8F2-9AC9-A057-0BE2-D873D8FADC9F}"/>
                </a:ext>
              </a:extLst>
            </xdr:cNvPr>
            <xdr:cNvSpPr txBox="1"/>
          </xdr:nvSpPr>
          <xdr:spPr>
            <a:xfrm>
              <a:off x="4254500" y="57150"/>
              <a:ext cx="4184650" cy="2012950"/>
            </a:xfrm>
            <a:prstGeom prst="rect">
              <a:avLst/>
            </a:prstGeom>
            <a:solidFill>
              <a:schemeClr val="accent5">
                <a:lumMod val="40000"/>
                <a:lumOff val="6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b="1" u="sng"/>
                <a:t>Step 1: Collect Daily Price Data</a:t>
              </a:r>
            </a:p>
            <a:p>
              <a:r>
                <a:rPr lang="en-IN"/>
                <a:t>Imported daily closing price data for two ETFs from </a:t>
              </a:r>
              <a:r>
                <a:rPr lang="en-IN" b="1"/>
                <a:t>Yahoo!</a:t>
              </a:r>
              <a:r>
                <a:rPr lang="en-IN" b="1" baseline="0"/>
                <a:t> </a:t>
              </a:r>
              <a:r>
                <a:rPr lang="en-IN" b="1"/>
                <a:t>Finance</a:t>
              </a:r>
              <a:r>
                <a:rPr lang="en-IN"/>
                <a:t>:</a:t>
              </a:r>
            </a:p>
            <a:p>
              <a:pPr lvl="1"/>
              <a:r>
                <a:rPr lang="en-IN" b="1"/>
                <a:t>-&gt; SPY (S&amp;P 500 ETF)</a:t>
              </a:r>
              <a:r>
                <a:rPr lang="en-IN"/>
                <a:t> – representing the equity portion.</a:t>
              </a:r>
            </a:p>
            <a:p>
              <a:pPr lvl="1"/>
              <a:r>
                <a:rPr lang="en-I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-&gt; </a:t>
              </a:r>
              <a:r>
                <a:rPr lang="en-IN" b="1"/>
                <a:t>BND (Vanguard Total Bond Market ETF)</a:t>
              </a:r>
              <a:r>
                <a:rPr lang="en-IN"/>
                <a:t> – representing the bond portion.</a:t>
              </a:r>
            </a:p>
            <a:p>
              <a:r>
                <a:rPr lang="en-IN" b="1"/>
                <a:t>_________________________________________________________</a:t>
              </a:r>
            </a:p>
            <a:p>
              <a:r>
                <a:rPr lang="en-IN" b="1" u="sng"/>
                <a:t>Step 2: Calculate Daily Returns</a:t>
              </a:r>
            </a:p>
            <a:p>
              <a:r>
                <a:rPr lang="en-IN"/>
                <a:t>Computed </a:t>
              </a:r>
              <a:r>
                <a:rPr lang="en-IN" b="1"/>
                <a:t>daily returns</a:t>
              </a:r>
              <a:r>
                <a:rPr lang="en-IN"/>
                <a:t> for each ETF using the formula:</a:t>
              </a:r>
            </a:p>
            <a:p>
              <a:r>
                <a:rPr lang="en-IN" b="0" i="0">
                  <a:latin typeface="Cambria Math" panose="02040503050406030204" pitchFamily="18" charset="0"/>
                </a:rPr>
                <a:t>"Daily Return</a:t>
              </a:r>
              <a:r>
                <a:rPr lang="en-IN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"=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(𝑃_𝑡−𝑃_(𝑡−1))/𝑃_(𝑡−1) </a:t>
              </a:r>
              <a:endParaRPr lang="ar-AE" b="0"/>
            </a:p>
            <a:p>
              <a:r>
                <a:rPr lang="en-IN"/>
                <a:t>where 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𝑃_𝑡</a:t>
              </a:r>
              <a:r>
                <a:rPr lang="en-IN"/>
                <a:t>is the closing price on day </a:t>
              </a:r>
              <a:r>
                <a:rPr lang="en-IN" i="1"/>
                <a:t>t</a:t>
              </a:r>
              <a:r>
                <a:rPr lang="en-IN"/>
                <a:t>.</a:t>
              </a:r>
            </a:p>
            <a:p>
              <a:endParaRPr lang="en-IN" sz="1100"/>
            </a:p>
          </xdr:txBody>
        </xdr:sp>
      </mc:Fallback>
    </mc:AlternateContent>
    <xdr:clientData/>
  </xdr:twoCellAnchor>
  <xdr:twoCellAnchor>
    <xdr:from>
      <xdr:col>10</xdr:col>
      <xdr:colOff>57150</xdr:colOff>
      <xdr:row>0</xdr:row>
      <xdr:rowOff>107950</xdr:rowOff>
    </xdr:from>
    <xdr:to>
      <xdr:col>14</xdr:col>
      <xdr:colOff>781050</xdr:colOff>
      <xdr:row>7</xdr:row>
      <xdr:rowOff>292100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C108331E-DAC0-D6CD-B270-1A0E5811FC43}"/>
                </a:ext>
              </a:extLst>
            </xdr:cNvPr>
            <xdr:cNvSpPr txBox="1"/>
          </xdr:nvSpPr>
          <xdr:spPr>
            <a:xfrm>
              <a:off x="11074400" y="107950"/>
              <a:ext cx="4991100" cy="2197100"/>
            </a:xfrm>
            <a:prstGeom prst="rect">
              <a:avLst/>
            </a:prstGeom>
            <a:solidFill>
              <a:schemeClr val="accent5">
                <a:lumMod val="40000"/>
                <a:lumOff val="6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b="1"/>
                <a:t>Step 3: Calculate Expected Annual Returns and Standard Deviations</a:t>
              </a:r>
            </a:p>
            <a:p>
              <a:r>
                <a:rPr lang="en-IN"/>
                <a:t>Assigned </a:t>
              </a:r>
              <a:r>
                <a:rPr lang="en-IN" b="1"/>
                <a:t>expected annual returns</a:t>
              </a:r>
              <a:r>
                <a:rPr lang="en-IN"/>
                <a:t> based on historical averages:</a:t>
              </a:r>
            </a:p>
            <a:p>
              <a:pPr lvl="1"/>
              <a:r>
                <a:rPr lang="en-IN"/>
                <a:t>SPY: 7%</a:t>
              </a:r>
            </a:p>
            <a:p>
              <a:pPr lvl="1"/>
              <a:r>
                <a:rPr lang="en-IN"/>
                <a:t>BND: 2%</a:t>
              </a:r>
            </a:p>
            <a:p>
              <a:r>
                <a:rPr lang="en-IN"/>
                <a:t>Used Excel’s </a:t>
              </a:r>
              <a:r>
                <a:rPr lang="en-IN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=STDEV.S()</a:t>
              </a:r>
              <a:r>
                <a:rPr lang="en-IN"/>
                <a:t> function to calculate </a:t>
              </a:r>
              <a:r>
                <a:rPr lang="en-IN" b="1"/>
                <a:t>daily standard deviations</a:t>
              </a:r>
              <a:r>
                <a:rPr lang="en-IN"/>
                <a:t> of returns.</a:t>
              </a:r>
            </a:p>
            <a:p>
              <a:br>
                <a:rPr lang="en-IN" b="1"/>
              </a:br>
              <a:r>
                <a:rPr lang="en-IN" b="1"/>
                <a:t>Annualised</a:t>
              </a:r>
              <a:r>
                <a:rPr lang="en-IN"/>
                <a:t> the standard deviations using:</a:t>
              </a:r>
            </a:p>
            <a:p>
              <a14:m>
                <m:oMath xmlns:m="http://schemas.openxmlformats.org/officeDocument/2006/math">
                  <m:r>
                    <m:rPr>
                      <m:nor/>
                    </m:rPr>
                    <a:rPr lang="en-IN" b="0"/>
                    <m:t>Annual</m:t>
                  </m:r>
                  <m:r>
                    <m:rPr>
                      <m:nor/>
                    </m:rPr>
                    <a:rPr lang="en-IN" b="0" i="1"/>
                    <m:t> </m:t>
                  </m:r>
                  <m:r>
                    <m:rPr>
                      <m:nor/>
                    </m:rPr>
                    <a:rPr lang="en-IN" b="0" i="1"/>
                    <m:t>Std</m:t>
                  </m:r>
                  <m:r>
                    <m:rPr>
                      <m:nor/>
                    </m:rPr>
                    <a:rPr lang="en-IN" b="0" i="1"/>
                    <m:t>. </m:t>
                  </m:r>
                  <m:r>
                    <m:rPr>
                      <m:nor/>
                    </m:rPr>
                    <a:rPr lang="en-IN" b="0" i="1"/>
                    <m:t>Dev</m:t>
                  </m:r>
                  <m:r>
                    <m:rPr>
                      <m:nor/>
                    </m:rPr>
                    <a:rPr lang="en-IN" b="0" i="1"/>
                    <m:t>.</m:t>
                  </m:r>
                  <m:r>
                    <a:rPr lang="en-IN" sz="1100" b="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=</m:t>
                  </m:r>
                  <m:r>
                    <m:rPr>
                      <m:nor/>
                    </m:rPr>
                    <a:rPr lang="en-IN" sz="1100" b="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Daily</m:t>
                  </m:r>
                  <m:r>
                    <m:rPr>
                      <m:nor/>
                    </m:rPr>
                    <a:rPr lang="en-IN" sz="1100" b="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 </m:t>
                  </m:r>
                  <m:r>
                    <m:rPr>
                      <m:nor/>
                    </m:rPr>
                    <a:rPr lang="en-IN" sz="1100" b="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Std</m:t>
                  </m:r>
                  <m:r>
                    <m:rPr>
                      <m:nor/>
                    </m:rPr>
                    <a:rPr lang="en-IN" sz="1100" b="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. </m:t>
                  </m:r>
                  <m:r>
                    <m:rPr>
                      <m:nor/>
                    </m:rPr>
                    <a:rPr lang="en-IN" sz="1100" b="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Dev</m:t>
                  </m:r>
                  <m:r>
                    <m:rPr>
                      <m:nor/>
                    </m:rPr>
                    <a:rPr lang="en-IN" sz="1100" b="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.</m:t>
                  </m:r>
                  <m:r>
                    <a:rPr lang="en-IN" sz="1100" b="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×</m:t>
                  </m:r>
                  <m:rad>
                    <m:radPr>
                      <m:degHide m:val="on"/>
                      <m:ctrlPr>
                        <a:rPr lang="ar-AE" sz="1100" b="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r>
                        <a:rPr lang="ar-AE" sz="1100" b="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252</m:t>
                      </m:r>
                    </m:e>
                  </m:rad>
                  <m:r>
                    <a:rPr lang="en-IN" sz="1100" b="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 (</m:t>
                  </m:r>
                </m:oMath>
              </a14:m>
              <a:r>
                <a:rPr lang="en-IN"/>
                <a:t>assuming 252 trading days in a year).</a:t>
              </a:r>
              <a:br>
                <a:rPr lang="en-IN"/>
              </a:br>
              <a:r>
                <a:rPr lang="en-IN" b="1"/>
                <a:t>_____________________________________________________________________</a:t>
              </a:r>
            </a:p>
            <a:p>
              <a:r>
                <a:rPr lang="en-IN" b="1"/>
                <a:t>Step 4: Compute Covariance Between the Two Assets</a:t>
              </a:r>
            </a:p>
            <a:p>
              <a:r>
                <a:rPr lang="en-IN"/>
                <a:t>Used Excel’s </a:t>
              </a:r>
              <a:r>
                <a:rPr lang="en-IN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=COVARIANCE.S()</a:t>
              </a:r>
              <a:r>
                <a:rPr lang="en-IN"/>
                <a:t> function to calculate the </a:t>
              </a:r>
              <a:r>
                <a:rPr lang="en-IN" b="1"/>
                <a:t>daily covariance</a:t>
              </a:r>
              <a:r>
                <a:rPr lang="en-IN"/>
                <a:t> between SPY and</a:t>
              </a:r>
              <a:r>
                <a:rPr lang="en-IN" baseline="0"/>
                <a:t> </a:t>
              </a:r>
              <a:r>
                <a:rPr lang="en-IN"/>
                <a:t>BND returns. This</a:t>
              </a:r>
              <a:r>
                <a:rPr lang="en-IN" baseline="0"/>
                <a:t> will be used in the calculation of portcolio variance.</a:t>
              </a:r>
            </a:p>
            <a:p>
              <a:endParaRPr lang="en-IN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C108331E-DAC0-D6CD-B270-1A0E5811FC43}"/>
                </a:ext>
              </a:extLst>
            </xdr:cNvPr>
            <xdr:cNvSpPr txBox="1"/>
          </xdr:nvSpPr>
          <xdr:spPr>
            <a:xfrm>
              <a:off x="11074400" y="107950"/>
              <a:ext cx="4991100" cy="2197100"/>
            </a:xfrm>
            <a:prstGeom prst="rect">
              <a:avLst/>
            </a:prstGeom>
            <a:solidFill>
              <a:schemeClr val="accent5">
                <a:lumMod val="40000"/>
                <a:lumOff val="6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b="1"/>
                <a:t>Step 3: Calculate Expected Annual Returns and Standard Deviations</a:t>
              </a:r>
            </a:p>
            <a:p>
              <a:r>
                <a:rPr lang="en-IN"/>
                <a:t>Assigned </a:t>
              </a:r>
              <a:r>
                <a:rPr lang="en-IN" b="1"/>
                <a:t>expected annual returns</a:t>
              </a:r>
              <a:r>
                <a:rPr lang="en-IN"/>
                <a:t> based on historical averages:</a:t>
              </a:r>
            </a:p>
            <a:p>
              <a:pPr lvl="1"/>
              <a:r>
                <a:rPr lang="en-IN"/>
                <a:t>SPY: 7%</a:t>
              </a:r>
            </a:p>
            <a:p>
              <a:pPr lvl="1"/>
              <a:r>
                <a:rPr lang="en-IN"/>
                <a:t>BND: 2%</a:t>
              </a:r>
            </a:p>
            <a:p>
              <a:r>
                <a:rPr lang="en-IN"/>
                <a:t>Used Excel’s </a:t>
              </a:r>
              <a:r>
                <a:rPr lang="en-IN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=STDEV.S()</a:t>
              </a:r>
              <a:r>
                <a:rPr lang="en-IN"/>
                <a:t> function to calculate </a:t>
              </a:r>
              <a:r>
                <a:rPr lang="en-IN" b="1"/>
                <a:t>daily standard deviations</a:t>
              </a:r>
              <a:r>
                <a:rPr lang="en-IN"/>
                <a:t> of returns.</a:t>
              </a:r>
            </a:p>
            <a:p>
              <a:br>
                <a:rPr lang="en-IN" b="1"/>
              </a:br>
              <a:r>
                <a:rPr lang="en-IN" b="1"/>
                <a:t>Annualised</a:t>
              </a:r>
              <a:r>
                <a:rPr lang="en-IN"/>
                <a:t> the standard deviations using:</a:t>
              </a:r>
            </a:p>
            <a:p>
              <a:r>
                <a:rPr lang="en-IN" b="0" i="0">
                  <a:latin typeface="Cambria Math" panose="02040503050406030204" pitchFamily="18" charset="0"/>
                </a:rPr>
                <a:t>"Annual Std. Dev.</a:t>
              </a:r>
              <a:r>
                <a:rPr lang="en-IN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"=</a:t>
              </a:r>
              <a:r>
                <a:rPr lang="en-IN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"Daily Std. Dev.</a:t>
              </a:r>
              <a:r>
                <a:rPr lang="en-IN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"×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√252</a:t>
              </a:r>
              <a:r>
                <a:rPr lang="en-IN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(</a:t>
              </a:r>
              <a:r>
                <a:rPr lang="en-IN"/>
                <a:t>assuming 252 trading days in a year).</a:t>
              </a:r>
              <a:br>
                <a:rPr lang="en-IN"/>
              </a:br>
              <a:r>
                <a:rPr lang="en-IN" b="1"/>
                <a:t>_____________________________________________________________________</a:t>
              </a:r>
            </a:p>
            <a:p>
              <a:r>
                <a:rPr lang="en-IN" b="1"/>
                <a:t>Step 4: Compute Covariance Between the Two Assets</a:t>
              </a:r>
            </a:p>
            <a:p>
              <a:r>
                <a:rPr lang="en-IN"/>
                <a:t>Used Excel’s </a:t>
              </a:r>
              <a:r>
                <a:rPr lang="en-IN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=COVARIANCE.S()</a:t>
              </a:r>
              <a:r>
                <a:rPr lang="en-IN"/>
                <a:t> function to calculate the </a:t>
              </a:r>
              <a:r>
                <a:rPr lang="en-IN" b="1"/>
                <a:t>daily covariance</a:t>
              </a:r>
              <a:r>
                <a:rPr lang="en-IN"/>
                <a:t> between SPY and</a:t>
              </a:r>
              <a:r>
                <a:rPr lang="en-IN" baseline="0"/>
                <a:t> </a:t>
              </a:r>
              <a:r>
                <a:rPr lang="en-IN"/>
                <a:t>BND returns. This</a:t>
              </a:r>
              <a:r>
                <a:rPr lang="en-IN" baseline="0"/>
                <a:t> will be used in the calculation of portcolio variance.</a:t>
              </a:r>
            </a:p>
            <a:p>
              <a:endParaRPr lang="en-IN"/>
            </a:p>
          </xdr:txBody>
        </xdr:sp>
      </mc:Fallback>
    </mc:AlternateContent>
    <xdr:clientData/>
  </xdr:twoCellAnchor>
  <xdr:twoCellAnchor>
    <xdr:from>
      <xdr:col>17</xdr:col>
      <xdr:colOff>152400</xdr:colOff>
      <xdr:row>0</xdr:row>
      <xdr:rowOff>82550</xdr:rowOff>
    </xdr:from>
    <xdr:to>
      <xdr:col>20</xdr:col>
      <xdr:colOff>381000</xdr:colOff>
      <xdr:row>16</xdr:row>
      <xdr:rowOff>12700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208001B4-D638-CE23-25DF-878A27E467F8}"/>
                </a:ext>
              </a:extLst>
            </xdr:cNvPr>
            <xdr:cNvSpPr txBox="1"/>
          </xdr:nvSpPr>
          <xdr:spPr>
            <a:xfrm>
              <a:off x="18599150" y="82550"/>
              <a:ext cx="3200400" cy="3917950"/>
            </a:xfrm>
            <a:prstGeom prst="rect">
              <a:avLst/>
            </a:prstGeom>
            <a:solidFill>
              <a:schemeClr val="accent5">
                <a:lumMod val="40000"/>
                <a:lumOff val="6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b="1"/>
                <a:t>Step 5: Define Portfolio Assumptions</a:t>
              </a:r>
              <a:br>
                <a:rPr lang="en-IN" b="1"/>
              </a:br>
              <a:endParaRPr lang="en-IN" b="1"/>
            </a:p>
            <a:p>
              <a:r>
                <a:rPr lang="en-IN" b="1"/>
                <a:t>Portfolio value:</a:t>
              </a:r>
              <a:r>
                <a:rPr lang="en-IN"/>
                <a:t> $100,000</a:t>
              </a:r>
            </a:p>
            <a:p>
              <a:r>
                <a:rPr lang="en-IN" b="1"/>
                <a:t>Weights:</a:t>
              </a:r>
              <a:endParaRPr lang="en-IN"/>
            </a:p>
            <a:p>
              <a:pPr lvl="1"/>
              <a:r>
                <a:rPr lang="en-IN"/>
                <a:t>60% in SPY (equity)</a:t>
              </a:r>
            </a:p>
            <a:p>
              <a:pPr lvl="1"/>
              <a:r>
                <a:rPr lang="en-IN"/>
                <a:t>40% in BND (bonds)</a:t>
              </a:r>
            </a:p>
            <a:p>
              <a:r>
                <a:rPr lang="en-IN"/>
                <a:t>These weights were used in further risk and return calculations.</a:t>
              </a:r>
              <a:br>
                <a:rPr lang="en-IN"/>
              </a:br>
              <a:r>
                <a:rPr lang="en-IN" b="1"/>
                <a:t>_________________________________________</a:t>
              </a:r>
            </a:p>
            <a:p>
              <a:r>
                <a:rPr lang="en-IN" b="1"/>
                <a:t>Step 6: Calculate Portfolio Variance and Standard Deviation</a:t>
              </a:r>
            </a:p>
            <a:p>
              <a:br>
                <a:rPr lang="en-IN"/>
              </a:br>
              <a:r>
                <a:rPr lang="en-IN"/>
                <a:t>Used the two-asset portfolio variance formula: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ar-AE"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𝜎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𝑝</m:t>
                        </m:r>
                      </m:sub>
                      <m:sup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bSup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sSubSup>
                      <m:sSubSu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𝑤</m:t>
                        </m:r>
                      </m:e>
                      <m:sub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1</m:t>
                        </m:r>
                      </m:sub>
                      <m:sup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bSup>
                    <m:sSubSup>
                      <m:sSubSu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𝜎</m:t>
                        </m:r>
                      </m:e>
                      <m:sub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1</m:t>
                        </m:r>
                      </m:sub>
                      <m:sup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bSup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𝑤</m:t>
                        </m:r>
                      </m:e>
                      <m:sub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b>
                      <m:sup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bSup>
                    <m:sSubSup>
                      <m:sSubSup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𝜎</m:t>
                        </m:r>
                      </m:e>
                      <m:sub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b>
                      <m:sup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bSup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+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2</m:t>
                    </m:r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𝑤</m:t>
                        </m:r>
                      </m:e>
                      <m:sub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𝑤</m:t>
                        </m:r>
                      </m:e>
                      <m:sub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n-IN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Cov</m:t>
                        </m:r>
                      </m:e>
                      <m:sub>
                        <m:r>
                          <a:rPr lang="ar-AE" sz="1100" b="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12</m:t>
                        </m:r>
                      </m:sub>
                    </m:sSub>
                  </m:oMath>
                </m:oMathPara>
              </a14:m>
              <a:endParaRPr lang="ar-AE" b="0"/>
            </a:p>
            <a:p>
              <a:br>
                <a:rPr lang="en-IN"/>
              </a:br>
              <a:r>
                <a:rPr lang="en-IN"/>
                <a:t>where</a:t>
              </a:r>
              <a:br>
                <a:rPr lang="en-IN"/>
              </a:br>
              <a14:m>
                <m:oMath xmlns:m="http://schemas.openxmlformats.org/officeDocument/2006/math">
                  <m:sSub>
                    <m:sSubPr>
                      <m:ctrlPr>
                        <a:rPr lang="ar-AE"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𝑤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  <m:r>
                    <a:rPr lang="ar-AE" sz="110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,</m:t>
                  </m:r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𝑤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2</m:t>
                      </m:r>
                    </m:sub>
                  </m:sSub>
                </m:oMath>
              </a14:m>
              <a:r>
                <a:rPr lang="ar-AE"/>
                <a:t>= </a:t>
              </a:r>
              <a:r>
                <a:rPr lang="en-IN"/>
                <a:t>portfolio weights,</a:t>
              </a:r>
              <a:br>
                <a:rPr lang="en-IN"/>
              </a:br>
              <a14:m>
                <m:oMath xmlns:m="http://schemas.openxmlformats.org/officeDocument/2006/math">
                  <m:sSub>
                    <m:sSubPr>
                      <m:ctrlPr>
                        <a:rPr lang="ar-AE" sz="110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𝜎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  <m:r>
                    <a:rPr lang="ar-AE" sz="110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,</m:t>
                  </m:r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𝜎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2</m:t>
                      </m:r>
                    </m:sub>
                  </m:sSub>
                </m:oMath>
              </a14:m>
              <a:r>
                <a:rPr lang="ar-AE"/>
                <a:t>= </a:t>
              </a:r>
              <a:r>
                <a:rPr lang="en-IN"/>
                <a:t>standard deviations, and</a:t>
              </a:r>
              <a:br>
                <a:rPr lang="en-IN"/>
              </a:br>
              <a14:m>
                <m:oMath xmlns:m="http://schemas.openxmlformats.org/officeDocument/2006/math">
                  <m:sSub>
                    <m:sSubPr>
                      <m:ctrlPr>
                        <a:rPr lang="ar-AE" sz="1100" b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m:rPr>
                          <m:nor/>
                        </m:rPr>
                        <a:rPr lang="en-IN" b="0"/>
                        <m:t>Cov</m:t>
                      </m:r>
                    </m:e>
                    <m:sub>
                      <m:r>
                        <a:rPr lang="ar-AE" sz="1100" b="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12</m:t>
                      </m:r>
                    </m:sub>
                  </m:sSub>
                </m:oMath>
              </a14:m>
              <a:r>
                <a:rPr lang="ar-AE"/>
                <a:t>= </a:t>
              </a:r>
              <a:r>
                <a:rPr lang="en-IN"/>
                <a:t>covariance between SPY and BND.</a:t>
              </a:r>
            </a:p>
            <a:p>
              <a:r>
                <a:rPr lang="en-IN"/>
                <a:t>Calculated </a:t>
              </a:r>
              <a:r>
                <a:rPr lang="en-IN" b="1"/>
                <a:t>portfolio standard deviation</a:t>
              </a:r>
              <a:r>
                <a:rPr lang="en-IN"/>
                <a:t> as: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𝜎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𝑝</m:t>
                        </m:r>
                      </m:sub>
                    </m:sSub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rad>
                      <m:radPr>
                        <m:degHide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sSubSup>
                          <m:sSubSup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𝜎</m:t>
                            </m:r>
                          </m:e>
                          <m:sub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𝑝</m:t>
                            </m:r>
                          </m:sub>
                          <m:sup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bSup>
                      </m:e>
                    </m:rad>
                  </m:oMath>
                </m:oMathPara>
              </a14:m>
              <a:endParaRPr lang="ar-AE"/>
            </a:p>
            <a:p>
              <a:endParaRPr lang="en-IN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208001B4-D638-CE23-25DF-878A27E467F8}"/>
                </a:ext>
              </a:extLst>
            </xdr:cNvPr>
            <xdr:cNvSpPr txBox="1"/>
          </xdr:nvSpPr>
          <xdr:spPr>
            <a:xfrm>
              <a:off x="18599150" y="82550"/>
              <a:ext cx="3200400" cy="3917950"/>
            </a:xfrm>
            <a:prstGeom prst="rect">
              <a:avLst/>
            </a:prstGeom>
            <a:solidFill>
              <a:schemeClr val="accent5">
                <a:lumMod val="40000"/>
                <a:lumOff val="6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b="1"/>
                <a:t>Step 5: Define Portfolio Assumptions</a:t>
              </a:r>
              <a:br>
                <a:rPr lang="en-IN" b="1"/>
              </a:br>
              <a:endParaRPr lang="en-IN" b="1"/>
            </a:p>
            <a:p>
              <a:r>
                <a:rPr lang="en-IN" b="1"/>
                <a:t>Portfolio value:</a:t>
              </a:r>
              <a:r>
                <a:rPr lang="en-IN"/>
                <a:t> $100,000</a:t>
              </a:r>
            </a:p>
            <a:p>
              <a:r>
                <a:rPr lang="en-IN" b="1"/>
                <a:t>Weights:</a:t>
              </a:r>
              <a:endParaRPr lang="en-IN"/>
            </a:p>
            <a:p>
              <a:pPr lvl="1"/>
              <a:r>
                <a:rPr lang="en-IN"/>
                <a:t>60% in SPY (equity)</a:t>
              </a:r>
            </a:p>
            <a:p>
              <a:pPr lvl="1"/>
              <a:r>
                <a:rPr lang="en-IN"/>
                <a:t>40% in BND (bonds)</a:t>
              </a:r>
            </a:p>
            <a:p>
              <a:r>
                <a:rPr lang="en-IN"/>
                <a:t>These weights were used in further risk and return calculations.</a:t>
              </a:r>
              <a:br>
                <a:rPr lang="en-IN"/>
              </a:br>
              <a:r>
                <a:rPr lang="en-IN" b="1"/>
                <a:t>_________________________________________</a:t>
              </a:r>
            </a:p>
            <a:p>
              <a:r>
                <a:rPr lang="en-IN" b="1"/>
                <a:t>Step 6: Calculate Portfolio Variance and Standard Deviation</a:t>
              </a:r>
            </a:p>
            <a:p>
              <a:br>
                <a:rPr lang="en-IN"/>
              </a:br>
              <a:r>
                <a:rPr lang="en-IN"/>
                <a:t>Used the two-asset portfolio variance formula: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𝜎_𝑝^2=𝑤_1^2 𝜎_1^2+𝑤_2^2 𝜎_2^2+2𝑤_1 𝑤_2 〖</a:t>
              </a:r>
              <a:r>
                <a:rPr lang="en-IN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"Cov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〗_12</a:t>
              </a:r>
              <a:endParaRPr lang="ar-AE" b="0"/>
            </a:p>
            <a:p>
              <a:br>
                <a:rPr lang="en-IN"/>
              </a:br>
              <a:r>
                <a:rPr lang="en-IN"/>
                <a:t>where</a:t>
              </a:r>
              <a:br>
                <a:rPr lang="en-IN"/>
              </a:b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𝑤_1,𝑤_2</a:t>
              </a:r>
              <a:r>
                <a:rPr lang="ar-AE"/>
                <a:t>= </a:t>
              </a:r>
              <a:r>
                <a:rPr lang="en-IN"/>
                <a:t>portfolio weights,</a:t>
              </a:r>
              <a:br>
                <a:rPr lang="en-IN"/>
              </a:b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𝜎_1,𝜎_2</a:t>
              </a:r>
              <a:r>
                <a:rPr lang="ar-AE"/>
                <a:t>= </a:t>
              </a:r>
              <a:r>
                <a:rPr lang="en-IN"/>
                <a:t>standard deviations, and</a:t>
              </a:r>
              <a:br>
                <a:rPr lang="en-IN"/>
              </a:b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〖</a:t>
              </a:r>
              <a:r>
                <a:rPr lang="en-IN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</a:t>
              </a:r>
              <a:r>
                <a:rPr lang="en-IN" b="0" i="0"/>
                <a:t>Cov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〗_12</a:t>
              </a:r>
              <a:r>
                <a:rPr lang="ar-AE"/>
                <a:t>= </a:t>
              </a:r>
              <a:r>
                <a:rPr lang="en-IN"/>
                <a:t>covariance between SPY and BND.</a:t>
              </a:r>
            </a:p>
            <a:p>
              <a:r>
                <a:rPr lang="en-IN"/>
                <a:t>Calculated </a:t>
              </a:r>
              <a:r>
                <a:rPr lang="en-IN" b="1"/>
                <a:t>portfolio standard deviation</a:t>
              </a:r>
              <a:r>
                <a:rPr lang="en-IN"/>
                <a:t> as:</a:t>
              </a:r>
            </a:p>
            <a:p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𝜎_𝑝=√(𝜎_𝑝^2 )</a:t>
              </a:r>
              <a:endParaRPr lang="ar-AE"/>
            </a:p>
            <a:p>
              <a:endParaRPr lang="en-IN" sz="1100"/>
            </a:p>
          </xdr:txBody>
        </xdr:sp>
      </mc:Fallback>
    </mc:AlternateContent>
    <xdr:clientData/>
  </xdr:twoCellAnchor>
  <xdr:twoCellAnchor>
    <xdr:from>
      <xdr:col>23</xdr:col>
      <xdr:colOff>69850</xdr:colOff>
      <xdr:row>0</xdr:row>
      <xdr:rowOff>57150</xdr:rowOff>
    </xdr:from>
    <xdr:to>
      <xdr:col>26</xdr:col>
      <xdr:colOff>850900</xdr:colOff>
      <xdr:row>19</xdr:row>
      <xdr:rowOff>171450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6FBF283-0123-C961-81AA-0E0053777A76}"/>
                </a:ext>
              </a:extLst>
            </xdr:cNvPr>
            <xdr:cNvSpPr txBox="1"/>
          </xdr:nvSpPr>
          <xdr:spPr>
            <a:xfrm>
              <a:off x="25019000" y="57150"/>
              <a:ext cx="3943350" cy="4654550"/>
            </a:xfrm>
            <a:prstGeom prst="rect">
              <a:avLst/>
            </a:prstGeom>
            <a:solidFill>
              <a:schemeClr val="accent5">
                <a:lumMod val="40000"/>
                <a:lumOff val="6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b="1"/>
                <a:t>Step 7: Calculate Portfolio Expected Return</a:t>
              </a:r>
              <a:br>
                <a:rPr lang="en-IN" b="1"/>
              </a:br>
              <a:endParaRPr lang="en-IN" b="1"/>
            </a:p>
            <a:p>
              <a:r>
                <a:rPr lang="en-IN"/>
                <a:t>Computed </a:t>
              </a:r>
              <a:r>
                <a:rPr lang="en-IN" b="1"/>
                <a:t>expected portfolio return</a:t>
              </a:r>
              <a:r>
                <a:rPr lang="en-IN"/>
                <a:t> as a weighted average:</a:t>
              </a:r>
            </a:p>
            <a:p>
              <a14:m>
                <m:oMath xmlns:m="http://schemas.openxmlformats.org/officeDocument/2006/math">
                  <m:r>
                    <a:rPr lang="en-IN" sz="1100" b="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           </m:t>
                  </m:r>
                  <m:r>
                    <a:rPr lang="en-IN" sz="110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𝐸</m:t>
                  </m:r>
                  <m:d>
                    <m:dPr>
                      <m:ctrlPr>
                        <a:rPr lang="ar-AE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sSub>
                        <m:sSubPr>
                          <m:ctrlPr>
                            <a:rPr lang="ar-AE" sz="1100" i="1">
                              <a:solidFill>
                                <a:schemeClr val="dk1"/>
                              </a:solidFill>
                              <a:latin typeface="+mn-lt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ar-AE" sz="1100" i="1">
                              <a:solidFill>
                                <a:schemeClr val="dk1"/>
                              </a:solidFill>
                              <a:latin typeface="+mn-lt"/>
                              <a:ea typeface="+mn-ea"/>
                              <a:cs typeface="+mn-cs"/>
                            </a:rPr>
                            <m:t>𝑅</m:t>
                          </m:r>
                        </m:e>
                        <m:sub>
                          <m:r>
                            <a:rPr lang="ar-AE" sz="1100" i="1">
                              <a:solidFill>
                                <a:schemeClr val="dk1"/>
                              </a:solidFill>
                              <a:latin typeface="+mn-lt"/>
                              <a:ea typeface="+mn-ea"/>
                              <a:cs typeface="+mn-cs"/>
                            </a:rPr>
                            <m:t>𝑝</m:t>
                          </m:r>
                        </m:sub>
                      </m:sSub>
                    </m:e>
                  </m:d>
                  <m:r>
                    <a:rPr lang="ar-AE" sz="110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=</m:t>
                  </m:r>
                  <m:r>
                    <m:rPr>
                      <m:nor/>
                    </m:rPr>
                    <a:rPr lang="en-IN" sz="110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Portfolio</m:t>
                  </m:r>
                  <m:r>
                    <m:rPr>
                      <m:nor/>
                    </m:rPr>
                    <a:rPr lang="en-IN" sz="110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</m:t>
                  </m:r>
                  <m:r>
                    <m:rPr>
                      <m:nor/>
                    </m:rPr>
                    <a:rPr lang="en-IN" sz="110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Value</m:t>
                  </m:r>
                  <m:r>
                    <m:rPr>
                      <m:nor/>
                    </m:rPr>
                    <a:rPr lang="en-IN" sz="110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* </m:t>
                  </m:r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IN" sz="1100" b="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[</m:t>
                      </m:r>
                      <m:r>
                        <a:rPr lang="ar-AE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𝑤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  <m:r>
                    <a:rPr lang="ar-AE" sz="110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𝐸</m:t>
                  </m:r>
                  <m:d>
                    <m:dPr>
                      <m:ctrlPr>
                        <a:rPr lang="ar-AE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sSub>
                        <m:sSubPr>
                          <m:ctrlPr>
                            <a:rPr lang="ar-AE" sz="1100" i="1">
                              <a:solidFill>
                                <a:schemeClr val="dk1"/>
                              </a:solidFill>
                              <a:latin typeface="+mn-lt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ar-AE" sz="1100" i="1">
                              <a:solidFill>
                                <a:schemeClr val="dk1"/>
                              </a:solidFill>
                              <a:latin typeface="+mn-lt"/>
                              <a:ea typeface="+mn-ea"/>
                              <a:cs typeface="+mn-cs"/>
                            </a:rPr>
                            <m:t>𝑅</m:t>
                          </m:r>
                        </m:e>
                        <m:sub>
                          <m:r>
                            <a:rPr lang="ar-AE" sz="1100" i="0">
                              <a:solidFill>
                                <a:schemeClr val="dk1"/>
                              </a:solidFill>
                              <a:latin typeface="+mn-lt"/>
                              <a:ea typeface="+mn-ea"/>
                              <a:cs typeface="+mn-cs"/>
                            </a:rPr>
                            <m:t>1</m:t>
                          </m:r>
                        </m:sub>
                      </m:sSub>
                    </m:e>
                  </m:d>
                  <m:r>
                    <a:rPr lang="ar-AE" sz="110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ar-AE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ar-AE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𝑤</m:t>
                      </m:r>
                    </m:e>
                    <m:sub>
                      <m:r>
                        <a:rPr lang="ar-AE" sz="1100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2</m:t>
                      </m:r>
                    </m:sub>
                  </m:sSub>
                  <m:r>
                    <a:rPr lang="ar-AE" sz="110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𝐸</m:t>
                  </m:r>
                  <m:d>
                    <m:dPr>
                      <m:ctrlPr>
                        <a:rPr lang="ar-AE" sz="1100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sSub>
                        <m:sSubPr>
                          <m:ctrlPr>
                            <a:rPr lang="ar-AE" sz="1100" i="1">
                              <a:solidFill>
                                <a:schemeClr val="dk1"/>
                              </a:solidFill>
                              <a:latin typeface="+mn-lt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ar-AE" sz="1100" i="1">
                              <a:solidFill>
                                <a:schemeClr val="dk1"/>
                              </a:solidFill>
                              <a:latin typeface="+mn-lt"/>
                              <a:ea typeface="+mn-ea"/>
                              <a:cs typeface="+mn-cs"/>
                            </a:rPr>
                            <m:t>𝑅</m:t>
                          </m:r>
                        </m:e>
                        <m:sub>
                          <m:r>
                            <a:rPr lang="ar-AE" sz="1100" i="0">
                              <a:solidFill>
                                <a:schemeClr val="dk1"/>
                              </a:solidFill>
                              <a:latin typeface="+mn-lt"/>
                              <a:ea typeface="+mn-ea"/>
                              <a:cs typeface="+mn-cs"/>
                            </a:rPr>
                            <m:t>2</m:t>
                          </m:r>
                        </m:sub>
                      </m:sSub>
                    </m:e>
                  </m:d>
                </m:oMath>
              </a14:m>
              <a:r>
                <a:rPr lang="en-IN"/>
                <a:t>]</a:t>
              </a:r>
              <a:endParaRPr lang="ar-AE"/>
            </a:p>
            <a:p>
              <a:r>
                <a:rPr lang="en-IN"/>
                <a:t>Adjusted the expected return for a chosen </a:t>
              </a:r>
              <a:r>
                <a:rPr lang="en-IN" b="1"/>
                <a:t>time period</a:t>
              </a:r>
              <a:r>
                <a:rPr lang="en-IN"/>
                <a:t> (e.g., 20 days) using: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𝐸</m:t>
                    </m:r>
                    <m:d>
                      <m:d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𝑅</m:t>
                            </m:r>
                          </m:e>
                          <m:sub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20</m:t>
                            </m:r>
                          </m:sub>
                        </m:sSub>
                      </m:e>
                    </m:d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r>
                      <a:rPr lang="ar-AE" sz="110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𝐸</m:t>
                    </m:r>
                    <m:d>
                      <m:d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𝑅</m:t>
                            </m:r>
                          </m:e>
                          <m:sub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𝑝</m:t>
                            </m:r>
                          </m:sub>
                        </m:sSub>
                      </m:e>
                    </m:d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×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20</m:t>
                        </m:r>
                      </m:num>
                      <m:den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252</m:t>
                        </m:r>
                      </m:den>
                    </m:f>
                  </m:oMath>
                </m:oMathPara>
              </a14:m>
              <a:endParaRPr lang="ar-AE"/>
            </a:p>
            <a:p>
              <a:br>
                <a:rPr lang="en-IN" sz="1100"/>
              </a:br>
              <a:r>
                <a:rPr lang="en-IN" sz="1100" baseline="0"/>
                <a:t>                                                     </a:t>
              </a:r>
              <a14:m>
                <m:oMath xmlns:m="http://schemas.openxmlformats.org/officeDocument/2006/math">
                  <m:r>
                    <a:rPr lang="ar-AE" sz="1100" i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=</m:t>
                  </m:r>
                </m:oMath>
              </a14:m>
              <a:r>
                <a:rPr lang="en-IN" sz="1100"/>
                <a:t> $396.83</a:t>
              </a:r>
              <a14:m>
                <m:oMath xmlns:m="http://schemas.openxmlformats.org/officeDocument/2006/math">
                  <m:r>
                    <a:rPr lang="en-IN" sz="11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 </m:t>
                  </m:r>
                  <m:r>
                    <a:rPr lang="ar-AE" sz="1100" i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×</m:t>
                  </m:r>
                  <m:r>
                    <a:rPr lang="en-IN" sz="11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f>
                    <m:fPr>
                      <m:ctrlPr>
                        <a:rPr lang="ar-AE" sz="110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ar-AE" sz="1100" i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20</m:t>
                      </m:r>
                    </m:num>
                    <m:den>
                      <m:r>
                        <a:rPr lang="ar-AE" sz="1100" i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252</m:t>
                      </m:r>
                    </m:den>
                  </m:f>
                </m:oMath>
              </a14:m>
              <a:endParaRPr lang="en-IN">
                <a:effectLst/>
              </a:endParaRPr>
            </a:p>
            <a:p>
              <a:r>
                <a:rPr lang="en-IN" b="1"/>
                <a:t>______________________________________________________</a:t>
              </a:r>
              <a:br>
                <a:rPr lang="en-IN" b="1"/>
              </a:br>
              <a:r>
                <a:rPr lang="en-IN" b="1"/>
                <a:t>Step 8: Monte Carlo Simulation for VaR</a:t>
              </a:r>
            </a:p>
            <a:p>
              <a:br>
                <a:rPr lang="en-IN" b="1"/>
              </a:br>
              <a:r>
                <a:rPr lang="en-IN" b="1"/>
                <a:t>Generated random Z-scores</a:t>
              </a:r>
              <a:r>
                <a:rPr lang="en-IN"/>
                <a:t> assuming a normal distribution using Excel:</a:t>
              </a:r>
              <a:br>
                <a:rPr lang="en-IN"/>
              </a:br>
              <a:r>
                <a:rPr lang="en-IN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=NORM.S.INV(RAND())</a:t>
              </a:r>
              <a:br>
                <a:rPr lang="en-IN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</a:br>
              <a:endParaRPr lang="en-IN"/>
            </a:p>
            <a:p>
              <a:r>
                <a:rPr lang="en-IN" b="1"/>
                <a:t>Calculated simulated portfolio returns</a:t>
              </a:r>
              <a:r>
                <a:rPr lang="en-IN"/>
                <a:t> using the formula: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IN" b="0"/>
                      <m:t>Scenario</m:t>
                    </m:r>
                    <m:r>
                      <m:rPr>
                        <m:nor/>
                      </m:rPr>
                      <a:rPr lang="en-IN" b="0" i="1"/>
                      <m:t> </m:t>
                    </m:r>
                    <m:r>
                      <m:rPr>
                        <m:nor/>
                      </m:rPr>
                      <a:rPr lang="en-IN" b="0" i="1"/>
                      <m:t>VaR</m:t>
                    </m:r>
                    <m:r>
                      <a:rPr lang="en-IN" sz="1100" b="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r>
                      <a:rPr lang="en-IN" sz="1100" b="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𝐸</m:t>
                    </m:r>
                    <m:d>
                      <m:dPr>
                        <m:ctrlPr>
                          <a:rPr lang="ar-AE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𝑅</m:t>
                            </m:r>
                          </m:e>
                          <m:sub>
                            <m:r>
                              <a:rPr lang="ar-AE" sz="1100" b="0" i="0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20</m:t>
                            </m:r>
                          </m:sub>
                        </m:sSub>
                      </m:e>
                    </m:d>
                    <m:r>
                      <a:rPr lang="ar-AE" sz="1100" b="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−</m:t>
                    </m:r>
                    <m:d>
                      <m:dPr>
                        <m:ctrlPr>
                          <a:rPr lang="ar-AE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m:rPr>
                            <m:nor/>
                          </m:rPr>
                          <a:rPr lang="en-IN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Portfolio</m:t>
                        </m:r>
                        <m:r>
                          <m:rPr>
                            <m:nor/>
                          </m:rPr>
                          <a:rPr lang="en-IN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IN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Value</m:t>
                        </m:r>
                        <m:r>
                          <a:rPr lang="en-IN" sz="1100" b="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×</m:t>
                        </m:r>
                        <m:sSub>
                          <m:sSubPr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𝜎</m:t>
                            </m:r>
                          </m:e>
                          <m:sub>
                            <m: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𝑝</m:t>
                            </m:r>
                          </m:sub>
                        </m:sSub>
                        <m:r>
                          <a:rPr lang="ar-AE" sz="1100" b="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×</m:t>
                        </m:r>
                        <m:r>
                          <a:rPr lang="ar-AE" sz="1100" b="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𝑍</m:t>
                        </m:r>
                        <m:r>
                          <a:rPr lang="ar-AE" sz="1100" b="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×</m:t>
                        </m:r>
                        <m:rad>
                          <m:radPr>
                            <m:degHide m:val="on"/>
                            <m:ctrlPr>
                              <a:rPr lang="ar-AE" sz="1100" b="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lang="ar-AE" sz="1100" b="0" i="1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ar-AE" sz="1100" b="0" i="0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20</m:t>
                                </m:r>
                              </m:num>
                              <m:den>
                                <m:r>
                                  <a:rPr lang="ar-AE" sz="1100" b="0" i="0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252</m:t>
                                </m:r>
                              </m:den>
                            </m:f>
                          </m:e>
                        </m:rad>
                      </m:e>
                    </m:d>
                  </m:oMath>
                </m:oMathPara>
              </a14:m>
              <a:endParaRPr lang="ar-AE" b="0"/>
            </a:p>
            <a:p>
              <a:r>
                <a:rPr lang="en-IN" b="1"/>
                <a:t>Ran 10,000 simulations</a:t>
              </a:r>
              <a:r>
                <a:rPr lang="en-IN"/>
                <a:t> by creating a data table in Excel:</a:t>
              </a:r>
            </a:p>
            <a:p>
              <a:pPr lvl="1"/>
              <a:r>
                <a:rPr lang="en-IN"/>
                <a:t>Used </a:t>
              </a:r>
              <a:r>
                <a:rPr lang="en-IN" b="1"/>
                <a:t>Data → What-If Analysis → Data Table</a:t>
              </a:r>
              <a:r>
                <a:rPr lang="en-IN"/>
                <a:t> to automatically generate 10,000 random Z-scores and VaR outcomes.</a:t>
              </a:r>
            </a:p>
            <a:p>
              <a:br>
                <a:rPr lang="en-IN" sz="1100"/>
              </a:br>
              <a:br>
                <a:rPr lang="en-IN" sz="1100"/>
              </a:br>
              <a:endParaRPr lang="en-IN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6FBF283-0123-C961-81AA-0E0053777A76}"/>
                </a:ext>
              </a:extLst>
            </xdr:cNvPr>
            <xdr:cNvSpPr txBox="1"/>
          </xdr:nvSpPr>
          <xdr:spPr>
            <a:xfrm>
              <a:off x="25019000" y="57150"/>
              <a:ext cx="3943350" cy="4654550"/>
            </a:xfrm>
            <a:prstGeom prst="rect">
              <a:avLst/>
            </a:prstGeom>
            <a:solidFill>
              <a:schemeClr val="accent5">
                <a:lumMod val="40000"/>
                <a:lumOff val="6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b="1"/>
                <a:t>Step 7: Calculate Portfolio Expected Return</a:t>
              </a:r>
              <a:br>
                <a:rPr lang="en-IN" b="1"/>
              </a:br>
              <a:endParaRPr lang="en-IN" b="1"/>
            </a:p>
            <a:p>
              <a:r>
                <a:rPr lang="en-IN"/>
                <a:t>Computed </a:t>
              </a:r>
              <a:r>
                <a:rPr lang="en-IN" b="1"/>
                <a:t>expected portfolio return</a:t>
              </a:r>
              <a:r>
                <a:rPr lang="en-IN"/>
                <a:t> as a weighted average:</a:t>
              </a:r>
            </a:p>
            <a:p>
              <a:r>
                <a:rPr lang="en-IN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         </a:t>
              </a:r>
              <a:r>
                <a:rPr lang="en-IN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𝐸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(𝑅_𝑝 )=</a:t>
              </a:r>
              <a:r>
                <a:rPr lang="en-IN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"Portfolio Value 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* </a:t>
              </a:r>
              <a:r>
                <a:rPr lang="ar-AE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" 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〖</a:t>
              </a:r>
              <a:r>
                <a:rPr lang="en-IN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[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𝑤〗_1 𝐸(𝑅_1 )+𝑤_2 𝐸(𝑅_2 )</a:t>
              </a:r>
              <a:r>
                <a:rPr lang="en-IN"/>
                <a:t>]</a:t>
              </a:r>
              <a:endParaRPr lang="ar-AE"/>
            </a:p>
            <a:p>
              <a:r>
                <a:rPr lang="en-IN"/>
                <a:t>Adjusted the expected return for a chosen </a:t>
              </a:r>
              <a:r>
                <a:rPr lang="en-IN" b="1"/>
                <a:t>time period</a:t>
              </a:r>
              <a:r>
                <a:rPr lang="en-IN"/>
                <a:t> (e.g., 20 days) using:</a:t>
              </a:r>
            </a:p>
            <a:p>
              <a:r>
                <a:rPr lang="en-IN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𝐸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(𝑅_20 )=𝐸(𝑅_𝑝 )×20/252</a:t>
              </a:r>
              <a:endParaRPr lang="ar-AE"/>
            </a:p>
            <a:p>
              <a:br>
                <a:rPr lang="en-IN" sz="1100"/>
              </a:br>
              <a:r>
                <a:rPr lang="en-IN" sz="1100" baseline="0"/>
                <a:t>                                                     </a:t>
              </a:r>
              <a:r>
                <a:rPr lang="ar-AE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IN" sz="1100"/>
                <a:t> $396.83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ar-AE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×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ar-AE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20/252</a:t>
              </a:r>
              <a:endParaRPr lang="en-IN">
                <a:effectLst/>
              </a:endParaRPr>
            </a:p>
            <a:p>
              <a:r>
                <a:rPr lang="en-IN" b="1"/>
                <a:t>______________________________________________________</a:t>
              </a:r>
              <a:br>
                <a:rPr lang="en-IN" b="1"/>
              </a:br>
              <a:r>
                <a:rPr lang="en-IN" b="1"/>
                <a:t>Step 8: Monte Carlo Simulation for VaR</a:t>
              </a:r>
            </a:p>
            <a:p>
              <a:br>
                <a:rPr lang="en-IN" b="1"/>
              </a:br>
              <a:r>
                <a:rPr lang="en-IN" b="1"/>
                <a:t>Generated random Z-scores</a:t>
              </a:r>
              <a:r>
                <a:rPr lang="en-IN"/>
                <a:t> assuming a normal distribution using Excel:</a:t>
              </a:r>
              <a:br>
                <a:rPr lang="en-IN"/>
              </a:br>
              <a:r>
                <a:rPr lang="en-IN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=NORM.S.INV(RAND())</a:t>
              </a:r>
              <a:br>
                <a:rPr lang="en-IN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</a:br>
              <a:endParaRPr lang="en-IN"/>
            </a:p>
            <a:p>
              <a:r>
                <a:rPr lang="en-IN" b="1"/>
                <a:t>Calculated simulated portfolio returns</a:t>
              </a:r>
              <a:r>
                <a:rPr lang="en-IN"/>
                <a:t> using the formula:</a:t>
              </a:r>
            </a:p>
            <a:p>
              <a:r>
                <a:rPr lang="en-IN" b="0" i="0">
                  <a:latin typeface="Cambria Math" panose="02040503050406030204" pitchFamily="18" charset="0"/>
                </a:rPr>
                <a:t>"Scenario VaR</a:t>
              </a:r>
              <a:r>
                <a:rPr lang="en-IN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"=𝐸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(𝑅_20 )−(</a:t>
              </a:r>
              <a:r>
                <a:rPr lang="en-IN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"Portfolio Value" ×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𝜎_𝑝×𝑍×√(20/252))</a:t>
              </a:r>
              <a:endParaRPr lang="ar-AE" b="0"/>
            </a:p>
            <a:p>
              <a:r>
                <a:rPr lang="en-IN" b="1"/>
                <a:t>Ran 10,000 simulations</a:t>
              </a:r>
              <a:r>
                <a:rPr lang="en-IN"/>
                <a:t> by creating a data table in Excel:</a:t>
              </a:r>
            </a:p>
            <a:p>
              <a:pPr lvl="1"/>
              <a:r>
                <a:rPr lang="en-IN"/>
                <a:t>Used </a:t>
              </a:r>
              <a:r>
                <a:rPr lang="en-IN" b="1"/>
                <a:t>Data → What-If Analysis → Data Table</a:t>
              </a:r>
              <a:r>
                <a:rPr lang="en-IN"/>
                <a:t> to automatically generate 10,000 random Z-scores and VaR outcomes.</a:t>
              </a:r>
            </a:p>
            <a:p>
              <a:br>
                <a:rPr lang="en-IN" sz="1100"/>
              </a:br>
              <a:br>
                <a:rPr lang="en-IN" sz="1100"/>
              </a:br>
              <a:endParaRPr lang="en-IN" sz="1100"/>
            </a:p>
          </xdr:txBody>
        </xdr:sp>
      </mc:Fallback>
    </mc:AlternateContent>
    <xdr:clientData/>
  </xdr:twoCellAnchor>
  <xdr:twoCellAnchor>
    <xdr:from>
      <xdr:col>27</xdr:col>
      <xdr:colOff>12700</xdr:colOff>
      <xdr:row>0</xdr:row>
      <xdr:rowOff>50800</xdr:rowOff>
    </xdr:from>
    <xdr:to>
      <xdr:col>31</xdr:col>
      <xdr:colOff>793750</xdr:colOff>
      <xdr:row>5</xdr:row>
      <xdr:rowOff>101600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D2099DEE-57CA-42A1-2E3E-15236C92AB7E}"/>
                </a:ext>
              </a:extLst>
            </xdr:cNvPr>
            <xdr:cNvSpPr txBox="1"/>
          </xdr:nvSpPr>
          <xdr:spPr>
            <a:xfrm>
              <a:off x="29051250" y="50800"/>
              <a:ext cx="4489450" cy="1695450"/>
            </a:xfrm>
            <a:prstGeom prst="rect">
              <a:avLst/>
            </a:prstGeom>
            <a:solidFill>
              <a:schemeClr val="accent5">
                <a:lumMod val="40000"/>
                <a:lumOff val="6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Step 9: Determine Monte Carlo VaR</a:t>
              </a:r>
              <a:endParaRPr lang="en-IN">
                <a:effectLst/>
              </a:endParaRPr>
            </a:p>
            <a:p>
              <a:b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Calculated the </a:t>
              </a:r>
              <a:r>
                <a:rPr lang="en-I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Monte Carlo VaR</a:t>
              </a:r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at various confidence levels (e.g., 95%, 99%) using the Excel formula:</a:t>
              </a:r>
              <a:b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</a:br>
              <a:endParaRPr lang="en-IN">
                <a:effectLst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r>
                      <a:rPr lang="en-IN" sz="110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𝑃𝐸𝑅𝐶𝐸𝑁𝑇𝐼𝐿𝐸</m:t>
                    </m:r>
                    <m:r>
                      <a:rPr lang="en-IN" sz="1100" i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.</m:t>
                    </m:r>
                    <m:r>
                      <a:rPr lang="en-IN" sz="110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𝐼𝑁𝐶</m:t>
                    </m:r>
                    <m:d>
                      <m:dPr>
                        <m:sepChr m:val=","/>
                        <m:ctrlPr>
                          <a:rPr lang="ar-AE" sz="110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m:rPr>
                            <m:nor/>
                          </m:rPr>
                          <a:rPr lang="en-IN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Scenario</m:t>
                        </m:r>
                        <m:r>
                          <m:rPr>
                            <m:nor/>
                          </m:rPr>
                          <a:rPr lang="en-IN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IN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Range</m:t>
                        </m:r>
                      </m:e>
                      <m:e>
                        <m:r>
                          <a:rPr lang="ar-AE" sz="1100" b="0" i="0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</m:t>
                        </m:r>
                        <m:r>
                          <a:rPr lang="ar-AE" sz="1100" b="0" i="0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r>
                          <m:rPr>
                            <m:nor/>
                          </m:rPr>
                          <a:rPr lang="en-IN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Confidence</m:t>
                        </m:r>
                        <m:r>
                          <m:rPr>
                            <m:nor/>
                          </m:rPr>
                          <a:rPr lang="en-IN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IN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Level</m:t>
                        </m:r>
                      </m:e>
                    </m:d>
                  </m:oMath>
                </m:oMathPara>
              </a14:m>
              <a:br>
                <a:rPr lang="en-IN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</a:br>
              <a:endParaRPr lang="en-IN">
                <a:effectLst/>
              </a:endParaRPr>
            </a:p>
            <a:p>
              <a:b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This identifies the loss threshold at the specified percentile (e.g., 5th percentile for 95% confidence).</a:t>
              </a:r>
              <a:endParaRPr lang="en-IN">
                <a:effectLst/>
              </a:endParaRPr>
            </a:p>
            <a:p>
              <a:endParaRPr lang="en-IN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D2099DEE-57CA-42A1-2E3E-15236C92AB7E}"/>
                </a:ext>
              </a:extLst>
            </xdr:cNvPr>
            <xdr:cNvSpPr txBox="1"/>
          </xdr:nvSpPr>
          <xdr:spPr>
            <a:xfrm>
              <a:off x="29051250" y="50800"/>
              <a:ext cx="4489450" cy="1695450"/>
            </a:xfrm>
            <a:prstGeom prst="rect">
              <a:avLst/>
            </a:prstGeom>
            <a:solidFill>
              <a:schemeClr val="accent5">
                <a:lumMod val="40000"/>
                <a:lumOff val="6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Step 9: Determine Monte Carlo VaR</a:t>
              </a:r>
              <a:endParaRPr lang="en-IN">
                <a:effectLst/>
              </a:endParaRPr>
            </a:p>
            <a:p>
              <a:b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Calculated the </a:t>
              </a:r>
              <a:r>
                <a:rPr lang="en-I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Monte Carlo VaR</a:t>
              </a:r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at various confidence levels (e.g., 95%, 99%) using the Excel formula:</a:t>
              </a:r>
              <a:b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</a:br>
              <a:endParaRPr lang="en-IN">
                <a:effectLst/>
              </a:endParaRPr>
            </a:p>
            <a:p>
              <a:r>
                <a:rPr lang="en-IN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=𝑃𝐸𝑅𝐶𝐸𝑁𝑇𝐼𝐿𝐸.𝐼𝑁𝐶</a:t>
              </a:r>
              <a:r>
                <a:rPr lang="ar-AE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"Scenario Range" ⓜ,</a:t>
              </a:r>
              <a:r>
                <a:rPr lang="ar-AE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1−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"Confidence Level" )</a:t>
              </a:r>
              <a:br>
                <a:rPr lang="en-IN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</a:br>
              <a:endParaRPr lang="en-IN">
                <a:effectLst/>
              </a:endParaRPr>
            </a:p>
            <a:p>
              <a:b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This identifies the loss threshold at the specified percentile (e.g., 5th percentile for 95% confidence).</a:t>
              </a:r>
              <a:endParaRPr lang="en-IN">
                <a:effectLst/>
              </a:endParaRPr>
            </a:p>
            <a:p>
              <a:endParaRPr lang="en-IN" sz="1100"/>
            </a:p>
          </xdr:txBody>
        </xdr:sp>
      </mc:Fallback>
    </mc:AlternateContent>
    <xdr:clientData/>
  </xdr:twoCellAnchor>
  <xdr:twoCellAnchor>
    <xdr:from>
      <xdr:col>40</xdr:col>
      <xdr:colOff>355600</xdr:colOff>
      <xdr:row>0</xdr:row>
      <xdr:rowOff>114300</xdr:rowOff>
    </xdr:from>
    <xdr:to>
      <xdr:col>46</xdr:col>
      <xdr:colOff>285750</xdr:colOff>
      <xdr:row>11</xdr:row>
      <xdr:rowOff>158750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94798C8-286B-2487-89BA-4E2AAAA28665}"/>
            </a:ext>
          </a:extLst>
        </xdr:cNvPr>
        <xdr:cNvSpPr txBox="1"/>
      </xdr:nvSpPr>
      <xdr:spPr>
        <a:xfrm>
          <a:off x="40963850" y="114300"/>
          <a:ext cx="5226050" cy="31115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Step 10: Visualise the VaR Distribution</a:t>
          </a:r>
        </a:p>
        <a:p>
          <a:br>
            <a:rPr lang="en-IN"/>
          </a:br>
          <a:r>
            <a:rPr lang="en-IN"/>
            <a:t>Created a </a:t>
          </a:r>
          <a:r>
            <a:rPr lang="en-IN" b="1"/>
            <a:t>Histogram</a:t>
          </a:r>
          <a:r>
            <a:rPr lang="en-IN"/>
            <a:t> of the 10,000 simulated portfolio returns using Excel’s </a:t>
          </a:r>
          <a:r>
            <a:rPr lang="en-IN" b="1"/>
            <a:t>Insert → </a:t>
          </a:r>
          <a:br>
            <a:rPr lang="en-IN" b="1"/>
          </a:br>
          <a:r>
            <a:rPr lang="en-IN" b="1"/>
            <a:t>Histogram</a:t>
          </a:r>
          <a:r>
            <a:rPr lang="en-IN"/>
            <a:t> tool.</a:t>
          </a:r>
        </a:p>
        <a:p>
          <a:endParaRPr lang="en-IN"/>
        </a:p>
        <a:p>
          <a:r>
            <a:rPr lang="en-IN"/>
            <a:t>The histogram displayed an approximately </a:t>
          </a:r>
          <a:r>
            <a:rPr lang="en-IN" b="1"/>
            <a:t>normal distribution</a:t>
          </a:r>
          <a:r>
            <a:rPr lang="en-IN"/>
            <a:t>, with the </a:t>
          </a:r>
          <a:r>
            <a:rPr lang="en-IN" b="1"/>
            <a:t>VaR threshold</a:t>
          </a:r>
          <a:r>
            <a:rPr lang="en-IN"/>
            <a:t> </a:t>
          </a:r>
        </a:p>
        <a:p>
          <a:r>
            <a:rPr lang="en-IN"/>
            <a:t>visible at the left tail (5th percentile).</a:t>
          </a:r>
        </a:p>
        <a:p>
          <a:endParaRPr lang="en-IN"/>
        </a:p>
        <a:p>
          <a:r>
            <a:rPr lang="en-IN"/>
            <a:t>Compared results for different confidence intervals (90%, 95%, and 99%) to observe how VaR shifts further into the tail as confidence increases.</a:t>
          </a:r>
        </a:p>
        <a:p>
          <a:r>
            <a:rPr lang="en-IN"/>
            <a:t>________________________________________________________________________</a:t>
          </a:r>
        </a:p>
        <a:p>
          <a:r>
            <a:rPr lang="en-IN" b="1"/>
            <a:t>Step 11: Interpret Results</a:t>
          </a:r>
        </a:p>
        <a:p>
          <a:br>
            <a:rPr lang="en-IN"/>
          </a:br>
          <a:r>
            <a:rPr lang="en-IN"/>
            <a:t>The </a:t>
          </a:r>
          <a:r>
            <a:rPr lang="en-IN" b="1"/>
            <a:t>Monte Carlo VaR</a:t>
          </a:r>
          <a:r>
            <a:rPr lang="en-IN"/>
            <a:t> represents the estimated maximum expected portfolio loss over a 20-day period with the specified confidence level.</a:t>
          </a:r>
        </a:p>
        <a:p>
          <a:br>
            <a:rPr lang="en-IN"/>
          </a:br>
          <a:r>
            <a:rPr lang="en-IN"/>
            <a:t>These values indicate the potential loss threshold under normal market conditions.</a:t>
          </a:r>
        </a:p>
        <a:p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prajeeta\Downloads\Monte%20Carlo%20Method_%20Value%20at%20Risk%20(VaR)%20In%20Excel%20(1).xlsx" TargetMode="External"/><Relationship Id="rId1" Type="http://schemas.openxmlformats.org/officeDocument/2006/relationships/externalLinkPath" Target="file:///C:\Users\Aprajeeta\Downloads\Monte%20Carlo%20Method_%20Value%20at%20Risk%20(VaR)%20In%20Excel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culations"/>
    </sheetNames>
    <sheetDataSet>
      <sheetData sheetId="0">
        <row r="2">
          <cell r="Q2">
            <v>479.75630450412621</v>
          </cell>
        </row>
        <row r="3">
          <cell r="Q3">
            <v>-297.33395769436294</v>
          </cell>
        </row>
        <row r="4">
          <cell r="Q4">
            <v>-545.76724103561264</v>
          </cell>
        </row>
        <row r="5">
          <cell r="Q5">
            <v>-3270.2362696994837</v>
          </cell>
        </row>
        <row r="6">
          <cell r="Q6">
            <v>-302.85987487373615</v>
          </cell>
        </row>
        <row r="7">
          <cell r="Q7">
            <v>-1058.141705103352</v>
          </cell>
        </row>
        <row r="8">
          <cell r="Q8">
            <v>-1037.3586541796356</v>
          </cell>
        </row>
        <row r="9">
          <cell r="Q9">
            <v>1917.9088564797762</v>
          </cell>
        </row>
        <row r="10">
          <cell r="Q10">
            <v>2243.149372202759</v>
          </cell>
        </row>
        <row r="11">
          <cell r="Q11">
            <v>599.3190502932365</v>
          </cell>
        </row>
        <row r="12">
          <cell r="Q12">
            <v>1181.4046221714402</v>
          </cell>
        </row>
        <row r="13">
          <cell r="Q13">
            <v>4571.7920152489705</v>
          </cell>
        </row>
        <row r="14">
          <cell r="Q14">
            <v>2019.3350686322187</v>
          </cell>
        </row>
        <row r="15">
          <cell r="Q15">
            <v>-2019.4709734722603</v>
          </cell>
        </row>
        <row r="16">
          <cell r="Q16">
            <v>729.84210509283969</v>
          </cell>
        </row>
        <row r="17">
          <cell r="Q17">
            <v>3885.2062620804713</v>
          </cell>
        </row>
        <row r="18">
          <cell r="Q18">
            <v>-728.15796342236263</v>
          </cell>
        </row>
        <row r="19">
          <cell r="Q19">
            <v>-3397.5256695944145</v>
          </cell>
        </row>
        <row r="20">
          <cell r="Q20">
            <v>2236.5774069189065</v>
          </cell>
        </row>
        <row r="21">
          <cell r="Q21">
            <v>3413.6209668188171</v>
          </cell>
        </row>
        <row r="22">
          <cell r="Q22">
            <v>312.25943829190965</v>
          </cell>
        </row>
        <row r="23">
          <cell r="Q23">
            <v>1315.5889516553218</v>
          </cell>
        </row>
        <row r="24">
          <cell r="Q24">
            <v>1354.923513104108</v>
          </cell>
        </row>
        <row r="25">
          <cell r="Q25">
            <v>-2183.6931110098744</v>
          </cell>
        </row>
        <row r="26">
          <cell r="Q26">
            <v>-2934.1606521387307</v>
          </cell>
        </row>
        <row r="27">
          <cell r="Q27">
            <v>1692.4113857218188</v>
          </cell>
        </row>
        <row r="28">
          <cell r="Q28">
            <v>1772.8397226694949</v>
          </cell>
        </row>
        <row r="29">
          <cell r="Q29">
            <v>1605.3841407779166</v>
          </cell>
        </row>
        <row r="30">
          <cell r="Q30">
            <v>-208.43963250219662</v>
          </cell>
        </row>
        <row r="31">
          <cell r="Q31">
            <v>270.57720023638899</v>
          </cell>
        </row>
        <row r="32">
          <cell r="Q32">
            <v>-2724.1768890463773</v>
          </cell>
        </row>
        <row r="33">
          <cell r="Q33">
            <v>1370.2457452765614</v>
          </cell>
        </row>
        <row r="34">
          <cell r="Q34">
            <v>1503.8941908088871</v>
          </cell>
        </row>
        <row r="35">
          <cell r="Q35">
            <v>-606.70389902607212</v>
          </cell>
        </row>
        <row r="36">
          <cell r="Q36">
            <v>156.37648909648189</v>
          </cell>
        </row>
        <row r="37">
          <cell r="Q37">
            <v>51.273628291953059</v>
          </cell>
        </row>
        <row r="38">
          <cell r="Q38">
            <v>2558.8193441765634</v>
          </cell>
        </row>
        <row r="39">
          <cell r="Q39">
            <v>2867.1924607862802</v>
          </cell>
        </row>
        <row r="40">
          <cell r="Q40">
            <v>2207.8817428211378</v>
          </cell>
        </row>
        <row r="41">
          <cell r="Q41">
            <v>2146.6787639689674</v>
          </cell>
        </row>
        <row r="42">
          <cell r="Q42">
            <v>2752.7521405204952</v>
          </cell>
        </row>
        <row r="43">
          <cell r="Q43">
            <v>1004.8209078132143</v>
          </cell>
        </row>
        <row r="44">
          <cell r="Q44">
            <v>4382.3175049708398</v>
          </cell>
        </row>
        <row r="45">
          <cell r="Q45">
            <v>4274.3064080640897</v>
          </cell>
        </row>
        <row r="46">
          <cell r="Q46">
            <v>186.72127965160013</v>
          </cell>
        </row>
        <row r="47">
          <cell r="Q47">
            <v>-1867.6827981864787</v>
          </cell>
        </row>
        <row r="48">
          <cell r="Q48">
            <v>3437.3492037219539</v>
          </cell>
        </row>
        <row r="49">
          <cell r="Q49">
            <v>-1119.9431651644268</v>
          </cell>
        </row>
        <row r="50">
          <cell r="Q50">
            <v>1015.1956861275887</v>
          </cell>
        </row>
        <row r="51">
          <cell r="Q51">
            <v>2159.5194388026448</v>
          </cell>
        </row>
        <row r="52">
          <cell r="Q52">
            <v>935.13624335913619</v>
          </cell>
        </row>
        <row r="53">
          <cell r="Q53">
            <v>-1490.9504000502911</v>
          </cell>
        </row>
        <row r="54">
          <cell r="Q54">
            <v>-1077.6450074226343</v>
          </cell>
        </row>
        <row r="55">
          <cell r="Q55">
            <v>-1000.6938826788423</v>
          </cell>
        </row>
        <row r="56">
          <cell r="Q56">
            <v>1629.7468080286078</v>
          </cell>
        </row>
        <row r="57">
          <cell r="Q57">
            <v>2502.4638729736848</v>
          </cell>
        </row>
        <row r="58">
          <cell r="Q58">
            <v>-1464.6226803840484</v>
          </cell>
        </row>
        <row r="59">
          <cell r="Q59">
            <v>1638.2579431051688</v>
          </cell>
        </row>
        <row r="60">
          <cell r="Q60">
            <v>1681.6303267180022</v>
          </cell>
        </row>
        <row r="61">
          <cell r="Q61">
            <v>-2822.2934459519247</v>
          </cell>
        </row>
        <row r="62">
          <cell r="Q62">
            <v>-369.1785682255167</v>
          </cell>
        </row>
        <row r="63">
          <cell r="Q63">
            <v>2855.5328998040559</v>
          </cell>
        </row>
        <row r="64">
          <cell r="Q64">
            <v>2804.050385879209</v>
          </cell>
        </row>
        <row r="65">
          <cell r="Q65">
            <v>-254.40281990151817</v>
          </cell>
        </row>
        <row r="66">
          <cell r="Q66">
            <v>1122.6068437673616</v>
          </cell>
        </row>
        <row r="67">
          <cell r="Q67">
            <v>-2682.9234880997683</v>
          </cell>
        </row>
        <row r="68">
          <cell r="Q68">
            <v>1761.7146849399107</v>
          </cell>
        </row>
        <row r="69">
          <cell r="Q69">
            <v>339.57218010871446</v>
          </cell>
        </row>
        <row r="70">
          <cell r="Q70">
            <v>1010.5209813606</v>
          </cell>
        </row>
        <row r="71">
          <cell r="Q71">
            <v>-55.775991873322823</v>
          </cell>
        </row>
        <row r="72">
          <cell r="Q72">
            <v>1420.6486329728891</v>
          </cell>
        </row>
        <row r="73">
          <cell r="Q73">
            <v>2637.8722659521873</v>
          </cell>
        </row>
        <row r="74">
          <cell r="Q74">
            <v>-1964.0335589447689</v>
          </cell>
        </row>
        <row r="75">
          <cell r="Q75">
            <v>4834.4430587917559</v>
          </cell>
        </row>
        <row r="76">
          <cell r="Q76">
            <v>-1691.2827302953895</v>
          </cell>
        </row>
        <row r="77">
          <cell r="Q77">
            <v>14.07898311857781</v>
          </cell>
        </row>
        <row r="78">
          <cell r="Q78">
            <v>-2480.045820248376</v>
          </cell>
        </row>
        <row r="79">
          <cell r="Q79">
            <v>65.626149648638147</v>
          </cell>
        </row>
        <row r="80">
          <cell r="Q80">
            <v>-4373.5953316016594</v>
          </cell>
        </row>
        <row r="81">
          <cell r="Q81">
            <v>1389.099783052679</v>
          </cell>
        </row>
        <row r="82">
          <cell r="Q82">
            <v>-3798.4282458288963</v>
          </cell>
        </row>
        <row r="83">
          <cell r="Q83">
            <v>-300.72282365391021</v>
          </cell>
        </row>
        <row r="84">
          <cell r="Q84">
            <v>1707.9046123419093</v>
          </cell>
        </row>
        <row r="85">
          <cell r="Q85">
            <v>-720.83487972435137</v>
          </cell>
        </row>
        <row r="86">
          <cell r="Q86">
            <v>-1378.1007040454722</v>
          </cell>
        </row>
        <row r="87">
          <cell r="Q87">
            <v>1036.119304715515</v>
          </cell>
        </row>
        <row r="88">
          <cell r="Q88">
            <v>1682.1385515088382</v>
          </cell>
        </row>
        <row r="89">
          <cell r="Q89">
            <v>-658.61744471499946</v>
          </cell>
        </row>
        <row r="90">
          <cell r="Q90">
            <v>-87.260150554895517</v>
          </cell>
        </row>
        <row r="91">
          <cell r="Q91">
            <v>1729.3090241089546</v>
          </cell>
        </row>
        <row r="92">
          <cell r="Q92">
            <v>-1211.5240565451347</v>
          </cell>
        </row>
        <row r="93">
          <cell r="Q93">
            <v>-566.49951516594024</v>
          </cell>
        </row>
        <row r="94">
          <cell r="Q94">
            <v>2372.6220535690695</v>
          </cell>
        </row>
        <row r="95">
          <cell r="Q95">
            <v>2688.7811051921822</v>
          </cell>
        </row>
        <row r="96">
          <cell r="Q96">
            <v>1393.005605796242</v>
          </cell>
        </row>
        <row r="97">
          <cell r="Q97">
            <v>806.08512586062579</v>
          </cell>
        </row>
        <row r="98">
          <cell r="Q98">
            <v>-77.126237879546125</v>
          </cell>
        </row>
        <row r="99">
          <cell r="Q99">
            <v>-736.26564273169674</v>
          </cell>
        </row>
        <row r="100">
          <cell r="Q100">
            <v>-1354.1780154300204</v>
          </cell>
        </row>
        <row r="101">
          <cell r="Q101">
            <v>-4317.0327797511763</v>
          </cell>
        </row>
        <row r="102">
          <cell r="Q102">
            <v>-2043.148934192767</v>
          </cell>
        </row>
        <row r="103">
          <cell r="Q103">
            <v>436.34760886422083</v>
          </cell>
        </row>
        <row r="104">
          <cell r="Q104">
            <v>835.40022150045741</v>
          </cell>
        </row>
        <row r="105">
          <cell r="Q105">
            <v>262.20321769554846</v>
          </cell>
        </row>
        <row r="106">
          <cell r="Q106">
            <v>2801.2562712013887</v>
          </cell>
        </row>
        <row r="107">
          <cell r="Q107">
            <v>-2629.6736532373684</v>
          </cell>
        </row>
        <row r="108">
          <cell r="Q108">
            <v>4526.1598799967651</v>
          </cell>
        </row>
        <row r="109">
          <cell r="Q109">
            <v>-2706.2063331586101</v>
          </cell>
        </row>
        <row r="110">
          <cell r="Q110">
            <v>-1311.1688534513632</v>
          </cell>
        </row>
        <row r="111">
          <cell r="Q111">
            <v>-339.30632182203971</v>
          </cell>
        </row>
        <row r="112">
          <cell r="Q112">
            <v>-1737.5453418456311</v>
          </cell>
        </row>
        <row r="113">
          <cell r="Q113">
            <v>2431.1386711591808</v>
          </cell>
        </row>
        <row r="114">
          <cell r="Q114">
            <v>-2192.8796612291831</v>
          </cell>
        </row>
        <row r="115">
          <cell r="Q115">
            <v>-383.93043954601404</v>
          </cell>
        </row>
        <row r="116">
          <cell r="Q116">
            <v>254.80807256731924</v>
          </cell>
        </row>
        <row r="117">
          <cell r="Q117">
            <v>-831.62476006338102</v>
          </cell>
        </row>
        <row r="118">
          <cell r="Q118">
            <v>2288.3164724499752</v>
          </cell>
        </row>
        <row r="119">
          <cell r="Q119">
            <v>-1682.0595936249263</v>
          </cell>
        </row>
        <row r="120">
          <cell r="Q120">
            <v>1029.5342338623227</v>
          </cell>
        </row>
        <row r="121">
          <cell r="Q121">
            <v>-2185.3925947007629</v>
          </cell>
        </row>
        <row r="122">
          <cell r="Q122">
            <v>315.90179285668967</v>
          </cell>
        </row>
        <row r="123">
          <cell r="Q123">
            <v>-395.93309464601026</v>
          </cell>
        </row>
        <row r="124">
          <cell r="Q124">
            <v>3359.0286466267344</v>
          </cell>
        </row>
        <row r="125">
          <cell r="Q125">
            <v>-2881.2691968166041</v>
          </cell>
        </row>
        <row r="126">
          <cell r="Q126">
            <v>-5386.3167148372604</v>
          </cell>
        </row>
        <row r="127">
          <cell r="Q127">
            <v>676.35518252667305</v>
          </cell>
        </row>
        <row r="128">
          <cell r="Q128">
            <v>-508.64406981440931</v>
          </cell>
        </row>
        <row r="129">
          <cell r="Q129">
            <v>737.74019728326925</v>
          </cell>
        </row>
        <row r="130">
          <cell r="Q130">
            <v>2028.1946695407394</v>
          </cell>
        </row>
        <row r="131">
          <cell r="Q131">
            <v>1433.6907236509321</v>
          </cell>
        </row>
        <row r="132">
          <cell r="Q132">
            <v>-862.50543731937387</v>
          </cell>
        </row>
        <row r="133">
          <cell r="Q133">
            <v>64.054454089479009</v>
          </cell>
        </row>
        <row r="134">
          <cell r="Q134">
            <v>-493.93013998392956</v>
          </cell>
        </row>
        <row r="135">
          <cell r="Q135">
            <v>661.82195594834297</v>
          </cell>
        </row>
        <row r="136">
          <cell r="Q136">
            <v>-910.45982485906188</v>
          </cell>
        </row>
        <row r="137">
          <cell r="Q137">
            <v>463.61961801113443</v>
          </cell>
        </row>
        <row r="138">
          <cell r="Q138">
            <v>2079.3013483721816</v>
          </cell>
        </row>
        <row r="139">
          <cell r="Q139">
            <v>1300.8966907362553</v>
          </cell>
        </row>
        <row r="140">
          <cell r="Q140">
            <v>-19.6070464314476</v>
          </cell>
        </row>
        <row r="141">
          <cell r="Q141">
            <v>-1632.7936644828999</v>
          </cell>
        </row>
        <row r="142">
          <cell r="Q142">
            <v>3692.7793520151395</v>
          </cell>
        </row>
        <row r="143">
          <cell r="Q143">
            <v>2686.9018310022093</v>
          </cell>
        </row>
        <row r="144">
          <cell r="Q144">
            <v>2513.5106528112337</v>
          </cell>
        </row>
        <row r="145">
          <cell r="Q145">
            <v>2081.1944051737314</v>
          </cell>
        </row>
        <row r="146">
          <cell r="Q146">
            <v>1524.9995305419243</v>
          </cell>
        </row>
        <row r="147">
          <cell r="Q147">
            <v>3503.8478281356111</v>
          </cell>
        </row>
        <row r="148">
          <cell r="Q148">
            <v>-177.73220470806888</v>
          </cell>
        </row>
        <row r="149">
          <cell r="Q149">
            <v>2300.0754098139455</v>
          </cell>
        </row>
        <row r="150">
          <cell r="Q150">
            <v>904.55714856381007</v>
          </cell>
        </row>
        <row r="151">
          <cell r="Q151">
            <v>-3083.7014278315737</v>
          </cell>
        </row>
        <row r="152">
          <cell r="Q152">
            <v>-2303.4448964043554</v>
          </cell>
        </row>
        <row r="153">
          <cell r="Q153">
            <v>535.61387751522057</v>
          </cell>
        </row>
        <row r="154">
          <cell r="Q154">
            <v>-2.5511934358507915</v>
          </cell>
        </row>
        <row r="155">
          <cell r="Q155">
            <v>-2702.3332876817544</v>
          </cell>
        </row>
        <row r="156">
          <cell r="Q156">
            <v>3532.1786373030868</v>
          </cell>
        </row>
        <row r="157">
          <cell r="Q157">
            <v>3029.7171246858875</v>
          </cell>
        </row>
        <row r="158">
          <cell r="Q158">
            <v>1948.9455128337941</v>
          </cell>
        </row>
        <row r="159">
          <cell r="Q159">
            <v>-1513.6409738887508</v>
          </cell>
        </row>
        <row r="160">
          <cell r="Q160">
            <v>-1502.4007075174572</v>
          </cell>
        </row>
        <row r="161">
          <cell r="Q161">
            <v>2501.8918533254796</v>
          </cell>
        </row>
        <row r="162">
          <cell r="Q162">
            <v>1252.8841958881808</v>
          </cell>
        </row>
        <row r="163">
          <cell r="Q163">
            <v>3401.7544707123193</v>
          </cell>
        </row>
        <row r="164">
          <cell r="Q164">
            <v>-240.76725874528512</v>
          </cell>
        </row>
        <row r="165">
          <cell r="Q165">
            <v>653.83554715701075</v>
          </cell>
        </row>
        <row r="166">
          <cell r="Q166">
            <v>1176.9567954350609</v>
          </cell>
        </row>
        <row r="167">
          <cell r="Q167">
            <v>2104.1938177645225</v>
          </cell>
        </row>
        <row r="168">
          <cell r="Q168">
            <v>2314.8764464720862</v>
          </cell>
        </row>
        <row r="169">
          <cell r="Q169">
            <v>5187.8881259848995</v>
          </cell>
        </row>
        <row r="170">
          <cell r="Q170">
            <v>494.04822203914057</v>
          </cell>
        </row>
        <row r="171">
          <cell r="Q171">
            <v>-2552.1833771482366</v>
          </cell>
        </row>
        <row r="172">
          <cell r="Q172">
            <v>149.57095114294637</v>
          </cell>
        </row>
        <row r="173">
          <cell r="Q173">
            <v>-1452.0652679490361</v>
          </cell>
        </row>
        <row r="174">
          <cell r="Q174">
            <v>1415.6579237131914</v>
          </cell>
        </row>
        <row r="175">
          <cell r="Q175">
            <v>-876.47020997080131</v>
          </cell>
        </row>
        <row r="176">
          <cell r="Q176">
            <v>645.2899106244513</v>
          </cell>
        </row>
        <row r="177">
          <cell r="Q177">
            <v>-910.26796380911378</v>
          </cell>
        </row>
        <row r="178">
          <cell r="Q178">
            <v>-806.83138998481013</v>
          </cell>
        </row>
        <row r="179">
          <cell r="Q179">
            <v>2162.6451197045471</v>
          </cell>
        </row>
        <row r="180">
          <cell r="Q180">
            <v>621.58326583861754</v>
          </cell>
        </row>
        <row r="181">
          <cell r="Q181">
            <v>-4688.7823367550236</v>
          </cell>
        </row>
        <row r="182">
          <cell r="Q182">
            <v>672.29201847683873</v>
          </cell>
        </row>
        <row r="183">
          <cell r="Q183">
            <v>4665.436182160026</v>
          </cell>
        </row>
        <row r="184">
          <cell r="Q184">
            <v>-2241.4167158589607</v>
          </cell>
        </row>
        <row r="185">
          <cell r="Q185">
            <v>3467.0776871824114</v>
          </cell>
        </row>
        <row r="186">
          <cell r="Q186">
            <v>-4766.4504702096347</v>
          </cell>
        </row>
        <row r="187">
          <cell r="Q187">
            <v>523.86139885421471</v>
          </cell>
        </row>
        <row r="188">
          <cell r="Q188">
            <v>629.30990963145484</v>
          </cell>
        </row>
        <row r="189">
          <cell r="Q189">
            <v>3268.9023878070793</v>
          </cell>
        </row>
        <row r="190">
          <cell r="Q190">
            <v>-2851.3525106427001</v>
          </cell>
        </row>
        <row r="191">
          <cell r="Q191">
            <v>-1379.4128177830535</v>
          </cell>
        </row>
        <row r="192">
          <cell r="Q192">
            <v>129.43846592998727</v>
          </cell>
        </row>
        <row r="193">
          <cell r="Q193">
            <v>-437.56535658819081</v>
          </cell>
        </row>
        <row r="194">
          <cell r="Q194">
            <v>1710.1742437896435</v>
          </cell>
        </row>
        <row r="195">
          <cell r="Q195">
            <v>2338.5270883730686</v>
          </cell>
        </row>
        <row r="196">
          <cell r="Q196">
            <v>-2072.3440077223631</v>
          </cell>
        </row>
        <row r="197">
          <cell r="Q197">
            <v>-138.38183415449595</v>
          </cell>
        </row>
        <row r="198">
          <cell r="Q198">
            <v>-696.54716234902185</v>
          </cell>
        </row>
        <row r="199">
          <cell r="Q199">
            <v>-1671.4149474322564</v>
          </cell>
        </row>
        <row r="200">
          <cell r="Q200">
            <v>-550.97389812241045</v>
          </cell>
        </row>
        <row r="201">
          <cell r="Q201">
            <v>-1507.1309749001985</v>
          </cell>
        </row>
        <row r="202">
          <cell r="Q202">
            <v>2863.4054602489</v>
          </cell>
        </row>
        <row r="203">
          <cell r="Q203">
            <v>282.70451544271594</v>
          </cell>
        </row>
        <row r="204">
          <cell r="Q204">
            <v>-1353.0068734444194</v>
          </cell>
        </row>
        <row r="205">
          <cell r="Q205">
            <v>-514.94574573007094</v>
          </cell>
        </row>
        <row r="206">
          <cell r="Q206">
            <v>2357.2797556836917</v>
          </cell>
        </row>
        <row r="207">
          <cell r="Q207">
            <v>4935.3413713657146</v>
          </cell>
        </row>
        <row r="208">
          <cell r="Q208">
            <v>-357.54227715010114</v>
          </cell>
        </row>
        <row r="209">
          <cell r="Q209">
            <v>-354.01108770811192</v>
          </cell>
        </row>
        <row r="210">
          <cell r="Q210">
            <v>1993.6003079973564</v>
          </cell>
        </row>
        <row r="211">
          <cell r="Q211">
            <v>-1122.9283036726385</v>
          </cell>
        </row>
        <row r="212">
          <cell r="Q212">
            <v>1120.8981212196379</v>
          </cell>
        </row>
        <row r="213">
          <cell r="Q213">
            <v>-1305.7984181830416</v>
          </cell>
        </row>
        <row r="214">
          <cell r="Q214">
            <v>1139.8506508918915</v>
          </cell>
        </row>
        <row r="215">
          <cell r="Q215">
            <v>-601.79180935900126</v>
          </cell>
        </row>
        <row r="216">
          <cell r="Q216">
            <v>-1089.693047072351</v>
          </cell>
        </row>
        <row r="217">
          <cell r="Q217">
            <v>1254.0732839089519</v>
          </cell>
        </row>
        <row r="218">
          <cell r="Q218">
            <v>1606.6245033480975</v>
          </cell>
        </row>
        <row r="219">
          <cell r="Q219">
            <v>1402.0015895169263</v>
          </cell>
        </row>
        <row r="220">
          <cell r="Q220">
            <v>-1023.4050680202026</v>
          </cell>
        </row>
        <row r="221">
          <cell r="Q221">
            <v>-1909.615218325893</v>
          </cell>
        </row>
        <row r="222">
          <cell r="Q222">
            <v>-71.132923375384848</v>
          </cell>
        </row>
        <row r="223">
          <cell r="Q223">
            <v>2920.0313694903462</v>
          </cell>
        </row>
        <row r="224">
          <cell r="Q224">
            <v>498.07350584917879</v>
          </cell>
        </row>
        <row r="225">
          <cell r="Q225">
            <v>225.10044047489188</v>
          </cell>
        </row>
        <row r="226">
          <cell r="Q226">
            <v>2158.4076505848566</v>
          </cell>
        </row>
        <row r="227">
          <cell r="Q227">
            <v>331.74691450769228</v>
          </cell>
        </row>
        <row r="228">
          <cell r="Q228">
            <v>979.31919803426422</v>
          </cell>
        </row>
        <row r="229">
          <cell r="Q229">
            <v>-2336.2091747410655</v>
          </cell>
        </row>
        <row r="230">
          <cell r="Q230">
            <v>-244.60134120460276</v>
          </cell>
        </row>
        <row r="231">
          <cell r="Q231">
            <v>-3893.7641498989333</v>
          </cell>
        </row>
        <row r="232">
          <cell r="Q232">
            <v>1816.5694638451012</v>
          </cell>
        </row>
        <row r="233">
          <cell r="Q233">
            <v>739.76117598527549</v>
          </cell>
        </row>
        <row r="234">
          <cell r="Q234">
            <v>2168.4357037865225</v>
          </cell>
        </row>
        <row r="235">
          <cell r="Q235">
            <v>37.605182559587718</v>
          </cell>
        </row>
        <row r="236">
          <cell r="Q236">
            <v>254.95166784101119</v>
          </cell>
        </row>
        <row r="237">
          <cell r="Q237">
            <v>-2853.4798524696071</v>
          </cell>
        </row>
        <row r="238">
          <cell r="Q238">
            <v>631.87329581990457</v>
          </cell>
        </row>
        <row r="239">
          <cell r="Q239">
            <v>463.03750735365196</v>
          </cell>
        </row>
        <row r="240">
          <cell r="Q240">
            <v>4318.0654556926838</v>
          </cell>
        </row>
        <row r="241">
          <cell r="Q241">
            <v>3244.3426359765845</v>
          </cell>
        </row>
        <row r="242">
          <cell r="Q242">
            <v>106.8802553908414</v>
          </cell>
        </row>
        <row r="243">
          <cell r="Q243">
            <v>1657.7596673053254</v>
          </cell>
        </row>
        <row r="244">
          <cell r="Q244">
            <v>1662.4107642944268</v>
          </cell>
        </row>
        <row r="245">
          <cell r="Q245">
            <v>-697.95169889176759</v>
          </cell>
        </row>
        <row r="246">
          <cell r="Q246">
            <v>-654.23231243992541</v>
          </cell>
        </row>
        <row r="247">
          <cell r="Q247">
            <v>-257.91849454687639</v>
          </cell>
        </row>
        <row r="248">
          <cell r="Q248">
            <v>-1246.2387241777783</v>
          </cell>
        </row>
        <row r="249">
          <cell r="Q249">
            <v>4720.175056433407</v>
          </cell>
        </row>
        <row r="250">
          <cell r="Q250">
            <v>530.52945336597213</v>
          </cell>
        </row>
        <row r="251">
          <cell r="Q251">
            <v>2698.625118616837</v>
          </cell>
        </row>
        <row r="252">
          <cell r="Q252">
            <v>-1860.5860080492237</v>
          </cell>
        </row>
        <row r="253">
          <cell r="Q253">
            <v>475.69939111515259</v>
          </cell>
        </row>
        <row r="254">
          <cell r="Q254">
            <v>5725.5097135083179</v>
          </cell>
        </row>
        <row r="255">
          <cell r="Q255">
            <v>-3196.7410733894617</v>
          </cell>
        </row>
        <row r="256">
          <cell r="Q256">
            <v>1056.3382345241732</v>
          </cell>
        </row>
        <row r="257">
          <cell r="Q257">
            <v>106.17734268686553</v>
          </cell>
        </row>
        <row r="258">
          <cell r="Q258">
            <v>-67.927874256834684</v>
          </cell>
        </row>
        <row r="259">
          <cell r="Q259">
            <v>2139.6394536453299</v>
          </cell>
        </row>
        <row r="260">
          <cell r="Q260">
            <v>-868.47125992378847</v>
          </cell>
        </row>
        <row r="261">
          <cell r="Q261">
            <v>1917.2734631875389</v>
          </cell>
        </row>
        <row r="262">
          <cell r="Q262">
            <v>287.78473910815404</v>
          </cell>
        </row>
        <row r="263">
          <cell r="Q263">
            <v>-984.32325572516697</v>
          </cell>
        </row>
        <row r="264">
          <cell r="Q264">
            <v>-402.56049871875854</v>
          </cell>
        </row>
        <row r="265">
          <cell r="Q265">
            <v>-2304.8651663432224</v>
          </cell>
        </row>
        <row r="266">
          <cell r="Q266">
            <v>-2031.3309807110847</v>
          </cell>
        </row>
        <row r="267">
          <cell r="Q267">
            <v>1709.8188800410053</v>
          </cell>
        </row>
        <row r="268">
          <cell r="Q268">
            <v>-462.98355221780281</v>
          </cell>
        </row>
        <row r="269">
          <cell r="Q269">
            <v>-445.65346171913285</v>
          </cell>
        </row>
        <row r="270">
          <cell r="Q270">
            <v>86.666192396532097</v>
          </cell>
        </row>
        <row r="271">
          <cell r="Q271">
            <v>681.20549740284559</v>
          </cell>
        </row>
        <row r="272">
          <cell r="Q272">
            <v>1254.4663992034416</v>
          </cell>
        </row>
        <row r="273">
          <cell r="Q273">
            <v>3351.2978621787629</v>
          </cell>
        </row>
        <row r="274">
          <cell r="Q274">
            <v>2319.5863638652095</v>
          </cell>
        </row>
        <row r="275">
          <cell r="Q275">
            <v>1126.5911666418092</v>
          </cell>
        </row>
        <row r="276">
          <cell r="Q276">
            <v>2350.3465344506185</v>
          </cell>
        </row>
        <row r="277">
          <cell r="Q277">
            <v>946.82875409140252</v>
          </cell>
        </row>
        <row r="278">
          <cell r="Q278">
            <v>-646.46238001771394</v>
          </cell>
        </row>
        <row r="279">
          <cell r="Q279">
            <v>2398.1549259957983</v>
          </cell>
        </row>
        <row r="280">
          <cell r="Q280">
            <v>909.72232851217973</v>
          </cell>
        </row>
        <row r="281">
          <cell r="Q281">
            <v>-4658.9046525505228</v>
          </cell>
        </row>
        <row r="282">
          <cell r="Q282">
            <v>1793.6376000488651</v>
          </cell>
        </row>
        <row r="283">
          <cell r="Q283">
            <v>-3766.3705967984633</v>
          </cell>
        </row>
        <row r="284">
          <cell r="Q284">
            <v>1778.2065893043703</v>
          </cell>
        </row>
        <row r="285">
          <cell r="Q285">
            <v>411.39349020657068</v>
          </cell>
        </row>
        <row r="286">
          <cell r="Q286">
            <v>3402.3181935311604</v>
          </cell>
        </row>
        <row r="287">
          <cell r="Q287">
            <v>-1152.6584408207989</v>
          </cell>
        </row>
        <row r="288">
          <cell r="Q288">
            <v>-512.19633908083597</v>
          </cell>
        </row>
        <row r="289">
          <cell r="Q289">
            <v>4310.1716828874678</v>
          </cell>
        </row>
        <row r="290">
          <cell r="Q290">
            <v>2982.1000846977613</v>
          </cell>
        </row>
        <row r="291">
          <cell r="Q291">
            <v>-961.27126785258906</v>
          </cell>
        </row>
        <row r="292">
          <cell r="Q292">
            <v>-5697.6371871152596</v>
          </cell>
        </row>
        <row r="293">
          <cell r="Q293">
            <v>2299.0342750707687</v>
          </cell>
        </row>
        <row r="294">
          <cell r="Q294">
            <v>3166.2879716647367</v>
          </cell>
        </row>
        <row r="295">
          <cell r="Q295">
            <v>-711.50292968035023</v>
          </cell>
        </row>
        <row r="296">
          <cell r="Q296">
            <v>1702.9336999675177</v>
          </cell>
        </row>
        <row r="297">
          <cell r="Q297">
            <v>702.11923357196792</v>
          </cell>
        </row>
        <row r="298">
          <cell r="Q298">
            <v>-89.592973503837015</v>
          </cell>
        </row>
        <row r="299">
          <cell r="Q299">
            <v>-162.09740466284887</v>
          </cell>
        </row>
        <row r="300">
          <cell r="Q300">
            <v>-3670.1186572000493</v>
          </cell>
        </row>
        <row r="301">
          <cell r="Q301">
            <v>2234.0556243930978</v>
          </cell>
        </row>
        <row r="302">
          <cell r="Q302">
            <v>2170.7167254038836</v>
          </cell>
        </row>
        <row r="303">
          <cell r="Q303">
            <v>-1701.5563640190678</v>
          </cell>
        </row>
        <row r="304">
          <cell r="Q304">
            <v>1035.5486136665586</v>
          </cell>
        </row>
        <row r="305">
          <cell r="Q305">
            <v>-26.243158098870879</v>
          </cell>
        </row>
        <row r="306">
          <cell r="Q306">
            <v>760.65563632706903</v>
          </cell>
        </row>
        <row r="307">
          <cell r="Q307">
            <v>-1606.8929855773135</v>
          </cell>
        </row>
        <row r="308">
          <cell r="Q308">
            <v>1751.9749402316222</v>
          </cell>
        </row>
        <row r="309">
          <cell r="Q309">
            <v>-3448.4337575184413</v>
          </cell>
        </row>
        <row r="310">
          <cell r="Q310">
            <v>-3362.7839198026913</v>
          </cell>
        </row>
        <row r="311">
          <cell r="Q311">
            <v>834.13507029269726</v>
          </cell>
        </row>
        <row r="312">
          <cell r="Q312">
            <v>1526.1438360647867</v>
          </cell>
        </row>
        <row r="313">
          <cell r="Q313">
            <v>3833.9751571648703</v>
          </cell>
        </row>
        <row r="314">
          <cell r="Q314">
            <v>369.57540516438326</v>
          </cell>
        </row>
        <row r="315">
          <cell r="Q315">
            <v>5870.3018475591962</v>
          </cell>
        </row>
        <row r="316">
          <cell r="Q316">
            <v>-94.073869500986291</v>
          </cell>
        </row>
        <row r="317">
          <cell r="Q317">
            <v>260.44293649502458</v>
          </cell>
        </row>
        <row r="318">
          <cell r="Q318">
            <v>-1049.7502103342026</v>
          </cell>
        </row>
        <row r="319">
          <cell r="Q319">
            <v>-4036.5155173444246</v>
          </cell>
        </row>
        <row r="320">
          <cell r="Q320">
            <v>-345.29947697148083</v>
          </cell>
        </row>
        <row r="321">
          <cell r="Q321">
            <v>-1119.9242889911031</v>
          </cell>
        </row>
        <row r="322">
          <cell r="Q322">
            <v>88.087996169154337</v>
          </cell>
        </row>
        <row r="323">
          <cell r="Q323">
            <v>-561.26539561257664</v>
          </cell>
        </row>
        <row r="324">
          <cell r="Q324">
            <v>-1796.3020995742979</v>
          </cell>
        </row>
        <row r="325">
          <cell r="Q325">
            <v>-1346.3059965660557</v>
          </cell>
        </row>
        <row r="326">
          <cell r="Q326">
            <v>5889.4710075060066</v>
          </cell>
        </row>
        <row r="327">
          <cell r="Q327">
            <v>66.22855934787151</v>
          </cell>
        </row>
        <row r="328">
          <cell r="Q328">
            <v>580.73553268523619</v>
          </cell>
        </row>
        <row r="329">
          <cell r="Q329">
            <v>2257.0162589240695</v>
          </cell>
        </row>
        <row r="330">
          <cell r="Q330">
            <v>494.38850625089816</v>
          </cell>
        </row>
        <row r="331">
          <cell r="Q331">
            <v>2425.9478452896997</v>
          </cell>
        </row>
        <row r="332">
          <cell r="Q332">
            <v>-1174.2632542506647</v>
          </cell>
        </row>
        <row r="333">
          <cell r="Q333">
            <v>-311.12764206128685</v>
          </cell>
        </row>
        <row r="334">
          <cell r="Q334">
            <v>-82.343633446398599</v>
          </cell>
        </row>
        <row r="335">
          <cell r="Q335">
            <v>-4870.2435851126547</v>
          </cell>
        </row>
        <row r="336">
          <cell r="Q336">
            <v>925.189795110055</v>
          </cell>
        </row>
        <row r="337">
          <cell r="Q337">
            <v>957.98504779825998</v>
          </cell>
        </row>
        <row r="338">
          <cell r="Q338">
            <v>877.19218947814727</v>
          </cell>
        </row>
        <row r="339">
          <cell r="Q339">
            <v>2615.6803177839815</v>
          </cell>
        </row>
        <row r="340">
          <cell r="Q340">
            <v>1942.8529986895828</v>
          </cell>
        </row>
        <row r="341">
          <cell r="Q341">
            <v>2388.5085399406307</v>
          </cell>
        </row>
        <row r="342">
          <cell r="Q342">
            <v>354.46384827418655</v>
          </cell>
        </row>
        <row r="343">
          <cell r="Q343">
            <v>790.52152503750017</v>
          </cell>
        </row>
        <row r="344">
          <cell r="Q344">
            <v>2173.8545167586476</v>
          </cell>
        </row>
        <row r="345">
          <cell r="Q345">
            <v>-49.272396129581864</v>
          </cell>
        </row>
        <row r="346">
          <cell r="Q346">
            <v>564.16995094375147</v>
          </cell>
        </row>
        <row r="347">
          <cell r="Q347">
            <v>2961.6596359684349</v>
          </cell>
        </row>
        <row r="348">
          <cell r="Q348">
            <v>4939.6020273014328</v>
          </cell>
        </row>
        <row r="349">
          <cell r="Q349">
            <v>2603.7393905858075</v>
          </cell>
        </row>
        <row r="350">
          <cell r="Q350">
            <v>-279.12867841705082</v>
          </cell>
        </row>
        <row r="351">
          <cell r="Q351">
            <v>1025.675390838262</v>
          </cell>
        </row>
        <row r="352">
          <cell r="Q352">
            <v>-1214.22168255508</v>
          </cell>
        </row>
        <row r="353">
          <cell r="Q353">
            <v>3532.2520090291787</v>
          </cell>
        </row>
        <row r="354">
          <cell r="Q354">
            <v>1543.1880070955253</v>
          </cell>
        </row>
        <row r="355">
          <cell r="Q355">
            <v>-385.70636671119865</v>
          </cell>
        </row>
        <row r="356">
          <cell r="Q356">
            <v>-181.89771625675252</v>
          </cell>
        </row>
        <row r="357">
          <cell r="Q357">
            <v>2227.3235796721306</v>
          </cell>
        </row>
        <row r="358">
          <cell r="Q358">
            <v>-765.68323172384294</v>
          </cell>
        </row>
        <row r="359">
          <cell r="Q359">
            <v>761.80279068311575</v>
          </cell>
        </row>
        <row r="360">
          <cell r="Q360">
            <v>2171.7263380450008</v>
          </cell>
        </row>
        <row r="361">
          <cell r="Q361">
            <v>464.90161017328785</v>
          </cell>
        </row>
        <row r="362">
          <cell r="Q362">
            <v>2013.9045048927069</v>
          </cell>
        </row>
        <row r="363">
          <cell r="Q363">
            <v>-435.65399828680148</v>
          </cell>
        </row>
        <row r="364">
          <cell r="Q364">
            <v>178.56981452109429</v>
          </cell>
        </row>
        <row r="365">
          <cell r="Q365">
            <v>-1020.0344251928736</v>
          </cell>
        </row>
        <row r="366">
          <cell r="Q366">
            <v>2096.8445680658051</v>
          </cell>
        </row>
        <row r="367">
          <cell r="Q367">
            <v>422.98625393452244</v>
          </cell>
        </row>
        <row r="368">
          <cell r="Q368">
            <v>2782.2354135628989</v>
          </cell>
        </row>
        <row r="369">
          <cell r="Q369">
            <v>1393.3360082880486</v>
          </cell>
        </row>
        <row r="370">
          <cell r="Q370">
            <v>3703.4592064974013</v>
          </cell>
        </row>
        <row r="371">
          <cell r="Q371">
            <v>2141.7855510969457</v>
          </cell>
        </row>
        <row r="372">
          <cell r="Q372">
            <v>1863.9171004406187</v>
          </cell>
        </row>
        <row r="373">
          <cell r="Q373">
            <v>-235.72838743367589</v>
          </cell>
        </row>
        <row r="374">
          <cell r="Q374">
            <v>6.2268624132205446</v>
          </cell>
        </row>
        <row r="375">
          <cell r="Q375">
            <v>-2565.8165894218446</v>
          </cell>
        </row>
        <row r="376">
          <cell r="Q376">
            <v>-100.35911948843676</v>
          </cell>
        </row>
        <row r="377">
          <cell r="Q377">
            <v>-1836.5875252019571</v>
          </cell>
        </row>
        <row r="378">
          <cell r="Q378">
            <v>-920.55132528520653</v>
          </cell>
        </row>
        <row r="379">
          <cell r="Q379">
            <v>-1788.3756790119494</v>
          </cell>
        </row>
        <row r="380">
          <cell r="Q380">
            <v>1836.6750039304497</v>
          </cell>
        </row>
        <row r="381">
          <cell r="Q381">
            <v>2789.0060769825691</v>
          </cell>
        </row>
        <row r="382">
          <cell r="Q382">
            <v>-4365.8069513505534</v>
          </cell>
        </row>
        <row r="383">
          <cell r="Q383">
            <v>1359.4721993869966</v>
          </cell>
        </row>
        <row r="384">
          <cell r="Q384">
            <v>-195.85232068670751</v>
          </cell>
        </row>
        <row r="385">
          <cell r="Q385">
            <v>-422.01682525409655</v>
          </cell>
        </row>
        <row r="386">
          <cell r="Q386">
            <v>-601.54920076960912</v>
          </cell>
        </row>
        <row r="387">
          <cell r="Q387">
            <v>1185.0794168800044</v>
          </cell>
        </row>
        <row r="388">
          <cell r="Q388">
            <v>-2336.8799584755311</v>
          </cell>
        </row>
        <row r="389">
          <cell r="Q389">
            <v>-104.70746491493315</v>
          </cell>
        </row>
        <row r="390">
          <cell r="Q390">
            <v>-1903.2949775796239</v>
          </cell>
        </row>
        <row r="391">
          <cell r="Q391">
            <v>38.921563202199593</v>
          </cell>
        </row>
        <row r="392">
          <cell r="Q392">
            <v>561.60260435373516</v>
          </cell>
        </row>
        <row r="393">
          <cell r="Q393">
            <v>2486.4652325079574</v>
          </cell>
        </row>
        <row r="394">
          <cell r="Q394">
            <v>548.5320217187292</v>
          </cell>
        </row>
        <row r="395">
          <cell r="Q395">
            <v>-1027.2331115856264</v>
          </cell>
        </row>
        <row r="396">
          <cell r="Q396">
            <v>-192.9907047713786</v>
          </cell>
        </row>
        <row r="397">
          <cell r="Q397">
            <v>2244.405364142614</v>
          </cell>
        </row>
        <row r="398">
          <cell r="Q398">
            <v>1251.6800377217485</v>
          </cell>
        </row>
        <row r="399">
          <cell r="Q399">
            <v>-719.36347164303857</v>
          </cell>
        </row>
        <row r="400">
          <cell r="Q400">
            <v>-749.4364094713178</v>
          </cell>
        </row>
        <row r="401">
          <cell r="Q401">
            <v>-2531.1807101855916</v>
          </cell>
        </row>
        <row r="402">
          <cell r="Q402">
            <v>894.49864810411486</v>
          </cell>
        </row>
        <row r="403">
          <cell r="Q403">
            <v>-3869.1454275908491</v>
          </cell>
        </row>
        <row r="404">
          <cell r="Q404">
            <v>-182.19120737720067</v>
          </cell>
        </row>
        <row r="405">
          <cell r="Q405">
            <v>2148.5094069046463</v>
          </cell>
        </row>
        <row r="406">
          <cell r="Q406">
            <v>1530.1094177293664</v>
          </cell>
        </row>
        <row r="407">
          <cell r="Q407">
            <v>1833.1341910442231</v>
          </cell>
        </row>
        <row r="408">
          <cell r="Q408">
            <v>-284.29279665692644</v>
          </cell>
        </row>
        <row r="409">
          <cell r="Q409">
            <v>2689.8981221975478</v>
          </cell>
        </row>
        <row r="410">
          <cell r="Q410">
            <v>-1954.359471713102</v>
          </cell>
        </row>
        <row r="411">
          <cell r="Q411">
            <v>-1523.2800632450912</v>
          </cell>
        </row>
        <row r="412">
          <cell r="Q412">
            <v>-304.91113790243031</v>
          </cell>
        </row>
        <row r="413">
          <cell r="Q413">
            <v>2659.6694363702909</v>
          </cell>
        </row>
        <row r="414">
          <cell r="Q414">
            <v>1483.5620389800806</v>
          </cell>
        </row>
        <row r="415">
          <cell r="Q415">
            <v>2110.7486388541247</v>
          </cell>
        </row>
        <row r="416">
          <cell r="Q416">
            <v>2841.4799265475285</v>
          </cell>
        </row>
        <row r="417">
          <cell r="Q417">
            <v>-172.94530451247914</v>
          </cell>
        </row>
        <row r="418">
          <cell r="Q418">
            <v>-3016.4800197210016</v>
          </cell>
        </row>
        <row r="419">
          <cell r="Q419">
            <v>3861.9346981115259</v>
          </cell>
        </row>
        <row r="420">
          <cell r="Q420">
            <v>871.16743752897492</v>
          </cell>
        </row>
        <row r="421">
          <cell r="Q421">
            <v>-147.60787738850712</v>
          </cell>
        </row>
        <row r="422">
          <cell r="Q422">
            <v>-669.88743707247659</v>
          </cell>
        </row>
        <row r="423">
          <cell r="Q423">
            <v>-2660.8441435647642</v>
          </cell>
        </row>
        <row r="424">
          <cell r="Q424">
            <v>-1501.9072834496487</v>
          </cell>
        </row>
        <row r="425">
          <cell r="Q425">
            <v>2730.9546841050515</v>
          </cell>
        </row>
        <row r="426">
          <cell r="Q426">
            <v>1000.1872828036803</v>
          </cell>
        </row>
        <row r="427">
          <cell r="Q427">
            <v>2718.2597792300394</v>
          </cell>
        </row>
        <row r="428">
          <cell r="Q428">
            <v>2776.2089791960711</v>
          </cell>
        </row>
        <row r="429">
          <cell r="Q429">
            <v>1493.9843409318648</v>
          </cell>
        </row>
        <row r="430">
          <cell r="Q430">
            <v>-965.49269160302379</v>
          </cell>
        </row>
        <row r="431">
          <cell r="Q431">
            <v>-157.76220968640729</v>
          </cell>
        </row>
        <row r="432">
          <cell r="Q432">
            <v>1506.1199867365497</v>
          </cell>
        </row>
        <row r="433">
          <cell r="Q433">
            <v>-42.694651349177832</v>
          </cell>
        </row>
        <row r="434">
          <cell r="Q434">
            <v>-4640.5383324904733</v>
          </cell>
        </row>
        <row r="435">
          <cell r="Q435">
            <v>2629.5747063940826</v>
          </cell>
        </row>
        <row r="436">
          <cell r="Q436">
            <v>4034.942358156145</v>
          </cell>
        </row>
        <row r="437">
          <cell r="Q437">
            <v>2798.6672657543213</v>
          </cell>
        </row>
        <row r="438">
          <cell r="Q438">
            <v>1620.7080797026642</v>
          </cell>
        </row>
        <row r="439">
          <cell r="Q439">
            <v>-898.24972490396203</v>
          </cell>
        </row>
        <row r="440">
          <cell r="Q440">
            <v>1078.2996438225839</v>
          </cell>
        </row>
        <row r="441">
          <cell r="Q441">
            <v>1001.5334823466198</v>
          </cell>
        </row>
        <row r="442">
          <cell r="Q442">
            <v>-1439.4885033354774</v>
          </cell>
        </row>
        <row r="443">
          <cell r="Q443">
            <v>-799.68318693734386</v>
          </cell>
        </row>
        <row r="444">
          <cell r="Q444">
            <v>2589.647336993356</v>
          </cell>
        </row>
        <row r="445">
          <cell r="Q445">
            <v>2829.8230896711489</v>
          </cell>
        </row>
        <row r="446">
          <cell r="Q446">
            <v>507.21183011663845</v>
          </cell>
        </row>
        <row r="447">
          <cell r="Q447">
            <v>3555.5876077772709</v>
          </cell>
        </row>
        <row r="448">
          <cell r="Q448">
            <v>-6285.6625567026394</v>
          </cell>
        </row>
        <row r="449">
          <cell r="Q449">
            <v>-2069.3225364052441</v>
          </cell>
        </row>
        <row r="450">
          <cell r="Q450">
            <v>787.7148916631611</v>
          </cell>
        </row>
        <row r="451">
          <cell r="Q451">
            <v>-2355.7546492627275</v>
          </cell>
        </row>
        <row r="452">
          <cell r="Q452">
            <v>-893.2550685394117</v>
          </cell>
        </row>
        <row r="453">
          <cell r="Q453">
            <v>-1031.5980527394877</v>
          </cell>
        </row>
        <row r="454">
          <cell r="Q454">
            <v>-1751.3377406976831</v>
          </cell>
        </row>
        <row r="455">
          <cell r="Q455">
            <v>2046.1853015141826</v>
          </cell>
        </row>
        <row r="456">
          <cell r="Q456">
            <v>4674.2755436019925</v>
          </cell>
        </row>
        <row r="457">
          <cell r="Q457">
            <v>396.46872213349701</v>
          </cell>
        </row>
        <row r="458">
          <cell r="Q458">
            <v>-1832.9721020809473</v>
          </cell>
        </row>
        <row r="459">
          <cell r="Q459">
            <v>-2678.4688611876932</v>
          </cell>
        </row>
        <row r="460">
          <cell r="Q460">
            <v>48.961070121344392</v>
          </cell>
        </row>
        <row r="461">
          <cell r="Q461">
            <v>2943.1835134153725</v>
          </cell>
        </row>
        <row r="462">
          <cell r="Q462">
            <v>141.89090753955367</v>
          </cell>
        </row>
        <row r="463">
          <cell r="Q463">
            <v>1428.9994543133475</v>
          </cell>
        </row>
        <row r="464">
          <cell r="Q464">
            <v>966.56853088611342</v>
          </cell>
        </row>
        <row r="465">
          <cell r="Q465">
            <v>1060.902008347322</v>
          </cell>
        </row>
        <row r="466">
          <cell r="Q466">
            <v>-929.14756080692814</v>
          </cell>
        </row>
        <row r="467">
          <cell r="Q467">
            <v>-2778.7835914451657</v>
          </cell>
        </row>
        <row r="468">
          <cell r="Q468">
            <v>-238.91685793808182</v>
          </cell>
        </row>
        <row r="469">
          <cell r="Q469">
            <v>-2174.3345372569906</v>
          </cell>
        </row>
        <row r="470">
          <cell r="Q470">
            <v>781.41772460644233</v>
          </cell>
        </row>
        <row r="471">
          <cell r="Q471">
            <v>2124.7947422393372</v>
          </cell>
        </row>
        <row r="472">
          <cell r="Q472">
            <v>-2855.6891806794911</v>
          </cell>
        </row>
        <row r="473">
          <cell r="Q473">
            <v>383.89199966816602</v>
          </cell>
        </row>
        <row r="474">
          <cell r="Q474">
            <v>5043.519602199186</v>
          </cell>
        </row>
        <row r="475">
          <cell r="Q475">
            <v>2851.8613235530311</v>
          </cell>
        </row>
        <row r="476">
          <cell r="Q476">
            <v>2452.1982612909492</v>
          </cell>
        </row>
        <row r="477">
          <cell r="Q477">
            <v>-2895.7223631162192</v>
          </cell>
        </row>
        <row r="478">
          <cell r="Q478">
            <v>-1221.5391405456053</v>
          </cell>
        </row>
        <row r="479">
          <cell r="Q479">
            <v>-2637.1758131066695</v>
          </cell>
        </row>
        <row r="480">
          <cell r="Q480">
            <v>472.68837258880797</v>
          </cell>
        </row>
        <row r="481">
          <cell r="Q481">
            <v>-417.48566552436813</v>
          </cell>
        </row>
        <row r="482">
          <cell r="Q482">
            <v>-659.73439438983405</v>
          </cell>
        </row>
        <row r="483">
          <cell r="Q483">
            <v>1739.0332599186361</v>
          </cell>
        </row>
        <row r="484">
          <cell r="Q484">
            <v>3125.9945129063972</v>
          </cell>
        </row>
        <row r="485">
          <cell r="Q485">
            <v>3691.1838513532562</v>
          </cell>
        </row>
        <row r="486">
          <cell r="Q486">
            <v>-1263.6620212934588</v>
          </cell>
        </row>
        <row r="487">
          <cell r="Q487">
            <v>765.63718171176754</v>
          </cell>
        </row>
        <row r="488">
          <cell r="Q488">
            <v>1163.7084931461511</v>
          </cell>
        </row>
        <row r="489">
          <cell r="Q489">
            <v>1955.3817092756422</v>
          </cell>
        </row>
        <row r="490">
          <cell r="Q490">
            <v>-1462.5127038786704</v>
          </cell>
        </row>
        <row r="491">
          <cell r="Q491">
            <v>4046.6583479549563</v>
          </cell>
        </row>
        <row r="492">
          <cell r="Q492">
            <v>-305.30335161676754</v>
          </cell>
        </row>
        <row r="493">
          <cell r="Q493">
            <v>1467.1436911016033</v>
          </cell>
        </row>
        <row r="494">
          <cell r="Q494">
            <v>-450.87381622674428</v>
          </cell>
        </row>
        <row r="495">
          <cell r="Q495">
            <v>-361.59981279776906</v>
          </cell>
        </row>
        <row r="496">
          <cell r="Q496">
            <v>-1385.6369492199381</v>
          </cell>
        </row>
        <row r="497">
          <cell r="Q497">
            <v>3380.7055871011212</v>
          </cell>
        </row>
        <row r="498">
          <cell r="Q498">
            <v>3396.4696599832932</v>
          </cell>
        </row>
        <row r="499">
          <cell r="Q499">
            <v>2132.8397565170576</v>
          </cell>
        </row>
        <row r="500">
          <cell r="Q500">
            <v>-320.00186595471001</v>
          </cell>
        </row>
        <row r="501">
          <cell r="Q501">
            <v>-2562.4425437180539</v>
          </cell>
        </row>
        <row r="502">
          <cell r="Q502">
            <v>-85.972129305586691</v>
          </cell>
        </row>
        <row r="503">
          <cell r="Q503">
            <v>1671.6619712573295</v>
          </cell>
        </row>
        <row r="504">
          <cell r="Q504">
            <v>1263.2321246909935</v>
          </cell>
        </row>
        <row r="505">
          <cell r="Q505">
            <v>1835.1703496789607</v>
          </cell>
        </row>
        <row r="506">
          <cell r="Q506">
            <v>910.90829954209244</v>
          </cell>
        </row>
        <row r="507">
          <cell r="Q507">
            <v>1849.6970821681466</v>
          </cell>
        </row>
        <row r="508">
          <cell r="Q508">
            <v>2047.1077737791059</v>
          </cell>
        </row>
        <row r="509">
          <cell r="Q509">
            <v>-1551.9916543314287</v>
          </cell>
        </row>
        <row r="510">
          <cell r="Q510">
            <v>-358.51931578371415</v>
          </cell>
        </row>
        <row r="511">
          <cell r="Q511">
            <v>-1909.2461380359716</v>
          </cell>
        </row>
        <row r="512">
          <cell r="Q512">
            <v>1362.2360431989764</v>
          </cell>
        </row>
        <row r="513">
          <cell r="Q513">
            <v>4667.7437773425527</v>
          </cell>
        </row>
        <row r="514">
          <cell r="Q514">
            <v>3776.2065982589029</v>
          </cell>
        </row>
        <row r="515">
          <cell r="Q515">
            <v>714.21594037705472</v>
          </cell>
        </row>
        <row r="516">
          <cell r="Q516">
            <v>-461.29954994159738</v>
          </cell>
        </row>
        <row r="517">
          <cell r="Q517">
            <v>-1741.9031521797676</v>
          </cell>
        </row>
        <row r="518">
          <cell r="Q518">
            <v>-724.19877047689829</v>
          </cell>
        </row>
        <row r="519">
          <cell r="Q519">
            <v>422.39595311401411</v>
          </cell>
        </row>
        <row r="520">
          <cell r="Q520">
            <v>3255.6754728903707</v>
          </cell>
        </row>
        <row r="521">
          <cell r="Q521">
            <v>421.23707657899536</v>
          </cell>
        </row>
        <row r="522">
          <cell r="Q522">
            <v>-724.53085834281092</v>
          </cell>
        </row>
        <row r="523">
          <cell r="Q523">
            <v>-1846.1231612105669</v>
          </cell>
        </row>
        <row r="524">
          <cell r="Q524">
            <v>-1209.8583160570604</v>
          </cell>
        </row>
        <row r="525">
          <cell r="Q525">
            <v>-316.8069713113087</v>
          </cell>
        </row>
        <row r="526">
          <cell r="Q526">
            <v>-1005.8335991761444</v>
          </cell>
        </row>
        <row r="527">
          <cell r="Q527">
            <v>2135.493492132267</v>
          </cell>
        </row>
        <row r="528">
          <cell r="Q528">
            <v>6729.5503329527728</v>
          </cell>
        </row>
        <row r="529">
          <cell r="Q529">
            <v>-3199.3911920274622</v>
          </cell>
        </row>
        <row r="530">
          <cell r="Q530">
            <v>2041.0066503907858</v>
          </cell>
        </row>
        <row r="531">
          <cell r="Q531">
            <v>1708.2851790656885</v>
          </cell>
        </row>
        <row r="532">
          <cell r="Q532">
            <v>2367.6288362271184</v>
          </cell>
        </row>
        <row r="533">
          <cell r="Q533">
            <v>-196.59373027328371</v>
          </cell>
        </row>
        <row r="534">
          <cell r="Q534">
            <v>-248.90307510159238</v>
          </cell>
        </row>
        <row r="535">
          <cell r="Q535">
            <v>544.68580137626736</v>
          </cell>
        </row>
        <row r="536">
          <cell r="Q536">
            <v>3196.525367272081</v>
          </cell>
        </row>
        <row r="537">
          <cell r="Q537">
            <v>-1455.9929754416539</v>
          </cell>
        </row>
        <row r="538">
          <cell r="Q538">
            <v>-580.61442448510797</v>
          </cell>
        </row>
        <row r="539">
          <cell r="Q539">
            <v>2347.4673187201802</v>
          </cell>
        </row>
        <row r="540">
          <cell r="Q540">
            <v>424.83548830687926</v>
          </cell>
        </row>
        <row r="541">
          <cell r="Q541">
            <v>-1940.8239094821595</v>
          </cell>
        </row>
        <row r="542">
          <cell r="Q542">
            <v>3900.4709040850571</v>
          </cell>
        </row>
        <row r="543">
          <cell r="Q543">
            <v>5325.6677330979755</v>
          </cell>
        </row>
        <row r="544">
          <cell r="Q544">
            <v>3150.0536576655368</v>
          </cell>
        </row>
        <row r="545">
          <cell r="Q545">
            <v>-2043.9634844340942</v>
          </cell>
        </row>
        <row r="546">
          <cell r="Q546">
            <v>-1648.1912545653274</v>
          </cell>
        </row>
        <row r="547">
          <cell r="Q547">
            <v>1251.2359399926459</v>
          </cell>
        </row>
        <row r="548">
          <cell r="Q548">
            <v>2032.8543361745596</v>
          </cell>
        </row>
        <row r="549">
          <cell r="Q549">
            <v>238.92647315485777</v>
          </cell>
        </row>
        <row r="550">
          <cell r="Q550">
            <v>1051.4320123208768</v>
          </cell>
        </row>
        <row r="551">
          <cell r="Q551">
            <v>1205.6607757706304</v>
          </cell>
        </row>
        <row r="552">
          <cell r="Q552">
            <v>1668.9836139228012</v>
          </cell>
        </row>
        <row r="553">
          <cell r="Q553">
            <v>1308.1926738081197</v>
          </cell>
        </row>
        <row r="554">
          <cell r="Q554">
            <v>3983.3924028762999</v>
          </cell>
        </row>
        <row r="555">
          <cell r="Q555">
            <v>1551.7110732552801</v>
          </cell>
        </row>
        <row r="556">
          <cell r="Q556">
            <v>211.79906858983995</v>
          </cell>
        </row>
        <row r="557">
          <cell r="Q557">
            <v>3982.1831067955909</v>
          </cell>
        </row>
        <row r="558">
          <cell r="Q558">
            <v>868.12468499719239</v>
          </cell>
        </row>
        <row r="559">
          <cell r="Q559">
            <v>622.16011645840524</v>
          </cell>
        </row>
        <row r="560">
          <cell r="Q560">
            <v>-56.481854963538638</v>
          </cell>
        </row>
        <row r="561">
          <cell r="Q561">
            <v>-1106.6471238798458</v>
          </cell>
        </row>
        <row r="562">
          <cell r="Q562">
            <v>665.75574893762393</v>
          </cell>
        </row>
        <row r="563">
          <cell r="Q563">
            <v>720.21631418483514</v>
          </cell>
        </row>
        <row r="564">
          <cell r="Q564">
            <v>-3304.9112965057589</v>
          </cell>
        </row>
        <row r="565">
          <cell r="Q565">
            <v>-2651.579225135999</v>
          </cell>
        </row>
        <row r="566">
          <cell r="Q566">
            <v>419.25286502915628</v>
          </cell>
        </row>
        <row r="567">
          <cell r="Q567">
            <v>352.99929893701568</v>
          </cell>
        </row>
        <row r="568">
          <cell r="Q568">
            <v>1224.6864435147036</v>
          </cell>
        </row>
        <row r="569">
          <cell r="Q569">
            <v>-2391.0297275328248</v>
          </cell>
        </row>
        <row r="570">
          <cell r="Q570">
            <v>-1255.2994201051313</v>
          </cell>
        </row>
        <row r="571">
          <cell r="Q571">
            <v>-751.06999483980144</v>
          </cell>
        </row>
        <row r="572">
          <cell r="Q572">
            <v>3967.7410555029346</v>
          </cell>
        </row>
        <row r="573">
          <cell r="Q573">
            <v>893.64711450375307</v>
          </cell>
        </row>
        <row r="574">
          <cell r="Q574">
            <v>1709.1903061477396</v>
          </cell>
        </row>
        <row r="575">
          <cell r="Q575">
            <v>1272.6690343062969</v>
          </cell>
        </row>
        <row r="576">
          <cell r="Q576">
            <v>3063.7649943058991</v>
          </cell>
        </row>
        <row r="577">
          <cell r="Q577">
            <v>1065.1465208488726</v>
          </cell>
        </row>
        <row r="578">
          <cell r="Q578">
            <v>1439.9727076876986</v>
          </cell>
        </row>
        <row r="579">
          <cell r="Q579">
            <v>-816.00685360070042</v>
          </cell>
        </row>
        <row r="580">
          <cell r="Q580">
            <v>5414.511851138097</v>
          </cell>
        </row>
        <row r="581">
          <cell r="Q581">
            <v>2229.4607337428624</v>
          </cell>
        </row>
        <row r="582">
          <cell r="Q582">
            <v>726.47917277652687</v>
          </cell>
        </row>
        <row r="583">
          <cell r="Q583">
            <v>984.64507037283579</v>
          </cell>
        </row>
        <row r="584">
          <cell r="Q584">
            <v>-242.11496843457127</v>
          </cell>
        </row>
        <row r="585">
          <cell r="Q585">
            <v>103.03452043000209</v>
          </cell>
        </row>
        <row r="586">
          <cell r="Q586">
            <v>-605.74955669740621</v>
          </cell>
        </row>
        <row r="587">
          <cell r="Q587">
            <v>2595.1499240540961</v>
          </cell>
        </row>
        <row r="588">
          <cell r="Q588">
            <v>-1126.5068989352803</v>
          </cell>
        </row>
        <row r="589">
          <cell r="Q589">
            <v>-245.37774890400095</v>
          </cell>
        </row>
        <row r="590">
          <cell r="Q590">
            <v>-433.1759074409967</v>
          </cell>
        </row>
        <row r="591">
          <cell r="Q591">
            <v>-1296.7429327526838</v>
          </cell>
        </row>
        <row r="592">
          <cell r="Q592">
            <v>3061.110164918322</v>
          </cell>
        </row>
        <row r="593">
          <cell r="Q593">
            <v>-2127.8495159959157</v>
          </cell>
        </row>
        <row r="594">
          <cell r="Q594">
            <v>1742.3270509048223</v>
          </cell>
        </row>
        <row r="595">
          <cell r="Q595">
            <v>-169.80247417759512</v>
          </cell>
        </row>
        <row r="596">
          <cell r="Q596">
            <v>614.45608136610906</v>
          </cell>
        </row>
        <row r="597">
          <cell r="Q597">
            <v>2357.663561859903</v>
          </cell>
        </row>
        <row r="598">
          <cell r="Q598">
            <v>-68.18042477383915</v>
          </cell>
        </row>
        <row r="599">
          <cell r="Q599">
            <v>-3810.6511805272166</v>
          </cell>
        </row>
        <row r="600">
          <cell r="Q600">
            <v>-760.293158011998</v>
          </cell>
        </row>
        <row r="601">
          <cell r="Q601">
            <v>-1355.8123301101573</v>
          </cell>
        </row>
        <row r="602">
          <cell r="Q602">
            <v>1835.7016115444544</v>
          </cell>
        </row>
        <row r="603">
          <cell r="Q603">
            <v>842.99547993787792</v>
          </cell>
        </row>
        <row r="604">
          <cell r="Q604">
            <v>-1451.1202173082706</v>
          </cell>
        </row>
        <row r="605">
          <cell r="Q605">
            <v>-1733.8396207980652</v>
          </cell>
        </row>
        <row r="606">
          <cell r="Q606">
            <v>-4280.7182013430429</v>
          </cell>
        </row>
        <row r="607">
          <cell r="Q607">
            <v>-1496.0637086171944</v>
          </cell>
        </row>
        <row r="608">
          <cell r="Q608">
            <v>-446.034298676584</v>
          </cell>
        </row>
        <row r="609">
          <cell r="Q609">
            <v>69.092280445146514</v>
          </cell>
        </row>
        <row r="610">
          <cell r="Q610">
            <v>1256.464931164626</v>
          </cell>
        </row>
        <row r="611">
          <cell r="Q611">
            <v>3106.2244026051426</v>
          </cell>
        </row>
        <row r="612">
          <cell r="Q612">
            <v>4093.0095627867963</v>
          </cell>
        </row>
        <row r="613">
          <cell r="Q613">
            <v>-4033.8329547538187</v>
          </cell>
        </row>
        <row r="614">
          <cell r="Q614">
            <v>285.09462475393173</v>
          </cell>
        </row>
        <row r="615">
          <cell r="Q615">
            <v>-1938.4271084830523</v>
          </cell>
        </row>
        <row r="616">
          <cell r="Q616">
            <v>3391.6176793890427</v>
          </cell>
        </row>
        <row r="617">
          <cell r="Q617">
            <v>3118.7795152691533</v>
          </cell>
        </row>
        <row r="618">
          <cell r="Q618">
            <v>-540.97038972083328</v>
          </cell>
        </row>
        <row r="619">
          <cell r="Q619">
            <v>370.19695884497565</v>
          </cell>
        </row>
        <row r="620">
          <cell r="Q620">
            <v>-1155.6722512214865</v>
          </cell>
        </row>
        <row r="621">
          <cell r="Q621">
            <v>-1935.4945500424399</v>
          </cell>
        </row>
        <row r="622">
          <cell r="Q622">
            <v>-182.9277536932488</v>
          </cell>
        </row>
        <row r="623">
          <cell r="Q623">
            <v>-1029.9121893786914</v>
          </cell>
        </row>
        <row r="624">
          <cell r="Q624">
            <v>1138.709185048762</v>
          </cell>
        </row>
        <row r="625">
          <cell r="Q625">
            <v>159.35484420258933</v>
          </cell>
        </row>
        <row r="626">
          <cell r="Q626">
            <v>-1958.8819678497568</v>
          </cell>
        </row>
        <row r="627">
          <cell r="Q627">
            <v>2895.1925549180128</v>
          </cell>
        </row>
        <row r="628">
          <cell r="Q628">
            <v>451.44075837187199</v>
          </cell>
        </row>
        <row r="629">
          <cell r="Q629">
            <v>1442.8931292500251</v>
          </cell>
        </row>
        <row r="630">
          <cell r="Q630">
            <v>2231.7192189458156</v>
          </cell>
        </row>
        <row r="631">
          <cell r="Q631">
            <v>2035.0035614742494</v>
          </cell>
        </row>
        <row r="632">
          <cell r="Q632">
            <v>2170.1066968972204</v>
          </cell>
        </row>
        <row r="633">
          <cell r="Q633">
            <v>841.48173157007068</v>
          </cell>
        </row>
        <row r="634">
          <cell r="Q634">
            <v>-414.8183303642399</v>
          </cell>
        </row>
        <row r="635">
          <cell r="Q635">
            <v>-2812.065001090376</v>
          </cell>
        </row>
        <row r="636">
          <cell r="Q636">
            <v>-1043.5710651713644</v>
          </cell>
        </row>
        <row r="637">
          <cell r="Q637">
            <v>-1865.7081848903538</v>
          </cell>
        </row>
        <row r="638">
          <cell r="Q638">
            <v>1302.8265296744291</v>
          </cell>
        </row>
        <row r="639">
          <cell r="Q639">
            <v>5528.4071405344976</v>
          </cell>
        </row>
        <row r="640">
          <cell r="Q640">
            <v>1183.9431932208165</v>
          </cell>
        </row>
        <row r="641">
          <cell r="Q641">
            <v>5950.6053597343571</v>
          </cell>
        </row>
        <row r="642">
          <cell r="Q642">
            <v>3572.6130764583922</v>
          </cell>
        </row>
        <row r="643">
          <cell r="Q643">
            <v>-348.39752304781933</v>
          </cell>
        </row>
        <row r="644">
          <cell r="Q644">
            <v>-776.09183881809031</v>
          </cell>
        </row>
        <row r="645">
          <cell r="Q645">
            <v>2909.3643596464312</v>
          </cell>
        </row>
        <row r="646">
          <cell r="Q646">
            <v>271.15244854905313</v>
          </cell>
        </row>
        <row r="647">
          <cell r="Q647">
            <v>-1898.0911621821681</v>
          </cell>
        </row>
        <row r="648">
          <cell r="Q648">
            <v>3033.1895392968777</v>
          </cell>
        </row>
        <row r="649">
          <cell r="Q649">
            <v>2866.8628339231295</v>
          </cell>
        </row>
        <row r="650">
          <cell r="Q650">
            <v>2217.3751489611682</v>
          </cell>
        </row>
        <row r="651">
          <cell r="Q651">
            <v>-4824.9894242512837</v>
          </cell>
        </row>
        <row r="652">
          <cell r="Q652">
            <v>-2250.1323255345287</v>
          </cell>
        </row>
        <row r="653">
          <cell r="Q653">
            <v>198.37243884282455</v>
          </cell>
        </row>
        <row r="654">
          <cell r="Q654">
            <v>1699.5839159956577</v>
          </cell>
        </row>
        <row r="655">
          <cell r="Q655">
            <v>-684.15360032763715</v>
          </cell>
        </row>
        <row r="656">
          <cell r="Q656">
            <v>1261.5074858832038</v>
          </cell>
        </row>
        <row r="657">
          <cell r="Q657">
            <v>-4367.6629072661226</v>
          </cell>
        </row>
        <row r="658">
          <cell r="Q658">
            <v>-343.65924474386173</v>
          </cell>
        </row>
        <row r="659">
          <cell r="Q659">
            <v>3540.4379547911817</v>
          </cell>
        </row>
        <row r="660">
          <cell r="Q660">
            <v>-2262.9267141821815</v>
          </cell>
        </row>
        <row r="661">
          <cell r="Q661">
            <v>-1145.053438262514</v>
          </cell>
        </row>
        <row r="662">
          <cell r="Q662">
            <v>-409.22029877732035</v>
          </cell>
        </row>
        <row r="663">
          <cell r="Q663">
            <v>-164.90970110855648</v>
          </cell>
        </row>
        <row r="664">
          <cell r="Q664">
            <v>-763.89635509850223</v>
          </cell>
        </row>
        <row r="665">
          <cell r="Q665">
            <v>2737.7453636430332</v>
          </cell>
        </row>
        <row r="666">
          <cell r="Q666">
            <v>-455.77555348889672</v>
          </cell>
        </row>
        <row r="667">
          <cell r="Q667">
            <v>-67.481520342036788</v>
          </cell>
        </row>
        <row r="668">
          <cell r="Q668">
            <v>3449.9475943214175</v>
          </cell>
        </row>
        <row r="669">
          <cell r="Q669">
            <v>1492.9138816034731</v>
          </cell>
        </row>
        <row r="670">
          <cell r="Q670">
            <v>1834.2321658656044</v>
          </cell>
        </row>
        <row r="671">
          <cell r="Q671">
            <v>-121.98552689092202</v>
          </cell>
        </row>
        <row r="672">
          <cell r="Q672">
            <v>3186.70876415561</v>
          </cell>
        </row>
        <row r="673">
          <cell r="Q673">
            <v>374.57235188993349</v>
          </cell>
        </row>
        <row r="674">
          <cell r="Q674">
            <v>-2760.0285115204115</v>
          </cell>
        </row>
        <row r="675">
          <cell r="Q675">
            <v>1025.1092247345914</v>
          </cell>
        </row>
        <row r="676">
          <cell r="Q676">
            <v>1300.784868490148</v>
          </cell>
        </row>
        <row r="677">
          <cell r="Q677">
            <v>1874.0100002232534</v>
          </cell>
        </row>
        <row r="678">
          <cell r="Q678">
            <v>2017.9877932380361</v>
          </cell>
        </row>
        <row r="679">
          <cell r="Q679">
            <v>3197.3406492017702</v>
          </cell>
        </row>
        <row r="680">
          <cell r="Q680">
            <v>-2685.4090341718274</v>
          </cell>
        </row>
        <row r="681">
          <cell r="Q681">
            <v>-1068.0703162337511</v>
          </cell>
        </row>
        <row r="682">
          <cell r="Q682">
            <v>2234.6920744452636</v>
          </cell>
        </row>
        <row r="683">
          <cell r="Q683">
            <v>2125.6166684761592</v>
          </cell>
        </row>
        <row r="684">
          <cell r="Q684">
            <v>-2005.559382423032</v>
          </cell>
        </row>
        <row r="685">
          <cell r="Q685">
            <v>2974.1136679988299</v>
          </cell>
        </row>
        <row r="686">
          <cell r="Q686">
            <v>486.80289843750188</v>
          </cell>
        </row>
        <row r="687">
          <cell r="Q687">
            <v>-1098.6195971723141</v>
          </cell>
        </row>
        <row r="688">
          <cell r="Q688">
            <v>2178.5103844402397</v>
          </cell>
        </row>
        <row r="689">
          <cell r="Q689">
            <v>1040.0034846354738</v>
          </cell>
        </row>
        <row r="690">
          <cell r="Q690">
            <v>-2440.153428955105</v>
          </cell>
        </row>
        <row r="691">
          <cell r="Q691">
            <v>-157.74671230309076</v>
          </cell>
        </row>
        <row r="692">
          <cell r="Q692">
            <v>-1232.8218345082753</v>
          </cell>
        </row>
        <row r="693">
          <cell r="Q693">
            <v>-1026.2610929409764</v>
          </cell>
        </row>
        <row r="694">
          <cell r="Q694">
            <v>-2425.9255687181339</v>
          </cell>
        </row>
        <row r="695">
          <cell r="Q695">
            <v>2307.0702975521835</v>
          </cell>
        </row>
        <row r="696">
          <cell r="Q696">
            <v>2185.7877596993681</v>
          </cell>
        </row>
        <row r="697">
          <cell r="Q697">
            <v>-940.9129819237055</v>
          </cell>
        </row>
        <row r="698">
          <cell r="Q698">
            <v>-1515.8465603154559</v>
          </cell>
        </row>
        <row r="699">
          <cell r="Q699">
            <v>3678.9467970907103</v>
          </cell>
        </row>
        <row r="700">
          <cell r="Q700">
            <v>33.154293904993779</v>
          </cell>
        </row>
        <row r="701">
          <cell r="Q701">
            <v>-1512.7201821072933</v>
          </cell>
        </row>
        <row r="702">
          <cell r="Q702">
            <v>2267.2308921060253</v>
          </cell>
        </row>
        <row r="703">
          <cell r="Q703">
            <v>491.52949734431792</v>
          </cell>
        </row>
        <row r="704">
          <cell r="Q704">
            <v>788.77667257395819</v>
          </cell>
        </row>
        <row r="705">
          <cell r="Q705">
            <v>-1563.2195280087785</v>
          </cell>
        </row>
        <row r="706">
          <cell r="Q706">
            <v>-1416.1278236847036</v>
          </cell>
        </row>
        <row r="707">
          <cell r="Q707">
            <v>-563.53912912125452</v>
          </cell>
        </row>
        <row r="708">
          <cell r="Q708">
            <v>1470.4689431093514</v>
          </cell>
        </row>
        <row r="709">
          <cell r="Q709">
            <v>-1248.8795452988015</v>
          </cell>
        </row>
        <row r="710">
          <cell r="Q710">
            <v>460.77382803330585</v>
          </cell>
        </row>
        <row r="711">
          <cell r="Q711">
            <v>-1357.6708366297887</v>
          </cell>
        </row>
        <row r="712">
          <cell r="Q712">
            <v>710.26993447342193</v>
          </cell>
        </row>
        <row r="713">
          <cell r="Q713">
            <v>753.93561677169782</v>
          </cell>
        </row>
        <row r="714">
          <cell r="Q714">
            <v>2236.8250846110441</v>
          </cell>
        </row>
        <row r="715">
          <cell r="Q715">
            <v>553.1012255006442</v>
          </cell>
        </row>
        <row r="716">
          <cell r="Q716">
            <v>-571.5370475314794</v>
          </cell>
        </row>
        <row r="717">
          <cell r="Q717">
            <v>242.70226416115727</v>
          </cell>
        </row>
        <row r="718">
          <cell r="Q718">
            <v>2459.4637636551329</v>
          </cell>
        </row>
        <row r="719">
          <cell r="Q719">
            <v>713.56914694596253</v>
          </cell>
        </row>
        <row r="720">
          <cell r="Q720">
            <v>1730.2526169005453</v>
          </cell>
        </row>
        <row r="721">
          <cell r="Q721">
            <v>-1124.4580918602501</v>
          </cell>
        </row>
        <row r="722">
          <cell r="Q722">
            <v>461.56214000999455</v>
          </cell>
        </row>
        <row r="723">
          <cell r="Q723">
            <v>914.37914919521472</v>
          </cell>
        </row>
        <row r="724">
          <cell r="Q724">
            <v>1596.8664268606342</v>
          </cell>
        </row>
        <row r="725">
          <cell r="Q725">
            <v>255.59033391549048</v>
          </cell>
        </row>
        <row r="726">
          <cell r="Q726">
            <v>2417.5924505083904</v>
          </cell>
        </row>
        <row r="727">
          <cell r="Q727">
            <v>3973.9249773505489</v>
          </cell>
        </row>
        <row r="728">
          <cell r="Q728">
            <v>190.45101378674383</v>
          </cell>
        </row>
        <row r="729">
          <cell r="Q729">
            <v>-1981.7532580350205</v>
          </cell>
        </row>
        <row r="730">
          <cell r="Q730">
            <v>1232.6742510338365</v>
          </cell>
        </row>
        <row r="731">
          <cell r="Q731">
            <v>16.548916070855284</v>
          </cell>
        </row>
        <row r="732">
          <cell r="Q732">
            <v>3746.4997706865583</v>
          </cell>
        </row>
        <row r="733">
          <cell r="Q733">
            <v>2158.2001155104153</v>
          </cell>
        </row>
        <row r="734">
          <cell r="Q734">
            <v>-2007.5597682814025</v>
          </cell>
        </row>
        <row r="735">
          <cell r="Q735">
            <v>1356.1801686550061</v>
          </cell>
        </row>
        <row r="736">
          <cell r="Q736">
            <v>-964.4525205951843</v>
          </cell>
        </row>
        <row r="737">
          <cell r="Q737">
            <v>1114.925381048922</v>
          </cell>
        </row>
        <row r="738">
          <cell r="Q738">
            <v>-2517.9749057277313</v>
          </cell>
        </row>
        <row r="739">
          <cell r="Q739">
            <v>2563.9365902225536</v>
          </cell>
        </row>
        <row r="740">
          <cell r="Q740">
            <v>-531.01870101929353</v>
          </cell>
        </row>
        <row r="741">
          <cell r="Q741">
            <v>-2081.532537649683</v>
          </cell>
        </row>
        <row r="742">
          <cell r="Q742">
            <v>83.245868430258554</v>
          </cell>
        </row>
        <row r="743">
          <cell r="Q743">
            <v>-1293.2702498594413</v>
          </cell>
        </row>
        <row r="744">
          <cell r="Q744">
            <v>3951.8853941523703</v>
          </cell>
        </row>
        <row r="745">
          <cell r="Q745">
            <v>-572.60051326365146</v>
          </cell>
        </row>
        <row r="746">
          <cell r="Q746">
            <v>-274.01048903370344</v>
          </cell>
        </row>
        <row r="747">
          <cell r="Q747">
            <v>599.34804016716021</v>
          </cell>
        </row>
        <row r="748">
          <cell r="Q748">
            <v>3398.1445975445672</v>
          </cell>
        </row>
        <row r="749">
          <cell r="Q749">
            <v>-505.59296384709165</v>
          </cell>
        </row>
        <row r="750">
          <cell r="Q750">
            <v>2933.1324565122163</v>
          </cell>
        </row>
        <row r="751">
          <cell r="Q751">
            <v>334.88094479657167</v>
          </cell>
        </row>
        <row r="752">
          <cell r="Q752">
            <v>1315.7046073544741</v>
          </cell>
        </row>
        <row r="753">
          <cell r="Q753">
            <v>-496.14412156921327</v>
          </cell>
        </row>
        <row r="754">
          <cell r="Q754">
            <v>851.49023162006688</v>
          </cell>
        </row>
        <row r="755">
          <cell r="Q755">
            <v>3876.9215279050954</v>
          </cell>
        </row>
        <row r="756">
          <cell r="Q756">
            <v>643.45946264309862</v>
          </cell>
        </row>
        <row r="757">
          <cell r="Q757">
            <v>2785.2417164780086</v>
          </cell>
        </row>
        <row r="758">
          <cell r="Q758">
            <v>5256.187536311576</v>
          </cell>
        </row>
        <row r="759">
          <cell r="Q759">
            <v>-1142.2502822671956</v>
          </cell>
        </row>
        <row r="760">
          <cell r="Q760">
            <v>3271.4044673586932</v>
          </cell>
        </row>
        <row r="761">
          <cell r="Q761">
            <v>-1024.7917282080775</v>
          </cell>
        </row>
        <row r="762">
          <cell r="Q762">
            <v>-2666.3696983216614</v>
          </cell>
        </row>
        <row r="763">
          <cell r="Q763">
            <v>1934.5541944786096</v>
          </cell>
        </row>
        <row r="764">
          <cell r="Q764">
            <v>1106.3691850575262</v>
          </cell>
        </row>
        <row r="765">
          <cell r="Q765">
            <v>1432.4439487161637</v>
          </cell>
        </row>
        <row r="766">
          <cell r="Q766">
            <v>96.987663329215877</v>
          </cell>
        </row>
        <row r="767">
          <cell r="Q767">
            <v>-720.69561429789974</v>
          </cell>
        </row>
        <row r="768">
          <cell r="Q768">
            <v>-1562.1593888716477</v>
          </cell>
        </row>
        <row r="769">
          <cell r="Q769">
            <v>-1002.4584293438988</v>
          </cell>
        </row>
        <row r="770">
          <cell r="Q770">
            <v>-3035.7365122794909</v>
          </cell>
        </row>
        <row r="771">
          <cell r="Q771">
            <v>-1233.1999538468833</v>
          </cell>
        </row>
        <row r="772">
          <cell r="Q772">
            <v>3725.916362441274</v>
          </cell>
        </row>
        <row r="773">
          <cell r="Q773">
            <v>-2456.9406676737008</v>
          </cell>
        </row>
        <row r="774">
          <cell r="Q774">
            <v>1250.1849887208325</v>
          </cell>
        </row>
        <row r="775">
          <cell r="Q775">
            <v>-912.55725229107725</v>
          </cell>
        </row>
        <row r="776">
          <cell r="Q776">
            <v>4128.1380083134036</v>
          </cell>
        </row>
        <row r="777">
          <cell r="Q777">
            <v>1153.2579894729129</v>
          </cell>
        </row>
        <row r="778">
          <cell r="Q778">
            <v>2210.7162706963913</v>
          </cell>
        </row>
        <row r="779">
          <cell r="Q779">
            <v>-1892.3565842912847</v>
          </cell>
        </row>
        <row r="780">
          <cell r="Q780">
            <v>3797.0871428958767</v>
          </cell>
        </row>
        <row r="781">
          <cell r="Q781">
            <v>-1121.7089502655363</v>
          </cell>
        </row>
        <row r="782">
          <cell r="Q782">
            <v>-490.43726703010753</v>
          </cell>
        </row>
        <row r="783">
          <cell r="Q783">
            <v>41.620866126823898</v>
          </cell>
        </row>
        <row r="784">
          <cell r="Q784">
            <v>-1843.1134331542673</v>
          </cell>
        </row>
        <row r="785">
          <cell r="Q785">
            <v>4227.7991970592411</v>
          </cell>
        </row>
        <row r="786">
          <cell r="Q786">
            <v>-2836.76578873888</v>
          </cell>
        </row>
        <row r="787">
          <cell r="Q787">
            <v>1852.2446186733671</v>
          </cell>
        </row>
        <row r="788">
          <cell r="Q788">
            <v>-608.51402672518566</v>
          </cell>
        </row>
        <row r="789">
          <cell r="Q789">
            <v>2354.6663430164217</v>
          </cell>
        </row>
        <row r="790">
          <cell r="Q790">
            <v>1445.2802042444912</v>
          </cell>
        </row>
        <row r="791">
          <cell r="Q791">
            <v>2581.933708347121</v>
          </cell>
        </row>
        <row r="792">
          <cell r="Q792">
            <v>-539.07795911368544</v>
          </cell>
        </row>
        <row r="793">
          <cell r="Q793">
            <v>3955.4223296856826</v>
          </cell>
        </row>
        <row r="794">
          <cell r="Q794">
            <v>2089.2955071922092</v>
          </cell>
        </row>
        <row r="795">
          <cell r="Q795">
            <v>2146.4246447654787</v>
          </cell>
        </row>
        <row r="796">
          <cell r="Q796">
            <v>-1316.0122875984116</v>
          </cell>
        </row>
        <row r="797">
          <cell r="Q797">
            <v>758.48149640274642</v>
          </cell>
        </row>
        <row r="798">
          <cell r="Q798">
            <v>3312.1128496053288</v>
          </cell>
        </row>
        <row r="799">
          <cell r="Q799">
            <v>263.31194299225285</v>
          </cell>
        </row>
        <row r="800">
          <cell r="Q800">
            <v>31.793977024361197</v>
          </cell>
        </row>
        <row r="801">
          <cell r="Q801">
            <v>-1907.5579881540141</v>
          </cell>
        </row>
        <row r="802">
          <cell r="Q802">
            <v>1967.2877252045473</v>
          </cell>
        </row>
        <row r="803">
          <cell r="Q803">
            <v>408.51057083298087</v>
          </cell>
        </row>
        <row r="804">
          <cell r="Q804">
            <v>1196.5141388050886</v>
          </cell>
        </row>
        <row r="805">
          <cell r="Q805">
            <v>1031.2203326610997</v>
          </cell>
        </row>
        <row r="806">
          <cell r="Q806">
            <v>-3834.1327568962179</v>
          </cell>
        </row>
        <row r="807">
          <cell r="Q807">
            <v>-884.18737853175276</v>
          </cell>
        </row>
        <row r="808">
          <cell r="Q808">
            <v>-1353.6591333041724</v>
          </cell>
        </row>
        <row r="809">
          <cell r="Q809">
            <v>2197.0711240671903</v>
          </cell>
        </row>
        <row r="810">
          <cell r="Q810">
            <v>447.31639260990903</v>
          </cell>
        </row>
        <row r="811">
          <cell r="Q811">
            <v>-7646.0089434243137</v>
          </cell>
        </row>
        <row r="812">
          <cell r="Q812">
            <v>-4454.1239973166385</v>
          </cell>
        </row>
        <row r="813">
          <cell r="Q813">
            <v>1907.7958491052823</v>
          </cell>
        </row>
        <row r="814">
          <cell r="Q814">
            <v>2214.2202595024</v>
          </cell>
        </row>
        <row r="815">
          <cell r="Q815">
            <v>831.39614116874623</v>
          </cell>
        </row>
        <row r="816">
          <cell r="Q816">
            <v>1347.9615279635159</v>
          </cell>
        </row>
        <row r="817">
          <cell r="Q817">
            <v>-826.47039682238415</v>
          </cell>
        </row>
        <row r="818">
          <cell r="Q818">
            <v>2124.8966591157441</v>
          </cell>
        </row>
        <row r="819">
          <cell r="Q819">
            <v>893.06082279598309</v>
          </cell>
        </row>
        <row r="820">
          <cell r="Q820">
            <v>-271.54602794332953</v>
          </cell>
        </row>
        <row r="821">
          <cell r="Q821">
            <v>2933.9012343772338</v>
          </cell>
        </row>
        <row r="822">
          <cell r="Q822">
            <v>725.06412770214502</v>
          </cell>
        </row>
        <row r="823">
          <cell r="Q823">
            <v>1764.2997878918081</v>
          </cell>
        </row>
        <row r="824">
          <cell r="Q824">
            <v>-2126.4678244431575</v>
          </cell>
        </row>
        <row r="825">
          <cell r="Q825">
            <v>-431.1984793248036</v>
          </cell>
        </row>
        <row r="826">
          <cell r="Q826">
            <v>2306.7431790506998</v>
          </cell>
        </row>
        <row r="827">
          <cell r="Q827">
            <v>-1098.4483664872614</v>
          </cell>
        </row>
        <row r="828">
          <cell r="Q828">
            <v>712.89561584668422</v>
          </cell>
        </row>
        <row r="829">
          <cell r="Q829">
            <v>-1726.2053311618058</v>
          </cell>
        </row>
        <row r="830">
          <cell r="Q830">
            <v>3985.7410147984015</v>
          </cell>
        </row>
        <row r="831">
          <cell r="Q831">
            <v>-656.76899433184872</v>
          </cell>
        </row>
        <row r="832">
          <cell r="Q832">
            <v>-6438.8550468331059</v>
          </cell>
        </row>
        <row r="833">
          <cell r="Q833">
            <v>2495.2535499686996</v>
          </cell>
        </row>
        <row r="834">
          <cell r="Q834">
            <v>1702.5711181739698</v>
          </cell>
        </row>
        <row r="835">
          <cell r="Q835">
            <v>-14.542843787681818</v>
          </cell>
        </row>
        <row r="836">
          <cell r="Q836">
            <v>-2119.4573291133247</v>
          </cell>
        </row>
        <row r="837">
          <cell r="Q837">
            <v>-1746.5275107371851</v>
          </cell>
        </row>
        <row r="838">
          <cell r="Q838">
            <v>837.59471389812938</v>
          </cell>
        </row>
        <row r="839">
          <cell r="Q839">
            <v>3763.5977015919384</v>
          </cell>
        </row>
        <row r="840">
          <cell r="Q840">
            <v>-6156.7031518113736</v>
          </cell>
        </row>
        <row r="841">
          <cell r="Q841">
            <v>-3282.8019495157982</v>
          </cell>
        </row>
        <row r="842">
          <cell r="Q842">
            <v>1608.2346012439139</v>
          </cell>
        </row>
        <row r="843">
          <cell r="Q843">
            <v>-1942.7774765814049</v>
          </cell>
        </row>
        <row r="844">
          <cell r="Q844">
            <v>2889.9186731051286</v>
          </cell>
        </row>
        <row r="845">
          <cell r="Q845">
            <v>3467.30529746294</v>
          </cell>
        </row>
        <row r="846">
          <cell r="Q846">
            <v>919.78601372855155</v>
          </cell>
        </row>
        <row r="847">
          <cell r="Q847">
            <v>1268.7920141776237</v>
          </cell>
        </row>
        <row r="848">
          <cell r="Q848">
            <v>1351.028129337833</v>
          </cell>
        </row>
        <row r="849">
          <cell r="Q849">
            <v>-1114.5604544969037</v>
          </cell>
        </row>
        <row r="850">
          <cell r="Q850">
            <v>-394.14421955304039</v>
          </cell>
        </row>
        <row r="851">
          <cell r="Q851">
            <v>4385.8715819029694</v>
          </cell>
        </row>
        <row r="852">
          <cell r="Q852">
            <v>-4485.5810302341051</v>
          </cell>
        </row>
        <row r="853">
          <cell r="Q853">
            <v>2526.9815621621428</v>
          </cell>
        </row>
        <row r="854">
          <cell r="Q854">
            <v>-284.31186642337929</v>
          </cell>
        </row>
        <row r="855">
          <cell r="Q855">
            <v>999.29136194872808</v>
          </cell>
        </row>
        <row r="856">
          <cell r="Q856">
            <v>3708.8171296859528</v>
          </cell>
        </row>
        <row r="857">
          <cell r="Q857">
            <v>-317.70480678743121</v>
          </cell>
        </row>
        <row r="858">
          <cell r="Q858">
            <v>3084.5312925747548</v>
          </cell>
        </row>
        <row r="859">
          <cell r="Q859">
            <v>3736.6543075595305</v>
          </cell>
        </row>
        <row r="860">
          <cell r="Q860">
            <v>1541.0521536351373</v>
          </cell>
        </row>
        <row r="861">
          <cell r="Q861">
            <v>2349.0374148213855</v>
          </cell>
        </row>
        <row r="862">
          <cell r="Q862">
            <v>-799.48010584255144</v>
          </cell>
        </row>
        <row r="863">
          <cell r="Q863">
            <v>1291.5121046807481</v>
          </cell>
        </row>
        <row r="864">
          <cell r="Q864">
            <v>677.1194151447902</v>
          </cell>
        </row>
        <row r="865">
          <cell r="Q865">
            <v>700.28327658279272</v>
          </cell>
        </row>
        <row r="866">
          <cell r="Q866">
            <v>-335.8807858850891</v>
          </cell>
        </row>
        <row r="867">
          <cell r="Q867">
            <v>-2725.7118940982828</v>
          </cell>
        </row>
        <row r="868">
          <cell r="Q868">
            <v>954.1087048824445</v>
          </cell>
        </row>
        <row r="869">
          <cell r="Q869">
            <v>486.76261757165622</v>
          </cell>
        </row>
        <row r="870">
          <cell r="Q870">
            <v>1342.6662985786731</v>
          </cell>
        </row>
        <row r="871">
          <cell r="Q871">
            <v>-801.34293620485619</v>
          </cell>
        </row>
        <row r="872">
          <cell r="Q872">
            <v>2773.1065878952568</v>
          </cell>
        </row>
        <row r="873">
          <cell r="Q873">
            <v>-1449.8622618246686</v>
          </cell>
        </row>
        <row r="874">
          <cell r="Q874">
            <v>-1762.3975792889344</v>
          </cell>
        </row>
        <row r="875">
          <cell r="Q875">
            <v>1610.9241339062055</v>
          </cell>
        </row>
        <row r="876">
          <cell r="Q876">
            <v>-1395.6009754168683</v>
          </cell>
        </row>
        <row r="877">
          <cell r="Q877">
            <v>710.98657488846266</v>
          </cell>
        </row>
        <row r="878">
          <cell r="Q878">
            <v>-2083.4379769679172</v>
          </cell>
        </row>
        <row r="879">
          <cell r="Q879">
            <v>-852.13837275571473</v>
          </cell>
        </row>
        <row r="880">
          <cell r="Q880">
            <v>2546.4600615822578</v>
          </cell>
        </row>
        <row r="881">
          <cell r="Q881">
            <v>3265.7111475357669</v>
          </cell>
        </row>
        <row r="882">
          <cell r="Q882">
            <v>-1344.1759300912406</v>
          </cell>
        </row>
        <row r="883">
          <cell r="Q883">
            <v>840.37393548608577</v>
          </cell>
        </row>
        <row r="884">
          <cell r="Q884">
            <v>-868.75860459482305</v>
          </cell>
        </row>
        <row r="885">
          <cell r="Q885">
            <v>3042.6570337841299</v>
          </cell>
        </row>
        <row r="886">
          <cell r="Q886">
            <v>1825.9106339675677</v>
          </cell>
        </row>
        <row r="887">
          <cell r="Q887">
            <v>540.04518191338366</v>
          </cell>
        </row>
        <row r="888">
          <cell r="Q888">
            <v>-1600.194554565139</v>
          </cell>
        </row>
        <row r="889">
          <cell r="Q889">
            <v>840.62138973238734</v>
          </cell>
        </row>
        <row r="890">
          <cell r="Q890">
            <v>2983.1651751056879</v>
          </cell>
        </row>
        <row r="891">
          <cell r="Q891">
            <v>4427.3916004129005</v>
          </cell>
        </row>
        <row r="892">
          <cell r="Q892">
            <v>2413.6077507077475</v>
          </cell>
        </row>
        <row r="893">
          <cell r="Q893">
            <v>-2007.7092649904287</v>
          </cell>
        </row>
        <row r="894">
          <cell r="Q894">
            <v>674.79577767399905</v>
          </cell>
        </row>
        <row r="895">
          <cell r="Q895">
            <v>-1441.0687770066318</v>
          </cell>
        </row>
        <row r="896">
          <cell r="Q896">
            <v>640.22806797486533</v>
          </cell>
        </row>
        <row r="897">
          <cell r="Q897">
            <v>-784.6636794256126</v>
          </cell>
        </row>
        <row r="898">
          <cell r="Q898">
            <v>-2932.2951835735275</v>
          </cell>
        </row>
        <row r="899">
          <cell r="Q899">
            <v>-771.64248151614902</v>
          </cell>
        </row>
        <row r="900">
          <cell r="Q900">
            <v>-1661.2412906802558</v>
          </cell>
        </row>
        <row r="901">
          <cell r="Q901">
            <v>-2406.8575005059906</v>
          </cell>
        </row>
        <row r="902">
          <cell r="Q902">
            <v>2880.1535343867608</v>
          </cell>
        </row>
        <row r="903">
          <cell r="Q903">
            <v>2268.29514287337</v>
          </cell>
        </row>
        <row r="904">
          <cell r="Q904">
            <v>1512.81169493314</v>
          </cell>
        </row>
        <row r="905">
          <cell r="Q905">
            <v>662.80453945553086</v>
          </cell>
        </row>
        <row r="906">
          <cell r="Q906">
            <v>-1688.5008754159255</v>
          </cell>
        </row>
        <row r="907">
          <cell r="Q907">
            <v>-4297.2030607856832</v>
          </cell>
        </row>
        <row r="908">
          <cell r="Q908">
            <v>683.86002192095316</v>
          </cell>
        </row>
        <row r="909">
          <cell r="Q909">
            <v>144.59236703329009</v>
          </cell>
        </row>
        <row r="910">
          <cell r="Q910">
            <v>-1179.1297568762413</v>
          </cell>
        </row>
        <row r="911">
          <cell r="Q911">
            <v>-381.52019073489015</v>
          </cell>
        </row>
        <row r="912">
          <cell r="Q912">
            <v>2536.1147114001897</v>
          </cell>
        </row>
        <row r="913">
          <cell r="Q913">
            <v>662.35533969755465</v>
          </cell>
        </row>
        <row r="914">
          <cell r="Q914">
            <v>-269.37873975384281</v>
          </cell>
        </row>
        <row r="915">
          <cell r="Q915">
            <v>-394.57339614464973</v>
          </cell>
        </row>
        <row r="916">
          <cell r="Q916">
            <v>-1163.3867047016631</v>
          </cell>
        </row>
        <row r="917">
          <cell r="Q917">
            <v>851.49870202729107</v>
          </cell>
        </row>
        <row r="918">
          <cell r="Q918">
            <v>1241.9750712979444</v>
          </cell>
        </row>
        <row r="919">
          <cell r="Q919">
            <v>-1630.5096699882306</v>
          </cell>
        </row>
        <row r="920">
          <cell r="Q920">
            <v>1469.5136678488134</v>
          </cell>
        </row>
        <row r="921">
          <cell r="Q921">
            <v>4656.9793132922068</v>
          </cell>
        </row>
        <row r="922">
          <cell r="Q922">
            <v>-216.29875305601996</v>
          </cell>
        </row>
        <row r="923">
          <cell r="Q923">
            <v>-3505.7435151455456</v>
          </cell>
        </row>
        <row r="924">
          <cell r="Q924">
            <v>3533.7038910958054</v>
          </cell>
        </row>
        <row r="925">
          <cell r="Q925">
            <v>2942.2185176355383</v>
          </cell>
        </row>
        <row r="926">
          <cell r="Q926">
            <v>1571.2857030393623</v>
          </cell>
        </row>
        <row r="927">
          <cell r="Q927">
            <v>-989.16553183825044</v>
          </cell>
        </row>
        <row r="928">
          <cell r="Q928">
            <v>2425.1644135780871</v>
          </cell>
        </row>
        <row r="929">
          <cell r="Q929">
            <v>881.72030008366141</v>
          </cell>
        </row>
        <row r="930">
          <cell r="Q930">
            <v>3935.7862944196668</v>
          </cell>
        </row>
        <row r="931">
          <cell r="Q931">
            <v>-2555.616198940409</v>
          </cell>
        </row>
        <row r="932">
          <cell r="Q932">
            <v>378.54176394228648</v>
          </cell>
        </row>
        <row r="933">
          <cell r="Q933">
            <v>350.40929278693608</v>
          </cell>
        </row>
        <row r="934">
          <cell r="Q934">
            <v>-359.39118145015237</v>
          </cell>
        </row>
        <row r="935">
          <cell r="Q935">
            <v>-1964.4881452677275</v>
          </cell>
        </row>
        <row r="936">
          <cell r="Q936">
            <v>2961.0537775461157</v>
          </cell>
        </row>
        <row r="937">
          <cell r="Q937">
            <v>-1624.63379771069</v>
          </cell>
        </row>
        <row r="938">
          <cell r="Q938">
            <v>-765.90777610314171</v>
          </cell>
        </row>
        <row r="939">
          <cell r="Q939">
            <v>356.77226535761645</v>
          </cell>
        </row>
        <row r="940">
          <cell r="Q940">
            <v>-753.2299134773566</v>
          </cell>
        </row>
        <row r="941">
          <cell r="Q941">
            <v>1809.0618744203234</v>
          </cell>
        </row>
        <row r="942">
          <cell r="Q942">
            <v>464.86878801438638</v>
          </cell>
        </row>
        <row r="943">
          <cell r="Q943">
            <v>671.78971733666936</v>
          </cell>
        </row>
        <row r="944">
          <cell r="Q944">
            <v>299.88411421549097</v>
          </cell>
        </row>
        <row r="945">
          <cell r="Q945">
            <v>2316.7727210081816</v>
          </cell>
        </row>
        <row r="946">
          <cell r="Q946">
            <v>57.452377318811045</v>
          </cell>
        </row>
        <row r="947">
          <cell r="Q947">
            <v>1560.645068683589</v>
          </cell>
        </row>
        <row r="948">
          <cell r="Q948">
            <v>2053.5261849952308</v>
          </cell>
        </row>
        <row r="949">
          <cell r="Q949">
            <v>2808.1143499670279</v>
          </cell>
        </row>
        <row r="950">
          <cell r="Q950">
            <v>-466.07720912429266</v>
          </cell>
        </row>
        <row r="951">
          <cell r="Q951">
            <v>954.66597216270361</v>
          </cell>
        </row>
        <row r="952">
          <cell r="Q952">
            <v>-409.74718970801649</v>
          </cell>
        </row>
        <row r="953">
          <cell r="Q953">
            <v>326.86344003252134</v>
          </cell>
        </row>
        <row r="954">
          <cell r="Q954">
            <v>3530.182911869048</v>
          </cell>
        </row>
        <row r="955">
          <cell r="Q955">
            <v>1973.9290867104091</v>
          </cell>
        </row>
        <row r="956">
          <cell r="Q956">
            <v>-1820.002938039401</v>
          </cell>
        </row>
        <row r="957">
          <cell r="Q957">
            <v>-2067.4443112247013</v>
          </cell>
        </row>
        <row r="958">
          <cell r="Q958">
            <v>1889.3335286131164</v>
          </cell>
        </row>
        <row r="959">
          <cell r="Q959">
            <v>976.48865964322363</v>
          </cell>
        </row>
        <row r="960">
          <cell r="Q960">
            <v>-521.19853933137847</v>
          </cell>
        </row>
        <row r="961">
          <cell r="Q961">
            <v>-2565.8049282281472</v>
          </cell>
        </row>
        <row r="962">
          <cell r="Q962">
            <v>4466.534070738966</v>
          </cell>
        </row>
        <row r="963">
          <cell r="Q963">
            <v>1119.427782062085</v>
          </cell>
        </row>
        <row r="964">
          <cell r="Q964">
            <v>3593.2664490788734</v>
          </cell>
        </row>
        <row r="965">
          <cell r="Q965">
            <v>5185.5607699359734</v>
          </cell>
        </row>
        <row r="966">
          <cell r="Q966">
            <v>2034.5138543264377</v>
          </cell>
        </row>
        <row r="967">
          <cell r="Q967">
            <v>2849.9320989475673</v>
          </cell>
        </row>
        <row r="968">
          <cell r="Q968">
            <v>461.94738424608721</v>
          </cell>
        </row>
        <row r="969">
          <cell r="Q969">
            <v>-1235.3145044663386</v>
          </cell>
        </row>
        <row r="970">
          <cell r="Q970">
            <v>844.28620722160167</v>
          </cell>
        </row>
        <row r="971">
          <cell r="Q971">
            <v>1260.3524460589629</v>
          </cell>
        </row>
        <row r="972">
          <cell r="Q972">
            <v>2739.2999785280103</v>
          </cell>
        </row>
        <row r="973">
          <cell r="Q973">
            <v>-1164.2228421747998</v>
          </cell>
        </row>
        <row r="974">
          <cell r="Q974">
            <v>-1179.3999508844756</v>
          </cell>
        </row>
        <row r="975">
          <cell r="Q975">
            <v>-2699.59738287141</v>
          </cell>
        </row>
        <row r="976">
          <cell r="Q976">
            <v>1195.6346642140791</v>
          </cell>
        </row>
        <row r="977">
          <cell r="Q977">
            <v>-289.8968999603141</v>
          </cell>
        </row>
        <row r="978">
          <cell r="Q978">
            <v>1203.6369649062401</v>
          </cell>
        </row>
        <row r="979">
          <cell r="Q979">
            <v>-1857.0030889206107</v>
          </cell>
        </row>
        <row r="980">
          <cell r="Q980">
            <v>2037.6715581469518</v>
          </cell>
        </row>
        <row r="981">
          <cell r="Q981">
            <v>-3945.5252252641985</v>
          </cell>
        </row>
        <row r="982">
          <cell r="Q982">
            <v>2475.2535342592996</v>
          </cell>
        </row>
        <row r="983">
          <cell r="Q983">
            <v>3160.0192262436067</v>
          </cell>
        </row>
        <row r="984">
          <cell r="Q984">
            <v>2776.9078342076505</v>
          </cell>
        </row>
        <row r="985">
          <cell r="Q985">
            <v>1719.5070617075366</v>
          </cell>
        </row>
        <row r="986">
          <cell r="Q986">
            <v>1655.0373948241354</v>
          </cell>
        </row>
        <row r="987">
          <cell r="Q987">
            <v>-595.14766083703103</v>
          </cell>
        </row>
        <row r="988">
          <cell r="Q988">
            <v>504.2581672081667</v>
          </cell>
        </row>
        <row r="989">
          <cell r="Q989">
            <v>2483.8832325703779</v>
          </cell>
        </row>
        <row r="990">
          <cell r="Q990">
            <v>1388.4142538823126</v>
          </cell>
        </row>
        <row r="991">
          <cell r="Q991">
            <v>3132.9933514870991</v>
          </cell>
        </row>
        <row r="992">
          <cell r="Q992">
            <v>-1995.7755138112359</v>
          </cell>
        </row>
        <row r="993">
          <cell r="Q993">
            <v>4139.8732181780206</v>
          </cell>
        </row>
        <row r="994">
          <cell r="Q994">
            <v>-1512.5340994442361</v>
          </cell>
        </row>
        <row r="995">
          <cell r="Q995">
            <v>1266.5368009738506</v>
          </cell>
        </row>
        <row r="996">
          <cell r="Q996">
            <v>1498.9851726286208</v>
          </cell>
        </row>
        <row r="997">
          <cell r="Q997">
            <v>1143.676278679251</v>
          </cell>
        </row>
        <row r="998">
          <cell r="Q998">
            <v>424.7150102539465</v>
          </cell>
        </row>
        <row r="999">
          <cell r="Q999">
            <v>2657.7497354206989</v>
          </cell>
        </row>
        <row r="1000">
          <cell r="Q1000">
            <v>217.89341400721725</v>
          </cell>
        </row>
        <row r="1001">
          <cell r="Q1001">
            <v>-1969.3234635740907</v>
          </cell>
        </row>
        <row r="1002">
          <cell r="Q1002">
            <v>2007.6949163271483</v>
          </cell>
        </row>
        <row r="1003">
          <cell r="Q1003">
            <v>-498.34768020930352</v>
          </cell>
        </row>
        <row r="1004">
          <cell r="Q1004">
            <v>-2550.9389523464965</v>
          </cell>
        </row>
        <row r="1005">
          <cell r="Q1005">
            <v>160.32483204653929</v>
          </cell>
        </row>
        <row r="1006">
          <cell r="Q1006">
            <v>1846.7740360771274</v>
          </cell>
        </row>
        <row r="1007">
          <cell r="Q1007">
            <v>227.16121642531701</v>
          </cell>
        </row>
        <row r="1008">
          <cell r="Q1008">
            <v>5149.8615305714675</v>
          </cell>
        </row>
        <row r="1009">
          <cell r="Q1009">
            <v>1399.4864544547245</v>
          </cell>
        </row>
        <row r="1010">
          <cell r="Q1010">
            <v>-473.47799927662101</v>
          </cell>
        </row>
        <row r="1011">
          <cell r="Q1011">
            <v>-1807.357488936025</v>
          </cell>
        </row>
        <row r="1012">
          <cell r="Q1012">
            <v>1678.8707756506599</v>
          </cell>
        </row>
        <row r="1013">
          <cell r="Q1013">
            <v>-85.738861481502909</v>
          </cell>
        </row>
        <row r="1014">
          <cell r="Q1014">
            <v>-2931.6948911495988</v>
          </cell>
        </row>
        <row r="1015">
          <cell r="Q1015">
            <v>-870.39273791786218</v>
          </cell>
        </row>
        <row r="1016">
          <cell r="Q1016">
            <v>2528.3587968526454</v>
          </cell>
        </row>
        <row r="1017">
          <cell r="Q1017">
            <v>-3663.1474926393535</v>
          </cell>
        </row>
        <row r="1018">
          <cell r="Q1018">
            <v>-1196.7849775645714</v>
          </cell>
        </row>
        <row r="1019">
          <cell r="Q1019">
            <v>135.90180349866176</v>
          </cell>
        </row>
        <row r="1020">
          <cell r="Q1020">
            <v>261.00199269827556</v>
          </cell>
        </row>
        <row r="1021">
          <cell r="Q1021">
            <v>1316.2906173523263</v>
          </cell>
        </row>
        <row r="1022">
          <cell r="Q1022">
            <v>3.801489920356687</v>
          </cell>
        </row>
        <row r="1023">
          <cell r="Q1023">
            <v>-6413.1806308756277</v>
          </cell>
        </row>
        <row r="1024">
          <cell r="Q1024">
            <v>-3976.5997086001062</v>
          </cell>
        </row>
        <row r="1025">
          <cell r="Q1025">
            <v>219.63891017379663</v>
          </cell>
        </row>
        <row r="1026">
          <cell r="Q1026">
            <v>-1160.543710091328</v>
          </cell>
        </row>
        <row r="1027">
          <cell r="Q1027">
            <v>-2438.1269073690187</v>
          </cell>
        </row>
        <row r="1028">
          <cell r="Q1028">
            <v>-83.080176452000899</v>
          </cell>
        </row>
        <row r="1029">
          <cell r="Q1029">
            <v>2587.593408003484</v>
          </cell>
        </row>
        <row r="1030">
          <cell r="Q1030">
            <v>-3173.379908741998</v>
          </cell>
        </row>
        <row r="1031">
          <cell r="Q1031">
            <v>2974.6782777237431</v>
          </cell>
        </row>
        <row r="1032">
          <cell r="Q1032">
            <v>2970.3326390475231</v>
          </cell>
        </row>
        <row r="1033">
          <cell r="Q1033">
            <v>3226.0411749357327</v>
          </cell>
        </row>
        <row r="1034">
          <cell r="Q1034">
            <v>-1339.0324796933996</v>
          </cell>
        </row>
        <row r="1035">
          <cell r="Q1035">
            <v>-1632.0373767887447</v>
          </cell>
        </row>
        <row r="1036">
          <cell r="Q1036">
            <v>4729.7447169504903</v>
          </cell>
        </row>
        <row r="1037">
          <cell r="Q1037">
            <v>505.24157453335101</v>
          </cell>
        </row>
        <row r="1038">
          <cell r="Q1038">
            <v>504.10039843516972</v>
          </cell>
        </row>
        <row r="1039">
          <cell r="Q1039">
            <v>-1370.0224639594244</v>
          </cell>
        </row>
        <row r="1040">
          <cell r="Q1040">
            <v>-1255.135503207144</v>
          </cell>
        </row>
        <row r="1041">
          <cell r="Q1041">
            <v>-2172.8014541143989</v>
          </cell>
        </row>
        <row r="1042">
          <cell r="Q1042">
            <v>3863.9426388754591</v>
          </cell>
        </row>
        <row r="1043">
          <cell r="Q1043">
            <v>2017.6229009781493</v>
          </cell>
        </row>
        <row r="1044">
          <cell r="Q1044">
            <v>-226.154878320112</v>
          </cell>
        </row>
        <row r="1045">
          <cell r="Q1045">
            <v>305.98167406731693</v>
          </cell>
        </row>
        <row r="1046">
          <cell r="Q1046">
            <v>2368.1969935687189</v>
          </cell>
        </row>
        <row r="1047">
          <cell r="Q1047">
            <v>-3217.7804841529128</v>
          </cell>
        </row>
        <row r="1048">
          <cell r="Q1048">
            <v>-1741.8533244368048</v>
          </cell>
        </row>
        <row r="1049">
          <cell r="Q1049">
            <v>2413.9455003633916</v>
          </cell>
        </row>
        <row r="1050">
          <cell r="Q1050">
            <v>2468.3405281150631</v>
          </cell>
        </row>
        <row r="1051">
          <cell r="Q1051">
            <v>2467.3099740895941</v>
          </cell>
        </row>
        <row r="1052">
          <cell r="Q1052">
            <v>3446.6094991518917</v>
          </cell>
        </row>
        <row r="1053">
          <cell r="Q1053">
            <v>2586.9892335562054</v>
          </cell>
        </row>
        <row r="1054">
          <cell r="Q1054">
            <v>-1868.8083985283849</v>
          </cell>
        </row>
        <row r="1055">
          <cell r="Q1055">
            <v>1729.2209505420262</v>
          </cell>
        </row>
        <row r="1056">
          <cell r="Q1056">
            <v>2501.1820635476838</v>
          </cell>
        </row>
        <row r="1057">
          <cell r="Q1057">
            <v>2160.8358779953287</v>
          </cell>
        </row>
        <row r="1058">
          <cell r="Q1058">
            <v>2766.2186159799912</v>
          </cell>
        </row>
        <row r="1059">
          <cell r="Q1059">
            <v>-577.6055483440291</v>
          </cell>
        </row>
        <row r="1060">
          <cell r="Q1060">
            <v>482.04163294592695</v>
          </cell>
        </row>
        <row r="1061">
          <cell r="Q1061">
            <v>1025.8688884708056</v>
          </cell>
        </row>
        <row r="1062">
          <cell r="Q1062">
            <v>-720.53314059011177</v>
          </cell>
        </row>
        <row r="1063">
          <cell r="Q1063">
            <v>-3573.0722202504121</v>
          </cell>
        </row>
        <row r="1064">
          <cell r="Q1064">
            <v>2359.9980160514274</v>
          </cell>
        </row>
        <row r="1065">
          <cell r="Q1065">
            <v>-2316.3605751681694</v>
          </cell>
        </row>
        <row r="1066">
          <cell r="Q1066">
            <v>2088.8796680304181</v>
          </cell>
        </row>
        <row r="1067">
          <cell r="Q1067">
            <v>-1183.2051577195662</v>
          </cell>
        </row>
        <row r="1068">
          <cell r="Q1068">
            <v>155.69484799824434</v>
          </cell>
        </row>
        <row r="1069">
          <cell r="Q1069">
            <v>2336.0696096668476</v>
          </cell>
        </row>
        <row r="1070">
          <cell r="Q1070">
            <v>-251.48698764193404</v>
          </cell>
        </row>
        <row r="1071">
          <cell r="Q1071">
            <v>-201.78595116404591</v>
          </cell>
        </row>
        <row r="1072">
          <cell r="Q1072">
            <v>60.091733061658829</v>
          </cell>
        </row>
        <row r="1073">
          <cell r="Q1073">
            <v>1357.7254780205508</v>
          </cell>
        </row>
        <row r="1074">
          <cell r="Q1074">
            <v>-759.23373936775761</v>
          </cell>
        </row>
        <row r="1075">
          <cell r="Q1075">
            <v>3301.3761544940066</v>
          </cell>
        </row>
        <row r="1076">
          <cell r="Q1076">
            <v>-1471.2805360867442</v>
          </cell>
        </row>
        <row r="1077">
          <cell r="Q1077">
            <v>1701.3678961284925</v>
          </cell>
        </row>
        <row r="1078">
          <cell r="Q1078">
            <v>-1632.9694650681754</v>
          </cell>
        </row>
        <row r="1079">
          <cell r="Q1079">
            <v>2712.6200020872488</v>
          </cell>
        </row>
        <row r="1080">
          <cell r="Q1080">
            <v>564.20903345251304</v>
          </cell>
        </row>
        <row r="1081">
          <cell r="Q1081">
            <v>-4551.6129438834305</v>
          </cell>
        </row>
        <row r="1082">
          <cell r="Q1082">
            <v>4170.2416629449654</v>
          </cell>
        </row>
        <row r="1083">
          <cell r="Q1083">
            <v>-2436.839753030617</v>
          </cell>
        </row>
        <row r="1084">
          <cell r="Q1084">
            <v>-1558.8990629237121</v>
          </cell>
        </row>
        <row r="1085">
          <cell r="Q1085">
            <v>3520.3613442820911</v>
          </cell>
        </row>
        <row r="1086">
          <cell r="Q1086">
            <v>469.34372715436297</v>
          </cell>
        </row>
        <row r="1087">
          <cell r="Q1087">
            <v>-534.67573970156445</v>
          </cell>
        </row>
        <row r="1088">
          <cell r="Q1088">
            <v>4345.2904372161483</v>
          </cell>
        </row>
        <row r="1089">
          <cell r="Q1089">
            <v>-1198.9193899694847</v>
          </cell>
        </row>
        <row r="1090">
          <cell r="Q1090">
            <v>148.94074255144733</v>
          </cell>
        </row>
        <row r="1091">
          <cell r="Q1091">
            <v>579.03976767022755</v>
          </cell>
        </row>
        <row r="1092">
          <cell r="Q1092">
            <v>-117.91371195275048</v>
          </cell>
        </row>
        <row r="1093">
          <cell r="Q1093">
            <v>-797.08426885455742</v>
          </cell>
        </row>
        <row r="1094">
          <cell r="Q1094">
            <v>2490.5527713187817</v>
          </cell>
        </row>
        <row r="1095">
          <cell r="Q1095">
            <v>-1827.5918069142201</v>
          </cell>
        </row>
        <row r="1096">
          <cell r="Q1096">
            <v>5669.9305754887409</v>
          </cell>
        </row>
        <row r="1097">
          <cell r="Q1097">
            <v>-69.837652132452888</v>
          </cell>
        </row>
        <row r="1098">
          <cell r="Q1098">
            <v>663.0528702473207</v>
          </cell>
        </row>
        <row r="1099">
          <cell r="Q1099">
            <v>906.22921453210733</v>
          </cell>
        </row>
        <row r="1100">
          <cell r="Q1100">
            <v>-822.98178598896425</v>
          </cell>
        </row>
        <row r="1101">
          <cell r="Q1101">
            <v>1948.7333867354891</v>
          </cell>
        </row>
        <row r="1102">
          <cell r="Q1102">
            <v>-1386.3643636497186</v>
          </cell>
        </row>
        <row r="1103">
          <cell r="Q1103">
            <v>-424.83310336484959</v>
          </cell>
        </row>
        <row r="1104">
          <cell r="Q1104">
            <v>2001.0589097190682</v>
          </cell>
        </row>
        <row r="1105">
          <cell r="Q1105">
            <v>2352.3656395283288</v>
          </cell>
        </row>
        <row r="1106">
          <cell r="Q1106">
            <v>755.58166631667677</v>
          </cell>
        </row>
        <row r="1107">
          <cell r="Q1107">
            <v>315.92554989412537</v>
          </cell>
        </row>
        <row r="1108">
          <cell r="Q1108">
            <v>-402.58255966266728</v>
          </cell>
        </row>
        <row r="1109">
          <cell r="Q1109">
            <v>-846.227950031207</v>
          </cell>
        </row>
        <row r="1110">
          <cell r="Q1110">
            <v>-1727.3945717117542</v>
          </cell>
        </row>
        <row r="1111">
          <cell r="Q1111">
            <v>-157.0101319943239</v>
          </cell>
        </row>
        <row r="1112">
          <cell r="Q1112">
            <v>1573.8876895287949</v>
          </cell>
        </row>
        <row r="1113">
          <cell r="Q1113">
            <v>-1169.7531621066234</v>
          </cell>
        </row>
        <row r="1114">
          <cell r="Q1114">
            <v>4920.0561861318711</v>
          </cell>
        </row>
        <row r="1115">
          <cell r="Q1115">
            <v>-563.31749903780155</v>
          </cell>
        </row>
        <row r="1116">
          <cell r="Q1116">
            <v>2503.2843264341759</v>
          </cell>
        </row>
        <row r="1117">
          <cell r="Q1117">
            <v>-5780.0862401582108</v>
          </cell>
        </row>
        <row r="1118">
          <cell r="Q1118">
            <v>1243.1178661796612</v>
          </cell>
        </row>
        <row r="1119">
          <cell r="Q1119">
            <v>501.31067339322772</v>
          </cell>
        </row>
        <row r="1120">
          <cell r="Q1120">
            <v>5067.2682393131208</v>
          </cell>
        </row>
        <row r="1121">
          <cell r="Q1121">
            <v>-2526.1652161597062</v>
          </cell>
        </row>
        <row r="1122">
          <cell r="Q1122">
            <v>690.75572580418407</v>
          </cell>
        </row>
        <row r="1123">
          <cell r="Q1123">
            <v>-375.90327455776327</v>
          </cell>
        </row>
        <row r="1124">
          <cell r="Q1124">
            <v>-1326.15837347408</v>
          </cell>
        </row>
        <row r="1125">
          <cell r="Q1125">
            <v>252.23457863065616</v>
          </cell>
        </row>
        <row r="1126">
          <cell r="Q1126">
            <v>-2057.1170141992875</v>
          </cell>
        </row>
        <row r="1127">
          <cell r="Q1127">
            <v>304.26027256084757</v>
          </cell>
        </row>
        <row r="1128">
          <cell r="Q1128">
            <v>3822.2400491441022</v>
          </cell>
        </row>
        <row r="1129">
          <cell r="Q1129">
            <v>2021.5517427487155</v>
          </cell>
        </row>
        <row r="1130">
          <cell r="Q1130">
            <v>636.9033111260967</v>
          </cell>
        </row>
        <row r="1131">
          <cell r="Q1131">
            <v>1545.93424398658</v>
          </cell>
        </row>
        <row r="1132">
          <cell r="Q1132">
            <v>5098.1081279348218</v>
          </cell>
        </row>
        <row r="1133">
          <cell r="Q1133">
            <v>-213.62356076671284</v>
          </cell>
        </row>
        <row r="1134">
          <cell r="Q1134">
            <v>-1007.629453962805</v>
          </cell>
        </row>
        <row r="1135">
          <cell r="Q1135">
            <v>3683.5966743952608</v>
          </cell>
        </row>
        <row r="1136">
          <cell r="Q1136">
            <v>-1503.3824040004954</v>
          </cell>
        </row>
        <row r="1137">
          <cell r="Q1137">
            <v>-940.9235369287162</v>
          </cell>
        </row>
        <row r="1138">
          <cell r="Q1138">
            <v>174.0362511215337</v>
          </cell>
        </row>
        <row r="1139">
          <cell r="Q1139">
            <v>-293.04339455120117</v>
          </cell>
        </row>
        <row r="1140">
          <cell r="Q1140">
            <v>4174.0169084294794</v>
          </cell>
        </row>
        <row r="1141">
          <cell r="Q1141">
            <v>-760.03988569453759</v>
          </cell>
        </row>
        <row r="1142">
          <cell r="Q1142">
            <v>-356.3518867906792</v>
          </cell>
        </row>
        <row r="1143">
          <cell r="Q1143">
            <v>2499.2335815131942</v>
          </cell>
        </row>
        <row r="1144">
          <cell r="Q1144">
            <v>-3997.6946467220723</v>
          </cell>
        </row>
        <row r="1145">
          <cell r="Q1145">
            <v>271.63849555452731</v>
          </cell>
        </row>
        <row r="1146">
          <cell r="Q1146">
            <v>3437.6570435818262</v>
          </cell>
        </row>
        <row r="1147">
          <cell r="Q1147">
            <v>-737.5992374724301</v>
          </cell>
        </row>
        <row r="1148">
          <cell r="Q1148">
            <v>-1287.0281662406239</v>
          </cell>
        </row>
        <row r="1149">
          <cell r="Q1149">
            <v>623.519121406522</v>
          </cell>
        </row>
        <row r="1150">
          <cell r="Q1150">
            <v>1625.0955014475737</v>
          </cell>
        </row>
        <row r="1151">
          <cell r="Q1151">
            <v>410.33249698802291</v>
          </cell>
        </row>
        <row r="1152">
          <cell r="Q1152">
            <v>792.12897924570689</v>
          </cell>
        </row>
        <row r="1153">
          <cell r="Q1153">
            <v>3152.6920982206602</v>
          </cell>
        </row>
        <row r="1154">
          <cell r="Q1154">
            <v>3187.1037963284193</v>
          </cell>
        </row>
        <row r="1155">
          <cell r="Q1155">
            <v>1705.3980714760412</v>
          </cell>
        </row>
        <row r="1156">
          <cell r="Q1156">
            <v>1659.7757988689434</v>
          </cell>
        </row>
        <row r="1157">
          <cell r="Q1157">
            <v>-1455.6999677933654</v>
          </cell>
        </row>
        <row r="1158">
          <cell r="Q1158">
            <v>-419.98005286468134</v>
          </cell>
        </row>
        <row r="1159">
          <cell r="Q1159">
            <v>1462.9654192823255</v>
          </cell>
        </row>
        <row r="1160">
          <cell r="Q1160">
            <v>931.63510891258829</v>
          </cell>
        </row>
        <row r="1161">
          <cell r="Q1161">
            <v>215.43436747978447</v>
          </cell>
        </row>
        <row r="1162">
          <cell r="Q1162">
            <v>-3.4722679227572826</v>
          </cell>
        </row>
        <row r="1163">
          <cell r="Q1163">
            <v>1711.688549551352</v>
          </cell>
        </row>
        <row r="1164">
          <cell r="Q1164">
            <v>3232.2900021497949</v>
          </cell>
        </row>
        <row r="1165">
          <cell r="Q1165">
            <v>2218.51217157357</v>
          </cell>
        </row>
        <row r="1166">
          <cell r="Q1166">
            <v>-1803.0436694453208</v>
          </cell>
        </row>
        <row r="1167">
          <cell r="Q1167">
            <v>823.15061448485858</v>
          </cell>
        </row>
        <row r="1168">
          <cell r="Q1168">
            <v>-583.73007829830772</v>
          </cell>
        </row>
        <row r="1169">
          <cell r="Q1169">
            <v>745.51555878059526</v>
          </cell>
        </row>
        <row r="1170">
          <cell r="Q1170">
            <v>-119.86330031547385</v>
          </cell>
        </row>
        <row r="1171">
          <cell r="Q1171">
            <v>3473.2845489360993</v>
          </cell>
        </row>
        <row r="1172">
          <cell r="Q1172">
            <v>57.376455258320334</v>
          </cell>
        </row>
        <row r="1173">
          <cell r="Q1173">
            <v>3329.3918151437488</v>
          </cell>
        </row>
        <row r="1174">
          <cell r="Q1174">
            <v>-913.02287579546373</v>
          </cell>
        </row>
        <row r="1175">
          <cell r="Q1175">
            <v>1052.529006767232</v>
          </cell>
        </row>
        <row r="1176">
          <cell r="Q1176">
            <v>999.47743032111612</v>
          </cell>
        </row>
        <row r="1177">
          <cell r="Q1177">
            <v>-488.5935652575476</v>
          </cell>
        </row>
        <row r="1178">
          <cell r="Q1178">
            <v>145.00753428344746</v>
          </cell>
        </row>
        <row r="1179">
          <cell r="Q1179">
            <v>935.80921674388901</v>
          </cell>
        </row>
        <row r="1180">
          <cell r="Q1180">
            <v>4878.5009814161458</v>
          </cell>
        </row>
        <row r="1181">
          <cell r="Q1181">
            <v>-4535.4872978116427</v>
          </cell>
        </row>
        <row r="1182">
          <cell r="Q1182">
            <v>-2510.7386290411973</v>
          </cell>
        </row>
        <row r="1183">
          <cell r="Q1183">
            <v>-1393.586066199982</v>
          </cell>
        </row>
        <row r="1184">
          <cell r="Q1184">
            <v>744.38281675048574</v>
          </cell>
        </row>
        <row r="1185">
          <cell r="Q1185">
            <v>2638.503780175769</v>
          </cell>
        </row>
        <row r="1186">
          <cell r="Q1186">
            <v>390.88683113312038</v>
          </cell>
        </row>
        <row r="1187">
          <cell r="Q1187">
            <v>4875.8403645855069</v>
          </cell>
        </row>
        <row r="1188">
          <cell r="Q1188">
            <v>-3953.3171454120375</v>
          </cell>
        </row>
        <row r="1189">
          <cell r="Q1189">
            <v>3574.2473137403608</v>
          </cell>
        </row>
        <row r="1190">
          <cell r="Q1190">
            <v>855.16302656729749</v>
          </cell>
        </row>
        <row r="1191">
          <cell r="Q1191">
            <v>-813.06473600156369</v>
          </cell>
        </row>
        <row r="1192">
          <cell r="Q1192">
            <v>4255.6822048710783</v>
          </cell>
        </row>
        <row r="1193">
          <cell r="Q1193">
            <v>2477.4018384451037</v>
          </cell>
        </row>
        <row r="1194">
          <cell r="Q1194">
            <v>-1732.1362380571261</v>
          </cell>
        </row>
        <row r="1195">
          <cell r="Q1195">
            <v>1779.9479020920908</v>
          </cell>
        </row>
        <row r="1196">
          <cell r="Q1196">
            <v>-680.0102929263312</v>
          </cell>
        </row>
        <row r="1197">
          <cell r="Q1197">
            <v>1967.2389414441134</v>
          </cell>
        </row>
        <row r="1198">
          <cell r="Q1198">
            <v>1640.1983174006039</v>
          </cell>
        </row>
        <row r="1199">
          <cell r="Q1199">
            <v>930.25939029548385</v>
          </cell>
        </row>
        <row r="1200">
          <cell r="Q1200">
            <v>2449.5337453974853</v>
          </cell>
        </row>
        <row r="1201">
          <cell r="Q1201">
            <v>-206.64452404203638</v>
          </cell>
        </row>
        <row r="1202">
          <cell r="Q1202">
            <v>-805.20747590410292</v>
          </cell>
        </row>
        <row r="1203">
          <cell r="Q1203">
            <v>-129.54168680491233</v>
          </cell>
        </row>
        <row r="1204">
          <cell r="Q1204">
            <v>1995.6314379711932</v>
          </cell>
        </row>
        <row r="1205">
          <cell r="Q1205">
            <v>427.5884075401886</v>
          </cell>
        </row>
        <row r="1206">
          <cell r="Q1206">
            <v>1906.9619178608643</v>
          </cell>
        </row>
        <row r="1207">
          <cell r="Q1207">
            <v>562.31742268591688</v>
          </cell>
        </row>
        <row r="1208">
          <cell r="Q1208">
            <v>-1564.8561332695892</v>
          </cell>
        </row>
        <row r="1209">
          <cell r="Q1209">
            <v>-3073.0085691532418</v>
          </cell>
        </row>
        <row r="1210">
          <cell r="Q1210">
            <v>1366.9984170536673</v>
          </cell>
        </row>
        <row r="1211">
          <cell r="Q1211">
            <v>-1037.4015900336335</v>
          </cell>
        </row>
        <row r="1212">
          <cell r="Q1212">
            <v>1620.3160117765729</v>
          </cell>
        </row>
        <row r="1213">
          <cell r="Q1213">
            <v>4516.3280079941596</v>
          </cell>
        </row>
        <row r="1214">
          <cell r="Q1214">
            <v>2899.7437427134132</v>
          </cell>
        </row>
        <row r="1215">
          <cell r="Q1215">
            <v>662.41868946517411</v>
          </cell>
        </row>
        <row r="1216">
          <cell r="Q1216">
            <v>-169.43145406624507</v>
          </cell>
        </row>
        <row r="1217">
          <cell r="Q1217">
            <v>-4933.6025903624632</v>
          </cell>
        </row>
        <row r="1218">
          <cell r="Q1218">
            <v>-3221.9260784566895</v>
          </cell>
        </row>
        <row r="1219">
          <cell r="Q1219">
            <v>2732.4605405130178</v>
          </cell>
        </row>
        <row r="1220">
          <cell r="Q1220">
            <v>1006.6654402557274</v>
          </cell>
        </row>
        <row r="1221">
          <cell r="Q1221">
            <v>4773.3666311432798</v>
          </cell>
        </row>
        <row r="1222">
          <cell r="Q1222">
            <v>162.19469370038573</v>
          </cell>
        </row>
        <row r="1223">
          <cell r="Q1223">
            <v>683.5893698652294</v>
          </cell>
        </row>
        <row r="1224">
          <cell r="Q1224">
            <v>403.33941891843745</v>
          </cell>
        </row>
        <row r="1225">
          <cell r="Q1225">
            <v>-1376.9566148467402</v>
          </cell>
        </row>
        <row r="1226">
          <cell r="Q1226">
            <v>4275.2103973544763</v>
          </cell>
        </row>
        <row r="1227">
          <cell r="Q1227">
            <v>1517.7074814903294</v>
          </cell>
        </row>
        <row r="1228">
          <cell r="Q1228">
            <v>-2469.987082907192</v>
          </cell>
        </row>
        <row r="1229">
          <cell r="Q1229">
            <v>-2541.2015370746471</v>
          </cell>
        </row>
        <row r="1230">
          <cell r="Q1230">
            <v>1295.8924171335461</v>
          </cell>
        </row>
        <row r="1231">
          <cell r="Q1231">
            <v>-4158.1118816417784</v>
          </cell>
        </row>
        <row r="1232">
          <cell r="Q1232">
            <v>5420.8815286151721</v>
          </cell>
        </row>
        <row r="1233">
          <cell r="Q1233">
            <v>-1199.0018598035372</v>
          </cell>
        </row>
        <row r="1234">
          <cell r="Q1234">
            <v>2585.2312411676348</v>
          </cell>
        </row>
        <row r="1235">
          <cell r="Q1235">
            <v>-559.50194863190086</v>
          </cell>
        </row>
        <row r="1236">
          <cell r="Q1236">
            <v>3128.9321583638994</v>
          </cell>
        </row>
        <row r="1237">
          <cell r="Q1237">
            <v>283.66472197825908</v>
          </cell>
        </row>
        <row r="1238">
          <cell r="Q1238">
            <v>342.38663350991561</v>
          </cell>
        </row>
        <row r="1239">
          <cell r="Q1239">
            <v>-3597.247286156095</v>
          </cell>
        </row>
        <row r="1240">
          <cell r="Q1240">
            <v>-986.23187370800929</v>
          </cell>
        </row>
        <row r="1241">
          <cell r="Q1241">
            <v>2303.4185682162356</v>
          </cell>
        </row>
        <row r="1242">
          <cell r="Q1242">
            <v>2498.1848893499769</v>
          </cell>
        </row>
        <row r="1243">
          <cell r="Q1243">
            <v>1441.939803560495</v>
          </cell>
        </row>
        <row r="1244">
          <cell r="Q1244">
            <v>-925.77954614234932</v>
          </cell>
        </row>
        <row r="1245">
          <cell r="Q1245">
            <v>-3876.5793194059379</v>
          </cell>
        </row>
        <row r="1246">
          <cell r="Q1246">
            <v>652.59908143706923</v>
          </cell>
        </row>
        <row r="1247">
          <cell r="Q1247">
            <v>2217.7461189066075</v>
          </cell>
        </row>
        <row r="1248">
          <cell r="Q1248">
            <v>-1566.2510931118015</v>
          </cell>
        </row>
        <row r="1249">
          <cell r="Q1249">
            <v>-2612.2418166359917</v>
          </cell>
        </row>
        <row r="1250">
          <cell r="Q1250">
            <v>-1966.7732282822064</v>
          </cell>
        </row>
        <row r="1251">
          <cell r="Q1251">
            <v>1424.818545759126</v>
          </cell>
        </row>
        <row r="1252">
          <cell r="Q1252">
            <v>1555.6644962011237</v>
          </cell>
        </row>
        <row r="1253">
          <cell r="Q1253">
            <v>-321.40514016122319</v>
          </cell>
        </row>
        <row r="1254">
          <cell r="Q1254">
            <v>-1804.755152938528</v>
          </cell>
        </row>
        <row r="1255">
          <cell r="Q1255">
            <v>20.107218640149938</v>
          </cell>
        </row>
        <row r="1256">
          <cell r="Q1256">
            <v>-1422.313752869137</v>
          </cell>
        </row>
        <row r="1257">
          <cell r="Q1257">
            <v>929.11242268544061</v>
          </cell>
        </row>
        <row r="1258">
          <cell r="Q1258">
            <v>3174.96768711712</v>
          </cell>
        </row>
        <row r="1259">
          <cell r="Q1259">
            <v>4701.7007331101559</v>
          </cell>
        </row>
        <row r="1260">
          <cell r="Q1260">
            <v>2756.2439469470214</v>
          </cell>
        </row>
        <row r="1261">
          <cell r="Q1261">
            <v>797.46128304587342</v>
          </cell>
        </row>
        <row r="1262">
          <cell r="Q1262">
            <v>-3739.9827606606323</v>
          </cell>
        </row>
        <row r="1263">
          <cell r="Q1263">
            <v>3692.9646586505987</v>
          </cell>
        </row>
        <row r="1264">
          <cell r="Q1264">
            <v>581.98522956473971</v>
          </cell>
        </row>
        <row r="1265">
          <cell r="Q1265">
            <v>1681.371930477452</v>
          </cell>
        </row>
        <row r="1266">
          <cell r="Q1266">
            <v>1029.7392552711801</v>
          </cell>
        </row>
        <row r="1267">
          <cell r="Q1267">
            <v>1509.7112678236795</v>
          </cell>
        </row>
        <row r="1268">
          <cell r="Q1268">
            <v>-1399.3822616182122</v>
          </cell>
        </row>
        <row r="1269">
          <cell r="Q1269">
            <v>2009.1149532310333</v>
          </cell>
        </row>
        <row r="1270">
          <cell r="Q1270">
            <v>1044.2272294437066</v>
          </cell>
        </row>
        <row r="1271">
          <cell r="Q1271">
            <v>1781.4494684774229</v>
          </cell>
        </row>
        <row r="1272">
          <cell r="Q1272">
            <v>160.20875186479492</v>
          </cell>
        </row>
        <row r="1273">
          <cell r="Q1273">
            <v>-1815.3611542390806</v>
          </cell>
        </row>
        <row r="1274">
          <cell r="Q1274">
            <v>4534.66981303181</v>
          </cell>
        </row>
        <row r="1275">
          <cell r="Q1275">
            <v>-2823.8190374359533</v>
          </cell>
        </row>
        <row r="1276">
          <cell r="Q1276">
            <v>-1000.1579591924294</v>
          </cell>
        </row>
        <row r="1277">
          <cell r="Q1277">
            <v>1405.0937130083321</v>
          </cell>
        </row>
        <row r="1278">
          <cell r="Q1278">
            <v>1416.3722310700546</v>
          </cell>
        </row>
        <row r="1279">
          <cell r="Q1279">
            <v>-1712.8869171169724</v>
          </cell>
        </row>
        <row r="1280">
          <cell r="Q1280">
            <v>994.18923277231374</v>
          </cell>
        </row>
        <row r="1281">
          <cell r="Q1281">
            <v>-1740.6449040096597</v>
          </cell>
        </row>
        <row r="1282">
          <cell r="Q1282">
            <v>-1000.5802034944727</v>
          </cell>
        </row>
        <row r="1283">
          <cell r="Q1283">
            <v>426.5683113601076</v>
          </cell>
        </row>
        <row r="1284">
          <cell r="Q1284">
            <v>-805.28435970726923</v>
          </cell>
        </row>
        <row r="1285">
          <cell r="Q1285">
            <v>-1852.7324210432701</v>
          </cell>
        </row>
        <row r="1286">
          <cell r="Q1286">
            <v>318.06675087371764</v>
          </cell>
        </row>
        <row r="1287">
          <cell r="Q1287">
            <v>-1016.2313550000201</v>
          </cell>
        </row>
        <row r="1288">
          <cell r="Q1288">
            <v>243.98493224223211</v>
          </cell>
        </row>
        <row r="1289">
          <cell r="Q1289">
            <v>-2968.3599705216675</v>
          </cell>
        </row>
        <row r="1290">
          <cell r="Q1290">
            <v>217.2688175451211</v>
          </cell>
        </row>
        <row r="1291">
          <cell r="Q1291">
            <v>432.86543268810061</v>
          </cell>
        </row>
        <row r="1292">
          <cell r="Q1292">
            <v>1742.6124974270779</v>
          </cell>
        </row>
        <row r="1293">
          <cell r="Q1293">
            <v>1123.8879495845263</v>
          </cell>
        </row>
        <row r="1294">
          <cell r="Q1294">
            <v>2463.3073595343712</v>
          </cell>
        </row>
        <row r="1295">
          <cell r="Q1295">
            <v>-477.39978654255373</v>
          </cell>
        </row>
        <row r="1296">
          <cell r="Q1296">
            <v>-1427.4854085124898</v>
          </cell>
        </row>
        <row r="1297">
          <cell r="Q1297">
            <v>1267.5784731443703</v>
          </cell>
        </row>
        <row r="1298">
          <cell r="Q1298">
            <v>1303.1925523514458</v>
          </cell>
        </row>
        <row r="1299">
          <cell r="Q1299">
            <v>-1901.8594765458099</v>
          </cell>
        </row>
        <row r="1300">
          <cell r="Q1300">
            <v>-1276.4392212390446</v>
          </cell>
        </row>
        <row r="1301">
          <cell r="Q1301">
            <v>1801.9050153339247</v>
          </cell>
        </row>
        <row r="1302">
          <cell r="Q1302">
            <v>-338.4522464286793</v>
          </cell>
        </row>
        <row r="1303">
          <cell r="Q1303">
            <v>1913.8153700990731</v>
          </cell>
        </row>
        <row r="1304">
          <cell r="Q1304">
            <v>4384.1287378406096</v>
          </cell>
        </row>
        <row r="1305">
          <cell r="Q1305">
            <v>-732.22363807165152</v>
          </cell>
        </row>
        <row r="1306">
          <cell r="Q1306">
            <v>-3021.3751755584676</v>
          </cell>
        </row>
        <row r="1307">
          <cell r="Q1307">
            <v>-123.29433824239021</v>
          </cell>
        </row>
        <row r="1308">
          <cell r="Q1308">
            <v>-4188.4913151104074</v>
          </cell>
        </row>
        <row r="1309">
          <cell r="Q1309">
            <v>3205.1759608370844</v>
          </cell>
        </row>
        <row r="1310">
          <cell r="Q1310">
            <v>-1278.2388191763305</v>
          </cell>
        </row>
        <row r="1311">
          <cell r="Q1311">
            <v>-1287.5674513075628</v>
          </cell>
        </row>
        <row r="1312">
          <cell r="Q1312">
            <v>-2466.5494649120878</v>
          </cell>
        </row>
        <row r="1313">
          <cell r="Q1313">
            <v>-3987.6461699245083</v>
          </cell>
        </row>
        <row r="1314">
          <cell r="Q1314">
            <v>-344.64564144013895</v>
          </cell>
        </row>
        <row r="1315">
          <cell r="Q1315">
            <v>2617.9702879375545</v>
          </cell>
        </row>
        <row r="1316">
          <cell r="Q1316">
            <v>3475.353622850183</v>
          </cell>
        </row>
        <row r="1317">
          <cell r="Q1317">
            <v>-125.8838925791311</v>
          </cell>
        </row>
        <row r="1318">
          <cell r="Q1318">
            <v>573.90656220994288</v>
          </cell>
        </row>
        <row r="1319">
          <cell r="Q1319">
            <v>-3660.7975569268638</v>
          </cell>
        </row>
        <row r="1320">
          <cell r="Q1320">
            <v>194.73259132338026</v>
          </cell>
        </row>
        <row r="1321">
          <cell r="Q1321">
            <v>4573.7404196185189</v>
          </cell>
        </row>
        <row r="1322">
          <cell r="Q1322">
            <v>-164.96305970399334</v>
          </cell>
        </row>
        <row r="1323">
          <cell r="Q1323">
            <v>4897.9839269265021</v>
          </cell>
        </row>
        <row r="1324">
          <cell r="Q1324">
            <v>2470.3847787860318</v>
          </cell>
        </row>
        <row r="1325">
          <cell r="Q1325">
            <v>564.81856211659647</v>
          </cell>
        </row>
        <row r="1326">
          <cell r="Q1326">
            <v>3410.7796582089827</v>
          </cell>
        </row>
        <row r="1327">
          <cell r="Q1327">
            <v>1517.5437554261657</v>
          </cell>
        </row>
        <row r="1328">
          <cell r="Q1328">
            <v>2765.6366933933255</v>
          </cell>
        </row>
        <row r="1329">
          <cell r="Q1329">
            <v>770.60820488681247</v>
          </cell>
        </row>
        <row r="1330">
          <cell r="Q1330">
            <v>-888.29796060504509</v>
          </cell>
        </row>
        <row r="1331">
          <cell r="Q1331">
            <v>-572.6420425530373</v>
          </cell>
        </row>
        <row r="1332">
          <cell r="Q1332">
            <v>-687.33841516017446</v>
          </cell>
        </row>
        <row r="1333">
          <cell r="Q1333">
            <v>-2456.5033878216527</v>
          </cell>
        </row>
        <row r="1334">
          <cell r="Q1334">
            <v>-4362.6507162691196</v>
          </cell>
        </row>
        <row r="1335">
          <cell r="Q1335">
            <v>-3132.4814014934855</v>
          </cell>
        </row>
        <row r="1336">
          <cell r="Q1336">
            <v>181.64240634269814</v>
          </cell>
        </row>
        <row r="1337">
          <cell r="Q1337">
            <v>-836.76885049929206</v>
          </cell>
        </row>
        <row r="1338">
          <cell r="Q1338">
            <v>-11.476710836440418</v>
          </cell>
        </row>
        <row r="1339">
          <cell r="Q1339">
            <v>-815.82986060605049</v>
          </cell>
        </row>
        <row r="1340">
          <cell r="Q1340">
            <v>2812.8790764654568</v>
          </cell>
        </row>
        <row r="1341">
          <cell r="Q1341">
            <v>-161.06311448351602</v>
          </cell>
        </row>
        <row r="1342">
          <cell r="Q1342">
            <v>2180.8153722115408</v>
          </cell>
        </row>
        <row r="1343">
          <cell r="Q1343">
            <v>1193.6080460498986</v>
          </cell>
        </row>
        <row r="1344">
          <cell r="Q1344">
            <v>577.22955362771165</v>
          </cell>
        </row>
        <row r="1345">
          <cell r="Q1345">
            <v>-783.36876256832534</v>
          </cell>
        </row>
        <row r="1346">
          <cell r="Q1346">
            <v>-275.02599313205673</v>
          </cell>
        </row>
        <row r="1347">
          <cell r="Q1347">
            <v>-2419.3144141753746</v>
          </cell>
        </row>
        <row r="1348">
          <cell r="Q1348">
            <v>-1790.2858255586918</v>
          </cell>
        </row>
        <row r="1349">
          <cell r="Q1349">
            <v>-2909.3494267872043</v>
          </cell>
        </row>
        <row r="1350">
          <cell r="Q1350">
            <v>1465.6461260508518</v>
          </cell>
        </row>
        <row r="1351">
          <cell r="Q1351">
            <v>1878.2051141320578</v>
          </cell>
        </row>
        <row r="1352">
          <cell r="Q1352">
            <v>2055.3842557040261</v>
          </cell>
        </row>
        <row r="1353">
          <cell r="Q1353">
            <v>-1669.2483519467371</v>
          </cell>
        </row>
        <row r="1354">
          <cell r="Q1354">
            <v>-1342.4055974691964</v>
          </cell>
        </row>
        <row r="1355">
          <cell r="Q1355">
            <v>-176.15538896531524</v>
          </cell>
        </row>
        <row r="1356">
          <cell r="Q1356">
            <v>-2107.9243253626873</v>
          </cell>
        </row>
        <row r="1357">
          <cell r="Q1357">
            <v>3488.1688277599546</v>
          </cell>
        </row>
        <row r="1358">
          <cell r="Q1358">
            <v>2541.2986002026382</v>
          </cell>
        </row>
        <row r="1359">
          <cell r="Q1359">
            <v>1640.9732019660078</v>
          </cell>
        </row>
        <row r="1360">
          <cell r="Q1360">
            <v>210.14888343292179</v>
          </cell>
        </row>
        <row r="1361">
          <cell r="Q1361">
            <v>2449.186265458487</v>
          </cell>
        </row>
        <row r="1362">
          <cell r="Q1362">
            <v>2501.9640051767328</v>
          </cell>
        </row>
        <row r="1363">
          <cell r="Q1363">
            <v>-1727.8859266176439</v>
          </cell>
        </row>
        <row r="1364">
          <cell r="Q1364">
            <v>258.2085465347011</v>
          </cell>
        </row>
        <row r="1365">
          <cell r="Q1365">
            <v>836.24617245631634</v>
          </cell>
        </row>
        <row r="1366">
          <cell r="Q1366">
            <v>799.43841859108579</v>
          </cell>
        </row>
        <row r="1367">
          <cell r="Q1367">
            <v>4724.4282867095044</v>
          </cell>
        </row>
        <row r="1368">
          <cell r="Q1368">
            <v>-2572.5632740245069</v>
          </cell>
        </row>
        <row r="1369">
          <cell r="Q1369">
            <v>965.74609221810351</v>
          </cell>
        </row>
        <row r="1370">
          <cell r="Q1370">
            <v>2305.3677082299328</v>
          </cell>
        </row>
        <row r="1371">
          <cell r="Q1371">
            <v>3745.7977939692491</v>
          </cell>
        </row>
        <row r="1372">
          <cell r="Q1372">
            <v>1397.6003210556007</v>
          </cell>
        </row>
        <row r="1373">
          <cell r="Q1373">
            <v>2775.0437160867964</v>
          </cell>
        </row>
        <row r="1374">
          <cell r="Q1374">
            <v>1118.999015329857</v>
          </cell>
        </row>
        <row r="1375">
          <cell r="Q1375">
            <v>-1988.8933321353331</v>
          </cell>
        </row>
        <row r="1376">
          <cell r="Q1376">
            <v>3192.2319514294054</v>
          </cell>
        </row>
        <row r="1377">
          <cell r="Q1377">
            <v>846.94789472024149</v>
          </cell>
        </row>
        <row r="1378">
          <cell r="Q1378">
            <v>4291.8551862238219</v>
          </cell>
        </row>
        <row r="1379">
          <cell r="Q1379">
            <v>839.78216742839641</v>
          </cell>
        </row>
        <row r="1380">
          <cell r="Q1380">
            <v>2096.0948426870873</v>
          </cell>
        </row>
        <row r="1381">
          <cell r="Q1381">
            <v>152.30226462754749</v>
          </cell>
        </row>
        <row r="1382">
          <cell r="Q1382">
            <v>-2478.4851145911166</v>
          </cell>
        </row>
        <row r="1383">
          <cell r="Q1383">
            <v>-2179.5338379370855</v>
          </cell>
        </row>
        <row r="1384">
          <cell r="Q1384">
            <v>3421.3427309652334</v>
          </cell>
        </row>
        <row r="1385">
          <cell r="Q1385">
            <v>-2744.5261051624775</v>
          </cell>
        </row>
        <row r="1386">
          <cell r="Q1386">
            <v>-31.10773912288704</v>
          </cell>
        </row>
        <row r="1387">
          <cell r="Q1387">
            <v>-1461.4788127467571</v>
          </cell>
        </row>
        <row r="1388">
          <cell r="Q1388">
            <v>1167.6653655477196</v>
          </cell>
        </row>
        <row r="1389">
          <cell r="Q1389">
            <v>327.54698179381961</v>
          </cell>
        </row>
        <row r="1390">
          <cell r="Q1390">
            <v>-3277.2281815907063</v>
          </cell>
        </row>
        <row r="1391">
          <cell r="Q1391">
            <v>-529.46410339704858</v>
          </cell>
        </row>
        <row r="1392">
          <cell r="Q1392">
            <v>62.791793094438788</v>
          </cell>
        </row>
        <row r="1393">
          <cell r="Q1393">
            <v>-753.92088788505885</v>
          </cell>
        </row>
        <row r="1394">
          <cell r="Q1394">
            <v>-2128.0758392038224</v>
          </cell>
        </row>
        <row r="1395">
          <cell r="Q1395">
            <v>-565.35840093043885</v>
          </cell>
        </row>
        <row r="1396">
          <cell r="Q1396">
            <v>3676.5746619111155</v>
          </cell>
        </row>
        <row r="1397">
          <cell r="Q1397">
            <v>-2186.2551164353022</v>
          </cell>
        </row>
        <row r="1398">
          <cell r="Q1398">
            <v>-2997.5522729376275</v>
          </cell>
        </row>
        <row r="1399">
          <cell r="Q1399">
            <v>3141.5874235200927</v>
          </cell>
        </row>
        <row r="1400">
          <cell r="Q1400">
            <v>-1366.0898935820815</v>
          </cell>
        </row>
        <row r="1401">
          <cell r="Q1401">
            <v>-2918.2594729083694</v>
          </cell>
        </row>
        <row r="1402">
          <cell r="Q1402">
            <v>3786.9490032785625</v>
          </cell>
        </row>
        <row r="1403">
          <cell r="Q1403">
            <v>3970.4944666023671</v>
          </cell>
        </row>
        <row r="1404">
          <cell r="Q1404">
            <v>-731.96267462310425</v>
          </cell>
        </row>
        <row r="1405">
          <cell r="Q1405">
            <v>100.47883706124742</v>
          </cell>
        </row>
        <row r="1406">
          <cell r="Q1406">
            <v>-4112.4600892516009</v>
          </cell>
        </row>
        <row r="1407">
          <cell r="Q1407">
            <v>3382.9929274630526</v>
          </cell>
        </row>
        <row r="1408">
          <cell r="Q1408">
            <v>2034.1854348282268</v>
          </cell>
        </row>
        <row r="1409">
          <cell r="Q1409">
            <v>-3698.0480172045482</v>
          </cell>
        </row>
        <row r="1410">
          <cell r="Q1410">
            <v>1684.0770411409455</v>
          </cell>
        </row>
        <row r="1411">
          <cell r="Q1411">
            <v>-642.11340973383722</v>
          </cell>
        </row>
        <row r="1412">
          <cell r="Q1412">
            <v>-1200.902992181575</v>
          </cell>
        </row>
        <row r="1413">
          <cell r="Q1413">
            <v>2071.2790277994518</v>
          </cell>
        </row>
        <row r="1414">
          <cell r="Q1414">
            <v>2024.5516246160676</v>
          </cell>
        </row>
        <row r="1415">
          <cell r="Q1415">
            <v>-273.92632133311571</v>
          </cell>
        </row>
        <row r="1416">
          <cell r="Q1416">
            <v>-1936.4683384329785</v>
          </cell>
        </row>
        <row r="1417">
          <cell r="Q1417">
            <v>1976.7721918729985</v>
          </cell>
        </row>
        <row r="1418">
          <cell r="Q1418">
            <v>1388.501918589772</v>
          </cell>
        </row>
        <row r="1419">
          <cell r="Q1419">
            <v>1360.0951585730934</v>
          </cell>
        </row>
        <row r="1420">
          <cell r="Q1420">
            <v>2683.864142579479</v>
          </cell>
        </row>
        <row r="1421">
          <cell r="Q1421">
            <v>-702.74384690569832</v>
          </cell>
        </row>
        <row r="1422">
          <cell r="Q1422">
            <v>-4598.809012034917</v>
          </cell>
        </row>
        <row r="1423">
          <cell r="Q1423">
            <v>1502.9715111878586</v>
          </cell>
        </row>
        <row r="1424">
          <cell r="Q1424">
            <v>-1871.073671172295</v>
          </cell>
        </row>
        <row r="1425">
          <cell r="Q1425">
            <v>3208.5642020003615</v>
          </cell>
        </row>
        <row r="1426">
          <cell r="Q1426">
            <v>1395.1585399352186</v>
          </cell>
        </row>
        <row r="1427">
          <cell r="Q1427">
            <v>4383.288789812761</v>
          </cell>
        </row>
        <row r="1428">
          <cell r="Q1428">
            <v>-1397.0678139363176</v>
          </cell>
        </row>
        <row r="1429">
          <cell r="Q1429">
            <v>78.612769935060442</v>
          </cell>
        </row>
        <row r="1430">
          <cell r="Q1430">
            <v>867.28473083937456</v>
          </cell>
        </row>
        <row r="1431">
          <cell r="Q1431">
            <v>942.06945243699715</v>
          </cell>
        </row>
        <row r="1432">
          <cell r="Q1432">
            <v>-2501.4439265970896</v>
          </cell>
        </row>
        <row r="1433">
          <cell r="Q1433">
            <v>2182.4178990319238</v>
          </cell>
        </row>
        <row r="1434">
          <cell r="Q1434">
            <v>921.6747038773658</v>
          </cell>
        </row>
        <row r="1435">
          <cell r="Q1435">
            <v>1160.3462895103112</v>
          </cell>
        </row>
        <row r="1436">
          <cell r="Q1436">
            <v>2471.5228747754004</v>
          </cell>
        </row>
        <row r="1437">
          <cell r="Q1437">
            <v>4708.5417979071226</v>
          </cell>
        </row>
        <row r="1438">
          <cell r="Q1438">
            <v>457.16886902304969</v>
          </cell>
        </row>
        <row r="1439">
          <cell r="Q1439">
            <v>-3072.8089509837064</v>
          </cell>
        </row>
        <row r="1440">
          <cell r="Q1440">
            <v>2436.8459841831541</v>
          </cell>
        </row>
        <row r="1441">
          <cell r="Q1441">
            <v>1758.9401805011901</v>
          </cell>
        </row>
        <row r="1442">
          <cell r="Q1442">
            <v>-1186.0204640435209</v>
          </cell>
        </row>
        <row r="1443">
          <cell r="Q1443">
            <v>1933.5951120623993</v>
          </cell>
        </row>
        <row r="1444">
          <cell r="Q1444">
            <v>3058.2930802383175</v>
          </cell>
        </row>
        <row r="1445">
          <cell r="Q1445">
            <v>2986.6662166072838</v>
          </cell>
        </row>
        <row r="1446">
          <cell r="Q1446">
            <v>1308.0660939789352</v>
          </cell>
        </row>
        <row r="1447">
          <cell r="Q1447">
            <v>1400.5285762776477</v>
          </cell>
        </row>
        <row r="1448">
          <cell r="Q1448">
            <v>272.43487702240895</v>
          </cell>
        </row>
        <row r="1449">
          <cell r="Q1449">
            <v>-2907.6635360547289</v>
          </cell>
        </row>
        <row r="1450">
          <cell r="Q1450">
            <v>4705.6781269923786</v>
          </cell>
        </row>
        <row r="1451">
          <cell r="Q1451">
            <v>-3304.8749033663566</v>
          </cell>
        </row>
        <row r="1452">
          <cell r="Q1452">
            <v>3768.2172537602241</v>
          </cell>
        </row>
        <row r="1453">
          <cell r="Q1453">
            <v>-360.52800261554222</v>
          </cell>
        </row>
        <row r="1454">
          <cell r="Q1454">
            <v>-1420.3559441295918</v>
          </cell>
        </row>
        <row r="1455">
          <cell r="Q1455">
            <v>398.18613442262006</v>
          </cell>
        </row>
        <row r="1456">
          <cell r="Q1456">
            <v>3515.2005764920073</v>
          </cell>
        </row>
        <row r="1457">
          <cell r="Q1457">
            <v>4311.1931152130901</v>
          </cell>
        </row>
        <row r="1458">
          <cell r="Q1458">
            <v>-2605.5707462703158</v>
          </cell>
        </row>
        <row r="1459">
          <cell r="Q1459">
            <v>2969.0919177859287</v>
          </cell>
        </row>
        <row r="1460">
          <cell r="Q1460">
            <v>-104.2478306524265</v>
          </cell>
        </row>
        <row r="1461">
          <cell r="Q1461">
            <v>617.88110387084578</v>
          </cell>
        </row>
        <row r="1462">
          <cell r="Q1462">
            <v>998.72655403458293</v>
          </cell>
        </row>
        <row r="1463">
          <cell r="Q1463">
            <v>76.178666984622055</v>
          </cell>
        </row>
        <row r="1464">
          <cell r="Q1464">
            <v>-3232.0938360792575</v>
          </cell>
        </row>
        <row r="1465">
          <cell r="Q1465">
            <v>-2129.5651022079783</v>
          </cell>
        </row>
        <row r="1466">
          <cell r="Q1466">
            <v>3068.3878704223325</v>
          </cell>
        </row>
        <row r="1467">
          <cell r="Q1467">
            <v>-552.07067438037325</v>
          </cell>
        </row>
        <row r="1468">
          <cell r="Q1468">
            <v>2536.5431364033934</v>
          </cell>
        </row>
        <row r="1469">
          <cell r="Q1469">
            <v>-1718.2027692953927</v>
          </cell>
        </row>
        <row r="1470">
          <cell r="Q1470">
            <v>2700.3376273323279</v>
          </cell>
        </row>
        <row r="1471">
          <cell r="Q1471">
            <v>-1220.1270256690741</v>
          </cell>
        </row>
        <row r="1472">
          <cell r="Q1472">
            <v>-453.20796848318736</v>
          </cell>
        </row>
        <row r="1473">
          <cell r="Q1473">
            <v>1559.4794385745515</v>
          </cell>
        </row>
        <row r="1474">
          <cell r="Q1474">
            <v>2272.4885009173249</v>
          </cell>
        </row>
        <row r="1475">
          <cell r="Q1475">
            <v>1572.8006925260906</v>
          </cell>
        </row>
        <row r="1476">
          <cell r="Q1476">
            <v>-467.02324996206818</v>
          </cell>
        </row>
        <row r="1477">
          <cell r="Q1477">
            <v>-740.77207684878022</v>
          </cell>
        </row>
        <row r="1478">
          <cell r="Q1478">
            <v>2280.8642381735976</v>
          </cell>
        </row>
        <row r="1479">
          <cell r="Q1479">
            <v>-1455.2411941035343</v>
          </cell>
        </row>
        <row r="1480">
          <cell r="Q1480">
            <v>-1191.4182640561378</v>
          </cell>
        </row>
        <row r="1481">
          <cell r="Q1481">
            <v>-1710.5835702828706</v>
          </cell>
        </row>
        <row r="1482">
          <cell r="Q1482">
            <v>-476.97074594096563</v>
          </cell>
        </row>
        <row r="1483">
          <cell r="Q1483">
            <v>-433.75359992737907</v>
          </cell>
        </row>
        <row r="1484">
          <cell r="Q1484">
            <v>-577.46005547127311</v>
          </cell>
        </row>
        <row r="1485">
          <cell r="Q1485">
            <v>-161.31369920780986</v>
          </cell>
        </row>
        <row r="1486">
          <cell r="Q1486">
            <v>848.82005838766668</v>
          </cell>
        </row>
        <row r="1487">
          <cell r="Q1487">
            <v>767.28577245527549</v>
          </cell>
        </row>
        <row r="1488">
          <cell r="Q1488">
            <v>-2807.801850260942</v>
          </cell>
        </row>
        <row r="1489">
          <cell r="Q1489">
            <v>1930.6796265943781</v>
          </cell>
        </row>
        <row r="1490">
          <cell r="Q1490">
            <v>367.27312816169729</v>
          </cell>
        </row>
        <row r="1491">
          <cell r="Q1491">
            <v>2762.1674404677697</v>
          </cell>
        </row>
        <row r="1492">
          <cell r="Q1492">
            <v>-4085.8897049728557</v>
          </cell>
        </row>
        <row r="1493">
          <cell r="Q1493">
            <v>496.71898078681721</v>
          </cell>
        </row>
        <row r="1494">
          <cell r="Q1494">
            <v>1560.5800310432842</v>
          </cell>
        </row>
        <row r="1495">
          <cell r="Q1495">
            <v>-248.0291610909498</v>
          </cell>
        </row>
        <row r="1496">
          <cell r="Q1496">
            <v>223.24382454758836</v>
          </cell>
        </row>
        <row r="1497">
          <cell r="Q1497">
            <v>-476.1026420752915</v>
          </cell>
        </row>
        <row r="1498">
          <cell r="Q1498">
            <v>1472.7658930069476</v>
          </cell>
        </row>
        <row r="1499">
          <cell r="Q1499">
            <v>-1122.2856235771083</v>
          </cell>
        </row>
        <row r="1500">
          <cell r="Q1500">
            <v>4625.2819866642712</v>
          </cell>
        </row>
        <row r="1501">
          <cell r="Q1501">
            <v>1460.6824843858722</v>
          </cell>
        </row>
        <row r="1502">
          <cell r="Q1502">
            <v>156.6790612357369</v>
          </cell>
        </row>
        <row r="1503">
          <cell r="Q1503">
            <v>-2227.5816389842489</v>
          </cell>
        </row>
        <row r="1504">
          <cell r="Q1504">
            <v>-937.95187653426956</v>
          </cell>
        </row>
        <row r="1505">
          <cell r="Q1505">
            <v>1754.1209803777199</v>
          </cell>
        </row>
        <row r="1506">
          <cell r="Q1506">
            <v>952.17873552129231</v>
          </cell>
        </row>
        <row r="1507">
          <cell r="Q1507">
            <v>627.39269978160473</v>
          </cell>
        </row>
        <row r="1508">
          <cell r="Q1508">
            <v>2948.08362569263</v>
          </cell>
        </row>
        <row r="1509">
          <cell r="Q1509">
            <v>-2968.8049720311069</v>
          </cell>
        </row>
        <row r="1510">
          <cell r="Q1510">
            <v>-761.72572343922798</v>
          </cell>
        </row>
        <row r="1511">
          <cell r="Q1511">
            <v>-170.48293444275026</v>
          </cell>
        </row>
        <row r="1512">
          <cell r="Q1512">
            <v>-582.33354285779023</v>
          </cell>
        </row>
        <row r="1513">
          <cell r="Q1513">
            <v>276.29513784551756</v>
          </cell>
        </row>
        <row r="1514">
          <cell r="Q1514">
            <v>-629.58632709587005</v>
          </cell>
        </row>
        <row r="1515">
          <cell r="Q1515">
            <v>1848.4011693480713</v>
          </cell>
        </row>
        <row r="1516">
          <cell r="Q1516">
            <v>3330.2773555109466</v>
          </cell>
        </row>
        <row r="1517">
          <cell r="Q1517">
            <v>-559.44591033401935</v>
          </cell>
        </row>
        <row r="1518">
          <cell r="Q1518">
            <v>1584.5597019285253</v>
          </cell>
        </row>
        <row r="1519">
          <cell r="Q1519">
            <v>1823.8247015299512</v>
          </cell>
        </row>
        <row r="1520">
          <cell r="Q1520">
            <v>-141.98697038719803</v>
          </cell>
        </row>
        <row r="1521">
          <cell r="Q1521">
            <v>2539.5301193203859</v>
          </cell>
        </row>
        <row r="1522">
          <cell r="Q1522">
            <v>2298.789342051341</v>
          </cell>
        </row>
        <row r="1523">
          <cell r="Q1523">
            <v>2807.9971381131581</v>
          </cell>
        </row>
        <row r="1524">
          <cell r="Q1524">
            <v>1953.6176750337304</v>
          </cell>
        </row>
        <row r="1525">
          <cell r="Q1525">
            <v>-135.50181739078465</v>
          </cell>
        </row>
        <row r="1526">
          <cell r="Q1526">
            <v>3082.1369286727959</v>
          </cell>
        </row>
        <row r="1527">
          <cell r="Q1527">
            <v>1578.681798904817</v>
          </cell>
        </row>
        <row r="1528">
          <cell r="Q1528">
            <v>-1024.6722519991124</v>
          </cell>
        </row>
        <row r="1529">
          <cell r="Q1529">
            <v>2784.5170858605948</v>
          </cell>
        </row>
        <row r="1530">
          <cell r="Q1530">
            <v>-1386.0457660711411</v>
          </cell>
        </row>
        <row r="1531">
          <cell r="Q1531">
            <v>2459.8171768070874</v>
          </cell>
        </row>
        <row r="1532">
          <cell r="Q1532">
            <v>996.84081721803318</v>
          </cell>
        </row>
        <row r="1533">
          <cell r="Q1533">
            <v>188.81130151236258</v>
          </cell>
        </row>
        <row r="1534">
          <cell r="Q1534">
            <v>-1579.8679936384854</v>
          </cell>
        </row>
        <row r="1535">
          <cell r="Q1535">
            <v>117.50919930541227</v>
          </cell>
        </row>
        <row r="1536">
          <cell r="Q1536">
            <v>-3486.1015506082495</v>
          </cell>
        </row>
        <row r="1537">
          <cell r="Q1537">
            <v>-1685.5740380074419</v>
          </cell>
        </row>
        <row r="1538">
          <cell r="Q1538">
            <v>-525.14504937755328</v>
          </cell>
        </row>
        <row r="1539">
          <cell r="Q1539">
            <v>-495.31682752009982</v>
          </cell>
        </row>
        <row r="1540">
          <cell r="Q1540">
            <v>3083.9141046472105</v>
          </cell>
        </row>
        <row r="1541">
          <cell r="Q1541">
            <v>2793.0288031701775</v>
          </cell>
        </row>
        <row r="1542">
          <cell r="Q1542">
            <v>1683.9908917626517</v>
          </cell>
        </row>
        <row r="1543">
          <cell r="Q1543">
            <v>207.3571582423921</v>
          </cell>
        </row>
        <row r="1544">
          <cell r="Q1544">
            <v>-674.59131095282532</v>
          </cell>
        </row>
        <row r="1545">
          <cell r="Q1545">
            <v>291.3343647586384</v>
          </cell>
        </row>
        <row r="1546">
          <cell r="Q1546">
            <v>1754.3747611364042</v>
          </cell>
        </row>
        <row r="1547">
          <cell r="Q1547">
            <v>3125.715611146627</v>
          </cell>
        </row>
        <row r="1548">
          <cell r="Q1548">
            <v>-4419.3146375820106</v>
          </cell>
        </row>
        <row r="1549">
          <cell r="Q1549">
            <v>1664.4363807230188</v>
          </cell>
        </row>
        <row r="1550">
          <cell r="Q1550">
            <v>-764.66519806823021</v>
          </cell>
        </row>
        <row r="1551">
          <cell r="Q1551">
            <v>-1044.0057152677889</v>
          </cell>
        </row>
        <row r="1552">
          <cell r="Q1552">
            <v>-1188.931273095945</v>
          </cell>
        </row>
        <row r="1553">
          <cell r="Q1553">
            <v>1992.0739946851832</v>
          </cell>
        </row>
        <row r="1554">
          <cell r="Q1554">
            <v>-1305.4892093923872</v>
          </cell>
        </row>
        <row r="1555">
          <cell r="Q1555">
            <v>-1085.5392322813086</v>
          </cell>
        </row>
        <row r="1556">
          <cell r="Q1556">
            <v>3542.2778551818351</v>
          </cell>
        </row>
        <row r="1557">
          <cell r="Q1557">
            <v>-145.21184717826083</v>
          </cell>
        </row>
        <row r="1558">
          <cell r="Q1558">
            <v>-1786.0760470210773</v>
          </cell>
        </row>
        <row r="1559">
          <cell r="Q1559">
            <v>142.2802290396497</v>
          </cell>
        </row>
        <row r="1560">
          <cell r="Q1560">
            <v>2930.3022155282301</v>
          </cell>
        </row>
        <row r="1561">
          <cell r="Q1561">
            <v>-1577.8310408102175</v>
          </cell>
        </row>
        <row r="1562">
          <cell r="Q1562">
            <v>1843.2832306731714</v>
          </cell>
        </row>
        <row r="1563">
          <cell r="Q1563">
            <v>3742.5178953809886</v>
          </cell>
        </row>
        <row r="1564">
          <cell r="Q1564">
            <v>-1237.7487231222722</v>
          </cell>
        </row>
        <row r="1565">
          <cell r="Q1565">
            <v>486.82402407114284</v>
          </cell>
        </row>
        <row r="1566">
          <cell r="Q1566">
            <v>-643.89241776164044</v>
          </cell>
        </row>
        <row r="1567">
          <cell r="Q1567">
            <v>-1764.9440332382408</v>
          </cell>
        </row>
        <row r="1568">
          <cell r="Q1568">
            <v>2328.5854629133964</v>
          </cell>
        </row>
        <row r="1569">
          <cell r="Q1569">
            <v>1840.6140325076062</v>
          </cell>
        </row>
        <row r="1570">
          <cell r="Q1570">
            <v>-1357.6922861331002</v>
          </cell>
        </row>
        <row r="1571">
          <cell r="Q1571">
            <v>-21.089686153219304</v>
          </cell>
        </row>
        <row r="1572">
          <cell r="Q1572">
            <v>818.45098265617651</v>
          </cell>
        </row>
        <row r="1573">
          <cell r="Q1573">
            <v>-5913.9297455059941</v>
          </cell>
        </row>
        <row r="1574">
          <cell r="Q1574">
            <v>2869.3205043495009</v>
          </cell>
        </row>
        <row r="1575">
          <cell r="Q1575">
            <v>1738.8490750882884</v>
          </cell>
        </row>
        <row r="1576">
          <cell r="Q1576">
            <v>-490.38324562634926</v>
          </cell>
        </row>
        <row r="1577">
          <cell r="Q1577">
            <v>4143.4402576174216</v>
          </cell>
        </row>
        <row r="1578">
          <cell r="Q1578">
            <v>-125.11353555084696</v>
          </cell>
        </row>
        <row r="1579">
          <cell r="Q1579">
            <v>4876.3514007140411</v>
          </cell>
        </row>
        <row r="1580">
          <cell r="Q1580">
            <v>1670.9677193142847</v>
          </cell>
        </row>
        <row r="1581">
          <cell r="Q1581">
            <v>1923.2122869676991</v>
          </cell>
        </row>
        <row r="1582">
          <cell r="Q1582">
            <v>-9.1838847640152608</v>
          </cell>
        </row>
        <row r="1583">
          <cell r="Q1583">
            <v>1432.8002035080578</v>
          </cell>
        </row>
        <row r="1584">
          <cell r="Q1584">
            <v>-584.4071589001137</v>
          </cell>
        </row>
        <row r="1585">
          <cell r="Q1585">
            <v>421.76443680806102</v>
          </cell>
        </row>
        <row r="1586">
          <cell r="Q1586">
            <v>884.80969823028067</v>
          </cell>
        </row>
        <row r="1587">
          <cell r="Q1587">
            <v>176.7846667807697</v>
          </cell>
        </row>
        <row r="1588">
          <cell r="Q1588">
            <v>2514.7573569402916</v>
          </cell>
        </row>
        <row r="1589">
          <cell r="Q1589">
            <v>346.46859971537026</v>
          </cell>
        </row>
        <row r="1590">
          <cell r="Q1590">
            <v>540.24171203425544</v>
          </cell>
        </row>
        <row r="1591">
          <cell r="Q1591">
            <v>233.3676626879612</v>
          </cell>
        </row>
        <row r="1592">
          <cell r="Q1592">
            <v>3443.6662988920807</v>
          </cell>
        </row>
        <row r="1593">
          <cell r="Q1593">
            <v>1994.383928452231</v>
          </cell>
        </row>
        <row r="1594">
          <cell r="Q1594">
            <v>2204.7653487710204</v>
          </cell>
        </row>
        <row r="1595">
          <cell r="Q1595">
            <v>-131.82025629171432</v>
          </cell>
        </row>
        <row r="1596">
          <cell r="Q1596">
            <v>-913.16632905208553</v>
          </cell>
        </row>
        <row r="1597">
          <cell r="Q1597">
            <v>-618.38321474773397</v>
          </cell>
        </row>
        <row r="1598">
          <cell r="Q1598">
            <v>1727.4057375023795</v>
          </cell>
        </row>
        <row r="1599">
          <cell r="Q1599">
            <v>-2725.7455651028454</v>
          </cell>
        </row>
        <row r="1600">
          <cell r="Q1600">
            <v>4303.4249905650513</v>
          </cell>
        </row>
        <row r="1601">
          <cell r="Q1601">
            <v>-273.40737737777141</v>
          </cell>
        </row>
        <row r="1602">
          <cell r="Q1602">
            <v>765.47741430872009</v>
          </cell>
        </row>
        <row r="1603">
          <cell r="Q1603">
            <v>2016.3114082661059</v>
          </cell>
        </row>
        <row r="1604">
          <cell r="Q1604">
            <v>-1064.9811934328241</v>
          </cell>
        </row>
        <row r="1605">
          <cell r="Q1605">
            <v>3202.2183956254489</v>
          </cell>
        </row>
        <row r="1606">
          <cell r="Q1606">
            <v>-662.71026870929586</v>
          </cell>
        </row>
        <row r="1607">
          <cell r="Q1607">
            <v>2889.1358284637022</v>
          </cell>
        </row>
        <row r="1608">
          <cell r="Q1608">
            <v>2480.5459469339307</v>
          </cell>
        </row>
        <row r="1609">
          <cell r="Q1609">
            <v>463.92505101820768</v>
          </cell>
        </row>
        <row r="1610">
          <cell r="Q1610">
            <v>987.92968514067707</v>
          </cell>
        </row>
        <row r="1611">
          <cell r="Q1611">
            <v>1258.1889885849362</v>
          </cell>
        </row>
        <row r="1612">
          <cell r="Q1612">
            <v>-2110.3231485464594</v>
          </cell>
        </row>
        <row r="1613">
          <cell r="Q1613">
            <v>-176.85516090359357</v>
          </cell>
        </row>
        <row r="1614">
          <cell r="Q1614">
            <v>2289.7877159590257</v>
          </cell>
        </row>
        <row r="1615">
          <cell r="Q1615">
            <v>-579.13543388047265</v>
          </cell>
        </row>
        <row r="1616">
          <cell r="Q1616">
            <v>3732.2867947463333</v>
          </cell>
        </row>
        <row r="1617">
          <cell r="Q1617">
            <v>1549.8297096061997</v>
          </cell>
        </row>
        <row r="1618">
          <cell r="Q1618">
            <v>5029.7519136630781</v>
          </cell>
        </row>
        <row r="1619">
          <cell r="Q1619">
            <v>2008.0668550807914</v>
          </cell>
        </row>
        <row r="1620">
          <cell r="Q1620">
            <v>-481.9566359378029</v>
          </cell>
        </row>
        <row r="1621">
          <cell r="Q1621">
            <v>91.246873509239492</v>
          </cell>
        </row>
        <row r="1622">
          <cell r="Q1622">
            <v>-2143.2923744945615</v>
          </cell>
        </row>
        <row r="1623">
          <cell r="Q1623">
            <v>1373.5667157350126</v>
          </cell>
        </row>
        <row r="1624">
          <cell r="Q1624">
            <v>4394.7210759377695</v>
          </cell>
        </row>
        <row r="1625">
          <cell r="Q1625">
            <v>256.31894579115414</v>
          </cell>
        </row>
        <row r="1626">
          <cell r="Q1626">
            <v>-778.94936908687032</v>
          </cell>
        </row>
        <row r="1627">
          <cell r="Q1627">
            <v>-441.10932245318116</v>
          </cell>
        </row>
        <row r="1628">
          <cell r="Q1628">
            <v>-2589.3884431397705</v>
          </cell>
        </row>
        <row r="1629">
          <cell r="Q1629">
            <v>1008.7559794484164</v>
          </cell>
        </row>
        <row r="1630">
          <cell r="Q1630">
            <v>3942.4865460210399</v>
          </cell>
        </row>
        <row r="1631">
          <cell r="Q1631">
            <v>-1215.1512022627296</v>
          </cell>
        </row>
        <row r="1632">
          <cell r="Q1632">
            <v>2847.0842155466848</v>
          </cell>
        </row>
        <row r="1633">
          <cell r="Q1633">
            <v>-1809.7164216690187</v>
          </cell>
        </row>
        <row r="1634">
          <cell r="Q1634">
            <v>-1940.4788337920393</v>
          </cell>
        </row>
        <row r="1635">
          <cell r="Q1635">
            <v>-1418.8537677672184</v>
          </cell>
        </row>
        <row r="1636">
          <cell r="Q1636">
            <v>1605.1260459290568</v>
          </cell>
        </row>
        <row r="1637">
          <cell r="Q1637">
            <v>-1074.488342237998</v>
          </cell>
        </row>
        <row r="1638">
          <cell r="Q1638">
            <v>-589.16971405020649</v>
          </cell>
        </row>
        <row r="1639">
          <cell r="Q1639">
            <v>181.66823834684374</v>
          </cell>
        </row>
        <row r="1640">
          <cell r="Q1640">
            <v>517.31852462713846</v>
          </cell>
        </row>
        <row r="1641">
          <cell r="Q1641">
            <v>1426.9531967254698</v>
          </cell>
        </row>
        <row r="1642">
          <cell r="Q1642">
            <v>325.45904307527007</v>
          </cell>
        </row>
        <row r="1643">
          <cell r="Q1643">
            <v>1056.9301108698169</v>
          </cell>
        </row>
        <row r="1644">
          <cell r="Q1644">
            <v>1067.2153002676528</v>
          </cell>
        </row>
        <row r="1645">
          <cell r="Q1645">
            <v>-1441.9742137137839</v>
          </cell>
        </row>
        <row r="1646">
          <cell r="Q1646">
            <v>921.83251100257144</v>
          </cell>
        </row>
        <row r="1647">
          <cell r="Q1647">
            <v>2156.043782036028</v>
          </cell>
        </row>
        <row r="1648">
          <cell r="Q1648">
            <v>3337.7159912381799</v>
          </cell>
        </row>
        <row r="1649">
          <cell r="Q1649">
            <v>-2035.8129152048625</v>
          </cell>
        </row>
        <row r="1650">
          <cell r="Q1650">
            <v>-487.29087787739417</v>
          </cell>
        </row>
        <row r="1651">
          <cell r="Q1651">
            <v>-1490.1263958714981</v>
          </cell>
        </row>
        <row r="1652">
          <cell r="Q1652">
            <v>957.14238301407545</v>
          </cell>
        </row>
        <row r="1653">
          <cell r="Q1653">
            <v>-2753.4568858222233</v>
          </cell>
        </row>
        <row r="1654">
          <cell r="Q1654">
            <v>2262.7415579287981</v>
          </cell>
        </row>
        <row r="1655">
          <cell r="Q1655">
            <v>-3211.3826592231476</v>
          </cell>
        </row>
        <row r="1656">
          <cell r="Q1656">
            <v>-1003.0097709495608</v>
          </cell>
        </row>
        <row r="1657">
          <cell r="Q1657">
            <v>1886.8633812747096</v>
          </cell>
        </row>
        <row r="1658">
          <cell r="Q1658">
            <v>868.82125521701255</v>
          </cell>
        </row>
        <row r="1659">
          <cell r="Q1659">
            <v>1802.9517592157538</v>
          </cell>
        </row>
        <row r="1660">
          <cell r="Q1660">
            <v>-252.80276732903422</v>
          </cell>
        </row>
        <row r="1661">
          <cell r="Q1661">
            <v>3727.3005144417093</v>
          </cell>
        </row>
        <row r="1662">
          <cell r="Q1662">
            <v>3488.2771153889021</v>
          </cell>
        </row>
        <row r="1663">
          <cell r="Q1663">
            <v>2249.988502116993</v>
          </cell>
        </row>
        <row r="1664">
          <cell r="Q1664">
            <v>-2367.8350889692742</v>
          </cell>
        </row>
        <row r="1665">
          <cell r="Q1665">
            <v>-366.58819312028135</v>
          </cell>
        </row>
        <row r="1666">
          <cell r="Q1666">
            <v>395.09360355864737</v>
          </cell>
        </row>
        <row r="1667">
          <cell r="Q1667">
            <v>1765.7400592984768</v>
          </cell>
        </row>
        <row r="1668">
          <cell r="Q1668">
            <v>1086.0422102857253</v>
          </cell>
        </row>
        <row r="1669">
          <cell r="Q1669">
            <v>1413.5100598947356</v>
          </cell>
        </row>
        <row r="1670">
          <cell r="Q1670">
            <v>4429.1898151087371</v>
          </cell>
        </row>
        <row r="1671">
          <cell r="Q1671">
            <v>4482.7950032788913</v>
          </cell>
        </row>
        <row r="1672">
          <cell r="Q1672">
            <v>-240.14645243163562</v>
          </cell>
        </row>
        <row r="1673">
          <cell r="Q1673">
            <v>-1251.6964737458745</v>
          </cell>
        </row>
        <row r="1674">
          <cell r="Q1674">
            <v>-439.71254627452873</v>
          </cell>
        </row>
        <row r="1675">
          <cell r="Q1675">
            <v>-1383.1976865979557</v>
          </cell>
        </row>
        <row r="1676">
          <cell r="Q1676">
            <v>2340.1472079439982</v>
          </cell>
        </row>
        <row r="1677">
          <cell r="Q1677">
            <v>769.98348563612069</v>
          </cell>
        </row>
        <row r="1678">
          <cell r="Q1678">
            <v>812.20095301766855</v>
          </cell>
        </row>
        <row r="1679">
          <cell r="Q1679">
            <v>2002.6583813715936</v>
          </cell>
        </row>
        <row r="1680">
          <cell r="Q1680">
            <v>3599.248961329843</v>
          </cell>
        </row>
        <row r="1681">
          <cell r="Q1681">
            <v>-2185.9705423494011</v>
          </cell>
        </row>
        <row r="1682">
          <cell r="Q1682">
            <v>-65.456482577598194</v>
          </cell>
        </row>
        <row r="1683">
          <cell r="Q1683">
            <v>1365.4652341558619</v>
          </cell>
        </row>
        <row r="1684">
          <cell r="Q1684">
            <v>2500.265881135093</v>
          </cell>
        </row>
        <row r="1685">
          <cell r="Q1685">
            <v>2755.8123330341118</v>
          </cell>
        </row>
        <row r="1686">
          <cell r="Q1686">
            <v>-5178.8860953691064</v>
          </cell>
        </row>
        <row r="1687">
          <cell r="Q1687">
            <v>-1608.8930913920424</v>
          </cell>
        </row>
        <row r="1688">
          <cell r="Q1688">
            <v>210.81447439841622</v>
          </cell>
        </row>
        <row r="1689">
          <cell r="Q1689">
            <v>-1449.6726673629605</v>
          </cell>
        </row>
        <row r="1690">
          <cell r="Q1690">
            <v>3054.5341263560554</v>
          </cell>
        </row>
        <row r="1691">
          <cell r="Q1691">
            <v>1740.9847808625525</v>
          </cell>
        </row>
        <row r="1692">
          <cell r="Q1692">
            <v>-248.06670404044502</v>
          </cell>
        </row>
        <row r="1693">
          <cell r="Q1693">
            <v>-1837.7888832832216</v>
          </cell>
        </row>
        <row r="1694">
          <cell r="Q1694">
            <v>2617.8476592750335</v>
          </cell>
        </row>
        <row r="1695">
          <cell r="Q1695">
            <v>1164.4071646213299</v>
          </cell>
        </row>
        <row r="1696">
          <cell r="Q1696">
            <v>2293.3207318102804</v>
          </cell>
        </row>
        <row r="1697">
          <cell r="Q1697">
            <v>1734.8174395770116</v>
          </cell>
        </row>
        <row r="1698">
          <cell r="Q1698">
            <v>-2778.7032447220599</v>
          </cell>
        </row>
        <row r="1699">
          <cell r="Q1699">
            <v>-140.41292693747238</v>
          </cell>
        </row>
        <row r="1700">
          <cell r="Q1700">
            <v>4945.9738676709221</v>
          </cell>
        </row>
        <row r="1701">
          <cell r="Q1701">
            <v>3407.7935116585445</v>
          </cell>
        </row>
        <row r="1702">
          <cell r="Q1702">
            <v>2089.4968619217543</v>
          </cell>
        </row>
        <row r="1703">
          <cell r="Q1703">
            <v>574.02429224010052</v>
          </cell>
        </row>
        <row r="1704">
          <cell r="Q1704">
            <v>-125.23266873455628</v>
          </cell>
        </row>
        <row r="1705">
          <cell r="Q1705">
            <v>3203.1400710678522</v>
          </cell>
        </row>
        <row r="1706">
          <cell r="Q1706">
            <v>77.142901974337747</v>
          </cell>
        </row>
        <row r="1707">
          <cell r="Q1707">
            <v>1294.3391853048374</v>
          </cell>
        </row>
        <row r="1708">
          <cell r="Q1708">
            <v>-1656.7359141694922</v>
          </cell>
        </row>
        <row r="1709">
          <cell r="Q1709">
            <v>-76.531097548777325</v>
          </cell>
        </row>
        <row r="1710">
          <cell r="Q1710">
            <v>1994.5179070738457</v>
          </cell>
        </row>
        <row r="1711">
          <cell r="Q1711">
            <v>-658.31229690225291</v>
          </cell>
        </row>
        <row r="1712">
          <cell r="Q1712">
            <v>1444.8703607966479</v>
          </cell>
        </row>
        <row r="1713">
          <cell r="Q1713">
            <v>2033.6019236930524</v>
          </cell>
        </row>
        <row r="1714">
          <cell r="Q1714">
            <v>-217.14494509252444</v>
          </cell>
        </row>
        <row r="1715">
          <cell r="Q1715">
            <v>302.21665217293446</v>
          </cell>
        </row>
        <row r="1716">
          <cell r="Q1716">
            <v>3275.9365421441648</v>
          </cell>
        </row>
        <row r="1717">
          <cell r="Q1717">
            <v>420.0479538083456</v>
          </cell>
        </row>
        <row r="1718">
          <cell r="Q1718">
            <v>490.14875399224394</v>
          </cell>
        </row>
        <row r="1719">
          <cell r="Q1719">
            <v>767.95709944146336</v>
          </cell>
        </row>
        <row r="1720">
          <cell r="Q1720">
            <v>3750.6893717075291</v>
          </cell>
        </row>
        <row r="1721">
          <cell r="Q1721">
            <v>3652.1912655049528</v>
          </cell>
        </row>
        <row r="1722">
          <cell r="Q1722">
            <v>-356.50465915070805</v>
          </cell>
        </row>
        <row r="1723">
          <cell r="Q1723">
            <v>348.07722460909855</v>
          </cell>
        </row>
        <row r="1724">
          <cell r="Q1724">
            <v>569.54923299535972</v>
          </cell>
        </row>
        <row r="1725">
          <cell r="Q1725">
            <v>2092.5171791067251</v>
          </cell>
        </row>
        <row r="1726">
          <cell r="Q1726">
            <v>-962.91305453489213</v>
          </cell>
        </row>
        <row r="1727">
          <cell r="Q1727">
            <v>-2879.1014009954724</v>
          </cell>
        </row>
        <row r="1728">
          <cell r="Q1728">
            <v>3218.1431954243967</v>
          </cell>
        </row>
        <row r="1729">
          <cell r="Q1729">
            <v>-731.89333684416238</v>
          </cell>
        </row>
        <row r="1730">
          <cell r="Q1730">
            <v>3243.2006465156278</v>
          </cell>
        </row>
        <row r="1731">
          <cell r="Q1731">
            <v>-218.64109813804447</v>
          </cell>
        </row>
        <row r="1732">
          <cell r="Q1732">
            <v>-3029.3543788053553</v>
          </cell>
        </row>
        <row r="1733">
          <cell r="Q1733">
            <v>-3292.3928259068566</v>
          </cell>
        </row>
        <row r="1734">
          <cell r="Q1734">
            <v>5205.0525530479654</v>
          </cell>
        </row>
        <row r="1735">
          <cell r="Q1735">
            <v>2060.5382660199448</v>
          </cell>
        </row>
        <row r="1736">
          <cell r="Q1736">
            <v>-1548.4220055982707</v>
          </cell>
        </row>
        <row r="1737">
          <cell r="Q1737">
            <v>2264.4163745984501</v>
          </cell>
        </row>
        <row r="1738">
          <cell r="Q1738">
            <v>-5325.9491568432277</v>
          </cell>
        </row>
        <row r="1739">
          <cell r="Q1739">
            <v>284.20003479129593</v>
          </cell>
        </row>
        <row r="1740">
          <cell r="Q1740">
            <v>-456.47691136634734</v>
          </cell>
        </row>
        <row r="1741">
          <cell r="Q1741">
            <v>3796.3831948242109</v>
          </cell>
        </row>
        <row r="1742">
          <cell r="Q1742">
            <v>-2991.8545604335063</v>
          </cell>
        </row>
        <row r="1743">
          <cell r="Q1743">
            <v>1703.0230888272133</v>
          </cell>
        </row>
        <row r="1744">
          <cell r="Q1744">
            <v>-5446.0497344092946</v>
          </cell>
        </row>
        <row r="1745">
          <cell r="Q1745">
            <v>1727.6428778308564</v>
          </cell>
        </row>
        <row r="1746">
          <cell r="Q1746">
            <v>1840.5018523265992</v>
          </cell>
        </row>
        <row r="1747">
          <cell r="Q1747">
            <v>-2261.9621746899211</v>
          </cell>
        </row>
        <row r="1748">
          <cell r="Q1748">
            <v>746.88343978687988</v>
          </cell>
        </row>
        <row r="1749">
          <cell r="Q1749">
            <v>-1438.0968691762109</v>
          </cell>
        </row>
        <row r="1750">
          <cell r="Q1750">
            <v>6487.3572750712456</v>
          </cell>
        </row>
        <row r="1751">
          <cell r="Q1751">
            <v>-722.46594937982809</v>
          </cell>
        </row>
        <row r="1752">
          <cell r="Q1752">
            <v>-586.67469284570393</v>
          </cell>
        </row>
        <row r="1753">
          <cell r="Q1753">
            <v>1276.2499442476801</v>
          </cell>
        </row>
        <row r="1754">
          <cell r="Q1754">
            <v>4491.6648370363091</v>
          </cell>
        </row>
        <row r="1755">
          <cell r="Q1755">
            <v>-4419.0055427776251</v>
          </cell>
        </row>
        <row r="1756">
          <cell r="Q1756">
            <v>2483.2850166503463</v>
          </cell>
        </row>
        <row r="1757">
          <cell r="Q1757">
            <v>1851.5010046137959</v>
          </cell>
        </row>
        <row r="1758">
          <cell r="Q1758">
            <v>-1312.8050778866007</v>
          </cell>
        </row>
        <row r="1759">
          <cell r="Q1759">
            <v>1439.343051108006</v>
          </cell>
        </row>
        <row r="1760">
          <cell r="Q1760">
            <v>2586.4750717685415</v>
          </cell>
        </row>
        <row r="1761">
          <cell r="Q1761">
            <v>814.29908772743283</v>
          </cell>
        </row>
        <row r="1762">
          <cell r="Q1762">
            <v>-480.40880723356321</v>
          </cell>
        </row>
        <row r="1763">
          <cell r="Q1763">
            <v>-3573.4238579830394</v>
          </cell>
        </row>
        <row r="1764">
          <cell r="Q1764">
            <v>1132.7583901428288</v>
          </cell>
        </row>
        <row r="1765">
          <cell r="Q1765">
            <v>-1882.0218580660728</v>
          </cell>
        </row>
        <row r="1766">
          <cell r="Q1766">
            <v>726.47901778315861</v>
          </cell>
        </row>
        <row r="1767">
          <cell r="Q1767">
            <v>167.01781938199605</v>
          </cell>
        </row>
        <row r="1768">
          <cell r="Q1768">
            <v>2531.2464511821881</v>
          </cell>
        </row>
        <row r="1769">
          <cell r="Q1769">
            <v>-1096.3560228662714</v>
          </cell>
        </row>
        <row r="1770">
          <cell r="Q1770">
            <v>2630.6816444423621</v>
          </cell>
        </row>
        <row r="1771">
          <cell r="Q1771">
            <v>2145.2459446847265</v>
          </cell>
        </row>
        <row r="1772">
          <cell r="Q1772">
            <v>4081.5126046547371</v>
          </cell>
        </row>
        <row r="1773">
          <cell r="Q1773">
            <v>603.13582513181416</v>
          </cell>
        </row>
        <row r="1774">
          <cell r="Q1774">
            <v>1386.2914394300112</v>
          </cell>
        </row>
        <row r="1775">
          <cell r="Q1775">
            <v>976.54283631976227</v>
          </cell>
        </row>
        <row r="1776">
          <cell r="Q1776">
            <v>2189.2751800625515</v>
          </cell>
        </row>
        <row r="1777">
          <cell r="Q1777">
            <v>186.87642275840264</v>
          </cell>
        </row>
        <row r="1778">
          <cell r="Q1778">
            <v>-1249.0625298970085</v>
          </cell>
        </row>
        <row r="1779">
          <cell r="Q1779">
            <v>1424.3533582153282</v>
          </cell>
        </row>
        <row r="1780">
          <cell r="Q1780">
            <v>62.389674921072185</v>
          </cell>
        </row>
        <row r="1781">
          <cell r="Q1781">
            <v>5232.2000153256104</v>
          </cell>
        </row>
        <row r="1782">
          <cell r="Q1782">
            <v>-9.5929460214256324</v>
          </cell>
        </row>
        <row r="1783">
          <cell r="Q1783">
            <v>1507.886536719147</v>
          </cell>
        </row>
        <row r="1784">
          <cell r="Q1784">
            <v>-2069.6666696369757</v>
          </cell>
        </row>
        <row r="1785">
          <cell r="Q1785">
            <v>-2560.0139946654594</v>
          </cell>
        </row>
        <row r="1786">
          <cell r="Q1786">
            <v>-1001.3902117584535</v>
          </cell>
        </row>
        <row r="1787">
          <cell r="Q1787">
            <v>2389.7153037988301</v>
          </cell>
        </row>
        <row r="1788">
          <cell r="Q1788">
            <v>1745.680840974263</v>
          </cell>
        </row>
        <row r="1789">
          <cell r="Q1789">
            <v>4930.9937305443127</v>
          </cell>
        </row>
        <row r="1790">
          <cell r="Q1790">
            <v>-2112.5720739431517</v>
          </cell>
        </row>
        <row r="1791">
          <cell r="Q1791">
            <v>-783.82363144391911</v>
          </cell>
        </row>
        <row r="1792">
          <cell r="Q1792">
            <v>-3014.9842533910155</v>
          </cell>
        </row>
        <row r="1793">
          <cell r="Q1793">
            <v>-3597.0840913971383</v>
          </cell>
        </row>
        <row r="1794">
          <cell r="Q1794">
            <v>1675.6187745538775</v>
          </cell>
        </row>
        <row r="1795">
          <cell r="Q1795">
            <v>209.55866007676278</v>
          </cell>
        </row>
        <row r="1796">
          <cell r="Q1796">
            <v>1569.4620526131823</v>
          </cell>
        </row>
        <row r="1797">
          <cell r="Q1797">
            <v>-1145.7090535599268</v>
          </cell>
        </row>
        <row r="1798">
          <cell r="Q1798">
            <v>1992.4178220836625</v>
          </cell>
        </row>
        <row r="1799">
          <cell r="Q1799">
            <v>1923.2582216800497</v>
          </cell>
        </row>
        <row r="1800">
          <cell r="Q1800">
            <v>-133.89527477487826</v>
          </cell>
        </row>
        <row r="1801">
          <cell r="Q1801">
            <v>-1092.2414443670784</v>
          </cell>
        </row>
        <row r="1802">
          <cell r="Q1802">
            <v>818.5503926003779</v>
          </cell>
        </row>
        <row r="1803">
          <cell r="Q1803">
            <v>-327.14147756632502</v>
          </cell>
        </row>
        <row r="1804">
          <cell r="Q1804">
            <v>-777.12102971918739</v>
          </cell>
        </row>
        <row r="1805">
          <cell r="Q1805">
            <v>723.57166270070888</v>
          </cell>
        </row>
        <row r="1806">
          <cell r="Q1806">
            <v>3285.3515503556241</v>
          </cell>
        </row>
        <row r="1807">
          <cell r="Q1807">
            <v>-281.65015738914366</v>
          </cell>
        </row>
        <row r="1808">
          <cell r="Q1808">
            <v>773.50382190269045</v>
          </cell>
        </row>
        <row r="1809">
          <cell r="Q1809">
            <v>-376.81111110180331</v>
          </cell>
        </row>
        <row r="1810">
          <cell r="Q1810">
            <v>1566.3340920333017</v>
          </cell>
        </row>
        <row r="1811">
          <cell r="Q1811">
            <v>3075.7000237746756</v>
          </cell>
        </row>
        <row r="1812">
          <cell r="Q1812">
            <v>-404.61471183748694</v>
          </cell>
        </row>
        <row r="1813">
          <cell r="Q1813">
            <v>2416.6849136566652</v>
          </cell>
        </row>
        <row r="1814">
          <cell r="Q1814">
            <v>254.55921512582404</v>
          </cell>
        </row>
        <row r="1815">
          <cell r="Q1815">
            <v>585.5868121309835</v>
          </cell>
        </row>
        <row r="1816">
          <cell r="Q1816">
            <v>3859.638288393563</v>
          </cell>
        </row>
        <row r="1817">
          <cell r="Q1817">
            <v>3927.2779289503405</v>
          </cell>
        </row>
        <row r="1818">
          <cell r="Q1818">
            <v>969.32915543481386</v>
          </cell>
        </row>
        <row r="1819">
          <cell r="Q1819">
            <v>-3229.1501373898896</v>
          </cell>
        </row>
        <row r="1820">
          <cell r="Q1820">
            <v>-1411.8490572493308</v>
          </cell>
        </row>
        <row r="1821">
          <cell r="Q1821">
            <v>-1378.4454984257106</v>
          </cell>
        </row>
        <row r="1822">
          <cell r="Q1822">
            <v>314.06482385881753</v>
          </cell>
        </row>
        <row r="1823">
          <cell r="Q1823">
            <v>-533.94243063182148</v>
          </cell>
        </row>
        <row r="1824">
          <cell r="Q1824">
            <v>-2565.1442471088831</v>
          </cell>
        </row>
        <row r="1825">
          <cell r="Q1825">
            <v>469.70509220245469</v>
          </cell>
        </row>
        <row r="1826">
          <cell r="Q1826">
            <v>-1255.4102460131835</v>
          </cell>
        </row>
        <row r="1827">
          <cell r="Q1827">
            <v>12.871480985036385</v>
          </cell>
        </row>
        <row r="1828">
          <cell r="Q1828">
            <v>-3295.6035965114825</v>
          </cell>
        </row>
        <row r="1829">
          <cell r="Q1829">
            <v>4781.210699982601</v>
          </cell>
        </row>
        <row r="1830">
          <cell r="Q1830">
            <v>1885.2639090087764</v>
          </cell>
        </row>
        <row r="1831">
          <cell r="Q1831">
            <v>-575.45494270238464</v>
          </cell>
        </row>
        <row r="1832">
          <cell r="Q1832">
            <v>531.13973989349461</v>
          </cell>
        </row>
        <row r="1833">
          <cell r="Q1833">
            <v>2424.6372424383562</v>
          </cell>
        </row>
        <row r="1834">
          <cell r="Q1834">
            <v>2792.1174452805863</v>
          </cell>
        </row>
        <row r="1835">
          <cell r="Q1835">
            <v>-3004.8684447335477</v>
          </cell>
        </row>
        <row r="1836">
          <cell r="Q1836">
            <v>768.098886473932</v>
          </cell>
        </row>
        <row r="1837">
          <cell r="Q1837">
            <v>1813.5829755028305</v>
          </cell>
        </row>
        <row r="1838">
          <cell r="Q1838">
            <v>2859.8648863329308</v>
          </cell>
        </row>
        <row r="1839">
          <cell r="Q1839">
            <v>3694.0837551225413</v>
          </cell>
        </row>
        <row r="1840">
          <cell r="Q1840">
            <v>-4654.0541408688241</v>
          </cell>
        </row>
        <row r="1841">
          <cell r="Q1841">
            <v>-3248.308597515168</v>
          </cell>
        </row>
        <row r="1842">
          <cell r="Q1842">
            <v>1955.5465672152598</v>
          </cell>
        </row>
        <row r="1843">
          <cell r="Q1843">
            <v>-1564.8604302811434</v>
          </cell>
        </row>
        <row r="1844">
          <cell r="Q1844">
            <v>-2137.4972006336448</v>
          </cell>
        </row>
        <row r="1845">
          <cell r="Q1845">
            <v>3729.1915569044791</v>
          </cell>
        </row>
        <row r="1846">
          <cell r="Q1846">
            <v>1124.7399536407272</v>
          </cell>
        </row>
        <row r="1847">
          <cell r="Q1847">
            <v>770.53584027081683</v>
          </cell>
        </row>
        <row r="1848">
          <cell r="Q1848">
            <v>-2006.587634034526</v>
          </cell>
        </row>
        <row r="1849">
          <cell r="Q1849">
            <v>-267.51608800077082</v>
          </cell>
        </row>
        <row r="1850">
          <cell r="Q1850">
            <v>747.59908903808787</v>
          </cell>
        </row>
        <row r="1851">
          <cell r="Q1851">
            <v>1379.6740600010191</v>
          </cell>
        </row>
        <row r="1852">
          <cell r="Q1852">
            <v>4074.4964086779173</v>
          </cell>
        </row>
        <row r="1853">
          <cell r="Q1853">
            <v>1040.7038226489574</v>
          </cell>
        </row>
        <row r="1854">
          <cell r="Q1854">
            <v>4369.7939247142813</v>
          </cell>
        </row>
        <row r="1855">
          <cell r="Q1855">
            <v>83.168829352809041</v>
          </cell>
        </row>
        <row r="1856">
          <cell r="Q1856">
            <v>316.15161271892384</v>
          </cell>
        </row>
        <row r="1857">
          <cell r="Q1857">
            <v>-1891.4076415016964</v>
          </cell>
        </row>
        <row r="1858">
          <cell r="Q1858">
            <v>4438.3512495311952</v>
          </cell>
        </row>
        <row r="1859">
          <cell r="Q1859">
            <v>1934.4759576465187</v>
          </cell>
        </row>
        <row r="1860">
          <cell r="Q1860">
            <v>2050.1987460189689</v>
          </cell>
        </row>
        <row r="1861">
          <cell r="Q1861">
            <v>806.25988102388612</v>
          </cell>
        </row>
        <row r="1862">
          <cell r="Q1862">
            <v>978.18271949559676</v>
          </cell>
        </row>
        <row r="1863">
          <cell r="Q1863">
            <v>-234.32709252456317</v>
          </cell>
        </row>
        <row r="1864">
          <cell r="Q1864">
            <v>-2360.2161330653221</v>
          </cell>
        </row>
        <row r="1865">
          <cell r="Q1865">
            <v>1349.2405718591931</v>
          </cell>
        </row>
        <row r="1866">
          <cell r="Q1866">
            <v>-146.01016539550398</v>
          </cell>
        </row>
        <row r="1867">
          <cell r="Q1867">
            <v>2854.5590481771378</v>
          </cell>
        </row>
        <row r="1868">
          <cell r="Q1868">
            <v>-577.05857393427073</v>
          </cell>
        </row>
        <row r="1869">
          <cell r="Q1869">
            <v>-3502.680547946562</v>
          </cell>
        </row>
        <row r="1870">
          <cell r="Q1870">
            <v>-4077.3222196886272</v>
          </cell>
        </row>
        <row r="1871">
          <cell r="Q1871">
            <v>150.51301984586325</v>
          </cell>
        </row>
        <row r="1872">
          <cell r="Q1872">
            <v>-2911.2849433810579</v>
          </cell>
        </row>
        <row r="1873">
          <cell r="Q1873">
            <v>2341.4648891727011</v>
          </cell>
        </row>
        <row r="1874">
          <cell r="Q1874">
            <v>-3238.6604925222077</v>
          </cell>
        </row>
        <row r="1875">
          <cell r="Q1875">
            <v>632.20393570777401</v>
          </cell>
        </row>
        <row r="1876">
          <cell r="Q1876">
            <v>3450.437553711221</v>
          </cell>
        </row>
        <row r="1877">
          <cell r="Q1877">
            <v>3276.1542257397055</v>
          </cell>
        </row>
        <row r="1878">
          <cell r="Q1878">
            <v>-4419.3813281512339</v>
          </cell>
        </row>
        <row r="1879">
          <cell r="Q1879">
            <v>-1942.0798718137655</v>
          </cell>
        </row>
        <row r="1880">
          <cell r="Q1880">
            <v>3678.20293906607</v>
          </cell>
        </row>
        <row r="1881">
          <cell r="Q1881">
            <v>-585.23017252067029</v>
          </cell>
        </row>
        <row r="1882">
          <cell r="Q1882">
            <v>1135.1157042795546</v>
          </cell>
        </row>
        <row r="1883">
          <cell r="Q1883">
            <v>2290.9753323108762</v>
          </cell>
        </row>
        <row r="1884">
          <cell r="Q1884">
            <v>2410.163499983094</v>
          </cell>
        </row>
        <row r="1885">
          <cell r="Q1885">
            <v>401.70220195580873</v>
          </cell>
        </row>
        <row r="1886">
          <cell r="Q1886">
            <v>-2597.6318578877472</v>
          </cell>
        </row>
        <row r="1887">
          <cell r="Q1887">
            <v>5068.0804321893365</v>
          </cell>
        </row>
        <row r="1888">
          <cell r="Q1888">
            <v>-1504.3473664295641</v>
          </cell>
        </row>
        <row r="1889">
          <cell r="Q1889">
            <v>1686.6988831191236</v>
          </cell>
        </row>
        <row r="1890">
          <cell r="Q1890">
            <v>-337.06267114462895</v>
          </cell>
        </row>
        <row r="1891">
          <cell r="Q1891">
            <v>1130.8418012859913</v>
          </cell>
        </row>
        <row r="1892">
          <cell r="Q1892">
            <v>1274.2314767682069</v>
          </cell>
        </row>
        <row r="1893">
          <cell r="Q1893">
            <v>906.15308948102154</v>
          </cell>
        </row>
        <row r="1894">
          <cell r="Q1894">
            <v>1592.4448594202033</v>
          </cell>
        </row>
        <row r="1895">
          <cell r="Q1895">
            <v>6363.6664639616247</v>
          </cell>
        </row>
        <row r="1896">
          <cell r="Q1896">
            <v>1063.4895339854013</v>
          </cell>
        </row>
        <row r="1897">
          <cell r="Q1897">
            <v>4335.8529986571139</v>
          </cell>
        </row>
        <row r="1898">
          <cell r="Q1898">
            <v>-187.56550434776665</v>
          </cell>
        </row>
        <row r="1899">
          <cell r="Q1899">
            <v>1304.7958661842231</v>
          </cell>
        </row>
        <row r="1900">
          <cell r="Q1900">
            <v>-796.57102032599846</v>
          </cell>
        </row>
        <row r="1901">
          <cell r="Q1901">
            <v>2780.9630335123607</v>
          </cell>
        </row>
        <row r="1902">
          <cell r="Q1902">
            <v>245.7277712850171</v>
          </cell>
        </row>
        <row r="1903">
          <cell r="Q1903">
            <v>2526.1156442899992</v>
          </cell>
        </row>
        <row r="1904">
          <cell r="Q1904">
            <v>-460.8303177129871</v>
          </cell>
        </row>
        <row r="1905">
          <cell r="Q1905">
            <v>69.734144014513333</v>
          </cell>
        </row>
        <row r="1906">
          <cell r="Q1906">
            <v>2934.7378057737151</v>
          </cell>
        </row>
        <row r="1907">
          <cell r="Q1907">
            <v>3193.4210163976059</v>
          </cell>
        </row>
        <row r="1908">
          <cell r="Q1908">
            <v>-1427.4334496207503</v>
          </cell>
        </row>
        <row r="1909">
          <cell r="Q1909">
            <v>2146.082897521499</v>
          </cell>
        </row>
        <row r="1910">
          <cell r="Q1910">
            <v>-1709.6485922690592</v>
          </cell>
        </row>
        <row r="1911">
          <cell r="Q1911">
            <v>-631.6714233946152</v>
          </cell>
        </row>
        <row r="1912">
          <cell r="Q1912">
            <v>2147.8106393974263</v>
          </cell>
        </row>
        <row r="1913">
          <cell r="Q1913">
            <v>-1389.3916789501304</v>
          </cell>
        </row>
        <row r="1914">
          <cell r="Q1914">
            <v>2712.4937993256463</v>
          </cell>
        </row>
        <row r="1915">
          <cell r="Q1915">
            <v>3094.6231758742729</v>
          </cell>
        </row>
        <row r="1916">
          <cell r="Q1916">
            <v>851.73614955722701</v>
          </cell>
        </row>
        <row r="1917">
          <cell r="Q1917">
            <v>759.58072661565438</v>
          </cell>
        </row>
        <row r="1918">
          <cell r="Q1918">
            <v>-490.15064866462916</v>
          </cell>
        </row>
        <row r="1919">
          <cell r="Q1919">
            <v>-1185.923892790436</v>
          </cell>
        </row>
        <row r="1920">
          <cell r="Q1920">
            <v>519.21183699107905</v>
          </cell>
        </row>
        <row r="1921">
          <cell r="Q1921">
            <v>-1252.2871470798164</v>
          </cell>
        </row>
        <row r="1922">
          <cell r="Q1922">
            <v>-1301.5908498448434</v>
          </cell>
        </row>
        <row r="1923">
          <cell r="Q1923">
            <v>-610.34256975924313</v>
          </cell>
        </row>
        <row r="1924">
          <cell r="Q1924">
            <v>3372.6705890383964</v>
          </cell>
        </row>
        <row r="1925">
          <cell r="Q1925">
            <v>745.64848001655582</v>
          </cell>
        </row>
        <row r="1926">
          <cell r="Q1926">
            <v>1643.9840960462927</v>
          </cell>
        </row>
        <row r="1927">
          <cell r="Q1927">
            <v>555.60963567168619</v>
          </cell>
        </row>
        <row r="1928">
          <cell r="Q1928">
            <v>-2566.2469497391303</v>
          </cell>
        </row>
        <row r="1929">
          <cell r="Q1929">
            <v>1730.3695257711947</v>
          </cell>
        </row>
        <row r="1930">
          <cell r="Q1930">
            <v>2846.6577206860534</v>
          </cell>
        </row>
        <row r="1931">
          <cell r="Q1931">
            <v>1857.5987946394528</v>
          </cell>
        </row>
        <row r="1932">
          <cell r="Q1932">
            <v>1781.8047946048271</v>
          </cell>
        </row>
        <row r="1933">
          <cell r="Q1933">
            <v>-2179.7614111266662</v>
          </cell>
        </row>
        <row r="1934">
          <cell r="Q1934">
            <v>-6408.0731659326284</v>
          </cell>
        </row>
        <row r="1935">
          <cell r="Q1935">
            <v>-1709.1706104704751</v>
          </cell>
        </row>
        <row r="1936">
          <cell r="Q1936">
            <v>64.294931812296966</v>
          </cell>
        </row>
        <row r="1937">
          <cell r="Q1937">
            <v>579.17242971048779</v>
          </cell>
        </row>
        <row r="1938">
          <cell r="Q1938">
            <v>-1750.5987672626604</v>
          </cell>
        </row>
        <row r="1939">
          <cell r="Q1939">
            <v>-2249.271177026445</v>
          </cell>
        </row>
        <row r="1940">
          <cell r="Q1940">
            <v>3107.2677894842964</v>
          </cell>
        </row>
        <row r="1941">
          <cell r="Q1941">
            <v>3662.1809105154271</v>
          </cell>
        </row>
        <row r="1942">
          <cell r="Q1942">
            <v>-1721.9684106063266</v>
          </cell>
        </row>
        <row r="1943">
          <cell r="Q1943">
            <v>-1436.7039168920267</v>
          </cell>
        </row>
        <row r="1944">
          <cell r="Q1944">
            <v>-578.71945060009443</v>
          </cell>
        </row>
        <row r="1945">
          <cell r="Q1945">
            <v>-3112.9567449143692</v>
          </cell>
        </row>
        <row r="1946">
          <cell r="Q1946">
            <v>-1370.4255950092568</v>
          </cell>
        </row>
        <row r="1947">
          <cell r="Q1947">
            <v>2479.4451542027709</v>
          </cell>
        </row>
        <row r="1948">
          <cell r="Q1948">
            <v>1506.2086638226563</v>
          </cell>
        </row>
        <row r="1949">
          <cell r="Q1949">
            <v>10.119663956541103</v>
          </cell>
        </row>
        <row r="1950">
          <cell r="Q1950">
            <v>-1659.7041190930779</v>
          </cell>
        </row>
        <row r="1951">
          <cell r="Q1951">
            <v>1458.4630953604803</v>
          </cell>
        </row>
        <row r="1952">
          <cell r="Q1952">
            <v>931.07231617126786</v>
          </cell>
        </row>
        <row r="1953">
          <cell r="Q1953">
            <v>245.19918818902599</v>
          </cell>
        </row>
        <row r="1954">
          <cell r="Q1954">
            <v>5515.6564364850719</v>
          </cell>
        </row>
        <row r="1955">
          <cell r="Q1955">
            <v>3366.919572584769</v>
          </cell>
        </row>
        <row r="1956">
          <cell r="Q1956">
            <v>-898.29639191707815</v>
          </cell>
        </row>
        <row r="1957">
          <cell r="Q1957">
            <v>-2156.2578760448</v>
          </cell>
        </row>
        <row r="1958">
          <cell r="Q1958">
            <v>2319.0919850666332</v>
          </cell>
        </row>
        <row r="1959">
          <cell r="Q1959">
            <v>3631.5443648939331</v>
          </cell>
        </row>
        <row r="1960">
          <cell r="Q1960">
            <v>2606.916136846879</v>
          </cell>
        </row>
        <row r="1961">
          <cell r="Q1961">
            <v>-2646.8301378270226</v>
          </cell>
        </row>
        <row r="1962">
          <cell r="Q1962">
            <v>962.92883426501294</v>
          </cell>
        </row>
        <row r="1963">
          <cell r="Q1963">
            <v>-5627.5349612577238</v>
          </cell>
        </row>
        <row r="1964">
          <cell r="Q1964">
            <v>3269.5144601173665</v>
          </cell>
        </row>
        <row r="1965">
          <cell r="Q1965">
            <v>1334.0385188231778</v>
          </cell>
        </row>
        <row r="1966">
          <cell r="Q1966">
            <v>2332.095265629081</v>
          </cell>
        </row>
        <row r="1967">
          <cell r="Q1967">
            <v>446.74366486888846</v>
          </cell>
        </row>
        <row r="1968">
          <cell r="Q1968">
            <v>-527.12620967155794</v>
          </cell>
        </row>
        <row r="1969">
          <cell r="Q1969">
            <v>-1655.5783660996246</v>
          </cell>
        </row>
        <row r="1970">
          <cell r="Q1970">
            <v>-2284.6925819797389</v>
          </cell>
        </row>
        <row r="1971">
          <cell r="Q1971">
            <v>188.42199978092933</v>
          </cell>
        </row>
        <row r="1972">
          <cell r="Q1972">
            <v>892.52227048705595</v>
          </cell>
        </row>
        <row r="1973">
          <cell r="Q1973">
            <v>1700.2079862922205</v>
          </cell>
        </row>
        <row r="1974">
          <cell r="Q1974">
            <v>-1569.8026895134515</v>
          </cell>
        </row>
        <row r="1975">
          <cell r="Q1975">
            <v>-2715.6212434388099</v>
          </cell>
        </row>
        <row r="1976">
          <cell r="Q1976">
            <v>-757.83848265968481</v>
          </cell>
        </row>
        <row r="1977">
          <cell r="Q1977">
            <v>-1015.026906573009</v>
          </cell>
        </row>
        <row r="1978">
          <cell r="Q1978">
            <v>2388.52035929258</v>
          </cell>
        </row>
        <row r="1979">
          <cell r="Q1979">
            <v>-586.43576819845771</v>
          </cell>
        </row>
        <row r="1980">
          <cell r="Q1980">
            <v>-1062.1068827675792</v>
          </cell>
        </row>
        <row r="1981">
          <cell r="Q1981">
            <v>3729.7075172935993</v>
          </cell>
        </row>
        <row r="1982">
          <cell r="Q1982">
            <v>3892.373232622529</v>
          </cell>
        </row>
        <row r="1983">
          <cell r="Q1983">
            <v>-4730.7133003982517</v>
          </cell>
        </row>
        <row r="1984">
          <cell r="Q1984">
            <v>688.84005233593132</v>
          </cell>
        </row>
        <row r="1985">
          <cell r="Q1985">
            <v>526.53883764737691</v>
          </cell>
        </row>
        <row r="1986">
          <cell r="Q1986">
            <v>1069.5625497417768</v>
          </cell>
        </row>
        <row r="1987">
          <cell r="Q1987">
            <v>2464.3353670532847</v>
          </cell>
        </row>
        <row r="1988">
          <cell r="Q1988">
            <v>-1711.3739323317716</v>
          </cell>
        </row>
        <row r="1989">
          <cell r="Q1989">
            <v>-273.89937282867919</v>
          </cell>
        </row>
        <row r="1990">
          <cell r="Q1990">
            <v>3116.4314753607141</v>
          </cell>
        </row>
        <row r="1991">
          <cell r="Q1991">
            <v>309.89056921873777</v>
          </cell>
        </row>
        <row r="1992">
          <cell r="Q1992">
            <v>62.532474605404673</v>
          </cell>
        </row>
        <row r="1993">
          <cell r="Q1993">
            <v>669.16899022013763</v>
          </cell>
        </row>
        <row r="1994">
          <cell r="Q1994">
            <v>243.1807690010983</v>
          </cell>
        </row>
        <row r="1995">
          <cell r="Q1995">
            <v>812.03570013602848</v>
          </cell>
        </row>
        <row r="1996">
          <cell r="Q1996">
            <v>-486.65467135055422</v>
          </cell>
        </row>
        <row r="1997">
          <cell r="Q1997">
            <v>755.45090487738207</v>
          </cell>
        </row>
        <row r="1998">
          <cell r="Q1998">
            <v>440.10854506502909</v>
          </cell>
        </row>
        <row r="1999">
          <cell r="Q1999">
            <v>633.65644264227785</v>
          </cell>
        </row>
        <row r="2000">
          <cell r="Q2000">
            <v>859.30452469074726</v>
          </cell>
        </row>
        <row r="2001">
          <cell r="Q2001">
            <v>499.46135762020879</v>
          </cell>
        </row>
        <row r="2002">
          <cell r="Q2002">
            <v>4264.4172694167082</v>
          </cell>
        </row>
        <row r="2003">
          <cell r="Q2003">
            <v>3722.3554481065303</v>
          </cell>
        </row>
        <row r="2004">
          <cell r="Q2004">
            <v>-992.67008584595055</v>
          </cell>
        </row>
        <row r="2005">
          <cell r="Q2005">
            <v>-1334.585598495258</v>
          </cell>
        </row>
        <row r="2006">
          <cell r="Q2006">
            <v>6341.1776976353567</v>
          </cell>
        </row>
        <row r="2007">
          <cell r="Q2007">
            <v>-2571.2487651944384</v>
          </cell>
        </row>
        <row r="2008">
          <cell r="Q2008">
            <v>-1347.4580344269173</v>
          </cell>
        </row>
        <row r="2009">
          <cell r="Q2009">
            <v>-142.16496700731597</v>
          </cell>
        </row>
        <row r="2010">
          <cell r="Q2010">
            <v>946.05567653237404</v>
          </cell>
        </row>
        <row r="2011">
          <cell r="Q2011">
            <v>-544.19047752232109</v>
          </cell>
        </row>
        <row r="2012">
          <cell r="Q2012">
            <v>840.59541964357027</v>
          </cell>
        </row>
        <row r="2013">
          <cell r="Q2013">
            <v>1883.4586936809471</v>
          </cell>
        </row>
        <row r="2014">
          <cell r="Q2014">
            <v>1138.6274465203644</v>
          </cell>
        </row>
        <row r="2015">
          <cell r="Q2015">
            <v>-670.31397616054574</v>
          </cell>
        </row>
        <row r="2016">
          <cell r="Q2016">
            <v>3253.5146355339634</v>
          </cell>
        </row>
        <row r="2017">
          <cell r="Q2017">
            <v>-1941.7544239304023</v>
          </cell>
        </row>
        <row r="2018">
          <cell r="Q2018">
            <v>-1086.9709075433909</v>
          </cell>
        </row>
        <row r="2019">
          <cell r="Q2019">
            <v>-143.99945866831371</v>
          </cell>
        </row>
        <row r="2020">
          <cell r="Q2020">
            <v>-836.34703934476875</v>
          </cell>
        </row>
        <row r="2021">
          <cell r="Q2021">
            <v>-1485.2110056376141</v>
          </cell>
        </row>
        <row r="2022">
          <cell r="Q2022">
            <v>-3149.5112921850541</v>
          </cell>
        </row>
        <row r="2023">
          <cell r="Q2023">
            <v>-936.66729758528618</v>
          </cell>
        </row>
        <row r="2024">
          <cell r="Q2024">
            <v>-1572.4135714315689</v>
          </cell>
        </row>
        <row r="2025">
          <cell r="Q2025">
            <v>-3164.7645452820434</v>
          </cell>
        </row>
        <row r="2026">
          <cell r="Q2026">
            <v>-58.914707126708208</v>
          </cell>
        </row>
        <row r="2027">
          <cell r="Q2027">
            <v>95.488985815900435</v>
          </cell>
        </row>
        <row r="2028">
          <cell r="Q2028">
            <v>400.73843963906012</v>
          </cell>
        </row>
        <row r="2029">
          <cell r="Q2029">
            <v>-3758.8739754813878</v>
          </cell>
        </row>
        <row r="2030">
          <cell r="Q2030">
            <v>-398.24958828855614</v>
          </cell>
        </row>
        <row r="2031">
          <cell r="Q2031">
            <v>779.25031949601248</v>
          </cell>
        </row>
        <row r="2032">
          <cell r="Q2032">
            <v>1925.6207630067554</v>
          </cell>
        </row>
        <row r="2033">
          <cell r="Q2033">
            <v>1837.4372290049523</v>
          </cell>
        </row>
        <row r="2034">
          <cell r="Q2034">
            <v>41.028084888834996</v>
          </cell>
        </row>
        <row r="2035">
          <cell r="Q2035">
            <v>66.726277373853975</v>
          </cell>
        </row>
        <row r="2036">
          <cell r="Q2036">
            <v>494.03021950069621</v>
          </cell>
        </row>
        <row r="2037">
          <cell r="Q2037">
            <v>-189.12303557663273</v>
          </cell>
        </row>
        <row r="2038">
          <cell r="Q2038">
            <v>-2982.1719069955316</v>
          </cell>
        </row>
        <row r="2039">
          <cell r="Q2039">
            <v>3561.6475228846098</v>
          </cell>
        </row>
        <row r="2040">
          <cell r="Q2040">
            <v>650.09193104283293</v>
          </cell>
        </row>
        <row r="2041">
          <cell r="Q2041">
            <v>2456.7696528113456</v>
          </cell>
        </row>
        <row r="2042">
          <cell r="Q2042">
            <v>-2563.5549504535916</v>
          </cell>
        </row>
        <row r="2043">
          <cell r="Q2043">
            <v>1222.6073098032327</v>
          </cell>
        </row>
        <row r="2044">
          <cell r="Q2044">
            <v>-216.61143850555783</v>
          </cell>
        </row>
        <row r="2045">
          <cell r="Q2045">
            <v>601.46236357041857</v>
          </cell>
        </row>
        <row r="2046">
          <cell r="Q2046">
            <v>-2909.1009122489818</v>
          </cell>
        </row>
        <row r="2047">
          <cell r="Q2047">
            <v>-1833.072817119916</v>
          </cell>
        </row>
        <row r="2048">
          <cell r="Q2048">
            <v>-2507.2920647886494</v>
          </cell>
        </row>
        <row r="2049">
          <cell r="Q2049">
            <v>-2284.3633030110213</v>
          </cell>
        </row>
        <row r="2050">
          <cell r="Q2050">
            <v>-169.49750958983219</v>
          </cell>
        </row>
        <row r="2051">
          <cell r="Q2051">
            <v>509.16260024579384</v>
          </cell>
        </row>
        <row r="2052">
          <cell r="Q2052">
            <v>2448.3169681887557</v>
          </cell>
        </row>
        <row r="2053">
          <cell r="Q2053">
            <v>-318.94143729938111</v>
          </cell>
        </row>
        <row r="2054">
          <cell r="Q2054">
            <v>419.3403167903648</v>
          </cell>
        </row>
        <row r="2055">
          <cell r="Q2055">
            <v>2.1094723725492486</v>
          </cell>
        </row>
        <row r="2056">
          <cell r="Q2056">
            <v>-2343.9397567557967</v>
          </cell>
        </row>
        <row r="2057">
          <cell r="Q2057">
            <v>3548.909326605793</v>
          </cell>
        </row>
        <row r="2058">
          <cell r="Q2058">
            <v>2697.9085044602662</v>
          </cell>
        </row>
        <row r="2059">
          <cell r="Q2059">
            <v>-193.04682978272245</v>
          </cell>
        </row>
        <row r="2060">
          <cell r="Q2060">
            <v>2551.3140739153914</v>
          </cell>
        </row>
        <row r="2061">
          <cell r="Q2061">
            <v>5334.0002441572542</v>
          </cell>
        </row>
        <row r="2062">
          <cell r="Q2062">
            <v>-1789.2178952127008</v>
          </cell>
        </row>
        <row r="2063">
          <cell r="Q2063">
            <v>1409.2153161987169</v>
          </cell>
        </row>
        <row r="2064">
          <cell r="Q2064">
            <v>98.243742936011927</v>
          </cell>
        </row>
        <row r="2065">
          <cell r="Q2065">
            <v>-586.29295254338672</v>
          </cell>
        </row>
        <row r="2066">
          <cell r="Q2066">
            <v>1349.7991354714543</v>
          </cell>
        </row>
        <row r="2067">
          <cell r="Q2067">
            <v>-612.7523121569609</v>
          </cell>
        </row>
        <row r="2068">
          <cell r="Q2068">
            <v>1180.2805063734495</v>
          </cell>
        </row>
        <row r="2069">
          <cell r="Q2069">
            <v>4460.7670745934902</v>
          </cell>
        </row>
        <row r="2070">
          <cell r="Q2070">
            <v>1736.3798747306855</v>
          </cell>
        </row>
        <row r="2071">
          <cell r="Q2071">
            <v>1605.7996646184195</v>
          </cell>
        </row>
        <row r="2072">
          <cell r="Q2072">
            <v>-277.72729196221388</v>
          </cell>
        </row>
        <row r="2073">
          <cell r="Q2073">
            <v>-404.35585099956194</v>
          </cell>
        </row>
        <row r="2074">
          <cell r="Q2074">
            <v>1852.196056907246</v>
          </cell>
        </row>
        <row r="2075">
          <cell r="Q2075">
            <v>1017.0830800192196</v>
          </cell>
        </row>
        <row r="2076">
          <cell r="Q2076">
            <v>-3602.701920837837</v>
          </cell>
        </row>
        <row r="2077">
          <cell r="Q2077">
            <v>87.929388355530364</v>
          </cell>
        </row>
        <row r="2078">
          <cell r="Q2078">
            <v>2255.7200709259873</v>
          </cell>
        </row>
        <row r="2079">
          <cell r="Q2079">
            <v>-193.44737058577624</v>
          </cell>
        </row>
        <row r="2080">
          <cell r="Q2080">
            <v>444.08235451751796</v>
          </cell>
        </row>
        <row r="2081">
          <cell r="Q2081">
            <v>-4118.3207579152431</v>
          </cell>
        </row>
        <row r="2082">
          <cell r="Q2082">
            <v>-1226.4505043868116</v>
          </cell>
        </row>
        <row r="2083">
          <cell r="Q2083">
            <v>-1280.2317471662102</v>
          </cell>
        </row>
        <row r="2084">
          <cell r="Q2084">
            <v>814.9024552615175</v>
          </cell>
        </row>
        <row r="2085">
          <cell r="Q2085">
            <v>-4660.2720904465814</v>
          </cell>
        </row>
        <row r="2086">
          <cell r="Q2086">
            <v>522.16714648784659</v>
          </cell>
        </row>
        <row r="2087">
          <cell r="Q2087">
            <v>455.56875002537248</v>
          </cell>
        </row>
        <row r="2088">
          <cell r="Q2088">
            <v>-673.49753341674864</v>
          </cell>
        </row>
        <row r="2089">
          <cell r="Q2089">
            <v>-3274.50176235762</v>
          </cell>
        </row>
        <row r="2090">
          <cell r="Q2090">
            <v>987.46668811714312</v>
          </cell>
        </row>
        <row r="2091">
          <cell r="Q2091">
            <v>3855.9025472937601</v>
          </cell>
        </row>
        <row r="2092">
          <cell r="Q2092">
            <v>-2402.8122153310492</v>
          </cell>
        </row>
        <row r="2093">
          <cell r="Q2093">
            <v>4856.6719105585153</v>
          </cell>
        </row>
        <row r="2094">
          <cell r="Q2094">
            <v>-1826.7359803343531</v>
          </cell>
        </row>
        <row r="2095">
          <cell r="Q2095">
            <v>201.97860016268797</v>
          </cell>
        </row>
        <row r="2096">
          <cell r="Q2096">
            <v>372.1096208032061</v>
          </cell>
        </row>
        <row r="2097">
          <cell r="Q2097">
            <v>988.60065983849404</v>
          </cell>
        </row>
        <row r="2098">
          <cell r="Q2098">
            <v>1068.5155519998848</v>
          </cell>
        </row>
        <row r="2099">
          <cell r="Q2099">
            <v>-1339.7877177693372</v>
          </cell>
        </row>
        <row r="2100">
          <cell r="Q2100">
            <v>-253.12395994188915</v>
          </cell>
        </row>
        <row r="2101">
          <cell r="Q2101">
            <v>937.62599193777532</v>
          </cell>
        </row>
        <row r="2102">
          <cell r="Q2102">
            <v>-2878.1899341374674</v>
          </cell>
        </row>
        <row r="2103">
          <cell r="Q2103">
            <v>562.86366126987696</v>
          </cell>
        </row>
        <row r="2104">
          <cell r="Q2104">
            <v>-2133.215984806593</v>
          </cell>
        </row>
        <row r="2105">
          <cell r="Q2105">
            <v>-652.1259894279417</v>
          </cell>
        </row>
        <row r="2106">
          <cell r="Q2106">
            <v>-2149.2306316927406</v>
          </cell>
        </row>
        <row r="2107">
          <cell r="Q2107">
            <v>2093.8842667420467</v>
          </cell>
        </row>
        <row r="2108">
          <cell r="Q2108">
            <v>-2108.7153576198816</v>
          </cell>
        </row>
        <row r="2109">
          <cell r="Q2109">
            <v>-1187.267483042112</v>
          </cell>
        </row>
        <row r="2110">
          <cell r="Q2110">
            <v>4411.8863657382462</v>
          </cell>
        </row>
        <row r="2111">
          <cell r="Q2111">
            <v>3640.6085662441515</v>
          </cell>
        </row>
        <row r="2112">
          <cell r="Q2112">
            <v>-2434.3977228471254</v>
          </cell>
        </row>
        <row r="2113">
          <cell r="Q2113">
            <v>-2347.911515600963</v>
          </cell>
        </row>
        <row r="2114">
          <cell r="Q2114">
            <v>4408.386828914774</v>
          </cell>
        </row>
        <row r="2115">
          <cell r="Q2115">
            <v>-1877.8035987208348</v>
          </cell>
        </row>
        <row r="2116">
          <cell r="Q2116">
            <v>766.9290816927487</v>
          </cell>
        </row>
        <row r="2117">
          <cell r="Q2117">
            <v>1206.2527898143039</v>
          </cell>
        </row>
        <row r="2118">
          <cell r="Q2118">
            <v>3208.819721306711</v>
          </cell>
        </row>
        <row r="2119">
          <cell r="Q2119">
            <v>1577.2774575196108</v>
          </cell>
        </row>
        <row r="2120">
          <cell r="Q2120">
            <v>-1208.1094170712975</v>
          </cell>
        </row>
        <row r="2121">
          <cell r="Q2121">
            <v>1966.8102530348642</v>
          </cell>
        </row>
        <row r="2122">
          <cell r="Q2122">
            <v>1239.9718773552472</v>
          </cell>
        </row>
        <row r="2123">
          <cell r="Q2123">
            <v>1659.8474736742714</v>
          </cell>
        </row>
        <row r="2124">
          <cell r="Q2124">
            <v>-504.96037476256816</v>
          </cell>
        </row>
        <row r="2125">
          <cell r="Q2125">
            <v>2942.0529049588508</v>
          </cell>
        </row>
        <row r="2126">
          <cell r="Q2126">
            <v>-1874.7651894098046</v>
          </cell>
        </row>
        <row r="2127">
          <cell r="Q2127">
            <v>-2233.2927666663036</v>
          </cell>
        </row>
        <row r="2128">
          <cell r="Q2128">
            <v>874.8104361842735</v>
          </cell>
        </row>
        <row r="2129">
          <cell r="Q2129">
            <v>-1377.3029714374657</v>
          </cell>
        </row>
        <row r="2130">
          <cell r="Q2130">
            <v>955.93254777844299</v>
          </cell>
        </row>
        <row r="2131">
          <cell r="Q2131">
            <v>-1446.40164274834</v>
          </cell>
        </row>
        <row r="2132">
          <cell r="Q2132">
            <v>1988.9324441910883</v>
          </cell>
        </row>
        <row r="2133">
          <cell r="Q2133">
            <v>4146.4137202905658</v>
          </cell>
        </row>
        <row r="2134">
          <cell r="Q2134">
            <v>-171.42397881191818</v>
          </cell>
        </row>
        <row r="2135">
          <cell r="Q2135">
            <v>1004.4710433023224</v>
          </cell>
        </row>
        <row r="2136">
          <cell r="Q2136">
            <v>279.52916245100317</v>
          </cell>
        </row>
        <row r="2137">
          <cell r="Q2137">
            <v>1615.6419538550147</v>
          </cell>
        </row>
        <row r="2138">
          <cell r="Q2138">
            <v>694.03317972655441</v>
          </cell>
        </row>
        <row r="2139">
          <cell r="Q2139">
            <v>1239.9115251278286</v>
          </cell>
        </row>
        <row r="2140">
          <cell r="Q2140">
            <v>6266.866718063734</v>
          </cell>
        </row>
        <row r="2141">
          <cell r="Q2141">
            <v>1874.3480207486064</v>
          </cell>
        </row>
        <row r="2142">
          <cell r="Q2142">
            <v>-1032.2856707434514</v>
          </cell>
        </row>
        <row r="2143">
          <cell r="Q2143">
            <v>-2292.382754271483</v>
          </cell>
        </row>
        <row r="2144">
          <cell r="Q2144">
            <v>910.00545693848699</v>
          </cell>
        </row>
        <row r="2145">
          <cell r="Q2145">
            <v>-1530.2017399802128</v>
          </cell>
        </row>
        <row r="2146">
          <cell r="Q2146">
            <v>-2043.8182194090748</v>
          </cell>
        </row>
        <row r="2147">
          <cell r="Q2147">
            <v>-1208.6904253131461</v>
          </cell>
        </row>
        <row r="2148">
          <cell r="Q2148">
            <v>-2659.6014151106292</v>
          </cell>
        </row>
        <row r="2149">
          <cell r="Q2149">
            <v>1378.4874539770826</v>
          </cell>
        </row>
        <row r="2150">
          <cell r="Q2150">
            <v>195.22447756132513</v>
          </cell>
        </row>
        <row r="2151">
          <cell r="Q2151">
            <v>4174.2258786212278</v>
          </cell>
        </row>
        <row r="2152">
          <cell r="Q2152">
            <v>-2517.3927166492422</v>
          </cell>
        </row>
        <row r="2153">
          <cell r="Q2153">
            <v>322.39216626635641</v>
          </cell>
        </row>
        <row r="2154">
          <cell r="Q2154">
            <v>3869.4259753719607</v>
          </cell>
        </row>
        <row r="2155">
          <cell r="Q2155">
            <v>-1694.3446069195113</v>
          </cell>
        </row>
        <row r="2156">
          <cell r="Q2156">
            <v>-129.00983106147311</v>
          </cell>
        </row>
        <row r="2157">
          <cell r="Q2157">
            <v>1417.8548509826458</v>
          </cell>
        </row>
        <row r="2158">
          <cell r="Q2158">
            <v>1591.9914062131124</v>
          </cell>
        </row>
        <row r="2159">
          <cell r="Q2159">
            <v>2207.1148848336898</v>
          </cell>
        </row>
        <row r="2160">
          <cell r="Q2160">
            <v>-83.446469252675854</v>
          </cell>
        </row>
        <row r="2161">
          <cell r="Q2161">
            <v>1063.9347179840552</v>
          </cell>
        </row>
        <row r="2162">
          <cell r="Q2162">
            <v>-2512.6263435033393</v>
          </cell>
        </row>
        <row r="2163">
          <cell r="Q2163">
            <v>1989.1379549106857</v>
          </cell>
        </row>
        <row r="2164">
          <cell r="Q2164">
            <v>-351.60363041704028</v>
          </cell>
        </row>
        <row r="2165">
          <cell r="Q2165">
            <v>505.63603550426285</v>
          </cell>
        </row>
        <row r="2166">
          <cell r="Q2166">
            <v>-1681.5927781321714</v>
          </cell>
        </row>
        <row r="2167">
          <cell r="Q2167">
            <v>167.27624722429715</v>
          </cell>
        </row>
        <row r="2168">
          <cell r="Q2168">
            <v>-44.734514903020852</v>
          </cell>
        </row>
        <row r="2169">
          <cell r="Q2169">
            <v>-574.29519566903468</v>
          </cell>
        </row>
        <row r="2170">
          <cell r="Q2170">
            <v>2446.5171570487419</v>
          </cell>
        </row>
        <row r="2171">
          <cell r="Q2171">
            <v>-2648.8955596203677</v>
          </cell>
        </row>
        <row r="2172">
          <cell r="Q2172">
            <v>1738.516484600905</v>
          </cell>
        </row>
        <row r="2173">
          <cell r="Q2173">
            <v>-758.21345571726033</v>
          </cell>
        </row>
        <row r="2174">
          <cell r="Q2174">
            <v>2916.0837382738155</v>
          </cell>
        </row>
        <row r="2175">
          <cell r="Q2175">
            <v>1063.3411295995688</v>
          </cell>
        </row>
        <row r="2176">
          <cell r="Q2176">
            <v>813.12267544551355</v>
          </cell>
        </row>
        <row r="2177">
          <cell r="Q2177">
            <v>-507.02794846875059</v>
          </cell>
        </row>
        <row r="2178">
          <cell r="Q2178">
            <v>-1987.0986672417282</v>
          </cell>
        </row>
        <row r="2179">
          <cell r="Q2179">
            <v>-101.65994862630794</v>
          </cell>
        </row>
        <row r="2180">
          <cell r="Q2180">
            <v>-2743.0375778466764</v>
          </cell>
        </row>
        <row r="2181">
          <cell r="Q2181">
            <v>-1375.2366150254097</v>
          </cell>
        </row>
        <row r="2182">
          <cell r="Q2182">
            <v>1352.744848123021</v>
          </cell>
        </row>
        <row r="2183">
          <cell r="Q2183">
            <v>-2035.9932029149143</v>
          </cell>
        </row>
        <row r="2184">
          <cell r="Q2184">
            <v>1741.1672670173607</v>
          </cell>
        </row>
        <row r="2185">
          <cell r="Q2185">
            <v>-2733.259387345186</v>
          </cell>
        </row>
        <row r="2186">
          <cell r="Q2186">
            <v>3327.9707956139323</v>
          </cell>
        </row>
        <row r="2187">
          <cell r="Q2187">
            <v>-211.07031869506665</v>
          </cell>
        </row>
        <row r="2188">
          <cell r="Q2188">
            <v>-2394.3523318626021</v>
          </cell>
        </row>
        <row r="2189">
          <cell r="Q2189">
            <v>1469.4746453122814</v>
          </cell>
        </row>
        <row r="2190">
          <cell r="Q2190">
            <v>582.35609262660353</v>
          </cell>
        </row>
        <row r="2191">
          <cell r="Q2191">
            <v>1485.5412718876057</v>
          </cell>
        </row>
        <row r="2192">
          <cell r="Q2192">
            <v>-2303.5537516984405</v>
          </cell>
        </row>
        <row r="2193">
          <cell r="Q2193">
            <v>-543.12721020643426</v>
          </cell>
        </row>
        <row r="2194">
          <cell r="Q2194">
            <v>-2283.2297113470659</v>
          </cell>
        </row>
        <row r="2195">
          <cell r="Q2195">
            <v>2996.9840350587206</v>
          </cell>
        </row>
        <row r="2196">
          <cell r="Q2196">
            <v>-1963.5743720871067</v>
          </cell>
        </row>
        <row r="2197">
          <cell r="Q2197">
            <v>-393.52833611306056</v>
          </cell>
        </row>
        <row r="2198">
          <cell r="Q2198">
            <v>-288.72771108067622</v>
          </cell>
        </row>
        <row r="2199">
          <cell r="Q2199">
            <v>-878.56398662275569</v>
          </cell>
        </row>
        <row r="2200">
          <cell r="Q2200">
            <v>2588.5914450082505</v>
          </cell>
        </row>
        <row r="2201">
          <cell r="Q2201">
            <v>2105.7657471660868</v>
          </cell>
        </row>
        <row r="2202">
          <cell r="Q2202">
            <v>788.36796393652025</v>
          </cell>
        </row>
        <row r="2203">
          <cell r="Q2203">
            <v>255.90342229306918</v>
          </cell>
        </row>
        <row r="2204">
          <cell r="Q2204">
            <v>-360.9058337791285</v>
          </cell>
        </row>
        <row r="2205">
          <cell r="Q2205">
            <v>3733.6192338455303</v>
          </cell>
        </row>
        <row r="2206">
          <cell r="Q2206">
            <v>342.11779080311209</v>
          </cell>
        </row>
        <row r="2207">
          <cell r="Q2207">
            <v>1781.2209847021479</v>
          </cell>
        </row>
        <row r="2208">
          <cell r="Q2208">
            <v>-2600.647851495185</v>
          </cell>
        </row>
        <row r="2209">
          <cell r="Q2209">
            <v>1658.5868057187456</v>
          </cell>
        </row>
        <row r="2210">
          <cell r="Q2210">
            <v>52.107273403992622</v>
          </cell>
        </row>
        <row r="2211">
          <cell r="Q2211">
            <v>674.78736001872687</v>
          </cell>
        </row>
        <row r="2212">
          <cell r="Q2212">
            <v>1516.1289838872221</v>
          </cell>
        </row>
        <row r="2213">
          <cell r="Q2213">
            <v>2200.1362049903496</v>
          </cell>
        </row>
        <row r="2214">
          <cell r="Q2214">
            <v>-629.2141165266803</v>
          </cell>
        </row>
        <row r="2215">
          <cell r="Q2215">
            <v>-99.751431355068291</v>
          </cell>
        </row>
        <row r="2216">
          <cell r="Q2216">
            <v>578.55695628968158</v>
          </cell>
        </row>
        <row r="2217">
          <cell r="Q2217">
            <v>-73.04235126392382</v>
          </cell>
        </row>
        <row r="2218">
          <cell r="Q2218">
            <v>-867.46589721350688</v>
          </cell>
        </row>
        <row r="2219">
          <cell r="Q2219">
            <v>-1550.7432940410208</v>
          </cell>
        </row>
        <row r="2220">
          <cell r="Q2220">
            <v>-1754.1863918449428</v>
          </cell>
        </row>
        <row r="2221">
          <cell r="Q2221">
            <v>3327.9485386235365</v>
          </cell>
        </row>
        <row r="2222">
          <cell r="Q2222">
            <v>-30.826964377255365</v>
          </cell>
        </row>
        <row r="2223">
          <cell r="Q2223">
            <v>-701.96404196501476</v>
          </cell>
        </row>
        <row r="2224">
          <cell r="Q2224">
            <v>2566.4674137578631</v>
          </cell>
        </row>
        <row r="2225">
          <cell r="Q2225">
            <v>-128.94520038301863</v>
          </cell>
        </row>
        <row r="2226">
          <cell r="Q2226">
            <v>-1731.4835261421074</v>
          </cell>
        </row>
        <row r="2227">
          <cell r="Q2227">
            <v>37.174985517924199</v>
          </cell>
        </row>
        <row r="2228">
          <cell r="Q2228">
            <v>417.40877307676197</v>
          </cell>
        </row>
        <row r="2229">
          <cell r="Q2229">
            <v>-1424.1755228231707</v>
          </cell>
        </row>
        <row r="2230">
          <cell r="Q2230">
            <v>4965.534567457642</v>
          </cell>
        </row>
        <row r="2231">
          <cell r="Q2231">
            <v>2895.0207603281656</v>
          </cell>
        </row>
        <row r="2232">
          <cell r="Q2232">
            <v>-1013.0246149669924</v>
          </cell>
        </row>
        <row r="2233">
          <cell r="Q2233">
            <v>930.35117213049466</v>
          </cell>
        </row>
        <row r="2234">
          <cell r="Q2234">
            <v>491.61489576572967</v>
          </cell>
        </row>
        <row r="2235">
          <cell r="Q2235">
            <v>-2685.8707787279855</v>
          </cell>
        </row>
        <row r="2236">
          <cell r="Q2236">
            <v>279.2025955984347</v>
          </cell>
        </row>
        <row r="2237">
          <cell r="Q2237">
            <v>-4800.1858656678414</v>
          </cell>
        </row>
        <row r="2238">
          <cell r="Q2238">
            <v>-410.08119208459135</v>
          </cell>
        </row>
        <row r="2239">
          <cell r="Q2239">
            <v>-1198.0871519902312</v>
          </cell>
        </row>
        <row r="2240">
          <cell r="Q2240">
            <v>3988.8905381474278</v>
          </cell>
        </row>
        <row r="2241">
          <cell r="Q2241">
            <v>5056.6019705137132</v>
          </cell>
        </row>
        <row r="2242">
          <cell r="Q2242">
            <v>-58.424858460090263</v>
          </cell>
        </row>
        <row r="2243">
          <cell r="Q2243">
            <v>-1390.6570889758082</v>
          </cell>
        </row>
        <row r="2244">
          <cell r="Q2244">
            <v>1697.5205284355939</v>
          </cell>
        </row>
        <row r="2245">
          <cell r="Q2245">
            <v>927.62079348163161</v>
          </cell>
        </row>
        <row r="2246">
          <cell r="Q2246">
            <v>-189.6451520827307</v>
          </cell>
        </row>
        <row r="2247">
          <cell r="Q2247">
            <v>-2950.8840974637869</v>
          </cell>
        </row>
        <row r="2248">
          <cell r="Q2248">
            <v>2020.018103735722</v>
          </cell>
        </row>
        <row r="2249">
          <cell r="Q2249">
            <v>2494.6300413763583</v>
          </cell>
        </row>
        <row r="2250">
          <cell r="Q2250">
            <v>1365.6360895263299</v>
          </cell>
        </row>
        <row r="2251">
          <cell r="Q2251">
            <v>-320.99799589484684</v>
          </cell>
        </row>
        <row r="2252">
          <cell r="Q2252">
            <v>-371.88322533014701</v>
          </cell>
        </row>
        <row r="2253">
          <cell r="Q2253">
            <v>-454.17211657019885</v>
          </cell>
        </row>
        <row r="2254">
          <cell r="Q2254">
            <v>3057.2893747860462</v>
          </cell>
        </row>
        <row r="2255">
          <cell r="Q2255">
            <v>2391.563265718913</v>
          </cell>
        </row>
        <row r="2256">
          <cell r="Q2256">
            <v>118.9139769000198</v>
          </cell>
        </row>
        <row r="2257">
          <cell r="Q2257">
            <v>1191.7382672478964</v>
          </cell>
        </row>
        <row r="2258">
          <cell r="Q2258">
            <v>1867.3243107416704</v>
          </cell>
        </row>
        <row r="2259">
          <cell r="Q2259">
            <v>269.64066943527678</v>
          </cell>
        </row>
        <row r="2260">
          <cell r="Q2260">
            <v>-1022.1059630480329</v>
          </cell>
        </row>
        <row r="2261">
          <cell r="Q2261">
            <v>141.1248969393435</v>
          </cell>
        </row>
        <row r="2262">
          <cell r="Q2262">
            <v>-1686.2556846220029</v>
          </cell>
        </row>
        <row r="2263">
          <cell r="Q2263">
            <v>1109.0344653788068</v>
          </cell>
        </row>
        <row r="2264">
          <cell r="Q2264">
            <v>3980.6079598348565</v>
          </cell>
        </row>
        <row r="2265">
          <cell r="Q2265">
            <v>131.21102093079156</v>
          </cell>
        </row>
        <row r="2266">
          <cell r="Q2266">
            <v>-1783.5894507721193</v>
          </cell>
        </row>
        <row r="2267">
          <cell r="Q2267">
            <v>-2629.03013927235</v>
          </cell>
        </row>
        <row r="2268">
          <cell r="Q2268">
            <v>833.04728405989226</v>
          </cell>
        </row>
        <row r="2269">
          <cell r="Q2269">
            <v>2168.1197239786566</v>
          </cell>
        </row>
        <row r="2270">
          <cell r="Q2270">
            <v>-1109.0650952556737</v>
          </cell>
        </row>
        <row r="2271">
          <cell r="Q2271">
            <v>-841.67114624296369</v>
          </cell>
        </row>
        <row r="2272">
          <cell r="Q2272">
            <v>208.1138080544431</v>
          </cell>
        </row>
        <row r="2273">
          <cell r="Q2273">
            <v>2265.2360384090703</v>
          </cell>
        </row>
        <row r="2274">
          <cell r="Q2274">
            <v>-1263.2928878978848</v>
          </cell>
        </row>
        <row r="2275">
          <cell r="Q2275">
            <v>496.73617750641739</v>
          </cell>
        </row>
        <row r="2276">
          <cell r="Q2276">
            <v>-3756.2265651347579</v>
          </cell>
        </row>
        <row r="2277">
          <cell r="Q2277">
            <v>-1144.5497642482239</v>
          </cell>
        </row>
        <row r="2278">
          <cell r="Q2278">
            <v>648.78406515098095</v>
          </cell>
        </row>
        <row r="2279">
          <cell r="Q2279">
            <v>-123.29088648932424</v>
          </cell>
        </row>
        <row r="2280">
          <cell r="Q2280">
            <v>-1709.9533260934506</v>
          </cell>
        </row>
        <row r="2281">
          <cell r="Q2281">
            <v>391.21174954784283</v>
          </cell>
        </row>
        <row r="2282">
          <cell r="Q2282">
            <v>1676.0062778233505</v>
          </cell>
        </row>
        <row r="2283">
          <cell r="Q2283">
            <v>1246.9762489402085</v>
          </cell>
        </row>
        <row r="2284">
          <cell r="Q2284">
            <v>3575.7511125913998</v>
          </cell>
        </row>
        <row r="2285">
          <cell r="Q2285">
            <v>1530.6096246818618</v>
          </cell>
        </row>
        <row r="2286">
          <cell r="Q2286">
            <v>1518.731679946784</v>
          </cell>
        </row>
        <row r="2287">
          <cell r="Q2287">
            <v>2724.3274209090901</v>
          </cell>
        </row>
        <row r="2288">
          <cell r="Q2288">
            <v>-504.56405404447906</v>
          </cell>
        </row>
        <row r="2289">
          <cell r="Q2289">
            <v>-137.55593965292616</v>
          </cell>
        </row>
        <row r="2290">
          <cell r="Q2290">
            <v>843.88940785630712</v>
          </cell>
        </row>
        <row r="2291">
          <cell r="Q2291">
            <v>-2063.0357545916754</v>
          </cell>
        </row>
        <row r="2292">
          <cell r="Q2292">
            <v>2136.8337697216543</v>
          </cell>
        </row>
        <row r="2293">
          <cell r="Q2293">
            <v>-4492.3852669274802</v>
          </cell>
        </row>
        <row r="2294">
          <cell r="Q2294">
            <v>3069.3924347744469</v>
          </cell>
        </row>
        <row r="2295">
          <cell r="Q2295">
            <v>1537.0517962422723</v>
          </cell>
        </row>
        <row r="2296">
          <cell r="Q2296">
            <v>3358.4994810345156</v>
          </cell>
        </row>
        <row r="2297">
          <cell r="Q2297">
            <v>176.51311787097958</v>
          </cell>
        </row>
        <row r="2298">
          <cell r="Q2298">
            <v>2432.1223970469227</v>
          </cell>
        </row>
        <row r="2299">
          <cell r="Q2299">
            <v>-1820.1450891850152</v>
          </cell>
        </row>
        <row r="2300">
          <cell r="Q2300">
            <v>-1330.4798851100313</v>
          </cell>
        </row>
        <row r="2301">
          <cell r="Q2301">
            <v>2171.7482367572761</v>
          </cell>
        </row>
        <row r="2302">
          <cell r="Q2302">
            <v>4045.5166539588995</v>
          </cell>
        </row>
        <row r="2303">
          <cell r="Q2303">
            <v>2147.2486130195662</v>
          </cell>
        </row>
        <row r="2304">
          <cell r="Q2304">
            <v>-335.99193842066103</v>
          </cell>
        </row>
        <row r="2305">
          <cell r="Q2305">
            <v>310.16683118402045</v>
          </cell>
        </row>
        <row r="2306">
          <cell r="Q2306">
            <v>-3600.9522007534651</v>
          </cell>
        </row>
        <row r="2307">
          <cell r="Q2307">
            <v>-276.04708652422363</v>
          </cell>
        </row>
        <row r="2308">
          <cell r="Q2308">
            <v>-717.67944516874695</v>
          </cell>
        </row>
        <row r="2309">
          <cell r="Q2309">
            <v>-1118.2752192922594</v>
          </cell>
        </row>
        <row r="2310">
          <cell r="Q2310">
            <v>-3377.5756659180488</v>
          </cell>
        </row>
        <row r="2311">
          <cell r="Q2311">
            <v>1972.982571518005</v>
          </cell>
        </row>
        <row r="2312">
          <cell r="Q2312">
            <v>4635.0004181863687</v>
          </cell>
        </row>
        <row r="2313">
          <cell r="Q2313">
            <v>3291.8994660282287</v>
          </cell>
        </row>
        <row r="2314">
          <cell r="Q2314">
            <v>-2422.8834614265475</v>
          </cell>
        </row>
        <row r="2315">
          <cell r="Q2315">
            <v>-832.50333365840424</v>
          </cell>
        </row>
        <row r="2316">
          <cell r="Q2316">
            <v>3416.4919986514801</v>
          </cell>
        </row>
        <row r="2317">
          <cell r="Q2317">
            <v>-2232.2576938814914</v>
          </cell>
        </row>
        <row r="2318">
          <cell r="Q2318">
            <v>177.30120167639356</v>
          </cell>
        </row>
        <row r="2319">
          <cell r="Q2319">
            <v>105.74810733550845</v>
          </cell>
        </row>
        <row r="2320">
          <cell r="Q2320">
            <v>1209.9262233585957</v>
          </cell>
        </row>
        <row r="2321">
          <cell r="Q2321">
            <v>-1891.7568307944023</v>
          </cell>
        </row>
        <row r="2322">
          <cell r="Q2322">
            <v>-75.821936889395317</v>
          </cell>
        </row>
        <row r="2323">
          <cell r="Q2323">
            <v>149.90070628600262</v>
          </cell>
        </row>
        <row r="2324">
          <cell r="Q2324">
            <v>3871.8783079892319</v>
          </cell>
        </row>
        <row r="2325">
          <cell r="Q2325">
            <v>1837.842899458841</v>
          </cell>
        </row>
        <row r="2326">
          <cell r="Q2326">
            <v>1712.4410776301083</v>
          </cell>
        </row>
        <row r="2327">
          <cell r="Q2327">
            <v>2037.4943977206599</v>
          </cell>
        </row>
        <row r="2328">
          <cell r="Q2328">
            <v>740.07696653300957</v>
          </cell>
        </row>
        <row r="2329">
          <cell r="Q2329">
            <v>2029.9058964746282</v>
          </cell>
        </row>
        <row r="2330">
          <cell r="Q2330">
            <v>2943.5460528323301</v>
          </cell>
        </row>
        <row r="2331">
          <cell r="Q2331">
            <v>-417.87221847815755</v>
          </cell>
        </row>
        <row r="2332">
          <cell r="Q2332">
            <v>1713.9194051176803</v>
          </cell>
        </row>
        <row r="2333">
          <cell r="Q2333">
            <v>1729.6821264615828</v>
          </cell>
        </row>
        <row r="2334">
          <cell r="Q2334">
            <v>161.31319739754053</v>
          </cell>
        </row>
        <row r="2335">
          <cell r="Q2335">
            <v>307.88147297798588</v>
          </cell>
        </row>
        <row r="2336">
          <cell r="Q2336">
            <v>2303.4798903155438</v>
          </cell>
        </row>
        <row r="2337">
          <cell r="Q2337">
            <v>1986.8046851922888</v>
          </cell>
        </row>
        <row r="2338">
          <cell r="Q2338">
            <v>1170.5770611509017</v>
          </cell>
        </row>
        <row r="2339">
          <cell r="Q2339">
            <v>2030.4989912361914</v>
          </cell>
        </row>
        <row r="2340">
          <cell r="Q2340">
            <v>667.40840972853357</v>
          </cell>
        </row>
        <row r="2341">
          <cell r="Q2341">
            <v>604.93996264524435</v>
          </cell>
        </row>
        <row r="2342">
          <cell r="Q2342">
            <v>4903.6073726916457</v>
          </cell>
        </row>
        <row r="2343">
          <cell r="Q2343">
            <v>533.35214333605848</v>
          </cell>
        </row>
        <row r="2344">
          <cell r="Q2344">
            <v>862.47332290573991</v>
          </cell>
        </row>
        <row r="2345">
          <cell r="Q2345">
            <v>1579.0448044876032</v>
          </cell>
        </row>
        <row r="2346">
          <cell r="Q2346">
            <v>-3244.2139563729888</v>
          </cell>
        </row>
        <row r="2347">
          <cell r="Q2347">
            <v>3215.9624849058282</v>
          </cell>
        </row>
        <row r="2348">
          <cell r="Q2348">
            <v>-569.23192959534344</v>
          </cell>
        </row>
        <row r="2349">
          <cell r="Q2349">
            <v>-234.22620024262136</v>
          </cell>
        </row>
        <row r="2350">
          <cell r="Q2350">
            <v>-1736.9242611749758</v>
          </cell>
        </row>
        <row r="2351">
          <cell r="Q2351">
            <v>3860.9150401631537</v>
          </cell>
        </row>
        <row r="2352">
          <cell r="Q2352">
            <v>1656.2212528572097</v>
          </cell>
        </row>
        <row r="2353">
          <cell r="Q2353">
            <v>163.03727882560025</v>
          </cell>
        </row>
        <row r="2354">
          <cell r="Q2354">
            <v>-1008.5044925045827</v>
          </cell>
        </row>
        <row r="2355">
          <cell r="Q2355">
            <v>7174.803158438287</v>
          </cell>
        </row>
        <row r="2356">
          <cell r="Q2356">
            <v>4387.7522292209869</v>
          </cell>
        </row>
        <row r="2357">
          <cell r="Q2357">
            <v>3912.0803663329862</v>
          </cell>
        </row>
        <row r="2358">
          <cell r="Q2358">
            <v>1407.6085811039331</v>
          </cell>
        </row>
        <row r="2359">
          <cell r="Q2359">
            <v>-508.25354126095618</v>
          </cell>
        </row>
        <row r="2360">
          <cell r="Q2360">
            <v>4099.33860252452</v>
          </cell>
        </row>
        <row r="2361">
          <cell r="Q2361">
            <v>1571.4311932630999</v>
          </cell>
        </row>
        <row r="2362">
          <cell r="Q2362">
            <v>-3816.0013997915103</v>
          </cell>
        </row>
        <row r="2363">
          <cell r="Q2363">
            <v>-2064.9914973237474</v>
          </cell>
        </row>
        <row r="2364">
          <cell r="Q2364">
            <v>-946.45269205452746</v>
          </cell>
        </row>
        <row r="2365">
          <cell r="Q2365">
            <v>-2717.9713133592709</v>
          </cell>
        </row>
        <row r="2366">
          <cell r="Q2366">
            <v>3260.0031817481658</v>
          </cell>
        </row>
        <row r="2367">
          <cell r="Q2367">
            <v>2901.6479899643073</v>
          </cell>
        </row>
        <row r="2368">
          <cell r="Q2368">
            <v>1520.7721351266443</v>
          </cell>
        </row>
        <row r="2369">
          <cell r="Q2369">
            <v>1847.1523124997643</v>
          </cell>
        </row>
        <row r="2370">
          <cell r="Q2370">
            <v>323.45687167734718</v>
          </cell>
        </row>
        <row r="2371">
          <cell r="Q2371">
            <v>2727.4532295566214</v>
          </cell>
        </row>
        <row r="2372">
          <cell r="Q2372">
            <v>103.42964591828132</v>
          </cell>
        </row>
        <row r="2373">
          <cell r="Q2373">
            <v>2273.2641712127888</v>
          </cell>
        </row>
        <row r="2374">
          <cell r="Q2374">
            <v>-3643.1777679720635</v>
          </cell>
        </row>
        <row r="2375">
          <cell r="Q2375">
            <v>-1706.4103090423521</v>
          </cell>
        </row>
        <row r="2376">
          <cell r="Q2376">
            <v>218.72263878587623</v>
          </cell>
        </row>
        <row r="2377">
          <cell r="Q2377">
            <v>4003.6896339633417</v>
          </cell>
        </row>
        <row r="2378">
          <cell r="Q2378">
            <v>-874.65143459353135</v>
          </cell>
        </row>
        <row r="2379">
          <cell r="Q2379">
            <v>-518.98052932402788</v>
          </cell>
        </row>
        <row r="2380">
          <cell r="Q2380">
            <v>-364.83579957116325</v>
          </cell>
        </row>
        <row r="2381">
          <cell r="Q2381">
            <v>-784.34990384339858</v>
          </cell>
        </row>
        <row r="2382">
          <cell r="Q2382">
            <v>4451.9880173518031</v>
          </cell>
        </row>
        <row r="2383">
          <cell r="Q2383">
            <v>-1469.0354047693754</v>
          </cell>
        </row>
        <row r="2384">
          <cell r="Q2384">
            <v>675.86883026476812</v>
          </cell>
        </row>
        <row r="2385">
          <cell r="Q2385">
            <v>5324.6578532983995</v>
          </cell>
        </row>
        <row r="2386">
          <cell r="Q2386">
            <v>-1240.8432310585922</v>
          </cell>
        </row>
        <row r="2387">
          <cell r="Q2387">
            <v>-2082.4931807811022</v>
          </cell>
        </row>
        <row r="2388">
          <cell r="Q2388">
            <v>572.72578099137513</v>
          </cell>
        </row>
        <row r="2389">
          <cell r="Q2389">
            <v>211.02150870940454</v>
          </cell>
        </row>
        <row r="2390">
          <cell r="Q2390">
            <v>3051.4485800818738</v>
          </cell>
        </row>
        <row r="2391">
          <cell r="Q2391">
            <v>332.45542020172485</v>
          </cell>
        </row>
        <row r="2392">
          <cell r="Q2392">
            <v>884.41754170713443</v>
          </cell>
        </row>
        <row r="2393">
          <cell r="Q2393">
            <v>-2067.4480466159253</v>
          </cell>
        </row>
        <row r="2394">
          <cell r="Q2394">
            <v>-3341.0495419956724</v>
          </cell>
        </row>
        <row r="2395">
          <cell r="Q2395">
            <v>-337.00154148467794</v>
          </cell>
        </row>
        <row r="2396">
          <cell r="Q2396">
            <v>-2802.508413694603</v>
          </cell>
        </row>
        <row r="2397">
          <cell r="Q2397">
            <v>942.54182998900751</v>
          </cell>
        </row>
        <row r="2398">
          <cell r="Q2398">
            <v>-257.15567242001424</v>
          </cell>
        </row>
        <row r="2399">
          <cell r="Q2399">
            <v>-368.80196334583792</v>
          </cell>
        </row>
        <row r="2400">
          <cell r="Q2400">
            <v>433.02786704217453</v>
          </cell>
        </row>
        <row r="2401">
          <cell r="Q2401">
            <v>110.09429957523417</v>
          </cell>
        </row>
        <row r="2402">
          <cell r="Q2402">
            <v>2282.6375226766427</v>
          </cell>
        </row>
        <row r="2403">
          <cell r="Q2403">
            <v>4021.9450697924331</v>
          </cell>
        </row>
        <row r="2404">
          <cell r="Q2404">
            <v>2057.6621208380293</v>
          </cell>
        </row>
        <row r="2405">
          <cell r="Q2405">
            <v>-167.47654513564345</v>
          </cell>
        </row>
        <row r="2406">
          <cell r="Q2406">
            <v>3204.0444952238831</v>
          </cell>
        </row>
        <row r="2407">
          <cell r="Q2407">
            <v>-1789.2683723840971</v>
          </cell>
        </row>
        <row r="2408">
          <cell r="Q2408">
            <v>1330.2371055741712</v>
          </cell>
        </row>
        <row r="2409">
          <cell r="Q2409">
            <v>-3205.8281095241041</v>
          </cell>
        </row>
        <row r="2410">
          <cell r="Q2410">
            <v>2779.669994795438</v>
          </cell>
        </row>
        <row r="2411">
          <cell r="Q2411">
            <v>-1301.6010704057098</v>
          </cell>
        </row>
        <row r="2412">
          <cell r="Q2412">
            <v>1093.961081485191</v>
          </cell>
        </row>
        <row r="2413">
          <cell r="Q2413">
            <v>-4311.5160822611933</v>
          </cell>
        </row>
        <row r="2414">
          <cell r="Q2414">
            <v>-2578.6498600918981</v>
          </cell>
        </row>
        <row r="2415">
          <cell r="Q2415">
            <v>-1212.1007914996894</v>
          </cell>
        </row>
        <row r="2416">
          <cell r="Q2416">
            <v>-1068.0669368425256</v>
          </cell>
        </row>
        <row r="2417">
          <cell r="Q2417">
            <v>282.4833632561083</v>
          </cell>
        </row>
        <row r="2418">
          <cell r="Q2418">
            <v>-2354.712631754297</v>
          </cell>
        </row>
        <row r="2419">
          <cell r="Q2419">
            <v>5510.3597885730014</v>
          </cell>
        </row>
        <row r="2420">
          <cell r="Q2420">
            <v>-1748.0496991432167</v>
          </cell>
        </row>
        <row r="2421">
          <cell r="Q2421">
            <v>3397.7296196342795</v>
          </cell>
        </row>
        <row r="2422">
          <cell r="Q2422">
            <v>1690.211106009026</v>
          </cell>
        </row>
        <row r="2423">
          <cell r="Q2423">
            <v>1432.0154455359086</v>
          </cell>
        </row>
        <row r="2424">
          <cell r="Q2424">
            <v>-244.77078570334828</v>
          </cell>
        </row>
        <row r="2425">
          <cell r="Q2425">
            <v>-923.1761345246523</v>
          </cell>
        </row>
        <row r="2426">
          <cell r="Q2426">
            <v>3847.6661978363591</v>
          </cell>
        </row>
        <row r="2427">
          <cell r="Q2427">
            <v>-2675.4863124025646</v>
          </cell>
        </row>
        <row r="2428">
          <cell r="Q2428">
            <v>-64.160936014919855</v>
          </cell>
        </row>
        <row r="2429">
          <cell r="Q2429">
            <v>848.61254804168834</v>
          </cell>
        </row>
        <row r="2430">
          <cell r="Q2430">
            <v>1356.5462202522413</v>
          </cell>
        </row>
        <row r="2431">
          <cell r="Q2431">
            <v>898.04684235491459</v>
          </cell>
        </row>
        <row r="2432">
          <cell r="Q2432">
            <v>-331.05074350261071</v>
          </cell>
        </row>
        <row r="2433">
          <cell r="Q2433">
            <v>876.34421175936859</v>
          </cell>
        </row>
        <row r="2434">
          <cell r="Q2434">
            <v>-2010.1255142035</v>
          </cell>
        </row>
        <row r="2435">
          <cell r="Q2435">
            <v>2354.8940558595568</v>
          </cell>
        </row>
        <row r="2436">
          <cell r="Q2436">
            <v>468.47046142520981</v>
          </cell>
        </row>
        <row r="2437">
          <cell r="Q2437">
            <v>-2849.7671581492082</v>
          </cell>
        </row>
        <row r="2438">
          <cell r="Q2438">
            <v>-2041.7064801809431</v>
          </cell>
        </row>
        <row r="2439">
          <cell r="Q2439">
            <v>2243.1052738484377</v>
          </cell>
        </row>
        <row r="2440">
          <cell r="Q2440">
            <v>-1002.4997212432525</v>
          </cell>
        </row>
        <row r="2441">
          <cell r="Q2441">
            <v>-1402.2912556539143</v>
          </cell>
        </row>
        <row r="2442">
          <cell r="Q2442">
            <v>-2231.0506607285547</v>
          </cell>
        </row>
        <row r="2443">
          <cell r="Q2443">
            <v>1261.0806979570179</v>
          </cell>
        </row>
        <row r="2444">
          <cell r="Q2444">
            <v>1881.2285086445565</v>
          </cell>
        </row>
        <row r="2445">
          <cell r="Q2445">
            <v>1393.3581535578271</v>
          </cell>
        </row>
        <row r="2446">
          <cell r="Q2446">
            <v>-349.74435315871068</v>
          </cell>
        </row>
        <row r="2447">
          <cell r="Q2447">
            <v>-3431.5495500180245</v>
          </cell>
        </row>
        <row r="2448">
          <cell r="Q2448">
            <v>3907.343735797655</v>
          </cell>
        </row>
        <row r="2449">
          <cell r="Q2449">
            <v>-443.30853209372316</v>
          </cell>
        </row>
        <row r="2450">
          <cell r="Q2450">
            <v>2859.7890914906707</v>
          </cell>
        </row>
        <row r="2451">
          <cell r="Q2451">
            <v>-1466.2109244325402</v>
          </cell>
        </row>
        <row r="2452">
          <cell r="Q2452">
            <v>-4759.9639115523505</v>
          </cell>
        </row>
        <row r="2453">
          <cell r="Q2453">
            <v>-3516.207737370964</v>
          </cell>
        </row>
        <row r="2454">
          <cell r="Q2454">
            <v>1034.6433691012837</v>
          </cell>
        </row>
        <row r="2455">
          <cell r="Q2455">
            <v>-2729.6346424716635</v>
          </cell>
        </row>
        <row r="2456">
          <cell r="Q2456">
            <v>6281.9214594619198</v>
          </cell>
        </row>
        <row r="2457">
          <cell r="Q2457">
            <v>-995.58600052559996</v>
          </cell>
        </row>
        <row r="2458">
          <cell r="Q2458">
            <v>1855.304383721769</v>
          </cell>
        </row>
        <row r="2459">
          <cell r="Q2459">
            <v>790.43799265559153</v>
          </cell>
        </row>
        <row r="2460">
          <cell r="Q2460">
            <v>470.22258436798052</v>
          </cell>
        </row>
        <row r="2461">
          <cell r="Q2461">
            <v>1283.8484034995163</v>
          </cell>
        </row>
        <row r="2462">
          <cell r="Q2462">
            <v>-1188.3370256635869</v>
          </cell>
        </row>
        <row r="2463">
          <cell r="Q2463">
            <v>1924.744604888218</v>
          </cell>
        </row>
        <row r="2464">
          <cell r="Q2464">
            <v>-67.085746006910426</v>
          </cell>
        </row>
        <row r="2465">
          <cell r="Q2465">
            <v>-1854.865180406274</v>
          </cell>
        </row>
        <row r="2466">
          <cell r="Q2466">
            <v>1744.084994889253</v>
          </cell>
        </row>
        <row r="2467">
          <cell r="Q2467">
            <v>2457.7514002234343</v>
          </cell>
        </row>
        <row r="2468">
          <cell r="Q2468">
            <v>-3564.7257923666812</v>
          </cell>
        </row>
        <row r="2469">
          <cell r="Q2469">
            <v>862.45241269276357</v>
          </cell>
        </row>
        <row r="2470">
          <cell r="Q2470">
            <v>89.328860938703031</v>
          </cell>
        </row>
        <row r="2471">
          <cell r="Q2471">
            <v>1518.0801959358892</v>
          </cell>
        </row>
        <row r="2472">
          <cell r="Q2472">
            <v>354.08641360128144</v>
          </cell>
        </row>
        <row r="2473">
          <cell r="Q2473">
            <v>1591.5330966111032</v>
          </cell>
        </row>
        <row r="2474">
          <cell r="Q2474">
            <v>1750.1893907016879</v>
          </cell>
        </row>
        <row r="2475">
          <cell r="Q2475">
            <v>1375.9696587470216</v>
          </cell>
        </row>
        <row r="2476">
          <cell r="Q2476">
            <v>-1337.3552320454771</v>
          </cell>
        </row>
        <row r="2477">
          <cell r="Q2477">
            <v>368.13363884678967</v>
          </cell>
        </row>
        <row r="2478">
          <cell r="Q2478">
            <v>-311.16123803410659</v>
          </cell>
        </row>
        <row r="2479">
          <cell r="Q2479">
            <v>-3388.5891245568714</v>
          </cell>
        </row>
        <row r="2480">
          <cell r="Q2480">
            <v>3198.5003735818455</v>
          </cell>
        </row>
        <row r="2481">
          <cell r="Q2481">
            <v>-533.15917861193952</v>
          </cell>
        </row>
        <row r="2482">
          <cell r="Q2482">
            <v>-1351.5417367571631</v>
          </cell>
        </row>
        <row r="2483">
          <cell r="Q2483">
            <v>2081.2486539643301</v>
          </cell>
        </row>
        <row r="2484">
          <cell r="Q2484">
            <v>1799.3296093483596</v>
          </cell>
        </row>
        <row r="2485">
          <cell r="Q2485">
            <v>3258.5089300609839</v>
          </cell>
        </row>
        <row r="2486">
          <cell r="Q2486">
            <v>-1409.5450356211163</v>
          </cell>
        </row>
        <row r="2487">
          <cell r="Q2487">
            <v>1135.9546886808284</v>
          </cell>
        </row>
        <row r="2488">
          <cell r="Q2488">
            <v>-2018.0036377409449</v>
          </cell>
        </row>
        <row r="2489">
          <cell r="Q2489">
            <v>-1699.0680444437783</v>
          </cell>
        </row>
        <row r="2490">
          <cell r="Q2490">
            <v>2086.2111975101457</v>
          </cell>
        </row>
        <row r="2491">
          <cell r="Q2491">
            <v>974.51687064852013</v>
          </cell>
        </row>
        <row r="2492">
          <cell r="Q2492">
            <v>384.26288661538274</v>
          </cell>
        </row>
        <row r="2493">
          <cell r="Q2493">
            <v>68.552578093736827</v>
          </cell>
        </row>
        <row r="2494">
          <cell r="Q2494">
            <v>1977.8685922424106</v>
          </cell>
        </row>
        <row r="2495">
          <cell r="Q2495">
            <v>-119.18692767958129</v>
          </cell>
        </row>
        <row r="2496">
          <cell r="Q2496">
            <v>-182.13833958197353</v>
          </cell>
        </row>
        <row r="2497">
          <cell r="Q2497">
            <v>1167.3974220302894</v>
          </cell>
        </row>
        <row r="2498">
          <cell r="Q2498">
            <v>4044.2593406416636</v>
          </cell>
        </row>
        <row r="2499">
          <cell r="Q2499">
            <v>5034.053583091918</v>
          </cell>
        </row>
        <row r="2500">
          <cell r="Q2500">
            <v>2663.8656986645387</v>
          </cell>
        </row>
        <row r="2501">
          <cell r="Q2501">
            <v>2087.7636132509933</v>
          </cell>
        </row>
        <row r="2502">
          <cell r="Q2502">
            <v>106.38550768986238</v>
          </cell>
        </row>
        <row r="2503">
          <cell r="Q2503">
            <v>-1155.8463082436765</v>
          </cell>
        </row>
        <row r="2504">
          <cell r="Q2504">
            <v>-2315.8398937541069</v>
          </cell>
        </row>
        <row r="2505">
          <cell r="Q2505">
            <v>2737.6298732174623</v>
          </cell>
        </row>
        <row r="2506">
          <cell r="Q2506">
            <v>-118.06970682242485</v>
          </cell>
        </row>
        <row r="2507">
          <cell r="Q2507">
            <v>2046.983030509055</v>
          </cell>
        </row>
        <row r="2508">
          <cell r="Q2508">
            <v>-2748.0564638975447</v>
          </cell>
        </row>
        <row r="2509">
          <cell r="Q2509">
            <v>3870.2667014391718</v>
          </cell>
        </row>
        <row r="2510">
          <cell r="Q2510">
            <v>-1937.7579693881796</v>
          </cell>
        </row>
        <row r="2511">
          <cell r="Q2511">
            <v>-1676.5117451546409</v>
          </cell>
        </row>
        <row r="2512">
          <cell r="Q2512">
            <v>-218.79658925187329</v>
          </cell>
        </row>
        <row r="2513">
          <cell r="Q2513">
            <v>1422.5277514676263</v>
          </cell>
        </row>
        <row r="2514">
          <cell r="Q2514">
            <v>2489.4471624117382</v>
          </cell>
        </row>
        <row r="2515">
          <cell r="Q2515">
            <v>324.96255156013808</v>
          </cell>
        </row>
        <row r="2516">
          <cell r="Q2516">
            <v>1479.3972141227334</v>
          </cell>
        </row>
        <row r="2517">
          <cell r="Q2517">
            <v>-79.837962693868008</v>
          </cell>
        </row>
        <row r="2518">
          <cell r="Q2518">
            <v>1397.3499774717131</v>
          </cell>
        </row>
        <row r="2519">
          <cell r="Q2519">
            <v>2166.5668095405777</v>
          </cell>
        </row>
        <row r="2520">
          <cell r="Q2520">
            <v>-345.28891428787296</v>
          </cell>
        </row>
        <row r="2521">
          <cell r="Q2521">
            <v>-599.78798692083137</v>
          </cell>
        </row>
        <row r="2522">
          <cell r="Q2522">
            <v>-2145.8593056434825</v>
          </cell>
        </row>
        <row r="2523">
          <cell r="Q2523">
            <v>2004.8686203852324</v>
          </cell>
        </row>
        <row r="2524">
          <cell r="Q2524">
            <v>-1533.3414024273716</v>
          </cell>
        </row>
        <row r="2525">
          <cell r="Q2525">
            <v>1118.3121546112905</v>
          </cell>
        </row>
        <row r="2526">
          <cell r="Q2526">
            <v>-3695.615155270485</v>
          </cell>
        </row>
        <row r="2527">
          <cell r="Q2527">
            <v>-1933.0117145557522</v>
          </cell>
        </row>
        <row r="2528">
          <cell r="Q2528">
            <v>2976.1347573485295</v>
          </cell>
        </row>
        <row r="2529">
          <cell r="Q2529">
            <v>2988.5281011377497</v>
          </cell>
        </row>
        <row r="2530">
          <cell r="Q2530">
            <v>2253.9203933518734</v>
          </cell>
        </row>
        <row r="2531">
          <cell r="Q2531">
            <v>933.04550780111049</v>
          </cell>
        </row>
        <row r="2532">
          <cell r="Q2532">
            <v>3451.1083782447795</v>
          </cell>
        </row>
        <row r="2533">
          <cell r="Q2533">
            <v>-673.84467432700899</v>
          </cell>
        </row>
        <row r="2534">
          <cell r="Q2534">
            <v>2084.6102934269147</v>
          </cell>
        </row>
        <row r="2535">
          <cell r="Q2535">
            <v>242.92017568849207</v>
          </cell>
        </row>
        <row r="2536">
          <cell r="Q2536">
            <v>-735.44300805740363</v>
          </cell>
        </row>
        <row r="2537">
          <cell r="Q2537">
            <v>-1132.8156023742042</v>
          </cell>
        </row>
        <row r="2538">
          <cell r="Q2538">
            <v>3990.7215637588733</v>
          </cell>
        </row>
        <row r="2539">
          <cell r="Q2539">
            <v>-5023.1557076490508</v>
          </cell>
        </row>
        <row r="2540">
          <cell r="Q2540">
            <v>2231.243534094906</v>
          </cell>
        </row>
        <row r="2541">
          <cell r="Q2541">
            <v>-2877.1159871463892</v>
          </cell>
        </row>
        <row r="2542">
          <cell r="Q2542">
            <v>-475.38232086790828</v>
          </cell>
        </row>
        <row r="2543">
          <cell r="Q2543">
            <v>988.45268918532201</v>
          </cell>
        </row>
        <row r="2544">
          <cell r="Q2544">
            <v>3897.7368635856351</v>
          </cell>
        </row>
        <row r="2545">
          <cell r="Q2545">
            <v>3913.0092219516769</v>
          </cell>
        </row>
        <row r="2546">
          <cell r="Q2546">
            <v>1949.5128857261068</v>
          </cell>
        </row>
        <row r="2547">
          <cell r="Q2547">
            <v>918.37214300566325</v>
          </cell>
        </row>
        <row r="2548">
          <cell r="Q2548">
            <v>-2617.2342924261416</v>
          </cell>
        </row>
        <row r="2549">
          <cell r="Q2549">
            <v>873.53290371104254</v>
          </cell>
        </row>
        <row r="2550">
          <cell r="Q2550">
            <v>-526.21779588912841</v>
          </cell>
        </row>
        <row r="2551">
          <cell r="Q2551">
            <v>-2943.1795385029768</v>
          </cell>
        </row>
        <row r="2552">
          <cell r="Q2552">
            <v>-3831.2179362836532</v>
          </cell>
        </row>
        <row r="2553">
          <cell r="Q2553">
            <v>1240.0998295874592</v>
          </cell>
        </row>
        <row r="2554">
          <cell r="Q2554">
            <v>2151.1017653121144</v>
          </cell>
        </row>
        <row r="2555">
          <cell r="Q2555">
            <v>1171.3315145592892</v>
          </cell>
        </row>
        <row r="2556">
          <cell r="Q2556">
            <v>-823.71518040564592</v>
          </cell>
        </row>
        <row r="2557">
          <cell r="Q2557">
            <v>-4052.5633291576214</v>
          </cell>
        </row>
        <row r="2558">
          <cell r="Q2558">
            <v>-835.31684928504114</v>
          </cell>
        </row>
        <row r="2559">
          <cell r="Q2559">
            <v>4572.5918889131226</v>
          </cell>
        </row>
        <row r="2560">
          <cell r="Q2560">
            <v>3735.4247592768575</v>
          </cell>
        </row>
        <row r="2561">
          <cell r="Q2561">
            <v>158.90516131946239</v>
          </cell>
        </row>
        <row r="2562">
          <cell r="Q2562">
            <v>3024.0092328386636</v>
          </cell>
        </row>
        <row r="2563">
          <cell r="Q2563">
            <v>-781.06830349562574</v>
          </cell>
        </row>
        <row r="2564">
          <cell r="Q2564">
            <v>3571.3098814413011</v>
          </cell>
        </row>
        <row r="2565">
          <cell r="Q2565">
            <v>1872.0259007124423</v>
          </cell>
        </row>
        <row r="2566">
          <cell r="Q2566">
            <v>785.07857257701176</v>
          </cell>
        </row>
        <row r="2567">
          <cell r="Q2567">
            <v>-1831.0988297554175</v>
          </cell>
        </row>
        <row r="2568">
          <cell r="Q2568">
            <v>-3657.5729013419323</v>
          </cell>
        </row>
        <row r="2569">
          <cell r="Q2569">
            <v>2251.1872592217292</v>
          </cell>
        </row>
        <row r="2570">
          <cell r="Q2570">
            <v>3888.6422543350072</v>
          </cell>
        </row>
        <row r="2571">
          <cell r="Q2571">
            <v>-2072.6323095763892</v>
          </cell>
        </row>
        <row r="2572">
          <cell r="Q2572">
            <v>180.64735176374978</v>
          </cell>
        </row>
        <row r="2573">
          <cell r="Q2573">
            <v>1272.593348304131</v>
          </cell>
        </row>
        <row r="2574">
          <cell r="Q2574">
            <v>575.02543800472006</v>
          </cell>
        </row>
        <row r="2575">
          <cell r="Q2575">
            <v>1524.4672610563853</v>
          </cell>
        </row>
        <row r="2576">
          <cell r="Q2576">
            <v>-1494.3605241752537</v>
          </cell>
        </row>
        <row r="2577">
          <cell r="Q2577">
            <v>-669.80436455279551</v>
          </cell>
        </row>
        <row r="2578">
          <cell r="Q2578">
            <v>522.74553975353228</v>
          </cell>
        </row>
        <row r="2579">
          <cell r="Q2579">
            <v>4302.229717334093</v>
          </cell>
        </row>
        <row r="2580">
          <cell r="Q2580">
            <v>-1190.4120049233932</v>
          </cell>
        </row>
        <row r="2581">
          <cell r="Q2581">
            <v>1380.582374605774</v>
          </cell>
        </row>
        <row r="2582">
          <cell r="Q2582">
            <v>1637.2450329856758</v>
          </cell>
        </row>
        <row r="2583">
          <cell r="Q2583">
            <v>-1885.0234628002261</v>
          </cell>
        </row>
        <row r="2584">
          <cell r="Q2584">
            <v>46.427724448676713</v>
          </cell>
        </row>
        <row r="2585">
          <cell r="Q2585">
            <v>3067.1386311185024</v>
          </cell>
        </row>
        <row r="2586">
          <cell r="Q2586">
            <v>5800.4046422856854</v>
          </cell>
        </row>
        <row r="2587">
          <cell r="Q2587">
            <v>771.60933370759585</v>
          </cell>
        </row>
        <row r="2588">
          <cell r="Q2588">
            <v>-959.6988649127436</v>
          </cell>
        </row>
        <row r="2589">
          <cell r="Q2589">
            <v>-1603.4650152024769</v>
          </cell>
        </row>
        <row r="2590">
          <cell r="Q2590">
            <v>3892.934384442427</v>
          </cell>
        </row>
        <row r="2591">
          <cell r="Q2591">
            <v>2221.2220102800152</v>
          </cell>
        </row>
        <row r="2592">
          <cell r="Q2592">
            <v>429.78081837433984</v>
          </cell>
        </row>
        <row r="2593">
          <cell r="Q2593">
            <v>2080.0983369566243</v>
          </cell>
        </row>
        <row r="2594">
          <cell r="Q2594">
            <v>636.82787418843623</v>
          </cell>
        </row>
        <row r="2595">
          <cell r="Q2595">
            <v>1496.9070633548229</v>
          </cell>
        </row>
        <row r="2596">
          <cell r="Q2596">
            <v>-302.26071388658778</v>
          </cell>
        </row>
        <row r="2597">
          <cell r="Q2597">
            <v>252.26616251174931</v>
          </cell>
        </row>
        <row r="2598">
          <cell r="Q2598">
            <v>1548.8043711217601</v>
          </cell>
        </row>
        <row r="2599">
          <cell r="Q2599">
            <v>-1320.968077245308</v>
          </cell>
        </row>
        <row r="2600">
          <cell r="Q2600">
            <v>363.98904105604203</v>
          </cell>
        </row>
        <row r="2601">
          <cell r="Q2601">
            <v>119.63701146064483</v>
          </cell>
        </row>
        <row r="2602">
          <cell r="Q2602">
            <v>737.77860913874497</v>
          </cell>
        </row>
        <row r="2603">
          <cell r="Q2603">
            <v>-2476.3423202934641</v>
          </cell>
        </row>
        <row r="2604">
          <cell r="Q2604">
            <v>-49.822777999927951</v>
          </cell>
        </row>
        <row r="2605">
          <cell r="Q2605">
            <v>2543.8157116046646</v>
          </cell>
        </row>
        <row r="2606">
          <cell r="Q2606">
            <v>-1277.5365766414418</v>
          </cell>
        </row>
        <row r="2607">
          <cell r="Q2607">
            <v>1632.4525870600119</v>
          </cell>
        </row>
        <row r="2608">
          <cell r="Q2608">
            <v>2571.4871658254178</v>
          </cell>
        </row>
        <row r="2609">
          <cell r="Q2609">
            <v>-1534.7236833647571</v>
          </cell>
        </row>
        <row r="2610">
          <cell r="Q2610">
            <v>2663.3898300176934</v>
          </cell>
        </row>
        <row r="2611">
          <cell r="Q2611">
            <v>1000.2249226503575</v>
          </cell>
        </row>
        <row r="2612">
          <cell r="Q2612">
            <v>1430.1132301758175</v>
          </cell>
        </row>
        <row r="2613">
          <cell r="Q2613">
            <v>858.38517854913857</v>
          </cell>
        </row>
        <row r="2614">
          <cell r="Q2614">
            <v>-911.90126856936172</v>
          </cell>
        </row>
        <row r="2615">
          <cell r="Q2615">
            <v>1358.1308740062791</v>
          </cell>
        </row>
        <row r="2616">
          <cell r="Q2616">
            <v>-675.20203558260846</v>
          </cell>
        </row>
        <row r="2617">
          <cell r="Q2617">
            <v>-4117.3963797060724</v>
          </cell>
        </row>
        <row r="2618">
          <cell r="Q2618">
            <v>-696.28095846473411</v>
          </cell>
        </row>
        <row r="2619">
          <cell r="Q2619">
            <v>386.06898938694508</v>
          </cell>
        </row>
        <row r="2620">
          <cell r="Q2620">
            <v>-397.92442963036916</v>
          </cell>
        </row>
        <row r="2621">
          <cell r="Q2621">
            <v>2742.7591234975266</v>
          </cell>
        </row>
        <row r="2622">
          <cell r="Q2622">
            <v>1788.0326731942453</v>
          </cell>
        </row>
        <row r="2623">
          <cell r="Q2623">
            <v>1659.0668638060736</v>
          </cell>
        </row>
        <row r="2624">
          <cell r="Q2624">
            <v>-1511.9727402694855</v>
          </cell>
        </row>
        <row r="2625">
          <cell r="Q2625">
            <v>888.9081834484839</v>
          </cell>
        </row>
        <row r="2626">
          <cell r="Q2626">
            <v>4502.9956728533898</v>
          </cell>
        </row>
        <row r="2627">
          <cell r="Q2627">
            <v>-2472.1060893148547</v>
          </cell>
        </row>
        <row r="2628">
          <cell r="Q2628">
            <v>-4393.3563089835943</v>
          </cell>
        </row>
        <row r="2629">
          <cell r="Q2629">
            <v>-208.93796424195108</v>
          </cell>
        </row>
        <row r="2630">
          <cell r="Q2630">
            <v>-459.49872308590005</v>
          </cell>
        </row>
        <row r="2631">
          <cell r="Q2631">
            <v>2557.0715684833085</v>
          </cell>
        </row>
        <row r="2632">
          <cell r="Q2632">
            <v>4491.7761723341127</v>
          </cell>
        </row>
        <row r="2633">
          <cell r="Q2633">
            <v>48.54961254700396</v>
          </cell>
        </row>
        <row r="2634">
          <cell r="Q2634">
            <v>4599.4998886637986</v>
          </cell>
        </row>
        <row r="2635">
          <cell r="Q2635">
            <v>2258.781951734888</v>
          </cell>
        </row>
        <row r="2636">
          <cell r="Q2636">
            <v>2897.7518617865112</v>
          </cell>
        </row>
        <row r="2637">
          <cell r="Q2637">
            <v>-837.87115678268765</v>
          </cell>
        </row>
        <row r="2638">
          <cell r="Q2638">
            <v>2130.290962600382</v>
          </cell>
        </row>
        <row r="2639">
          <cell r="Q2639">
            <v>-1640.287432564995</v>
          </cell>
        </row>
        <row r="2640">
          <cell r="Q2640">
            <v>-1452.0181879983875</v>
          </cell>
        </row>
        <row r="2641">
          <cell r="Q2641">
            <v>3170.2906037656057</v>
          </cell>
        </row>
        <row r="2642">
          <cell r="Q2642">
            <v>-1540.3680131510712</v>
          </cell>
        </row>
        <row r="2643">
          <cell r="Q2643">
            <v>-1678.6679705384674</v>
          </cell>
        </row>
        <row r="2644">
          <cell r="Q2644">
            <v>2732.8732161452099</v>
          </cell>
        </row>
        <row r="2645">
          <cell r="Q2645">
            <v>-863.40867247727806</v>
          </cell>
        </row>
        <row r="2646">
          <cell r="Q2646">
            <v>1651.0849761687227</v>
          </cell>
        </row>
        <row r="2647">
          <cell r="Q2647">
            <v>1240.413513143412</v>
          </cell>
        </row>
        <row r="2648">
          <cell r="Q2648">
            <v>945.10553872831088</v>
          </cell>
        </row>
        <row r="2649">
          <cell r="Q2649">
            <v>-500.43553574102197</v>
          </cell>
        </row>
        <row r="2650">
          <cell r="Q2650">
            <v>1616.0919737769345</v>
          </cell>
        </row>
        <row r="2651">
          <cell r="Q2651">
            <v>1971.9261095747463</v>
          </cell>
        </row>
        <row r="2652">
          <cell r="Q2652">
            <v>1373.4285924489932</v>
          </cell>
        </row>
        <row r="2653">
          <cell r="Q2653">
            <v>1199.0470116025374</v>
          </cell>
        </row>
        <row r="2654">
          <cell r="Q2654">
            <v>3277.2606859622583</v>
          </cell>
        </row>
        <row r="2655">
          <cell r="Q2655">
            <v>1703.7656615893532</v>
          </cell>
        </row>
        <row r="2656">
          <cell r="Q2656">
            <v>2137.9046736560376</v>
          </cell>
        </row>
        <row r="2657">
          <cell r="Q2657">
            <v>-485.02523859042054</v>
          </cell>
        </row>
        <row r="2658">
          <cell r="Q2658">
            <v>-391.95387421607751</v>
          </cell>
        </row>
        <row r="2659">
          <cell r="Q2659">
            <v>383.34440708859898</v>
          </cell>
        </row>
        <row r="2660">
          <cell r="Q2660">
            <v>672.49934983741832</v>
          </cell>
        </row>
        <row r="2661">
          <cell r="Q2661">
            <v>2808.5865550768722</v>
          </cell>
        </row>
        <row r="2662">
          <cell r="Q2662">
            <v>-1272.0520435158667</v>
          </cell>
        </row>
        <row r="2663">
          <cell r="Q2663">
            <v>-294.97763399593276</v>
          </cell>
        </row>
        <row r="2664">
          <cell r="Q2664">
            <v>1459.7144441712912</v>
          </cell>
        </row>
        <row r="2665">
          <cell r="Q2665">
            <v>-162.00147610629671</v>
          </cell>
        </row>
        <row r="2666">
          <cell r="Q2666">
            <v>-3503.721152618959</v>
          </cell>
        </row>
        <row r="2667">
          <cell r="Q2667">
            <v>1243.5613998949736</v>
          </cell>
        </row>
        <row r="2668">
          <cell r="Q2668">
            <v>-1228.2113368185433</v>
          </cell>
        </row>
        <row r="2669">
          <cell r="Q2669">
            <v>3433.9367534761113</v>
          </cell>
        </row>
        <row r="2670">
          <cell r="Q2670">
            <v>1055.9567642047214</v>
          </cell>
        </row>
        <row r="2671">
          <cell r="Q2671">
            <v>2925.2713827593684</v>
          </cell>
        </row>
        <row r="2672">
          <cell r="Q2672">
            <v>-361.34786159297511</v>
          </cell>
        </row>
        <row r="2673">
          <cell r="Q2673">
            <v>391.84087713728411</v>
          </cell>
        </row>
        <row r="2674">
          <cell r="Q2674">
            <v>-288.10476261409468</v>
          </cell>
        </row>
        <row r="2675">
          <cell r="Q2675">
            <v>5392.7386869608372</v>
          </cell>
        </row>
        <row r="2676">
          <cell r="Q2676">
            <v>1308.1416052161062</v>
          </cell>
        </row>
        <row r="2677">
          <cell r="Q2677">
            <v>2268.9977730528331</v>
          </cell>
        </row>
        <row r="2678">
          <cell r="Q2678">
            <v>90.482954959707456</v>
          </cell>
        </row>
        <row r="2679">
          <cell r="Q2679">
            <v>2470.6606407978452</v>
          </cell>
        </row>
        <row r="2680">
          <cell r="Q2680">
            <v>1527.9376211354147</v>
          </cell>
        </row>
        <row r="2681">
          <cell r="Q2681">
            <v>3964.0033899709852</v>
          </cell>
        </row>
        <row r="2682">
          <cell r="Q2682">
            <v>-87.714698107693209</v>
          </cell>
        </row>
        <row r="2683">
          <cell r="Q2683">
            <v>-89.286700191059992</v>
          </cell>
        </row>
        <row r="2684">
          <cell r="Q2684">
            <v>4054.9828578254533</v>
          </cell>
        </row>
        <row r="2685">
          <cell r="Q2685">
            <v>907.65943468664773</v>
          </cell>
        </row>
        <row r="2686">
          <cell r="Q2686">
            <v>-1049.2979745147829</v>
          </cell>
        </row>
        <row r="2687">
          <cell r="Q2687">
            <v>1374.8670468736145</v>
          </cell>
        </row>
        <row r="2688">
          <cell r="Q2688">
            <v>734.68144925827835</v>
          </cell>
        </row>
        <row r="2689">
          <cell r="Q2689">
            <v>-2310.410565734167</v>
          </cell>
        </row>
        <row r="2690">
          <cell r="Q2690">
            <v>-2404.9826957955793</v>
          </cell>
        </row>
        <row r="2691">
          <cell r="Q2691">
            <v>2631.1630948752004</v>
          </cell>
        </row>
        <row r="2692">
          <cell r="Q2692">
            <v>-1174.1185470646328</v>
          </cell>
        </row>
        <row r="2693">
          <cell r="Q2693">
            <v>-1080.6925718007221</v>
          </cell>
        </row>
        <row r="2694">
          <cell r="Q2694">
            <v>601.40693755441066</v>
          </cell>
        </row>
        <row r="2695">
          <cell r="Q2695">
            <v>-130.98681164314297</v>
          </cell>
        </row>
        <row r="2696">
          <cell r="Q2696">
            <v>-2232.3991440000091</v>
          </cell>
        </row>
        <row r="2697">
          <cell r="Q2697">
            <v>1585.8428001308903</v>
          </cell>
        </row>
        <row r="2698">
          <cell r="Q2698">
            <v>-264.27519937909454</v>
          </cell>
        </row>
        <row r="2699">
          <cell r="Q2699">
            <v>3793.222432047397</v>
          </cell>
        </row>
        <row r="2700">
          <cell r="Q2700">
            <v>3504.4037124188239</v>
          </cell>
        </row>
        <row r="2701">
          <cell r="Q2701">
            <v>-758.73258894903779</v>
          </cell>
        </row>
        <row r="2702">
          <cell r="Q2702">
            <v>2691.1718274287696</v>
          </cell>
        </row>
        <row r="2703">
          <cell r="Q2703">
            <v>1082.8097403139943</v>
          </cell>
        </row>
        <row r="2704">
          <cell r="Q2704">
            <v>5.4324063600545287</v>
          </cell>
        </row>
        <row r="2705">
          <cell r="Q2705">
            <v>-1435.9474266059931</v>
          </cell>
        </row>
        <row r="2706">
          <cell r="Q2706">
            <v>1665.8475629180555</v>
          </cell>
        </row>
        <row r="2707">
          <cell r="Q2707">
            <v>-1278.5842000671846</v>
          </cell>
        </row>
        <row r="2708">
          <cell r="Q2708">
            <v>5287.929173865401</v>
          </cell>
        </row>
        <row r="2709">
          <cell r="Q2709">
            <v>1597.5371632340496</v>
          </cell>
        </row>
        <row r="2710">
          <cell r="Q2710">
            <v>2099.323903202549</v>
          </cell>
        </row>
        <row r="2711">
          <cell r="Q2711">
            <v>1933.1476559222463</v>
          </cell>
        </row>
        <row r="2712">
          <cell r="Q2712">
            <v>6260.0009119756369</v>
          </cell>
        </row>
        <row r="2713">
          <cell r="Q2713">
            <v>3503.283482281101</v>
          </cell>
        </row>
        <row r="2714">
          <cell r="Q2714">
            <v>-1254.0483848359913</v>
          </cell>
        </row>
        <row r="2715">
          <cell r="Q2715">
            <v>2964.2820625811514</v>
          </cell>
        </row>
        <row r="2716">
          <cell r="Q2716">
            <v>-1523.7639556561799</v>
          </cell>
        </row>
        <row r="2717">
          <cell r="Q2717">
            <v>4457.952626099036</v>
          </cell>
        </row>
        <row r="2718">
          <cell r="Q2718">
            <v>-1586.2329450186965</v>
          </cell>
        </row>
        <row r="2719">
          <cell r="Q2719">
            <v>416.27549643090174</v>
          </cell>
        </row>
        <row r="2720">
          <cell r="Q2720">
            <v>3584.0273567846707</v>
          </cell>
        </row>
        <row r="2721">
          <cell r="Q2721">
            <v>-1358.1092876858404</v>
          </cell>
        </row>
        <row r="2722">
          <cell r="Q2722">
            <v>-1941.3954826276147</v>
          </cell>
        </row>
        <row r="2723">
          <cell r="Q2723">
            <v>3097.1310537302925</v>
          </cell>
        </row>
        <row r="2724">
          <cell r="Q2724">
            <v>-174.80498276743293</v>
          </cell>
        </row>
        <row r="2725">
          <cell r="Q2725">
            <v>593.79072283019866</v>
          </cell>
        </row>
        <row r="2726">
          <cell r="Q2726">
            <v>-1874.7323915168492</v>
          </cell>
        </row>
        <row r="2727">
          <cell r="Q2727">
            <v>-1186.1942172960019</v>
          </cell>
        </row>
        <row r="2728">
          <cell r="Q2728">
            <v>2440.8385397637262</v>
          </cell>
        </row>
        <row r="2729">
          <cell r="Q2729">
            <v>386.56586087241982</v>
          </cell>
        </row>
        <row r="2730">
          <cell r="Q2730">
            <v>-2113.7013234984861</v>
          </cell>
        </row>
        <row r="2731">
          <cell r="Q2731">
            <v>2711.3452503581416</v>
          </cell>
        </row>
        <row r="2732">
          <cell r="Q2732">
            <v>-896.62427549127756</v>
          </cell>
        </row>
        <row r="2733">
          <cell r="Q2733">
            <v>1773.5933880819853</v>
          </cell>
        </row>
        <row r="2734">
          <cell r="Q2734">
            <v>-520.11176625342159</v>
          </cell>
        </row>
        <row r="2735">
          <cell r="Q2735">
            <v>3591.3909908939258</v>
          </cell>
        </row>
        <row r="2736">
          <cell r="Q2736">
            <v>1667.0083662256245</v>
          </cell>
        </row>
        <row r="2737">
          <cell r="Q2737">
            <v>-208.60922866368645</v>
          </cell>
        </row>
        <row r="2738">
          <cell r="Q2738">
            <v>2041.3961396964357</v>
          </cell>
        </row>
        <row r="2739">
          <cell r="Q2739">
            <v>-2716.9646184188105</v>
          </cell>
        </row>
        <row r="2740">
          <cell r="Q2740">
            <v>-3862.4453720769543</v>
          </cell>
        </row>
        <row r="2741">
          <cell r="Q2741">
            <v>-1125.9267431285916</v>
          </cell>
        </row>
        <row r="2742">
          <cell r="Q2742">
            <v>192.39087811236871</v>
          </cell>
        </row>
        <row r="2743">
          <cell r="Q2743">
            <v>-1687.8100420548083</v>
          </cell>
        </row>
        <row r="2744">
          <cell r="Q2744">
            <v>-2565.0701247416682</v>
          </cell>
        </row>
        <row r="2745">
          <cell r="Q2745">
            <v>1553.353890073005</v>
          </cell>
        </row>
        <row r="2746">
          <cell r="Q2746">
            <v>1577.701900439911</v>
          </cell>
        </row>
        <row r="2747">
          <cell r="Q2747">
            <v>-399.12129684895802</v>
          </cell>
        </row>
        <row r="2748">
          <cell r="Q2748">
            <v>5057.4948235940046</v>
          </cell>
        </row>
        <row r="2749">
          <cell r="Q2749">
            <v>-2161.5525633755892</v>
          </cell>
        </row>
        <row r="2750">
          <cell r="Q2750">
            <v>2048.1907057388116</v>
          </cell>
        </row>
        <row r="2751">
          <cell r="Q2751">
            <v>2298.0465819889387</v>
          </cell>
        </row>
        <row r="2752">
          <cell r="Q2752">
            <v>-439.83518259318333</v>
          </cell>
        </row>
        <row r="2753">
          <cell r="Q2753">
            <v>2769.233060059878</v>
          </cell>
        </row>
        <row r="2754">
          <cell r="Q2754">
            <v>-28.728800751974063</v>
          </cell>
        </row>
        <row r="2755">
          <cell r="Q2755">
            <v>2447.6777209060328</v>
          </cell>
        </row>
        <row r="2756">
          <cell r="Q2756">
            <v>4684.0998588842831</v>
          </cell>
        </row>
        <row r="2757">
          <cell r="Q2757">
            <v>-371.15787571443929</v>
          </cell>
        </row>
        <row r="2758">
          <cell r="Q2758">
            <v>1977.4195081245996</v>
          </cell>
        </row>
        <row r="2759">
          <cell r="Q2759">
            <v>-2974.1386201142773</v>
          </cell>
        </row>
        <row r="2760">
          <cell r="Q2760">
            <v>-2205.5951929260004</v>
          </cell>
        </row>
        <row r="2761">
          <cell r="Q2761">
            <v>1376.8405176741496</v>
          </cell>
        </row>
        <row r="2762">
          <cell r="Q2762">
            <v>1268.0713420547775</v>
          </cell>
        </row>
        <row r="2763">
          <cell r="Q2763">
            <v>-1973.00501246724</v>
          </cell>
        </row>
        <row r="2764">
          <cell r="Q2764">
            <v>-1389.7126417067614</v>
          </cell>
        </row>
        <row r="2765">
          <cell r="Q2765">
            <v>-1681.6019460225682</v>
          </cell>
        </row>
        <row r="2766">
          <cell r="Q2766">
            <v>680.02279403636248</v>
          </cell>
        </row>
        <row r="2767">
          <cell r="Q2767">
            <v>-649.10709792974171</v>
          </cell>
        </row>
        <row r="2768">
          <cell r="Q2768">
            <v>3380.8274273869333</v>
          </cell>
        </row>
        <row r="2769">
          <cell r="Q2769">
            <v>3742.4530347111868</v>
          </cell>
        </row>
        <row r="2770">
          <cell r="Q2770">
            <v>1779.9895721624487</v>
          </cell>
        </row>
        <row r="2771">
          <cell r="Q2771">
            <v>-4106.0857006697697</v>
          </cell>
        </row>
        <row r="2772">
          <cell r="Q2772">
            <v>645.54123129407321</v>
          </cell>
        </row>
        <row r="2773">
          <cell r="Q2773">
            <v>-36.649109695305413</v>
          </cell>
        </row>
        <row r="2774">
          <cell r="Q2774">
            <v>-794.28862362595351</v>
          </cell>
        </row>
        <row r="2775">
          <cell r="Q2775">
            <v>2909.3876835563051</v>
          </cell>
        </row>
        <row r="2776">
          <cell r="Q2776">
            <v>1849.1755567553159</v>
          </cell>
        </row>
        <row r="2777">
          <cell r="Q2777">
            <v>-3535.7924225318588</v>
          </cell>
        </row>
        <row r="2778">
          <cell r="Q2778">
            <v>373.62311377116788</v>
          </cell>
        </row>
        <row r="2779">
          <cell r="Q2779">
            <v>1848.679223557763</v>
          </cell>
        </row>
        <row r="2780">
          <cell r="Q2780">
            <v>-2009.453291678042</v>
          </cell>
        </row>
        <row r="2781">
          <cell r="Q2781">
            <v>2993.5626674884361</v>
          </cell>
        </row>
        <row r="2782">
          <cell r="Q2782">
            <v>3003.3003493510323</v>
          </cell>
        </row>
        <row r="2783">
          <cell r="Q2783">
            <v>342.71745110150886</v>
          </cell>
        </row>
        <row r="2784">
          <cell r="Q2784">
            <v>223.0212840181037</v>
          </cell>
        </row>
        <row r="2785">
          <cell r="Q2785">
            <v>-2078.9986254581709</v>
          </cell>
        </row>
        <row r="2786">
          <cell r="Q2786">
            <v>-3370.0589778025519</v>
          </cell>
        </row>
        <row r="2787">
          <cell r="Q2787">
            <v>-3035.677251472679</v>
          </cell>
        </row>
        <row r="2788">
          <cell r="Q2788">
            <v>1546.253788937943</v>
          </cell>
        </row>
        <row r="2789">
          <cell r="Q2789">
            <v>2158.0783039775602</v>
          </cell>
        </row>
        <row r="2790">
          <cell r="Q2790">
            <v>-613.33338374496589</v>
          </cell>
        </row>
        <row r="2791">
          <cell r="Q2791">
            <v>-21.899110325183642</v>
          </cell>
        </row>
        <row r="2792">
          <cell r="Q2792">
            <v>1215.5419550118791</v>
          </cell>
        </row>
        <row r="2793">
          <cell r="Q2793">
            <v>696.58070970219887</v>
          </cell>
        </row>
        <row r="2794">
          <cell r="Q2794">
            <v>-2641.9136027919421</v>
          </cell>
        </row>
        <row r="2795">
          <cell r="Q2795">
            <v>590.1978599199665</v>
          </cell>
        </row>
        <row r="2796">
          <cell r="Q2796">
            <v>2896.7821191681269</v>
          </cell>
        </row>
        <row r="2797">
          <cell r="Q2797">
            <v>-294.74334316947437</v>
          </cell>
        </row>
        <row r="2798">
          <cell r="Q2798">
            <v>409.97577810929278</v>
          </cell>
        </row>
        <row r="2799">
          <cell r="Q2799">
            <v>984.85820840578845</v>
          </cell>
        </row>
        <row r="2800">
          <cell r="Q2800">
            <v>-1767.7760883290669</v>
          </cell>
        </row>
        <row r="2801">
          <cell r="Q2801">
            <v>800.51529539109924</v>
          </cell>
        </row>
        <row r="2802">
          <cell r="Q2802">
            <v>1154.4576864984135</v>
          </cell>
        </row>
        <row r="2803">
          <cell r="Q2803">
            <v>-1969.2482792008211</v>
          </cell>
        </row>
        <row r="2804">
          <cell r="Q2804">
            <v>-1069.8664375679793</v>
          </cell>
        </row>
        <row r="2805">
          <cell r="Q2805">
            <v>1131.5788260808124</v>
          </cell>
        </row>
        <row r="2806">
          <cell r="Q2806">
            <v>-5376.0449572860189</v>
          </cell>
        </row>
        <row r="2807">
          <cell r="Q2807">
            <v>1864.1231219776973</v>
          </cell>
        </row>
        <row r="2808">
          <cell r="Q2808">
            <v>806.625372909661</v>
          </cell>
        </row>
        <row r="2809">
          <cell r="Q2809">
            <v>-3215.214320369796</v>
          </cell>
        </row>
        <row r="2810">
          <cell r="Q2810">
            <v>803.91794712289163</v>
          </cell>
        </row>
        <row r="2811">
          <cell r="Q2811">
            <v>178.64611426800451</v>
          </cell>
        </row>
        <row r="2812">
          <cell r="Q2812">
            <v>3507.1136248317889</v>
          </cell>
        </row>
        <row r="2813">
          <cell r="Q2813">
            <v>2566.2417586972438</v>
          </cell>
        </row>
        <row r="2814">
          <cell r="Q2814">
            <v>-2535.7216134292312</v>
          </cell>
        </row>
        <row r="2815">
          <cell r="Q2815">
            <v>-1642.211443613387</v>
          </cell>
        </row>
        <row r="2816">
          <cell r="Q2816">
            <v>616.6587785166405</v>
          </cell>
        </row>
        <row r="2817">
          <cell r="Q2817">
            <v>282.32491149702037</v>
          </cell>
        </row>
        <row r="2818">
          <cell r="Q2818">
            <v>2666.1498861320338</v>
          </cell>
        </row>
        <row r="2819">
          <cell r="Q2819">
            <v>650.03380899614342</v>
          </cell>
        </row>
        <row r="2820">
          <cell r="Q2820">
            <v>2829.5937687719074</v>
          </cell>
        </row>
        <row r="2821">
          <cell r="Q2821">
            <v>2298.8714507281998</v>
          </cell>
        </row>
        <row r="2822">
          <cell r="Q2822">
            <v>-1532.6453221655458</v>
          </cell>
        </row>
        <row r="2823">
          <cell r="Q2823">
            <v>241.01563810804134</v>
          </cell>
        </row>
        <row r="2824">
          <cell r="Q2824">
            <v>1189.322424974772</v>
          </cell>
        </row>
        <row r="2825">
          <cell r="Q2825">
            <v>4646.7035147642582</v>
          </cell>
        </row>
        <row r="2826">
          <cell r="Q2826">
            <v>-1998.0413309451521</v>
          </cell>
        </row>
        <row r="2827">
          <cell r="Q2827">
            <v>-1922.8996872104492</v>
          </cell>
        </row>
        <row r="2828">
          <cell r="Q2828">
            <v>-1463.7999962694876</v>
          </cell>
        </row>
        <row r="2829">
          <cell r="Q2829">
            <v>-1018.9867438979616</v>
          </cell>
        </row>
        <row r="2830">
          <cell r="Q2830">
            <v>2110.609095288592</v>
          </cell>
        </row>
        <row r="2831">
          <cell r="Q2831">
            <v>1546.722652316523</v>
          </cell>
        </row>
        <row r="2832">
          <cell r="Q2832">
            <v>-735.84621506354597</v>
          </cell>
        </row>
        <row r="2833">
          <cell r="Q2833">
            <v>2353.2848965866788</v>
          </cell>
        </row>
        <row r="2834">
          <cell r="Q2834">
            <v>1791.3581127726547</v>
          </cell>
        </row>
        <row r="2835">
          <cell r="Q2835">
            <v>-1048.8949294886702</v>
          </cell>
        </row>
        <row r="2836">
          <cell r="Q2836">
            <v>1520.0840436564843</v>
          </cell>
        </row>
        <row r="2837">
          <cell r="Q2837">
            <v>-1658.9033535634819</v>
          </cell>
        </row>
        <row r="2838">
          <cell r="Q2838">
            <v>239.47045457182955</v>
          </cell>
        </row>
        <row r="2839">
          <cell r="Q2839">
            <v>-104.06517477628887</v>
          </cell>
        </row>
        <row r="2840">
          <cell r="Q2840">
            <v>59.971918533243638</v>
          </cell>
        </row>
        <row r="2841">
          <cell r="Q2841">
            <v>127.50866055470186</v>
          </cell>
        </row>
        <row r="2842">
          <cell r="Q2842">
            <v>-1975.5274644021049</v>
          </cell>
        </row>
        <row r="2843">
          <cell r="Q2843">
            <v>859.51483388793417</v>
          </cell>
        </row>
        <row r="2844">
          <cell r="Q2844">
            <v>-21.963659605689884</v>
          </cell>
        </row>
        <row r="2845">
          <cell r="Q2845">
            <v>-156.2868390976144</v>
          </cell>
        </row>
        <row r="2846">
          <cell r="Q2846">
            <v>1113.6376931168265</v>
          </cell>
        </row>
        <row r="2847">
          <cell r="Q2847">
            <v>2039.2227535431443</v>
          </cell>
        </row>
        <row r="2848">
          <cell r="Q2848">
            <v>1577.3077210660801</v>
          </cell>
        </row>
        <row r="2849">
          <cell r="Q2849">
            <v>555.36532932091745</v>
          </cell>
        </row>
        <row r="2850">
          <cell r="Q2850">
            <v>1766.0671715387782</v>
          </cell>
        </row>
        <row r="2851">
          <cell r="Q2851">
            <v>3398.1895136262588</v>
          </cell>
        </row>
        <row r="2852">
          <cell r="Q2852">
            <v>736.07811102951473</v>
          </cell>
        </row>
        <row r="2853">
          <cell r="Q2853">
            <v>2547.5302654232082</v>
          </cell>
        </row>
        <row r="2854">
          <cell r="Q2854">
            <v>1242.5049210789707</v>
          </cell>
        </row>
        <row r="2855">
          <cell r="Q2855">
            <v>2366.2379171841117</v>
          </cell>
        </row>
        <row r="2856">
          <cell r="Q2856">
            <v>-734.57987357252819</v>
          </cell>
        </row>
        <row r="2857">
          <cell r="Q2857">
            <v>1348.6516575747016</v>
          </cell>
        </row>
        <row r="2858">
          <cell r="Q2858">
            <v>-7306.0720619354206</v>
          </cell>
        </row>
        <row r="2859">
          <cell r="Q2859">
            <v>-679.74713663261696</v>
          </cell>
        </row>
        <row r="2860">
          <cell r="Q2860">
            <v>473.31063953280113</v>
          </cell>
        </row>
        <row r="2861">
          <cell r="Q2861">
            <v>1841.5488776760585</v>
          </cell>
        </row>
        <row r="2862">
          <cell r="Q2862">
            <v>2311.4214547701486</v>
          </cell>
        </row>
        <row r="2863">
          <cell r="Q2863">
            <v>1255.4809504164614</v>
          </cell>
        </row>
        <row r="2864">
          <cell r="Q2864">
            <v>967.19828480423985</v>
          </cell>
        </row>
        <row r="2865">
          <cell r="Q2865">
            <v>-1508.3296566464321</v>
          </cell>
        </row>
        <row r="2866">
          <cell r="Q2866">
            <v>-300.45498213222669</v>
          </cell>
        </row>
        <row r="2867">
          <cell r="Q2867">
            <v>2003.4231262776968</v>
          </cell>
        </row>
        <row r="2868">
          <cell r="Q2868">
            <v>-2604.1063513077697</v>
          </cell>
        </row>
        <row r="2869">
          <cell r="Q2869">
            <v>-694.09967476287898</v>
          </cell>
        </row>
        <row r="2870">
          <cell r="Q2870">
            <v>2908.607125040603</v>
          </cell>
        </row>
        <row r="2871">
          <cell r="Q2871">
            <v>-2304.5601306912445</v>
          </cell>
        </row>
        <row r="2872">
          <cell r="Q2872">
            <v>1194.163297207697</v>
          </cell>
        </row>
        <row r="2873">
          <cell r="Q2873">
            <v>58.172995342531863</v>
          </cell>
        </row>
        <row r="2874">
          <cell r="Q2874">
            <v>1176.7693181652437</v>
          </cell>
        </row>
        <row r="2875">
          <cell r="Q2875">
            <v>3717.0426823139405</v>
          </cell>
        </row>
        <row r="2876">
          <cell r="Q2876">
            <v>1217.1172434874184</v>
          </cell>
        </row>
        <row r="2877">
          <cell r="Q2877">
            <v>1877.9968459312522</v>
          </cell>
        </row>
        <row r="2878">
          <cell r="Q2878">
            <v>278.37680721340263</v>
          </cell>
        </row>
        <row r="2879">
          <cell r="Q2879">
            <v>497.40087114065284</v>
          </cell>
        </row>
        <row r="2880">
          <cell r="Q2880">
            <v>1685.0595122646112</v>
          </cell>
        </row>
        <row r="2881">
          <cell r="Q2881">
            <v>1750.1620343659897</v>
          </cell>
        </row>
        <row r="2882">
          <cell r="Q2882">
            <v>2587.0168932500364</v>
          </cell>
        </row>
        <row r="2883">
          <cell r="Q2883">
            <v>-685.50313531714141</v>
          </cell>
        </row>
        <row r="2884">
          <cell r="Q2884">
            <v>-1461.6856969656435</v>
          </cell>
        </row>
        <row r="2885">
          <cell r="Q2885">
            <v>3924.9961517575143</v>
          </cell>
        </row>
        <row r="2886">
          <cell r="Q2886">
            <v>5198.9548005212337</v>
          </cell>
        </row>
        <row r="2887">
          <cell r="Q2887">
            <v>907.59753814780743</v>
          </cell>
        </row>
        <row r="2888">
          <cell r="Q2888">
            <v>-1145.6001165926898</v>
          </cell>
        </row>
        <row r="2889">
          <cell r="Q2889">
            <v>-972.2119580561216</v>
          </cell>
        </row>
        <row r="2890">
          <cell r="Q2890">
            <v>-1095.3118762687081</v>
          </cell>
        </row>
        <row r="2891">
          <cell r="Q2891">
            <v>4598.7646632950182</v>
          </cell>
        </row>
        <row r="2892">
          <cell r="Q2892">
            <v>472.58284430319577</v>
          </cell>
        </row>
        <row r="2893">
          <cell r="Q2893">
            <v>2696.7933444359433</v>
          </cell>
        </row>
        <row r="2894">
          <cell r="Q2894">
            <v>3415.5473000562065</v>
          </cell>
        </row>
        <row r="2895">
          <cell r="Q2895">
            <v>1973.8472029355898</v>
          </cell>
        </row>
        <row r="2896">
          <cell r="Q2896">
            <v>-681.00218924546334</v>
          </cell>
        </row>
        <row r="2897">
          <cell r="Q2897">
            <v>6591.6463076456221</v>
          </cell>
        </row>
        <row r="2898">
          <cell r="Q2898">
            <v>3234.8867751708904</v>
          </cell>
        </row>
        <row r="2899">
          <cell r="Q2899">
            <v>64.281007085562692</v>
          </cell>
        </row>
        <row r="2900">
          <cell r="Q2900">
            <v>1020.5757629640136</v>
          </cell>
        </row>
        <row r="2901">
          <cell r="Q2901">
            <v>962.83142552298045</v>
          </cell>
        </row>
        <row r="2902">
          <cell r="Q2902">
            <v>597.32982607993517</v>
          </cell>
        </row>
        <row r="2903">
          <cell r="Q2903">
            <v>-4627.1900138442707</v>
          </cell>
        </row>
        <row r="2904">
          <cell r="Q2904">
            <v>-963.13047103896292</v>
          </cell>
        </row>
        <row r="2905">
          <cell r="Q2905">
            <v>-747.15335523165572</v>
          </cell>
        </row>
        <row r="2906">
          <cell r="Q2906">
            <v>3266.40073656405</v>
          </cell>
        </row>
        <row r="2907">
          <cell r="Q2907">
            <v>295.15437669765555</v>
          </cell>
        </row>
        <row r="2908">
          <cell r="Q2908">
            <v>128.30044302598691</v>
          </cell>
        </row>
        <row r="2909">
          <cell r="Q2909">
            <v>1420.5972354464559</v>
          </cell>
        </row>
        <row r="2910">
          <cell r="Q2910">
            <v>2245.69912754083</v>
          </cell>
        </row>
        <row r="2911">
          <cell r="Q2911">
            <v>1715.0024887077066</v>
          </cell>
        </row>
        <row r="2912">
          <cell r="Q2912">
            <v>-1716.8812332416212</v>
          </cell>
        </row>
        <row r="2913">
          <cell r="Q2913">
            <v>2097.9735319214828</v>
          </cell>
        </row>
        <row r="2914">
          <cell r="Q2914">
            <v>-2310.2043437409689</v>
          </cell>
        </row>
        <row r="2915">
          <cell r="Q2915">
            <v>1949.0150425939125</v>
          </cell>
        </row>
        <row r="2916">
          <cell r="Q2916">
            <v>4918.1314869809939</v>
          </cell>
        </row>
        <row r="2917">
          <cell r="Q2917">
            <v>3520.9902027517528</v>
          </cell>
        </row>
        <row r="2918">
          <cell r="Q2918">
            <v>754.24360476848028</v>
          </cell>
        </row>
        <row r="2919">
          <cell r="Q2919">
            <v>993.66090988147926</v>
          </cell>
        </row>
        <row r="2920">
          <cell r="Q2920">
            <v>3075.6344372416052</v>
          </cell>
        </row>
        <row r="2921">
          <cell r="Q2921">
            <v>998.3010291104431</v>
          </cell>
        </row>
        <row r="2922">
          <cell r="Q2922">
            <v>1148.7736750098456</v>
          </cell>
        </row>
        <row r="2923">
          <cell r="Q2923">
            <v>295.17982010269748</v>
          </cell>
        </row>
        <row r="2924">
          <cell r="Q2924">
            <v>2456.3453186989145</v>
          </cell>
        </row>
        <row r="2925">
          <cell r="Q2925">
            <v>2307.1457840743224</v>
          </cell>
        </row>
        <row r="2926">
          <cell r="Q2926">
            <v>1869.8492584590169</v>
          </cell>
        </row>
        <row r="2927">
          <cell r="Q2927">
            <v>-2028.738140386871</v>
          </cell>
        </row>
        <row r="2928">
          <cell r="Q2928">
            <v>380.47146126068901</v>
          </cell>
        </row>
        <row r="2929">
          <cell r="Q2929">
            <v>3523.8419302371203</v>
          </cell>
        </row>
        <row r="2930">
          <cell r="Q2930">
            <v>3203.2345943425312</v>
          </cell>
        </row>
        <row r="2931">
          <cell r="Q2931">
            <v>1475.3684450836517</v>
          </cell>
        </row>
        <row r="2932">
          <cell r="Q2932">
            <v>34.4529428775312</v>
          </cell>
        </row>
        <row r="2933">
          <cell r="Q2933">
            <v>1349.0652233765297</v>
          </cell>
        </row>
        <row r="2934">
          <cell r="Q2934">
            <v>3213.73631563548</v>
          </cell>
        </row>
        <row r="2935">
          <cell r="Q2935">
            <v>-1231.2889201633384</v>
          </cell>
        </row>
        <row r="2936">
          <cell r="Q2936">
            <v>-291.0328300676403</v>
          </cell>
        </row>
        <row r="2937">
          <cell r="Q2937">
            <v>2133.3816600371374</v>
          </cell>
        </row>
        <row r="2938">
          <cell r="Q2938">
            <v>10.833316877158552</v>
          </cell>
        </row>
        <row r="2939">
          <cell r="Q2939">
            <v>1594.0862136141409</v>
          </cell>
        </row>
        <row r="2940">
          <cell r="Q2940">
            <v>1496.3470520852181</v>
          </cell>
        </row>
        <row r="2941">
          <cell r="Q2941">
            <v>209.35546600042466</v>
          </cell>
        </row>
        <row r="2942">
          <cell r="Q2942">
            <v>847.16990557638405</v>
          </cell>
        </row>
        <row r="2943">
          <cell r="Q2943">
            <v>1575.9365340344832</v>
          </cell>
        </row>
        <row r="2944">
          <cell r="Q2944">
            <v>1101.133674188769</v>
          </cell>
        </row>
        <row r="2945">
          <cell r="Q2945">
            <v>-1205.8145059015997</v>
          </cell>
        </row>
        <row r="2946">
          <cell r="Q2946">
            <v>-652.85461911181687</v>
          </cell>
        </row>
        <row r="2947">
          <cell r="Q2947">
            <v>1551.2275847632898</v>
          </cell>
        </row>
        <row r="2948">
          <cell r="Q2948">
            <v>3516.2127312638981</v>
          </cell>
        </row>
        <row r="2949">
          <cell r="Q2949">
            <v>-2882.7357529046158</v>
          </cell>
        </row>
        <row r="2950">
          <cell r="Q2950">
            <v>472.03596283411832</v>
          </cell>
        </row>
        <row r="2951">
          <cell r="Q2951">
            <v>3017.5039613568783</v>
          </cell>
        </row>
        <row r="2952">
          <cell r="Q2952">
            <v>-4087.4708087637482</v>
          </cell>
        </row>
        <row r="2953">
          <cell r="Q2953">
            <v>1508.5731093982683</v>
          </cell>
        </row>
        <row r="2954">
          <cell r="Q2954">
            <v>3452.6162800820653</v>
          </cell>
        </row>
        <row r="2955">
          <cell r="Q2955">
            <v>-931.07703761922335</v>
          </cell>
        </row>
        <row r="2956">
          <cell r="Q2956">
            <v>1958.2906376732037</v>
          </cell>
        </row>
        <row r="2957">
          <cell r="Q2957">
            <v>-1391.7381588774249</v>
          </cell>
        </row>
        <row r="2958">
          <cell r="Q2958">
            <v>1023.0219564799802</v>
          </cell>
        </row>
        <row r="2959">
          <cell r="Q2959">
            <v>1433.3916472016924</v>
          </cell>
        </row>
        <row r="2960">
          <cell r="Q2960">
            <v>-1142.4618845139526</v>
          </cell>
        </row>
        <row r="2961">
          <cell r="Q2961">
            <v>1582.0499312401128</v>
          </cell>
        </row>
        <row r="2962">
          <cell r="Q2962">
            <v>3673.0889498839852</v>
          </cell>
        </row>
        <row r="2963">
          <cell r="Q2963">
            <v>575.44555545698984</v>
          </cell>
        </row>
        <row r="2964">
          <cell r="Q2964">
            <v>1040.2801045243916</v>
          </cell>
        </row>
        <row r="2965">
          <cell r="Q2965">
            <v>2124.5479426102434</v>
          </cell>
        </row>
        <row r="2966">
          <cell r="Q2966">
            <v>-683.45438926273619</v>
          </cell>
        </row>
        <row r="2967">
          <cell r="Q2967">
            <v>-2064.0376056433925</v>
          </cell>
        </row>
        <row r="2968">
          <cell r="Q2968">
            <v>504.79175183989571</v>
          </cell>
        </row>
        <row r="2969">
          <cell r="Q2969">
            <v>414.15279882067176</v>
          </cell>
        </row>
        <row r="2970">
          <cell r="Q2970">
            <v>-2272.951812205753</v>
          </cell>
        </row>
        <row r="2971">
          <cell r="Q2971">
            <v>466.81612488379994</v>
          </cell>
        </row>
        <row r="2972">
          <cell r="Q2972">
            <v>1669.8701668215904</v>
          </cell>
        </row>
        <row r="2973">
          <cell r="Q2973">
            <v>3405.309489186056</v>
          </cell>
        </row>
        <row r="2974">
          <cell r="Q2974">
            <v>-334.42369267967155</v>
          </cell>
        </row>
        <row r="2975">
          <cell r="Q2975">
            <v>-1070.7534601430586</v>
          </cell>
        </row>
        <row r="2976">
          <cell r="Q2976">
            <v>-4300.9698784933153</v>
          </cell>
        </row>
        <row r="2977">
          <cell r="Q2977">
            <v>-2276.2299588611172</v>
          </cell>
        </row>
        <row r="2978">
          <cell r="Q2978">
            <v>1208.0987620857302</v>
          </cell>
        </row>
        <row r="2979">
          <cell r="Q2979">
            <v>-3066.6815257291419</v>
          </cell>
        </row>
        <row r="2980">
          <cell r="Q2980">
            <v>-1736.3178578874147</v>
          </cell>
        </row>
        <row r="2981">
          <cell r="Q2981">
            <v>1292.5354030347785</v>
          </cell>
        </row>
        <row r="2982">
          <cell r="Q2982">
            <v>285.65971731185044</v>
          </cell>
        </row>
        <row r="2983">
          <cell r="Q2983">
            <v>3731.9156562000071</v>
          </cell>
        </row>
        <row r="2984">
          <cell r="Q2984">
            <v>1419.4682180424629</v>
          </cell>
        </row>
        <row r="2985">
          <cell r="Q2985">
            <v>-983.06138724481207</v>
          </cell>
        </row>
        <row r="2986">
          <cell r="Q2986">
            <v>-1819.5407003833236</v>
          </cell>
        </row>
        <row r="2987">
          <cell r="Q2987">
            <v>1612.3555331449588</v>
          </cell>
        </row>
        <row r="2988">
          <cell r="Q2988">
            <v>-3451.4141650266602</v>
          </cell>
        </row>
        <row r="2989">
          <cell r="Q2989">
            <v>1608.5227907316789</v>
          </cell>
        </row>
        <row r="2990">
          <cell r="Q2990">
            <v>-2221.4571360294863</v>
          </cell>
        </row>
        <row r="2991">
          <cell r="Q2991">
            <v>753.78521538146936</v>
          </cell>
        </row>
        <row r="2992">
          <cell r="Q2992">
            <v>3022.0903654142044</v>
          </cell>
        </row>
        <row r="2993">
          <cell r="Q2993">
            <v>-863.01809788240962</v>
          </cell>
        </row>
        <row r="2994">
          <cell r="Q2994">
            <v>266.01782982165076</v>
          </cell>
        </row>
        <row r="2995">
          <cell r="Q2995">
            <v>-1207.5905221022699</v>
          </cell>
        </row>
        <row r="2996">
          <cell r="Q2996">
            <v>785.20665539947845</v>
          </cell>
        </row>
        <row r="2997">
          <cell r="Q2997">
            <v>1846.3406796988891</v>
          </cell>
        </row>
        <row r="2998">
          <cell r="Q2998">
            <v>-1028.2766385739992</v>
          </cell>
        </row>
        <row r="2999">
          <cell r="Q2999">
            <v>2996.3982914966859</v>
          </cell>
        </row>
        <row r="3000">
          <cell r="Q3000">
            <v>-364.423736965714</v>
          </cell>
        </row>
        <row r="3001">
          <cell r="Q3001">
            <v>309.73067290877106</v>
          </cell>
        </row>
        <row r="3002">
          <cell r="Q3002">
            <v>357.41689989794054</v>
          </cell>
        </row>
        <row r="3003">
          <cell r="Q3003">
            <v>-489.7888508370483</v>
          </cell>
        </row>
        <row r="3004">
          <cell r="Q3004">
            <v>3313.8805643151591</v>
          </cell>
        </row>
        <row r="3005">
          <cell r="Q3005">
            <v>969.73069403080103</v>
          </cell>
        </row>
        <row r="3006">
          <cell r="Q3006">
            <v>829.41042232853056</v>
          </cell>
        </row>
        <row r="3007">
          <cell r="Q3007">
            <v>971.28411006016881</v>
          </cell>
        </row>
        <row r="3008">
          <cell r="Q3008">
            <v>2237.348270978544</v>
          </cell>
        </row>
        <row r="3009">
          <cell r="Q3009">
            <v>654.6771741114228</v>
          </cell>
        </row>
        <row r="3010">
          <cell r="Q3010">
            <v>280.08097355918733</v>
          </cell>
        </row>
        <row r="3011">
          <cell r="Q3011">
            <v>1974.3808946715606</v>
          </cell>
        </row>
        <row r="3012">
          <cell r="Q3012">
            <v>-400.78809637700289</v>
          </cell>
        </row>
        <row r="3013">
          <cell r="Q3013">
            <v>1693.6414907168939</v>
          </cell>
        </row>
        <row r="3014">
          <cell r="Q3014">
            <v>2796.204242417864</v>
          </cell>
        </row>
        <row r="3015">
          <cell r="Q3015">
            <v>-1764.9913847286896</v>
          </cell>
        </row>
        <row r="3016">
          <cell r="Q3016">
            <v>-412.71309063472228</v>
          </cell>
        </row>
        <row r="3017">
          <cell r="Q3017">
            <v>-2312.5894118714446</v>
          </cell>
        </row>
        <row r="3018">
          <cell r="Q3018">
            <v>1172.979751544179</v>
          </cell>
        </row>
        <row r="3019">
          <cell r="Q3019">
            <v>-1943.3606370686246</v>
          </cell>
        </row>
        <row r="3020">
          <cell r="Q3020">
            <v>1788.1889829514259</v>
          </cell>
        </row>
        <row r="3021">
          <cell r="Q3021">
            <v>1153.7204495596441</v>
          </cell>
        </row>
        <row r="3022">
          <cell r="Q3022">
            <v>-252.65110715016198</v>
          </cell>
        </row>
        <row r="3023">
          <cell r="Q3023">
            <v>3364.0846121604391</v>
          </cell>
        </row>
        <row r="3024">
          <cell r="Q3024">
            <v>-1170.8422776739583</v>
          </cell>
        </row>
        <row r="3025">
          <cell r="Q3025">
            <v>1985.2123324840991</v>
          </cell>
        </row>
        <row r="3026">
          <cell r="Q3026">
            <v>105.69642328097063</v>
          </cell>
        </row>
        <row r="3027">
          <cell r="Q3027">
            <v>447.79598808922185</v>
          </cell>
        </row>
        <row r="3028">
          <cell r="Q3028">
            <v>4115.308228123863</v>
          </cell>
        </row>
        <row r="3029">
          <cell r="Q3029">
            <v>-2976.3607222627179</v>
          </cell>
        </row>
        <row r="3030">
          <cell r="Q3030">
            <v>-234.38918533712314</v>
          </cell>
        </row>
        <row r="3031">
          <cell r="Q3031">
            <v>-79.34694072991681</v>
          </cell>
        </row>
        <row r="3032">
          <cell r="Q3032">
            <v>700.8688095915852</v>
          </cell>
        </row>
        <row r="3033">
          <cell r="Q3033">
            <v>-3683.0660895519532</v>
          </cell>
        </row>
        <row r="3034">
          <cell r="Q3034">
            <v>1353.2645833324591</v>
          </cell>
        </row>
        <row r="3035">
          <cell r="Q3035">
            <v>-1584.3769315073009</v>
          </cell>
        </row>
        <row r="3036">
          <cell r="Q3036">
            <v>603.33687766191429</v>
          </cell>
        </row>
        <row r="3037">
          <cell r="Q3037">
            <v>-877.17505212766264</v>
          </cell>
        </row>
        <row r="3038">
          <cell r="Q3038">
            <v>3944.6534604115541</v>
          </cell>
        </row>
        <row r="3039">
          <cell r="Q3039">
            <v>-643.08054399813614</v>
          </cell>
        </row>
        <row r="3040">
          <cell r="Q3040">
            <v>2298.2416823887479</v>
          </cell>
        </row>
        <row r="3041">
          <cell r="Q3041">
            <v>604.20369775566792</v>
          </cell>
        </row>
        <row r="3042">
          <cell r="Q3042">
            <v>946.95637237613437</v>
          </cell>
        </row>
        <row r="3043">
          <cell r="Q3043">
            <v>222.14633134376419</v>
          </cell>
        </row>
        <row r="3044">
          <cell r="Q3044">
            <v>-1943.3939789885769</v>
          </cell>
        </row>
        <row r="3045">
          <cell r="Q3045">
            <v>-3337.5447500153618</v>
          </cell>
        </row>
        <row r="3046">
          <cell r="Q3046">
            <v>1750.11381943212</v>
          </cell>
        </row>
        <row r="3047">
          <cell r="Q3047">
            <v>-1351.2293941080736</v>
          </cell>
        </row>
        <row r="3048">
          <cell r="Q3048">
            <v>-2743.1415152271852</v>
          </cell>
        </row>
        <row r="3049">
          <cell r="Q3049">
            <v>1081.4561218203762</v>
          </cell>
        </row>
        <row r="3050">
          <cell r="Q3050">
            <v>1139.3714035937244</v>
          </cell>
        </row>
        <row r="3051">
          <cell r="Q3051">
            <v>3205.2620712045791</v>
          </cell>
        </row>
        <row r="3052">
          <cell r="Q3052">
            <v>831.36220975914057</v>
          </cell>
        </row>
        <row r="3053">
          <cell r="Q3053">
            <v>302.011685260425</v>
          </cell>
        </row>
        <row r="3054">
          <cell r="Q3054">
            <v>-2549.2095900092386</v>
          </cell>
        </row>
        <row r="3055">
          <cell r="Q3055">
            <v>-2191.4694474999878</v>
          </cell>
        </row>
        <row r="3056">
          <cell r="Q3056">
            <v>1496.4158778298352</v>
          </cell>
        </row>
        <row r="3057">
          <cell r="Q3057">
            <v>1469.0177332605649</v>
          </cell>
        </row>
        <row r="3058">
          <cell r="Q3058">
            <v>-1905.4661983190333</v>
          </cell>
        </row>
        <row r="3059">
          <cell r="Q3059">
            <v>480.52044430958205</v>
          </cell>
        </row>
        <row r="3060">
          <cell r="Q3060">
            <v>-422.09077066012588</v>
          </cell>
        </row>
        <row r="3061">
          <cell r="Q3061">
            <v>-436.45340205610904</v>
          </cell>
        </row>
        <row r="3062">
          <cell r="Q3062">
            <v>-1586.9775304914419</v>
          </cell>
        </row>
        <row r="3063">
          <cell r="Q3063">
            <v>-1294.9560122438093</v>
          </cell>
        </row>
        <row r="3064">
          <cell r="Q3064">
            <v>-2682.575959476319</v>
          </cell>
        </row>
        <row r="3065">
          <cell r="Q3065">
            <v>-1111.0556022933624</v>
          </cell>
        </row>
        <row r="3066">
          <cell r="Q3066">
            <v>1949.135590398181</v>
          </cell>
        </row>
        <row r="3067">
          <cell r="Q3067">
            <v>-3482.0376442180022</v>
          </cell>
        </row>
        <row r="3068">
          <cell r="Q3068">
            <v>-2405.7339854335573</v>
          </cell>
        </row>
        <row r="3069">
          <cell r="Q3069">
            <v>-616.40840163195458</v>
          </cell>
        </row>
        <row r="3070">
          <cell r="Q3070">
            <v>-1444.2846539595068</v>
          </cell>
        </row>
        <row r="3071">
          <cell r="Q3071">
            <v>2540.8431644783245</v>
          </cell>
        </row>
        <row r="3072">
          <cell r="Q3072">
            <v>-1302.7272260090842</v>
          </cell>
        </row>
        <row r="3073">
          <cell r="Q3073">
            <v>-1859.2810161715577</v>
          </cell>
        </row>
        <row r="3074">
          <cell r="Q3074">
            <v>2006.020645967835</v>
          </cell>
        </row>
        <row r="3075">
          <cell r="Q3075">
            <v>1085.8644163356196</v>
          </cell>
        </row>
        <row r="3076">
          <cell r="Q3076">
            <v>2677.2877237746011</v>
          </cell>
        </row>
        <row r="3077">
          <cell r="Q3077">
            <v>-98.82508196122285</v>
          </cell>
        </row>
        <row r="3078">
          <cell r="Q3078">
            <v>-755.96343138429029</v>
          </cell>
        </row>
        <row r="3079">
          <cell r="Q3079">
            <v>75.798260186990035</v>
          </cell>
        </row>
        <row r="3080">
          <cell r="Q3080">
            <v>1339.9284999989168</v>
          </cell>
        </row>
        <row r="3081">
          <cell r="Q3081">
            <v>-551.39213813675633</v>
          </cell>
        </row>
        <row r="3082">
          <cell r="Q3082">
            <v>-529.19827783542019</v>
          </cell>
        </row>
        <row r="3083">
          <cell r="Q3083">
            <v>-203.12335806012339</v>
          </cell>
        </row>
        <row r="3084">
          <cell r="Q3084">
            <v>1651.0535570497702</v>
          </cell>
        </row>
        <row r="3085">
          <cell r="Q3085">
            <v>571.53320266169248</v>
          </cell>
        </row>
        <row r="3086">
          <cell r="Q3086">
            <v>-273.24917596473398</v>
          </cell>
        </row>
        <row r="3087">
          <cell r="Q3087">
            <v>-605.95179769665287</v>
          </cell>
        </row>
        <row r="3088">
          <cell r="Q3088">
            <v>1851.2001910522499</v>
          </cell>
        </row>
        <row r="3089">
          <cell r="Q3089">
            <v>3301.2544947369252</v>
          </cell>
        </row>
        <row r="3090">
          <cell r="Q3090">
            <v>1349.6707442449022</v>
          </cell>
        </row>
        <row r="3091">
          <cell r="Q3091">
            <v>524.2131852731867</v>
          </cell>
        </row>
        <row r="3092">
          <cell r="Q3092">
            <v>2662.1430873169215</v>
          </cell>
        </row>
        <row r="3093">
          <cell r="Q3093">
            <v>-2662.648976014797</v>
          </cell>
        </row>
        <row r="3094">
          <cell r="Q3094">
            <v>3942.5378887372221</v>
          </cell>
        </row>
        <row r="3095">
          <cell r="Q3095">
            <v>1008.784923893661</v>
          </cell>
        </row>
        <row r="3096">
          <cell r="Q3096">
            <v>12.568362543278226</v>
          </cell>
        </row>
        <row r="3097">
          <cell r="Q3097">
            <v>2182.883337227559</v>
          </cell>
        </row>
        <row r="3098">
          <cell r="Q3098">
            <v>1314.3330738554616</v>
          </cell>
        </row>
        <row r="3099">
          <cell r="Q3099">
            <v>-1513.5499122324138</v>
          </cell>
        </row>
        <row r="3100">
          <cell r="Q3100">
            <v>-1934.8680667646465</v>
          </cell>
        </row>
        <row r="3101">
          <cell r="Q3101">
            <v>745.43739514570439</v>
          </cell>
        </row>
        <row r="3102">
          <cell r="Q3102">
            <v>1245.863446084893</v>
          </cell>
        </row>
        <row r="3103">
          <cell r="Q3103">
            <v>-1575.276526429702</v>
          </cell>
        </row>
        <row r="3104">
          <cell r="Q3104">
            <v>-418.74206890005013</v>
          </cell>
        </row>
        <row r="3105">
          <cell r="Q3105">
            <v>3732.8470826330217</v>
          </cell>
        </row>
        <row r="3106">
          <cell r="Q3106">
            <v>-1759.3671469577409</v>
          </cell>
        </row>
        <row r="3107">
          <cell r="Q3107">
            <v>2387.2350049571364</v>
          </cell>
        </row>
        <row r="3108">
          <cell r="Q3108">
            <v>-531.537385772682</v>
          </cell>
        </row>
        <row r="3109">
          <cell r="Q3109">
            <v>426.28368503463361</v>
          </cell>
        </row>
        <row r="3110">
          <cell r="Q3110">
            <v>2646.295716088815</v>
          </cell>
        </row>
        <row r="3111">
          <cell r="Q3111">
            <v>-1630.1411672360327</v>
          </cell>
        </row>
        <row r="3112">
          <cell r="Q3112">
            <v>2514.6747119619217</v>
          </cell>
        </row>
        <row r="3113">
          <cell r="Q3113">
            <v>529.33632619398929</v>
          </cell>
        </row>
        <row r="3114">
          <cell r="Q3114">
            <v>-828.6790125025509</v>
          </cell>
        </row>
        <row r="3115">
          <cell r="Q3115">
            <v>3926.8154731721388</v>
          </cell>
        </row>
        <row r="3116">
          <cell r="Q3116">
            <v>-4464.5259838607681</v>
          </cell>
        </row>
        <row r="3117">
          <cell r="Q3117">
            <v>-3.7974702014444119</v>
          </cell>
        </row>
        <row r="3118">
          <cell r="Q3118">
            <v>-277.8611468801991</v>
          </cell>
        </row>
        <row r="3119">
          <cell r="Q3119">
            <v>-127.06123441759433</v>
          </cell>
        </row>
        <row r="3120">
          <cell r="Q3120">
            <v>-4951.081622441362</v>
          </cell>
        </row>
        <row r="3121">
          <cell r="Q3121">
            <v>660.18587368233375</v>
          </cell>
        </row>
        <row r="3122">
          <cell r="Q3122">
            <v>-1474.2870922618367</v>
          </cell>
        </row>
        <row r="3123">
          <cell r="Q3123">
            <v>1264.8114899581053</v>
          </cell>
        </row>
        <row r="3124">
          <cell r="Q3124">
            <v>1264.299811723801</v>
          </cell>
        </row>
        <row r="3125">
          <cell r="Q3125">
            <v>-565.91180763110196</v>
          </cell>
        </row>
        <row r="3126">
          <cell r="Q3126">
            <v>331.28345658696577</v>
          </cell>
        </row>
        <row r="3127">
          <cell r="Q3127">
            <v>1911.85500292648</v>
          </cell>
        </row>
        <row r="3128">
          <cell r="Q3128">
            <v>2413.0558131055873</v>
          </cell>
        </row>
        <row r="3129">
          <cell r="Q3129">
            <v>5702.2102297414367</v>
          </cell>
        </row>
        <row r="3130">
          <cell r="Q3130">
            <v>500.50067469788212</v>
          </cell>
        </row>
        <row r="3131">
          <cell r="Q3131">
            <v>1362.9685745728627</v>
          </cell>
        </row>
        <row r="3132">
          <cell r="Q3132">
            <v>2651.2476009279303</v>
          </cell>
        </row>
        <row r="3133">
          <cell r="Q3133">
            <v>-1009.003540763819</v>
          </cell>
        </row>
        <row r="3134">
          <cell r="Q3134">
            <v>1403.6260771472105</v>
          </cell>
        </row>
        <row r="3135">
          <cell r="Q3135">
            <v>-1411.9058055953055</v>
          </cell>
        </row>
        <row r="3136">
          <cell r="Q3136">
            <v>453.40355140326341</v>
          </cell>
        </row>
        <row r="3137">
          <cell r="Q3137">
            <v>1187.951727233122</v>
          </cell>
        </row>
        <row r="3138">
          <cell r="Q3138">
            <v>-2344.6576893536876</v>
          </cell>
        </row>
        <row r="3139">
          <cell r="Q3139">
            <v>3900.1068912424266</v>
          </cell>
        </row>
        <row r="3140">
          <cell r="Q3140">
            <v>3331.0114035052552</v>
          </cell>
        </row>
        <row r="3141">
          <cell r="Q3141">
            <v>1120.1609168331881</v>
          </cell>
        </row>
        <row r="3142">
          <cell r="Q3142">
            <v>-567.60135606826043</v>
          </cell>
        </row>
        <row r="3143">
          <cell r="Q3143">
            <v>-20.021140086369257</v>
          </cell>
        </row>
        <row r="3144">
          <cell r="Q3144">
            <v>-2392.7802958702514</v>
          </cell>
        </row>
        <row r="3145">
          <cell r="Q3145">
            <v>-1445.3563657733387</v>
          </cell>
        </row>
        <row r="3146">
          <cell r="Q3146">
            <v>762.8384509841585</v>
          </cell>
        </row>
        <row r="3147">
          <cell r="Q3147">
            <v>2392.5555875748596</v>
          </cell>
        </row>
        <row r="3148">
          <cell r="Q3148">
            <v>856.04340716994272</v>
          </cell>
        </row>
        <row r="3149">
          <cell r="Q3149">
            <v>-1158.4292555095676</v>
          </cell>
        </row>
        <row r="3150">
          <cell r="Q3150">
            <v>1317.9325027038506</v>
          </cell>
        </row>
        <row r="3151">
          <cell r="Q3151">
            <v>-701.07410143532798</v>
          </cell>
        </row>
        <row r="3152">
          <cell r="Q3152">
            <v>1170.4331103921436</v>
          </cell>
        </row>
        <row r="3153">
          <cell r="Q3153">
            <v>397.81829748660817</v>
          </cell>
        </row>
        <row r="3154">
          <cell r="Q3154">
            <v>831.71891205866018</v>
          </cell>
        </row>
        <row r="3155">
          <cell r="Q3155">
            <v>583.68488703959792</v>
          </cell>
        </row>
        <row r="3156">
          <cell r="Q3156">
            <v>-428.26708981006351</v>
          </cell>
        </row>
        <row r="3157">
          <cell r="Q3157">
            <v>-1608.0966948929863</v>
          </cell>
        </row>
        <row r="3158">
          <cell r="Q3158">
            <v>-2495.9997652461989</v>
          </cell>
        </row>
        <row r="3159">
          <cell r="Q3159">
            <v>-4063.0898294821554</v>
          </cell>
        </row>
        <row r="3160">
          <cell r="Q3160">
            <v>-937.66391979938453</v>
          </cell>
        </row>
        <row r="3161">
          <cell r="Q3161">
            <v>446.6177212159397</v>
          </cell>
        </row>
        <row r="3162">
          <cell r="Q3162">
            <v>5377.1425160336948</v>
          </cell>
        </row>
        <row r="3163">
          <cell r="Q3163">
            <v>-122.31361391162778</v>
          </cell>
        </row>
        <row r="3164">
          <cell r="Q3164">
            <v>-471.79765020895348</v>
          </cell>
        </row>
        <row r="3165">
          <cell r="Q3165">
            <v>-1083.3583740777458</v>
          </cell>
        </row>
        <row r="3166">
          <cell r="Q3166">
            <v>-3149.4090340474449</v>
          </cell>
        </row>
        <row r="3167">
          <cell r="Q3167">
            <v>1247.3505596904831</v>
          </cell>
        </row>
        <row r="3168">
          <cell r="Q3168">
            <v>1768.8671693537765</v>
          </cell>
        </row>
        <row r="3169">
          <cell r="Q3169">
            <v>3236.5693384874412</v>
          </cell>
        </row>
        <row r="3170">
          <cell r="Q3170">
            <v>656.55839760327456</v>
          </cell>
        </row>
        <row r="3171">
          <cell r="Q3171">
            <v>-1797.975445990601</v>
          </cell>
        </row>
        <row r="3172">
          <cell r="Q3172">
            <v>3288.8201913192297</v>
          </cell>
        </row>
        <row r="3173">
          <cell r="Q3173">
            <v>-1875.5525485345499</v>
          </cell>
        </row>
        <row r="3174">
          <cell r="Q3174">
            <v>2374.5522410984127</v>
          </cell>
        </row>
        <row r="3175">
          <cell r="Q3175">
            <v>2735.9357941946791</v>
          </cell>
        </row>
        <row r="3176">
          <cell r="Q3176">
            <v>2503.0702298013834</v>
          </cell>
        </row>
        <row r="3177">
          <cell r="Q3177">
            <v>-1767.8771868183501</v>
          </cell>
        </row>
        <row r="3178">
          <cell r="Q3178">
            <v>-663.40781968283045</v>
          </cell>
        </row>
        <row r="3179">
          <cell r="Q3179">
            <v>652.06185526785089</v>
          </cell>
        </row>
        <row r="3180">
          <cell r="Q3180">
            <v>41.923458598456136</v>
          </cell>
        </row>
        <row r="3181">
          <cell r="Q3181">
            <v>3093.5436373551379</v>
          </cell>
        </row>
        <row r="3182">
          <cell r="Q3182">
            <v>-1369.3032337661386</v>
          </cell>
        </row>
        <row r="3183">
          <cell r="Q3183">
            <v>-3405.0860554182245</v>
          </cell>
        </row>
        <row r="3184">
          <cell r="Q3184">
            <v>1249.8257686817528</v>
          </cell>
        </row>
        <row r="3185">
          <cell r="Q3185">
            <v>-786.61569827291601</v>
          </cell>
        </row>
        <row r="3186">
          <cell r="Q3186">
            <v>-2635.1242167145174</v>
          </cell>
        </row>
        <row r="3187">
          <cell r="Q3187">
            <v>405.38536109447261</v>
          </cell>
        </row>
        <row r="3188">
          <cell r="Q3188">
            <v>4475.4551090309888</v>
          </cell>
        </row>
        <row r="3189">
          <cell r="Q3189">
            <v>-548.74749167109826</v>
          </cell>
        </row>
        <row r="3190">
          <cell r="Q3190">
            <v>1877.5658505438862</v>
          </cell>
        </row>
        <row r="3191">
          <cell r="Q3191">
            <v>-1055.046355898153</v>
          </cell>
        </row>
        <row r="3192">
          <cell r="Q3192">
            <v>-2544.7015231546561</v>
          </cell>
        </row>
        <row r="3193">
          <cell r="Q3193">
            <v>-1437.8785271477743</v>
          </cell>
        </row>
        <row r="3194">
          <cell r="Q3194">
            <v>-1641.9634116280224</v>
          </cell>
        </row>
        <row r="3195">
          <cell r="Q3195">
            <v>3200.5668817460482</v>
          </cell>
        </row>
        <row r="3196">
          <cell r="Q3196">
            <v>928.16938552365923</v>
          </cell>
        </row>
        <row r="3197">
          <cell r="Q3197">
            <v>1748.6753555194091</v>
          </cell>
        </row>
        <row r="3198">
          <cell r="Q3198">
            <v>10.700381854092427</v>
          </cell>
        </row>
        <row r="3199">
          <cell r="Q3199">
            <v>147.25572262217653</v>
          </cell>
        </row>
        <row r="3200">
          <cell r="Q3200">
            <v>1978.7731947077345</v>
          </cell>
        </row>
        <row r="3201">
          <cell r="Q3201">
            <v>-536.58174945843894</v>
          </cell>
        </row>
        <row r="3202">
          <cell r="Q3202">
            <v>3915.9633320099838</v>
          </cell>
        </row>
        <row r="3203">
          <cell r="Q3203">
            <v>-2839.1088120145068</v>
          </cell>
        </row>
        <row r="3204">
          <cell r="Q3204">
            <v>397.00596444499791</v>
          </cell>
        </row>
        <row r="3205">
          <cell r="Q3205">
            <v>-4161.0525033419399</v>
          </cell>
        </row>
        <row r="3206">
          <cell r="Q3206">
            <v>-483.38597469866244</v>
          </cell>
        </row>
        <row r="3207">
          <cell r="Q3207">
            <v>2702.5209758129745</v>
          </cell>
        </row>
        <row r="3208">
          <cell r="Q3208">
            <v>-1305.1666650072448</v>
          </cell>
        </row>
        <row r="3209">
          <cell r="Q3209">
            <v>1388.2112894443248</v>
          </cell>
        </row>
        <row r="3210">
          <cell r="Q3210">
            <v>170.42442911553152</v>
          </cell>
        </row>
        <row r="3211">
          <cell r="Q3211">
            <v>-2013.2030170140199</v>
          </cell>
        </row>
        <row r="3212">
          <cell r="Q3212">
            <v>1578.4551299687344</v>
          </cell>
        </row>
        <row r="3213">
          <cell r="Q3213">
            <v>-1556.4665369316158</v>
          </cell>
        </row>
        <row r="3214">
          <cell r="Q3214">
            <v>-665.72417763818021</v>
          </cell>
        </row>
        <row r="3215">
          <cell r="Q3215">
            <v>4296.1218476425101</v>
          </cell>
        </row>
        <row r="3216">
          <cell r="Q3216">
            <v>800.32102396992445</v>
          </cell>
        </row>
        <row r="3217">
          <cell r="Q3217">
            <v>1542.8369824913182</v>
          </cell>
        </row>
        <row r="3218">
          <cell r="Q3218">
            <v>353.17622355237961</v>
          </cell>
        </row>
        <row r="3219">
          <cell r="Q3219">
            <v>884.94681052640044</v>
          </cell>
        </row>
        <row r="3220">
          <cell r="Q3220">
            <v>-3797.7352946072979</v>
          </cell>
        </row>
        <row r="3221">
          <cell r="Q3221">
            <v>181.0090435451221</v>
          </cell>
        </row>
        <row r="3222">
          <cell r="Q3222">
            <v>-1364.2700786799517</v>
          </cell>
        </row>
        <row r="3223">
          <cell r="Q3223">
            <v>4295.1963372924092</v>
          </cell>
        </row>
        <row r="3224">
          <cell r="Q3224">
            <v>-1158.8076352145481</v>
          </cell>
        </row>
        <row r="3225">
          <cell r="Q3225">
            <v>1508.4795518522753</v>
          </cell>
        </row>
        <row r="3226">
          <cell r="Q3226">
            <v>1165.1835692215625</v>
          </cell>
        </row>
        <row r="3227">
          <cell r="Q3227">
            <v>924.6815396503323</v>
          </cell>
        </row>
        <row r="3228">
          <cell r="Q3228">
            <v>-1274.647247296296</v>
          </cell>
        </row>
        <row r="3229">
          <cell r="Q3229">
            <v>-2703.7207202785576</v>
          </cell>
        </row>
        <row r="3230">
          <cell r="Q3230">
            <v>-957.26295960009293</v>
          </cell>
        </row>
        <row r="3231">
          <cell r="Q3231">
            <v>-2172.7022561666618</v>
          </cell>
        </row>
        <row r="3232">
          <cell r="Q3232">
            <v>-1249.7797431702802</v>
          </cell>
        </row>
        <row r="3233">
          <cell r="Q3233">
            <v>-2052.4034963739537</v>
          </cell>
        </row>
        <row r="3234">
          <cell r="Q3234">
            <v>2489.2313029187312</v>
          </cell>
        </row>
        <row r="3235">
          <cell r="Q3235">
            <v>1168.1072377880971</v>
          </cell>
        </row>
        <row r="3236">
          <cell r="Q3236">
            <v>-4315.335935330264</v>
          </cell>
        </row>
        <row r="3237">
          <cell r="Q3237">
            <v>-1165.2426179792631</v>
          </cell>
        </row>
        <row r="3238">
          <cell r="Q3238">
            <v>794.60697563594113</v>
          </cell>
        </row>
        <row r="3239">
          <cell r="Q3239">
            <v>-1523.3354225976084</v>
          </cell>
        </row>
        <row r="3240">
          <cell r="Q3240">
            <v>1489.0472974035019</v>
          </cell>
        </row>
        <row r="3241">
          <cell r="Q3241">
            <v>378.15436943966972</v>
          </cell>
        </row>
        <row r="3242">
          <cell r="Q3242">
            <v>-369.01860006928899</v>
          </cell>
        </row>
        <row r="3243">
          <cell r="Q3243">
            <v>2682.7341433258025</v>
          </cell>
        </row>
        <row r="3244">
          <cell r="Q3244">
            <v>1.052480672375907</v>
          </cell>
        </row>
        <row r="3245">
          <cell r="Q3245">
            <v>-1643.2877961450317</v>
          </cell>
        </row>
        <row r="3246">
          <cell r="Q3246">
            <v>-1022.2667512586249</v>
          </cell>
        </row>
        <row r="3247">
          <cell r="Q3247">
            <v>-2478.2081594552201</v>
          </cell>
        </row>
        <row r="3248">
          <cell r="Q3248">
            <v>729.34131565391726</v>
          </cell>
        </row>
        <row r="3249">
          <cell r="Q3249">
            <v>3746.5016449604282</v>
          </cell>
        </row>
        <row r="3250">
          <cell r="Q3250">
            <v>6219.8651750137451</v>
          </cell>
        </row>
        <row r="3251">
          <cell r="Q3251">
            <v>-1260.8793620604781</v>
          </cell>
        </row>
        <row r="3252">
          <cell r="Q3252">
            <v>3328.7031913049227</v>
          </cell>
        </row>
        <row r="3253">
          <cell r="Q3253">
            <v>-1051.947472865641</v>
          </cell>
        </row>
        <row r="3254">
          <cell r="Q3254">
            <v>956.64928247022226</v>
          </cell>
        </row>
        <row r="3255">
          <cell r="Q3255">
            <v>2378.8897871168783</v>
          </cell>
        </row>
        <row r="3256">
          <cell r="Q3256">
            <v>1594.4557482612586</v>
          </cell>
        </row>
        <row r="3257">
          <cell r="Q3257">
            <v>531.5575141418974</v>
          </cell>
        </row>
        <row r="3258">
          <cell r="Q3258">
            <v>795.45578829509623</v>
          </cell>
        </row>
        <row r="3259">
          <cell r="Q3259">
            <v>307.98221595221383</v>
          </cell>
        </row>
        <row r="3260">
          <cell r="Q3260">
            <v>985.71768320425258</v>
          </cell>
        </row>
        <row r="3261">
          <cell r="Q3261">
            <v>925.89149691740818</v>
          </cell>
        </row>
        <row r="3262">
          <cell r="Q3262">
            <v>-178.23438520905012</v>
          </cell>
        </row>
        <row r="3263">
          <cell r="Q3263">
            <v>59.190919328392567</v>
          </cell>
        </row>
        <row r="3264">
          <cell r="Q3264">
            <v>1101.2843137582513</v>
          </cell>
        </row>
        <row r="3265">
          <cell r="Q3265">
            <v>1574.8632401399627</v>
          </cell>
        </row>
        <row r="3266">
          <cell r="Q3266">
            <v>-35.622575977749193</v>
          </cell>
        </row>
        <row r="3267">
          <cell r="Q3267">
            <v>677.66860719800843</v>
          </cell>
        </row>
        <row r="3268">
          <cell r="Q3268">
            <v>2910.4660213238717</v>
          </cell>
        </row>
        <row r="3269">
          <cell r="Q3269">
            <v>827.11345965944099</v>
          </cell>
        </row>
        <row r="3270">
          <cell r="Q3270">
            <v>-313.66732317268742</v>
          </cell>
        </row>
        <row r="3271">
          <cell r="Q3271">
            <v>-5663.1017171665562</v>
          </cell>
        </row>
        <row r="3272">
          <cell r="Q3272">
            <v>-243.57772607531484</v>
          </cell>
        </row>
        <row r="3273">
          <cell r="Q3273">
            <v>574.44859434110185</v>
          </cell>
        </row>
        <row r="3274">
          <cell r="Q3274">
            <v>1329.8070408968154</v>
          </cell>
        </row>
        <row r="3275">
          <cell r="Q3275">
            <v>-824.41723825659301</v>
          </cell>
        </row>
        <row r="3276">
          <cell r="Q3276">
            <v>402.15703288406633</v>
          </cell>
        </row>
        <row r="3277">
          <cell r="Q3277">
            <v>611.40695552049681</v>
          </cell>
        </row>
        <row r="3278">
          <cell r="Q3278">
            <v>2422.0729883217982</v>
          </cell>
        </row>
        <row r="3279">
          <cell r="Q3279">
            <v>20.846688030543589</v>
          </cell>
        </row>
        <row r="3280">
          <cell r="Q3280">
            <v>519.74942984701863</v>
          </cell>
        </row>
        <row r="3281">
          <cell r="Q3281">
            <v>-2063.3265354953855</v>
          </cell>
        </row>
        <row r="3282">
          <cell r="Q3282">
            <v>2336.5592057196473</v>
          </cell>
        </row>
        <row r="3283">
          <cell r="Q3283">
            <v>583.22936093732812</v>
          </cell>
        </row>
        <row r="3284">
          <cell r="Q3284">
            <v>2290.4943692897732</v>
          </cell>
        </row>
        <row r="3285">
          <cell r="Q3285">
            <v>2133.8200760386089</v>
          </cell>
        </row>
        <row r="3286">
          <cell r="Q3286">
            <v>1308.1031474204447</v>
          </cell>
        </row>
        <row r="3287">
          <cell r="Q3287">
            <v>202.47727676739785</v>
          </cell>
        </row>
        <row r="3288">
          <cell r="Q3288">
            <v>1444.6001970692071</v>
          </cell>
        </row>
        <row r="3289">
          <cell r="Q3289">
            <v>2783.1812331600759</v>
          </cell>
        </row>
        <row r="3290">
          <cell r="Q3290">
            <v>298.34065075001945</v>
          </cell>
        </row>
        <row r="3291">
          <cell r="Q3291">
            <v>3197.0000860843229</v>
          </cell>
        </row>
        <row r="3292">
          <cell r="Q3292">
            <v>1704.907273075811</v>
          </cell>
        </row>
        <row r="3293">
          <cell r="Q3293">
            <v>1557.7445753682591</v>
          </cell>
        </row>
        <row r="3294">
          <cell r="Q3294">
            <v>1002.7533131481546</v>
          </cell>
        </row>
        <row r="3295">
          <cell r="Q3295">
            <v>1582.951698141703</v>
          </cell>
        </row>
        <row r="3296">
          <cell r="Q3296">
            <v>327.02215635643228</v>
          </cell>
        </row>
        <row r="3297">
          <cell r="Q3297">
            <v>319.02571708986204</v>
          </cell>
        </row>
        <row r="3298">
          <cell r="Q3298">
            <v>2701.8713753028342</v>
          </cell>
        </row>
        <row r="3299">
          <cell r="Q3299">
            <v>123.81654862924563</v>
          </cell>
        </row>
        <row r="3300">
          <cell r="Q3300">
            <v>3064.3298272714624</v>
          </cell>
        </row>
        <row r="3301">
          <cell r="Q3301">
            <v>-4203.65073865674</v>
          </cell>
        </row>
        <row r="3302">
          <cell r="Q3302">
            <v>2612.5893666832258</v>
          </cell>
        </row>
        <row r="3303">
          <cell r="Q3303">
            <v>-807.02214866298755</v>
          </cell>
        </row>
        <row r="3304">
          <cell r="Q3304">
            <v>-1791.1667986013165</v>
          </cell>
        </row>
        <row r="3305">
          <cell r="Q3305">
            <v>-792.51331586804349</v>
          </cell>
        </row>
        <row r="3306">
          <cell r="Q3306">
            <v>2021.4400636273181</v>
          </cell>
        </row>
        <row r="3307">
          <cell r="Q3307">
            <v>-3003.8298060981288</v>
          </cell>
        </row>
        <row r="3308">
          <cell r="Q3308">
            <v>-2821.0081652784347</v>
          </cell>
        </row>
        <row r="3309">
          <cell r="Q3309">
            <v>1045.7205357052039</v>
          </cell>
        </row>
        <row r="3310">
          <cell r="Q3310">
            <v>-538.1729090731767</v>
          </cell>
        </row>
        <row r="3311">
          <cell r="Q3311">
            <v>-29.893588127266526</v>
          </cell>
        </row>
        <row r="3312">
          <cell r="Q3312">
            <v>689.76992002307884</v>
          </cell>
        </row>
        <row r="3313">
          <cell r="Q3313">
            <v>-3600.2843323267316</v>
          </cell>
        </row>
        <row r="3314">
          <cell r="Q3314">
            <v>-2793.1858130543692</v>
          </cell>
        </row>
        <row r="3315">
          <cell r="Q3315">
            <v>-39.890145650390991</v>
          </cell>
        </row>
        <row r="3316">
          <cell r="Q3316">
            <v>-658.70264829774214</v>
          </cell>
        </row>
        <row r="3317">
          <cell r="Q3317">
            <v>-190.1593148045842</v>
          </cell>
        </row>
        <row r="3318">
          <cell r="Q3318">
            <v>-2505.2642462027184</v>
          </cell>
        </row>
        <row r="3319">
          <cell r="Q3319">
            <v>2317.1644658779537</v>
          </cell>
        </row>
        <row r="3320">
          <cell r="Q3320">
            <v>-1389.491801625672</v>
          </cell>
        </row>
        <row r="3321">
          <cell r="Q3321">
            <v>1900.5320317417002</v>
          </cell>
        </row>
        <row r="3322">
          <cell r="Q3322">
            <v>-4956.927721399149</v>
          </cell>
        </row>
        <row r="3323">
          <cell r="Q3323">
            <v>-603.76973357724569</v>
          </cell>
        </row>
        <row r="3324">
          <cell r="Q3324">
            <v>2280.6848702777306</v>
          </cell>
        </row>
        <row r="3325">
          <cell r="Q3325">
            <v>-1289.7170742016765</v>
          </cell>
        </row>
        <row r="3326">
          <cell r="Q3326">
            <v>-2470.2046433750511</v>
          </cell>
        </row>
        <row r="3327">
          <cell r="Q3327">
            <v>-4816.8940576692721</v>
          </cell>
        </row>
        <row r="3328">
          <cell r="Q3328">
            <v>-918.03859230088278</v>
          </cell>
        </row>
        <row r="3329">
          <cell r="Q3329">
            <v>242.34784186205007</v>
          </cell>
        </row>
        <row r="3330">
          <cell r="Q3330">
            <v>-1437.0520897716542</v>
          </cell>
        </row>
        <row r="3331">
          <cell r="Q3331">
            <v>577.17681104997018</v>
          </cell>
        </row>
        <row r="3332">
          <cell r="Q3332">
            <v>-2233.15687426872</v>
          </cell>
        </row>
        <row r="3333">
          <cell r="Q3333">
            <v>825.42521107868083</v>
          </cell>
        </row>
        <row r="3334">
          <cell r="Q3334">
            <v>-4987.4169280287151</v>
          </cell>
        </row>
        <row r="3335">
          <cell r="Q3335">
            <v>-3208.8754990886141</v>
          </cell>
        </row>
        <row r="3336">
          <cell r="Q3336">
            <v>2096.4877391337527</v>
          </cell>
        </row>
        <row r="3337">
          <cell r="Q3337">
            <v>3763.7547441757793</v>
          </cell>
        </row>
        <row r="3338">
          <cell r="Q3338">
            <v>1890.3628492702405</v>
          </cell>
        </row>
        <row r="3339">
          <cell r="Q3339">
            <v>-2922.873101148733</v>
          </cell>
        </row>
        <row r="3340">
          <cell r="Q3340">
            <v>-2936.262276033015</v>
          </cell>
        </row>
        <row r="3341">
          <cell r="Q3341">
            <v>-2685.6585883326479</v>
          </cell>
        </row>
        <row r="3342">
          <cell r="Q3342">
            <v>-123.85546354793513</v>
          </cell>
        </row>
        <row r="3343">
          <cell r="Q3343">
            <v>-69.095291422595722</v>
          </cell>
        </row>
        <row r="3344">
          <cell r="Q3344">
            <v>101.39221928110214</v>
          </cell>
        </row>
        <row r="3345">
          <cell r="Q3345">
            <v>-961.93608657021764</v>
          </cell>
        </row>
        <row r="3346">
          <cell r="Q3346">
            <v>23.339071537804955</v>
          </cell>
        </row>
        <row r="3347">
          <cell r="Q3347">
            <v>3174.9529903857156</v>
          </cell>
        </row>
        <row r="3348">
          <cell r="Q3348">
            <v>2120.2776528652626</v>
          </cell>
        </row>
        <row r="3349">
          <cell r="Q3349">
            <v>-2929.9719418139507</v>
          </cell>
        </row>
        <row r="3350">
          <cell r="Q3350">
            <v>3715.9582207425046</v>
          </cell>
        </row>
        <row r="3351">
          <cell r="Q3351">
            <v>2040.484313163143</v>
          </cell>
        </row>
        <row r="3352">
          <cell r="Q3352">
            <v>-3403.7003316318774</v>
          </cell>
        </row>
        <row r="3353">
          <cell r="Q3353">
            <v>-531.32139092260149</v>
          </cell>
        </row>
        <row r="3354">
          <cell r="Q3354">
            <v>638.75485369323781</v>
          </cell>
        </row>
        <row r="3355">
          <cell r="Q3355">
            <v>-515.73186140606731</v>
          </cell>
        </row>
        <row r="3356">
          <cell r="Q3356">
            <v>1720.3384946606341</v>
          </cell>
        </row>
        <row r="3357">
          <cell r="Q3357">
            <v>-836.78506539643718</v>
          </cell>
        </row>
        <row r="3358">
          <cell r="Q3358">
            <v>4507.0236101929822</v>
          </cell>
        </row>
        <row r="3359">
          <cell r="Q3359">
            <v>-37.10016278290334</v>
          </cell>
        </row>
        <row r="3360">
          <cell r="Q3360">
            <v>-734.4323569267217</v>
          </cell>
        </row>
        <row r="3361">
          <cell r="Q3361">
            <v>1121.3650392094694</v>
          </cell>
        </row>
        <row r="3362">
          <cell r="Q3362">
            <v>4210.3098044551853</v>
          </cell>
        </row>
        <row r="3363">
          <cell r="Q3363">
            <v>-1529.0766713050809</v>
          </cell>
        </row>
        <row r="3364">
          <cell r="Q3364">
            <v>-2565.6246287990302</v>
          </cell>
        </row>
        <row r="3365">
          <cell r="Q3365">
            <v>225.16131547213391</v>
          </cell>
        </row>
        <row r="3366">
          <cell r="Q3366">
            <v>-2719.6043659304078</v>
          </cell>
        </row>
        <row r="3367">
          <cell r="Q3367">
            <v>-431.91230088021865</v>
          </cell>
        </row>
        <row r="3368">
          <cell r="Q3368">
            <v>-787.66502625427347</v>
          </cell>
        </row>
        <row r="3369">
          <cell r="Q3369">
            <v>2830.6689278067138</v>
          </cell>
        </row>
        <row r="3370">
          <cell r="Q3370">
            <v>-1478.0727390524414</v>
          </cell>
        </row>
        <row r="3371">
          <cell r="Q3371">
            <v>1206.2221776563379</v>
          </cell>
        </row>
        <row r="3372">
          <cell r="Q3372">
            <v>2914.1657856758607</v>
          </cell>
        </row>
        <row r="3373">
          <cell r="Q3373">
            <v>-262.89043357198756</v>
          </cell>
        </row>
        <row r="3374">
          <cell r="Q3374">
            <v>-320.56969179232448</v>
          </cell>
        </row>
        <row r="3375">
          <cell r="Q3375">
            <v>3135.3976251776767</v>
          </cell>
        </row>
        <row r="3376">
          <cell r="Q3376">
            <v>-1604.8165694775751</v>
          </cell>
        </row>
        <row r="3377">
          <cell r="Q3377">
            <v>206.53484249528168</v>
          </cell>
        </row>
        <row r="3378">
          <cell r="Q3378">
            <v>-1955.3175636819285</v>
          </cell>
        </row>
        <row r="3379">
          <cell r="Q3379">
            <v>718.14062376721438</v>
          </cell>
        </row>
        <row r="3380">
          <cell r="Q3380">
            <v>-284.01671451964143</v>
          </cell>
        </row>
        <row r="3381">
          <cell r="Q3381">
            <v>871.84909174591564</v>
          </cell>
        </row>
        <row r="3382">
          <cell r="Q3382">
            <v>-666.27857079639239</v>
          </cell>
        </row>
        <row r="3383">
          <cell r="Q3383">
            <v>3182.4061167344416</v>
          </cell>
        </row>
        <row r="3384">
          <cell r="Q3384">
            <v>-468.08579312824787</v>
          </cell>
        </row>
        <row r="3385">
          <cell r="Q3385">
            <v>-263.98093500189322</v>
          </cell>
        </row>
        <row r="3386">
          <cell r="Q3386">
            <v>447.1761423808295</v>
          </cell>
        </row>
        <row r="3387">
          <cell r="Q3387">
            <v>3527.670398506601</v>
          </cell>
        </row>
        <row r="3388">
          <cell r="Q3388">
            <v>687.14958112414456</v>
          </cell>
        </row>
        <row r="3389">
          <cell r="Q3389">
            <v>1523.8729159649522</v>
          </cell>
        </row>
        <row r="3390">
          <cell r="Q3390">
            <v>-711.84924573378203</v>
          </cell>
        </row>
        <row r="3391">
          <cell r="Q3391">
            <v>-2211.7057965612526</v>
          </cell>
        </row>
        <row r="3392">
          <cell r="Q3392">
            <v>2399.85930294326</v>
          </cell>
        </row>
        <row r="3393">
          <cell r="Q3393">
            <v>-1142.6857810821618</v>
          </cell>
        </row>
        <row r="3394">
          <cell r="Q3394">
            <v>2265.4815087466141</v>
          </cell>
        </row>
        <row r="3395">
          <cell r="Q3395">
            <v>3003.2548288881235</v>
          </cell>
        </row>
        <row r="3396">
          <cell r="Q3396">
            <v>980.17030881480309</v>
          </cell>
        </row>
        <row r="3397">
          <cell r="Q3397">
            <v>-5936.1025260198639</v>
          </cell>
        </row>
        <row r="3398">
          <cell r="Q3398">
            <v>2073.2006647902581</v>
          </cell>
        </row>
        <row r="3399">
          <cell r="Q3399">
            <v>527.44129924228741</v>
          </cell>
        </row>
        <row r="3400">
          <cell r="Q3400">
            <v>-476.62443204524033</v>
          </cell>
        </row>
        <row r="3401">
          <cell r="Q3401">
            <v>1806.3659856870013</v>
          </cell>
        </row>
        <row r="3402">
          <cell r="Q3402">
            <v>93.894875159562901</v>
          </cell>
        </row>
        <row r="3403">
          <cell r="Q3403">
            <v>-1784.9592037374307</v>
          </cell>
        </row>
        <row r="3404">
          <cell r="Q3404">
            <v>1092.0180191310105</v>
          </cell>
        </row>
        <row r="3405">
          <cell r="Q3405">
            <v>-125.61331568875806</v>
          </cell>
        </row>
        <row r="3406">
          <cell r="Q3406">
            <v>4571.2055078400308</v>
          </cell>
        </row>
        <row r="3407">
          <cell r="Q3407">
            <v>304.28405093160438</v>
          </cell>
        </row>
        <row r="3408">
          <cell r="Q3408">
            <v>2837.5294922108974</v>
          </cell>
        </row>
        <row r="3409">
          <cell r="Q3409">
            <v>-832.75898786234666</v>
          </cell>
        </row>
        <row r="3410">
          <cell r="Q3410">
            <v>1697.4931116572561</v>
          </cell>
        </row>
        <row r="3411">
          <cell r="Q3411">
            <v>-592.1025937377899</v>
          </cell>
        </row>
        <row r="3412">
          <cell r="Q3412">
            <v>500.65578608343128</v>
          </cell>
        </row>
        <row r="3413">
          <cell r="Q3413">
            <v>1204.2385079170592</v>
          </cell>
        </row>
        <row r="3414">
          <cell r="Q3414">
            <v>2175.3279380000986</v>
          </cell>
        </row>
        <row r="3415">
          <cell r="Q3415">
            <v>-2673.7018251417471</v>
          </cell>
        </row>
        <row r="3416">
          <cell r="Q3416">
            <v>1097.4871067003323</v>
          </cell>
        </row>
        <row r="3417">
          <cell r="Q3417">
            <v>2741.6473886798522</v>
          </cell>
        </row>
        <row r="3418">
          <cell r="Q3418">
            <v>4250.8017435456104</v>
          </cell>
        </row>
        <row r="3419">
          <cell r="Q3419">
            <v>-479.83596046563918</v>
          </cell>
        </row>
        <row r="3420">
          <cell r="Q3420">
            <v>-843.88995581469771</v>
          </cell>
        </row>
        <row r="3421">
          <cell r="Q3421">
            <v>779.42974873216167</v>
          </cell>
        </row>
        <row r="3422">
          <cell r="Q3422">
            <v>1804.4393829832172</v>
          </cell>
        </row>
        <row r="3423">
          <cell r="Q3423">
            <v>-3360.8691158762113</v>
          </cell>
        </row>
        <row r="3424">
          <cell r="Q3424">
            <v>-1432.8010759940971</v>
          </cell>
        </row>
        <row r="3425">
          <cell r="Q3425">
            <v>2848.6546430585845</v>
          </cell>
        </row>
        <row r="3426">
          <cell r="Q3426">
            <v>1304.6034376557748</v>
          </cell>
        </row>
        <row r="3427">
          <cell r="Q3427">
            <v>1763.8451137653942</v>
          </cell>
        </row>
        <row r="3428">
          <cell r="Q3428">
            <v>2906.5681684239689</v>
          </cell>
        </row>
        <row r="3429">
          <cell r="Q3429">
            <v>1813.4999103839402</v>
          </cell>
        </row>
        <row r="3430">
          <cell r="Q3430">
            <v>-2906.3223173512652</v>
          </cell>
        </row>
        <row r="3431">
          <cell r="Q3431">
            <v>-234.71200434176757</v>
          </cell>
        </row>
        <row r="3432">
          <cell r="Q3432">
            <v>464.81923637122372</v>
          </cell>
        </row>
        <row r="3433">
          <cell r="Q3433">
            <v>610.24356294875474</v>
          </cell>
        </row>
        <row r="3434">
          <cell r="Q3434">
            <v>2206.4620982396536</v>
          </cell>
        </row>
        <row r="3435">
          <cell r="Q3435">
            <v>-2605.8831340135825</v>
          </cell>
        </row>
        <row r="3436">
          <cell r="Q3436">
            <v>-535.88227587935285</v>
          </cell>
        </row>
        <row r="3437">
          <cell r="Q3437">
            <v>2741.8802907224058</v>
          </cell>
        </row>
        <row r="3438">
          <cell r="Q3438">
            <v>1606.7744670700476</v>
          </cell>
        </row>
        <row r="3439">
          <cell r="Q3439">
            <v>2197.2554317554627</v>
          </cell>
        </row>
        <row r="3440">
          <cell r="Q3440">
            <v>-4375.4611913364124</v>
          </cell>
        </row>
        <row r="3441">
          <cell r="Q3441">
            <v>1954.5277555882919</v>
          </cell>
        </row>
        <row r="3442">
          <cell r="Q3442">
            <v>-975.15247846281636</v>
          </cell>
        </row>
        <row r="3443">
          <cell r="Q3443">
            <v>1076.6414282665069</v>
          </cell>
        </row>
        <row r="3444">
          <cell r="Q3444">
            <v>-1923.5063532706688</v>
          </cell>
        </row>
        <row r="3445">
          <cell r="Q3445">
            <v>-496.15449251258923</v>
          </cell>
        </row>
        <row r="3446">
          <cell r="Q3446">
            <v>1764.793449850715</v>
          </cell>
        </row>
        <row r="3447">
          <cell r="Q3447">
            <v>3081.6773869909321</v>
          </cell>
        </row>
        <row r="3448">
          <cell r="Q3448">
            <v>-3658.5271050182173</v>
          </cell>
        </row>
        <row r="3449">
          <cell r="Q3449">
            <v>3721.2447991897006</v>
          </cell>
        </row>
        <row r="3450">
          <cell r="Q3450">
            <v>-2138.040463864189</v>
          </cell>
        </row>
        <row r="3451">
          <cell r="Q3451">
            <v>3501.2052591765419</v>
          </cell>
        </row>
        <row r="3452">
          <cell r="Q3452">
            <v>604.10862748233558</v>
          </cell>
        </row>
        <row r="3453">
          <cell r="Q3453">
            <v>-379.41929966142976</v>
          </cell>
        </row>
        <row r="3454">
          <cell r="Q3454">
            <v>-1905.0136927417486</v>
          </cell>
        </row>
        <row r="3455">
          <cell r="Q3455">
            <v>3715.1743507190467</v>
          </cell>
        </row>
        <row r="3456">
          <cell r="Q3456">
            <v>-481.45653033315301</v>
          </cell>
        </row>
        <row r="3457">
          <cell r="Q3457">
            <v>-228.44988724600461</v>
          </cell>
        </row>
        <row r="3458">
          <cell r="Q3458">
            <v>2094.5627194320055</v>
          </cell>
        </row>
        <row r="3459">
          <cell r="Q3459">
            <v>1889.1882704746993</v>
          </cell>
        </row>
        <row r="3460">
          <cell r="Q3460">
            <v>-465.31584117987069</v>
          </cell>
        </row>
        <row r="3461">
          <cell r="Q3461">
            <v>-83.559572311605393</v>
          </cell>
        </row>
        <row r="3462">
          <cell r="Q3462">
            <v>-1872.155504799641</v>
          </cell>
        </row>
        <row r="3463">
          <cell r="Q3463">
            <v>-2263.0958435014031</v>
          </cell>
        </row>
        <row r="3464">
          <cell r="Q3464">
            <v>-1352.6927335147727</v>
          </cell>
        </row>
        <row r="3465">
          <cell r="Q3465">
            <v>1793.8185726210791</v>
          </cell>
        </row>
        <row r="3466">
          <cell r="Q3466">
            <v>917.57465993464416</v>
          </cell>
        </row>
        <row r="3467">
          <cell r="Q3467">
            <v>-2.1310804526960396</v>
          </cell>
        </row>
        <row r="3468">
          <cell r="Q3468">
            <v>-1881.9890317289626</v>
          </cell>
        </row>
        <row r="3469">
          <cell r="Q3469">
            <v>-1026.4423590531894</v>
          </cell>
        </row>
        <row r="3470">
          <cell r="Q3470">
            <v>2852.1651115461768</v>
          </cell>
        </row>
        <row r="3471">
          <cell r="Q3471">
            <v>1966.9601262191472</v>
          </cell>
        </row>
        <row r="3472">
          <cell r="Q3472">
            <v>-716.88604977069053</v>
          </cell>
        </row>
        <row r="3473">
          <cell r="Q3473">
            <v>365.89655649639258</v>
          </cell>
        </row>
        <row r="3474">
          <cell r="Q3474">
            <v>1947.8766317280845</v>
          </cell>
        </row>
        <row r="3475">
          <cell r="Q3475">
            <v>-1425.5802494245395</v>
          </cell>
        </row>
        <row r="3476">
          <cell r="Q3476">
            <v>-1078.8472869988423</v>
          </cell>
        </row>
        <row r="3477">
          <cell r="Q3477">
            <v>103.99474832057001</v>
          </cell>
        </row>
        <row r="3478">
          <cell r="Q3478">
            <v>1038.8433091341985</v>
          </cell>
        </row>
        <row r="3479">
          <cell r="Q3479">
            <v>202.52563480809962</v>
          </cell>
        </row>
        <row r="3480">
          <cell r="Q3480">
            <v>182.91239542301838</v>
          </cell>
        </row>
        <row r="3481">
          <cell r="Q3481">
            <v>3402.9427820553083</v>
          </cell>
        </row>
        <row r="3482">
          <cell r="Q3482">
            <v>3604.2992413490392</v>
          </cell>
        </row>
        <row r="3483">
          <cell r="Q3483">
            <v>-1943.2477188197938</v>
          </cell>
        </row>
        <row r="3484">
          <cell r="Q3484">
            <v>-217.96530131660501</v>
          </cell>
        </row>
        <row r="3485">
          <cell r="Q3485">
            <v>76.869048311505708</v>
          </cell>
        </row>
        <row r="3486">
          <cell r="Q3486">
            <v>705.01067182122097</v>
          </cell>
        </row>
        <row r="3487">
          <cell r="Q3487">
            <v>1988.8482709033299</v>
          </cell>
        </row>
        <row r="3488">
          <cell r="Q3488">
            <v>932.47155835652461</v>
          </cell>
        </row>
        <row r="3489">
          <cell r="Q3489">
            <v>-1143.2964541329566</v>
          </cell>
        </row>
        <row r="3490">
          <cell r="Q3490">
            <v>-275.8580200053795</v>
          </cell>
        </row>
        <row r="3491">
          <cell r="Q3491">
            <v>192.91217001744573</v>
          </cell>
        </row>
        <row r="3492">
          <cell r="Q3492">
            <v>3398.4144752696288</v>
          </cell>
        </row>
        <row r="3493">
          <cell r="Q3493">
            <v>-529.46125525108573</v>
          </cell>
        </row>
        <row r="3494">
          <cell r="Q3494">
            <v>-401.37257046276449</v>
          </cell>
        </row>
        <row r="3495">
          <cell r="Q3495">
            <v>223.18473760358026</v>
          </cell>
        </row>
        <row r="3496">
          <cell r="Q3496">
            <v>3710.5516084240176</v>
          </cell>
        </row>
        <row r="3497">
          <cell r="Q3497">
            <v>1328.4623619756644</v>
          </cell>
        </row>
        <row r="3498">
          <cell r="Q3498">
            <v>-137.62221171019627</v>
          </cell>
        </row>
        <row r="3499">
          <cell r="Q3499">
            <v>1817.6160167351291</v>
          </cell>
        </row>
        <row r="3500">
          <cell r="Q3500">
            <v>3504.5514893576265</v>
          </cell>
        </row>
        <row r="3501">
          <cell r="Q3501">
            <v>-645.92549865399951</v>
          </cell>
        </row>
        <row r="3502">
          <cell r="Q3502">
            <v>266.008456634222</v>
          </cell>
        </row>
        <row r="3503">
          <cell r="Q3503">
            <v>3197.699861157027</v>
          </cell>
        </row>
        <row r="3504">
          <cell r="Q3504">
            <v>3216.9367284009818</v>
          </cell>
        </row>
        <row r="3505">
          <cell r="Q3505">
            <v>-2308.2828809345542</v>
          </cell>
        </row>
        <row r="3506">
          <cell r="Q3506">
            <v>-453.78499268114734</v>
          </cell>
        </row>
        <row r="3507">
          <cell r="Q3507">
            <v>213.4496440110172</v>
          </cell>
        </row>
        <row r="3508">
          <cell r="Q3508">
            <v>1418.6968974202343</v>
          </cell>
        </row>
        <row r="3509">
          <cell r="Q3509">
            <v>-247.94787408187443</v>
          </cell>
        </row>
        <row r="3510">
          <cell r="Q3510">
            <v>-4381.2983716189938</v>
          </cell>
        </row>
        <row r="3511">
          <cell r="Q3511">
            <v>1138.9489221412377</v>
          </cell>
        </row>
        <row r="3512">
          <cell r="Q3512">
            <v>2722.2661595699028</v>
          </cell>
        </row>
        <row r="3513">
          <cell r="Q3513">
            <v>-2547.406258350009</v>
          </cell>
        </row>
        <row r="3514">
          <cell r="Q3514">
            <v>-4123.7360153404634</v>
          </cell>
        </row>
        <row r="3515">
          <cell r="Q3515">
            <v>-1841.8212669070538</v>
          </cell>
        </row>
        <row r="3516">
          <cell r="Q3516">
            <v>2246.5409995517361</v>
          </cell>
        </row>
        <row r="3517">
          <cell r="Q3517">
            <v>5467.5837428819568</v>
          </cell>
        </row>
        <row r="3518">
          <cell r="Q3518">
            <v>1114.2246436909613</v>
          </cell>
        </row>
        <row r="3519">
          <cell r="Q3519">
            <v>42.15858185214762</v>
          </cell>
        </row>
        <row r="3520">
          <cell r="Q3520">
            <v>888.63566589544052</v>
          </cell>
        </row>
        <row r="3521">
          <cell r="Q3521">
            <v>1237.1445885427202</v>
          </cell>
        </row>
        <row r="3522">
          <cell r="Q3522">
            <v>1824.519875998662</v>
          </cell>
        </row>
        <row r="3523">
          <cell r="Q3523">
            <v>3691.2787555661339</v>
          </cell>
        </row>
        <row r="3524">
          <cell r="Q3524">
            <v>-936.75835325464936</v>
          </cell>
        </row>
        <row r="3525">
          <cell r="Q3525">
            <v>-1207.2831098730483</v>
          </cell>
        </row>
        <row r="3526">
          <cell r="Q3526">
            <v>1231.1966210484795</v>
          </cell>
        </row>
        <row r="3527">
          <cell r="Q3527">
            <v>-1897.0777844574297</v>
          </cell>
        </row>
        <row r="3528">
          <cell r="Q3528">
            <v>2941.4544487467792</v>
          </cell>
        </row>
        <row r="3529">
          <cell r="Q3529">
            <v>185.11373897109434</v>
          </cell>
        </row>
        <row r="3530">
          <cell r="Q3530">
            <v>-1626.0915728498419</v>
          </cell>
        </row>
        <row r="3531">
          <cell r="Q3531">
            <v>3235.9222688033251</v>
          </cell>
        </row>
        <row r="3532">
          <cell r="Q3532">
            <v>124.10147089344059</v>
          </cell>
        </row>
        <row r="3533">
          <cell r="Q3533">
            <v>3078.8975203336877</v>
          </cell>
        </row>
        <row r="3534">
          <cell r="Q3534">
            <v>-70.906525360740375</v>
          </cell>
        </row>
        <row r="3535">
          <cell r="Q3535">
            <v>-1251.3797138306809</v>
          </cell>
        </row>
        <row r="3536">
          <cell r="Q3536">
            <v>1396.4964060339748</v>
          </cell>
        </row>
        <row r="3537">
          <cell r="Q3537">
            <v>-1048.8702327339488</v>
          </cell>
        </row>
        <row r="3538">
          <cell r="Q3538">
            <v>-539.0820850055693</v>
          </cell>
        </row>
        <row r="3539">
          <cell r="Q3539">
            <v>3454.7105534539191</v>
          </cell>
        </row>
        <row r="3540">
          <cell r="Q3540">
            <v>315.0934209968691</v>
          </cell>
        </row>
        <row r="3541">
          <cell r="Q3541">
            <v>-2913.1624851837892</v>
          </cell>
        </row>
        <row r="3542">
          <cell r="Q3542">
            <v>2370.6155105906641</v>
          </cell>
        </row>
        <row r="3543">
          <cell r="Q3543">
            <v>2454.2734592663824</v>
          </cell>
        </row>
        <row r="3544">
          <cell r="Q3544">
            <v>1161.2886361210899</v>
          </cell>
        </row>
        <row r="3545">
          <cell r="Q3545">
            <v>1554.1851843564589</v>
          </cell>
        </row>
        <row r="3546">
          <cell r="Q3546">
            <v>3035.6415999823821</v>
          </cell>
        </row>
        <row r="3547">
          <cell r="Q3547">
            <v>3284.4528435147445</v>
          </cell>
        </row>
        <row r="3548">
          <cell r="Q3548">
            <v>-643.34235036024484</v>
          </cell>
        </row>
        <row r="3549">
          <cell r="Q3549">
            <v>911.6252038740829</v>
          </cell>
        </row>
        <row r="3550">
          <cell r="Q3550">
            <v>-1916.553895326171</v>
          </cell>
        </row>
        <row r="3551">
          <cell r="Q3551">
            <v>733.9130626203372</v>
          </cell>
        </row>
        <row r="3552">
          <cell r="Q3552">
            <v>-2265.862733244654</v>
          </cell>
        </row>
        <row r="3553">
          <cell r="Q3553">
            <v>1621.5303587532355</v>
          </cell>
        </row>
        <row r="3554">
          <cell r="Q3554">
            <v>-2207.8602824893665</v>
          </cell>
        </row>
        <row r="3555">
          <cell r="Q3555">
            <v>-445.68226334038292</v>
          </cell>
        </row>
        <row r="3556">
          <cell r="Q3556">
            <v>-867.97504035561133</v>
          </cell>
        </row>
        <row r="3557">
          <cell r="Q3557">
            <v>901.42630953170806</v>
          </cell>
        </row>
        <row r="3558">
          <cell r="Q3558">
            <v>874.06933673265667</v>
          </cell>
        </row>
        <row r="3559">
          <cell r="Q3559">
            <v>871.88370368683138</v>
          </cell>
        </row>
        <row r="3560">
          <cell r="Q3560">
            <v>1780.0291893701055</v>
          </cell>
        </row>
        <row r="3561">
          <cell r="Q3561">
            <v>-270.57655894641783</v>
          </cell>
        </row>
        <row r="3562">
          <cell r="Q3562">
            <v>-1467.4689547134558</v>
          </cell>
        </row>
        <row r="3563">
          <cell r="Q3563">
            <v>551.8603625699759</v>
          </cell>
        </row>
        <row r="3564">
          <cell r="Q3564">
            <v>-908.06844944687691</v>
          </cell>
        </row>
        <row r="3565">
          <cell r="Q3565">
            <v>104.66612061855227</v>
          </cell>
        </row>
        <row r="3566">
          <cell r="Q3566">
            <v>2714.3012878311893</v>
          </cell>
        </row>
        <row r="3567">
          <cell r="Q3567">
            <v>1496.6675089149358</v>
          </cell>
        </row>
        <row r="3568">
          <cell r="Q3568">
            <v>-2841.7386908452654</v>
          </cell>
        </row>
        <row r="3569">
          <cell r="Q3569">
            <v>61.404320212638368</v>
          </cell>
        </row>
        <row r="3570">
          <cell r="Q3570">
            <v>-1034.8873320319483</v>
          </cell>
        </row>
        <row r="3571">
          <cell r="Q3571">
            <v>-3448.9103371509764</v>
          </cell>
        </row>
        <row r="3572">
          <cell r="Q3572">
            <v>2063.0802613793098</v>
          </cell>
        </row>
        <row r="3573">
          <cell r="Q3573">
            <v>-1097.2849299795571</v>
          </cell>
        </row>
        <row r="3574">
          <cell r="Q3574">
            <v>3374.1259717221551</v>
          </cell>
        </row>
        <row r="3575">
          <cell r="Q3575">
            <v>-475.10936729374924</v>
          </cell>
        </row>
        <row r="3576">
          <cell r="Q3576">
            <v>-1526.616989463937</v>
          </cell>
        </row>
        <row r="3577">
          <cell r="Q3577">
            <v>706.9469021691483</v>
          </cell>
        </row>
        <row r="3578">
          <cell r="Q3578">
            <v>-165.15828211355807</v>
          </cell>
        </row>
        <row r="3579">
          <cell r="Q3579">
            <v>-2728.5437556569141</v>
          </cell>
        </row>
        <row r="3580">
          <cell r="Q3580">
            <v>1231.6794893566498</v>
          </cell>
        </row>
        <row r="3581">
          <cell r="Q3581">
            <v>2102.024983302947</v>
          </cell>
        </row>
        <row r="3582">
          <cell r="Q3582">
            <v>-1334.6637656509145</v>
          </cell>
        </row>
        <row r="3583">
          <cell r="Q3583">
            <v>1492.5804076850839</v>
          </cell>
        </row>
        <row r="3584">
          <cell r="Q3584">
            <v>1444.2217254042978</v>
          </cell>
        </row>
        <row r="3585">
          <cell r="Q3585">
            <v>2902.8529503489308</v>
          </cell>
        </row>
        <row r="3586">
          <cell r="Q3586">
            <v>318.16805303363083</v>
          </cell>
        </row>
        <row r="3587">
          <cell r="Q3587">
            <v>-64.146802510315524</v>
          </cell>
        </row>
        <row r="3588">
          <cell r="Q3588">
            <v>2926.7416564886003</v>
          </cell>
        </row>
        <row r="3589">
          <cell r="Q3589">
            <v>610.07880546414185</v>
          </cell>
        </row>
        <row r="3590">
          <cell r="Q3590">
            <v>-3083.9889419245328</v>
          </cell>
        </row>
        <row r="3591">
          <cell r="Q3591">
            <v>-1423.5697381637126</v>
          </cell>
        </row>
        <row r="3592">
          <cell r="Q3592">
            <v>-315.47062476176251</v>
          </cell>
        </row>
        <row r="3593">
          <cell r="Q3593">
            <v>-914.88233954058592</v>
          </cell>
        </row>
        <row r="3594">
          <cell r="Q3594">
            <v>-528.85659492791206</v>
          </cell>
        </row>
        <row r="3595">
          <cell r="Q3595">
            <v>-666.27506245370591</v>
          </cell>
        </row>
        <row r="3596">
          <cell r="Q3596">
            <v>6652.8830157923367</v>
          </cell>
        </row>
        <row r="3597">
          <cell r="Q3597">
            <v>-649.95267516563808</v>
          </cell>
        </row>
        <row r="3598">
          <cell r="Q3598">
            <v>305.90011531848631</v>
          </cell>
        </row>
        <row r="3599">
          <cell r="Q3599">
            <v>345.92782686357754</v>
          </cell>
        </row>
        <row r="3600">
          <cell r="Q3600">
            <v>1421.9121522087862</v>
          </cell>
        </row>
        <row r="3601">
          <cell r="Q3601">
            <v>1434.356243575259</v>
          </cell>
        </row>
        <row r="3602">
          <cell r="Q3602">
            <v>1019.8934670951285</v>
          </cell>
        </row>
        <row r="3603">
          <cell r="Q3603">
            <v>1070.474577062583</v>
          </cell>
        </row>
        <row r="3604">
          <cell r="Q3604">
            <v>-1757.4860489920095</v>
          </cell>
        </row>
        <row r="3605">
          <cell r="Q3605">
            <v>-1189.7467353619761</v>
          </cell>
        </row>
        <row r="3606">
          <cell r="Q3606">
            <v>1753.9519002388738</v>
          </cell>
        </row>
        <row r="3607">
          <cell r="Q3607">
            <v>-492.57551991891449</v>
          </cell>
        </row>
        <row r="3608">
          <cell r="Q3608">
            <v>998.92076095224343</v>
          </cell>
        </row>
        <row r="3609">
          <cell r="Q3609">
            <v>2802.7830262112516</v>
          </cell>
        </row>
        <row r="3610">
          <cell r="Q3610">
            <v>-950.96278781792103</v>
          </cell>
        </row>
        <row r="3611">
          <cell r="Q3611">
            <v>-284.5731807916066</v>
          </cell>
        </row>
        <row r="3612">
          <cell r="Q3612">
            <v>-373.78735854442749</v>
          </cell>
        </row>
        <row r="3613">
          <cell r="Q3613">
            <v>736.76404573154105</v>
          </cell>
        </row>
        <row r="3614">
          <cell r="Q3614">
            <v>-1252.850459163054</v>
          </cell>
        </row>
        <row r="3615">
          <cell r="Q3615">
            <v>2171.2396841701748</v>
          </cell>
        </row>
        <row r="3616">
          <cell r="Q3616">
            <v>-754.70877112289963</v>
          </cell>
        </row>
        <row r="3617">
          <cell r="Q3617">
            <v>2384.9469535353978</v>
          </cell>
        </row>
        <row r="3618">
          <cell r="Q3618">
            <v>668.12431757982245</v>
          </cell>
        </row>
        <row r="3619">
          <cell r="Q3619">
            <v>1474.2040852451905</v>
          </cell>
        </row>
        <row r="3620">
          <cell r="Q3620">
            <v>861.89566880668144</v>
          </cell>
        </row>
        <row r="3621">
          <cell r="Q3621">
            <v>1282.5246039580563</v>
          </cell>
        </row>
        <row r="3622">
          <cell r="Q3622">
            <v>-395.51595648808251</v>
          </cell>
        </row>
        <row r="3623">
          <cell r="Q3623">
            <v>469.20351935348504</v>
          </cell>
        </row>
        <row r="3624">
          <cell r="Q3624">
            <v>-3259.1616844494019</v>
          </cell>
        </row>
        <row r="3625">
          <cell r="Q3625">
            <v>5579.5805942257302</v>
          </cell>
        </row>
        <row r="3626">
          <cell r="Q3626">
            <v>-2753.1016556206387</v>
          </cell>
        </row>
        <row r="3627">
          <cell r="Q3627">
            <v>244.9568662702537</v>
          </cell>
        </row>
        <row r="3628">
          <cell r="Q3628">
            <v>-3225.8422999287195</v>
          </cell>
        </row>
        <row r="3629">
          <cell r="Q3629">
            <v>2372.4271943600893</v>
          </cell>
        </row>
        <row r="3630">
          <cell r="Q3630">
            <v>-566.94127097507726</v>
          </cell>
        </row>
        <row r="3631">
          <cell r="Q3631">
            <v>-2096.9550713312537</v>
          </cell>
        </row>
        <row r="3632">
          <cell r="Q3632">
            <v>-1427.7112842275596</v>
          </cell>
        </row>
        <row r="3633">
          <cell r="Q3633">
            <v>256.23839126225539</v>
          </cell>
        </row>
        <row r="3634">
          <cell r="Q3634">
            <v>67.86103680232884</v>
          </cell>
        </row>
        <row r="3635">
          <cell r="Q3635">
            <v>-1294.290757558733</v>
          </cell>
        </row>
        <row r="3636">
          <cell r="Q3636">
            <v>1271.0923713619632</v>
          </cell>
        </row>
        <row r="3637">
          <cell r="Q3637">
            <v>-526.24008617074878</v>
          </cell>
        </row>
        <row r="3638">
          <cell r="Q3638">
            <v>-1892.5620408898533</v>
          </cell>
        </row>
        <row r="3639">
          <cell r="Q3639">
            <v>-918.63889116157998</v>
          </cell>
        </row>
        <row r="3640">
          <cell r="Q3640">
            <v>-635.24559600419138</v>
          </cell>
        </row>
        <row r="3641">
          <cell r="Q3641">
            <v>102.96212450915891</v>
          </cell>
        </row>
        <row r="3642">
          <cell r="Q3642">
            <v>1811.6922579181607</v>
          </cell>
        </row>
        <row r="3643">
          <cell r="Q3643">
            <v>-43.949142614054495</v>
          </cell>
        </row>
        <row r="3644">
          <cell r="Q3644">
            <v>132.80907287000139</v>
          </cell>
        </row>
        <row r="3645">
          <cell r="Q3645">
            <v>-319.1822363011367</v>
          </cell>
        </row>
        <row r="3646">
          <cell r="Q3646">
            <v>3929.7164632391664</v>
          </cell>
        </row>
        <row r="3647">
          <cell r="Q3647">
            <v>-3601.8780438452013</v>
          </cell>
        </row>
        <row r="3648">
          <cell r="Q3648">
            <v>-1106.7965321502161</v>
          </cell>
        </row>
        <row r="3649">
          <cell r="Q3649">
            <v>2825.4346064648039</v>
          </cell>
        </row>
        <row r="3650">
          <cell r="Q3650">
            <v>-326.50060796004749</v>
          </cell>
        </row>
        <row r="3651">
          <cell r="Q3651">
            <v>-2113.678359850453</v>
          </cell>
        </row>
        <row r="3652">
          <cell r="Q3652">
            <v>1138.8718114897254</v>
          </cell>
        </row>
        <row r="3653">
          <cell r="Q3653">
            <v>1471.0141334494003</v>
          </cell>
        </row>
        <row r="3654">
          <cell r="Q3654">
            <v>1667.6802409421696</v>
          </cell>
        </row>
        <row r="3655">
          <cell r="Q3655">
            <v>-636.93233572250892</v>
          </cell>
        </row>
        <row r="3656">
          <cell r="Q3656">
            <v>3899.3875161173864</v>
          </cell>
        </row>
        <row r="3657">
          <cell r="Q3657">
            <v>-658.96209948608112</v>
          </cell>
        </row>
        <row r="3658">
          <cell r="Q3658">
            <v>3711.5129871156769</v>
          </cell>
        </row>
        <row r="3659">
          <cell r="Q3659">
            <v>-424.81073018786213</v>
          </cell>
        </row>
        <row r="3660">
          <cell r="Q3660">
            <v>726.5971574395835</v>
          </cell>
        </row>
        <row r="3661">
          <cell r="Q3661">
            <v>368.45629073337153</v>
          </cell>
        </row>
        <row r="3662">
          <cell r="Q3662">
            <v>-1401.1997400076229</v>
          </cell>
        </row>
        <row r="3663">
          <cell r="Q3663">
            <v>-213.18174760856829</v>
          </cell>
        </row>
        <row r="3664">
          <cell r="Q3664">
            <v>1604.5756148523878</v>
          </cell>
        </row>
        <row r="3665">
          <cell r="Q3665">
            <v>3373.5720247766867</v>
          </cell>
        </row>
        <row r="3666">
          <cell r="Q3666">
            <v>-1181.9205570864563</v>
          </cell>
        </row>
        <row r="3667">
          <cell r="Q3667">
            <v>686.50453142306685</v>
          </cell>
        </row>
        <row r="3668">
          <cell r="Q3668">
            <v>991.26781685491119</v>
          </cell>
        </row>
        <row r="3669">
          <cell r="Q3669">
            <v>-1173.9883198317257</v>
          </cell>
        </row>
        <row r="3670">
          <cell r="Q3670">
            <v>-4299.7233485264414</v>
          </cell>
        </row>
        <row r="3671">
          <cell r="Q3671">
            <v>-1246.2405991658013</v>
          </cell>
        </row>
        <row r="3672">
          <cell r="Q3672">
            <v>1574.4615941203047</v>
          </cell>
        </row>
        <row r="3673">
          <cell r="Q3673">
            <v>994.88152087242611</v>
          </cell>
        </row>
        <row r="3674">
          <cell r="Q3674">
            <v>-416.47492988635958</v>
          </cell>
        </row>
        <row r="3675">
          <cell r="Q3675">
            <v>-1134.6513850528816</v>
          </cell>
        </row>
        <row r="3676">
          <cell r="Q3676">
            <v>-409.43560280095329</v>
          </cell>
        </row>
        <row r="3677">
          <cell r="Q3677">
            <v>-1530.6072630844685</v>
          </cell>
        </row>
        <row r="3678">
          <cell r="Q3678">
            <v>-1283.4224181782254</v>
          </cell>
        </row>
        <row r="3679">
          <cell r="Q3679">
            <v>-2883.2701851467082</v>
          </cell>
        </row>
        <row r="3680">
          <cell r="Q3680">
            <v>-476.30299839747823</v>
          </cell>
        </row>
        <row r="3681">
          <cell r="Q3681">
            <v>2593.941695802916</v>
          </cell>
        </row>
        <row r="3682">
          <cell r="Q3682">
            <v>633.40079939106795</v>
          </cell>
        </row>
        <row r="3683">
          <cell r="Q3683">
            <v>64.259340045773399</v>
          </cell>
        </row>
        <row r="3684">
          <cell r="Q3684">
            <v>2253.6895153821692</v>
          </cell>
        </row>
        <row r="3685">
          <cell r="Q3685">
            <v>3726.4748980877439</v>
          </cell>
        </row>
        <row r="3686">
          <cell r="Q3686">
            <v>2155.8636477961245</v>
          </cell>
        </row>
        <row r="3687">
          <cell r="Q3687">
            <v>1748.7350438306157</v>
          </cell>
        </row>
        <row r="3688">
          <cell r="Q3688">
            <v>1204.770587751168</v>
          </cell>
        </row>
        <row r="3689">
          <cell r="Q3689">
            <v>2153.3901363331947</v>
          </cell>
        </row>
        <row r="3690">
          <cell r="Q3690">
            <v>1080.4457091658364</v>
          </cell>
        </row>
        <row r="3691">
          <cell r="Q3691">
            <v>-437.38815198040919</v>
          </cell>
        </row>
        <row r="3692">
          <cell r="Q3692">
            <v>1652.5191188988053</v>
          </cell>
        </row>
        <row r="3693">
          <cell r="Q3693">
            <v>653.90817442185107</v>
          </cell>
        </row>
        <row r="3694">
          <cell r="Q3694">
            <v>629.10732932283179</v>
          </cell>
        </row>
        <row r="3695">
          <cell r="Q3695">
            <v>2994.7313727640167</v>
          </cell>
        </row>
        <row r="3696">
          <cell r="Q3696">
            <v>2462.2531242853092</v>
          </cell>
        </row>
        <row r="3697">
          <cell r="Q3697">
            <v>4107.5012528285542</v>
          </cell>
        </row>
        <row r="3698">
          <cell r="Q3698">
            <v>-3264.0038910225317</v>
          </cell>
        </row>
        <row r="3699">
          <cell r="Q3699">
            <v>-725.46220225052616</v>
          </cell>
        </row>
        <row r="3700">
          <cell r="Q3700">
            <v>2455.068447465866</v>
          </cell>
        </row>
        <row r="3701">
          <cell r="Q3701">
            <v>1145.6953831852759</v>
          </cell>
        </row>
        <row r="3702">
          <cell r="Q3702">
            <v>1397.9030168034305</v>
          </cell>
        </row>
        <row r="3703">
          <cell r="Q3703">
            <v>1318.6477166838865</v>
          </cell>
        </row>
        <row r="3704">
          <cell r="Q3704">
            <v>-1364.3924216911321</v>
          </cell>
        </row>
        <row r="3705">
          <cell r="Q3705">
            <v>-1009.0218491303901</v>
          </cell>
        </row>
        <row r="3706">
          <cell r="Q3706">
            <v>-839.37488680323963</v>
          </cell>
        </row>
        <row r="3707">
          <cell r="Q3707">
            <v>60.094862050167706</v>
          </cell>
        </row>
        <row r="3708">
          <cell r="Q3708">
            <v>1824.6036974560404</v>
          </cell>
        </row>
        <row r="3709">
          <cell r="Q3709">
            <v>992.74823178084716</v>
          </cell>
        </row>
        <row r="3710">
          <cell r="Q3710">
            <v>-775.80709792208995</v>
          </cell>
        </row>
        <row r="3711">
          <cell r="Q3711">
            <v>-503.38348044927005</v>
          </cell>
        </row>
        <row r="3712">
          <cell r="Q3712">
            <v>1622.9301965104978</v>
          </cell>
        </row>
        <row r="3713">
          <cell r="Q3713">
            <v>2674.3861088255808</v>
          </cell>
        </row>
        <row r="3714">
          <cell r="Q3714">
            <v>-1526.2739996862397</v>
          </cell>
        </row>
        <row r="3715">
          <cell r="Q3715">
            <v>1645.1746184960687</v>
          </cell>
        </row>
        <row r="3716">
          <cell r="Q3716">
            <v>-2007.1195816350084</v>
          </cell>
        </row>
        <row r="3717">
          <cell r="Q3717">
            <v>219.05419413496315</v>
          </cell>
        </row>
        <row r="3718">
          <cell r="Q3718">
            <v>-1048.3566044610761</v>
          </cell>
        </row>
        <row r="3719">
          <cell r="Q3719">
            <v>-848.90091269440245</v>
          </cell>
        </row>
        <row r="3720">
          <cell r="Q3720">
            <v>31.724351283417036</v>
          </cell>
        </row>
        <row r="3721">
          <cell r="Q3721">
            <v>-1518.3361899833403</v>
          </cell>
        </row>
        <row r="3722">
          <cell r="Q3722">
            <v>1843.566078409578</v>
          </cell>
        </row>
        <row r="3723">
          <cell r="Q3723">
            <v>-567.03968443817985</v>
          </cell>
        </row>
        <row r="3724">
          <cell r="Q3724">
            <v>2537.5843107777855</v>
          </cell>
        </row>
        <row r="3725">
          <cell r="Q3725">
            <v>-19.017935640871542</v>
          </cell>
        </row>
        <row r="3726">
          <cell r="Q3726">
            <v>4689.8279781558485</v>
          </cell>
        </row>
        <row r="3727">
          <cell r="Q3727">
            <v>-2523.1823629829796</v>
          </cell>
        </row>
        <row r="3728">
          <cell r="Q3728">
            <v>-1472.2658593579367</v>
          </cell>
        </row>
        <row r="3729">
          <cell r="Q3729">
            <v>1129.8860122018425</v>
          </cell>
        </row>
        <row r="3730">
          <cell r="Q3730">
            <v>2716.9318523802285</v>
          </cell>
        </row>
        <row r="3731">
          <cell r="Q3731">
            <v>937.15549094770017</v>
          </cell>
        </row>
        <row r="3732">
          <cell r="Q3732">
            <v>-204.0133212622772</v>
          </cell>
        </row>
        <row r="3733">
          <cell r="Q3733">
            <v>3168.5823933667507</v>
          </cell>
        </row>
        <row r="3734">
          <cell r="Q3734">
            <v>3148.5350702716496</v>
          </cell>
        </row>
        <row r="3735">
          <cell r="Q3735">
            <v>-1069.1852919754642</v>
          </cell>
        </row>
        <row r="3736">
          <cell r="Q3736">
            <v>3089.8436499553491</v>
          </cell>
        </row>
        <row r="3737">
          <cell r="Q3737">
            <v>2231.2667875286288</v>
          </cell>
        </row>
        <row r="3738">
          <cell r="Q3738">
            <v>822.76382334418508</v>
          </cell>
        </row>
        <row r="3739">
          <cell r="Q3739">
            <v>-2825.1377955775711</v>
          </cell>
        </row>
        <row r="3740">
          <cell r="Q3740">
            <v>1176.3012450363153</v>
          </cell>
        </row>
        <row r="3741">
          <cell r="Q3741">
            <v>580.79782685330906</v>
          </cell>
        </row>
        <row r="3742">
          <cell r="Q3742">
            <v>-4058.4752168663035</v>
          </cell>
        </row>
        <row r="3743">
          <cell r="Q3743">
            <v>2722.0014526865157</v>
          </cell>
        </row>
        <row r="3744">
          <cell r="Q3744">
            <v>1148.5902028528662</v>
          </cell>
        </row>
        <row r="3745">
          <cell r="Q3745">
            <v>71.504500747765235</v>
          </cell>
        </row>
        <row r="3746">
          <cell r="Q3746">
            <v>-1608.9668537021719</v>
          </cell>
        </row>
        <row r="3747">
          <cell r="Q3747">
            <v>3302.5708375229729</v>
          </cell>
        </row>
        <row r="3748">
          <cell r="Q3748">
            <v>1391.6256797742565</v>
          </cell>
        </row>
        <row r="3749">
          <cell r="Q3749">
            <v>1051.7806369029938</v>
          </cell>
        </row>
        <row r="3750">
          <cell r="Q3750">
            <v>-2563.6597348131982</v>
          </cell>
        </row>
        <row r="3751">
          <cell r="Q3751">
            <v>184.85620836349315</v>
          </cell>
        </row>
        <row r="3752">
          <cell r="Q3752">
            <v>912.17154410657326</v>
          </cell>
        </row>
        <row r="3753">
          <cell r="Q3753">
            <v>-4397.9758944573769</v>
          </cell>
        </row>
        <row r="3754">
          <cell r="Q3754">
            <v>905.10329838801226</v>
          </cell>
        </row>
        <row r="3755">
          <cell r="Q3755">
            <v>298.95694130406446</v>
          </cell>
        </row>
        <row r="3756">
          <cell r="Q3756">
            <v>-2508.5383279378912</v>
          </cell>
        </row>
        <row r="3757">
          <cell r="Q3757">
            <v>-4593.39582792894</v>
          </cell>
        </row>
        <row r="3758">
          <cell r="Q3758">
            <v>-2117.0079697929596</v>
          </cell>
        </row>
        <row r="3759">
          <cell r="Q3759">
            <v>2588.8102176499997</v>
          </cell>
        </row>
        <row r="3760">
          <cell r="Q3760">
            <v>-1113.4033257017495</v>
          </cell>
        </row>
        <row r="3761">
          <cell r="Q3761">
            <v>1785.5479237211009</v>
          </cell>
        </row>
        <row r="3762">
          <cell r="Q3762">
            <v>2574.7418378690886</v>
          </cell>
        </row>
        <row r="3763">
          <cell r="Q3763">
            <v>-3224.0480787329116</v>
          </cell>
        </row>
        <row r="3764">
          <cell r="Q3764">
            <v>5152.753250836894</v>
          </cell>
        </row>
        <row r="3765">
          <cell r="Q3765">
            <v>-3871.0544025237241</v>
          </cell>
        </row>
        <row r="3766">
          <cell r="Q3766">
            <v>-1797.06522514519</v>
          </cell>
        </row>
        <row r="3767">
          <cell r="Q3767">
            <v>-2417.5105005340729</v>
          </cell>
        </row>
        <row r="3768">
          <cell r="Q3768">
            <v>67.509490354730133</v>
          </cell>
        </row>
        <row r="3769">
          <cell r="Q3769">
            <v>758.10163331732997</v>
          </cell>
        </row>
        <row r="3770">
          <cell r="Q3770">
            <v>2756.2633420916504</v>
          </cell>
        </row>
        <row r="3771">
          <cell r="Q3771">
            <v>464.91973104041386</v>
          </cell>
        </row>
        <row r="3772">
          <cell r="Q3772">
            <v>-45.21975378306081</v>
          </cell>
        </row>
        <row r="3773">
          <cell r="Q3773">
            <v>2674.8061170639558</v>
          </cell>
        </row>
        <row r="3774">
          <cell r="Q3774">
            <v>-389.98372676440596</v>
          </cell>
        </row>
        <row r="3775">
          <cell r="Q3775">
            <v>-1178.7422426787673</v>
          </cell>
        </row>
        <row r="3776">
          <cell r="Q3776">
            <v>1302.2799544155732</v>
          </cell>
        </row>
        <row r="3777">
          <cell r="Q3777">
            <v>4911.2705339822805</v>
          </cell>
        </row>
        <row r="3778">
          <cell r="Q3778">
            <v>-694.93777143316652</v>
          </cell>
        </row>
        <row r="3779">
          <cell r="Q3779">
            <v>701.03439948367259</v>
          </cell>
        </row>
        <row r="3780">
          <cell r="Q3780">
            <v>2336.1035935518062</v>
          </cell>
        </row>
        <row r="3781">
          <cell r="Q3781">
            <v>-885.03651379293865</v>
          </cell>
        </row>
        <row r="3782">
          <cell r="Q3782">
            <v>1189.3859497766059</v>
          </cell>
        </row>
        <row r="3783">
          <cell r="Q3783">
            <v>-230.51091615363435</v>
          </cell>
        </row>
        <row r="3784">
          <cell r="Q3784">
            <v>478.79550427763616</v>
          </cell>
        </row>
        <row r="3785">
          <cell r="Q3785">
            <v>-1171.5471233028734</v>
          </cell>
        </row>
        <row r="3786">
          <cell r="Q3786">
            <v>554.49186318887348</v>
          </cell>
        </row>
        <row r="3787">
          <cell r="Q3787">
            <v>5003.9525884369732</v>
          </cell>
        </row>
        <row r="3788">
          <cell r="Q3788">
            <v>995.81573218908466</v>
          </cell>
        </row>
        <row r="3789">
          <cell r="Q3789">
            <v>1628.5156818946496</v>
          </cell>
        </row>
        <row r="3790">
          <cell r="Q3790">
            <v>1576.9856672257768</v>
          </cell>
        </row>
        <row r="3791">
          <cell r="Q3791">
            <v>1164.6298365699304</v>
          </cell>
        </row>
        <row r="3792">
          <cell r="Q3792">
            <v>-2737.0890769561838</v>
          </cell>
        </row>
        <row r="3793">
          <cell r="Q3793">
            <v>2655.8743080921618</v>
          </cell>
        </row>
        <row r="3794">
          <cell r="Q3794">
            <v>2832.5513600456552</v>
          </cell>
        </row>
        <row r="3795">
          <cell r="Q3795">
            <v>5134.3544064456937</v>
          </cell>
        </row>
        <row r="3796">
          <cell r="Q3796">
            <v>-1473.2782866143984</v>
          </cell>
        </row>
        <row r="3797">
          <cell r="Q3797">
            <v>3878.4695847594367</v>
          </cell>
        </row>
        <row r="3798">
          <cell r="Q3798">
            <v>-2503.3245556429993</v>
          </cell>
        </row>
        <row r="3799">
          <cell r="Q3799">
            <v>-295.64946854293891</v>
          </cell>
        </row>
        <row r="3800">
          <cell r="Q3800">
            <v>-1382.1978229544443</v>
          </cell>
        </row>
        <row r="3801">
          <cell r="Q3801">
            <v>2929.6141736656537</v>
          </cell>
        </row>
        <row r="3802">
          <cell r="Q3802">
            <v>-1179.329985936007</v>
          </cell>
        </row>
        <row r="3803">
          <cell r="Q3803">
            <v>2700.399988487572</v>
          </cell>
        </row>
        <row r="3804">
          <cell r="Q3804">
            <v>-1075.5766469032833</v>
          </cell>
        </row>
        <row r="3805">
          <cell r="Q3805">
            <v>-3074.7136458054542</v>
          </cell>
        </row>
        <row r="3806">
          <cell r="Q3806">
            <v>2104.1572286373389</v>
          </cell>
        </row>
        <row r="3807">
          <cell r="Q3807">
            <v>1890.5134631222948</v>
          </cell>
        </row>
        <row r="3808">
          <cell r="Q3808">
            <v>3951.0516722087859</v>
          </cell>
        </row>
        <row r="3809">
          <cell r="Q3809">
            <v>401.09125547498695</v>
          </cell>
        </row>
        <row r="3810">
          <cell r="Q3810">
            <v>1990.0684552321775</v>
          </cell>
        </row>
        <row r="3811">
          <cell r="Q3811">
            <v>-5595.200024219087</v>
          </cell>
        </row>
        <row r="3812">
          <cell r="Q3812">
            <v>-3033.6327394541881</v>
          </cell>
        </row>
        <row r="3813">
          <cell r="Q3813">
            <v>2619.810683653569</v>
          </cell>
        </row>
        <row r="3814">
          <cell r="Q3814">
            <v>-23.525565136091643</v>
          </cell>
        </row>
        <row r="3815">
          <cell r="Q3815">
            <v>-632.82915914583123</v>
          </cell>
        </row>
        <row r="3816">
          <cell r="Q3816">
            <v>3927.2474443236347</v>
          </cell>
        </row>
        <row r="3817">
          <cell r="Q3817">
            <v>3028.3018257759768</v>
          </cell>
        </row>
        <row r="3818">
          <cell r="Q3818">
            <v>339.85694923570264</v>
          </cell>
        </row>
        <row r="3819">
          <cell r="Q3819">
            <v>-713.73677165631534</v>
          </cell>
        </row>
        <row r="3820">
          <cell r="Q3820">
            <v>2744.3692148245295</v>
          </cell>
        </row>
        <row r="3821">
          <cell r="Q3821">
            <v>-111.29296399490124</v>
          </cell>
        </row>
        <row r="3822">
          <cell r="Q3822">
            <v>5838.5827854461768</v>
          </cell>
        </row>
        <row r="3823">
          <cell r="Q3823">
            <v>133.77957156192758</v>
          </cell>
        </row>
        <row r="3824">
          <cell r="Q3824">
            <v>-425.73641486281718</v>
          </cell>
        </row>
        <row r="3825">
          <cell r="Q3825">
            <v>1554.2835334821978</v>
          </cell>
        </row>
        <row r="3826">
          <cell r="Q3826">
            <v>-879.95259851098535</v>
          </cell>
        </row>
        <row r="3827">
          <cell r="Q3827">
            <v>441.34215359331267</v>
          </cell>
        </row>
        <row r="3828">
          <cell r="Q3828">
            <v>-85.756880714304657</v>
          </cell>
        </row>
        <row r="3829">
          <cell r="Q3829">
            <v>3210.5563577838534</v>
          </cell>
        </row>
        <row r="3830">
          <cell r="Q3830">
            <v>-2703.8747356009117</v>
          </cell>
        </row>
        <row r="3831">
          <cell r="Q3831">
            <v>1126.8728088013686</v>
          </cell>
        </row>
        <row r="3832">
          <cell r="Q3832">
            <v>-1858.7307376776223</v>
          </cell>
        </row>
        <row r="3833">
          <cell r="Q3833">
            <v>4171.2818144475796</v>
          </cell>
        </row>
        <row r="3834">
          <cell r="Q3834">
            <v>-285.37926875182831</v>
          </cell>
        </row>
        <row r="3835">
          <cell r="Q3835">
            <v>1645.0594430761262</v>
          </cell>
        </row>
        <row r="3836">
          <cell r="Q3836">
            <v>1837.4118322823169</v>
          </cell>
        </row>
        <row r="3837">
          <cell r="Q3837">
            <v>370.61260563045698</v>
          </cell>
        </row>
        <row r="3838">
          <cell r="Q3838">
            <v>3276.7178471811349</v>
          </cell>
        </row>
        <row r="3839">
          <cell r="Q3839">
            <v>-161.63717088651111</v>
          </cell>
        </row>
        <row r="3840">
          <cell r="Q3840">
            <v>1137.837041816487</v>
          </cell>
        </row>
        <row r="3841">
          <cell r="Q3841">
            <v>1943.8386862568004</v>
          </cell>
        </row>
        <row r="3842">
          <cell r="Q3842">
            <v>1288.9112849091096</v>
          </cell>
        </row>
        <row r="3843">
          <cell r="Q3843">
            <v>2591.3438250276627</v>
          </cell>
        </row>
        <row r="3844">
          <cell r="Q3844">
            <v>-435.63233526580285</v>
          </cell>
        </row>
        <row r="3845">
          <cell r="Q3845">
            <v>282.37298106310777</v>
          </cell>
        </row>
        <row r="3846">
          <cell r="Q3846">
            <v>-49.028205465300118</v>
          </cell>
        </row>
        <row r="3847">
          <cell r="Q3847">
            <v>856.56039001331237</v>
          </cell>
        </row>
        <row r="3848">
          <cell r="Q3848">
            <v>-652.20084888068709</v>
          </cell>
        </row>
        <row r="3849">
          <cell r="Q3849">
            <v>-694.84102948585542</v>
          </cell>
        </row>
        <row r="3850">
          <cell r="Q3850">
            <v>1349.6527903861538</v>
          </cell>
        </row>
        <row r="3851">
          <cell r="Q3851">
            <v>1419.8111812691475</v>
          </cell>
        </row>
        <row r="3852">
          <cell r="Q3852">
            <v>286.94986337344159</v>
          </cell>
        </row>
        <row r="3853">
          <cell r="Q3853">
            <v>-1628.2684011082049</v>
          </cell>
        </row>
        <row r="3854">
          <cell r="Q3854">
            <v>3139.435545040024</v>
          </cell>
        </row>
        <row r="3855">
          <cell r="Q3855">
            <v>-1995.7337374834549</v>
          </cell>
        </row>
        <row r="3856">
          <cell r="Q3856">
            <v>-1561.5285990537443</v>
          </cell>
        </row>
        <row r="3857">
          <cell r="Q3857">
            <v>-2447.6885003130719</v>
          </cell>
        </row>
        <row r="3858">
          <cell r="Q3858">
            <v>2736.5940920409384</v>
          </cell>
        </row>
        <row r="3859">
          <cell r="Q3859">
            <v>-2089.4346608127616</v>
          </cell>
        </row>
        <row r="3860">
          <cell r="Q3860">
            <v>340.64413364023795</v>
          </cell>
        </row>
        <row r="3861">
          <cell r="Q3861">
            <v>2068.5800810288529</v>
          </cell>
        </row>
        <row r="3862">
          <cell r="Q3862">
            <v>-2779.9748685835762</v>
          </cell>
        </row>
        <row r="3863">
          <cell r="Q3863">
            <v>1017.6440365706014</v>
          </cell>
        </row>
        <row r="3864">
          <cell r="Q3864">
            <v>-5261.1473356708038</v>
          </cell>
        </row>
        <row r="3865">
          <cell r="Q3865">
            <v>867.67329951729653</v>
          </cell>
        </row>
        <row r="3866">
          <cell r="Q3866">
            <v>98.47217291543609</v>
          </cell>
        </row>
        <row r="3867">
          <cell r="Q3867">
            <v>-2116.5271929129808</v>
          </cell>
        </row>
        <row r="3868">
          <cell r="Q3868">
            <v>899.73520145845487</v>
          </cell>
        </row>
        <row r="3869">
          <cell r="Q3869">
            <v>845.57418010906736</v>
          </cell>
        </row>
        <row r="3870">
          <cell r="Q3870">
            <v>-676.51998837687438</v>
          </cell>
        </row>
        <row r="3871">
          <cell r="Q3871">
            <v>-186.59672350206876</v>
          </cell>
        </row>
        <row r="3872">
          <cell r="Q3872">
            <v>1317.2751731889148</v>
          </cell>
        </row>
        <row r="3873">
          <cell r="Q3873">
            <v>125.41845364774531</v>
          </cell>
        </row>
        <row r="3874">
          <cell r="Q3874">
            <v>-3312.7366785800773</v>
          </cell>
        </row>
        <row r="3875">
          <cell r="Q3875">
            <v>1081.6427613424537</v>
          </cell>
        </row>
        <row r="3876">
          <cell r="Q3876">
            <v>-3378.8785041610367</v>
          </cell>
        </row>
        <row r="3877">
          <cell r="Q3877">
            <v>-219.48151796688393</v>
          </cell>
        </row>
        <row r="3878">
          <cell r="Q3878">
            <v>-52.646466268408801</v>
          </cell>
        </row>
        <row r="3879">
          <cell r="Q3879">
            <v>-867.70503675024747</v>
          </cell>
        </row>
        <row r="3880">
          <cell r="Q3880">
            <v>-1153.0921695493769</v>
          </cell>
        </row>
        <row r="3881">
          <cell r="Q3881">
            <v>900.14606268279533</v>
          </cell>
        </row>
        <row r="3882">
          <cell r="Q3882">
            <v>1906.6760986625966</v>
          </cell>
        </row>
        <row r="3883">
          <cell r="Q3883">
            <v>2181.2798261017492</v>
          </cell>
        </row>
        <row r="3884">
          <cell r="Q3884">
            <v>-1159.8103666064314</v>
          </cell>
        </row>
        <row r="3885">
          <cell r="Q3885">
            <v>-3815.6567508110038</v>
          </cell>
        </row>
        <row r="3886">
          <cell r="Q3886">
            <v>-1216.9559223969527</v>
          </cell>
        </row>
        <row r="3887">
          <cell r="Q3887">
            <v>-345.2660964380338</v>
          </cell>
        </row>
        <row r="3888">
          <cell r="Q3888">
            <v>1940.4515794541733</v>
          </cell>
        </row>
        <row r="3889">
          <cell r="Q3889">
            <v>2850.805290404483</v>
          </cell>
        </row>
        <row r="3890">
          <cell r="Q3890">
            <v>761.34497284878512</v>
          </cell>
        </row>
        <row r="3891">
          <cell r="Q3891">
            <v>-2595.7195541161041</v>
          </cell>
        </row>
        <row r="3892">
          <cell r="Q3892">
            <v>-1581.0999900080321</v>
          </cell>
        </row>
        <row r="3893">
          <cell r="Q3893">
            <v>191.96857977505385</v>
          </cell>
        </row>
        <row r="3894">
          <cell r="Q3894">
            <v>598.12914724141751</v>
          </cell>
        </row>
        <row r="3895">
          <cell r="Q3895">
            <v>506.50535500173021</v>
          </cell>
        </row>
        <row r="3896">
          <cell r="Q3896">
            <v>-1736.2975719155249</v>
          </cell>
        </row>
        <row r="3897">
          <cell r="Q3897">
            <v>540.33674031005523</v>
          </cell>
        </row>
        <row r="3898">
          <cell r="Q3898">
            <v>373.62633052509813</v>
          </cell>
        </row>
        <row r="3899">
          <cell r="Q3899">
            <v>-2601.2405355373603</v>
          </cell>
        </row>
        <row r="3900">
          <cell r="Q3900">
            <v>1524.2850968438083</v>
          </cell>
        </row>
        <row r="3901">
          <cell r="Q3901">
            <v>-1046.6153522246459</v>
          </cell>
        </row>
        <row r="3902">
          <cell r="Q3902">
            <v>-3070.5500952581178</v>
          </cell>
        </row>
        <row r="3903">
          <cell r="Q3903">
            <v>-792.75596945937991</v>
          </cell>
        </row>
        <row r="3904">
          <cell r="Q3904">
            <v>186.85485759296319</v>
          </cell>
        </row>
        <row r="3905">
          <cell r="Q3905">
            <v>-1490.8125453938576</v>
          </cell>
        </row>
        <row r="3906">
          <cell r="Q3906">
            <v>-13.183512723050171</v>
          </cell>
        </row>
        <row r="3907">
          <cell r="Q3907">
            <v>2001.3300435336166</v>
          </cell>
        </row>
        <row r="3908">
          <cell r="Q3908">
            <v>130.60673423232657</v>
          </cell>
        </row>
        <row r="3909">
          <cell r="Q3909">
            <v>-907.73287513866808</v>
          </cell>
        </row>
        <row r="3910">
          <cell r="Q3910">
            <v>-1252.0231173215498</v>
          </cell>
        </row>
        <row r="3911">
          <cell r="Q3911">
            <v>-1407.1142225096642</v>
          </cell>
        </row>
        <row r="3912">
          <cell r="Q3912">
            <v>1572.5182034232205</v>
          </cell>
        </row>
        <row r="3913">
          <cell r="Q3913">
            <v>475.6702140520909</v>
          </cell>
        </row>
        <row r="3914">
          <cell r="Q3914">
            <v>-1389.0780747629883</v>
          </cell>
        </row>
        <row r="3915">
          <cell r="Q3915">
            <v>-2459.1401024015627</v>
          </cell>
        </row>
        <row r="3916">
          <cell r="Q3916">
            <v>-1769.2915599994019</v>
          </cell>
        </row>
        <row r="3917">
          <cell r="Q3917">
            <v>4854.929758613287</v>
          </cell>
        </row>
        <row r="3918">
          <cell r="Q3918">
            <v>2281.9355845712553</v>
          </cell>
        </row>
        <row r="3919">
          <cell r="Q3919">
            <v>-393.54959091669531</v>
          </cell>
        </row>
        <row r="3920">
          <cell r="Q3920">
            <v>-175.01796088383338</v>
          </cell>
        </row>
        <row r="3921">
          <cell r="Q3921">
            <v>-1865.4588318296289</v>
          </cell>
        </row>
        <row r="3922">
          <cell r="Q3922">
            <v>1617.7918140876911</v>
          </cell>
        </row>
        <row r="3923">
          <cell r="Q3923">
            <v>-321.9635063573632</v>
          </cell>
        </row>
        <row r="3924">
          <cell r="Q3924">
            <v>-521.52178768427052</v>
          </cell>
        </row>
        <row r="3925">
          <cell r="Q3925">
            <v>1327.0748608806232</v>
          </cell>
        </row>
        <row r="3926">
          <cell r="Q3926">
            <v>1569.2661995414605</v>
          </cell>
        </row>
        <row r="3927">
          <cell r="Q3927">
            <v>3288.3468477508918</v>
          </cell>
        </row>
        <row r="3928">
          <cell r="Q3928">
            <v>457.5773244939441</v>
          </cell>
        </row>
        <row r="3929">
          <cell r="Q3929">
            <v>-1355.0291133498729</v>
          </cell>
        </row>
        <row r="3930">
          <cell r="Q3930">
            <v>207.98313550335629</v>
          </cell>
        </row>
        <row r="3931">
          <cell r="Q3931">
            <v>-780.40731705293001</v>
          </cell>
        </row>
        <row r="3932">
          <cell r="Q3932">
            <v>-2769.9944572366721</v>
          </cell>
        </row>
        <row r="3933">
          <cell r="Q3933">
            <v>-593.50414221834785</v>
          </cell>
        </row>
        <row r="3934">
          <cell r="Q3934">
            <v>-1539.5090368849933</v>
          </cell>
        </row>
        <row r="3935">
          <cell r="Q3935">
            <v>617.23652720186612</v>
          </cell>
        </row>
        <row r="3936">
          <cell r="Q3936">
            <v>2509.2875369884596</v>
          </cell>
        </row>
        <row r="3937">
          <cell r="Q3937">
            <v>3257.2576911853457</v>
          </cell>
        </row>
        <row r="3938">
          <cell r="Q3938">
            <v>1803.5440746311269</v>
          </cell>
        </row>
        <row r="3939">
          <cell r="Q3939">
            <v>-1921.3930565052922</v>
          </cell>
        </row>
        <row r="3940">
          <cell r="Q3940">
            <v>-223.18015731875511</v>
          </cell>
        </row>
        <row r="3941">
          <cell r="Q3941">
            <v>-1811.2811007732487</v>
          </cell>
        </row>
        <row r="3942">
          <cell r="Q3942">
            <v>451.92800893227832</v>
          </cell>
        </row>
        <row r="3943">
          <cell r="Q3943">
            <v>2121.5309519826314</v>
          </cell>
        </row>
        <row r="3944">
          <cell r="Q3944">
            <v>-1433.5517831475483</v>
          </cell>
        </row>
        <row r="3945">
          <cell r="Q3945">
            <v>1517.8793536930818</v>
          </cell>
        </row>
        <row r="3946">
          <cell r="Q3946">
            <v>-2748.4642143333035</v>
          </cell>
        </row>
        <row r="3947">
          <cell r="Q3947">
            <v>2236.0652351477538</v>
          </cell>
        </row>
        <row r="3948">
          <cell r="Q3948">
            <v>3661.2602917665613</v>
          </cell>
        </row>
        <row r="3949">
          <cell r="Q3949">
            <v>3668.6119957366791</v>
          </cell>
        </row>
        <row r="3950">
          <cell r="Q3950">
            <v>-1720.2634173327681</v>
          </cell>
        </row>
        <row r="3951">
          <cell r="Q3951">
            <v>277.75355306166495</v>
          </cell>
        </row>
        <row r="3952">
          <cell r="Q3952">
            <v>-1828.2448831244321</v>
          </cell>
        </row>
        <row r="3953">
          <cell r="Q3953">
            <v>1377.6056963409756</v>
          </cell>
        </row>
        <row r="3954">
          <cell r="Q3954">
            <v>38.149531473982449</v>
          </cell>
        </row>
        <row r="3955">
          <cell r="Q3955">
            <v>-2897.2458829281545</v>
          </cell>
        </row>
        <row r="3956">
          <cell r="Q3956">
            <v>-3567.372902157143</v>
          </cell>
        </row>
        <row r="3957">
          <cell r="Q3957">
            <v>2436.4810294081208</v>
          </cell>
        </row>
        <row r="3958">
          <cell r="Q3958">
            <v>-118.48467424015683</v>
          </cell>
        </row>
        <row r="3959">
          <cell r="Q3959">
            <v>1798.4304107526305</v>
          </cell>
        </row>
        <row r="3960">
          <cell r="Q3960">
            <v>2691.5730014311166</v>
          </cell>
        </row>
        <row r="3961">
          <cell r="Q3961">
            <v>1862.5464406667147</v>
          </cell>
        </row>
        <row r="3962">
          <cell r="Q3962">
            <v>1695.3889054044014</v>
          </cell>
        </row>
        <row r="3963">
          <cell r="Q3963">
            <v>290.58730361613294</v>
          </cell>
        </row>
        <row r="3964">
          <cell r="Q3964">
            <v>1830.7454287054018</v>
          </cell>
        </row>
        <row r="3965">
          <cell r="Q3965">
            <v>-1583.541065413287</v>
          </cell>
        </row>
        <row r="3966">
          <cell r="Q3966">
            <v>4260.7598375674515</v>
          </cell>
        </row>
        <row r="3967">
          <cell r="Q3967">
            <v>994.95904042042844</v>
          </cell>
        </row>
        <row r="3968">
          <cell r="Q3968">
            <v>482.8720865561246</v>
          </cell>
        </row>
        <row r="3969">
          <cell r="Q3969">
            <v>-277.97326918886796</v>
          </cell>
        </row>
        <row r="3970">
          <cell r="Q3970">
            <v>4047.4169340956332</v>
          </cell>
        </row>
        <row r="3971">
          <cell r="Q3971">
            <v>-2569.6797827071132</v>
          </cell>
        </row>
        <row r="3972">
          <cell r="Q3972">
            <v>-1718.0848627416769</v>
          </cell>
        </row>
        <row r="3973">
          <cell r="Q3973">
            <v>409.01468157076891</v>
          </cell>
        </row>
        <row r="3974">
          <cell r="Q3974">
            <v>480.37918023537787</v>
          </cell>
        </row>
        <row r="3975">
          <cell r="Q3975">
            <v>-2762.6711622132448</v>
          </cell>
        </row>
        <row r="3976">
          <cell r="Q3976">
            <v>3684.9083060405237</v>
          </cell>
        </row>
        <row r="3977">
          <cell r="Q3977">
            <v>2922.0814779286429</v>
          </cell>
        </row>
        <row r="3978">
          <cell r="Q3978">
            <v>-2610.9493967250824</v>
          </cell>
        </row>
        <row r="3979">
          <cell r="Q3979">
            <v>-1403.9304512808033</v>
          </cell>
        </row>
        <row r="3980">
          <cell r="Q3980">
            <v>4141.2514212079941</v>
          </cell>
        </row>
        <row r="3981">
          <cell r="Q3981">
            <v>-1175.79654631585</v>
          </cell>
        </row>
        <row r="3982">
          <cell r="Q3982">
            <v>2266.8299453035506</v>
          </cell>
        </row>
        <row r="3983">
          <cell r="Q3983">
            <v>578.71711020876546</v>
          </cell>
        </row>
        <row r="3984">
          <cell r="Q3984">
            <v>-304.1296238063814</v>
          </cell>
        </row>
        <row r="3985">
          <cell r="Q3985">
            <v>-957.58060225219492</v>
          </cell>
        </row>
        <row r="3986">
          <cell r="Q3986">
            <v>675.29706625602012</v>
          </cell>
        </row>
        <row r="3987">
          <cell r="Q3987">
            <v>-83.621893054434167</v>
          </cell>
        </row>
        <row r="3988">
          <cell r="Q3988">
            <v>1160.661489698437</v>
          </cell>
        </row>
        <row r="3989">
          <cell r="Q3989">
            <v>1983.3865606857325</v>
          </cell>
        </row>
        <row r="3990">
          <cell r="Q3990">
            <v>-175.393736568164</v>
          </cell>
        </row>
        <row r="3991">
          <cell r="Q3991">
            <v>-105.39626587469132</v>
          </cell>
        </row>
        <row r="3992">
          <cell r="Q3992">
            <v>1875.8394979270449</v>
          </cell>
        </row>
        <row r="3993">
          <cell r="Q3993">
            <v>-4119.5302917944045</v>
          </cell>
        </row>
        <row r="3994">
          <cell r="Q3994">
            <v>1229.632733892531</v>
          </cell>
        </row>
        <row r="3995">
          <cell r="Q3995">
            <v>893.74044248592963</v>
          </cell>
        </row>
        <row r="3996">
          <cell r="Q3996">
            <v>662.52353243332914</v>
          </cell>
        </row>
        <row r="3997">
          <cell r="Q3997">
            <v>773.46352275187974</v>
          </cell>
        </row>
        <row r="3998">
          <cell r="Q3998">
            <v>-807.5350723297181</v>
          </cell>
        </row>
        <row r="3999">
          <cell r="Q3999">
            <v>-4217.2167965293565</v>
          </cell>
        </row>
        <row r="4000">
          <cell r="Q4000">
            <v>-3110.5156644856688</v>
          </cell>
        </row>
        <row r="4001">
          <cell r="Q4001">
            <v>1502.440186194327</v>
          </cell>
        </row>
        <row r="4002">
          <cell r="Q4002">
            <v>509.50497007077661</v>
          </cell>
        </row>
        <row r="4003">
          <cell r="Q4003">
            <v>3287.3739135163887</v>
          </cell>
        </row>
        <row r="4004">
          <cell r="Q4004">
            <v>1726.9096867912019</v>
          </cell>
        </row>
        <row r="4005">
          <cell r="Q4005">
            <v>893.5758611550757</v>
          </cell>
        </row>
        <row r="4006">
          <cell r="Q4006">
            <v>105.87884433309472</v>
          </cell>
        </row>
        <row r="4007">
          <cell r="Q4007">
            <v>-136.61874067737966</v>
          </cell>
        </row>
        <row r="4008">
          <cell r="Q4008">
            <v>757.1031835656396</v>
          </cell>
        </row>
        <row r="4009">
          <cell r="Q4009">
            <v>817.13911681691297</v>
          </cell>
        </row>
        <row r="4010">
          <cell r="Q4010">
            <v>-1338.2234361280152</v>
          </cell>
        </row>
        <row r="4011">
          <cell r="Q4011">
            <v>2682.6405601622264</v>
          </cell>
        </row>
        <row r="4012">
          <cell r="Q4012">
            <v>2867.6005610814605</v>
          </cell>
        </row>
        <row r="4013">
          <cell r="Q4013">
            <v>3100.5830038227477</v>
          </cell>
        </row>
        <row r="4014">
          <cell r="Q4014">
            <v>-202.72603900187454</v>
          </cell>
        </row>
        <row r="4015">
          <cell r="Q4015">
            <v>-872.57845041686778</v>
          </cell>
        </row>
        <row r="4016">
          <cell r="Q4016">
            <v>-2443.3959530253132</v>
          </cell>
        </row>
        <row r="4017">
          <cell r="Q4017">
            <v>554.37293201235002</v>
          </cell>
        </row>
        <row r="4018">
          <cell r="Q4018">
            <v>-2175.3883712052552</v>
          </cell>
        </row>
        <row r="4019">
          <cell r="Q4019">
            <v>1664.2394426230799</v>
          </cell>
        </row>
        <row r="4020">
          <cell r="Q4020">
            <v>3408.0552322551107</v>
          </cell>
        </row>
        <row r="4021">
          <cell r="Q4021">
            <v>-2122.3698790030785</v>
          </cell>
        </row>
        <row r="4022">
          <cell r="Q4022">
            <v>2949.0680686424053</v>
          </cell>
        </row>
        <row r="4023">
          <cell r="Q4023">
            <v>51.285622471654108</v>
          </cell>
        </row>
        <row r="4024">
          <cell r="Q4024">
            <v>-613.52308064342674</v>
          </cell>
        </row>
        <row r="4025">
          <cell r="Q4025">
            <v>951.179339171116</v>
          </cell>
        </row>
        <row r="4026">
          <cell r="Q4026">
            <v>-4127.8595863682613</v>
          </cell>
        </row>
        <row r="4027">
          <cell r="Q4027">
            <v>-2060.9016368341086</v>
          </cell>
        </row>
        <row r="4028">
          <cell r="Q4028">
            <v>-976.85263733664874</v>
          </cell>
        </row>
        <row r="4029">
          <cell r="Q4029">
            <v>-371.56230320686603</v>
          </cell>
        </row>
        <row r="4030">
          <cell r="Q4030">
            <v>26.638439900818128</v>
          </cell>
        </row>
        <row r="4031">
          <cell r="Q4031">
            <v>2070.2140816797219</v>
          </cell>
        </row>
        <row r="4032">
          <cell r="Q4032">
            <v>-2914.8073564711208</v>
          </cell>
        </row>
        <row r="4033">
          <cell r="Q4033">
            <v>-536.32610261217383</v>
          </cell>
        </row>
        <row r="4034">
          <cell r="Q4034">
            <v>-104.57354633217045</v>
          </cell>
        </row>
        <row r="4035">
          <cell r="Q4035">
            <v>1707.974626417257</v>
          </cell>
        </row>
        <row r="4036">
          <cell r="Q4036">
            <v>13.632648509549085</v>
          </cell>
        </row>
        <row r="4037">
          <cell r="Q4037">
            <v>3677.5820502519514</v>
          </cell>
        </row>
        <row r="4038">
          <cell r="Q4038">
            <v>1304.162044655817</v>
          </cell>
        </row>
        <row r="4039">
          <cell r="Q4039">
            <v>-294.30235611278994</v>
          </cell>
        </row>
        <row r="4040">
          <cell r="Q4040">
            <v>-692.2238160803347</v>
          </cell>
        </row>
        <row r="4041">
          <cell r="Q4041">
            <v>1524.6831664547515</v>
          </cell>
        </row>
        <row r="4042">
          <cell r="Q4042">
            <v>4490.9713828734339</v>
          </cell>
        </row>
        <row r="4043">
          <cell r="Q4043">
            <v>1011.8009825594361</v>
          </cell>
        </row>
        <row r="4044">
          <cell r="Q4044">
            <v>2006.4372579657861</v>
          </cell>
        </row>
        <row r="4045">
          <cell r="Q4045">
            <v>3108.1903283912793</v>
          </cell>
        </row>
        <row r="4046">
          <cell r="Q4046">
            <v>2139.0860418322036</v>
          </cell>
        </row>
        <row r="4047">
          <cell r="Q4047">
            <v>-171.62456417656409</v>
          </cell>
        </row>
        <row r="4048">
          <cell r="Q4048">
            <v>594.42002676923471</v>
          </cell>
        </row>
        <row r="4049">
          <cell r="Q4049">
            <v>1762.898745690544</v>
          </cell>
        </row>
        <row r="4050">
          <cell r="Q4050">
            <v>-531.3930878811143</v>
          </cell>
        </row>
        <row r="4051">
          <cell r="Q4051">
            <v>-1018.992206183088</v>
          </cell>
        </row>
        <row r="4052">
          <cell r="Q4052">
            <v>1358.194945191668</v>
          </cell>
        </row>
        <row r="4053">
          <cell r="Q4053">
            <v>1382.8903037100426</v>
          </cell>
        </row>
        <row r="4054">
          <cell r="Q4054">
            <v>1745.9732173808522</v>
          </cell>
        </row>
        <row r="4055">
          <cell r="Q4055">
            <v>378.24456159472709</v>
          </cell>
        </row>
        <row r="4056">
          <cell r="Q4056">
            <v>-1068.2737661764595</v>
          </cell>
        </row>
        <row r="4057">
          <cell r="Q4057">
            <v>3535.9295658917235</v>
          </cell>
        </row>
        <row r="4058">
          <cell r="Q4058">
            <v>594.80970966537473</v>
          </cell>
        </row>
        <row r="4059">
          <cell r="Q4059">
            <v>1933.0128929773584</v>
          </cell>
        </row>
        <row r="4060">
          <cell r="Q4060">
            <v>1006.5863037998292</v>
          </cell>
        </row>
        <row r="4061">
          <cell r="Q4061">
            <v>-678.16346666614322</v>
          </cell>
        </row>
        <row r="4062">
          <cell r="Q4062">
            <v>-2236.2459800794541</v>
          </cell>
        </row>
        <row r="4063">
          <cell r="Q4063">
            <v>-2149.8096610159018</v>
          </cell>
        </row>
        <row r="4064">
          <cell r="Q4064">
            <v>159.81546128138339</v>
          </cell>
        </row>
        <row r="4065">
          <cell r="Q4065">
            <v>969.03166481832113</v>
          </cell>
        </row>
        <row r="4066">
          <cell r="Q4066">
            <v>-670.7990002055883</v>
          </cell>
        </row>
        <row r="4067">
          <cell r="Q4067">
            <v>27.879107762273009</v>
          </cell>
        </row>
        <row r="4068">
          <cell r="Q4068">
            <v>2108.5123206305452</v>
          </cell>
        </row>
        <row r="4069">
          <cell r="Q4069">
            <v>2470.3270365899402</v>
          </cell>
        </row>
        <row r="4070">
          <cell r="Q4070">
            <v>791.32521619050124</v>
          </cell>
        </row>
        <row r="4071">
          <cell r="Q4071">
            <v>1733.1925429536511</v>
          </cell>
        </row>
        <row r="4072">
          <cell r="Q4072">
            <v>1990.6181018590696</v>
          </cell>
        </row>
        <row r="4073">
          <cell r="Q4073">
            <v>454.12596781802881</v>
          </cell>
        </row>
        <row r="4074">
          <cell r="Q4074">
            <v>4632.8147474636335</v>
          </cell>
        </row>
        <row r="4075">
          <cell r="Q4075">
            <v>4862.6316070170724</v>
          </cell>
        </row>
        <row r="4076">
          <cell r="Q4076">
            <v>1804.1551442864402</v>
          </cell>
        </row>
        <row r="4077">
          <cell r="Q4077">
            <v>-3593.4022482906994</v>
          </cell>
        </row>
        <row r="4078">
          <cell r="Q4078">
            <v>-330.20922731745287</v>
          </cell>
        </row>
        <row r="4079">
          <cell r="Q4079">
            <v>1631.6161015384757</v>
          </cell>
        </row>
        <row r="4080">
          <cell r="Q4080">
            <v>-994.9589346791372</v>
          </cell>
        </row>
        <row r="4081">
          <cell r="Q4081">
            <v>2810.2806817682581</v>
          </cell>
        </row>
        <row r="4082">
          <cell r="Q4082">
            <v>2172.1005474374988</v>
          </cell>
        </row>
        <row r="4083">
          <cell r="Q4083">
            <v>1092.1190123929896</v>
          </cell>
        </row>
        <row r="4084">
          <cell r="Q4084">
            <v>-1098.6938392420579</v>
          </cell>
        </row>
        <row r="4085">
          <cell r="Q4085">
            <v>5070.3334155388766</v>
          </cell>
        </row>
        <row r="4086">
          <cell r="Q4086">
            <v>-795.21884063415769</v>
          </cell>
        </row>
        <row r="4087">
          <cell r="Q4087">
            <v>2537.5182655659446</v>
          </cell>
        </row>
        <row r="4088">
          <cell r="Q4088">
            <v>3316.7795035001604</v>
          </cell>
        </row>
        <row r="4089">
          <cell r="Q4089">
            <v>-738.42798284036826</v>
          </cell>
        </row>
        <row r="4090">
          <cell r="Q4090">
            <v>1956.0071718692361</v>
          </cell>
        </row>
        <row r="4091">
          <cell r="Q4091">
            <v>-490.07700183449691</v>
          </cell>
        </row>
        <row r="4092">
          <cell r="Q4092">
            <v>3403.2360657108602</v>
          </cell>
        </row>
        <row r="4093">
          <cell r="Q4093">
            <v>1310.4812846514938</v>
          </cell>
        </row>
        <row r="4094">
          <cell r="Q4094">
            <v>249.69118955039374</v>
          </cell>
        </row>
        <row r="4095">
          <cell r="Q4095">
            <v>922.22624434281124</v>
          </cell>
        </row>
        <row r="4096">
          <cell r="Q4096">
            <v>606.87966261860163</v>
          </cell>
        </row>
        <row r="4097">
          <cell r="Q4097">
            <v>452.99138255633511</v>
          </cell>
        </row>
        <row r="4098">
          <cell r="Q4098">
            <v>14.74673715746394</v>
          </cell>
        </row>
        <row r="4099">
          <cell r="Q4099">
            <v>364.1300429671262</v>
          </cell>
        </row>
        <row r="4100">
          <cell r="Q4100">
            <v>2697.4841608078364</v>
          </cell>
        </row>
        <row r="4101">
          <cell r="Q4101">
            <v>8.5489399831942592E-2</v>
          </cell>
        </row>
        <row r="4102">
          <cell r="Q4102">
            <v>-872.38168892120461</v>
          </cell>
        </row>
        <row r="4103">
          <cell r="Q4103">
            <v>-340.02846276476345</v>
          </cell>
        </row>
        <row r="4104">
          <cell r="Q4104">
            <v>2050.6520575469408</v>
          </cell>
        </row>
        <row r="4105">
          <cell r="Q4105">
            <v>-1157.531766192325</v>
          </cell>
        </row>
        <row r="4106">
          <cell r="Q4106">
            <v>129.76931896797839</v>
          </cell>
        </row>
        <row r="4107">
          <cell r="Q4107">
            <v>650.95451497331362</v>
          </cell>
        </row>
        <row r="4108">
          <cell r="Q4108">
            <v>-2362.2153579710939</v>
          </cell>
        </row>
        <row r="4109">
          <cell r="Q4109">
            <v>2272.8460831869211</v>
          </cell>
        </row>
        <row r="4110">
          <cell r="Q4110">
            <v>-4281.3220066717558</v>
          </cell>
        </row>
        <row r="4111">
          <cell r="Q4111">
            <v>1208.7645113343726</v>
          </cell>
        </row>
        <row r="4112">
          <cell r="Q4112">
            <v>-304.48492278157602</v>
          </cell>
        </row>
        <row r="4113">
          <cell r="Q4113">
            <v>-523.31226372634183</v>
          </cell>
        </row>
        <row r="4114">
          <cell r="Q4114">
            <v>-1512.810043453369</v>
          </cell>
        </row>
        <row r="4115">
          <cell r="Q4115">
            <v>988.68626341895288</v>
          </cell>
        </row>
        <row r="4116">
          <cell r="Q4116">
            <v>3309.1615180036501</v>
          </cell>
        </row>
        <row r="4117">
          <cell r="Q4117">
            <v>509.18995996275959</v>
          </cell>
        </row>
        <row r="4118">
          <cell r="Q4118">
            <v>-278.53701109139894</v>
          </cell>
        </row>
        <row r="4119">
          <cell r="Q4119">
            <v>813.55077187970801</v>
          </cell>
        </row>
        <row r="4120">
          <cell r="Q4120">
            <v>-2021.8192962626342</v>
          </cell>
        </row>
        <row r="4121">
          <cell r="Q4121">
            <v>855.53943576110476</v>
          </cell>
        </row>
        <row r="4122">
          <cell r="Q4122">
            <v>-3275.0610698858704</v>
          </cell>
        </row>
        <row r="4123">
          <cell r="Q4123">
            <v>-1280.1465489187281</v>
          </cell>
        </row>
        <row r="4124">
          <cell r="Q4124">
            <v>3232.008767652454</v>
          </cell>
        </row>
        <row r="4125">
          <cell r="Q4125">
            <v>1259.8453787481933</v>
          </cell>
        </row>
        <row r="4126">
          <cell r="Q4126">
            <v>-369.66405868070154</v>
          </cell>
        </row>
        <row r="4127">
          <cell r="Q4127">
            <v>3249.5988683896076</v>
          </cell>
        </row>
        <row r="4128">
          <cell r="Q4128">
            <v>1179.3909295518024</v>
          </cell>
        </row>
        <row r="4129">
          <cell r="Q4129">
            <v>4014.9606553431322</v>
          </cell>
        </row>
        <row r="4130">
          <cell r="Q4130">
            <v>-1832.599202279933</v>
          </cell>
        </row>
        <row r="4131">
          <cell r="Q4131">
            <v>4375.6605804888204</v>
          </cell>
        </row>
        <row r="4132">
          <cell r="Q4132">
            <v>-927.28212233072145</v>
          </cell>
        </row>
        <row r="4133">
          <cell r="Q4133">
            <v>2088.9545132811436</v>
          </cell>
        </row>
        <row r="4134">
          <cell r="Q4134">
            <v>3325.6483417141503</v>
          </cell>
        </row>
        <row r="4135">
          <cell r="Q4135">
            <v>-1637.6958881097428</v>
          </cell>
        </row>
        <row r="4136">
          <cell r="Q4136">
            <v>1843.6948654629905</v>
          </cell>
        </row>
        <row r="4137">
          <cell r="Q4137">
            <v>-200.17524552465733</v>
          </cell>
        </row>
        <row r="4138">
          <cell r="Q4138">
            <v>-41.809468184062325</v>
          </cell>
        </row>
        <row r="4139">
          <cell r="Q4139">
            <v>-607.17751873036627</v>
          </cell>
        </row>
        <row r="4140">
          <cell r="Q4140">
            <v>-305.49618947225707</v>
          </cell>
        </row>
        <row r="4141">
          <cell r="Q4141">
            <v>3705.1246334930552</v>
          </cell>
        </row>
        <row r="4142">
          <cell r="Q4142">
            <v>-391.72144709186324</v>
          </cell>
        </row>
        <row r="4143">
          <cell r="Q4143">
            <v>1707.313629193573</v>
          </cell>
        </row>
        <row r="4144">
          <cell r="Q4144">
            <v>1459.016133344134</v>
          </cell>
        </row>
        <row r="4145">
          <cell r="Q4145">
            <v>1533.0769685217149</v>
          </cell>
        </row>
        <row r="4146">
          <cell r="Q4146">
            <v>-237.37529739456005</v>
          </cell>
        </row>
        <row r="4147">
          <cell r="Q4147">
            <v>-2016.3817440562118</v>
          </cell>
        </row>
        <row r="4148">
          <cell r="Q4148">
            <v>1003.9492966601399</v>
          </cell>
        </row>
        <row r="4149">
          <cell r="Q4149">
            <v>1142.8072731870648</v>
          </cell>
        </row>
        <row r="4150">
          <cell r="Q4150">
            <v>1801.3899771697788</v>
          </cell>
        </row>
        <row r="4151">
          <cell r="Q4151">
            <v>1226.6578388437265</v>
          </cell>
        </row>
        <row r="4152">
          <cell r="Q4152">
            <v>-2173.1088148093427</v>
          </cell>
        </row>
        <row r="4153">
          <cell r="Q4153">
            <v>-2842.1895800591747</v>
          </cell>
        </row>
        <row r="4154">
          <cell r="Q4154">
            <v>2063.5709995383008</v>
          </cell>
        </row>
        <row r="4155">
          <cell r="Q4155">
            <v>558.10311849710024</v>
          </cell>
        </row>
        <row r="4156">
          <cell r="Q4156">
            <v>-2361.6485263662557</v>
          </cell>
        </row>
        <row r="4157">
          <cell r="Q4157">
            <v>729.87782107243743</v>
          </cell>
        </row>
        <row r="4158">
          <cell r="Q4158">
            <v>1948.2693021560101</v>
          </cell>
        </row>
        <row r="4159">
          <cell r="Q4159">
            <v>-2264.6213672334284</v>
          </cell>
        </row>
        <row r="4160">
          <cell r="Q4160">
            <v>1897.2096154805172</v>
          </cell>
        </row>
        <row r="4161">
          <cell r="Q4161">
            <v>3787.2703121070085</v>
          </cell>
        </row>
        <row r="4162">
          <cell r="Q4162">
            <v>115.03937436455419</v>
          </cell>
        </row>
        <row r="4163">
          <cell r="Q4163">
            <v>-164.66313367732749</v>
          </cell>
        </row>
        <row r="4164">
          <cell r="Q4164">
            <v>579.09835235591379</v>
          </cell>
        </row>
        <row r="4165">
          <cell r="Q4165">
            <v>-1978.3450419837807</v>
          </cell>
        </row>
        <row r="4166">
          <cell r="Q4166">
            <v>2542.4207817375318</v>
          </cell>
        </row>
        <row r="4167">
          <cell r="Q4167">
            <v>-2012.5640554307522</v>
          </cell>
        </row>
        <row r="4168">
          <cell r="Q4168">
            <v>-998.83282291500905</v>
          </cell>
        </row>
        <row r="4169">
          <cell r="Q4169">
            <v>-252.30901679233449</v>
          </cell>
        </row>
        <row r="4170">
          <cell r="Q4170">
            <v>2686.9980628942585</v>
          </cell>
        </row>
        <row r="4171">
          <cell r="Q4171">
            <v>-1342.4740237330764</v>
          </cell>
        </row>
        <row r="4172">
          <cell r="Q4172">
            <v>-5337.4361063225406</v>
          </cell>
        </row>
        <row r="4173">
          <cell r="Q4173">
            <v>1768.1831270798198</v>
          </cell>
        </row>
        <row r="4174">
          <cell r="Q4174">
            <v>-111.33206921070934</v>
          </cell>
        </row>
        <row r="4175">
          <cell r="Q4175">
            <v>-2023.3291095257011</v>
          </cell>
        </row>
        <row r="4176">
          <cell r="Q4176">
            <v>-4406.7430671984084</v>
          </cell>
        </row>
        <row r="4177">
          <cell r="Q4177">
            <v>-690.44851696458204</v>
          </cell>
        </row>
        <row r="4178">
          <cell r="Q4178">
            <v>-1138.5587248625739</v>
          </cell>
        </row>
        <row r="4179">
          <cell r="Q4179">
            <v>2037.8355004378677</v>
          </cell>
        </row>
        <row r="4180">
          <cell r="Q4180">
            <v>869.64900522811445</v>
          </cell>
        </row>
        <row r="4181">
          <cell r="Q4181">
            <v>-542.54277824774499</v>
          </cell>
        </row>
        <row r="4182">
          <cell r="Q4182">
            <v>750.43728205994194</v>
          </cell>
        </row>
        <row r="4183">
          <cell r="Q4183">
            <v>-592.18243587376287</v>
          </cell>
        </row>
        <row r="4184">
          <cell r="Q4184">
            <v>-4699.0700040322035</v>
          </cell>
        </row>
        <row r="4185">
          <cell r="Q4185">
            <v>-1362.8417022565479</v>
          </cell>
        </row>
        <row r="4186">
          <cell r="Q4186">
            <v>-4206.2693174746755</v>
          </cell>
        </row>
        <row r="4187">
          <cell r="Q4187">
            <v>700.75454559930688</v>
          </cell>
        </row>
        <row r="4188">
          <cell r="Q4188">
            <v>-821.36136327136683</v>
          </cell>
        </row>
        <row r="4189">
          <cell r="Q4189">
            <v>1097.2963251666326</v>
          </cell>
        </row>
        <row r="4190">
          <cell r="Q4190">
            <v>2243.9554122314839</v>
          </cell>
        </row>
        <row r="4191">
          <cell r="Q4191">
            <v>-1687.9332157093488</v>
          </cell>
        </row>
        <row r="4192">
          <cell r="Q4192">
            <v>1626.3324752318495</v>
          </cell>
        </row>
        <row r="4193">
          <cell r="Q4193">
            <v>3240.6854839724342</v>
          </cell>
        </row>
        <row r="4194">
          <cell r="Q4194">
            <v>3518.9551336157897</v>
          </cell>
        </row>
        <row r="4195">
          <cell r="Q4195">
            <v>-474.5985987611453</v>
          </cell>
        </row>
        <row r="4196">
          <cell r="Q4196">
            <v>-845.20109848212337</v>
          </cell>
        </row>
        <row r="4197">
          <cell r="Q4197">
            <v>-3781.7729533300644</v>
          </cell>
        </row>
        <row r="4198">
          <cell r="Q4198">
            <v>728.41126822858723</v>
          </cell>
        </row>
        <row r="4199">
          <cell r="Q4199">
            <v>-84.307721946071922</v>
          </cell>
        </row>
        <row r="4200">
          <cell r="Q4200">
            <v>3430.4786821519165</v>
          </cell>
        </row>
        <row r="4201">
          <cell r="Q4201">
            <v>1452.9024214520082</v>
          </cell>
        </row>
        <row r="4202">
          <cell r="Q4202">
            <v>-726.92390932719081</v>
          </cell>
        </row>
        <row r="4203">
          <cell r="Q4203">
            <v>418.48784832067707</v>
          </cell>
        </row>
        <row r="4204">
          <cell r="Q4204">
            <v>-1081.1188477091619</v>
          </cell>
        </row>
        <row r="4205">
          <cell r="Q4205">
            <v>1452.3124761696308</v>
          </cell>
        </row>
        <row r="4206">
          <cell r="Q4206">
            <v>2000.4508293331121</v>
          </cell>
        </row>
        <row r="4207">
          <cell r="Q4207">
            <v>568.40410495132517</v>
          </cell>
        </row>
        <row r="4208">
          <cell r="Q4208">
            <v>-4834.1196059794638</v>
          </cell>
        </row>
        <row r="4209">
          <cell r="Q4209">
            <v>1876.4221832997227</v>
          </cell>
        </row>
        <row r="4210">
          <cell r="Q4210">
            <v>159.03747251678158</v>
          </cell>
        </row>
        <row r="4211">
          <cell r="Q4211">
            <v>315.47340838324601</v>
          </cell>
        </row>
        <row r="4212">
          <cell r="Q4212">
            <v>-2494.1516273022903</v>
          </cell>
        </row>
        <row r="4213">
          <cell r="Q4213">
            <v>101.9258347928166</v>
          </cell>
        </row>
        <row r="4214">
          <cell r="Q4214">
            <v>2606.603280539342</v>
          </cell>
        </row>
        <row r="4215">
          <cell r="Q4215">
            <v>-1126.7011614987848</v>
          </cell>
        </row>
        <row r="4216">
          <cell r="Q4216">
            <v>2180.5903963434553</v>
          </cell>
        </row>
        <row r="4217">
          <cell r="Q4217">
            <v>633.39109899400489</v>
          </cell>
        </row>
        <row r="4218">
          <cell r="Q4218">
            <v>-2497.5178619592971</v>
          </cell>
        </row>
        <row r="4219">
          <cell r="Q4219">
            <v>1942.439320549433</v>
          </cell>
        </row>
        <row r="4220">
          <cell r="Q4220">
            <v>508.97686024698146</v>
          </cell>
        </row>
        <row r="4221">
          <cell r="Q4221">
            <v>2120.3661278997311</v>
          </cell>
        </row>
        <row r="4222">
          <cell r="Q4222">
            <v>-7.7664969114590576</v>
          </cell>
        </row>
        <row r="4223">
          <cell r="Q4223">
            <v>-5656.2103937896773</v>
          </cell>
        </row>
        <row r="4224">
          <cell r="Q4224">
            <v>-2445.6171288225346</v>
          </cell>
        </row>
        <row r="4225">
          <cell r="Q4225">
            <v>460.13356216838969</v>
          </cell>
        </row>
        <row r="4226">
          <cell r="Q4226">
            <v>3381.3532776281554</v>
          </cell>
        </row>
        <row r="4227">
          <cell r="Q4227">
            <v>169.78216018612355</v>
          </cell>
        </row>
        <row r="4228">
          <cell r="Q4228">
            <v>57.4829644778888</v>
          </cell>
        </row>
        <row r="4229">
          <cell r="Q4229">
            <v>-3227.4831942404853</v>
          </cell>
        </row>
        <row r="4230">
          <cell r="Q4230">
            <v>-1086.8600709148318</v>
          </cell>
        </row>
        <row r="4231">
          <cell r="Q4231">
            <v>115.0126279759595</v>
          </cell>
        </row>
        <row r="4232">
          <cell r="Q4232">
            <v>3795.9639785769641</v>
          </cell>
        </row>
        <row r="4233">
          <cell r="Q4233">
            <v>-393.77076659814185</v>
          </cell>
        </row>
        <row r="4234">
          <cell r="Q4234">
            <v>177.64607541693294</v>
          </cell>
        </row>
        <row r="4235">
          <cell r="Q4235">
            <v>-5243.3783913518637</v>
          </cell>
        </row>
        <row r="4236">
          <cell r="Q4236">
            <v>2317.76258643861</v>
          </cell>
        </row>
        <row r="4237">
          <cell r="Q4237">
            <v>1669.8565905178443</v>
          </cell>
        </row>
        <row r="4238">
          <cell r="Q4238">
            <v>-741.42328617230464</v>
          </cell>
        </row>
        <row r="4239">
          <cell r="Q4239">
            <v>-2086.3437976963778</v>
          </cell>
        </row>
        <row r="4240">
          <cell r="Q4240">
            <v>-105.469278228983</v>
          </cell>
        </row>
        <row r="4241">
          <cell r="Q4241">
            <v>957.5781945214469</v>
          </cell>
        </row>
        <row r="4242">
          <cell r="Q4242">
            <v>-2121.6585238597067</v>
          </cell>
        </row>
        <row r="4243">
          <cell r="Q4243">
            <v>693.63879683324626</v>
          </cell>
        </row>
        <row r="4244">
          <cell r="Q4244">
            <v>-2230.7458107502312</v>
          </cell>
        </row>
        <row r="4245">
          <cell r="Q4245">
            <v>798.6811943359678</v>
          </cell>
        </row>
        <row r="4246">
          <cell r="Q4246">
            <v>-2486.0894827938268</v>
          </cell>
        </row>
        <row r="4247">
          <cell r="Q4247">
            <v>-786.58489154358995</v>
          </cell>
        </row>
        <row r="4248">
          <cell r="Q4248">
            <v>-391.83630430669422</v>
          </cell>
        </row>
        <row r="4249">
          <cell r="Q4249">
            <v>-1219.2477937932204</v>
          </cell>
        </row>
        <row r="4250">
          <cell r="Q4250">
            <v>-1913.2072638593784</v>
          </cell>
        </row>
        <row r="4251">
          <cell r="Q4251">
            <v>640.62316486935345</v>
          </cell>
        </row>
        <row r="4252">
          <cell r="Q4252">
            <v>-1955.3134889958239</v>
          </cell>
        </row>
        <row r="4253">
          <cell r="Q4253">
            <v>1940.829684197221</v>
          </cell>
        </row>
        <row r="4254">
          <cell r="Q4254">
            <v>3158.1866903482237</v>
          </cell>
        </row>
        <row r="4255">
          <cell r="Q4255">
            <v>849.70832072842381</v>
          </cell>
        </row>
        <row r="4256">
          <cell r="Q4256">
            <v>-112.23900001953012</v>
          </cell>
        </row>
        <row r="4257">
          <cell r="Q4257">
            <v>-2197.5915453128791</v>
          </cell>
        </row>
        <row r="4258">
          <cell r="Q4258">
            <v>-2201.4693280692018</v>
          </cell>
        </row>
        <row r="4259">
          <cell r="Q4259">
            <v>514.14812764039527</v>
          </cell>
        </row>
        <row r="4260">
          <cell r="Q4260">
            <v>466.26236729489074</v>
          </cell>
        </row>
        <row r="4261">
          <cell r="Q4261">
            <v>452.9982161265421</v>
          </cell>
        </row>
        <row r="4262">
          <cell r="Q4262">
            <v>-1078.9939034445142</v>
          </cell>
        </row>
        <row r="4263">
          <cell r="Q4263">
            <v>-2929.7290187034041</v>
          </cell>
        </row>
        <row r="4264">
          <cell r="Q4264">
            <v>3269.1974023410212</v>
          </cell>
        </row>
        <row r="4265">
          <cell r="Q4265">
            <v>4152.3773005668054</v>
          </cell>
        </row>
        <row r="4266">
          <cell r="Q4266">
            <v>-1646.9464482723149</v>
          </cell>
        </row>
        <row r="4267">
          <cell r="Q4267">
            <v>825.62044862248104</v>
          </cell>
        </row>
        <row r="4268">
          <cell r="Q4268">
            <v>363.37666844776339</v>
          </cell>
        </row>
        <row r="4269">
          <cell r="Q4269">
            <v>-2004.4741304614715</v>
          </cell>
        </row>
        <row r="4270">
          <cell r="Q4270">
            <v>-2092.4452282187826</v>
          </cell>
        </row>
        <row r="4271">
          <cell r="Q4271">
            <v>-3562.765165962051</v>
          </cell>
        </row>
        <row r="4272">
          <cell r="Q4272">
            <v>523.32644240248419</v>
          </cell>
        </row>
        <row r="4273">
          <cell r="Q4273">
            <v>362.75379920540195</v>
          </cell>
        </row>
        <row r="4274">
          <cell r="Q4274">
            <v>335.2208145234697</v>
          </cell>
        </row>
        <row r="4275">
          <cell r="Q4275">
            <v>3152.127395671806</v>
          </cell>
        </row>
        <row r="4276">
          <cell r="Q4276">
            <v>-2993.2195766140117</v>
          </cell>
        </row>
        <row r="4277">
          <cell r="Q4277">
            <v>-1536.359065491818</v>
          </cell>
        </row>
        <row r="4278">
          <cell r="Q4278">
            <v>-810.18845635800221</v>
          </cell>
        </row>
        <row r="4279">
          <cell r="Q4279">
            <v>-18.294518899487059</v>
          </cell>
        </row>
        <row r="4280">
          <cell r="Q4280">
            <v>1410.5240029831205</v>
          </cell>
        </row>
        <row r="4281">
          <cell r="Q4281">
            <v>1832.7060658234384</v>
          </cell>
        </row>
        <row r="4282">
          <cell r="Q4282">
            <v>1173.157057091496</v>
          </cell>
        </row>
        <row r="4283">
          <cell r="Q4283">
            <v>-128.85360033397495</v>
          </cell>
        </row>
        <row r="4284">
          <cell r="Q4284">
            <v>2210.1614472750848</v>
          </cell>
        </row>
        <row r="4285">
          <cell r="Q4285">
            <v>487.24961790886539</v>
          </cell>
        </row>
        <row r="4286">
          <cell r="Q4286">
            <v>3908.6162770515448</v>
          </cell>
        </row>
        <row r="4287">
          <cell r="Q4287">
            <v>-1202.7213745817062</v>
          </cell>
        </row>
        <row r="4288">
          <cell r="Q4288">
            <v>3403.1851343960329</v>
          </cell>
        </row>
        <row r="4289">
          <cell r="Q4289">
            <v>1466.4664419299752</v>
          </cell>
        </row>
        <row r="4290">
          <cell r="Q4290">
            <v>588.16717464542603</v>
          </cell>
        </row>
        <row r="4291">
          <cell r="Q4291">
            <v>-3430.3153608173357</v>
          </cell>
        </row>
        <row r="4292">
          <cell r="Q4292">
            <v>4436.0195768178701</v>
          </cell>
        </row>
        <row r="4293">
          <cell r="Q4293">
            <v>3631.1901717877299</v>
          </cell>
        </row>
        <row r="4294">
          <cell r="Q4294">
            <v>2513.0850617269225</v>
          </cell>
        </row>
        <row r="4295">
          <cell r="Q4295">
            <v>-1467.439522281612</v>
          </cell>
        </row>
        <row r="4296">
          <cell r="Q4296">
            <v>-1126.7749772637328</v>
          </cell>
        </row>
        <row r="4297">
          <cell r="Q4297">
            <v>1964.5417676008249</v>
          </cell>
        </row>
        <row r="4298">
          <cell r="Q4298">
            <v>-393.28046388796207</v>
          </cell>
        </row>
        <row r="4299">
          <cell r="Q4299">
            <v>641.08195589909064</v>
          </cell>
        </row>
        <row r="4300">
          <cell r="Q4300">
            <v>1349.1852579050178</v>
          </cell>
        </row>
        <row r="4301">
          <cell r="Q4301">
            <v>-491.52622796550412</v>
          </cell>
        </row>
        <row r="4302">
          <cell r="Q4302">
            <v>490.76709677294798</v>
          </cell>
        </row>
        <row r="4303">
          <cell r="Q4303">
            <v>1565.9984794998352</v>
          </cell>
        </row>
        <row r="4304">
          <cell r="Q4304">
            <v>841.62220084998057</v>
          </cell>
        </row>
        <row r="4305">
          <cell r="Q4305">
            <v>894.69659783960162</v>
          </cell>
        </row>
        <row r="4306">
          <cell r="Q4306">
            <v>1094.6381171235894</v>
          </cell>
        </row>
        <row r="4307">
          <cell r="Q4307">
            <v>1453.5082883313382</v>
          </cell>
        </row>
        <row r="4308">
          <cell r="Q4308">
            <v>-2326.6402792204176</v>
          </cell>
        </row>
        <row r="4309">
          <cell r="Q4309">
            <v>92.131604472018068</v>
          </cell>
        </row>
        <row r="4310">
          <cell r="Q4310">
            <v>-1718.0520165231849</v>
          </cell>
        </row>
        <row r="4311">
          <cell r="Q4311">
            <v>5147.6292694161521</v>
          </cell>
        </row>
        <row r="4312">
          <cell r="Q4312">
            <v>-539.2632599036815</v>
          </cell>
        </row>
        <row r="4313">
          <cell r="Q4313">
            <v>-2481.4036473206361</v>
          </cell>
        </row>
        <row r="4314">
          <cell r="Q4314">
            <v>1281.0925584763243</v>
          </cell>
        </row>
        <row r="4315">
          <cell r="Q4315">
            <v>22.050859113649778</v>
          </cell>
        </row>
        <row r="4316">
          <cell r="Q4316">
            <v>1045.6174916803088</v>
          </cell>
        </row>
        <row r="4317">
          <cell r="Q4317">
            <v>696.3096830121749</v>
          </cell>
        </row>
        <row r="4318">
          <cell r="Q4318">
            <v>3054.2349100476677</v>
          </cell>
        </row>
        <row r="4319">
          <cell r="Q4319">
            <v>3505.3391905345161</v>
          </cell>
        </row>
        <row r="4320">
          <cell r="Q4320">
            <v>2973.5022428264137</v>
          </cell>
        </row>
        <row r="4321">
          <cell r="Q4321">
            <v>755.082762548647</v>
          </cell>
        </row>
        <row r="4322">
          <cell r="Q4322">
            <v>-490.53634356626884</v>
          </cell>
        </row>
        <row r="4323">
          <cell r="Q4323">
            <v>670.62945665678944</v>
          </cell>
        </row>
        <row r="4324">
          <cell r="Q4324">
            <v>-470.32977333775949</v>
          </cell>
        </row>
        <row r="4325">
          <cell r="Q4325">
            <v>-4394.7330165756075</v>
          </cell>
        </row>
        <row r="4326">
          <cell r="Q4326">
            <v>1091.4427010418517</v>
          </cell>
        </row>
        <row r="4327">
          <cell r="Q4327">
            <v>1786.3276865265807</v>
          </cell>
        </row>
        <row r="4328">
          <cell r="Q4328">
            <v>1798.8405924910119</v>
          </cell>
        </row>
        <row r="4329">
          <cell r="Q4329">
            <v>-1584.3557502142803</v>
          </cell>
        </row>
        <row r="4330">
          <cell r="Q4330">
            <v>421.15297505939293</v>
          </cell>
        </row>
        <row r="4331">
          <cell r="Q4331">
            <v>-192.60611348711603</v>
          </cell>
        </row>
        <row r="4332">
          <cell r="Q4332">
            <v>670.72620006951047</v>
          </cell>
        </row>
        <row r="4333">
          <cell r="Q4333">
            <v>-1218.4568226614051</v>
          </cell>
        </row>
        <row r="4334">
          <cell r="Q4334">
            <v>550.18397878749795</v>
          </cell>
        </row>
        <row r="4335">
          <cell r="Q4335">
            <v>1265.0838923248209</v>
          </cell>
        </row>
        <row r="4336">
          <cell r="Q4336">
            <v>-3047.6117844757323</v>
          </cell>
        </row>
        <row r="4337">
          <cell r="Q4337">
            <v>-172.84670165155836</v>
          </cell>
        </row>
        <row r="4338">
          <cell r="Q4338">
            <v>3118.673618555656</v>
          </cell>
        </row>
        <row r="4339">
          <cell r="Q4339">
            <v>211.73532007188231</v>
          </cell>
        </row>
        <row r="4340">
          <cell r="Q4340">
            <v>-2455.9553966008825</v>
          </cell>
        </row>
        <row r="4341">
          <cell r="Q4341">
            <v>-2178.1990998891824</v>
          </cell>
        </row>
        <row r="4342">
          <cell r="Q4342">
            <v>232.97819076130827</v>
          </cell>
        </row>
        <row r="4343">
          <cell r="Q4343">
            <v>757.87050138777875</v>
          </cell>
        </row>
        <row r="4344">
          <cell r="Q4344">
            <v>-993.61171369277804</v>
          </cell>
        </row>
        <row r="4345">
          <cell r="Q4345">
            <v>125.5754263772709</v>
          </cell>
        </row>
        <row r="4346">
          <cell r="Q4346">
            <v>-2688.8711922908387</v>
          </cell>
        </row>
        <row r="4347">
          <cell r="Q4347">
            <v>-2410.2198756898488</v>
          </cell>
        </row>
        <row r="4348">
          <cell r="Q4348">
            <v>-922.3083340831879</v>
          </cell>
        </row>
        <row r="4349">
          <cell r="Q4349">
            <v>1453.624027986843</v>
          </cell>
        </row>
        <row r="4350">
          <cell r="Q4350">
            <v>943.07497160193748</v>
          </cell>
        </row>
        <row r="4351">
          <cell r="Q4351">
            <v>-290.1003955974416</v>
          </cell>
        </row>
        <row r="4352">
          <cell r="Q4352">
            <v>4429.5799904572614</v>
          </cell>
        </row>
        <row r="4353">
          <cell r="Q4353">
            <v>-814.58161464094997</v>
          </cell>
        </row>
        <row r="4354">
          <cell r="Q4354">
            <v>2482.1542452640469</v>
          </cell>
        </row>
        <row r="4355">
          <cell r="Q4355">
            <v>4113.9473165591453</v>
          </cell>
        </row>
        <row r="4356">
          <cell r="Q4356">
            <v>-933.77989471017463</v>
          </cell>
        </row>
        <row r="4357">
          <cell r="Q4357">
            <v>2073.0731085937364</v>
          </cell>
        </row>
        <row r="4358">
          <cell r="Q4358">
            <v>-348.35957715922183</v>
          </cell>
        </row>
        <row r="4359">
          <cell r="Q4359">
            <v>2535.1452778095763</v>
          </cell>
        </row>
        <row r="4360">
          <cell r="Q4360">
            <v>867.72123458336614</v>
          </cell>
        </row>
        <row r="4361">
          <cell r="Q4361">
            <v>-497.98960770475759</v>
          </cell>
        </row>
        <row r="4362">
          <cell r="Q4362">
            <v>-606.44975783650375</v>
          </cell>
        </row>
        <row r="4363">
          <cell r="Q4363">
            <v>-570.06896632175949</v>
          </cell>
        </row>
        <row r="4364">
          <cell r="Q4364">
            <v>342.23269070872971</v>
          </cell>
        </row>
        <row r="4365">
          <cell r="Q4365">
            <v>1680.174907522626</v>
          </cell>
        </row>
        <row r="4366">
          <cell r="Q4366">
            <v>805.96665615852316</v>
          </cell>
        </row>
        <row r="4367">
          <cell r="Q4367">
            <v>-1900.8062263946933</v>
          </cell>
        </row>
        <row r="4368">
          <cell r="Q4368">
            <v>1292.62251195046</v>
          </cell>
        </row>
        <row r="4369">
          <cell r="Q4369">
            <v>1765.0184195445909</v>
          </cell>
        </row>
        <row r="4370">
          <cell r="Q4370">
            <v>491.0207475373162</v>
          </cell>
        </row>
        <row r="4371">
          <cell r="Q4371">
            <v>486.78371836223903</v>
          </cell>
        </row>
        <row r="4372">
          <cell r="Q4372">
            <v>1046.3253066045784</v>
          </cell>
        </row>
        <row r="4373">
          <cell r="Q4373">
            <v>1753.2465112004445</v>
          </cell>
        </row>
        <row r="4374">
          <cell r="Q4374">
            <v>-2378.5890344963559</v>
          </cell>
        </row>
        <row r="4375">
          <cell r="Q4375">
            <v>2036.4681708109888</v>
          </cell>
        </row>
        <row r="4376">
          <cell r="Q4376">
            <v>-1581.230344572022</v>
          </cell>
        </row>
        <row r="4377">
          <cell r="Q4377">
            <v>-335.72783479581784</v>
          </cell>
        </row>
        <row r="4378">
          <cell r="Q4378">
            <v>3491.4457398384097</v>
          </cell>
        </row>
        <row r="4379">
          <cell r="Q4379">
            <v>1763.6255332083067</v>
          </cell>
        </row>
        <row r="4380">
          <cell r="Q4380">
            <v>1894.0096795901477</v>
          </cell>
        </row>
        <row r="4381">
          <cell r="Q4381">
            <v>-273.24898189634399</v>
          </cell>
        </row>
        <row r="4382">
          <cell r="Q4382">
            <v>-508.75210231734383</v>
          </cell>
        </row>
        <row r="4383">
          <cell r="Q4383">
            <v>-397.29593850860095</v>
          </cell>
        </row>
        <row r="4384">
          <cell r="Q4384">
            <v>-1379.3205448401416</v>
          </cell>
        </row>
        <row r="4385">
          <cell r="Q4385">
            <v>-2167.0660883364494</v>
          </cell>
        </row>
        <row r="4386">
          <cell r="Q4386">
            <v>2413.5607598263882</v>
          </cell>
        </row>
        <row r="4387">
          <cell r="Q4387">
            <v>146.45633876574703</v>
          </cell>
        </row>
        <row r="4388">
          <cell r="Q4388">
            <v>-1682.0185709306722</v>
          </cell>
        </row>
        <row r="4389">
          <cell r="Q4389">
            <v>-270.87545326595711</v>
          </cell>
        </row>
        <row r="4390">
          <cell r="Q4390">
            <v>-499.3243081944899</v>
          </cell>
        </row>
        <row r="4391">
          <cell r="Q4391">
            <v>-657.41105097584295</v>
          </cell>
        </row>
        <row r="4392">
          <cell r="Q4392">
            <v>-191.78478683774784</v>
          </cell>
        </row>
        <row r="4393">
          <cell r="Q4393">
            <v>-2428.8433151886852</v>
          </cell>
        </row>
        <row r="4394">
          <cell r="Q4394">
            <v>-1843.9325020688591</v>
          </cell>
        </row>
        <row r="4395">
          <cell r="Q4395">
            <v>736.92999157347913</v>
          </cell>
        </row>
        <row r="4396">
          <cell r="Q4396">
            <v>-374.04614690178681</v>
          </cell>
        </row>
        <row r="4397">
          <cell r="Q4397">
            <v>263.33831418775492</v>
          </cell>
        </row>
        <row r="4398">
          <cell r="Q4398">
            <v>1491.5502180009471</v>
          </cell>
        </row>
        <row r="4399">
          <cell r="Q4399">
            <v>-1399.0683693344699</v>
          </cell>
        </row>
        <row r="4400">
          <cell r="Q4400">
            <v>1606.0478165669269</v>
          </cell>
        </row>
        <row r="4401">
          <cell r="Q4401">
            <v>1399.9628742857039</v>
          </cell>
        </row>
        <row r="4402">
          <cell r="Q4402">
            <v>-666.08896566121007</v>
          </cell>
        </row>
        <row r="4403">
          <cell r="Q4403">
            <v>1757.4469947367004</v>
          </cell>
        </row>
        <row r="4404">
          <cell r="Q4404">
            <v>1058.7433055116253</v>
          </cell>
        </row>
        <row r="4405">
          <cell r="Q4405">
            <v>4215.8525334322148</v>
          </cell>
        </row>
        <row r="4406">
          <cell r="Q4406">
            <v>3501.8073543225983</v>
          </cell>
        </row>
        <row r="4407">
          <cell r="Q4407">
            <v>-3101.6971194784533</v>
          </cell>
        </row>
        <row r="4408">
          <cell r="Q4408">
            <v>-581.56061869213704</v>
          </cell>
        </row>
        <row r="4409">
          <cell r="Q4409">
            <v>-317.41602247102873</v>
          </cell>
        </row>
        <row r="4410">
          <cell r="Q4410">
            <v>-728.67529526246585</v>
          </cell>
        </row>
        <row r="4411">
          <cell r="Q4411">
            <v>-739.76928269141013</v>
          </cell>
        </row>
        <row r="4412">
          <cell r="Q4412">
            <v>3317.0708055163896</v>
          </cell>
        </row>
        <row r="4413">
          <cell r="Q4413">
            <v>2818.6793927074914</v>
          </cell>
        </row>
        <row r="4414">
          <cell r="Q4414">
            <v>2316.855791682749</v>
          </cell>
        </row>
        <row r="4415">
          <cell r="Q4415">
            <v>-4580.8422100486787</v>
          </cell>
        </row>
        <row r="4416">
          <cell r="Q4416">
            <v>522.99643577359029</v>
          </cell>
        </row>
        <row r="4417">
          <cell r="Q4417">
            <v>3150.4464174140503</v>
          </cell>
        </row>
        <row r="4418">
          <cell r="Q4418">
            <v>530.96392947130073</v>
          </cell>
        </row>
        <row r="4419">
          <cell r="Q4419">
            <v>2288.5873635204812</v>
          </cell>
        </row>
        <row r="4420">
          <cell r="Q4420">
            <v>-314.68622392622257</v>
          </cell>
        </row>
        <row r="4421">
          <cell r="Q4421">
            <v>1909.1490632859231</v>
          </cell>
        </row>
        <row r="4422">
          <cell r="Q4422">
            <v>-3112.741257495235</v>
          </cell>
        </row>
        <row r="4423">
          <cell r="Q4423">
            <v>2252.7026837422572</v>
          </cell>
        </row>
        <row r="4424">
          <cell r="Q4424">
            <v>2258.6042988876693</v>
          </cell>
        </row>
        <row r="4425">
          <cell r="Q4425">
            <v>4678.9467612556909</v>
          </cell>
        </row>
        <row r="4426">
          <cell r="Q4426">
            <v>3666.2852923442438</v>
          </cell>
        </row>
        <row r="4427">
          <cell r="Q4427">
            <v>478.22889568824854</v>
          </cell>
        </row>
        <row r="4428">
          <cell r="Q4428">
            <v>-65.24855084324048</v>
          </cell>
        </row>
        <row r="4429">
          <cell r="Q4429">
            <v>1918.6488165354415</v>
          </cell>
        </row>
        <row r="4430">
          <cell r="Q4430">
            <v>715.79686541055946</v>
          </cell>
        </row>
        <row r="4431">
          <cell r="Q4431">
            <v>2139.2661156008926</v>
          </cell>
        </row>
        <row r="4432">
          <cell r="Q4432">
            <v>3267.3437525941936</v>
          </cell>
        </row>
        <row r="4433">
          <cell r="Q4433">
            <v>2315.9132801887336</v>
          </cell>
        </row>
        <row r="4434">
          <cell r="Q4434">
            <v>-1970.6378975024388</v>
          </cell>
        </row>
        <row r="4435">
          <cell r="Q4435">
            <v>2124.1073030661551</v>
          </cell>
        </row>
        <row r="4436">
          <cell r="Q4436">
            <v>2924.8059975879942</v>
          </cell>
        </row>
        <row r="4437">
          <cell r="Q4437">
            <v>537.59425637523225</v>
          </cell>
        </row>
        <row r="4438">
          <cell r="Q4438">
            <v>3111.41448840151</v>
          </cell>
        </row>
        <row r="4439">
          <cell r="Q4439">
            <v>3009.4798221765723</v>
          </cell>
        </row>
        <row r="4440">
          <cell r="Q4440">
            <v>1458.7344540846527</v>
          </cell>
        </row>
        <row r="4441">
          <cell r="Q4441">
            <v>1772.6036180083972</v>
          </cell>
        </row>
        <row r="4442">
          <cell r="Q4442">
            <v>-3066.1912254731847</v>
          </cell>
        </row>
        <row r="4443">
          <cell r="Q4443">
            <v>-381.51022654958825</v>
          </cell>
        </row>
        <row r="4444">
          <cell r="Q4444">
            <v>-830.10050672298894</v>
          </cell>
        </row>
        <row r="4445">
          <cell r="Q4445">
            <v>72.226793317746456</v>
          </cell>
        </row>
        <row r="4446">
          <cell r="Q4446">
            <v>-519.58330542969452</v>
          </cell>
        </row>
        <row r="4447">
          <cell r="Q4447">
            <v>-154.08612583033226</v>
          </cell>
        </row>
        <row r="4448">
          <cell r="Q4448">
            <v>59.181785875700257</v>
          </cell>
        </row>
        <row r="4449">
          <cell r="Q4449">
            <v>1515.1163267361405</v>
          </cell>
        </row>
        <row r="4450">
          <cell r="Q4450">
            <v>3254.1478888940806</v>
          </cell>
        </row>
        <row r="4451">
          <cell r="Q4451">
            <v>1617.8483635937469</v>
          </cell>
        </row>
        <row r="4452">
          <cell r="Q4452">
            <v>2097.4800188591739</v>
          </cell>
        </row>
        <row r="4453">
          <cell r="Q4453">
            <v>-1056.2019292459513</v>
          </cell>
        </row>
        <row r="4454">
          <cell r="Q4454">
            <v>1821.5712321476935</v>
          </cell>
        </row>
        <row r="4455">
          <cell r="Q4455">
            <v>-1187.9504441942336</v>
          </cell>
        </row>
        <row r="4456">
          <cell r="Q4456">
            <v>689.42875769356147</v>
          </cell>
        </row>
        <row r="4457">
          <cell r="Q4457">
            <v>1192.0094707178123</v>
          </cell>
        </row>
        <row r="4458">
          <cell r="Q4458">
            <v>-2482.5570041439387</v>
          </cell>
        </row>
        <row r="4459">
          <cell r="Q4459">
            <v>1447.1558925287816</v>
          </cell>
        </row>
        <row r="4460">
          <cell r="Q4460">
            <v>4259.8458331219854</v>
          </cell>
        </row>
        <row r="4461">
          <cell r="Q4461">
            <v>318.5889428272468</v>
          </cell>
        </row>
        <row r="4462">
          <cell r="Q4462">
            <v>-642.85312727639985</v>
          </cell>
        </row>
        <row r="4463">
          <cell r="Q4463">
            <v>-1612.0465162240068</v>
          </cell>
        </row>
        <row r="4464">
          <cell r="Q4464">
            <v>3972.4054415467831</v>
          </cell>
        </row>
        <row r="4465">
          <cell r="Q4465">
            <v>3262.4069158729303</v>
          </cell>
        </row>
        <row r="4466">
          <cell r="Q4466">
            <v>798.53795247584776</v>
          </cell>
        </row>
        <row r="4467">
          <cell r="Q4467">
            <v>190.56718099772255</v>
          </cell>
        </row>
        <row r="4468">
          <cell r="Q4468">
            <v>-1624.9477392362753</v>
          </cell>
        </row>
        <row r="4469">
          <cell r="Q4469">
            <v>-660.70517560514622</v>
          </cell>
        </row>
        <row r="4470">
          <cell r="Q4470">
            <v>813.94727829704834</v>
          </cell>
        </row>
        <row r="4471">
          <cell r="Q4471">
            <v>588.59565925465336</v>
          </cell>
        </row>
        <row r="4472">
          <cell r="Q4472">
            <v>3089.3895086609004</v>
          </cell>
        </row>
        <row r="4473">
          <cell r="Q4473">
            <v>3168.5525993168731</v>
          </cell>
        </row>
        <row r="4474">
          <cell r="Q4474">
            <v>-2054.6351062720919</v>
          </cell>
        </row>
        <row r="4475">
          <cell r="Q4475">
            <v>62.781712897215812</v>
          </cell>
        </row>
        <row r="4476">
          <cell r="Q4476">
            <v>-4072.8342034891702</v>
          </cell>
        </row>
        <row r="4477">
          <cell r="Q4477">
            <v>-1885.560709902559</v>
          </cell>
        </row>
        <row r="4478">
          <cell r="Q4478">
            <v>-1122.2141821691887</v>
          </cell>
        </row>
        <row r="4479">
          <cell r="Q4479">
            <v>1234.8426420405453</v>
          </cell>
        </row>
        <row r="4480">
          <cell r="Q4480">
            <v>127.08222497624672</v>
          </cell>
        </row>
        <row r="4481">
          <cell r="Q4481">
            <v>1904.9279779305161</v>
          </cell>
        </row>
        <row r="4482">
          <cell r="Q4482">
            <v>748.56820097255343</v>
          </cell>
        </row>
        <row r="4483">
          <cell r="Q4483">
            <v>2736.437013401955</v>
          </cell>
        </row>
        <row r="4484">
          <cell r="Q4484">
            <v>-424.23252789641759</v>
          </cell>
        </row>
        <row r="4485">
          <cell r="Q4485">
            <v>-214.52479916240674</v>
          </cell>
        </row>
        <row r="4486">
          <cell r="Q4486">
            <v>1952.0878723569631</v>
          </cell>
        </row>
        <row r="4487">
          <cell r="Q4487">
            <v>3411.3168951531002</v>
          </cell>
        </row>
        <row r="4488">
          <cell r="Q4488">
            <v>2011.1556877584715</v>
          </cell>
        </row>
        <row r="4489">
          <cell r="Q4489">
            <v>-589.47674264184548</v>
          </cell>
        </row>
        <row r="4490">
          <cell r="Q4490">
            <v>-636.55773996189328</v>
          </cell>
        </row>
        <row r="4491">
          <cell r="Q4491">
            <v>-1166.3570557589999</v>
          </cell>
        </row>
        <row r="4492">
          <cell r="Q4492">
            <v>1407.9770455463874</v>
          </cell>
        </row>
        <row r="4493">
          <cell r="Q4493">
            <v>-1770.556779246903</v>
          </cell>
        </row>
        <row r="4494">
          <cell r="Q4494">
            <v>3903.2009147853541</v>
          </cell>
        </row>
        <row r="4495">
          <cell r="Q4495">
            <v>-2044.6935933781722</v>
          </cell>
        </row>
        <row r="4496">
          <cell r="Q4496">
            <v>3164.3163099367357</v>
          </cell>
        </row>
        <row r="4497">
          <cell r="Q4497">
            <v>-120.48491708812429</v>
          </cell>
        </row>
        <row r="4498">
          <cell r="Q4498">
            <v>672.60016662158705</v>
          </cell>
        </row>
        <row r="4499">
          <cell r="Q4499">
            <v>268.26904750537273</v>
          </cell>
        </row>
        <row r="4500">
          <cell r="Q4500">
            <v>-1306.6962295273815</v>
          </cell>
        </row>
        <row r="4501">
          <cell r="Q4501">
            <v>-414.44494398836974</v>
          </cell>
        </row>
        <row r="4502">
          <cell r="Q4502">
            <v>-1394.922749372746</v>
          </cell>
        </row>
        <row r="4503">
          <cell r="Q4503">
            <v>1089.8439864152765</v>
          </cell>
        </row>
        <row r="4504">
          <cell r="Q4504">
            <v>1999.1871156750692</v>
          </cell>
        </row>
        <row r="4505">
          <cell r="Q4505">
            <v>-285.35402513816877</v>
          </cell>
        </row>
        <row r="4506">
          <cell r="Q4506">
            <v>-1029.8939063642626</v>
          </cell>
        </row>
        <row r="4507">
          <cell r="Q4507">
            <v>-2668.1095467479904</v>
          </cell>
        </row>
        <row r="4508">
          <cell r="Q4508">
            <v>-3109.9057214947379</v>
          </cell>
        </row>
        <row r="4509">
          <cell r="Q4509">
            <v>-622.91387043768486</v>
          </cell>
        </row>
        <row r="4510">
          <cell r="Q4510">
            <v>1227.4573187634801</v>
          </cell>
        </row>
        <row r="4511">
          <cell r="Q4511">
            <v>706.74878291738469</v>
          </cell>
        </row>
        <row r="4512">
          <cell r="Q4512">
            <v>193.98519499962424</v>
          </cell>
        </row>
        <row r="4513">
          <cell r="Q4513">
            <v>-3086.7115146376682</v>
          </cell>
        </row>
        <row r="4514">
          <cell r="Q4514">
            <v>-3944.7011352041527</v>
          </cell>
        </row>
        <row r="4515">
          <cell r="Q4515">
            <v>2986.4551468562158</v>
          </cell>
        </row>
        <row r="4516">
          <cell r="Q4516">
            <v>-621.24169896714056</v>
          </cell>
        </row>
        <row r="4517">
          <cell r="Q4517">
            <v>-1587.9270793718872</v>
          </cell>
        </row>
        <row r="4518">
          <cell r="Q4518">
            <v>-954.57209782651216</v>
          </cell>
        </row>
        <row r="4519">
          <cell r="Q4519">
            <v>788.04073043954918</v>
          </cell>
        </row>
        <row r="4520">
          <cell r="Q4520">
            <v>1000.9750155929046</v>
          </cell>
        </row>
        <row r="4521">
          <cell r="Q4521">
            <v>-193.58596509862019</v>
          </cell>
        </row>
        <row r="4522">
          <cell r="Q4522">
            <v>-509.93785784409914</v>
          </cell>
        </row>
        <row r="4523">
          <cell r="Q4523">
            <v>-314.87484093209019</v>
          </cell>
        </row>
        <row r="4524">
          <cell r="Q4524">
            <v>-170.70560341288234</v>
          </cell>
        </row>
        <row r="4525">
          <cell r="Q4525">
            <v>143.00230045492987</v>
          </cell>
        </row>
        <row r="4526">
          <cell r="Q4526">
            <v>2605.9273512119516</v>
          </cell>
        </row>
        <row r="4527">
          <cell r="Q4527">
            <v>1526.8333718806234</v>
          </cell>
        </row>
        <row r="4528">
          <cell r="Q4528">
            <v>3060.8038999024529</v>
          </cell>
        </row>
        <row r="4529">
          <cell r="Q4529">
            <v>-126.15389538293795</v>
          </cell>
        </row>
        <row r="4530">
          <cell r="Q4530">
            <v>1327.8065428921254</v>
          </cell>
        </row>
        <row r="4531">
          <cell r="Q4531">
            <v>1709.0606253602878</v>
          </cell>
        </row>
        <row r="4532">
          <cell r="Q4532">
            <v>1791.2410251437495</v>
          </cell>
        </row>
        <row r="4533">
          <cell r="Q4533">
            <v>783.73431535467671</v>
          </cell>
        </row>
        <row r="4534">
          <cell r="Q4534">
            <v>-1740.2503066463621</v>
          </cell>
        </row>
        <row r="4535">
          <cell r="Q4535">
            <v>440.15361742154136</v>
          </cell>
        </row>
        <row r="4536">
          <cell r="Q4536">
            <v>1164.6860578017261</v>
          </cell>
        </row>
        <row r="4537">
          <cell r="Q4537">
            <v>4436.2078085456078</v>
          </cell>
        </row>
        <row r="4538">
          <cell r="Q4538">
            <v>-5555.0841048365501</v>
          </cell>
        </row>
        <row r="4539">
          <cell r="Q4539">
            <v>-1928.4738799679524</v>
          </cell>
        </row>
        <row r="4540">
          <cell r="Q4540">
            <v>4592.6240543750109</v>
          </cell>
        </row>
        <row r="4541">
          <cell r="Q4541">
            <v>3512.7532368203674</v>
          </cell>
        </row>
        <row r="4542">
          <cell r="Q4542">
            <v>-2019.2004570418219</v>
          </cell>
        </row>
        <row r="4543">
          <cell r="Q4543">
            <v>4425.3825135635534</v>
          </cell>
        </row>
        <row r="4544">
          <cell r="Q4544">
            <v>-3893.6459270677169</v>
          </cell>
        </row>
        <row r="4545">
          <cell r="Q4545">
            <v>-2731.0668134243765</v>
          </cell>
        </row>
        <row r="4546">
          <cell r="Q4546">
            <v>35.967821674363506</v>
          </cell>
        </row>
        <row r="4547">
          <cell r="Q4547">
            <v>-236.04072127410217</v>
          </cell>
        </row>
        <row r="4548">
          <cell r="Q4548">
            <v>-2313.082745710331</v>
          </cell>
        </row>
        <row r="4549">
          <cell r="Q4549">
            <v>478.90965415480235</v>
          </cell>
        </row>
        <row r="4550">
          <cell r="Q4550">
            <v>1760.9865203826992</v>
          </cell>
        </row>
        <row r="4551">
          <cell r="Q4551">
            <v>-9423.0823070338847</v>
          </cell>
        </row>
        <row r="4552">
          <cell r="Q4552">
            <v>-5600.0380117178829</v>
          </cell>
        </row>
        <row r="4553">
          <cell r="Q4553">
            <v>2291.4586518559504</v>
          </cell>
        </row>
        <row r="4554">
          <cell r="Q4554">
            <v>76.581430507988898</v>
          </cell>
        </row>
        <row r="4555">
          <cell r="Q4555">
            <v>2617.5174762645624</v>
          </cell>
        </row>
        <row r="4556">
          <cell r="Q4556">
            <v>93.002731824406965</v>
          </cell>
        </row>
        <row r="4557">
          <cell r="Q4557">
            <v>1126.2712872365241</v>
          </cell>
        </row>
        <row r="4558">
          <cell r="Q4558">
            <v>882.20953805552244</v>
          </cell>
        </row>
        <row r="4559">
          <cell r="Q4559">
            <v>-1453.6950720221007</v>
          </cell>
        </row>
        <row r="4560">
          <cell r="Q4560">
            <v>-1035.9087012028119</v>
          </cell>
        </row>
        <row r="4561">
          <cell r="Q4561">
            <v>1581.422201225249</v>
          </cell>
        </row>
        <row r="4562">
          <cell r="Q4562">
            <v>3315.3323934902796</v>
          </cell>
        </row>
        <row r="4563">
          <cell r="Q4563">
            <v>-1463.9889958424226</v>
          </cell>
        </row>
        <row r="4564">
          <cell r="Q4564">
            <v>2225.584270524867</v>
          </cell>
        </row>
        <row r="4565">
          <cell r="Q4565">
            <v>-2332.2918040655936</v>
          </cell>
        </row>
        <row r="4566">
          <cell r="Q4566">
            <v>681.03838472754728</v>
          </cell>
        </row>
        <row r="4567">
          <cell r="Q4567">
            <v>-1573.7545917131611</v>
          </cell>
        </row>
        <row r="4568">
          <cell r="Q4568">
            <v>1206.7340166734227</v>
          </cell>
        </row>
        <row r="4569">
          <cell r="Q4569">
            <v>1212.7327525669234</v>
          </cell>
        </row>
        <row r="4570">
          <cell r="Q4570">
            <v>45.389899256289254</v>
          </cell>
        </row>
        <row r="4571">
          <cell r="Q4571">
            <v>-392.71974977700012</v>
          </cell>
        </row>
        <row r="4572">
          <cell r="Q4572">
            <v>1037.6081051959231</v>
          </cell>
        </row>
        <row r="4573">
          <cell r="Q4573">
            <v>3403.1515602427935</v>
          </cell>
        </row>
        <row r="4574">
          <cell r="Q4574">
            <v>641.33883025026898</v>
          </cell>
        </row>
        <row r="4575">
          <cell r="Q4575">
            <v>2270.3882616559426</v>
          </cell>
        </row>
        <row r="4576">
          <cell r="Q4576">
            <v>-1637.5659004743497</v>
          </cell>
        </row>
        <row r="4577">
          <cell r="Q4577">
            <v>-6699.3068848518178</v>
          </cell>
        </row>
        <row r="4578">
          <cell r="Q4578">
            <v>1200.8592163704145</v>
          </cell>
        </row>
        <row r="4579">
          <cell r="Q4579">
            <v>2108.310723366832</v>
          </cell>
        </row>
        <row r="4580">
          <cell r="Q4580">
            <v>-1259.2991405843095</v>
          </cell>
        </row>
        <row r="4581">
          <cell r="Q4581">
            <v>-3089.8920354862198</v>
          </cell>
        </row>
        <row r="4582">
          <cell r="Q4582">
            <v>-189.5809148065677</v>
          </cell>
        </row>
        <row r="4583">
          <cell r="Q4583">
            <v>-1740.5814964170829</v>
          </cell>
        </row>
        <row r="4584">
          <cell r="Q4584">
            <v>1468.9457888060256</v>
          </cell>
        </row>
        <row r="4585">
          <cell r="Q4585">
            <v>-1288.4285321080024</v>
          </cell>
        </row>
        <row r="4586">
          <cell r="Q4586">
            <v>-617.39563154172788</v>
          </cell>
        </row>
        <row r="4587">
          <cell r="Q4587">
            <v>-1317.5978532762554</v>
          </cell>
        </row>
        <row r="4588">
          <cell r="Q4588">
            <v>-1738.086044924961</v>
          </cell>
        </row>
        <row r="4589">
          <cell r="Q4589">
            <v>2447.1911603100807</v>
          </cell>
        </row>
        <row r="4590">
          <cell r="Q4590">
            <v>-516.35275784548321</v>
          </cell>
        </row>
        <row r="4591">
          <cell r="Q4591">
            <v>-850.73510617688476</v>
          </cell>
        </row>
        <row r="4592">
          <cell r="Q4592">
            <v>2077.1842202937792</v>
          </cell>
        </row>
        <row r="4593">
          <cell r="Q4593">
            <v>2399.7309809076901</v>
          </cell>
        </row>
        <row r="4594">
          <cell r="Q4594">
            <v>139.69203494256539</v>
          </cell>
        </row>
        <row r="4595">
          <cell r="Q4595">
            <v>-1542.8294862556511</v>
          </cell>
        </row>
        <row r="4596">
          <cell r="Q4596">
            <v>-995.39980525405781</v>
          </cell>
        </row>
        <row r="4597">
          <cell r="Q4597">
            <v>511.39189709867145</v>
          </cell>
        </row>
        <row r="4598">
          <cell r="Q4598">
            <v>2551.5203375204505</v>
          </cell>
        </row>
        <row r="4599">
          <cell r="Q4599">
            <v>114.68097801657018</v>
          </cell>
        </row>
        <row r="4600">
          <cell r="Q4600">
            <v>690.69642376760771</v>
          </cell>
        </row>
        <row r="4601">
          <cell r="Q4601">
            <v>2293.9582035311132</v>
          </cell>
        </row>
        <row r="4602">
          <cell r="Q4602">
            <v>576.7572935472823</v>
          </cell>
        </row>
        <row r="4603">
          <cell r="Q4603">
            <v>-1649.7156733571442</v>
          </cell>
        </row>
        <row r="4604">
          <cell r="Q4604">
            <v>1097.5540586978491</v>
          </cell>
        </row>
        <row r="4605">
          <cell r="Q4605">
            <v>762.61416544532335</v>
          </cell>
        </row>
        <row r="4606">
          <cell r="Q4606">
            <v>-2014.9918199935935</v>
          </cell>
        </row>
        <row r="4607">
          <cell r="Q4607">
            <v>-2115.6990534396782</v>
          </cell>
        </row>
        <row r="4608">
          <cell r="Q4608">
            <v>1162.535026314622</v>
          </cell>
        </row>
        <row r="4609">
          <cell r="Q4609">
            <v>225.99539816678632</v>
          </cell>
        </row>
        <row r="4610">
          <cell r="Q4610">
            <v>1190.2545854474977</v>
          </cell>
        </row>
        <row r="4611">
          <cell r="Q4611">
            <v>-1290.5227863325676</v>
          </cell>
        </row>
        <row r="4612">
          <cell r="Q4612">
            <v>-2836.5023375325259</v>
          </cell>
        </row>
        <row r="4613">
          <cell r="Q4613">
            <v>-2096.5868636388886</v>
          </cell>
        </row>
        <row r="4614">
          <cell r="Q4614">
            <v>-293.99893597036561</v>
          </cell>
        </row>
        <row r="4615">
          <cell r="Q4615">
            <v>2543.3146035976233</v>
          </cell>
        </row>
        <row r="4616">
          <cell r="Q4616">
            <v>522.21681540052373</v>
          </cell>
        </row>
        <row r="4617">
          <cell r="Q4617">
            <v>598.69207182358662</v>
          </cell>
        </row>
        <row r="4618">
          <cell r="Q4618">
            <v>2266.6497544284111</v>
          </cell>
        </row>
        <row r="4619">
          <cell r="Q4619">
            <v>143.43916227745828</v>
          </cell>
        </row>
        <row r="4620">
          <cell r="Q4620">
            <v>1010.0681220786316</v>
          </cell>
        </row>
        <row r="4621">
          <cell r="Q4621">
            <v>-2228.6838034957659</v>
          </cell>
        </row>
        <row r="4622">
          <cell r="Q4622">
            <v>-1582.4895963465995</v>
          </cell>
        </row>
        <row r="4623">
          <cell r="Q4623">
            <v>-3295.4325792918453</v>
          </cell>
        </row>
        <row r="4624">
          <cell r="Q4624">
            <v>-110.45492226120319</v>
          </cell>
        </row>
        <row r="4625">
          <cell r="Q4625">
            <v>2286.5638539950573</v>
          </cell>
        </row>
        <row r="4626">
          <cell r="Q4626">
            <v>3597.1358788370171</v>
          </cell>
        </row>
        <row r="4627">
          <cell r="Q4627">
            <v>-434.49563220351985</v>
          </cell>
        </row>
        <row r="4628">
          <cell r="Q4628">
            <v>3192.7148829274161</v>
          </cell>
        </row>
        <row r="4629">
          <cell r="Q4629">
            <v>-368.63372309892424</v>
          </cell>
        </row>
        <row r="4630">
          <cell r="Q4630">
            <v>2132.6340234642448</v>
          </cell>
        </row>
        <row r="4631">
          <cell r="Q4631">
            <v>-2829.4530565387872</v>
          </cell>
        </row>
        <row r="4632">
          <cell r="Q4632">
            <v>554.04193255034102</v>
          </cell>
        </row>
        <row r="4633">
          <cell r="Q4633">
            <v>-458.22415272505583</v>
          </cell>
        </row>
        <row r="4634">
          <cell r="Q4634">
            <v>2234.2082104470278</v>
          </cell>
        </row>
        <row r="4635">
          <cell r="Q4635">
            <v>509.40252118074102</v>
          </cell>
        </row>
        <row r="4636">
          <cell r="Q4636">
            <v>-719.15276664876615</v>
          </cell>
        </row>
        <row r="4637">
          <cell r="Q4637">
            <v>4042.9908377829497</v>
          </cell>
        </row>
        <row r="4638">
          <cell r="Q4638">
            <v>-491.6468391790242</v>
          </cell>
        </row>
        <row r="4639">
          <cell r="Q4639">
            <v>1813.0802024302018</v>
          </cell>
        </row>
        <row r="4640">
          <cell r="Q4640">
            <v>-2542.065975462725</v>
          </cell>
        </row>
        <row r="4641">
          <cell r="Q4641">
            <v>-1011.8004088401597</v>
          </cell>
        </row>
        <row r="4642">
          <cell r="Q4642">
            <v>2603.9937899340721</v>
          </cell>
        </row>
        <row r="4643">
          <cell r="Q4643">
            <v>3494.6926534008721</v>
          </cell>
        </row>
        <row r="4644">
          <cell r="Q4644">
            <v>4481.9860288493355</v>
          </cell>
        </row>
        <row r="4645">
          <cell r="Q4645">
            <v>5.3614267118859971E-2</v>
          </cell>
        </row>
        <row r="4646">
          <cell r="Q4646">
            <v>-535.30373342265034</v>
          </cell>
        </row>
        <row r="4647">
          <cell r="Q4647">
            <v>2499.6797524168883</v>
          </cell>
        </row>
        <row r="4648">
          <cell r="Q4648">
            <v>1160.3565350504632</v>
          </cell>
        </row>
        <row r="4649">
          <cell r="Q4649">
            <v>887.66879159852579</v>
          </cell>
        </row>
        <row r="4650">
          <cell r="Q4650">
            <v>1803.2301130693327</v>
          </cell>
        </row>
        <row r="4651">
          <cell r="Q4651">
            <v>-1029.1381735660027</v>
          </cell>
        </row>
        <row r="4652">
          <cell r="Q4652">
            <v>-41.483424385611443</v>
          </cell>
        </row>
        <row r="4653">
          <cell r="Q4653">
            <v>-3578.6611927111653</v>
          </cell>
        </row>
        <row r="4654">
          <cell r="Q4654">
            <v>-602.03034952477537</v>
          </cell>
        </row>
        <row r="4655">
          <cell r="Q4655">
            <v>1690.3029043463102</v>
          </cell>
        </row>
        <row r="4656">
          <cell r="Q4656">
            <v>310.02918183200603</v>
          </cell>
        </row>
        <row r="4657">
          <cell r="Q4657">
            <v>-642.33889908421452</v>
          </cell>
        </row>
        <row r="4658">
          <cell r="Q4658">
            <v>-2404.6544212724921</v>
          </cell>
        </row>
        <row r="4659">
          <cell r="Q4659">
            <v>770.89418663718379</v>
          </cell>
        </row>
        <row r="4660">
          <cell r="Q4660">
            <v>-2548.8153631503619</v>
          </cell>
        </row>
        <row r="4661">
          <cell r="Q4661">
            <v>-202.43239214158456</v>
          </cell>
        </row>
        <row r="4662">
          <cell r="Q4662">
            <v>618.35350232710448</v>
          </cell>
        </row>
        <row r="4663">
          <cell r="Q4663">
            <v>-817.66267594640772</v>
          </cell>
        </row>
        <row r="4664">
          <cell r="Q4664">
            <v>-1491.7424284254391</v>
          </cell>
        </row>
        <row r="4665">
          <cell r="Q4665">
            <v>-2792.3417377167625</v>
          </cell>
        </row>
        <row r="4666">
          <cell r="Q4666">
            <v>1941.6039587945638</v>
          </cell>
        </row>
        <row r="4667">
          <cell r="Q4667">
            <v>-415.95987522176125</v>
          </cell>
        </row>
        <row r="4668">
          <cell r="Q4668">
            <v>695.44108186603501</v>
          </cell>
        </row>
        <row r="4669">
          <cell r="Q4669">
            <v>1235.8635666365399</v>
          </cell>
        </row>
        <row r="4670">
          <cell r="Q4670">
            <v>451.84480623258514</v>
          </cell>
        </row>
        <row r="4671">
          <cell r="Q4671">
            <v>-2153.2517649154188</v>
          </cell>
        </row>
        <row r="4672">
          <cell r="Q4672">
            <v>334.76715121259105</v>
          </cell>
        </row>
        <row r="4673">
          <cell r="Q4673">
            <v>717.7665196778629</v>
          </cell>
        </row>
        <row r="4674">
          <cell r="Q4674">
            <v>-552.76703560880469</v>
          </cell>
        </row>
        <row r="4675">
          <cell r="Q4675">
            <v>2273.6025819538486</v>
          </cell>
        </row>
        <row r="4676">
          <cell r="Q4676">
            <v>199.99588395600671</v>
          </cell>
        </row>
        <row r="4677">
          <cell r="Q4677">
            <v>534.24252610834606</v>
          </cell>
        </row>
        <row r="4678">
          <cell r="Q4678">
            <v>669.40256237361928</v>
          </cell>
        </row>
        <row r="4679">
          <cell r="Q4679">
            <v>4703.0370521714594</v>
          </cell>
        </row>
        <row r="4680">
          <cell r="Q4680">
            <v>-1452.9982427440395</v>
          </cell>
        </row>
        <row r="4681">
          <cell r="Q4681">
            <v>-2897.5815649774054</v>
          </cell>
        </row>
        <row r="4682">
          <cell r="Q4682">
            <v>6204.0314410784167</v>
          </cell>
        </row>
        <row r="4683">
          <cell r="Q4683">
            <v>3413.3324590753305</v>
          </cell>
        </row>
        <row r="4684">
          <cell r="Q4684">
            <v>-504.44536542784959</v>
          </cell>
        </row>
        <row r="4685">
          <cell r="Q4685">
            <v>-865.6565761754739</v>
          </cell>
        </row>
        <row r="4686">
          <cell r="Q4686">
            <v>2331.1887549650505</v>
          </cell>
        </row>
        <row r="4687">
          <cell r="Q4687">
            <v>2117.4744321079879</v>
          </cell>
        </row>
        <row r="4688">
          <cell r="Q4688">
            <v>-41.85500466126058</v>
          </cell>
        </row>
        <row r="4689">
          <cell r="Q4689">
            <v>848.63729350947324</v>
          </cell>
        </row>
        <row r="4690">
          <cell r="Q4690">
            <v>-691.76937286392285</v>
          </cell>
        </row>
        <row r="4691">
          <cell r="Q4691">
            <v>2937.3277220681898</v>
          </cell>
        </row>
        <row r="4692">
          <cell r="Q4692">
            <v>5133.1967393071609</v>
          </cell>
        </row>
        <row r="4693">
          <cell r="Q4693">
            <v>-413.66052523151478</v>
          </cell>
        </row>
        <row r="4694">
          <cell r="Q4694">
            <v>-670.9405056245771</v>
          </cell>
        </row>
        <row r="4695">
          <cell r="Q4695">
            <v>980.06512278919513</v>
          </cell>
        </row>
        <row r="4696">
          <cell r="Q4696">
            <v>912.78922145030833</v>
          </cell>
        </row>
        <row r="4697">
          <cell r="Q4697">
            <v>5587.5774088943126</v>
          </cell>
        </row>
        <row r="4698">
          <cell r="Q4698">
            <v>1283.4053428878847</v>
          </cell>
        </row>
        <row r="4699">
          <cell r="Q4699">
            <v>-3027.5316694555222</v>
          </cell>
        </row>
        <row r="4700">
          <cell r="Q4700">
            <v>1297.5889901022877</v>
          </cell>
        </row>
        <row r="4701">
          <cell r="Q4701">
            <v>1333.0413719367018</v>
          </cell>
        </row>
        <row r="4702">
          <cell r="Q4702">
            <v>-1501.6618390785272</v>
          </cell>
        </row>
        <row r="4703">
          <cell r="Q4703">
            <v>-333.59451278569514</v>
          </cell>
        </row>
        <row r="4704">
          <cell r="Q4704">
            <v>-709.72985966681949</v>
          </cell>
        </row>
        <row r="4705">
          <cell r="Q4705">
            <v>-1363.5708818645915</v>
          </cell>
        </row>
        <row r="4706">
          <cell r="Q4706">
            <v>-1461.4681534662564</v>
          </cell>
        </row>
        <row r="4707">
          <cell r="Q4707">
            <v>2165.3273578219287</v>
          </cell>
        </row>
        <row r="4708">
          <cell r="Q4708">
            <v>409.44767033383266</v>
          </cell>
        </row>
        <row r="4709">
          <cell r="Q4709">
            <v>-1927.9743169472397</v>
          </cell>
        </row>
        <row r="4710">
          <cell r="Q4710">
            <v>-254.50497061131313</v>
          </cell>
        </row>
        <row r="4711">
          <cell r="Q4711">
            <v>-156.54497700017026</v>
          </cell>
        </row>
        <row r="4712">
          <cell r="Q4712">
            <v>3630.3967336230667</v>
          </cell>
        </row>
        <row r="4713">
          <cell r="Q4713">
            <v>-2697.5360002216885</v>
          </cell>
        </row>
        <row r="4714">
          <cell r="Q4714">
            <v>-893.48392938331699</v>
          </cell>
        </row>
        <row r="4715">
          <cell r="Q4715">
            <v>720.54489899038822</v>
          </cell>
        </row>
        <row r="4716">
          <cell r="Q4716">
            <v>3141.1114118478181</v>
          </cell>
        </row>
        <row r="4717">
          <cell r="Q4717">
            <v>-2714.4594760931063</v>
          </cell>
        </row>
        <row r="4718">
          <cell r="Q4718">
            <v>-3152.6323421295629</v>
          </cell>
        </row>
        <row r="4719">
          <cell r="Q4719">
            <v>776.98233548975247</v>
          </cell>
        </row>
        <row r="4720">
          <cell r="Q4720">
            <v>4325.3007992481271</v>
          </cell>
        </row>
        <row r="4721">
          <cell r="Q4721">
            <v>-1815.0797803253133</v>
          </cell>
        </row>
        <row r="4722">
          <cell r="Q4722">
            <v>603.87032635594346</v>
          </cell>
        </row>
        <row r="4723">
          <cell r="Q4723">
            <v>-2846.5373716966205</v>
          </cell>
        </row>
        <row r="4724">
          <cell r="Q4724">
            <v>1497.5285012001559</v>
          </cell>
        </row>
        <row r="4725">
          <cell r="Q4725">
            <v>-796.73623683532855</v>
          </cell>
        </row>
        <row r="4726">
          <cell r="Q4726">
            <v>353.15235258240091</v>
          </cell>
        </row>
        <row r="4727">
          <cell r="Q4727">
            <v>4347.5384854297972</v>
          </cell>
        </row>
        <row r="4728">
          <cell r="Q4728">
            <v>-578.69654980522182</v>
          </cell>
        </row>
        <row r="4729">
          <cell r="Q4729">
            <v>-609.98274857584329</v>
          </cell>
        </row>
        <row r="4730">
          <cell r="Q4730">
            <v>-750.7516465039314</v>
          </cell>
        </row>
        <row r="4731">
          <cell r="Q4731">
            <v>921.76095126158407</v>
          </cell>
        </row>
        <row r="4732">
          <cell r="Q4732">
            <v>-209.88152285082646</v>
          </cell>
        </row>
        <row r="4733">
          <cell r="Q4733">
            <v>-711.1696921427606</v>
          </cell>
        </row>
        <row r="4734">
          <cell r="Q4734">
            <v>-1424.4662165418629</v>
          </cell>
        </row>
        <row r="4735">
          <cell r="Q4735">
            <v>1533.879158502499</v>
          </cell>
        </row>
        <row r="4736">
          <cell r="Q4736">
            <v>-635.63391014712988</v>
          </cell>
        </row>
        <row r="4737">
          <cell r="Q4737">
            <v>100.50970919063599</v>
          </cell>
        </row>
        <row r="4738">
          <cell r="Q4738">
            <v>-783.76859211070632</v>
          </cell>
        </row>
        <row r="4739">
          <cell r="Q4739">
            <v>939.57112920771078</v>
          </cell>
        </row>
        <row r="4740">
          <cell r="Q4740">
            <v>1209.7332484590452</v>
          </cell>
        </row>
        <row r="4741">
          <cell r="Q4741">
            <v>1787.0305503185969</v>
          </cell>
        </row>
        <row r="4742">
          <cell r="Q4742">
            <v>1180.6550775777957</v>
          </cell>
        </row>
        <row r="4743">
          <cell r="Q4743">
            <v>-4678.996677891676</v>
          </cell>
        </row>
        <row r="4744">
          <cell r="Q4744">
            <v>1453.067323371391</v>
          </cell>
        </row>
        <row r="4745">
          <cell r="Q4745">
            <v>-298.72482869356048</v>
          </cell>
        </row>
        <row r="4746">
          <cell r="Q4746">
            <v>4965.9317560254476</v>
          </cell>
        </row>
        <row r="4747">
          <cell r="Q4747">
            <v>1992.6674599569581</v>
          </cell>
        </row>
        <row r="4748">
          <cell r="Q4748">
            <v>141.45909764057146</v>
          </cell>
        </row>
        <row r="4749">
          <cell r="Q4749">
            <v>1747.8948816206801</v>
          </cell>
        </row>
        <row r="4750">
          <cell r="Q4750">
            <v>-1619.4098371889424</v>
          </cell>
        </row>
        <row r="4751">
          <cell r="Q4751">
            <v>1896.8858373765518</v>
          </cell>
        </row>
        <row r="4752">
          <cell r="Q4752">
            <v>242.5929240309874</v>
          </cell>
        </row>
        <row r="4753">
          <cell r="Q4753">
            <v>-319.59282057152728</v>
          </cell>
        </row>
        <row r="4754">
          <cell r="Q4754">
            <v>-989.73869520633298</v>
          </cell>
        </row>
        <row r="4755">
          <cell r="Q4755">
            <v>-1873.7914596253465</v>
          </cell>
        </row>
        <row r="4756">
          <cell r="Q4756">
            <v>-54.454881331373201</v>
          </cell>
        </row>
        <row r="4757">
          <cell r="Q4757">
            <v>2077.6907438668377</v>
          </cell>
        </row>
        <row r="4758">
          <cell r="Q4758">
            <v>3993.5736238491359</v>
          </cell>
        </row>
        <row r="4759">
          <cell r="Q4759">
            <v>4979.945460223088</v>
          </cell>
        </row>
        <row r="4760">
          <cell r="Q4760">
            <v>1972.7430268967498</v>
          </cell>
        </row>
        <row r="4761">
          <cell r="Q4761">
            <v>-3646.1557340693394</v>
          </cell>
        </row>
        <row r="4762">
          <cell r="Q4762">
            <v>-843.42851661721011</v>
          </cell>
        </row>
        <row r="4763">
          <cell r="Q4763">
            <v>-2703.4298488664635</v>
          </cell>
        </row>
        <row r="4764">
          <cell r="Q4764">
            <v>2499.1678365622356</v>
          </cell>
        </row>
        <row r="4765">
          <cell r="Q4765">
            <v>93.91963616668761</v>
          </cell>
        </row>
        <row r="4766">
          <cell r="Q4766">
            <v>882.8550925890529</v>
          </cell>
        </row>
        <row r="4767">
          <cell r="Q4767">
            <v>-1225.4703565172008</v>
          </cell>
        </row>
        <row r="4768">
          <cell r="Q4768">
            <v>-140.69224834590858</v>
          </cell>
        </row>
        <row r="4769">
          <cell r="Q4769">
            <v>1816.7696462642375</v>
          </cell>
        </row>
        <row r="4770">
          <cell r="Q4770">
            <v>332.37706961840973</v>
          </cell>
        </row>
        <row r="4771">
          <cell r="Q4771">
            <v>-2049.3820190684696</v>
          </cell>
        </row>
        <row r="4772">
          <cell r="Q4772">
            <v>-3673.66437295578</v>
          </cell>
        </row>
        <row r="4773">
          <cell r="Q4773">
            <v>-1757.3552046841648</v>
          </cell>
        </row>
        <row r="4774">
          <cell r="Q4774">
            <v>3022.9795043804261</v>
          </cell>
        </row>
        <row r="4775">
          <cell r="Q4775">
            <v>2013.1656439308508</v>
          </cell>
        </row>
        <row r="4776">
          <cell r="Q4776">
            <v>970.14559280677145</v>
          </cell>
        </row>
        <row r="4777">
          <cell r="Q4777">
            <v>1275.5317145875083</v>
          </cell>
        </row>
        <row r="4778">
          <cell r="Q4778">
            <v>-893.93255267208588</v>
          </cell>
        </row>
        <row r="4779">
          <cell r="Q4779">
            <v>1796.97395698685</v>
          </cell>
        </row>
        <row r="4780">
          <cell r="Q4780">
            <v>-1196.2148429736217</v>
          </cell>
        </row>
        <row r="4781">
          <cell r="Q4781">
            <v>-212.96224643245699</v>
          </cell>
        </row>
        <row r="4782">
          <cell r="Q4782">
            <v>-994.7920102937328</v>
          </cell>
        </row>
        <row r="4783">
          <cell r="Q4783">
            <v>-156.79754220344279</v>
          </cell>
        </row>
        <row r="4784">
          <cell r="Q4784">
            <v>2186.0813843058759</v>
          </cell>
        </row>
        <row r="4785">
          <cell r="Q4785">
            <v>-3696.7117645704834</v>
          </cell>
        </row>
        <row r="4786">
          <cell r="Q4786">
            <v>-651.76390790131859</v>
          </cell>
        </row>
        <row r="4787">
          <cell r="Q4787">
            <v>-2296.1208384944439</v>
          </cell>
        </row>
        <row r="4788">
          <cell r="Q4788">
            <v>-1479.8519830313737</v>
          </cell>
        </row>
        <row r="4789">
          <cell r="Q4789">
            <v>601.40598837034383</v>
          </cell>
        </row>
        <row r="4790">
          <cell r="Q4790">
            <v>769.70539191881198</v>
          </cell>
        </row>
        <row r="4791">
          <cell r="Q4791">
            <v>-1529.7916516938749</v>
          </cell>
        </row>
        <row r="4792">
          <cell r="Q4792">
            <v>1354.9463040262972</v>
          </cell>
        </row>
        <row r="4793">
          <cell r="Q4793">
            <v>-603.79033928169747</v>
          </cell>
        </row>
        <row r="4794">
          <cell r="Q4794">
            <v>-7318.0732245702302</v>
          </cell>
        </row>
        <row r="4795">
          <cell r="Q4795">
            <v>-1863.1841070237763</v>
          </cell>
        </row>
        <row r="4796">
          <cell r="Q4796">
            <v>1838.5507881683257</v>
          </cell>
        </row>
        <row r="4797">
          <cell r="Q4797">
            <v>-523.88030050431712</v>
          </cell>
        </row>
        <row r="4798">
          <cell r="Q4798">
            <v>-2212.5086304538431</v>
          </cell>
        </row>
        <row r="4799">
          <cell r="Q4799">
            <v>762.17227254925854</v>
          </cell>
        </row>
        <row r="4800">
          <cell r="Q4800">
            <v>-657.76888089613749</v>
          </cell>
        </row>
        <row r="4801">
          <cell r="Q4801">
            <v>-2694.4873252257216</v>
          </cell>
        </row>
        <row r="4802">
          <cell r="Q4802">
            <v>556.6233625886847</v>
          </cell>
        </row>
        <row r="4803">
          <cell r="Q4803">
            <v>4931.1688921152545</v>
          </cell>
        </row>
        <row r="4804">
          <cell r="Q4804">
            <v>109.79541027715453</v>
          </cell>
        </row>
        <row r="4805">
          <cell r="Q4805">
            <v>-1563.6998991978321</v>
          </cell>
        </row>
        <row r="4806">
          <cell r="Q4806">
            <v>-283.26558599583205</v>
          </cell>
        </row>
        <row r="4807">
          <cell r="Q4807">
            <v>-368.94584639747751</v>
          </cell>
        </row>
        <row r="4808">
          <cell r="Q4808">
            <v>2135.8783528326758</v>
          </cell>
        </row>
        <row r="4809">
          <cell r="Q4809">
            <v>1009.2331854210272</v>
          </cell>
        </row>
        <row r="4810">
          <cell r="Q4810">
            <v>2801.7899028912675</v>
          </cell>
        </row>
        <row r="4811">
          <cell r="Q4811">
            <v>-1280.4327299091124</v>
          </cell>
        </row>
        <row r="4812">
          <cell r="Q4812">
            <v>-891.9295087924495</v>
          </cell>
        </row>
        <row r="4813">
          <cell r="Q4813">
            <v>2140.2351204303086</v>
          </cell>
        </row>
        <row r="4814">
          <cell r="Q4814">
            <v>898.5472257336404</v>
          </cell>
        </row>
        <row r="4815">
          <cell r="Q4815">
            <v>-1579.6520117045568</v>
          </cell>
        </row>
        <row r="4816">
          <cell r="Q4816">
            <v>3178.7085445347348</v>
          </cell>
        </row>
        <row r="4817">
          <cell r="Q4817">
            <v>-9.6648093864494626</v>
          </cell>
        </row>
        <row r="4818">
          <cell r="Q4818">
            <v>2605.5255281703999</v>
          </cell>
        </row>
        <row r="4819">
          <cell r="Q4819">
            <v>-83.358748440526426</v>
          </cell>
        </row>
        <row r="4820">
          <cell r="Q4820">
            <v>237.98247489172289</v>
          </cell>
        </row>
        <row r="4821">
          <cell r="Q4821">
            <v>-938.92904317091279</v>
          </cell>
        </row>
        <row r="4822">
          <cell r="Q4822">
            <v>1237.2175505671489</v>
          </cell>
        </row>
        <row r="4823">
          <cell r="Q4823">
            <v>1878.3565130167888</v>
          </cell>
        </row>
        <row r="4824">
          <cell r="Q4824">
            <v>-673.73892002268735</v>
          </cell>
        </row>
        <row r="4825">
          <cell r="Q4825">
            <v>629.59991288429808</v>
          </cell>
        </row>
        <row r="4826">
          <cell r="Q4826">
            <v>252.53194367211654</v>
          </cell>
        </row>
        <row r="4827">
          <cell r="Q4827">
            <v>-4.7884172561277865</v>
          </cell>
        </row>
        <row r="4828">
          <cell r="Q4828">
            <v>214.00164930056491</v>
          </cell>
        </row>
        <row r="4829">
          <cell r="Q4829">
            <v>2583.4886931229712</v>
          </cell>
        </row>
        <row r="4830">
          <cell r="Q4830">
            <v>-794.01151049913096</v>
          </cell>
        </row>
        <row r="4831">
          <cell r="Q4831">
            <v>4649.1187522169575</v>
          </cell>
        </row>
        <row r="4832">
          <cell r="Q4832">
            <v>871.6542207248367</v>
          </cell>
        </row>
        <row r="4833">
          <cell r="Q4833">
            <v>-790.09318176444026</v>
          </cell>
        </row>
        <row r="4834">
          <cell r="Q4834">
            <v>1816.2806350195031</v>
          </cell>
        </row>
        <row r="4835">
          <cell r="Q4835">
            <v>2136.9962395659595</v>
          </cell>
        </row>
        <row r="4836">
          <cell r="Q4836">
            <v>-162.8178271721892</v>
          </cell>
        </row>
        <row r="4837">
          <cell r="Q4837">
            <v>842.72334744889667</v>
          </cell>
        </row>
        <row r="4838">
          <cell r="Q4838">
            <v>1706.3215921221636</v>
          </cell>
        </row>
        <row r="4839">
          <cell r="Q4839">
            <v>689.59938266507879</v>
          </cell>
        </row>
        <row r="4840">
          <cell r="Q4840">
            <v>2702.4535258332248</v>
          </cell>
        </row>
        <row r="4841">
          <cell r="Q4841">
            <v>349.21931614080046</v>
          </cell>
        </row>
        <row r="4842">
          <cell r="Q4842">
            <v>2053.064937688051</v>
          </cell>
        </row>
        <row r="4843">
          <cell r="Q4843">
            <v>-4716.5125543296008</v>
          </cell>
        </row>
        <row r="4844">
          <cell r="Q4844">
            <v>-514.80960118608937</v>
          </cell>
        </row>
        <row r="4845">
          <cell r="Q4845">
            <v>-1273.7296330468996</v>
          </cell>
        </row>
        <row r="4846">
          <cell r="Q4846">
            <v>-4876.8602626909969</v>
          </cell>
        </row>
        <row r="4847">
          <cell r="Q4847">
            <v>-929.85745072772988</v>
          </cell>
        </row>
        <row r="4848">
          <cell r="Q4848">
            <v>-739.52388162001398</v>
          </cell>
        </row>
        <row r="4849">
          <cell r="Q4849">
            <v>744.40534701150887</v>
          </cell>
        </row>
        <row r="4850">
          <cell r="Q4850">
            <v>866.88124728514799</v>
          </cell>
        </row>
        <row r="4851">
          <cell r="Q4851">
            <v>2923.2043798452041</v>
          </cell>
        </row>
        <row r="4852">
          <cell r="Q4852">
            <v>768.00209163637578</v>
          </cell>
        </row>
        <row r="4853">
          <cell r="Q4853">
            <v>-777.38563795608457</v>
          </cell>
        </row>
        <row r="4854">
          <cell r="Q4854">
            <v>1498.4207302152377</v>
          </cell>
        </row>
        <row r="4855">
          <cell r="Q4855">
            <v>-1057.4031403907579</v>
          </cell>
        </row>
        <row r="4856">
          <cell r="Q4856">
            <v>1480.6071116737103</v>
          </cell>
        </row>
        <row r="4857">
          <cell r="Q4857">
            <v>3376.8848570522746</v>
          </cell>
        </row>
        <row r="4858">
          <cell r="Q4858">
            <v>-457.41792094045655</v>
          </cell>
        </row>
        <row r="4859">
          <cell r="Q4859">
            <v>909.81156730313023</v>
          </cell>
        </row>
        <row r="4860">
          <cell r="Q4860">
            <v>535.50928692805405</v>
          </cell>
        </row>
        <row r="4861">
          <cell r="Q4861">
            <v>212.02311922271133</v>
          </cell>
        </row>
        <row r="4862">
          <cell r="Q4862">
            <v>5007.9089225108673</v>
          </cell>
        </row>
        <row r="4863">
          <cell r="Q4863">
            <v>-1983.7906664330565</v>
          </cell>
        </row>
        <row r="4864">
          <cell r="Q4864">
            <v>-2861.1105679788097</v>
          </cell>
        </row>
        <row r="4865">
          <cell r="Q4865">
            <v>-771.99888964313641</v>
          </cell>
        </row>
        <row r="4866">
          <cell r="Q4866">
            <v>-3104.2644996303816</v>
          </cell>
        </row>
        <row r="4867">
          <cell r="Q4867">
            <v>-1289.4458414605799</v>
          </cell>
        </row>
        <row r="4868">
          <cell r="Q4868">
            <v>2618.6606245341454</v>
          </cell>
        </row>
        <row r="4869">
          <cell r="Q4869">
            <v>1650.9071786516977</v>
          </cell>
        </row>
        <row r="4870">
          <cell r="Q4870">
            <v>1706.1045059322837</v>
          </cell>
        </row>
        <row r="4871">
          <cell r="Q4871">
            <v>-1518.6167036851668</v>
          </cell>
        </row>
        <row r="4872">
          <cell r="Q4872">
            <v>1545.9445405812066</v>
          </cell>
        </row>
        <row r="4873">
          <cell r="Q4873">
            <v>1349.9210779071382</v>
          </cell>
        </row>
        <row r="4874">
          <cell r="Q4874">
            <v>-368.33275881062326</v>
          </cell>
        </row>
        <row r="4875">
          <cell r="Q4875">
            <v>-2009.0898876653157</v>
          </cell>
        </row>
        <row r="4876">
          <cell r="Q4876">
            <v>727.64129163583618</v>
          </cell>
        </row>
        <row r="4877">
          <cell r="Q4877">
            <v>-2546.0744858377075</v>
          </cell>
        </row>
        <row r="4878">
          <cell r="Q4878">
            <v>1180.3867326753755</v>
          </cell>
        </row>
        <row r="4879">
          <cell r="Q4879">
            <v>534.45989897413665</v>
          </cell>
        </row>
        <row r="4880">
          <cell r="Q4880">
            <v>2144.0636734059476</v>
          </cell>
        </row>
        <row r="4881">
          <cell r="Q4881">
            <v>1318.5355491999176</v>
          </cell>
        </row>
        <row r="4882">
          <cell r="Q4882">
            <v>1240.1723888811266</v>
          </cell>
        </row>
        <row r="4883">
          <cell r="Q4883">
            <v>3490.7737511908549</v>
          </cell>
        </row>
        <row r="4884">
          <cell r="Q4884">
            <v>1965.2314099408575</v>
          </cell>
        </row>
        <row r="4885">
          <cell r="Q4885">
            <v>1142.5639541258367</v>
          </cell>
        </row>
        <row r="4886">
          <cell r="Q4886">
            <v>1537.5369886113681</v>
          </cell>
        </row>
        <row r="4887">
          <cell r="Q4887">
            <v>1985.9335155525002</v>
          </cell>
        </row>
        <row r="4888">
          <cell r="Q4888">
            <v>-764.90279640227504</v>
          </cell>
        </row>
        <row r="4889">
          <cell r="Q4889">
            <v>-2147.6733350016762</v>
          </cell>
        </row>
        <row r="4890">
          <cell r="Q4890">
            <v>637.21779791838833</v>
          </cell>
        </row>
        <row r="4891">
          <cell r="Q4891">
            <v>-646.2607986286655</v>
          </cell>
        </row>
        <row r="4892">
          <cell r="Q4892">
            <v>694.88682242879895</v>
          </cell>
        </row>
        <row r="4893">
          <cell r="Q4893">
            <v>984.90674566684561</v>
          </cell>
        </row>
        <row r="4894">
          <cell r="Q4894">
            <v>-629.45531980061219</v>
          </cell>
        </row>
        <row r="4895">
          <cell r="Q4895">
            <v>1137.2662092240641</v>
          </cell>
        </row>
        <row r="4896">
          <cell r="Q4896">
            <v>1655.4647054078932</v>
          </cell>
        </row>
        <row r="4897">
          <cell r="Q4897">
            <v>-1708.5207079189893</v>
          </cell>
        </row>
        <row r="4898">
          <cell r="Q4898">
            <v>4764.4884887816916</v>
          </cell>
        </row>
        <row r="4899">
          <cell r="Q4899">
            <v>-1240.0726878082226</v>
          </cell>
        </row>
        <row r="4900">
          <cell r="Q4900">
            <v>1914.0276421388362</v>
          </cell>
        </row>
        <row r="4901">
          <cell r="Q4901">
            <v>-299.47988770998023</v>
          </cell>
        </row>
        <row r="4902">
          <cell r="Q4902">
            <v>782.43857347338303</v>
          </cell>
        </row>
        <row r="4903">
          <cell r="Q4903">
            <v>1360.3595920720998</v>
          </cell>
        </row>
        <row r="4904">
          <cell r="Q4904">
            <v>-285.88690028245691</v>
          </cell>
        </row>
        <row r="4905">
          <cell r="Q4905">
            <v>4184.3693524272112</v>
          </cell>
        </row>
        <row r="4906">
          <cell r="Q4906">
            <v>-1681.6155615046057</v>
          </cell>
        </row>
        <row r="4907">
          <cell r="Q4907">
            <v>780.09699705417165</v>
          </cell>
        </row>
        <row r="4908">
          <cell r="Q4908">
            <v>1042.722894639463</v>
          </cell>
        </row>
        <row r="4909">
          <cell r="Q4909">
            <v>2807.768286685226</v>
          </cell>
        </row>
        <row r="4910">
          <cell r="Q4910">
            <v>-996.03295036775216</v>
          </cell>
        </row>
        <row r="4911">
          <cell r="Q4911">
            <v>-1341.4940859749381</v>
          </cell>
        </row>
        <row r="4912">
          <cell r="Q4912">
            <v>-1921.7166456567436</v>
          </cell>
        </row>
        <row r="4913">
          <cell r="Q4913">
            <v>4145.6333040400177</v>
          </cell>
        </row>
        <row r="4914">
          <cell r="Q4914">
            <v>-154.58710900085742</v>
          </cell>
        </row>
        <row r="4915">
          <cell r="Q4915">
            <v>4325.2499947527076</v>
          </cell>
        </row>
        <row r="4916">
          <cell r="Q4916">
            <v>1689.9121975709324</v>
          </cell>
        </row>
        <row r="4917">
          <cell r="Q4917">
            <v>882.34381383212212</v>
          </cell>
        </row>
        <row r="4918">
          <cell r="Q4918">
            <v>1509.4936430867026</v>
          </cell>
        </row>
        <row r="4919">
          <cell r="Q4919">
            <v>-3066.7077472882856</v>
          </cell>
        </row>
        <row r="4920">
          <cell r="Q4920">
            <v>-2392.196407377</v>
          </cell>
        </row>
        <row r="4921">
          <cell r="Q4921">
            <v>1544.3556398317201</v>
          </cell>
        </row>
        <row r="4922">
          <cell r="Q4922">
            <v>-2049.5016508647864</v>
          </cell>
        </row>
        <row r="4923">
          <cell r="Q4923">
            <v>-1901.8159477373918</v>
          </cell>
        </row>
        <row r="4924">
          <cell r="Q4924">
            <v>4526.4648842395982</v>
          </cell>
        </row>
        <row r="4925">
          <cell r="Q4925">
            <v>-96.1845883918308</v>
          </cell>
        </row>
        <row r="4926">
          <cell r="Q4926">
            <v>480.29818549429649</v>
          </cell>
        </row>
        <row r="4927">
          <cell r="Q4927">
            <v>991.84894905215469</v>
          </cell>
        </row>
        <row r="4928">
          <cell r="Q4928">
            <v>-2368.1441101769233</v>
          </cell>
        </row>
        <row r="4929">
          <cell r="Q4929">
            <v>-3102.1080310516681</v>
          </cell>
        </row>
        <row r="4930">
          <cell r="Q4930">
            <v>3480.2316105067275</v>
          </cell>
        </row>
        <row r="4931">
          <cell r="Q4931">
            <v>1307.5583930773375</v>
          </cell>
        </row>
        <row r="4932">
          <cell r="Q4932">
            <v>564.7485532009689</v>
          </cell>
        </row>
        <row r="4933">
          <cell r="Q4933">
            <v>-2888.0713469298967</v>
          </cell>
        </row>
        <row r="4934">
          <cell r="Q4934">
            <v>-2191.5962848746894</v>
          </cell>
        </row>
        <row r="4935">
          <cell r="Q4935">
            <v>862.13281983812249</v>
          </cell>
        </row>
        <row r="4936">
          <cell r="Q4936">
            <v>-4018.3169654843459</v>
          </cell>
        </row>
        <row r="4937">
          <cell r="Q4937">
            <v>2724.5593285406303</v>
          </cell>
        </row>
        <row r="4938">
          <cell r="Q4938">
            <v>-1706.8822689260057</v>
          </cell>
        </row>
        <row r="4939">
          <cell r="Q4939">
            <v>958.66447971821299</v>
          </cell>
        </row>
        <row r="4940">
          <cell r="Q4940">
            <v>908.32589837172043</v>
          </cell>
        </row>
        <row r="4941">
          <cell r="Q4941">
            <v>-1327.8890380114121</v>
          </cell>
        </row>
        <row r="4942">
          <cell r="Q4942">
            <v>-347.16321809822563</v>
          </cell>
        </row>
        <row r="4943">
          <cell r="Q4943">
            <v>-2174.6110060324368</v>
          </cell>
        </row>
        <row r="4944">
          <cell r="Q4944">
            <v>-2031.2999088436516</v>
          </cell>
        </row>
        <row r="4945">
          <cell r="Q4945">
            <v>-2958.4420436131336</v>
          </cell>
        </row>
        <row r="4946">
          <cell r="Q4946">
            <v>-1929.9717537630029</v>
          </cell>
        </row>
        <row r="4947">
          <cell r="Q4947">
            <v>-219.68383797563291</v>
          </cell>
        </row>
        <row r="4948">
          <cell r="Q4948">
            <v>3484.3869967789169</v>
          </cell>
        </row>
        <row r="4949">
          <cell r="Q4949">
            <v>-372.16787350080671</v>
          </cell>
        </row>
        <row r="4950">
          <cell r="Q4950">
            <v>102.12410706416887</v>
          </cell>
        </row>
        <row r="4951">
          <cell r="Q4951">
            <v>-1555.4818356164994</v>
          </cell>
        </row>
        <row r="4952">
          <cell r="Q4952">
            <v>-1581.1897125501225</v>
          </cell>
        </row>
        <row r="4953">
          <cell r="Q4953">
            <v>-759.90234026680014</v>
          </cell>
        </row>
        <row r="4954">
          <cell r="Q4954">
            <v>531.58851233110067</v>
          </cell>
        </row>
        <row r="4955">
          <cell r="Q4955">
            <v>-1207.6216072696805</v>
          </cell>
        </row>
        <row r="4956">
          <cell r="Q4956">
            <v>1746.7619118072139</v>
          </cell>
        </row>
        <row r="4957">
          <cell r="Q4957">
            <v>-883.14713941343712</v>
          </cell>
        </row>
        <row r="4958">
          <cell r="Q4958">
            <v>289.25917177500679</v>
          </cell>
        </row>
        <row r="4959">
          <cell r="Q4959">
            <v>832.47052986391611</v>
          </cell>
        </row>
        <row r="4960">
          <cell r="Q4960">
            <v>-840.18927739895253</v>
          </cell>
        </row>
        <row r="4961">
          <cell r="Q4961">
            <v>-8.7563221493616084</v>
          </cell>
        </row>
        <row r="4962">
          <cell r="Q4962">
            <v>-448.31190509594757</v>
          </cell>
        </row>
        <row r="4963">
          <cell r="Q4963">
            <v>2513.1631049106832</v>
          </cell>
        </row>
        <row r="4964">
          <cell r="Q4964">
            <v>-877.86362046391855</v>
          </cell>
        </row>
        <row r="4965">
          <cell r="Q4965">
            <v>-311.40593090611509</v>
          </cell>
        </row>
        <row r="4966">
          <cell r="Q4966">
            <v>4787.5337054072224</v>
          </cell>
        </row>
        <row r="4967">
          <cell r="Q4967">
            <v>3629.2686154860685</v>
          </cell>
        </row>
        <row r="4968">
          <cell r="Q4968">
            <v>6627.6861690429523</v>
          </cell>
        </row>
        <row r="4969">
          <cell r="Q4969">
            <v>2743.9490896022389</v>
          </cell>
        </row>
        <row r="4970">
          <cell r="Q4970">
            <v>3154.1533626664273</v>
          </cell>
        </row>
        <row r="4971">
          <cell r="Q4971">
            <v>674.96140930233378</v>
          </cell>
        </row>
        <row r="4972">
          <cell r="Q4972">
            <v>-400.48269095064137</v>
          </cell>
        </row>
        <row r="4973">
          <cell r="Q4973">
            <v>3245.5482100551612</v>
          </cell>
        </row>
        <row r="4974">
          <cell r="Q4974">
            <v>-478.36799490377081</v>
          </cell>
        </row>
        <row r="4975">
          <cell r="Q4975">
            <v>3097.4506573363929</v>
          </cell>
        </row>
        <row r="4976">
          <cell r="Q4976">
            <v>-237.37316440704484</v>
          </cell>
        </row>
        <row r="4977">
          <cell r="Q4977">
            <v>672.77951005430236</v>
          </cell>
        </row>
        <row r="4978">
          <cell r="Q4978">
            <v>-2763.0055003470829</v>
          </cell>
        </row>
        <row r="4979">
          <cell r="Q4979">
            <v>3412.8673291292944</v>
          </cell>
        </row>
        <row r="4980">
          <cell r="Q4980">
            <v>2556.8410986285285</v>
          </cell>
        </row>
        <row r="4981">
          <cell r="Q4981">
            <v>1081.9346496535945</v>
          </cell>
        </row>
        <row r="4982">
          <cell r="Q4982">
            <v>2645.4313284410327</v>
          </cell>
        </row>
        <row r="4983">
          <cell r="Q4983">
            <v>378.03160802129048</v>
          </cell>
        </row>
        <row r="4984">
          <cell r="Q4984">
            <v>-171.72308839211559</v>
          </cell>
        </row>
        <row r="4985">
          <cell r="Q4985">
            <v>378.47897306576863</v>
          </cell>
        </row>
        <row r="4986">
          <cell r="Q4986">
            <v>308.82168718702127</v>
          </cell>
        </row>
        <row r="4987">
          <cell r="Q4987">
            <v>3188.8948482538049</v>
          </cell>
        </row>
        <row r="4988">
          <cell r="Q4988">
            <v>-1835.3500646372802</v>
          </cell>
        </row>
        <row r="4989">
          <cell r="Q4989">
            <v>196.30743939163381</v>
          </cell>
        </row>
        <row r="4990">
          <cell r="Q4990">
            <v>4062.1456046776912</v>
          </cell>
        </row>
        <row r="4991">
          <cell r="Q4991">
            <v>2844.9891523033921</v>
          </cell>
        </row>
        <row r="4992">
          <cell r="Q4992">
            <v>-3398.6310708422589</v>
          </cell>
        </row>
        <row r="4993">
          <cell r="Q4993">
            <v>882.70602545179133</v>
          </cell>
        </row>
        <row r="4994">
          <cell r="Q4994">
            <v>100.16102400075596</v>
          </cell>
        </row>
        <row r="4995">
          <cell r="Q4995">
            <v>1699.845759150908</v>
          </cell>
        </row>
        <row r="4996">
          <cell r="Q4996">
            <v>-2379.3671591775014</v>
          </cell>
        </row>
        <row r="4997">
          <cell r="Q4997">
            <v>2231.1110229287642</v>
          </cell>
        </row>
        <row r="4998">
          <cell r="Q4998">
            <v>-1755.0668914574237</v>
          </cell>
        </row>
        <row r="4999">
          <cell r="Q4999">
            <v>2667.0178033805223</v>
          </cell>
        </row>
        <row r="5000">
          <cell r="Q5000">
            <v>2607.6145280483861</v>
          </cell>
        </row>
        <row r="5001">
          <cell r="Q5001">
            <v>1858.723930433471</v>
          </cell>
        </row>
        <row r="5002">
          <cell r="Q5002">
            <v>2160.9057784148986</v>
          </cell>
        </row>
        <row r="5003">
          <cell r="Q5003">
            <v>426.24196398281867</v>
          </cell>
        </row>
        <row r="5004">
          <cell r="Q5004">
            <v>-4485.911862572344</v>
          </cell>
        </row>
        <row r="5005">
          <cell r="Q5005">
            <v>620.85682189276372</v>
          </cell>
        </row>
        <row r="5006">
          <cell r="Q5006">
            <v>3386.8738288340737</v>
          </cell>
        </row>
        <row r="5007">
          <cell r="Q5007">
            <v>1885.1558812576866</v>
          </cell>
        </row>
        <row r="5008">
          <cell r="Q5008">
            <v>-486.73445327917972</v>
          </cell>
        </row>
        <row r="5009">
          <cell r="Q5009">
            <v>7360.4145795912636</v>
          </cell>
        </row>
        <row r="5010">
          <cell r="Q5010">
            <v>2973.8775057933399</v>
          </cell>
        </row>
        <row r="5011">
          <cell r="Q5011">
            <v>-1317.950037668041</v>
          </cell>
        </row>
        <row r="5012">
          <cell r="Q5012">
            <v>-2953.5920781021227</v>
          </cell>
        </row>
        <row r="5013">
          <cell r="Q5013">
            <v>622.06475743492115</v>
          </cell>
        </row>
        <row r="5014">
          <cell r="Q5014">
            <v>2888.0638283608359</v>
          </cell>
        </row>
        <row r="5015">
          <cell r="Q5015">
            <v>-915.93239724622526</v>
          </cell>
        </row>
        <row r="5016">
          <cell r="Q5016">
            <v>1709.2548240374756</v>
          </cell>
        </row>
        <row r="5017">
          <cell r="Q5017">
            <v>1910.7060252858671</v>
          </cell>
        </row>
        <row r="5018">
          <cell r="Q5018">
            <v>502.71897272398377</v>
          </cell>
        </row>
        <row r="5019">
          <cell r="Q5019">
            <v>1399.0259135632723</v>
          </cell>
        </row>
        <row r="5020">
          <cell r="Q5020">
            <v>373.18433325997859</v>
          </cell>
        </row>
        <row r="5021">
          <cell r="Q5021">
            <v>5336.724650573392</v>
          </cell>
        </row>
        <row r="5022">
          <cell r="Q5022">
            <v>-284.72424235740363</v>
          </cell>
        </row>
        <row r="5023">
          <cell r="Q5023">
            <v>-200.02779872640593</v>
          </cell>
        </row>
        <row r="5024">
          <cell r="Q5024">
            <v>2850.9164776007647</v>
          </cell>
        </row>
        <row r="5025">
          <cell r="Q5025">
            <v>1610.5784891102794</v>
          </cell>
        </row>
        <row r="5026">
          <cell r="Q5026">
            <v>-2335.1570912565735</v>
          </cell>
        </row>
        <row r="5027">
          <cell r="Q5027">
            <v>1039.4996062244015</v>
          </cell>
        </row>
        <row r="5028">
          <cell r="Q5028">
            <v>1805.7724576392552</v>
          </cell>
        </row>
        <row r="5029">
          <cell r="Q5029">
            <v>2320.7539109161771</v>
          </cell>
        </row>
        <row r="5030">
          <cell r="Q5030">
            <v>-2322.712991013791</v>
          </cell>
        </row>
        <row r="5031">
          <cell r="Q5031">
            <v>1639.3001319297432</v>
          </cell>
        </row>
        <row r="5032">
          <cell r="Q5032">
            <v>5460.0208122028262</v>
          </cell>
        </row>
        <row r="5033">
          <cell r="Q5033">
            <v>-1535.2692764697913</v>
          </cell>
        </row>
        <row r="5034">
          <cell r="Q5034">
            <v>2043.7170834550773</v>
          </cell>
        </row>
        <row r="5035">
          <cell r="Q5035">
            <v>559.11258010456629</v>
          </cell>
        </row>
        <row r="5036">
          <cell r="Q5036">
            <v>1609.3347846134279</v>
          </cell>
        </row>
        <row r="5037">
          <cell r="Q5037">
            <v>2778.3146526656597</v>
          </cell>
        </row>
        <row r="5038">
          <cell r="Q5038">
            <v>2565.6419126188289</v>
          </cell>
        </row>
        <row r="5039">
          <cell r="Q5039">
            <v>2628.5112985345954</v>
          </cell>
        </row>
        <row r="5040">
          <cell r="Q5040">
            <v>-148.82633663657583</v>
          </cell>
        </row>
        <row r="5041">
          <cell r="Q5041">
            <v>1772.7695496890969</v>
          </cell>
        </row>
        <row r="5042">
          <cell r="Q5042">
            <v>-5060.075338892867</v>
          </cell>
        </row>
        <row r="5043">
          <cell r="Q5043">
            <v>-1544.2221433367388</v>
          </cell>
        </row>
        <row r="5044">
          <cell r="Q5044">
            <v>-58.134840071185181</v>
          </cell>
        </row>
        <row r="5045">
          <cell r="Q5045">
            <v>539.2130623936398</v>
          </cell>
        </row>
        <row r="5046">
          <cell r="Q5046">
            <v>2108.9932381466574</v>
          </cell>
        </row>
        <row r="5047">
          <cell r="Q5047">
            <v>2928.3318168442693</v>
          </cell>
        </row>
        <row r="5048">
          <cell r="Q5048">
            <v>1628.8492966343952</v>
          </cell>
        </row>
        <row r="5049">
          <cell r="Q5049">
            <v>1002.2744245122897</v>
          </cell>
        </row>
        <row r="5050">
          <cell r="Q5050">
            <v>1705.8837644014307</v>
          </cell>
        </row>
        <row r="5051">
          <cell r="Q5051">
            <v>4282.4514549229043</v>
          </cell>
        </row>
        <row r="5052">
          <cell r="Q5052">
            <v>359.07103271375075</v>
          </cell>
        </row>
        <row r="5053">
          <cell r="Q5053">
            <v>1287.2115336406926</v>
          </cell>
        </row>
        <row r="5054">
          <cell r="Q5054">
            <v>4146.8175823733673</v>
          </cell>
        </row>
        <row r="5055">
          <cell r="Q5055">
            <v>-1007.9872935332162</v>
          </cell>
        </row>
        <row r="5056">
          <cell r="Q5056">
            <v>-117.94211149280858</v>
          </cell>
        </row>
        <row r="5057">
          <cell r="Q5057">
            <v>-3314.8397321742536</v>
          </cell>
        </row>
        <row r="5058">
          <cell r="Q5058">
            <v>896.72536356706996</v>
          </cell>
        </row>
        <row r="5059">
          <cell r="Q5059">
            <v>4104.3205512338827</v>
          </cell>
        </row>
        <row r="5060">
          <cell r="Q5060">
            <v>-1527.7518118469518</v>
          </cell>
        </row>
        <row r="5061">
          <cell r="Q5061">
            <v>3591.3268563778215</v>
          </cell>
        </row>
        <row r="5062">
          <cell r="Q5062">
            <v>-506.02952053010443</v>
          </cell>
        </row>
        <row r="5063">
          <cell r="Q5063">
            <v>1956.2430743849097</v>
          </cell>
        </row>
        <row r="5064">
          <cell r="Q5064">
            <v>390.88000182667901</v>
          </cell>
        </row>
        <row r="5065">
          <cell r="Q5065">
            <v>-1306.8682597879417</v>
          </cell>
        </row>
        <row r="5066">
          <cell r="Q5066">
            <v>-584.75470468422282</v>
          </cell>
        </row>
        <row r="5067">
          <cell r="Q5067">
            <v>3840.2809684595281</v>
          </cell>
        </row>
        <row r="5068">
          <cell r="Q5068">
            <v>-1101.5065113107007</v>
          </cell>
        </row>
        <row r="5069">
          <cell r="Q5069">
            <v>1322.7792435329577</v>
          </cell>
        </row>
        <row r="5070">
          <cell r="Q5070">
            <v>-495.52463470593312</v>
          </cell>
        </row>
        <row r="5071">
          <cell r="Q5071">
            <v>-72.612582428218332</v>
          </cell>
        </row>
        <row r="5072">
          <cell r="Q5072">
            <v>-322.6977122635555</v>
          </cell>
        </row>
        <row r="5073">
          <cell r="Q5073">
            <v>2984.6786260562717</v>
          </cell>
        </row>
        <row r="5074">
          <cell r="Q5074">
            <v>-3392.1342988341589</v>
          </cell>
        </row>
        <row r="5075">
          <cell r="Q5075">
            <v>1393.3176483426894</v>
          </cell>
        </row>
        <row r="5076">
          <cell r="Q5076">
            <v>492.18754284726697</v>
          </cell>
        </row>
        <row r="5077">
          <cell r="Q5077">
            <v>-2069.6541643487594</v>
          </cell>
        </row>
        <row r="5078">
          <cell r="Q5078">
            <v>-2301.6377984389906</v>
          </cell>
        </row>
        <row r="5079">
          <cell r="Q5079">
            <v>-1529.8354246409522</v>
          </cell>
        </row>
        <row r="5080">
          <cell r="Q5080">
            <v>2163.5562614120281</v>
          </cell>
        </row>
        <row r="5081">
          <cell r="Q5081">
            <v>5108.8843818411351</v>
          </cell>
        </row>
        <row r="5082">
          <cell r="Q5082">
            <v>491.0852170764615</v>
          </cell>
        </row>
        <row r="5083">
          <cell r="Q5083">
            <v>1137.5462990670333</v>
          </cell>
        </row>
        <row r="5084">
          <cell r="Q5084">
            <v>-200.65766634329322</v>
          </cell>
        </row>
        <row r="5085">
          <cell r="Q5085">
            <v>-800.06229979785712</v>
          </cell>
        </row>
        <row r="5086">
          <cell r="Q5086">
            <v>1451.5797968787499</v>
          </cell>
        </row>
        <row r="5087">
          <cell r="Q5087">
            <v>2527.0020357945814</v>
          </cell>
        </row>
        <row r="5088">
          <cell r="Q5088">
            <v>3228.700061029449</v>
          </cell>
        </row>
        <row r="5089">
          <cell r="Q5089">
            <v>2876.7889972596549</v>
          </cell>
        </row>
        <row r="5090">
          <cell r="Q5090">
            <v>-3221.2192397396552</v>
          </cell>
        </row>
        <row r="5091">
          <cell r="Q5091">
            <v>1354.8219694085647</v>
          </cell>
        </row>
        <row r="5092">
          <cell r="Q5092">
            <v>-780.8412111747034</v>
          </cell>
        </row>
        <row r="5093">
          <cell r="Q5093">
            <v>154.92227595325446</v>
          </cell>
        </row>
        <row r="5094">
          <cell r="Q5094">
            <v>2742.956741724141</v>
          </cell>
        </row>
        <row r="5095">
          <cell r="Q5095">
            <v>1637.4044311031162</v>
          </cell>
        </row>
        <row r="5096">
          <cell r="Q5096">
            <v>-845.89920568379762</v>
          </cell>
        </row>
        <row r="5097">
          <cell r="Q5097">
            <v>2199.3842706006344</v>
          </cell>
        </row>
        <row r="5098">
          <cell r="Q5098">
            <v>-3417.543583125444</v>
          </cell>
        </row>
        <row r="5099">
          <cell r="Q5099">
            <v>-1212.1544769724319</v>
          </cell>
        </row>
        <row r="5100">
          <cell r="Q5100">
            <v>-2231.8176541069238</v>
          </cell>
        </row>
        <row r="5101">
          <cell r="Q5101">
            <v>831.99212224421728</v>
          </cell>
        </row>
        <row r="5102">
          <cell r="Q5102">
            <v>-837.74063108829591</v>
          </cell>
        </row>
        <row r="5103">
          <cell r="Q5103">
            <v>469.54078905554218</v>
          </cell>
        </row>
        <row r="5104">
          <cell r="Q5104">
            <v>2653.0473601607564</v>
          </cell>
        </row>
        <row r="5105">
          <cell r="Q5105">
            <v>1979.5476838768918</v>
          </cell>
        </row>
        <row r="5106">
          <cell r="Q5106">
            <v>-3189.6219949381302</v>
          </cell>
        </row>
        <row r="5107">
          <cell r="Q5107">
            <v>851.88417724226088</v>
          </cell>
        </row>
        <row r="5108">
          <cell r="Q5108">
            <v>448.43049951367095</v>
          </cell>
        </row>
        <row r="5109">
          <cell r="Q5109">
            <v>-703.24393365603441</v>
          </cell>
        </row>
        <row r="5110">
          <cell r="Q5110">
            <v>1657.5173674989967</v>
          </cell>
        </row>
        <row r="5111">
          <cell r="Q5111">
            <v>1010.4173182207855</v>
          </cell>
        </row>
        <row r="5112">
          <cell r="Q5112">
            <v>-2245.6637314872855</v>
          </cell>
        </row>
        <row r="5113">
          <cell r="Q5113">
            <v>3496.5359507069747</v>
          </cell>
        </row>
        <row r="5114">
          <cell r="Q5114">
            <v>1296.4682631544852</v>
          </cell>
        </row>
        <row r="5115">
          <cell r="Q5115">
            <v>1165.2030617973928</v>
          </cell>
        </row>
        <row r="5116">
          <cell r="Q5116">
            <v>1213.8042850933155</v>
          </cell>
        </row>
        <row r="5117">
          <cell r="Q5117">
            <v>-2641.2177408196781</v>
          </cell>
        </row>
        <row r="5118">
          <cell r="Q5118">
            <v>-990.23467764204224</v>
          </cell>
        </row>
        <row r="5119">
          <cell r="Q5119">
            <v>-3122.81168769443</v>
          </cell>
        </row>
        <row r="5120">
          <cell r="Q5120">
            <v>981.13006661859595</v>
          </cell>
        </row>
        <row r="5121">
          <cell r="Q5121">
            <v>-1891.4545863535448</v>
          </cell>
        </row>
        <row r="5122">
          <cell r="Q5122">
            <v>-576.56857656530724</v>
          </cell>
        </row>
        <row r="5123">
          <cell r="Q5123">
            <v>114.75128822839679</v>
          </cell>
        </row>
        <row r="5124">
          <cell r="Q5124">
            <v>-1454.2086850721369</v>
          </cell>
        </row>
        <row r="5125">
          <cell r="Q5125">
            <v>-6301.7078219031682</v>
          </cell>
        </row>
        <row r="5126">
          <cell r="Q5126">
            <v>1170.6868525155066</v>
          </cell>
        </row>
        <row r="5127">
          <cell r="Q5127">
            <v>2525.78807345325</v>
          </cell>
        </row>
        <row r="5128">
          <cell r="Q5128">
            <v>-969.3310226717922</v>
          </cell>
        </row>
        <row r="5129">
          <cell r="Q5129">
            <v>2337.6442248354751</v>
          </cell>
        </row>
        <row r="5130">
          <cell r="Q5130">
            <v>-25.857668349602363</v>
          </cell>
        </row>
        <row r="5131">
          <cell r="Q5131">
            <v>-3199.275668322462</v>
          </cell>
        </row>
        <row r="5132">
          <cell r="Q5132">
            <v>-462.76526334799354</v>
          </cell>
        </row>
        <row r="5133">
          <cell r="Q5133">
            <v>-2332.0983370609188</v>
          </cell>
        </row>
        <row r="5134">
          <cell r="Q5134">
            <v>-961.90496657835433</v>
          </cell>
        </row>
        <row r="5135">
          <cell r="Q5135">
            <v>5564.9804570121105</v>
          </cell>
        </row>
        <row r="5136">
          <cell r="Q5136">
            <v>2798.3412675571185</v>
          </cell>
        </row>
        <row r="5137">
          <cell r="Q5137">
            <v>931.93453817588806</v>
          </cell>
        </row>
        <row r="5138">
          <cell r="Q5138">
            <v>2732.4526009448045</v>
          </cell>
        </row>
        <row r="5139">
          <cell r="Q5139">
            <v>1035.9048174701895</v>
          </cell>
        </row>
        <row r="5140">
          <cell r="Q5140">
            <v>-64.971829254193494</v>
          </cell>
        </row>
        <row r="5141">
          <cell r="Q5141">
            <v>3199.088149402879</v>
          </cell>
        </row>
        <row r="5142">
          <cell r="Q5142">
            <v>2943.6346933892778</v>
          </cell>
        </row>
        <row r="5143">
          <cell r="Q5143">
            <v>-2066.0652792658225</v>
          </cell>
        </row>
        <row r="5144">
          <cell r="Q5144">
            <v>-277.18247536524717</v>
          </cell>
        </row>
        <row r="5145">
          <cell r="Q5145">
            <v>179.03355408656572</v>
          </cell>
        </row>
        <row r="5146">
          <cell r="Q5146">
            <v>-2526.2624839180598</v>
          </cell>
        </row>
        <row r="5147">
          <cell r="Q5147">
            <v>693.47854901343726</v>
          </cell>
        </row>
        <row r="5148">
          <cell r="Q5148">
            <v>4340.8217741600456</v>
          </cell>
        </row>
        <row r="5149">
          <cell r="Q5149">
            <v>2768.6305521292511</v>
          </cell>
        </row>
        <row r="5150">
          <cell r="Q5150">
            <v>820.44120043602618</v>
          </cell>
        </row>
        <row r="5151">
          <cell r="Q5151">
            <v>-179.85102376010531</v>
          </cell>
        </row>
        <row r="5152">
          <cell r="Q5152">
            <v>3498.9628512957211</v>
          </cell>
        </row>
        <row r="5153">
          <cell r="Q5153">
            <v>1807.5449201660224</v>
          </cell>
        </row>
        <row r="5154">
          <cell r="Q5154">
            <v>1386.042105533169</v>
          </cell>
        </row>
        <row r="5155">
          <cell r="Q5155">
            <v>1520.2697547813229</v>
          </cell>
        </row>
        <row r="5156">
          <cell r="Q5156">
            <v>-728.64203525410016</v>
          </cell>
        </row>
        <row r="5157">
          <cell r="Q5157">
            <v>551.74735627330983</v>
          </cell>
        </row>
        <row r="5158">
          <cell r="Q5158">
            <v>-2607.57169267982</v>
          </cell>
        </row>
        <row r="5159">
          <cell r="Q5159">
            <v>-1084.4968286010983</v>
          </cell>
        </row>
        <row r="5160">
          <cell r="Q5160">
            <v>-1271.4621710885881</v>
          </cell>
        </row>
        <row r="5161">
          <cell r="Q5161">
            <v>812.09373229310927</v>
          </cell>
        </row>
        <row r="5162">
          <cell r="Q5162">
            <v>-2.5143186604295238</v>
          </cell>
        </row>
        <row r="5163">
          <cell r="Q5163">
            <v>-1340.0868491272756</v>
          </cell>
        </row>
        <row r="5164">
          <cell r="Q5164">
            <v>-145.70332297840383</v>
          </cell>
        </row>
        <row r="5165">
          <cell r="Q5165">
            <v>3162.0789945699166</v>
          </cell>
        </row>
        <row r="5166">
          <cell r="Q5166">
            <v>915.79308791822245</v>
          </cell>
        </row>
        <row r="5167">
          <cell r="Q5167">
            <v>-747.23996431395062</v>
          </cell>
        </row>
        <row r="5168">
          <cell r="Q5168">
            <v>4926.6444171208232</v>
          </cell>
        </row>
        <row r="5169">
          <cell r="Q5169">
            <v>-882.19545705751875</v>
          </cell>
        </row>
        <row r="5170">
          <cell r="Q5170">
            <v>343.65168029674805</v>
          </cell>
        </row>
        <row r="5171">
          <cell r="Q5171">
            <v>-1294.8542857525263</v>
          </cell>
        </row>
        <row r="5172">
          <cell r="Q5172">
            <v>1241.7161646393442</v>
          </cell>
        </row>
        <row r="5173">
          <cell r="Q5173">
            <v>2032.0300801955214</v>
          </cell>
        </row>
        <row r="5174">
          <cell r="Q5174">
            <v>778.84912012757411</v>
          </cell>
        </row>
        <row r="5175">
          <cell r="Q5175">
            <v>1058.2935413670834</v>
          </cell>
        </row>
        <row r="5176">
          <cell r="Q5176">
            <v>-1436.0271341438813</v>
          </cell>
        </row>
        <row r="5177">
          <cell r="Q5177">
            <v>-1866.5070951400828</v>
          </cell>
        </row>
        <row r="5178">
          <cell r="Q5178">
            <v>1297.6512542846106</v>
          </cell>
        </row>
        <row r="5179">
          <cell r="Q5179">
            <v>2029.3504359524816</v>
          </cell>
        </row>
        <row r="5180">
          <cell r="Q5180">
            <v>495.93773244680062</v>
          </cell>
        </row>
        <row r="5181">
          <cell r="Q5181">
            <v>-1105.1626647296323</v>
          </cell>
        </row>
        <row r="5182">
          <cell r="Q5182">
            <v>-1372.8722518233599</v>
          </cell>
        </row>
        <row r="5183">
          <cell r="Q5183">
            <v>1408.0597253791141</v>
          </cell>
        </row>
        <row r="5184">
          <cell r="Q5184">
            <v>1182.8583262800344</v>
          </cell>
        </row>
        <row r="5185">
          <cell r="Q5185">
            <v>-179.72442968384217</v>
          </cell>
        </row>
        <row r="5186">
          <cell r="Q5186">
            <v>-1232.5376623515376</v>
          </cell>
        </row>
        <row r="5187">
          <cell r="Q5187">
            <v>-1222.818375281546</v>
          </cell>
        </row>
        <row r="5188">
          <cell r="Q5188">
            <v>717.52196647706648</v>
          </cell>
        </row>
        <row r="5189">
          <cell r="Q5189">
            <v>-1870.8816589515875</v>
          </cell>
        </row>
        <row r="5190">
          <cell r="Q5190">
            <v>-719.97291529501081</v>
          </cell>
        </row>
        <row r="5191">
          <cell r="Q5191">
            <v>-2120.2123616904719</v>
          </cell>
        </row>
        <row r="5192">
          <cell r="Q5192">
            <v>2065.9802362021965</v>
          </cell>
        </row>
        <row r="5193">
          <cell r="Q5193">
            <v>773.21322164467347</v>
          </cell>
        </row>
        <row r="5194">
          <cell r="Q5194">
            <v>808.59489053184097</v>
          </cell>
        </row>
        <row r="5195">
          <cell r="Q5195">
            <v>3378.5305442041058</v>
          </cell>
        </row>
        <row r="5196">
          <cell r="Q5196">
            <v>937.55908904603962</v>
          </cell>
        </row>
        <row r="5197">
          <cell r="Q5197">
            <v>1221.9167762606098</v>
          </cell>
        </row>
        <row r="5198">
          <cell r="Q5198">
            <v>4660.4425430527199</v>
          </cell>
        </row>
        <row r="5199">
          <cell r="Q5199">
            <v>1132.0779631934352</v>
          </cell>
        </row>
        <row r="5200">
          <cell r="Q5200">
            <v>-2189.5710242968971</v>
          </cell>
        </row>
        <row r="5201">
          <cell r="Q5201">
            <v>2952.6913877440411</v>
          </cell>
        </row>
        <row r="5202">
          <cell r="Q5202">
            <v>159.54639775059465</v>
          </cell>
        </row>
        <row r="5203">
          <cell r="Q5203">
            <v>4563.2782379812506</v>
          </cell>
        </row>
        <row r="5204">
          <cell r="Q5204">
            <v>-824.84285040274153</v>
          </cell>
        </row>
        <row r="5205">
          <cell r="Q5205">
            <v>494.89746016570598</v>
          </cell>
        </row>
        <row r="5206">
          <cell r="Q5206">
            <v>1793.8352168326223</v>
          </cell>
        </row>
        <row r="5207">
          <cell r="Q5207">
            <v>-2026.1673441722266</v>
          </cell>
        </row>
        <row r="5208">
          <cell r="Q5208">
            <v>-1668.7231178882587</v>
          </cell>
        </row>
        <row r="5209">
          <cell r="Q5209">
            <v>1976.0748470709759</v>
          </cell>
        </row>
        <row r="5210">
          <cell r="Q5210">
            <v>1210.4181526436048</v>
          </cell>
        </row>
        <row r="5211">
          <cell r="Q5211">
            <v>2055.945984611431</v>
          </cell>
        </row>
        <row r="5212">
          <cell r="Q5212">
            <v>1141.5656564148212</v>
          </cell>
        </row>
        <row r="5213">
          <cell r="Q5213">
            <v>3647.0948542803403</v>
          </cell>
        </row>
        <row r="5214">
          <cell r="Q5214">
            <v>348.55483165236546</v>
          </cell>
        </row>
        <row r="5215">
          <cell r="Q5215">
            <v>2384.7268962707208</v>
          </cell>
        </row>
        <row r="5216">
          <cell r="Q5216">
            <v>-1482.3983314694942</v>
          </cell>
        </row>
        <row r="5217">
          <cell r="Q5217">
            <v>-1128.3610018526751</v>
          </cell>
        </row>
        <row r="5218">
          <cell r="Q5218">
            <v>2134.9683797571611</v>
          </cell>
        </row>
        <row r="5219">
          <cell r="Q5219">
            <v>-2475.6776689608114</v>
          </cell>
        </row>
        <row r="5220">
          <cell r="Q5220">
            <v>1862.8933858709722</v>
          </cell>
        </row>
        <row r="5221">
          <cell r="Q5221">
            <v>-1075.5446814116383</v>
          </cell>
        </row>
        <row r="5222">
          <cell r="Q5222">
            <v>2474.5892027389209</v>
          </cell>
        </row>
        <row r="5223">
          <cell r="Q5223">
            <v>160.89106799711624</v>
          </cell>
        </row>
        <row r="5224">
          <cell r="Q5224">
            <v>-38.320395401733663</v>
          </cell>
        </row>
        <row r="5225">
          <cell r="Q5225">
            <v>247.97557376255017</v>
          </cell>
        </row>
        <row r="5226">
          <cell r="Q5226">
            <v>303.21749078510527</v>
          </cell>
        </row>
        <row r="5227">
          <cell r="Q5227">
            <v>2123.7016610546461</v>
          </cell>
        </row>
        <row r="5228">
          <cell r="Q5228">
            <v>-3262.7139371578983</v>
          </cell>
        </row>
        <row r="5229">
          <cell r="Q5229">
            <v>1045.2145902741347</v>
          </cell>
        </row>
        <row r="5230">
          <cell r="Q5230">
            <v>294.51728457362691</v>
          </cell>
        </row>
        <row r="5231">
          <cell r="Q5231">
            <v>-926.41326478958877</v>
          </cell>
        </row>
        <row r="5232">
          <cell r="Q5232">
            <v>1662.4990632128106</v>
          </cell>
        </row>
        <row r="5233">
          <cell r="Q5233">
            <v>-27.406488521694939</v>
          </cell>
        </row>
        <row r="5234">
          <cell r="Q5234">
            <v>-3108.7188491881689</v>
          </cell>
        </row>
        <row r="5235">
          <cell r="Q5235">
            <v>-3154.2174297950673</v>
          </cell>
        </row>
        <row r="5236">
          <cell r="Q5236">
            <v>3473.5636242745836</v>
          </cell>
        </row>
        <row r="5237">
          <cell r="Q5237">
            <v>1301.0805122766499</v>
          </cell>
        </row>
        <row r="5238">
          <cell r="Q5238">
            <v>6225.7936419345551</v>
          </cell>
        </row>
        <row r="5239">
          <cell r="Q5239">
            <v>2765.7424861696741</v>
          </cell>
        </row>
        <row r="5240">
          <cell r="Q5240">
            <v>992.65395562293838</v>
          </cell>
        </row>
        <row r="5241">
          <cell r="Q5241">
            <v>-993.05967979071693</v>
          </cell>
        </row>
        <row r="5242">
          <cell r="Q5242">
            <v>3923.2864618638378</v>
          </cell>
        </row>
        <row r="5243">
          <cell r="Q5243">
            <v>-516.66921196957514</v>
          </cell>
        </row>
        <row r="5244">
          <cell r="Q5244">
            <v>-882.03112702937847</v>
          </cell>
        </row>
        <row r="5245">
          <cell r="Q5245">
            <v>-4180.1140508539838</v>
          </cell>
        </row>
        <row r="5246">
          <cell r="Q5246">
            <v>-2973.8696262224471</v>
          </cell>
        </row>
        <row r="5247">
          <cell r="Q5247">
            <v>1670.160264674782</v>
          </cell>
        </row>
        <row r="5248">
          <cell r="Q5248">
            <v>-1340.9743136009781</v>
          </cell>
        </row>
        <row r="5249">
          <cell r="Q5249">
            <v>1131.3240478594987</v>
          </cell>
        </row>
        <row r="5250">
          <cell r="Q5250">
            <v>2082.6696438468771</v>
          </cell>
        </row>
        <row r="5251">
          <cell r="Q5251">
            <v>-1638.9896514612576</v>
          </cell>
        </row>
        <row r="5252">
          <cell r="Q5252">
            <v>1654.4509254201032</v>
          </cell>
        </row>
        <row r="5253">
          <cell r="Q5253">
            <v>-2471.8089840046359</v>
          </cell>
        </row>
        <row r="5254">
          <cell r="Q5254">
            <v>692.56655872474687</v>
          </cell>
        </row>
        <row r="5255">
          <cell r="Q5255">
            <v>1797.2844626252188</v>
          </cell>
        </row>
        <row r="5256">
          <cell r="Q5256">
            <v>-2674.1455908570042</v>
          </cell>
        </row>
        <row r="5257">
          <cell r="Q5257">
            <v>974.50224598392651</v>
          </cell>
        </row>
        <row r="5258">
          <cell r="Q5258">
            <v>-2283.1921071219281</v>
          </cell>
        </row>
        <row r="5259">
          <cell r="Q5259">
            <v>1283.7530393216248</v>
          </cell>
        </row>
        <row r="5260">
          <cell r="Q5260">
            <v>21.739032122185336</v>
          </cell>
        </row>
        <row r="5261">
          <cell r="Q5261">
            <v>-4089.1226873282521</v>
          </cell>
        </row>
        <row r="5262">
          <cell r="Q5262">
            <v>-1739.4752026222698</v>
          </cell>
        </row>
        <row r="5263">
          <cell r="Q5263">
            <v>-220.7258020775111</v>
          </cell>
        </row>
        <row r="5264">
          <cell r="Q5264">
            <v>820.48100300853503</v>
          </cell>
        </row>
        <row r="5265">
          <cell r="Q5265">
            <v>-37.305346863759269</v>
          </cell>
        </row>
        <row r="5266">
          <cell r="Q5266">
            <v>-3747.1776475031038</v>
          </cell>
        </row>
        <row r="5267">
          <cell r="Q5267">
            <v>3777.3810187665449</v>
          </cell>
        </row>
        <row r="5268">
          <cell r="Q5268">
            <v>-3096.7911516244249</v>
          </cell>
        </row>
        <row r="5269">
          <cell r="Q5269">
            <v>-2448.3813860892678</v>
          </cell>
        </row>
        <row r="5270">
          <cell r="Q5270">
            <v>4759.9924344229184</v>
          </cell>
        </row>
        <row r="5271">
          <cell r="Q5271">
            <v>3610.029073751014</v>
          </cell>
        </row>
        <row r="5272">
          <cell r="Q5272">
            <v>211.12885076278977</v>
          </cell>
        </row>
        <row r="5273">
          <cell r="Q5273">
            <v>916.82295069530392</v>
          </cell>
        </row>
        <row r="5274">
          <cell r="Q5274">
            <v>1601.8272276532643</v>
          </cell>
        </row>
        <row r="5275">
          <cell r="Q5275">
            <v>3199.2283258734137</v>
          </cell>
        </row>
        <row r="5276">
          <cell r="Q5276">
            <v>-3623.8205530455975</v>
          </cell>
        </row>
        <row r="5277">
          <cell r="Q5277">
            <v>-2244.754370976314</v>
          </cell>
        </row>
        <row r="5278">
          <cell r="Q5278">
            <v>1387.3304529030343</v>
          </cell>
        </row>
        <row r="5279">
          <cell r="Q5279">
            <v>1613.5099571049118</v>
          </cell>
        </row>
        <row r="5280">
          <cell r="Q5280">
            <v>780.23506536775199</v>
          </cell>
        </row>
        <row r="5281">
          <cell r="Q5281">
            <v>998.2562778348497</v>
          </cell>
        </row>
        <row r="5282">
          <cell r="Q5282">
            <v>170.78542794956596</v>
          </cell>
        </row>
        <row r="5283">
          <cell r="Q5283">
            <v>1130.420486766659</v>
          </cell>
        </row>
        <row r="5284">
          <cell r="Q5284">
            <v>1253.9522289942915</v>
          </cell>
        </row>
        <row r="5285">
          <cell r="Q5285">
            <v>728.83392510103704</v>
          </cell>
        </row>
        <row r="5286">
          <cell r="Q5286">
            <v>2009.4954247458625</v>
          </cell>
        </row>
        <row r="5287">
          <cell r="Q5287">
            <v>1458.8418906520935</v>
          </cell>
        </row>
        <row r="5288">
          <cell r="Q5288">
            <v>-645.66809847636091</v>
          </cell>
        </row>
        <row r="5289">
          <cell r="Q5289">
            <v>-653.87260431712411</v>
          </cell>
        </row>
        <row r="5290">
          <cell r="Q5290">
            <v>1232.3612153920983</v>
          </cell>
        </row>
        <row r="5291">
          <cell r="Q5291">
            <v>-76.166091916331595</v>
          </cell>
        </row>
        <row r="5292">
          <cell r="Q5292">
            <v>-2846.9363158670299</v>
          </cell>
        </row>
        <row r="5293">
          <cell r="Q5293">
            <v>427.65599062475383</v>
          </cell>
        </row>
        <row r="5294">
          <cell r="Q5294">
            <v>2789.8061469856907</v>
          </cell>
        </row>
        <row r="5295">
          <cell r="Q5295">
            <v>721.13765269706482</v>
          </cell>
        </row>
        <row r="5296">
          <cell r="Q5296">
            <v>1692.9093794945143</v>
          </cell>
        </row>
        <row r="5297">
          <cell r="Q5297">
            <v>-235.84646113599916</v>
          </cell>
        </row>
        <row r="5298">
          <cell r="Q5298">
            <v>-149.50610635499862</v>
          </cell>
        </row>
        <row r="5299">
          <cell r="Q5299">
            <v>1330.9861076746217</v>
          </cell>
        </row>
        <row r="5300">
          <cell r="Q5300">
            <v>289.107943757827</v>
          </cell>
        </row>
        <row r="5301">
          <cell r="Q5301">
            <v>-3098.3655498296125</v>
          </cell>
        </row>
        <row r="5302">
          <cell r="Q5302">
            <v>-1512.3263095846701</v>
          </cell>
        </row>
        <row r="5303">
          <cell r="Q5303">
            <v>1997.1343466166188</v>
          </cell>
        </row>
        <row r="5304">
          <cell r="Q5304">
            <v>-2106.9772996643164</v>
          </cell>
        </row>
        <row r="5305">
          <cell r="Q5305">
            <v>1961.0709124307962</v>
          </cell>
        </row>
        <row r="5306">
          <cell r="Q5306">
            <v>3754.9832090676782</v>
          </cell>
        </row>
        <row r="5307">
          <cell r="Q5307">
            <v>1300.676715434003</v>
          </cell>
        </row>
        <row r="5308">
          <cell r="Q5308">
            <v>2781.4677212602114</v>
          </cell>
        </row>
        <row r="5309">
          <cell r="Q5309">
            <v>-2574.0754333254981</v>
          </cell>
        </row>
        <row r="5310">
          <cell r="Q5310">
            <v>3577.3680474625417</v>
          </cell>
        </row>
        <row r="5311">
          <cell r="Q5311">
            <v>-1963.8623682654386</v>
          </cell>
        </row>
        <row r="5312">
          <cell r="Q5312">
            <v>-3495.6095191564827</v>
          </cell>
        </row>
        <row r="5313">
          <cell r="Q5313">
            <v>-1242.3222924067504</v>
          </cell>
        </row>
        <row r="5314">
          <cell r="Q5314">
            <v>2065.2071937492465</v>
          </cell>
        </row>
        <row r="5315">
          <cell r="Q5315">
            <v>3236.9342906627489</v>
          </cell>
        </row>
        <row r="5316">
          <cell r="Q5316">
            <v>-1942.4320685341702</v>
          </cell>
        </row>
        <row r="5317">
          <cell r="Q5317">
            <v>600.52108433301487</v>
          </cell>
        </row>
        <row r="5318">
          <cell r="Q5318">
            <v>-1603.4246693431705</v>
          </cell>
        </row>
        <row r="5319">
          <cell r="Q5319">
            <v>-178.58907471116271</v>
          </cell>
        </row>
        <row r="5320">
          <cell r="Q5320">
            <v>1954.1782453837818</v>
          </cell>
        </row>
        <row r="5321">
          <cell r="Q5321">
            <v>-2509.8110419036361</v>
          </cell>
        </row>
        <row r="5322">
          <cell r="Q5322">
            <v>-2176.359872581585</v>
          </cell>
        </row>
        <row r="5323">
          <cell r="Q5323">
            <v>-309.15051966735842</v>
          </cell>
        </row>
        <row r="5324">
          <cell r="Q5324">
            <v>5469.3335488053108</v>
          </cell>
        </row>
        <row r="5325">
          <cell r="Q5325">
            <v>2585.3555514110362</v>
          </cell>
        </row>
        <row r="5326">
          <cell r="Q5326">
            <v>2977.6025689945377</v>
          </cell>
        </row>
        <row r="5327">
          <cell r="Q5327">
            <v>-1545.1764450009136</v>
          </cell>
        </row>
        <row r="5328">
          <cell r="Q5328">
            <v>1072.629771417973</v>
          </cell>
        </row>
        <row r="5329">
          <cell r="Q5329">
            <v>-132.75761330674578</v>
          </cell>
        </row>
        <row r="5330">
          <cell r="Q5330">
            <v>-1899.2522859454277</v>
          </cell>
        </row>
        <row r="5331">
          <cell r="Q5331">
            <v>1973.5758613220412</v>
          </cell>
        </row>
        <row r="5332">
          <cell r="Q5332">
            <v>-2677.9181566139846</v>
          </cell>
        </row>
        <row r="5333">
          <cell r="Q5333">
            <v>-131.59949209391442</v>
          </cell>
        </row>
        <row r="5334">
          <cell r="Q5334">
            <v>-1307.2075303804163</v>
          </cell>
        </row>
        <row r="5335">
          <cell r="Q5335">
            <v>608.00161821226459</v>
          </cell>
        </row>
        <row r="5336">
          <cell r="Q5336">
            <v>3588.2033494760085</v>
          </cell>
        </row>
        <row r="5337">
          <cell r="Q5337">
            <v>1483.4774387969433</v>
          </cell>
        </row>
        <row r="5338">
          <cell r="Q5338">
            <v>1714.603832989277</v>
          </cell>
        </row>
        <row r="5339">
          <cell r="Q5339">
            <v>-2358.988917412109</v>
          </cell>
        </row>
        <row r="5340">
          <cell r="Q5340">
            <v>2256.939448949423</v>
          </cell>
        </row>
        <row r="5341">
          <cell r="Q5341">
            <v>-854.84653868801502</v>
          </cell>
        </row>
        <row r="5342">
          <cell r="Q5342">
            <v>980.02537072971859</v>
          </cell>
        </row>
        <row r="5343">
          <cell r="Q5343">
            <v>-1111.8732413584087</v>
          </cell>
        </row>
        <row r="5344">
          <cell r="Q5344">
            <v>2349.3871267211102</v>
          </cell>
        </row>
        <row r="5345">
          <cell r="Q5345">
            <v>-433.19485163237908</v>
          </cell>
        </row>
        <row r="5346">
          <cell r="Q5346">
            <v>-673.59904664961755</v>
          </cell>
        </row>
        <row r="5347">
          <cell r="Q5347">
            <v>-1333.1495858786825</v>
          </cell>
        </row>
        <row r="5348">
          <cell r="Q5348">
            <v>6080.3562903254169</v>
          </cell>
        </row>
        <row r="5349">
          <cell r="Q5349">
            <v>2568.2486872483023</v>
          </cell>
        </row>
        <row r="5350">
          <cell r="Q5350">
            <v>-3056.7094516100919</v>
          </cell>
        </row>
        <row r="5351">
          <cell r="Q5351">
            <v>1907.0505632278298</v>
          </cell>
        </row>
        <row r="5352">
          <cell r="Q5352">
            <v>-1565.1772900447572</v>
          </cell>
        </row>
        <row r="5353">
          <cell r="Q5353">
            <v>107.06353995340658</v>
          </cell>
        </row>
        <row r="5354">
          <cell r="Q5354">
            <v>3723.8884790234215</v>
          </cell>
        </row>
        <row r="5355">
          <cell r="Q5355">
            <v>911.88701793410746</v>
          </cell>
        </row>
        <row r="5356">
          <cell r="Q5356">
            <v>-108.13382491796847</v>
          </cell>
        </row>
        <row r="5357">
          <cell r="Q5357">
            <v>-987.69375172167292</v>
          </cell>
        </row>
        <row r="5358">
          <cell r="Q5358">
            <v>-1700.9425216146449</v>
          </cell>
        </row>
        <row r="5359">
          <cell r="Q5359">
            <v>-660.48253857205577</v>
          </cell>
        </row>
        <row r="5360">
          <cell r="Q5360">
            <v>-2009.8887837095579</v>
          </cell>
        </row>
        <row r="5361">
          <cell r="Q5361">
            <v>428.51835529730931</v>
          </cell>
        </row>
        <row r="5362">
          <cell r="Q5362">
            <v>-2611.7819279258856</v>
          </cell>
        </row>
        <row r="5363">
          <cell r="Q5363">
            <v>-227.39608750556334</v>
          </cell>
        </row>
        <row r="5364">
          <cell r="Q5364">
            <v>-301.85121059377428</v>
          </cell>
        </row>
        <row r="5365">
          <cell r="Q5365">
            <v>1832.5072647731181</v>
          </cell>
        </row>
        <row r="5366">
          <cell r="Q5366">
            <v>-1751.723938518727</v>
          </cell>
        </row>
        <row r="5367">
          <cell r="Q5367">
            <v>1856.3204055257431</v>
          </cell>
        </row>
        <row r="5368">
          <cell r="Q5368">
            <v>1738.4534007887223</v>
          </cell>
        </row>
        <row r="5369">
          <cell r="Q5369">
            <v>2592.2455829687638</v>
          </cell>
        </row>
        <row r="5370">
          <cell r="Q5370">
            <v>1801.2134986475373</v>
          </cell>
        </row>
        <row r="5371">
          <cell r="Q5371">
            <v>1720.5399481243887</v>
          </cell>
        </row>
        <row r="5372">
          <cell r="Q5372">
            <v>-1692.7131634803834</v>
          </cell>
        </row>
        <row r="5373">
          <cell r="Q5373">
            <v>1978.8101527771069</v>
          </cell>
        </row>
        <row r="5374">
          <cell r="Q5374">
            <v>-4088.8611078150088</v>
          </cell>
        </row>
        <row r="5375">
          <cell r="Q5375">
            <v>-2875.888630340713</v>
          </cell>
        </row>
        <row r="5376">
          <cell r="Q5376">
            <v>-1568.523941742229</v>
          </cell>
        </row>
        <row r="5377">
          <cell r="Q5377">
            <v>1432.4640389131871</v>
          </cell>
        </row>
        <row r="5378">
          <cell r="Q5378">
            <v>-2168.8007237890138</v>
          </cell>
        </row>
        <row r="5379">
          <cell r="Q5379">
            <v>2484.9484969865225</v>
          </cell>
        </row>
        <row r="5380">
          <cell r="Q5380">
            <v>245.14729173005631</v>
          </cell>
        </row>
        <row r="5381">
          <cell r="Q5381">
            <v>1006.2949341164278</v>
          </cell>
        </row>
        <row r="5382">
          <cell r="Q5382">
            <v>408.6075802603242</v>
          </cell>
        </row>
        <row r="5383">
          <cell r="Q5383">
            <v>639.89889269675712</v>
          </cell>
        </row>
        <row r="5384">
          <cell r="Q5384">
            <v>228.14000638145447</v>
          </cell>
        </row>
        <row r="5385">
          <cell r="Q5385">
            <v>-1229.3919583639301</v>
          </cell>
        </row>
        <row r="5386">
          <cell r="Q5386">
            <v>-2249.8930721744914</v>
          </cell>
        </row>
        <row r="5387">
          <cell r="Q5387">
            <v>344.06410918722031</v>
          </cell>
        </row>
        <row r="5388">
          <cell r="Q5388">
            <v>1397.1951319075188</v>
          </cell>
        </row>
        <row r="5389">
          <cell r="Q5389">
            <v>-1596.7487704436792</v>
          </cell>
        </row>
        <row r="5390">
          <cell r="Q5390">
            <v>-617.45579367847699</v>
          </cell>
        </row>
        <row r="5391">
          <cell r="Q5391">
            <v>-561.95245966329071</v>
          </cell>
        </row>
        <row r="5392">
          <cell r="Q5392">
            <v>998.53455230218651</v>
          </cell>
        </row>
        <row r="5393">
          <cell r="Q5393">
            <v>905.57298455098498</v>
          </cell>
        </row>
        <row r="5394">
          <cell r="Q5394">
            <v>-620.26093333950189</v>
          </cell>
        </row>
        <row r="5395">
          <cell r="Q5395">
            <v>-1756.1950118779203</v>
          </cell>
        </row>
        <row r="5396">
          <cell r="Q5396">
            <v>-393.58436850954848</v>
          </cell>
        </row>
        <row r="5397">
          <cell r="Q5397">
            <v>1232.799972624686</v>
          </cell>
        </row>
        <row r="5398">
          <cell r="Q5398">
            <v>1484.9056257996112</v>
          </cell>
        </row>
        <row r="5399">
          <cell r="Q5399">
            <v>-225.19440841603267</v>
          </cell>
        </row>
        <row r="5400">
          <cell r="Q5400">
            <v>-1566.8645478820547</v>
          </cell>
        </row>
        <row r="5401">
          <cell r="Q5401">
            <v>-4474.9362268682789</v>
          </cell>
        </row>
        <row r="5402">
          <cell r="Q5402">
            <v>30.705897010742945</v>
          </cell>
        </row>
        <row r="5403">
          <cell r="Q5403">
            <v>-1879.6447786538613</v>
          </cell>
        </row>
        <row r="5404">
          <cell r="Q5404">
            <v>4220.6553675680607</v>
          </cell>
        </row>
        <row r="5405">
          <cell r="Q5405">
            <v>-250.60556567655118</v>
          </cell>
        </row>
        <row r="5406">
          <cell r="Q5406">
            <v>-380.95799100713833</v>
          </cell>
        </row>
        <row r="5407">
          <cell r="Q5407">
            <v>2337.3974852535875</v>
          </cell>
        </row>
        <row r="5408">
          <cell r="Q5408">
            <v>1412.4162916317773</v>
          </cell>
        </row>
        <row r="5409">
          <cell r="Q5409">
            <v>769.26270652802646</v>
          </cell>
        </row>
        <row r="5410">
          <cell r="Q5410">
            <v>-796.87825371978465</v>
          </cell>
        </row>
        <row r="5411">
          <cell r="Q5411">
            <v>1321.3249063005178</v>
          </cell>
        </row>
        <row r="5412">
          <cell r="Q5412">
            <v>2834.9562958350243</v>
          </cell>
        </row>
        <row r="5413">
          <cell r="Q5413">
            <v>-465.30569872359121</v>
          </cell>
        </row>
        <row r="5414">
          <cell r="Q5414">
            <v>3985.0585400589757</v>
          </cell>
        </row>
        <row r="5415">
          <cell r="Q5415">
            <v>2734.4646143025916</v>
          </cell>
        </row>
        <row r="5416">
          <cell r="Q5416">
            <v>-3838.3939311331351</v>
          </cell>
        </row>
        <row r="5417">
          <cell r="Q5417">
            <v>787.04281366292594</v>
          </cell>
        </row>
        <row r="5418">
          <cell r="Q5418">
            <v>-1519.0293431352798</v>
          </cell>
        </row>
        <row r="5419">
          <cell r="Q5419">
            <v>-3744.1218467328081</v>
          </cell>
        </row>
        <row r="5420">
          <cell r="Q5420">
            <v>462.82818806098828</v>
          </cell>
        </row>
        <row r="5421">
          <cell r="Q5421">
            <v>5796.093811692077</v>
          </cell>
        </row>
        <row r="5422">
          <cell r="Q5422">
            <v>-328.15367425931544</v>
          </cell>
        </row>
        <row r="5423">
          <cell r="Q5423">
            <v>529.90778213361796</v>
          </cell>
        </row>
        <row r="5424">
          <cell r="Q5424">
            <v>-2451.3066906171748</v>
          </cell>
        </row>
        <row r="5425">
          <cell r="Q5425">
            <v>1567.188231907063</v>
          </cell>
        </row>
        <row r="5426">
          <cell r="Q5426">
            <v>-630.6533055458292</v>
          </cell>
        </row>
        <row r="5427">
          <cell r="Q5427">
            <v>-2324.3915503568296</v>
          </cell>
        </row>
        <row r="5428">
          <cell r="Q5428">
            <v>-445.24246538700987</v>
          </cell>
        </row>
        <row r="5429">
          <cell r="Q5429">
            <v>705.17576074764202</v>
          </cell>
        </row>
        <row r="5430">
          <cell r="Q5430">
            <v>416.23885952689108</v>
          </cell>
        </row>
        <row r="5431">
          <cell r="Q5431">
            <v>-1746.431482999157</v>
          </cell>
        </row>
        <row r="5432">
          <cell r="Q5432">
            <v>3817.5161698301004</v>
          </cell>
        </row>
        <row r="5433">
          <cell r="Q5433">
            <v>-2812.3925769075181</v>
          </cell>
        </row>
        <row r="5434">
          <cell r="Q5434">
            <v>1764.5590971270565</v>
          </cell>
        </row>
        <row r="5435">
          <cell r="Q5435">
            <v>1158.8394341113626</v>
          </cell>
        </row>
        <row r="5436">
          <cell r="Q5436">
            <v>-1577.4386222412263</v>
          </cell>
        </row>
        <row r="5437">
          <cell r="Q5437">
            <v>282.92538988147248</v>
          </cell>
        </row>
        <row r="5438">
          <cell r="Q5438">
            <v>-230.5506556383761</v>
          </cell>
        </row>
        <row r="5439">
          <cell r="Q5439">
            <v>1212.9701606092476</v>
          </cell>
        </row>
        <row r="5440">
          <cell r="Q5440">
            <v>1603.9941046631836</v>
          </cell>
        </row>
        <row r="5441">
          <cell r="Q5441">
            <v>-226.62797196138234</v>
          </cell>
        </row>
        <row r="5442">
          <cell r="Q5442">
            <v>348.95234231297701</v>
          </cell>
        </row>
        <row r="5443">
          <cell r="Q5443">
            <v>-2674.0110499579991</v>
          </cell>
        </row>
        <row r="5444">
          <cell r="Q5444">
            <v>4286.1997870672703</v>
          </cell>
        </row>
        <row r="5445">
          <cell r="Q5445">
            <v>738.94612157179915</v>
          </cell>
        </row>
        <row r="5446">
          <cell r="Q5446">
            <v>313.15172349168569</v>
          </cell>
        </row>
        <row r="5447">
          <cell r="Q5447">
            <v>5547.9908407133189</v>
          </cell>
        </row>
        <row r="5448">
          <cell r="Q5448">
            <v>-1102.764565194848</v>
          </cell>
        </row>
        <row r="5449">
          <cell r="Q5449">
            <v>2188.1520233341189</v>
          </cell>
        </row>
        <row r="5450">
          <cell r="Q5450">
            <v>-103.63061777042594</v>
          </cell>
        </row>
        <row r="5451">
          <cell r="Q5451">
            <v>-1499.1971167214872</v>
          </cell>
        </row>
        <row r="5452">
          <cell r="Q5452">
            <v>308.09889517236894</v>
          </cell>
        </row>
        <row r="5453">
          <cell r="Q5453">
            <v>1424.1564487242561</v>
          </cell>
        </row>
        <row r="5454">
          <cell r="Q5454">
            <v>-252.76303364850975</v>
          </cell>
        </row>
        <row r="5455">
          <cell r="Q5455">
            <v>2591.7896030503161</v>
          </cell>
        </row>
        <row r="5456">
          <cell r="Q5456">
            <v>305.79062726707838</v>
          </cell>
        </row>
        <row r="5457">
          <cell r="Q5457">
            <v>33.764471367538363</v>
          </cell>
        </row>
        <row r="5458">
          <cell r="Q5458">
            <v>-2230.6557425177407</v>
          </cell>
        </row>
        <row r="5459">
          <cell r="Q5459">
            <v>-409.61100203965117</v>
          </cell>
        </row>
        <row r="5460">
          <cell r="Q5460">
            <v>1610.6750931536042</v>
          </cell>
        </row>
        <row r="5461">
          <cell r="Q5461">
            <v>955.62703166185247</v>
          </cell>
        </row>
        <row r="5462">
          <cell r="Q5462">
            <v>529.36788622182371</v>
          </cell>
        </row>
        <row r="5463">
          <cell r="Q5463">
            <v>-1229.8434532287554</v>
          </cell>
        </row>
        <row r="5464">
          <cell r="Q5464">
            <v>-2185.608072985493</v>
          </cell>
        </row>
        <row r="5465">
          <cell r="Q5465">
            <v>2370.8697920425611</v>
          </cell>
        </row>
        <row r="5466">
          <cell r="Q5466">
            <v>-2608.9163693646428</v>
          </cell>
        </row>
        <row r="5467">
          <cell r="Q5467">
            <v>4572.8780819184949</v>
          </cell>
        </row>
        <row r="5468">
          <cell r="Q5468">
            <v>5008.7405402996383</v>
          </cell>
        </row>
        <row r="5469">
          <cell r="Q5469">
            <v>-2090.1623408573528</v>
          </cell>
        </row>
        <row r="5470">
          <cell r="Q5470">
            <v>21.720931702543908</v>
          </cell>
        </row>
        <row r="5471">
          <cell r="Q5471">
            <v>-683.12614211344498</v>
          </cell>
        </row>
        <row r="5472">
          <cell r="Q5472">
            <v>-462.41404451972488</v>
          </cell>
        </row>
        <row r="5473">
          <cell r="Q5473">
            <v>1759.5963219138569</v>
          </cell>
        </row>
        <row r="5474">
          <cell r="Q5474">
            <v>-1950.1524434414503</v>
          </cell>
        </row>
        <row r="5475">
          <cell r="Q5475">
            <v>-4433.7795792979186</v>
          </cell>
        </row>
        <row r="5476">
          <cell r="Q5476">
            <v>-657.79758995320071</v>
          </cell>
        </row>
        <row r="5477">
          <cell r="Q5477">
            <v>4484.8408236107107</v>
          </cell>
        </row>
        <row r="5478">
          <cell r="Q5478">
            <v>-1329.7976456803497</v>
          </cell>
        </row>
        <row r="5479">
          <cell r="Q5479">
            <v>-3293.5790922378524</v>
          </cell>
        </row>
        <row r="5480">
          <cell r="Q5480">
            <v>-3627.6426703434008</v>
          </cell>
        </row>
        <row r="5481">
          <cell r="Q5481">
            <v>1743.7954522634277</v>
          </cell>
        </row>
        <row r="5482">
          <cell r="Q5482">
            <v>-2816.0593840981483</v>
          </cell>
        </row>
        <row r="5483">
          <cell r="Q5483">
            <v>-306.74658952236774</v>
          </cell>
        </row>
        <row r="5484">
          <cell r="Q5484">
            <v>401.1447944953299</v>
          </cell>
        </row>
        <row r="5485">
          <cell r="Q5485">
            <v>-1424.4310765856233</v>
          </cell>
        </row>
        <row r="5486">
          <cell r="Q5486">
            <v>2905.1946089582129</v>
          </cell>
        </row>
        <row r="5487">
          <cell r="Q5487">
            <v>-119.41516389273994</v>
          </cell>
        </row>
        <row r="5488">
          <cell r="Q5488">
            <v>-514.94150742054126</v>
          </cell>
        </row>
        <row r="5489">
          <cell r="Q5489">
            <v>718.64367655529179</v>
          </cell>
        </row>
        <row r="5490">
          <cell r="Q5490">
            <v>-188.30385560372298</v>
          </cell>
        </row>
        <row r="5491">
          <cell r="Q5491">
            <v>-3249.9409284619524</v>
          </cell>
        </row>
        <row r="5492">
          <cell r="Q5492">
            <v>-3364.5922339512208</v>
          </cell>
        </row>
        <row r="5493">
          <cell r="Q5493">
            <v>-1934.95993855559</v>
          </cell>
        </row>
        <row r="5494">
          <cell r="Q5494">
            <v>-713.02443620966642</v>
          </cell>
        </row>
        <row r="5495">
          <cell r="Q5495">
            <v>3389.3689602615536</v>
          </cell>
        </row>
        <row r="5496">
          <cell r="Q5496">
            <v>-1744.1731750967708</v>
          </cell>
        </row>
        <row r="5497">
          <cell r="Q5497">
            <v>1268.439921194921</v>
          </cell>
        </row>
        <row r="5498">
          <cell r="Q5498">
            <v>561.28936167636346</v>
          </cell>
        </row>
        <row r="5499">
          <cell r="Q5499">
            <v>-2967.0326211500969</v>
          </cell>
        </row>
        <row r="5500">
          <cell r="Q5500">
            <v>-554.00694244381998</v>
          </cell>
        </row>
        <row r="5501">
          <cell r="Q5501">
            <v>-686.11339463116497</v>
          </cell>
        </row>
        <row r="5502">
          <cell r="Q5502">
            <v>205.27475527765594</v>
          </cell>
        </row>
        <row r="5503">
          <cell r="Q5503">
            <v>2066.4383741477636</v>
          </cell>
        </row>
        <row r="5504">
          <cell r="Q5504">
            <v>3188.1165889241611</v>
          </cell>
        </row>
        <row r="5505">
          <cell r="Q5505">
            <v>2314.2583252325908</v>
          </cell>
        </row>
        <row r="5506">
          <cell r="Q5506">
            <v>-130.05590327918236</v>
          </cell>
        </row>
        <row r="5507">
          <cell r="Q5507">
            <v>-2232.7638221263032</v>
          </cell>
        </row>
        <row r="5508">
          <cell r="Q5508">
            <v>4033.7793103656559</v>
          </cell>
        </row>
        <row r="5509">
          <cell r="Q5509">
            <v>349.59891664041601</v>
          </cell>
        </row>
        <row r="5510">
          <cell r="Q5510">
            <v>1145.8365414589173</v>
          </cell>
        </row>
        <row r="5511">
          <cell r="Q5511">
            <v>540.89328309875305</v>
          </cell>
        </row>
        <row r="5512">
          <cell r="Q5512">
            <v>-977.27224456933777</v>
          </cell>
        </row>
        <row r="5513">
          <cell r="Q5513">
            <v>-893.19152275957754</v>
          </cell>
        </row>
        <row r="5514">
          <cell r="Q5514">
            <v>3589.2449665177373</v>
          </cell>
        </row>
        <row r="5515">
          <cell r="Q5515">
            <v>2371.4810856719555</v>
          </cell>
        </row>
        <row r="5516">
          <cell r="Q5516">
            <v>2534.1023752788788</v>
          </cell>
        </row>
        <row r="5517">
          <cell r="Q5517">
            <v>-3235.8061829748353</v>
          </cell>
        </row>
        <row r="5518">
          <cell r="Q5518">
            <v>-2671.1428879553673</v>
          </cell>
        </row>
        <row r="5519">
          <cell r="Q5519">
            <v>-2480.2034669417721</v>
          </cell>
        </row>
        <row r="5520">
          <cell r="Q5520">
            <v>13.883586798403257</v>
          </cell>
        </row>
        <row r="5521">
          <cell r="Q5521">
            <v>1091.1807616229542</v>
          </cell>
        </row>
        <row r="5522">
          <cell r="Q5522">
            <v>952.67504109413812</v>
          </cell>
        </row>
        <row r="5523">
          <cell r="Q5523">
            <v>2837.6654861341544</v>
          </cell>
        </row>
        <row r="5524">
          <cell r="Q5524">
            <v>3256.6699601890928</v>
          </cell>
        </row>
        <row r="5525">
          <cell r="Q5525">
            <v>-1544.3032649501167</v>
          </cell>
        </row>
        <row r="5526">
          <cell r="Q5526">
            <v>2320.417154518716</v>
          </cell>
        </row>
        <row r="5527">
          <cell r="Q5527">
            <v>-3178.5836336170005</v>
          </cell>
        </row>
        <row r="5528">
          <cell r="Q5528">
            <v>-875.37162239928648</v>
          </cell>
        </row>
        <row r="5529">
          <cell r="Q5529">
            <v>404.77018874246698</v>
          </cell>
        </row>
        <row r="5530">
          <cell r="Q5530">
            <v>4521.1365706312554</v>
          </cell>
        </row>
        <row r="5531">
          <cell r="Q5531">
            <v>812.63587591597138</v>
          </cell>
        </row>
        <row r="5532">
          <cell r="Q5532">
            <v>5522.3667521596353</v>
          </cell>
        </row>
        <row r="5533">
          <cell r="Q5533">
            <v>-2152.6428603496415</v>
          </cell>
        </row>
        <row r="5534">
          <cell r="Q5534">
            <v>-831.48682557303209</v>
          </cell>
        </row>
        <row r="5535">
          <cell r="Q5535">
            <v>-2096.0497130554577</v>
          </cell>
        </row>
        <row r="5536">
          <cell r="Q5536">
            <v>209.88273683735611</v>
          </cell>
        </row>
        <row r="5537">
          <cell r="Q5537">
            <v>481.87835913537083</v>
          </cell>
        </row>
        <row r="5538">
          <cell r="Q5538">
            <v>-983.83534775854787</v>
          </cell>
        </row>
        <row r="5539">
          <cell r="Q5539">
            <v>586.87907555409959</v>
          </cell>
        </row>
        <row r="5540">
          <cell r="Q5540">
            <v>3686.009257210133</v>
          </cell>
        </row>
        <row r="5541">
          <cell r="Q5541">
            <v>1342.5029936477022</v>
          </cell>
        </row>
        <row r="5542">
          <cell r="Q5542">
            <v>1667.1048067400236</v>
          </cell>
        </row>
        <row r="5543">
          <cell r="Q5543">
            <v>1473.6841520588778</v>
          </cell>
        </row>
        <row r="5544">
          <cell r="Q5544">
            <v>968.5957654466788</v>
          </cell>
        </row>
        <row r="5545">
          <cell r="Q5545">
            <v>-444.21346099961414</v>
          </cell>
        </row>
        <row r="5546">
          <cell r="Q5546">
            <v>-553.84502362694116</v>
          </cell>
        </row>
        <row r="5547">
          <cell r="Q5547">
            <v>-788.19731268700184</v>
          </cell>
        </row>
        <row r="5548">
          <cell r="Q5548">
            <v>2368.0832841258493</v>
          </cell>
        </row>
        <row r="5549">
          <cell r="Q5549">
            <v>772.55094987495704</v>
          </cell>
        </row>
        <row r="5550">
          <cell r="Q5550">
            <v>355.43999345428699</v>
          </cell>
        </row>
        <row r="5551">
          <cell r="Q5551">
            <v>2600.9227161231756</v>
          </cell>
        </row>
        <row r="5552">
          <cell r="Q5552">
            <v>4487.5841005333423</v>
          </cell>
        </row>
        <row r="5553">
          <cell r="Q5553">
            <v>975.95003535794763</v>
          </cell>
        </row>
        <row r="5554">
          <cell r="Q5554">
            <v>-574.17044487338808</v>
          </cell>
        </row>
        <row r="5555">
          <cell r="Q5555">
            <v>3824.1695075834532</v>
          </cell>
        </row>
        <row r="5556">
          <cell r="Q5556">
            <v>2493.9003502484625</v>
          </cell>
        </row>
        <row r="5557">
          <cell r="Q5557">
            <v>-274.87995707041381</v>
          </cell>
        </row>
        <row r="5558">
          <cell r="Q5558">
            <v>2970.5202715117857</v>
          </cell>
        </row>
        <row r="5559">
          <cell r="Q5559">
            <v>155.39779406656777</v>
          </cell>
        </row>
        <row r="5560">
          <cell r="Q5560">
            <v>-933.8322771770836</v>
          </cell>
        </row>
        <row r="5561">
          <cell r="Q5561">
            <v>-1056.886857037508</v>
          </cell>
        </row>
        <row r="5562">
          <cell r="Q5562">
            <v>2924.3848762596799</v>
          </cell>
        </row>
        <row r="5563">
          <cell r="Q5563">
            <v>-1069.2113716341892</v>
          </cell>
        </row>
        <row r="5564">
          <cell r="Q5564">
            <v>754.45267109605743</v>
          </cell>
        </row>
        <row r="5565">
          <cell r="Q5565">
            <v>1056.9433406205335</v>
          </cell>
        </row>
        <row r="5566">
          <cell r="Q5566">
            <v>2987.9311795492931</v>
          </cell>
        </row>
        <row r="5567">
          <cell r="Q5567">
            <v>-643.1740570926072</v>
          </cell>
        </row>
        <row r="5568">
          <cell r="Q5568">
            <v>-2878.8120672904038</v>
          </cell>
        </row>
        <row r="5569">
          <cell r="Q5569">
            <v>491.75091429400675</v>
          </cell>
        </row>
        <row r="5570">
          <cell r="Q5570">
            <v>-4139.7377783185384</v>
          </cell>
        </row>
        <row r="5571">
          <cell r="Q5571">
            <v>69.732302745172831</v>
          </cell>
        </row>
        <row r="5572">
          <cell r="Q5572">
            <v>-3673.9642821157713</v>
          </cell>
        </row>
        <row r="5573">
          <cell r="Q5573">
            <v>1590.6604643879371</v>
          </cell>
        </row>
        <row r="5574">
          <cell r="Q5574">
            <v>1245.9143629046719</v>
          </cell>
        </row>
        <row r="5575">
          <cell r="Q5575">
            <v>302.48671175011498</v>
          </cell>
        </row>
        <row r="5576">
          <cell r="Q5576">
            <v>1011.4477350206653</v>
          </cell>
        </row>
        <row r="5577">
          <cell r="Q5577">
            <v>2480.1588407321956</v>
          </cell>
        </row>
        <row r="5578">
          <cell r="Q5578">
            <v>-1279.4308773797297</v>
          </cell>
        </row>
        <row r="5579">
          <cell r="Q5579">
            <v>1581.8471240896376</v>
          </cell>
        </row>
        <row r="5580">
          <cell r="Q5580">
            <v>-44.33427174965243</v>
          </cell>
        </row>
        <row r="5581">
          <cell r="Q5581">
            <v>-359.12011361699189</v>
          </cell>
        </row>
        <row r="5582">
          <cell r="Q5582">
            <v>151.29907427710918</v>
          </cell>
        </row>
        <row r="5583">
          <cell r="Q5583">
            <v>-4209.4097106989166</v>
          </cell>
        </row>
        <row r="5584">
          <cell r="Q5584">
            <v>413.23800307159354</v>
          </cell>
        </row>
        <row r="5585">
          <cell r="Q5585">
            <v>-568.3671740521329</v>
          </cell>
        </row>
        <row r="5586">
          <cell r="Q5586">
            <v>-1202.4594202607866</v>
          </cell>
        </row>
        <row r="5587">
          <cell r="Q5587">
            <v>2227.0002620951486</v>
          </cell>
        </row>
        <row r="5588">
          <cell r="Q5588">
            <v>812.8301823688505</v>
          </cell>
        </row>
        <row r="5589">
          <cell r="Q5589">
            <v>-476.23276756715524</v>
          </cell>
        </row>
        <row r="5590">
          <cell r="Q5590">
            <v>1120.2134251698963</v>
          </cell>
        </row>
        <row r="5591">
          <cell r="Q5591">
            <v>2218.7016824423749</v>
          </cell>
        </row>
        <row r="5592">
          <cell r="Q5592">
            <v>744.81264044943964</v>
          </cell>
        </row>
        <row r="5593">
          <cell r="Q5593">
            <v>675.70248966201143</v>
          </cell>
        </row>
        <row r="5594">
          <cell r="Q5594">
            <v>2333.7145503681395</v>
          </cell>
        </row>
        <row r="5595">
          <cell r="Q5595">
            <v>-3275.8591481624594</v>
          </cell>
        </row>
        <row r="5596">
          <cell r="Q5596">
            <v>-792.29281566229361</v>
          </cell>
        </row>
        <row r="5597">
          <cell r="Q5597">
            <v>1781.2291039056843</v>
          </cell>
        </row>
        <row r="5598">
          <cell r="Q5598">
            <v>3696.3047297170474</v>
          </cell>
        </row>
        <row r="5599">
          <cell r="Q5599">
            <v>3090.9139121392536</v>
          </cell>
        </row>
        <row r="5600">
          <cell r="Q5600">
            <v>17.974281190819852</v>
          </cell>
        </row>
        <row r="5601">
          <cell r="Q5601">
            <v>51.431689783650938</v>
          </cell>
        </row>
        <row r="5602">
          <cell r="Q5602">
            <v>-256.8606343996783</v>
          </cell>
        </row>
        <row r="5603">
          <cell r="Q5603">
            <v>3612.5741612038596</v>
          </cell>
        </row>
        <row r="5604">
          <cell r="Q5604">
            <v>2910.9326455072151</v>
          </cell>
        </row>
        <row r="5605">
          <cell r="Q5605">
            <v>1446.8017788253239</v>
          </cell>
        </row>
        <row r="5606">
          <cell r="Q5606">
            <v>-419.69003862300809</v>
          </cell>
        </row>
        <row r="5607">
          <cell r="Q5607">
            <v>-717.48873014388209</v>
          </cell>
        </row>
        <row r="5608">
          <cell r="Q5608">
            <v>-870.92955109281661</v>
          </cell>
        </row>
        <row r="5609">
          <cell r="Q5609">
            <v>3546.3356631487554</v>
          </cell>
        </row>
        <row r="5610">
          <cell r="Q5610">
            <v>-670.7314366762414</v>
          </cell>
        </row>
        <row r="5611">
          <cell r="Q5611">
            <v>2736.3545357984763</v>
          </cell>
        </row>
        <row r="5612">
          <cell r="Q5612">
            <v>5602.2331466567884</v>
          </cell>
        </row>
        <row r="5613">
          <cell r="Q5613">
            <v>-1530.7204777712018</v>
          </cell>
        </row>
        <row r="5614">
          <cell r="Q5614">
            <v>4673.4544249034861</v>
          </cell>
        </row>
        <row r="5615">
          <cell r="Q5615">
            <v>-471.58317062162627</v>
          </cell>
        </row>
        <row r="5616">
          <cell r="Q5616">
            <v>-2539.0491560138862</v>
          </cell>
        </row>
        <row r="5617">
          <cell r="Q5617">
            <v>1258.1397114300285</v>
          </cell>
        </row>
        <row r="5618">
          <cell r="Q5618">
            <v>1053.4458707412784</v>
          </cell>
        </row>
        <row r="5619">
          <cell r="Q5619">
            <v>-1396.4293698765248</v>
          </cell>
        </row>
        <row r="5620">
          <cell r="Q5620">
            <v>2240.0794569434638</v>
          </cell>
        </row>
        <row r="5621">
          <cell r="Q5621">
            <v>300.04536521980782</v>
          </cell>
        </row>
        <row r="5622">
          <cell r="Q5622">
            <v>-2832.1655055195283</v>
          </cell>
        </row>
        <row r="5623">
          <cell r="Q5623">
            <v>2101.0017052357002</v>
          </cell>
        </row>
        <row r="5624">
          <cell r="Q5624">
            <v>1882.4198082388552</v>
          </cell>
        </row>
        <row r="5625">
          <cell r="Q5625">
            <v>-1104.8969947460992</v>
          </cell>
        </row>
        <row r="5626">
          <cell r="Q5626">
            <v>2876.0000628699177</v>
          </cell>
        </row>
        <row r="5627">
          <cell r="Q5627">
            <v>2992.9659360229425</v>
          </cell>
        </row>
        <row r="5628">
          <cell r="Q5628">
            <v>2282.0629057382589</v>
          </cell>
        </row>
        <row r="5629">
          <cell r="Q5629">
            <v>-1679.305112298093</v>
          </cell>
        </row>
        <row r="5630">
          <cell r="Q5630">
            <v>1290.1361717000686</v>
          </cell>
        </row>
        <row r="5631">
          <cell r="Q5631">
            <v>3146.486373046725</v>
          </cell>
        </row>
        <row r="5632">
          <cell r="Q5632">
            <v>-1018.37113959965</v>
          </cell>
        </row>
        <row r="5633">
          <cell r="Q5633">
            <v>3031.4398340268253</v>
          </cell>
        </row>
        <row r="5634">
          <cell r="Q5634">
            <v>2251.4539917522447</v>
          </cell>
        </row>
        <row r="5635">
          <cell r="Q5635">
            <v>-1219.2679224025101</v>
          </cell>
        </row>
        <row r="5636">
          <cell r="Q5636">
            <v>1782.3828427184437</v>
          </cell>
        </row>
        <row r="5637">
          <cell r="Q5637">
            <v>299.0739826078061</v>
          </cell>
        </row>
        <row r="5638">
          <cell r="Q5638">
            <v>-304.60312737626128</v>
          </cell>
        </row>
        <row r="5639">
          <cell r="Q5639">
            <v>3398.2825739309692</v>
          </cell>
        </row>
        <row r="5640">
          <cell r="Q5640">
            <v>-288.46524787245386</v>
          </cell>
        </row>
        <row r="5641">
          <cell r="Q5641">
            <v>-663.23010824274911</v>
          </cell>
        </row>
        <row r="5642">
          <cell r="Q5642">
            <v>370.96215576822317</v>
          </cell>
        </row>
        <row r="5643">
          <cell r="Q5643">
            <v>-2451.9998631992439</v>
          </cell>
        </row>
        <row r="5644">
          <cell r="Q5644">
            <v>2819.9596371985617</v>
          </cell>
        </row>
        <row r="5645">
          <cell r="Q5645">
            <v>-2354.823298499869</v>
          </cell>
        </row>
        <row r="5646">
          <cell r="Q5646">
            <v>4804.925889197606</v>
          </cell>
        </row>
        <row r="5647">
          <cell r="Q5647">
            <v>1613.179627833953</v>
          </cell>
        </row>
        <row r="5648">
          <cell r="Q5648">
            <v>-1666.189298724182</v>
          </cell>
        </row>
        <row r="5649">
          <cell r="Q5649">
            <v>747.23402374899001</v>
          </cell>
        </row>
        <row r="5650">
          <cell r="Q5650">
            <v>664.65347225923006</v>
          </cell>
        </row>
        <row r="5651">
          <cell r="Q5651">
            <v>198.29219249965226</v>
          </cell>
        </row>
        <row r="5652">
          <cell r="Q5652">
            <v>-3580.0048442695911</v>
          </cell>
        </row>
        <row r="5653">
          <cell r="Q5653">
            <v>18.74327529857959</v>
          </cell>
        </row>
        <row r="5654">
          <cell r="Q5654">
            <v>1068.3561181058383</v>
          </cell>
        </row>
        <row r="5655">
          <cell r="Q5655">
            <v>422.31489768848223</v>
          </cell>
        </row>
        <row r="5656">
          <cell r="Q5656">
            <v>605.6972498527748</v>
          </cell>
        </row>
        <row r="5657">
          <cell r="Q5657">
            <v>-1638.1996803337461</v>
          </cell>
        </row>
        <row r="5658">
          <cell r="Q5658">
            <v>607.38931842619286</v>
          </cell>
        </row>
        <row r="5659">
          <cell r="Q5659">
            <v>2775.9221168821696</v>
          </cell>
        </row>
        <row r="5660">
          <cell r="Q5660">
            <v>1449.2343882693806</v>
          </cell>
        </row>
        <row r="5661">
          <cell r="Q5661">
            <v>288.60295073719715</v>
          </cell>
        </row>
        <row r="5662">
          <cell r="Q5662">
            <v>2429.8700351712159</v>
          </cell>
        </row>
        <row r="5663">
          <cell r="Q5663">
            <v>2691.7515577150511</v>
          </cell>
        </row>
        <row r="5664">
          <cell r="Q5664">
            <v>-480.29632484141638</v>
          </cell>
        </row>
        <row r="5665">
          <cell r="Q5665">
            <v>1412.631981158416</v>
          </cell>
        </row>
        <row r="5666">
          <cell r="Q5666">
            <v>2766.4246825077021</v>
          </cell>
        </row>
        <row r="5667">
          <cell r="Q5667">
            <v>2285.6322602177424</v>
          </cell>
        </row>
        <row r="5668">
          <cell r="Q5668">
            <v>-224.57108351494134</v>
          </cell>
        </row>
        <row r="5669">
          <cell r="Q5669">
            <v>1076.2025496987847</v>
          </cell>
        </row>
        <row r="5670">
          <cell r="Q5670">
            <v>2341.8170717336475</v>
          </cell>
        </row>
        <row r="5671">
          <cell r="Q5671">
            <v>-153.54455229076024</v>
          </cell>
        </row>
        <row r="5672">
          <cell r="Q5672">
            <v>2063.1947327888502</v>
          </cell>
        </row>
        <row r="5673">
          <cell r="Q5673">
            <v>500.89126447877089</v>
          </cell>
        </row>
        <row r="5674">
          <cell r="Q5674">
            <v>2862.5938905895478</v>
          </cell>
        </row>
        <row r="5675">
          <cell r="Q5675">
            <v>-1571.3777031792183</v>
          </cell>
        </row>
        <row r="5676">
          <cell r="Q5676">
            <v>-1352.5173681626811</v>
          </cell>
        </row>
        <row r="5677">
          <cell r="Q5677">
            <v>4110.3735163466345</v>
          </cell>
        </row>
        <row r="5678">
          <cell r="Q5678">
            <v>938.08645233223024</v>
          </cell>
        </row>
        <row r="5679">
          <cell r="Q5679">
            <v>811.97915099848501</v>
          </cell>
        </row>
        <row r="5680">
          <cell r="Q5680">
            <v>1845.6337110870693</v>
          </cell>
        </row>
        <row r="5681">
          <cell r="Q5681">
            <v>-1674.0611442930092</v>
          </cell>
        </row>
        <row r="5682">
          <cell r="Q5682">
            <v>-687.65076360277521</v>
          </cell>
        </row>
        <row r="5683">
          <cell r="Q5683">
            <v>1716.2896624308758</v>
          </cell>
        </row>
        <row r="5684">
          <cell r="Q5684">
            <v>-2417.7856894270794</v>
          </cell>
        </row>
        <row r="5685">
          <cell r="Q5685">
            <v>3599.3650096677516</v>
          </cell>
        </row>
        <row r="5686">
          <cell r="Q5686">
            <v>1662.1743383916842</v>
          </cell>
        </row>
        <row r="5687">
          <cell r="Q5687">
            <v>-446.88415692371296</v>
          </cell>
        </row>
        <row r="5688">
          <cell r="Q5688">
            <v>1437.0885302470851</v>
          </cell>
        </row>
        <row r="5689">
          <cell r="Q5689">
            <v>-575.26647363059669</v>
          </cell>
        </row>
        <row r="5690">
          <cell r="Q5690">
            <v>1090.6838342846522</v>
          </cell>
        </row>
        <row r="5691">
          <cell r="Q5691">
            <v>-620.78426645122636</v>
          </cell>
        </row>
        <row r="5692">
          <cell r="Q5692">
            <v>-721.81819937477235</v>
          </cell>
        </row>
        <row r="5693">
          <cell r="Q5693">
            <v>-1459.2983263361702</v>
          </cell>
        </row>
        <row r="5694">
          <cell r="Q5694">
            <v>11.019557678015701</v>
          </cell>
        </row>
        <row r="5695">
          <cell r="Q5695">
            <v>116.62402106970831</v>
          </cell>
        </row>
        <row r="5696">
          <cell r="Q5696">
            <v>1682.6998362837278</v>
          </cell>
        </row>
        <row r="5697">
          <cell r="Q5697">
            <v>2045.8722807056381</v>
          </cell>
        </row>
        <row r="5698">
          <cell r="Q5698">
            <v>555.46000570981414</v>
          </cell>
        </row>
        <row r="5699">
          <cell r="Q5699">
            <v>2987.3988878842179</v>
          </cell>
        </row>
        <row r="5700">
          <cell r="Q5700">
            <v>2300.9983764909275</v>
          </cell>
        </row>
        <row r="5701">
          <cell r="Q5701">
            <v>3059.4168920912348</v>
          </cell>
        </row>
        <row r="5702">
          <cell r="Q5702">
            <v>-413.97073797467652</v>
          </cell>
        </row>
        <row r="5703">
          <cell r="Q5703">
            <v>1244.041617430662</v>
          </cell>
        </row>
        <row r="5704">
          <cell r="Q5704">
            <v>1705.9606958896873</v>
          </cell>
        </row>
        <row r="5705">
          <cell r="Q5705">
            <v>1232.6211497417644</v>
          </cell>
        </row>
        <row r="5706">
          <cell r="Q5706">
            <v>2528.8171863896696</v>
          </cell>
        </row>
        <row r="5707">
          <cell r="Q5707">
            <v>-1656.5489997102984</v>
          </cell>
        </row>
        <row r="5708">
          <cell r="Q5708">
            <v>714.09762350735696</v>
          </cell>
        </row>
        <row r="5709">
          <cell r="Q5709">
            <v>2441.1157051879773</v>
          </cell>
        </row>
        <row r="5710">
          <cell r="Q5710">
            <v>-100.72181773455384</v>
          </cell>
        </row>
        <row r="5711">
          <cell r="Q5711">
            <v>5219.131106374748</v>
          </cell>
        </row>
        <row r="5712">
          <cell r="Q5712">
            <v>1677.8097911114839</v>
          </cell>
        </row>
        <row r="5713">
          <cell r="Q5713">
            <v>694.9028457012887</v>
          </cell>
        </row>
        <row r="5714">
          <cell r="Q5714">
            <v>3124.3461062205233</v>
          </cell>
        </row>
        <row r="5715">
          <cell r="Q5715">
            <v>3069.6754739566823</v>
          </cell>
        </row>
        <row r="5716">
          <cell r="Q5716">
            <v>746.94584132261889</v>
          </cell>
        </row>
        <row r="5717">
          <cell r="Q5717">
            <v>-1065.6055303239648</v>
          </cell>
        </row>
        <row r="5718">
          <cell r="Q5718">
            <v>-372.74560977037407</v>
          </cell>
        </row>
        <row r="5719">
          <cell r="Q5719">
            <v>491.88489784187044</v>
          </cell>
        </row>
        <row r="5720">
          <cell r="Q5720">
            <v>601.79231907195094</v>
          </cell>
        </row>
        <row r="5721">
          <cell r="Q5721">
            <v>-500.49375194379587</v>
          </cell>
        </row>
        <row r="5722">
          <cell r="Q5722">
            <v>-534.36900684939224</v>
          </cell>
        </row>
        <row r="5723">
          <cell r="Q5723">
            <v>119.42752844162681</v>
          </cell>
        </row>
        <row r="5724">
          <cell r="Q5724">
            <v>1182.8714244889918</v>
          </cell>
        </row>
        <row r="5725">
          <cell r="Q5725">
            <v>2335.3473349584347</v>
          </cell>
        </row>
        <row r="5726">
          <cell r="Q5726">
            <v>4960.3078282590131</v>
          </cell>
        </row>
        <row r="5727">
          <cell r="Q5727">
            <v>-2010.1165883065071</v>
          </cell>
        </row>
        <row r="5728">
          <cell r="Q5728">
            <v>239.87491129408846</v>
          </cell>
        </row>
        <row r="5729">
          <cell r="Q5729">
            <v>999.30536751767931</v>
          </cell>
        </row>
        <row r="5730">
          <cell r="Q5730">
            <v>-2010.182911294248</v>
          </cell>
        </row>
        <row r="5731">
          <cell r="Q5731">
            <v>-1065.8129469119697</v>
          </cell>
        </row>
        <row r="5732">
          <cell r="Q5732">
            <v>2655.6497152732063</v>
          </cell>
        </row>
        <row r="5733">
          <cell r="Q5733">
            <v>-903.57828192794227</v>
          </cell>
        </row>
        <row r="5734">
          <cell r="Q5734">
            <v>1376.0113707484811</v>
          </cell>
        </row>
        <row r="5735">
          <cell r="Q5735">
            <v>1825.8120715824562</v>
          </cell>
        </row>
        <row r="5736">
          <cell r="Q5736">
            <v>-1577.4741502960594</v>
          </cell>
        </row>
        <row r="5737">
          <cell r="Q5737">
            <v>3513.9087400034618</v>
          </cell>
        </row>
        <row r="5738">
          <cell r="Q5738">
            <v>-2360.8262990366889</v>
          </cell>
        </row>
        <row r="5739">
          <cell r="Q5739">
            <v>-402.64936675106668</v>
          </cell>
        </row>
        <row r="5740">
          <cell r="Q5740">
            <v>2109.0383502996374</v>
          </cell>
        </row>
        <row r="5741">
          <cell r="Q5741">
            <v>-797.96647818761721</v>
          </cell>
        </row>
        <row r="5742">
          <cell r="Q5742">
            <v>4309.7639550168415</v>
          </cell>
        </row>
        <row r="5743">
          <cell r="Q5743">
            <v>3348.5936678523663</v>
          </cell>
        </row>
        <row r="5744">
          <cell r="Q5744">
            <v>4222.4346838703868</v>
          </cell>
        </row>
        <row r="5745">
          <cell r="Q5745">
            <v>1785.9622037728152</v>
          </cell>
        </row>
        <row r="5746">
          <cell r="Q5746">
            <v>-1339.3801296542172</v>
          </cell>
        </row>
        <row r="5747">
          <cell r="Q5747">
            <v>-645.9373308065899</v>
          </cell>
        </row>
        <row r="5748">
          <cell r="Q5748">
            <v>-235.38348109763166</v>
          </cell>
        </row>
        <row r="5749">
          <cell r="Q5749">
            <v>2795.6685289252982</v>
          </cell>
        </row>
        <row r="5750">
          <cell r="Q5750">
            <v>-391.03135474852132</v>
          </cell>
        </row>
        <row r="5751">
          <cell r="Q5751">
            <v>-877.78649656843731</v>
          </cell>
        </row>
        <row r="5752">
          <cell r="Q5752">
            <v>3163.432179917314</v>
          </cell>
        </row>
        <row r="5753">
          <cell r="Q5753">
            <v>168.32246867168928</v>
          </cell>
        </row>
        <row r="5754">
          <cell r="Q5754">
            <v>314.99096322815632</v>
          </cell>
        </row>
        <row r="5755">
          <cell r="Q5755">
            <v>1.7705236552493488</v>
          </cell>
        </row>
        <row r="5756">
          <cell r="Q5756">
            <v>-2060.6103789893614</v>
          </cell>
        </row>
        <row r="5757">
          <cell r="Q5757">
            <v>-2601.9892798769993</v>
          </cell>
        </row>
        <row r="5758">
          <cell r="Q5758">
            <v>2484.6951921373607</v>
          </cell>
        </row>
        <row r="5759">
          <cell r="Q5759">
            <v>-861.60878371832246</v>
          </cell>
        </row>
        <row r="5760">
          <cell r="Q5760">
            <v>4693.6805394556332</v>
          </cell>
        </row>
        <row r="5761">
          <cell r="Q5761">
            <v>-593.72380225410484</v>
          </cell>
        </row>
        <row r="5762">
          <cell r="Q5762">
            <v>452.047545398588</v>
          </cell>
        </row>
        <row r="5763">
          <cell r="Q5763">
            <v>1589.9401561532081</v>
          </cell>
        </row>
        <row r="5764">
          <cell r="Q5764">
            <v>-3141.2864030086917</v>
          </cell>
        </row>
        <row r="5765">
          <cell r="Q5765">
            <v>-2640.9964931324052</v>
          </cell>
        </row>
        <row r="5766">
          <cell r="Q5766">
            <v>-930.73745631299607</v>
          </cell>
        </row>
        <row r="5767">
          <cell r="Q5767">
            <v>-564.35940560185941</v>
          </cell>
        </row>
        <row r="5768">
          <cell r="Q5768">
            <v>1452.8815619534712</v>
          </cell>
        </row>
        <row r="5769">
          <cell r="Q5769">
            <v>-1602.3333084652845</v>
          </cell>
        </row>
        <row r="5770">
          <cell r="Q5770">
            <v>2695.8924891768215</v>
          </cell>
        </row>
        <row r="5771">
          <cell r="Q5771">
            <v>1329.6133934147267</v>
          </cell>
        </row>
        <row r="5772">
          <cell r="Q5772">
            <v>1371.7382839760578</v>
          </cell>
        </row>
        <row r="5773">
          <cell r="Q5773">
            <v>2371.4244974920748</v>
          </cell>
        </row>
        <row r="5774">
          <cell r="Q5774">
            <v>772.15059116709517</v>
          </cell>
        </row>
        <row r="5775">
          <cell r="Q5775">
            <v>-576.19180451030752</v>
          </cell>
        </row>
        <row r="5776">
          <cell r="Q5776">
            <v>-2833.3298099671438</v>
          </cell>
        </row>
        <row r="5777">
          <cell r="Q5777">
            <v>-3396.4767486843134</v>
          </cell>
        </row>
        <row r="5778">
          <cell r="Q5778">
            <v>-3214.3970838831528</v>
          </cell>
        </row>
        <row r="5779">
          <cell r="Q5779">
            <v>126.80441086353341</v>
          </cell>
        </row>
        <row r="5780">
          <cell r="Q5780">
            <v>-277.19887124030487</v>
          </cell>
        </row>
        <row r="5781">
          <cell r="Q5781">
            <v>-1334.8295813912691</v>
          </cell>
        </row>
        <row r="5782">
          <cell r="Q5782">
            <v>3510.7755078243995</v>
          </cell>
        </row>
        <row r="5783">
          <cell r="Q5783">
            <v>2359.6382885570238</v>
          </cell>
        </row>
        <row r="5784">
          <cell r="Q5784">
            <v>-775.2024638427481</v>
          </cell>
        </row>
        <row r="5785">
          <cell r="Q5785">
            <v>784.70091934743732</v>
          </cell>
        </row>
        <row r="5786">
          <cell r="Q5786">
            <v>338.67116203695889</v>
          </cell>
        </row>
        <row r="5787">
          <cell r="Q5787">
            <v>-1653.3636810431692</v>
          </cell>
        </row>
        <row r="5788">
          <cell r="Q5788">
            <v>1124.8131434914421</v>
          </cell>
        </row>
        <row r="5789">
          <cell r="Q5789">
            <v>-1587.7254498904108</v>
          </cell>
        </row>
        <row r="5790">
          <cell r="Q5790">
            <v>457.69321549034555</v>
          </cell>
        </row>
        <row r="5791">
          <cell r="Q5791">
            <v>-1080.0068515564919</v>
          </cell>
        </row>
        <row r="5792">
          <cell r="Q5792">
            <v>-341.53428574152287</v>
          </cell>
        </row>
        <row r="5793">
          <cell r="Q5793">
            <v>-652.46062901124287</v>
          </cell>
        </row>
        <row r="5794">
          <cell r="Q5794">
            <v>1495.859511752288</v>
          </cell>
        </row>
        <row r="5795">
          <cell r="Q5795">
            <v>-870.20444375220995</v>
          </cell>
        </row>
        <row r="5796">
          <cell r="Q5796">
            <v>-3068.7564481044301</v>
          </cell>
        </row>
        <row r="5797">
          <cell r="Q5797">
            <v>-9.8225958843270291</v>
          </cell>
        </row>
        <row r="5798">
          <cell r="Q5798">
            <v>1558.6185588922833</v>
          </cell>
        </row>
        <row r="5799">
          <cell r="Q5799">
            <v>2033.9324944691325</v>
          </cell>
        </row>
        <row r="5800">
          <cell r="Q5800">
            <v>1758.1756982801219</v>
          </cell>
        </row>
        <row r="5801">
          <cell r="Q5801">
            <v>1532.0327362628414</v>
          </cell>
        </row>
        <row r="5802">
          <cell r="Q5802">
            <v>940.48679128633148</v>
          </cell>
        </row>
        <row r="5803">
          <cell r="Q5803">
            <v>-4378.2004178095958</v>
          </cell>
        </row>
        <row r="5804">
          <cell r="Q5804">
            <v>-1491.962516403308</v>
          </cell>
        </row>
        <row r="5805">
          <cell r="Q5805">
            <v>-1007.0586464974383</v>
          </cell>
        </row>
        <row r="5806">
          <cell r="Q5806">
            <v>-403.46303671636878</v>
          </cell>
        </row>
        <row r="5807">
          <cell r="Q5807">
            <v>2059.6856874358405</v>
          </cell>
        </row>
        <row r="5808">
          <cell r="Q5808">
            <v>2973.8944459207014</v>
          </cell>
        </row>
        <row r="5809">
          <cell r="Q5809">
            <v>-1804.2366388767175</v>
          </cell>
        </row>
        <row r="5810">
          <cell r="Q5810">
            <v>5334.1461371675368</v>
          </cell>
        </row>
        <row r="5811">
          <cell r="Q5811">
            <v>2294.0676567131941</v>
          </cell>
        </row>
        <row r="5812">
          <cell r="Q5812">
            <v>-1970.3071384342391</v>
          </cell>
        </row>
        <row r="5813">
          <cell r="Q5813">
            <v>4984.6396522994119</v>
          </cell>
        </row>
        <row r="5814">
          <cell r="Q5814">
            <v>1272.8595277180991</v>
          </cell>
        </row>
        <row r="5815">
          <cell r="Q5815">
            <v>848.23738208090617</v>
          </cell>
        </row>
        <row r="5816">
          <cell r="Q5816">
            <v>-507.3647270707873</v>
          </cell>
        </row>
        <row r="5817">
          <cell r="Q5817">
            <v>-1419.6331915646085</v>
          </cell>
        </row>
        <row r="5818">
          <cell r="Q5818">
            <v>-629.47386905930398</v>
          </cell>
        </row>
        <row r="5819">
          <cell r="Q5819">
            <v>4109.0059219390432</v>
          </cell>
        </row>
        <row r="5820">
          <cell r="Q5820">
            <v>1311.2869435877822</v>
          </cell>
        </row>
        <row r="5821">
          <cell r="Q5821">
            <v>663.4269613939523</v>
          </cell>
        </row>
        <row r="5822">
          <cell r="Q5822">
            <v>-801.66545738694231</v>
          </cell>
        </row>
        <row r="5823">
          <cell r="Q5823">
            <v>-980.23554157770536</v>
          </cell>
        </row>
        <row r="5824">
          <cell r="Q5824">
            <v>487.89179453694391</v>
          </cell>
        </row>
        <row r="5825">
          <cell r="Q5825">
            <v>3704.1571025779454</v>
          </cell>
        </row>
        <row r="5826">
          <cell r="Q5826">
            <v>1748.4384791177506</v>
          </cell>
        </row>
        <row r="5827">
          <cell r="Q5827">
            <v>1738.7945196259857</v>
          </cell>
        </row>
        <row r="5828">
          <cell r="Q5828">
            <v>-1143.0316785350651</v>
          </cell>
        </row>
        <row r="5829">
          <cell r="Q5829">
            <v>-654.98011013942096</v>
          </cell>
        </row>
        <row r="5830">
          <cell r="Q5830">
            <v>1193.5058003132676</v>
          </cell>
        </row>
        <row r="5831">
          <cell r="Q5831">
            <v>-1210.3233786993035</v>
          </cell>
        </row>
        <row r="5832">
          <cell r="Q5832">
            <v>5015.8367886426431</v>
          </cell>
        </row>
        <row r="5833">
          <cell r="Q5833">
            <v>-1882.1465055198148</v>
          </cell>
        </row>
        <row r="5834">
          <cell r="Q5834">
            <v>-1008.1781347704489</v>
          </cell>
        </row>
        <row r="5835">
          <cell r="Q5835">
            <v>-866.12387569976386</v>
          </cell>
        </row>
        <row r="5836">
          <cell r="Q5836">
            <v>339.09575376022514</v>
          </cell>
        </row>
        <row r="5837">
          <cell r="Q5837">
            <v>274.46251698585439</v>
          </cell>
        </row>
        <row r="5838">
          <cell r="Q5838">
            <v>-2358.3529065423531</v>
          </cell>
        </row>
        <row r="5839">
          <cell r="Q5839">
            <v>107.02730038423368</v>
          </cell>
        </row>
        <row r="5840">
          <cell r="Q5840">
            <v>-3982.2687366259579</v>
          </cell>
        </row>
        <row r="5841">
          <cell r="Q5841">
            <v>-1983.5163678075653</v>
          </cell>
        </row>
        <row r="5842">
          <cell r="Q5842">
            <v>1086.6132117759723</v>
          </cell>
        </row>
        <row r="5843">
          <cell r="Q5843">
            <v>-993.57520779072661</v>
          </cell>
        </row>
        <row r="5844">
          <cell r="Q5844">
            <v>1237.6822946729649</v>
          </cell>
        </row>
        <row r="5845">
          <cell r="Q5845">
            <v>2035.1738408467104</v>
          </cell>
        </row>
        <row r="5846">
          <cell r="Q5846">
            <v>204.10744870700657</v>
          </cell>
        </row>
        <row r="5847">
          <cell r="Q5847">
            <v>-300.43429133873889</v>
          </cell>
        </row>
        <row r="5848">
          <cell r="Q5848">
            <v>-989.79377565908317</v>
          </cell>
        </row>
        <row r="5849">
          <cell r="Q5849">
            <v>-543.64579060033157</v>
          </cell>
        </row>
        <row r="5850">
          <cell r="Q5850">
            <v>991.01248263601542</v>
          </cell>
        </row>
        <row r="5851">
          <cell r="Q5851">
            <v>4267.8259877596511</v>
          </cell>
        </row>
        <row r="5852">
          <cell r="Q5852">
            <v>-1414.0056616629354</v>
          </cell>
        </row>
        <row r="5853">
          <cell r="Q5853">
            <v>-518.59960097786052</v>
          </cell>
        </row>
        <row r="5854">
          <cell r="Q5854">
            <v>-514.62270047987545</v>
          </cell>
        </row>
        <row r="5855">
          <cell r="Q5855">
            <v>-2146.3713996828415</v>
          </cell>
        </row>
        <row r="5856">
          <cell r="Q5856">
            <v>1992.1710839831903</v>
          </cell>
        </row>
        <row r="5857">
          <cell r="Q5857">
            <v>-640.32479176621541</v>
          </cell>
        </row>
        <row r="5858">
          <cell r="Q5858">
            <v>697.81283957579853</v>
          </cell>
        </row>
        <row r="5859">
          <cell r="Q5859">
            <v>652.69057205014985</v>
          </cell>
        </row>
        <row r="5860">
          <cell r="Q5860">
            <v>3801.4578756018768</v>
          </cell>
        </row>
        <row r="5861">
          <cell r="Q5861">
            <v>-3754.0606897704756</v>
          </cell>
        </row>
        <row r="5862">
          <cell r="Q5862">
            <v>378.83160678299436</v>
          </cell>
        </row>
        <row r="5863">
          <cell r="Q5863">
            <v>1382.1259645991661</v>
          </cell>
        </row>
        <row r="5864">
          <cell r="Q5864">
            <v>2285.3844530230404</v>
          </cell>
        </row>
        <row r="5865">
          <cell r="Q5865">
            <v>355.45744113876805</v>
          </cell>
        </row>
        <row r="5866">
          <cell r="Q5866">
            <v>1635.4129243119839</v>
          </cell>
        </row>
        <row r="5867">
          <cell r="Q5867">
            <v>-1364.0305543609002</v>
          </cell>
        </row>
        <row r="5868">
          <cell r="Q5868">
            <v>3033.1327287417139</v>
          </cell>
        </row>
        <row r="5869">
          <cell r="Q5869">
            <v>1798.4359509130441</v>
          </cell>
        </row>
        <row r="5870">
          <cell r="Q5870">
            <v>-2328.9915894015799</v>
          </cell>
        </row>
        <row r="5871">
          <cell r="Q5871">
            <v>1708.7565206080258</v>
          </cell>
        </row>
        <row r="5872">
          <cell r="Q5872">
            <v>-757.93251466015226</v>
          </cell>
        </row>
        <row r="5873">
          <cell r="Q5873">
            <v>168.91416257010346</v>
          </cell>
        </row>
        <row r="5874">
          <cell r="Q5874">
            <v>-774.06020679388939</v>
          </cell>
        </row>
        <row r="5875">
          <cell r="Q5875">
            <v>-164.26001016464005</v>
          </cell>
        </row>
        <row r="5876">
          <cell r="Q5876">
            <v>2090.9081661714977</v>
          </cell>
        </row>
        <row r="5877">
          <cell r="Q5877">
            <v>-3875.80173746337</v>
          </cell>
        </row>
        <row r="5878">
          <cell r="Q5878">
            <v>-280.05570653692888</v>
          </cell>
        </row>
        <row r="5879">
          <cell r="Q5879">
            <v>3695.1842854021725</v>
          </cell>
        </row>
        <row r="5880">
          <cell r="Q5880">
            <v>393.60459129521098</v>
          </cell>
        </row>
        <row r="5881">
          <cell r="Q5881">
            <v>3690.1995231326832</v>
          </cell>
        </row>
        <row r="5882">
          <cell r="Q5882">
            <v>2320.2288096756679</v>
          </cell>
        </row>
        <row r="5883">
          <cell r="Q5883">
            <v>-2090.2350193514344</v>
          </cell>
        </row>
        <row r="5884">
          <cell r="Q5884">
            <v>-2014.244785960386</v>
          </cell>
        </row>
        <row r="5885">
          <cell r="Q5885">
            <v>3262.8705474962908</v>
          </cell>
        </row>
        <row r="5886">
          <cell r="Q5886">
            <v>2587.3606030239707</v>
          </cell>
        </row>
        <row r="5887">
          <cell r="Q5887">
            <v>3392.4903658882868</v>
          </cell>
        </row>
        <row r="5888">
          <cell r="Q5888">
            <v>-1124.8956464247003</v>
          </cell>
        </row>
        <row r="5889">
          <cell r="Q5889">
            <v>-2614.7892654007751</v>
          </cell>
        </row>
        <row r="5890">
          <cell r="Q5890">
            <v>2937.2380459982182</v>
          </cell>
        </row>
        <row r="5891">
          <cell r="Q5891">
            <v>-1212.8992948083549</v>
          </cell>
        </row>
        <row r="5892">
          <cell r="Q5892">
            <v>-2920.8831520382569</v>
          </cell>
        </row>
        <row r="5893">
          <cell r="Q5893">
            <v>317.58412051292549</v>
          </cell>
        </row>
        <row r="5894">
          <cell r="Q5894">
            <v>1415.3163323955243</v>
          </cell>
        </row>
        <row r="5895">
          <cell r="Q5895">
            <v>-1646.9964059631363</v>
          </cell>
        </row>
        <row r="5896">
          <cell r="Q5896">
            <v>-364.70000055732925</v>
          </cell>
        </row>
        <row r="5897">
          <cell r="Q5897">
            <v>2504.9423139372466</v>
          </cell>
        </row>
        <row r="5898">
          <cell r="Q5898">
            <v>799.05601939809151</v>
          </cell>
        </row>
        <row r="5899">
          <cell r="Q5899">
            <v>819.38498825935346</v>
          </cell>
        </row>
        <row r="5900">
          <cell r="Q5900">
            <v>-2652.5667252207813</v>
          </cell>
        </row>
        <row r="5901">
          <cell r="Q5901">
            <v>-4163.5189379946287</v>
          </cell>
        </row>
        <row r="5902">
          <cell r="Q5902">
            <v>-1274.7317035831268</v>
          </cell>
        </row>
        <row r="5903">
          <cell r="Q5903">
            <v>2664.4833053486877</v>
          </cell>
        </row>
        <row r="5904">
          <cell r="Q5904">
            <v>4633.124228748582</v>
          </cell>
        </row>
        <row r="5905">
          <cell r="Q5905">
            <v>-495.14162609187366</v>
          </cell>
        </row>
        <row r="5906">
          <cell r="Q5906">
            <v>4342.329273513511</v>
          </cell>
        </row>
        <row r="5907">
          <cell r="Q5907">
            <v>3578.824383899987</v>
          </cell>
        </row>
        <row r="5908">
          <cell r="Q5908">
            <v>-2910.0845118579487</v>
          </cell>
        </row>
        <row r="5909">
          <cell r="Q5909">
            <v>-273.75432440669357</v>
          </cell>
        </row>
        <row r="5910">
          <cell r="Q5910">
            <v>-68.287586482723157</v>
          </cell>
        </row>
        <row r="5911">
          <cell r="Q5911">
            <v>3773.4656463287224</v>
          </cell>
        </row>
        <row r="5912">
          <cell r="Q5912">
            <v>-311.2146518254072</v>
          </cell>
        </row>
        <row r="5913">
          <cell r="Q5913">
            <v>676.01626209221217</v>
          </cell>
        </row>
        <row r="5914">
          <cell r="Q5914">
            <v>1575.0729431585394</v>
          </cell>
        </row>
        <row r="5915">
          <cell r="Q5915">
            <v>-172.87737131547789</v>
          </cell>
        </row>
        <row r="5916">
          <cell r="Q5916">
            <v>-1417.8386694344115</v>
          </cell>
        </row>
        <row r="5917">
          <cell r="Q5917">
            <v>2073.9839690401536</v>
          </cell>
        </row>
        <row r="5918">
          <cell r="Q5918">
            <v>1727.2843303310749</v>
          </cell>
        </row>
        <row r="5919">
          <cell r="Q5919">
            <v>-1420.2028459877424</v>
          </cell>
        </row>
        <row r="5920">
          <cell r="Q5920">
            <v>-515.4934074106452</v>
          </cell>
        </row>
        <row r="5921">
          <cell r="Q5921">
            <v>1692.9271422839352</v>
          </cell>
        </row>
        <row r="5922">
          <cell r="Q5922">
            <v>1529.1661184966049</v>
          </cell>
        </row>
        <row r="5923">
          <cell r="Q5923">
            <v>-1017.1675114523987</v>
          </cell>
        </row>
        <row r="5924">
          <cell r="Q5924">
            <v>2570.3943394325961</v>
          </cell>
        </row>
        <row r="5925">
          <cell r="Q5925">
            <v>-815.44080144197278</v>
          </cell>
        </row>
        <row r="5926">
          <cell r="Q5926">
            <v>-856.87215862523612</v>
          </cell>
        </row>
        <row r="5927">
          <cell r="Q5927">
            <v>929.1121585036974</v>
          </cell>
        </row>
        <row r="5928">
          <cell r="Q5928">
            <v>2598.0790098278517</v>
          </cell>
        </row>
        <row r="5929">
          <cell r="Q5929">
            <v>803.33872994673129</v>
          </cell>
        </row>
        <row r="5930">
          <cell r="Q5930">
            <v>-1348.8425277821702</v>
          </cell>
        </row>
        <row r="5931">
          <cell r="Q5931">
            <v>-309.10852705316671</v>
          </cell>
        </row>
        <row r="5932">
          <cell r="Q5932">
            <v>-3462.7219871878474</v>
          </cell>
        </row>
        <row r="5933">
          <cell r="Q5933">
            <v>-3110.5786085475547</v>
          </cell>
        </row>
        <row r="5934">
          <cell r="Q5934">
            <v>1480.8640729334265</v>
          </cell>
        </row>
        <row r="5935">
          <cell r="Q5935">
            <v>2184.535019833952</v>
          </cell>
        </row>
        <row r="5936">
          <cell r="Q5936">
            <v>-582.83697963501231</v>
          </cell>
        </row>
        <row r="5937">
          <cell r="Q5937">
            <v>-723.98485709049964</v>
          </cell>
        </row>
        <row r="5938">
          <cell r="Q5938">
            <v>-1701.2996623411398</v>
          </cell>
        </row>
        <row r="5939">
          <cell r="Q5939">
            <v>1607.0478829717481</v>
          </cell>
        </row>
        <row r="5940">
          <cell r="Q5940">
            <v>-301.82644366476376</v>
          </cell>
        </row>
        <row r="5941">
          <cell r="Q5941">
            <v>2056.5002930949645</v>
          </cell>
        </row>
        <row r="5942">
          <cell r="Q5942">
            <v>-1325.490006661885</v>
          </cell>
        </row>
        <row r="5943">
          <cell r="Q5943">
            <v>-1562.8902030786594</v>
          </cell>
        </row>
        <row r="5944">
          <cell r="Q5944">
            <v>-138.26815642472042</v>
          </cell>
        </row>
        <row r="5945">
          <cell r="Q5945">
            <v>4833.7441712389291</v>
          </cell>
        </row>
        <row r="5946">
          <cell r="Q5946">
            <v>996.59691438611435</v>
          </cell>
        </row>
        <row r="5947">
          <cell r="Q5947">
            <v>226.09733770509359</v>
          </cell>
        </row>
        <row r="5948">
          <cell r="Q5948">
            <v>3900.1608362145807</v>
          </cell>
        </row>
        <row r="5949">
          <cell r="Q5949">
            <v>554.20154069989292</v>
          </cell>
        </row>
        <row r="5950">
          <cell r="Q5950">
            <v>4305.4163018496383</v>
          </cell>
        </row>
        <row r="5951">
          <cell r="Q5951">
            <v>-270.09287681169752</v>
          </cell>
        </row>
        <row r="5952">
          <cell r="Q5952">
            <v>1537.7924116661784</v>
          </cell>
        </row>
        <row r="5953">
          <cell r="Q5953">
            <v>-571.54744558984476</v>
          </cell>
        </row>
        <row r="5954">
          <cell r="Q5954">
            <v>-1609.0429185228043</v>
          </cell>
        </row>
        <row r="5955">
          <cell r="Q5955">
            <v>1379.6286006651526</v>
          </cell>
        </row>
        <row r="5956">
          <cell r="Q5956">
            <v>1538.9544911443593</v>
          </cell>
        </row>
        <row r="5957">
          <cell r="Q5957">
            <v>3032.1136327658146</v>
          </cell>
        </row>
        <row r="5958">
          <cell r="Q5958">
            <v>-1887.2552323188054</v>
          </cell>
        </row>
        <row r="5959">
          <cell r="Q5959">
            <v>1397.74622512256</v>
          </cell>
        </row>
        <row r="5960">
          <cell r="Q5960">
            <v>-1426.5318603954784</v>
          </cell>
        </row>
        <row r="5961">
          <cell r="Q5961">
            <v>-3422.5833405347016</v>
          </cell>
        </row>
        <row r="5962">
          <cell r="Q5962">
            <v>1180.1773884341744</v>
          </cell>
        </row>
        <row r="5963">
          <cell r="Q5963">
            <v>-1878.1519215013288</v>
          </cell>
        </row>
        <row r="5964">
          <cell r="Q5964">
            <v>-97.733551895762901</v>
          </cell>
        </row>
        <row r="5965">
          <cell r="Q5965">
            <v>13.920151729647387</v>
          </cell>
        </row>
        <row r="5966">
          <cell r="Q5966">
            <v>2265.2426857031865</v>
          </cell>
        </row>
        <row r="5967">
          <cell r="Q5967">
            <v>-1212.9709052465528</v>
          </cell>
        </row>
        <row r="5968">
          <cell r="Q5968">
            <v>-734.15004894456865</v>
          </cell>
        </row>
        <row r="5969">
          <cell r="Q5969">
            <v>1465.8071796947897</v>
          </cell>
        </row>
        <row r="5970">
          <cell r="Q5970">
            <v>367.18279087797106</v>
          </cell>
        </row>
        <row r="5971">
          <cell r="Q5971">
            <v>985.96662408516977</v>
          </cell>
        </row>
        <row r="5972">
          <cell r="Q5972">
            <v>-1579.9733744152975</v>
          </cell>
        </row>
        <row r="5973">
          <cell r="Q5973">
            <v>3385.0246582196437</v>
          </cell>
        </row>
        <row r="5974">
          <cell r="Q5974">
            <v>-1838.420710896806</v>
          </cell>
        </row>
        <row r="5975">
          <cell r="Q5975">
            <v>1572.5545193830771</v>
          </cell>
        </row>
        <row r="5976">
          <cell r="Q5976">
            <v>455.94354357905854</v>
          </cell>
        </row>
        <row r="5977">
          <cell r="Q5977">
            <v>-960.99865965549247</v>
          </cell>
        </row>
        <row r="5978">
          <cell r="Q5978">
            <v>2080.9246009344215</v>
          </cell>
        </row>
        <row r="5979">
          <cell r="Q5979">
            <v>-798.94116574500072</v>
          </cell>
        </row>
        <row r="5980">
          <cell r="Q5980">
            <v>639.30674559651629</v>
          </cell>
        </row>
        <row r="5981">
          <cell r="Q5981">
            <v>1195.9806099689872</v>
          </cell>
        </row>
        <row r="5982">
          <cell r="Q5982">
            <v>1684.274826577494</v>
          </cell>
        </row>
        <row r="5983">
          <cell r="Q5983">
            <v>2057.1815517879818</v>
          </cell>
        </row>
        <row r="5984">
          <cell r="Q5984">
            <v>82.342297563275849</v>
          </cell>
        </row>
        <row r="5985">
          <cell r="Q5985">
            <v>-3756.2030923930433</v>
          </cell>
        </row>
        <row r="5986">
          <cell r="Q5986">
            <v>1480.4013010200999</v>
          </cell>
        </row>
        <row r="5987">
          <cell r="Q5987">
            <v>-627.42829783256025</v>
          </cell>
        </row>
        <row r="5988">
          <cell r="Q5988">
            <v>-3535.6395332483048</v>
          </cell>
        </row>
        <row r="5989">
          <cell r="Q5989">
            <v>-409.9231282074349</v>
          </cell>
        </row>
        <row r="5990">
          <cell r="Q5990">
            <v>832.29633303916694</v>
          </cell>
        </row>
        <row r="5991">
          <cell r="Q5991">
            <v>2124.154349979789</v>
          </cell>
        </row>
        <row r="5992">
          <cell r="Q5992">
            <v>-3080.3807130848381</v>
          </cell>
        </row>
        <row r="5993">
          <cell r="Q5993">
            <v>-2570.6019354297159</v>
          </cell>
        </row>
        <row r="5994">
          <cell r="Q5994">
            <v>-2872.154049093569</v>
          </cell>
        </row>
        <row r="5995">
          <cell r="Q5995">
            <v>-1188.1349752861543</v>
          </cell>
        </row>
        <row r="5996">
          <cell r="Q5996">
            <v>-1854.0309041898261</v>
          </cell>
        </row>
        <row r="5997">
          <cell r="Q5997">
            <v>-1821.8590648072611</v>
          </cell>
        </row>
        <row r="5998">
          <cell r="Q5998">
            <v>878.40810661300065</v>
          </cell>
        </row>
        <row r="5999">
          <cell r="Q5999">
            <v>3079.3023996321067</v>
          </cell>
        </row>
        <row r="6000">
          <cell r="Q6000">
            <v>864.62959363510629</v>
          </cell>
        </row>
        <row r="6001">
          <cell r="Q6001">
            <v>-359.7271011344896</v>
          </cell>
        </row>
        <row r="6002">
          <cell r="Q6002">
            <v>-275.4877667286525</v>
          </cell>
        </row>
        <row r="6003">
          <cell r="Q6003">
            <v>39.595805111413085</v>
          </cell>
        </row>
        <row r="6004">
          <cell r="Q6004">
            <v>-2330.9891185632428</v>
          </cell>
        </row>
        <row r="6005">
          <cell r="Q6005">
            <v>1572.8235805016097</v>
          </cell>
        </row>
        <row r="6006">
          <cell r="Q6006">
            <v>-789.33736047818161</v>
          </cell>
        </row>
        <row r="6007">
          <cell r="Q6007">
            <v>1253.5539522360498</v>
          </cell>
        </row>
        <row r="6008">
          <cell r="Q6008">
            <v>239.80312776576395</v>
          </cell>
        </row>
        <row r="6009">
          <cell r="Q6009">
            <v>3988.3420776456419</v>
          </cell>
        </row>
        <row r="6010">
          <cell r="Q6010">
            <v>-2335.8819794538299</v>
          </cell>
        </row>
        <row r="6011">
          <cell r="Q6011">
            <v>2027.4213498092581</v>
          </cell>
        </row>
        <row r="6012">
          <cell r="Q6012">
            <v>229.66860698510962</v>
          </cell>
        </row>
        <row r="6013">
          <cell r="Q6013">
            <v>4247.148870405993</v>
          </cell>
        </row>
        <row r="6014">
          <cell r="Q6014">
            <v>-2152.2707222336348</v>
          </cell>
        </row>
        <row r="6015">
          <cell r="Q6015">
            <v>353.68111797754295</v>
          </cell>
        </row>
        <row r="6016">
          <cell r="Q6016">
            <v>2280.9708353053875</v>
          </cell>
        </row>
        <row r="6017">
          <cell r="Q6017">
            <v>3989.9629443032977</v>
          </cell>
        </row>
        <row r="6018">
          <cell r="Q6018">
            <v>980.28736837815632</v>
          </cell>
        </row>
        <row r="6019">
          <cell r="Q6019">
            <v>-406.78014932832042</v>
          </cell>
        </row>
        <row r="6020">
          <cell r="Q6020">
            <v>477.91606308923218</v>
          </cell>
        </row>
        <row r="6021">
          <cell r="Q6021">
            <v>252.81076766341337</v>
          </cell>
        </row>
        <row r="6022">
          <cell r="Q6022">
            <v>3016.4918249467569</v>
          </cell>
        </row>
        <row r="6023">
          <cell r="Q6023">
            <v>232.43830106434891</v>
          </cell>
        </row>
        <row r="6024">
          <cell r="Q6024">
            <v>-1484.1300820262231</v>
          </cell>
        </row>
        <row r="6025">
          <cell r="Q6025">
            <v>2062.6888601134669</v>
          </cell>
        </row>
        <row r="6026">
          <cell r="Q6026">
            <v>1703.2289627756859</v>
          </cell>
        </row>
        <row r="6027">
          <cell r="Q6027">
            <v>-1245.7329825532963</v>
          </cell>
        </row>
        <row r="6028">
          <cell r="Q6028">
            <v>618.56761899882281</v>
          </cell>
        </row>
        <row r="6029">
          <cell r="Q6029">
            <v>-1841.8115498555251</v>
          </cell>
        </row>
        <row r="6030">
          <cell r="Q6030">
            <v>-1886.6969861780115</v>
          </cell>
        </row>
        <row r="6031">
          <cell r="Q6031">
            <v>-359.52936521673229</v>
          </cell>
        </row>
        <row r="6032">
          <cell r="Q6032">
            <v>1869.2221881102555</v>
          </cell>
        </row>
        <row r="6033">
          <cell r="Q6033">
            <v>2595.9925178466801</v>
          </cell>
        </row>
        <row r="6034">
          <cell r="Q6034">
            <v>-1642.4646929146866</v>
          </cell>
        </row>
        <row r="6035">
          <cell r="Q6035">
            <v>-1284.7306128337173</v>
          </cell>
        </row>
        <row r="6036">
          <cell r="Q6036">
            <v>-434.63503219816147</v>
          </cell>
        </row>
        <row r="6037">
          <cell r="Q6037">
            <v>-1779.1238565165138</v>
          </cell>
        </row>
        <row r="6038">
          <cell r="Q6038">
            <v>2593.919319123253</v>
          </cell>
        </row>
        <row r="6039">
          <cell r="Q6039">
            <v>-332.71266138425955</v>
          </cell>
        </row>
        <row r="6040">
          <cell r="Q6040">
            <v>-1683.188671166042</v>
          </cell>
        </row>
        <row r="6041">
          <cell r="Q6041">
            <v>494.82044789653901</v>
          </cell>
        </row>
        <row r="6042">
          <cell r="Q6042">
            <v>-4609.5890509984592</v>
          </cell>
        </row>
        <row r="6043">
          <cell r="Q6043">
            <v>496.90811148884484</v>
          </cell>
        </row>
        <row r="6044">
          <cell r="Q6044">
            <v>-2914.041609846558</v>
          </cell>
        </row>
        <row r="6045">
          <cell r="Q6045">
            <v>1473.898936413452</v>
          </cell>
        </row>
        <row r="6046">
          <cell r="Q6046">
            <v>3222.8395154862005</v>
          </cell>
        </row>
        <row r="6047">
          <cell r="Q6047">
            <v>3413.700612782171</v>
          </cell>
        </row>
        <row r="6048">
          <cell r="Q6048">
            <v>-2503.1221140744651</v>
          </cell>
        </row>
        <row r="6049">
          <cell r="Q6049">
            <v>2941.499164300099</v>
          </cell>
        </row>
        <row r="6050">
          <cell r="Q6050">
            <v>-3981.2037214037737</v>
          </cell>
        </row>
        <row r="6051">
          <cell r="Q6051">
            <v>-1053.5716033989347</v>
          </cell>
        </row>
        <row r="6052">
          <cell r="Q6052">
            <v>-408.22822128115325</v>
          </cell>
        </row>
        <row r="6053">
          <cell r="Q6053">
            <v>1667.4192164816197</v>
          </cell>
        </row>
        <row r="6054">
          <cell r="Q6054">
            <v>-957.01905670867677</v>
          </cell>
        </row>
        <row r="6055">
          <cell r="Q6055">
            <v>3079.7277146304418</v>
          </cell>
        </row>
        <row r="6056">
          <cell r="Q6056">
            <v>5096.0617672207854</v>
          </cell>
        </row>
        <row r="6057">
          <cell r="Q6057">
            <v>-492.28119020371179</v>
          </cell>
        </row>
        <row r="6058">
          <cell r="Q6058">
            <v>1005.1402469569891</v>
          </cell>
        </row>
        <row r="6059">
          <cell r="Q6059">
            <v>448.91547334027985</v>
          </cell>
        </row>
        <row r="6060">
          <cell r="Q6060">
            <v>-113.6017185020566</v>
          </cell>
        </row>
        <row r="6061">
          <cell r="Q6061">
            <v>-1427.728524142269</v>
          </cell>
        </row>
        <row r="6062">
          <cell r="Q6062">
            <v>-1245.1255417387099</v>
          </cell>
        </row>
        <row r="6063">
          <cell r="Q6063">
            <v>-1880.8385687171096</v>
          </cell>
        </row>
        <row r="6064">
          <cell r="Q6064">
            <v>1417.5475321308058</v>
          </cell>
        </row>
        <row r="6065">
          <cell r="Q6065">
            <v>-1155.4744609612876</v>
          </cell>
        </row>
        <row r="6066">
          <cell r="Q6066">
            <v>879.79906786914239</v>
          </cell>
        </row>
        <row r="6067">
          <cell r="Q6067">
            <v>1312.1864940390408</v>
          </cell>
        </row>
        <row r="6068">
          <cell r="Q6068">
            <v>-1444.003181315873</v>
          </cell>
        </row>
        <row r="6069">
          <cell r="Q6069">
            <v>338.45025312970364</v>
          </cell>
        </row>
        <row r="6070">
          <cell r="Q6070">
            <v>-1345.7510075622599</v>
          </cell>
        </row>
        <row r="6071">
          <cell r="Q6071">
            <v>-1862.1805771544539</v>
          </cell>
        </row>
        <row r="6072">
          <cell r="Q6072">
            <v>864.80578503483389</v>
          </cell>
        </row>
        <row r="6073">
          <cell r="Q6073">
            <v>1216.9379264885315</v>
          </cell>
        </row>
        <row r="6074">
          <cell r="Q6074">
            <v>2759.0384481705478</v>
          </cell>
        </row>
        <row r="6075">
          <cell r="Q6075">
            <v>526.98267614520944</v>
          </cell>
        </row>
        <row r="6076">
          <cell r="Q6076">
            <v>-3921.0293042511666</v>
          </cell>
        </row>
        <row r="6077">
          <cell r="Q6077">
            <v>-1047.9641993507146</v>
          </cell>
        </row>
        <row r="6078">
          <cell r="Q6078">
            <v>-1178.450818305442</v>
          </cell>
        </row>
        <row r="6079">
          <cell r="Q6079">
            <v>620.55887018171074</v>
          </cell>
        </row>
        <row r="6080">
          <cell r="Q6080">
            <v>-548.40276187826476</v>
          </cell>
        </row>
        <row r="6081">
          <cell r="Q6081">
            <v>1554.1966697541573</v>
          </cell>
        </row>
        <row r="6082">
          <cell r="Q6082">
            <v>-1201.3764007262337</v>
          </cell>
        </row>
        <row r="6083">
          <cell r="Q6083">
            <v>582.27492829046901</v>
          </cell>
        </row>
        <row r="6084">
          <cell r="Q6084">
            <v>3623.0218109478938</v>
          </cell>
        </row>
        <row r="6085">
          <cell r="Q6085">
            <v>284.24329603410473</v>
          </cell>
        </row>
        <row r="6086">
          <cell r="Q6086">
            <v>1736.9970447896578</v>
          </cell>
        </row>
        <row r="6087">
          <cell r="Q6087">
            <v>-473.46501991102224</v>
          </cell>
        </row>
        <row r="6088">
          <cell r="Q6088">
            <v>-2635.8364088339194</v>
          </cell>
        </row>
        <row r="6089">
          <cell r="Q6089">
            <v>2938.5543505618871</v>
          </cell>
        </row>
        <row r="6090">
          <cell r="Q6090">
            <v>647.92374002423139</v>
          </cell>
        </row>
        <row r="6091">
          <cell r="Q6091">
            <v>786.09709354695428</v>
          </cell>
        </row>
        <row r="6092">
          <cell r="Q6092">
            <v>1148.1205034452264</v>
          </cell>
        </row>
        <row r="6093">
          <cell r="Q6093">
            <v>788.22138340391484</v>
          </cell>
        </row>
        <row r="6094">
          <cell r="Q6094">
            <v>-2487.9105624462059</v>
          </cell>
        </row>
        <row r="6095">
          <cell r="Q6095">
            <v>1425.4354789493432</v>
          </cell>
        </row>
        <row r="6096">
          <cell r="Q6096">
            <v>1247.1646145635693</v>
          </cell>
        </row>
        <row r="6097">
          <cell r="Q6097">
            <v>-421.05074368077766</v>
          </cell>
        </row>
        <row r="6098">
          <cell r="Q6098">
            <v>-1120.0361397828394</v>
          </cell>
        </row>
        <row r="6099">
          <cell r="Q6099">
            <v>-1098.2815139363499</v>
          </cell>
        </row>
        <row r="6100">
          <cell r="Q6100">
            <v>1781.7144471094366</v>
          </cell>
        </row>
        <row r="6101">
          <cell r="Q6101">
            <v>-206.8221032091638</v>
          </cell>
        </row>
        <row r="6102">
          <cell r="Q6102">
            <v>2628.0828752537418</v>
          </cell>
        </row>
        <row r="6103">
          <cell r="Q6103">
            <v>2045.9263221592698</v>
          </cell>
        </row>
        <row r="6104">
          <cell r="Q6104">
            <v>-1615.1106736575598</v>
          </cell>
        </row>
        <row r="6105">
          <cell r="Q6105">
            <v>861.99315881095856</v>
          </cell>
        </row>
        <row r="6106">
          <cell r="Q6106">
            <v>-668.77991874800387</v>
          </cell>
        </row>
        <row r="6107">
          <cell r="Q6107">
            <v>344.72083328932592</v>
          </cell>
        </row>
        <row r="6108">
          <cell r="Q6108">
            <v>2363.7127390314022</v>
          </cell>
        </row>
        <row r="6109">
          <cell r="Q6109">
            <v>-1315.7532194807188</v>
          </cell>
        </row>
        <row r="6110">
          <cell r="Q6110">
            <v>1703.0217314986835</v>
          </cell>
        </row>
        <row r="6111">
          <cell r="Q6111">
            <v>-1464.5738510126498</v>
          </cell>
        </row>
        <row r="6112">
          <cell r="Q6112">
            <v>7932.4031155263347</v>
          </cell>
        </row>
        <row r="6113">
          <cell r="Q6113">
            <v>664.46866838679762</v>
          </cell>
        </row>
        <row r="6114">
          <cell r="Q6114">
            <v>-394.39545897565284</v>
          </cell>
        </row>
        <row r="6115">
          <cell r="Q6115">
            <v>-315.36616050605545</v>
          </cell>
        </row>
        <row r="6116">
          <cell r="Q6116">
            <v>610.27938815847313</v>
          </cell>
        </row>
        <row r="6117">
          <cell r="Q6117">
            <v>2218.8978808317197</v>
          </cell>
        </row>
        <row r="6118">
          <cell r="Q6118">
            <v>2650.4808410976448</v>
          </cell>
        </row>
        <row r="6119">
          <cell r="Q6119">
            <v>-311.28160275500539</v>
          </cell>
        </row>
        <row r="6120">
          <cell r="Q6120">
            <v>994.73593681801685</v>
          </cell>
        </row>
        <row r="6121">
          <cell r="Q6121">
            <v>3283.5488931669529</v>
          </cell>
        </row>
        <row r="6122">
          <cell r="Q6122">
            <v>-418.74104624978867</v>
          </cell>
        </row>
        <row r="6123">
          <cell r="Q6123">
            <v>2374.9045964783377</v>
          </cell>
        </row>
        <row r="6124">
          <cell r="Q6124">
            <v>-148.02466669827112</v>
          </cell>
        </row>
        <row r="6125">
          <cell r="Q6125">
            <v>798.12212476709146</v>
          </cell>
        </row>
        <row r="6126">
          <cell r="Q6126">
            <v>-2714.2899649036331</v>
          </cell>
        </row>
        <row r="6127">
          <cell r="Q6127">
            <v>4643.0212281634012</v>
          </cell>
        </row>
        <row r="6128">
          <cell r="Q6128">
            <v>2858.8927629283471</v>
          </cell>
        </row>
        <row r="6129">
          <cell r="Q6129">
            <v>-1843.9533927330592</v>
          </cell>
        </row>
        <row r="6130">
          <cell r="Q6130">
            <v>-1597.8397127846595</v>
          </cell>
        </row>
        <row r="6131">
          <cell r="Q6131">
            <v>-993.69100969228202</v>
          </cell>
        </row>
        <row r="6132">
          <cell r="Q6132">
            <v>-253.93789466274194</v>
          </cell>
        </row>
        <row r="6133">
          <cell r="Q6133">
            <v>516.64448320433212</v>
          </cell>
        </row>
        <row r="6134">
          <cell r="Q6134">
            <v>-619.02803082680634</v>
          </cell>
        </row>
        <row r="6135">
          <cell r="Q6135">
            <v>-509.17402002660612</v>
          </cell>
        </row>
        <row r="6136">
          <cell r="Q6136">
            <v>2385.7160089244753</v>
          </cell>
        </row>
        <row r="6137">
          <cell r="Q6137">
            <v>1821.3888752873193</v>
          </cell>
        </row>
        <row r="6138">
          <cell r="Q6138">
            <v>-2626.734639154362</v>
          </cell>
        </row>
        <row r="6139">
          <cell r="Q6139">
            <v>-3325.2704910405087</v>
          </cell>
        </row>
        <row r="6140">
          <cell r="Q6140">
            <v>1852.803621187514</v>
          </cell>
        </row>
        <row r="6141">
          <cell r="Q6141">
            <v>303.65862152069485</v>
          </cell>
        </row>
        <row r="6142">
          <cell r="Q6142">
            <v>-823.19536334281929</v>
          </cell>
        </row>
        <row r="6143">
          <cell r="Q6143">
            <v>15.527415891249177</v>
          </cell>
        </row>
        <row r="6144">
          <cell r="Q6144">
            <v>2226.2311668779203</v>
          </cell>
        </row>
        <row r="6145">
          <cell r="Q6145">
            <v>-2344.6275773598245</v>
          </cell>
        </row>
        <row r="6146">
          <cell r="Q6146">
            <v>1834.0992690911053</v>
          </cell>
        </row>
        <row r="6147">
          <cell r="Q6147">
            <v>105.67254828281625</v>
          </cell>
        </row>
        <row r="6148">
          <cell r="Q6148">
            <v>-120.77350074900772</v>
          </cell>
        </row>
        <row r="6149">
          <cell r="Q6149">
            <v>3001.0793473735762</v>
          </cell>
        </row>
        <row r="6150">
          <cell r="Q6150">
            <v>-212.98392917701182</v>
          </cell>
        </row>
        <row r="6151">
          <cell r="Q6151">
            <v>-432.08004342296846</v>
          </cell>
        </row>
        <row r="6152">
          <cell r="Q6152">
            <v>3601.8150373334192</v>
          </cell>
        </row>
        <row r="6153">
          <cell r="Q6153">
            <v>467.16063327035715</v>
          </cell>
        </row>
        <row r="6154">
          <cell r="Q6154">
            <v>781.64627634980093</v>
          </cell>
        </row>
        <row r="6155">
          <cell r="Q6155">
            <v>-412.51503252451056</v>
          </cell>
        </row>
        <row r="6156">
          <cell r="Q6156">
            <v>1268.0962321790018</v>
          </cell>
        </row>
        <row r="6157">
          <cell r="Q6157">
            <v>305.40669644699824</v>
          </cell>
        </row>
        <row r="6158">
          <cell r="Q6158">
            <v>828.8497947545427</v>
          </cell>
        </row>
        <row r="6159">
          <cell r="Q6159">
            <v>-3598.5528220307165</v>
          </cell>
        </row>
        <row r="6160">
          <cell r="Q6160">
            <v>2350.1513762540267</v>
          </cell>
        </row>
        <row r="6161">
          <cell r="Q6161">
            <v>3416.1443759728509</v>
          </cell>
        </row>
        <row r="6162">
          <cell r="Q6162">
            <v>1419.1225627461747</v>
          </cell>
        </row>
        <row r="6163">
          <cell r="Q6163">
            <v>279.20907886300699</v>
          </cell>
        </row>
        <row r="6164">
          <cell r="Q6164">
            <v>2325.4096605157674</v>
          </cell>
        </row>
        <row r="6165">
          <cell r="Q6165">
            <v>-579.07407307619133</v>
          </cell>
        </row>
        <row r="6166">
          <cell r="Q6166">
            <v>2746.7529510852964</v>
          </cell>
        </row>
        <row r="6167">
          <cell r="Q6167">
            <v>-867.74991518003594</v>
          </cell>
        </row>
        <row r="6168">
          <cell r="Q6168">
            <v>28.158802003334415</v>
          </cell>
        </row>
        <row r="6169">
          <cell r="Q6169">
            <v>-304.82251677138737</v>
          </cell>
        </row>
        <row r="6170">
          <cell r="Q6170">
            <v>-326.23468041170537</v>
          </cell>
        </row>
        <row r="6171">
          <cell r="Q6171">
            <v>-749.4828037105458</v>
          </cell>
        </row>
        <row r="6172">
          <cell r="Q6172">
            <v>616.52264241491548</v>
          </cell>
        </row>
        <row r="6173">
          <cell r="Q6173">
            <v>1946.7584291773087</v>
          </cell>
        </row>
        <row r="6174">
          <cell r="Q6174">
            <v>1980.8875876832524</v>
          </cell>
        </row>
        <row r="6175">
          <cell r="Q6175">
            <v>1314.4592244173964</v>
          </cell>
        </row>
        <row r="6176">
          <cell r="Q6176">
            <v>1196.4396575323217</v>
          </cell>
        </row>
        <row r="6177">
          <cell r="Q6177">
            <v>1131.0493024018967</v>
          </cell>
        </row>
        <row r="6178">
          <cell r="Q6178">
            <v>-1504.0593252015942</v>
          </cell>
        </row>
        <row r="6179">
          <cell r="Q6179">
            <v>188.77268053452104</v>
          </cell>
        </row>
        <row r="6180">
          <cell r="Q6180">
            <v>286.09862056129919</v>
          </cell>
        </row>
        <row r="6181">
          <cell r="Q6181">
            <v>-730.51463330453385</v>
          </cell>
        </row>
        <row r="6182">
          <cell r="Q6182">
            <v>1432.3544280150486</v>
          </cell>
        </row>
        <row r="6183">
          <cell r="Q6183">
            <v>4034.3987585612263</v>
          </cell>
        </row>
        <row r="6184">
          <cell r="Q6184">
            <v>-1937.4857485296277</v>
          </cell>
        </row>
        <row r="6185">
          <cell r="Q6185">
            <v>743.98553445782261</v>
          </cell>
        </row>
        <row r="6186">
          <cell r="Q6186">
            <v>1294.0930386559644</v>
          </cell>
        </row>
        <row r="6187">
          <cell r="Q6187">
            <v>2416.1984220584491</v>
          </cell>
        </row>
        <row r="6188">
          <cell r="Q6188">
            <v>-499.5856620452567</v>
          </cell>
        </row>
        <row r="6189">
          <cell r="Q6189">
            <v>-367.4488384226176</v>
          </cell>
        </row>
        <row r="6190">
          <cell r="Q6190">
            <v>1915.3598127144114</v>
          </cell>
        </row>
        <row r="6191">
          <cell r="Q6191">
            <v>1721.821976243893</v>
          </cell>
        </row>
        <row r="6192">
          <cell r="Q6192">
            <v>630.49211838295832</v>
          </cell>
        </row>
        <row r="6193">
          <cell r="Q6193">
            <v>-755.02830412821709</v>
          </cell>
        </row>
        <row r="6194">
          <cell r="Q6194">
            <v>1209.8878109722318</v>
          </cell>
        </row>
        <row r="6195">
          <cell r="Q6195">
            <v>-1556.9440966206018</v>
          </cell>
        </row>
        <row r="6196">
          <cell r="Q6196">
            <v>-3033.2468743334121</v>
          </cell>
        </row>
        <row r="6197">
          <cell r="Q6197">
            <v>1915.2483623169192</v>
          </cell>
        </row>
        <row r="6198">
          <cell r="Q6198">
            <v>3090.9180504797628</v>
          </cell>
        </row>
        <row r="6199">
          <cell r="Q6199">
            <v>-3556.1257071827495</v>
          </cell>
        </row>
        <row r="6200">
          <cell r="Q6200">
            <v>484.47274892875117</v>
          </cell>
        </row>
        <row r="6201">
          <cell r="Q6201">
            <v>-6537.3252669339336</v>
          </cell>
        </row>
        <row r="6202">
          <cell r="Q6202">
            <v>1249.8521309366813</v>
          </cell>
        </row>
        <row r="6203">
          <cell r="Q6203">
            <v>-2099.0980545885627</v>
          </cell>
        </row>
        <row r="6204">
          <cell r="Q6204">
            <v>4712.8820938552208</v>
          </cell>
        </row>
        <row r="6205">
          <cell r="Q6205">
            <v>340.74692164811256</v>
          </cell>
        </row>
        <row r="6206">
          <cell r="Q6206">
            <v>-617.66214468061071</v>
          </cell>
        </row>
        <row r="6207">
          <cell r="Q6207">
            <v>-9.7869022133154431</v>
          </cell>
        </row>
        <row r="6208">
          <cell r="Q6208">
            <v>1105.3263982945562</v>
          </cell>
        </row>
        <row r="6209">
          <cell r="Q6209">
            <v>871.95610350013999</v>
          </cell>
        </row>
        <row r="6210">
          <cell r="Q6210">
            <v>-54.75967956422727</v>
          </cell>
        </row>
        <row r="6211">
          <cell r="Q6211">
            <v>2613.8491284788506</v>
          </cell>
        </row>
        <row r="6212">
          <cell r="Q6212">
            <v>4103.5750301460766</v>
          </cell>
        </row>
        <row r="6213">
          <cell r="Q6213">
            <v>-1027.8688207176963</v>
          </cell>
        </row>
        <row r="6214">
          <cell r="Q6214">
            <v>643.63229384987517</v>
          </cell>
        </row>
        <row r="6215">
          <cell r="Q6215">
            <v>-1158.3501729288057</v>
          </cell>
        </row>
        <row r="6216">
          <cell r="Q6216">
            <v>837.83982160062124</v>
          </cell>
        </row>
        <row r="6217">
          <cell r="Q6217">
            <v>-3132.9856603088579</v>
          </cell>
        </row>
        <row r="6218">
          <cell r="Q6218">
            <v>155.61614611506923</v>
          </cell>
        </row>
        <row r="6219">
          <cell r="Q6219">
            <v>1236.2346645058135</v>
          </cell>
        </row>
        <row r="6220">
          <cell r="Q6220">
            <v>-382.08601176894257</v>
          </cell>
        </row>
        <row r="6221">
          <cell r="Q6221">
            <v>-1728.8474869811846</v>
          </cell>
        </row>
        <row r="6222">
          <cell r="Q6222">
            <v>1374.2558112525116</v>
          </cell>
        </row>
        <row r="6223">
          <cell r="Q6223">
            <v>899.4453725977254</v>
          </cell>
        </row>
        <row r="6224">
          <cell r="Q6224">
            <v>-894.38001544535996</v>
          </cell>
        </row>
        <row r="6225">
          <cell r="Q6225">
            <v>-536.13776016020665</v>
          </cell>
        </row>
        <row r="6226">
          <cell r="Q6226">
            <v>-1926.775093631192</v>
          </cell>
        </row>
        <row r="6227">
          <cell r="Q6227">
            <v>-3277.706507436124</v>
          </cell>
        </row>
        <row r="6228">
          <cell r="Q6228">
            <v>-627.55547410968347</v>
          </cell>
        </row>
        <row r="6229">
          <cell r="Q6229">
            <v>3254.115057733216</v>
          </cell>
        </row>
        <row r="6230">
          <cell r="Q6230">
            <v>-1957.2189219627774</v>
          </cell>
        </row>
        <row r="6231">
          <cell r="Q6231">
            <v>-1441.9418842683242</v>
          </cell>
        </row>
        <row r="6232">
          <cell r="Q6232">
            <v>1542.5268396442557</v>
          </cell>
        </row>
        <row r="6233">
          <cell r="Q6233">
            <v>-1211.6720412989914</v>
          </cell>
        </row>
        <row r="6234">
          <cell r="Q6234">
            <v>5102.4869273664699</v>
          </cell>
        </row>
        <row r="6235">
          <cell r="Q6235">
            <v>638.37488825482092</v>
          </cell>
        </row>
        <row r="6236">
          <cell r="Q6236">
            <v>331.85071276372673</v>
          </cell>
        </row>
        <row r="6237">
          <cell r="Q6237">
            <v>-556.81199472694107</v>
          </cell>
        </row>
        <row r="6238">
          <cell r="Q6238">
            <v>-337.80633634549901</v>
          </cell>
        </row>
        <row r="6239">
          <cell r="Q6239">
            <v>874.79804944623902</v>
          </cell>
        </row>
        <row r="6240">
          <cell r="Q6240">
            <v>1146.040506963835</v>
          </cell>
        </row>
        <row r="6241">
          <cell r="Q6241">
            <v>762.0306193106984</v>
          </cell>
        </row>
        <row r="6242">
          <cell r="Q6242">
            <v>-4467.7223273354512</v>
          </cell>
        </row>
        <row r="6243">
          <cell r="Q6243">
            <v>-172.74377058985323</v>
          </cell>
        </row>
        <row r="6244">
          <cell r="Q6244">
            <v>1556.1781517242498</v>
          </cell>
        </row>
        <row r="6245">
          <cell r="Q6245">
            <v>680.17679104007698</v>
          </cell>
        </row>
        <row r="6246">
          <cell r="Q6246">
            <v>1053.7547590332404</v>
          </cell>
        </row>
        <row r="6247">
          <cell r="Q6247">
            <v>4467.2918908833517</v>
          </cell>
        </row>
        <row r="6248">
          <cell r="Q6248">
            <v>-2057.2230104148471</v>
          </cell>
        </row>
        <row r="6249">
          <cell r="Q6249">
            <v>-1432.7898823149073</v>
          </cell>
        </row>
        <row r="6250">
          <cell r="Q6250">
            <v>825.27093372266745</v>
          </cell>
        </row>
        <row r="6251">
          <cell r="Q6251">
            <v>-2113.7139878196731</v>
          </cell>
        </row>
        <row r="6252">
          <cell r="Q6252">
            <v>-566.73064033031142</v>
          </cell>
        </row>
        <row r="6253">
          <cell r="Q6253">
            <v>-315.99265375777924</v>
          </cell>
        </row>
        <row r="6254">
          <cell r="Q6254">
            <v>-4526.187799414105</v>
          </cell>
        </row>
        <row r="6255">
          <cell r="Q6255">
            <v>-1671.5605540808908</v>
          </cell>
        </row>
        <row r="6256">
          <cell r="Q6256">
            <v>-1967.5237785994707</v>
          </cell>
        </row>
        <row r="6257">
          <cell r="Q6257">
            <v>-3820.5952878539983</v>
          </cell>
        </row>
        <row r="6258">
          <cell r="Q6258">
            <v>1552.6498724268408</v>
          </cell>
        </row>
        <row r="6259">
          <cell r="Q6259">
            <v>1160.1940288119438</v>
          </cell>
        </row>
        <row r="6260">
          <cell r="Q6260">
            <v>4626.6038162075274</v>
          </cell>
        </row>
        <row r="6261">
          <cell r="Q6261">
            <v>252.13528146922303</v>
          </cell>
        </row>
        <row r="6262">
          <cell r="Q6262">
            <v>-4360.6084616106154</v>
          </cell>
        </row>
        <row r="6263">
          <cell r="Q6263">
            <v>3966.8399613151828</v>
          </cell>
        </row>
        <row r="6264">
          <cell r="Q6264">
            <v>2559.4103906879404</v>
          </cell>
        </row>
        <row r="6265">
          <cell r="Q6265">
            <v>-1116.6087020069047</v>
          </cell>
        </row>
        <row r="6266">
          <cell r="Q6266">
            <v>246.97645372440363</v>
          </cell>
        </row>
        <row r="6267">
          <cell r="Q6267">
            <v>2439.7673965168219</v>
          </cell>
        </row>
        <row r="6268">
          <cell r="Q6268">
            <v>-2716.1249308342385</v>
          </cell>
        </row>
        <row r="6269">
          <cell r="Q6269">
            <v>2644.1982793496131</v>
          </cell>
        </row>
        <row r="6270">
          <cell r="Q6270">
            <v>-4931.3155269798863</v>
          </cell>
        </row>
        <row r="6271">
          <cell r="Q6271">
            <v>1505.5781852759596</v>
          </cell>
        </row>
        <row r="6272">
          <cell r="Q6272">
            <v>1207.2425115875656</v>
          </cell>
        </row>
        <row r="6273">
          <cell r="Q6273">
            <v>397.90457485864044</v>
          </cell>
        </row>
        <row r="6274">
          <cell r="Q6274">
            <v>294.79415717962621</v>
          </cell>
        </row>
        <row r="6275">
          <cell r="Q6275">
            <v>2864.3433313602482</v>
          </cell>
        </row>
        <row r="6276">
          <cell r="Q6276">
            <v>-1015.738470126812</v>
          </cell>
        </row>
        <row r="6277">
          <cell r="Q6277">
            <v>1143.5362333891408</v>
          </cell>
        </row>
        <row r="6278">
          <cell r="Q6278">
            <v>-3151.6246042607568</v>
          </cell>
        </row>
        <row r="6279">
          <cell r="Q6279">
            <v>1210.5079448480237</v>
          </cell>
        </row>
        <row r="6280">
          <cell r="Q6280">
            <v>-1744.8250836017444</v>
          </cell>
        </row>
        <row r="6281">
          <cell r="Q6281">
            <v>-280.07085608642973</v>
          </cell>
        </row>
        <row r="6282">
          <cell r="Q6282">
            <v>3199.619565722996</v>
          </cell>
        </row>
        <row r="6283">
          <cell r="Q6283">
            <v>440.32320666664526</v>
          </cell>
        </row>
        <row r="6284">
          <cell r="Q6284">
            <v>-1481.1318694223655</v>
          </cell>
        </row>
        <row r="6285">
          <cell r="Q6285">
            <v>-5271.9549576535592</v>
          </cell>
        </row>
        <row r="6286">
          <cell r="Q6286">
            <v>1768.8394016413192</v>
          </cell>
        </row>
        <row r="6287">
          <cell r="Q6287">
            <v>-129.71752598379777</v>
          </cell>
        </row>
        <row r="6288">
          <cell r="Q6288">
            <v>2653.7014662694137</v>
          </cell>
        </row>
        <row r="6289">
          <cell r="Q6289">
            <v>287.24316682755773</v>
          </cell>
        </row>
        <row r="6290">
          <cell r="Q6290">
            <v>867.08674343112148</v>
          </cell>
        </row>
        <row r="6291">
          <cell r="Q6291">
            <v>1543.655921278649</v>
          </cell>
        </row>
        <row r="6292">
          <cell r="Q6292">
            <v>3354.2016311525704</v>
          </cell>
        </row>
        <row r="6293">
          <cell r="Q6293">
            <v>1549.5909866172524</v>
          </cell>
        </row>
        <row r="6294">
          <cell r="Q6294">
            <v>5004.6301924693798</v>
          </cell>
        </row>
        <row r="6295">
          <cell r="Q6295">
            <v>-1250.1478410841942</v>
          </cell>
        </row>
        <row r="6296">
          <cell r="Q6296">
            <v>2051.2231717025024</v>
          </cell>
        </row>
        <row r="6297">
          <cell r="Q6297">
            <v>-3688.7744823766852</v>
          </cell>
        </row>
        <row r="6298">
          <cell r="Q6298">
            <v>-209.99633824637391</v>
          </cell>
        </row>
        <row r="6299">
          <cell r="Q6299">
            <v>1761.620088815527</v>
          </cell>
        </row>
        <row r="6300">
          <cell r="Q6300">
            <v>-533.41453484732779</v>
          </cell>
        </row>
        <row r="6301">
          <cell r="Q6301">
            <v>-1685.6902768743419</v>
          </cell>
        </row>
        <row r="6302">
          <cell r="Q6302">
            <v>3136.6221479091205</v>
          </cell>
        </row>
        <row r="6303">
          <cell r="Q6303">
            <v>-2068.8080629951573</v>
          </cell>
        </row>
        <row r="6304">
          <cell r="Q6304">
            <v>1876.2979195812165</v>
          </cell>
        </row>
        <row r="6305">
          <cell r="Q6305">
            <v>1056.6205066234272</v>
          </cell>
        </row>
        <row r="6306">
          <cell r="Q6306">
            <v>123.62323827877003</v>
          </cell>
        </row>
        <row r="6307">
          <cell r="Q6307">
            <v>-1151.2855629966491</v>
          </cell>
        </row>
        <row r="6308">
          <cell r="Q6308">
            <v>-267.98118525380102</v>
          </cell>
        </row>
        <row r="6309">
          <cell r="Q6309">
            <v>-139.91875193925449</v>
          </cell>
        </row>
        <row r="6310">
          <cell r="Q6310">
            <v>-725.60190337728727</v>
          </cell>
        </row>
        <row r="6311">
          <cell r="Q6311">
            <v>1384.9728654512269</v>
          </cell>
        </row>
        <row r="6312">
          <cell r="Q6312">
            <v>1526.3032187464451</v>
          </cell>
        </row>
        <row r="6313">
          <cell r="Q6313">
            <v>-387.19393032133252</v>
          </cell>
        </row>
        <row r="6314">
          <cell r="Q6314">
            <v>-3083.0758356404717</v>
          </cell>
        </row>
        <row r="6315">
          <cell r="Q6315">
            <v>1199.8068437298703</v>
          </cell>
        </row>
        <row r="6316">
          <cell r="Q6316">
            <v>1088.6649729667249</v>
          </cell>
        </row>
        <row r="6317">
          <cell r="Q6317">
            <v>466.48898622615633</v>
          </cell>
        </row>
        <row r="6318">
          <cell r="Q6318">
            <v>-3234.901081245674</v>
          </cell>
        </row>
        <row r="6319">
          <cell r="Q6319">
            <v>786.38582911222397</v>
          </cell>
        </row>
        <row r="6320">
          <cell r="Q6320">
            <v>-2633.7020865555496</v>
          </cell>
        </row>
        <row r="6321">
          <cell r="Q6321">
            <v>1527.4856500847588</v>
          </cell>
        </row>
        <row r="6322">
          <cell r="Q6322">
            <v>3358.7557749055545</v>
          </cell>
        </row>
        <row r="6323">
          <cell r="Q6323">
            <v>-1326.2438531301134</v>
          </cell>
        </row>
        <row r="6324">
          <cell r="Q6324">
            <v>-269.20174520261372</v>
          </cell>
        </row>
        <row r="6325">
          <cell r="Q6325">
            <v>4820.9181355504561</v>
          </cell>
        </row>
        <row r="6326">
          <cell r="Q6326">
            <v>-781.15944311323574</v>
          </cell>
        </row>
        <row r="6327">
          <cell r="Q6327">
            <v>-422.1953673542402</v>
          </cell>
        </row>
        <row r="6328">
          <cell r="Q6328">
            <v>-1048.6512048572895</v>
          </cell>
        </row>
        <row r="6329">
          <cell r="Q6329">
            <v>-215.9490233534811</v>
          </cell>
        </row>
        <row r="6330">
          <cell r="Q6330">
            <v>3968.70390679293</v>
          </cell>
        </row>
        <row r="6331">
          <cell r="Q6331">
            <v>947.98007597979722</v>
          </cell>
        </row>
        <row r="6332">
          <cell r="Q6332">
            <v>-979.68443137106101</v>
          </cell>
        </row>
        <row r="6333">
          <cell r="Q6333">
            <v>993.08318014532779</v>
          </cell>
        </row>
        <row r="6334">
          <cell r="Q6334">
            <v>442.74634735268955</v>
          </cell>
        </row>
        <row r="6335">
          <cell r="Q6335">
            <v>1526.9151692975847</v>
          </cell>
        </row>
        <row r="6336">
          <cell r="Q6336">
            <v>541.73018567612007</v>
          </cell>
        </row>
        <row r="6337">
          <cell r="Q6337">
            <v>438.22762225559575</v>
          </cell>
        </row>
        <row r="6338">
          <cell r="Q6338">
            <v>3449.5656754886736</v>
          </cell>
        </row>
        <row r="6339">
          <cell r="Q6339">
            <v>874.64023743756684</v>
          </cell>
        </row>
        <row r="6340">
          <cell r="Q6340">
            <v>-236.86653863064583</v>
          </cell>
        </row>
        <row r="6341">
          <cell r="Q6341">
            <v>-3292.2382328771109</v>
          </cell>
        </row>
        <row r="6342">
          <cell r="Q6342">
            <v>-3314.4644812227584</v>
          </cell>
        </row>
        <row r="6343">
          <cell r="Q6343">
            <v>3003.4929909623438</v>
          </cell>
        </row>
        <row r="6344">
          <cell r="Q6344">
            <v>-970.61722129071154</v>
          </cell>
        </row>
        <row r="6345">
          <cell r="Q6345">
            <v>528.60137319570401</v>
          </cell>
        </row>
        <row r="6346">
          <cell r="Q6346">
            <v>-760.44733993554678</v>
          </cell>
        </row>
        <row r="6347">
          <cell r="Q6347">
            <v>-1621.9312083470843</v>
          </cell>
        </row>
        <row r="6348">
          <cell r="Q6348">
            <v>2976.9505408935506</v>
          </cell>
        </row>
        <row r="6349">
          <cell r="Q6349">
            <v>32.277383052320829</v>
          </cell>
        </row>
        <row r="6350">
          <cell r="Q6350">
            <v>-1233.7377958711636</v>
          </cell>
        </row>
        <row r="6351">
          <cell r="Q6351">
            <v>-2375.6931630139738</v>
          </cell>
        </row>
        <row r="6352">
          <cell r="Q6352">
            <v>2814.78434384409</v>
          </cell>
        </row>
        <row r="6353">
          <cell r="Q6353">
            <v>1226.8516374353312</v>
          </cell>
        </row>
        <row r="6354">
          <cell r="Q6354">
            <v>-468.03410383771489</v>
          </cell>
        </row>
        <row r="6355">
          <cell r="Q6355">
            <v>-1451.1566010701038</v>
          </cell>
        </row>
        <row r="6356">
          <cell r="Q6356">
            <v>-2831.0592129778192</v>
          </cell>
        </row>
        <row r="6357">
          <cell r="Q6357">
            <v>-3764.4032918509565</v>
          </cell>
        </row>
        <row r="6358">
          <cell r="Q6358">
            <v>2206.6211287385845</v>
          </cell>
        </row>
        <row r="6359">
          <cell r="Q6359">
            <v>363.30198844452286</v>
          </cell>
        </row>
        <row r="6360">
          <cell r="Q6360">
            <v>443.68973741839687</v>
          </cell>
        </row>
        <row r="6361">
          <cell r="Q6361">
            <v>2180.8431014579269</v>
          </cell>
        </row>
        <row r="6362">
          <cell r="Q6362">
            <v>4444.2849097483859</v>
          </cell>
        </row>
        <row r="6363">
          <cell r="Q6363">
            <v>739.50851091672723</v>
          </cell>
        </row>
        <row r="6364">
          <cell r="Q6364">
            <v>3769.6409379371657</v>
          </cell>
        </row>
        <row r="6365">
          <cell r="Q6365">
            <v>305.18971964195771</v>
          </cell>
        </row>
        <row r="6366">
          <cell r="Q6366">
            <v>4282.6802659052883</v>
          </cell>
        </row>
        <row r="6367">
          <cell r="Q6367">
            <v>-1285.7622007427117</v>
          </cell>
        </row>
        <row r="6368">
          <cell r="Q6368">
            <v>448.47256119825965</v>
          </cell>
        </row>
        <row r="6369">
          <cell r="Q6369">
            <v>-479.6015337664906</v>
          </cell>
        </row>
        <row r="6370">
          <cell r="Q6370">
            <v>1578.6559365002013</v>
          </cell>
        </row>
        <row r="6371">
          <cell r="Q6371">
            <v>350.07335810260338</v>
          </cell>
        </row>
        <row r="6372">
          <cell r="Q6372">
            <v>672.52794096326465</v>
          </cell>
        </row>
        <row r="6373">
          <cell r="Q6373">
            <v>3142.2504707310623</v>
          </cell>
        </row>
        <row r="6374">
          <cell r="Q6374">
            <v>1022.4045228920183</v>
          </cell>
        </row>
        <row r="6375">
          <cell r="Q6375">
            <v>265.08853622604795</v>
          </cell>
        </row>
        <row r="6376">
          <cell r="Q6376">
            <v>2454.9714819607348</v>
          </cell>
        </row>
        <row r="6377">
          <cell r="Q6377">
            <v>2527.3541806989374</v>
          </cell>
        </row>
        <row r="6378">
          <cell r="Q6378">
            <v>1221.0778714449459</v>
          </cell>
        </row>
        <row r="6379">
          <cell r="Q6379">
            <v>-4729.5628495808887</v>
          </cell>
        </row>
        <row r="6380">
          <cell r="Q6380">
            <v>-1162.0319129076486</v>
          </cell>
        </row>
        <row r="6381">
          <cell r="Q6381">
            <v>505.7084077280756</v>
          </cell>
        </row>
        <row r="6382">
          <cell r="Q6382">
            <v>-3471.5904885115287</v>
          </cell>
        </row>
        <row r="6383">
          <cell r="Q6383">
            <v>-234.13873460146107</v>
          </cell>
        </row>
        <row r="6384">
          <cell r="Q6384">
            <v>1390.7315138068825</v>
          </cell>
        </row>
        <row r="6385">
          <cell r="Q6385">
            <v>2780.2427721098534</v>
          </cell>
        </row>
        <row r="6386">
          <cell r="Q6386">
            <v>1512.2821878835382</v>
          </cell>
        </row>
        <row r="6387">
          <cell r="Q6387">
            <v>-209.25056526211557</v>
          </cell>
        </row>
        <row r="6388">
          <cell r="Q6388">
            <v>-228.11900536542402</v>
          </cell>
        </row>
        <row r="6389">
          <cell r="Q6389">
            <v>1699.1964960211612</v>
          </cell>
        </row>
        <row r="6390">
          <cell r="Q6390">
            <v>3808.5706917567873</v>
          </cell>
        </row>
        <row r="6391">
          <cell r="Q6391">
            <v>84.332627078282599</v>
          </cell>
        </row>
        <row r="6392">
          <cell r="Q6392">
            <v>493.765908173458</v>
          </cell>
        </row>
        <row r="6393">
          <cell r="Q6393">
            <v>105.63012045472146</v>
          </cell>
        </row>
        <row r="6394">
          <cell r="Q6394">
            <v>-1391.5878376781529</v>
          </cell>
        </row>
        <row r="6395">
          <cell r="Q6395">
            <v>1558.5083163965776</v>
          </cell>
        </row>
        <row r="6396">
          <cell r="Q6396">
            <v>1168.529078121534</v>
          </cell>
        </row>
        <row r="6397">
          <cell r="Q6397">
            <v>1846.0605064852537</v>
          </cell>
        </row>
        <row r="6398">
          <cell r="Q6398">
            <v>579.96268579620573</v>
          </cell>
        </row>
        <row r="6399">
          <cell r="Q6399">
            <v>-1054.2100559724356</v>
          </cell>
        </row>
        <row r="6400">
          <cell r="Q6400">
            <v>-516.67853479335395</v>
          </cell>
        </row>
        <row r="6401">
          <cell r="Q6401">
            <v>1568.2191112179548</v>
          </cell>
        </row>
        <row r="6402">
          <cell r="Q6402">
            <v>385.28252951009443</v>
          </cell>
        </row>
        <row r="6403">
          <cell r="Q6403">
            <v>1445.9476063487132</v>
          </cell>
        </row>
        <row r="6404">
          <cell r="Q6404">
            <v>1847.3356397997618</v>
          </cell>
        </row>
        <row r="6405">
          <cell r="Q6405">
            <v>4102.0300905385302</v>
          </cell>
        </row>
        <row r="6406">
          <cell r="Q6406">
            <v>1095.1502816506436</v>
          </cell>
        </row>
        <row r="6407">
          <cell r="Q6407">
            <v>1973.6765528042008</v>
          </cell>
        </row>
        <row r="6408">
          <cell r="Q6408">
            <v>3869.7727338254385</v>
          </cell>
        </row>
        <row r="6409">
          <cell r="Q6409">
            <v>-397.22255587606224</v>
          </cell>
        </row>
        <row r="6410">
          <cell r="Q6410">
            <v>6693.8028727779247</v>
          </cell>
        </row>
        <row r="6411">
          <cell r="Q6411">
            <v>-3685.898945333995</v>
          </cell>
        </row>
        <row r="6412">
          <cell r="Q6412">
            <v>-2925.688971888093</v>
          </cell>
        </row>
        <row r="6413">
          <cell r="Q6413">
            <v>1719.6505713958738</v>
          </cell>
        </row>
        <row r="6414">
          <cell r="Q6414">
            <v>-3709.148676001716</v>
          </cell>
        </row>
        <row r="6415">
          <cell r="Q6415">
            <v>4179.9739128246229</v>
          </cell>
        </row>
        <row r="6416">
          <cell r="Q6416">
            <v>228.94860539175107</v>
          </cell>
        </row>
        <row r="6417">
          <cell r="Q6417">
            <v>2275.5904550986115</v>
          </cell>
        </row>
        <row r="6418">
          <cell r="Q6418">
            <v>-3713.842391336214</v>
          </cell>
        </row>
        <row r="6419">
          <cell r="Q6419">
            <v>1643.3958641945464</v>
          </cell>
        </row>
        <row r="6420">
          <cell r="Q6420">
            <v>-1569.7159881148418</v>
          </cell>
        </row>
        <row r="6421">
          <cell r="Q6421">
            <v>-527.1399974782164</v>
          </cell>
        </row>
        <row r="6422">
          <cell r="Q6422">
            <v>-398.04066264752799</v>
          </cell>
        </row>
        <row r="6423">
          <cell r="Q6423">
            <v>1097.5335016405224</v>
          </cell>
        </row>
        <row r="6424">
          <cell r="Q6424">
            <v>-574.01738379294693</v>
          </cell>
        </row>
        <row r="6425">
          <cell r="Q6425">
            <v>976.56273751231379</v>
          </cell>
        </row>
        <row r="6426">
          <cell r="Q6426">
            <v>3519.0967428154054</v>
          </cell>
        </row>
        <row r="6427">
          <cell r="Q6427">
            <v>2382.3852319996604</v>
          </cell>
        </row>
        <row r="6428">
          <cell r="Q6428">
            <v>-2276.8930164074472</v>
          </cell>
        </row>
        <row r="6429">
          <cell r="Q6429">
            <v>1987.7425164144688</v>
          </cell>
        </row>
        <row r="6430">
          <cell r="Q6430">
            <v>-2441.7575532717492</v>
          </cell>
        </row>
        <row r="6431">
          <cell r="Q6431">
            <v>-1831.197632026556</v>
          </cell>
        </row>
        <row r="6432">
          <cell r="Q6432">
            <v>783.70617997715794</v>
          </cell>
        </row>
        <row r="6433">
          <cell r="Q6433">
            <v>-2522.3307845525405</v>
          </cell>
        </row>
        <row r="6434">
          <cell r="Q6434">
            <v>107.63436557205853</v>
          </cell>
        </row>
        <row r="6435">
          <cell r="Q6435">
            <v>-360.69082975297357</v>
          </cell>
        </row>
        <row r="6436">
          <cell r="Q6436">
            <v>1437.8350209511602</v>
          </cell>
        </row>
        <row r="6437">
          <cell r="Q6437">
            <v>-2197.3783896006307</v>
          </cell>
        </row>
        <row r="6438">
          <cell r="Q6438">
            <v>127.11871897425601</v>
          </cell>
        </row>
        <row r="6439">
          <cell r="Q6439">
            <v>1211.2057120170243</v>
          </cell>
        </row>
        <row r="6440">
          <cell r="Q6440">
            <v>2428.6308452860753</v>
          </cell>
        </row>
        <row r="6441">
          <cell r="Q6441">
            <v>-113.12119139748864</v>
          </cell>
        </row>
        <row r="6442">
          <cell r="Q6442">
            <v>3751.0771102323092</v>
          </cell>
        </row>
        <row r="6443">
          <cell r="Q6443">
            <v>-310.19393956358141</v>
          </cell>
        </row>
        <row r="6444">
          <cell r="Q6444">
            <v>365.43890527793559</v>
          </cell>
        </row>
        <row r="6445">
          <cell r="Q6445">
            <v>3270.1570033755111</v>
          </cell>
        </row>
        <row r="6446">
          <cell r="Q6446">
            <v>-77.147337290601797</v>
          </cell>
        </row>
        <row r="6447">
          <cell r="Q6447">
            <v>-2965.8851412577706</v>
          </cell>
        </row>
        <row r="6448">
          <cell r="Q6448">
            <v>-2604.2915038618539</v>
          </cell>
        </row>
        <row r="6449">
          <cell r="Q6449">
            <v>-2180.5784375632165</v>
          </cell>
        </row>
        <row r="6450">
          <cell r="Q6450">
            <v>-2193.9260008400611</v>
          </cell>
        </row>
        <row r="6451">
          <cell r="Q6451">
            <v>-2701.6780552045748</v>
          </cell>
        </row>
        <row r="6452">
          <cell r="Q6452">
            <v>2148.3984418986161</v>
          </cell>
        </row>
        <row r="6453">
          <cell r="Q6453">
            <v>2448.4606256680891</v>
          </cell>
        </row>
        <row r="6454">
          <cell r="Q6454">
            <v>-1153.6960325812081</v>
          </cell>
        </row>
        <row r="6455">
          <cell r="Q6455">
            <v>1602.6990525165622</v>
          </cell>
        </row>
        <row r="6456">
          <cell r="Q6456">
            <v>-1200.1678546911287</v>
          </cell>
        </row>
        <row r="6457">
          <cell r="Q6457">
            <v>601.84512923324348</v>
          </cell>
        </row>
        <row r="6458">
          <cell r="Q6458">
            <v>-241.4152816637216</v>
          </cell>
        </row>
        <row r="6459">
          <cell r="Q6459">
            <v>-2466.4156083479497</v>
          </cell>
        </row>
        <row r="6460">
          <cell r="Q6460">
            <v>5327.0622911838009</v>
          </cell>
        </row>
        <row r="6461">
          <cell r="Q6461">
            <v>1603.6711136512261</v>
          </cell>
        </row>
        <row r="6462">
          <cell r="Q6462">
            <v>-83.27633629872048</v>
          </cell>
        </row>
        <row r="6463">
          <cell r="Q6463">
            <v>-1547.2336631361857</v>
          </cell>
        </row>
        <row r="6464">
          <cell r="Q6464">
            <v>534.07751621672912</v>
          </cell>
        </row>
        <row r="6465">
          <cell r="Q6465">
            <v>-3055.9806369649259</v>
          </cell>
        </row>
        <row r="6466">
          <cell r="Q6466">
            <v>3220.15724800106</v>
          </cell>
        </row>
        <row r="6467">
          <cell r="Q6467">
            <v>1019.5418847280346</v>
          </cell>
        </row>
        <row r="6468">
          <cell r="Q6468">
            <v>-2915.5665736189526</v>
          </cell>
        </row>
        <row r="6469">
          <cell r="Q6469">
            <v>-4900.8545980659856</v>
          </cell>
        </row>
        <row r="6470">
          <cell r="Q6470">
            <v>-1242.3662885819992</v>
          </cell>
        </row>
        <row r="6471">
          <cell r="Q6471">
            <v>544.91274095496897</v>
          </cell>
        </row>
        <row r="6472">
          <cell r="Q6472">
            <v>1573.9593091088598</v>
          </cell>
        </row>
        <row r="6473">
          <cell r="Q6473">
            <v>573.90853174891299</v>
          </cell>
        </row>
        <row r="6474">
          <cell r="Q6474">
            <v>1586.3057959189505</v>
          </cell>
        </row>
        <row r="6475">
          <cell r="Q6475">
            <v>783.48142223456421</v>
          </cell>
        </row>
        <row r="6476">
          <cell r="Q6476">
            <v>2912.2494995276088</v>
          </cell>
        </row>
        <row r="6477">
          <cell r="Q6477">
            <v>-103.20424760208863</v>
          </cell>
        </row>
        <row r="6478">
          <cell r="Q6478">
            <v>607.37759421797364</v>
          </cell>
        </row>
        <row r="6479">
          <cell r="Q6479">
            <v>-661.55999384352663</v>
          </cell>
        </row>
        <row r="6480">
          <cell r="Q6480">
            <v>2265.3714274228105</v>
          </cell>
        </row>
        <row r="6481">
          <cell r="Q6481">
            <v>-2133.9409861966542</v>
          </cell>
        </row>
        <row r="6482">
          <cell r="Q6482">
            <v>1965.8529537338904</v>
          </cell>
        </row>
        <row r="6483">
          <cell r="Q6483">
            <v>-475.77035480952219</v>
          </cell>
        </row>
        <row r="6484">
          <cell r="Q6484">
            <v>2012.4464244694227</v>
          </cell>
        </row>
        <row r="6485">
          <cell r="Q6485">
            <v>675.79987355699063</v>
          </cell>
        </row>
        <row r="6486">
          <cell r="Q6486">
            <v>-1278.261072598563</v>
          </cell>
        </row>
        <row r="6487">
          <cell r="Q6487">
            <v>-1503.3112440802502</v>
          </cell>
        </row>
        <row r="6488">
          <cell r="Q6488">
            <v>-2649.286383506882</v>
          </cell>
        </row>
        <row r="6489">
          <cell r="Q6489">
            <v>751.31202187255803</v>
          </cell>
        </row>
        <row r="6490">
          <cell r="Q6490">
            <v>-355.9699039036928</v>
          </cell>
        </row>
        <row r="6491">
          <cell r="Q6491">
            <v>-1790.0545740098353</v>
          </cell>
        </row>
        <row r="6492">
          <cell r="Q6492">
            <v>-2213.9076856442248</v>
          </cell>
        </row>
        <row r="6493">
          <cell r="Q6493">
            <v>4047.7047131157542</v>
          </cell>
        </row>
        <row r="6494">
          <cell r="Q6494">
            <v>323.1657710682839</v>
          </cell>
        </row>
        <row r="6495">
          <cell r="Q6495">
            <v>-1418.4144144607758</v>
          </cell>
        </row>
        <row r="6496">
          <cell r="Q6496">
            <v>-4027.1413608260591</v>
          </cell>
        </row>
        <row r="6497">
          <cell r="Q6497">
            <v>1936.7772538514846</v>
          </cell>
        </row>
        <row r="6498">
          <cell r="Q6498">
            <v>443.46345544466351</v>
          </cell>
        </row>
        <row r="6499">
          <cell r="Q6499">
            <v>70.022411601309216</v>
          </cell>
        </row>
        <row r="6500">
          <cell r="Q6500">
            <v>1658.789286418451</v>
          </cell>
        </row>
        <row r="6501">
          <cell r="Q6501">
            <v>-1452.8794973728204</v>
          </cell>
        </row>
        <row r="6502">
          <cell r="Q6502">
            <v>5960.0509995888215</v>
          </cell>
        </row>
        <row r="6503">
          <cell r="Q6503">
            <v>-3519.2207570814226</v>
          </cell>
        </row>
        <row r="6504">
          <cell r="Q6504">
            <v>-1439.2002065330414</v>
          </cell>
        </row>
        <row r="6505">
          <cell r="Q6505">
            <v>3369.3152764541783</v>
          </cell>
        </row>
        <row r="6506">
          <cell r="Q6506">
            <v>-957.86533427910217</v>
          </cell>
        </row>
        <row r="6507">
          <cell r="Q6507">
            <v>-513.72471171134362</v>
          </cell>
        </row>
        <row r="6508">
          <cell r="Q6508">
            <v>1870.5047198887919</v>
          </cell>
        </row>
        <row r="6509">
          <cell r="Q6509">
            <v>2865.245825811448</v>
          </cell>
        </row>
        <row r="6510">
          <cell r="Q6510">
            <v>-217.19566907638063</v>
          </cell>
        </row>
        <row r="6511">
          <cell r="Q6511">
            <v>2411.9877906890106</v>
          </cell>
        </row>
        <row r="6512">
          <cell r="Q6512">
            <v>-3343.5534243512129</v>
          </cell>
        </row>
        <row r="6513">
          <cell r="Q6513">
            <v>-453.69753023430934</v>
          </cell>
        </row>
        <row r="6514">
          <cell r="Q6514">
            <v>-846.43448546833179</v>
          </cell>
        </row>
        <row r="6515">
          <cell r="Q6515">
            <v>-2132.0194079432858</v>
          </cell>
        </row>
        <row r="6516">
          <cell r="Q6516">
            <v>-572.50120691825759</v>
          </cell>
        </row>
        <row r="6517">
          <cell r="Q6517">
            <v>3394.6207692669796</v>
          </cell>
        </row>
        <row r="6518">
          <cell r="Q6518">
            <v>-689.9861737066492</v>
          </cell>
        </row>
        <row r="6519">
          <cell r="Q6519">
            <v>-1995.6474505346166</v>
          </cell>
        </row>
        <row r="6520">
          <cell r="Q6520">
            <v>2671.4160918435632</v>
          </cell>
        </row>
        <row r="6521">
          <cell r="Q6521">
            <v>3377.7576070578962</v>
          </cell>
        </row>
        <row r="6522">
          <cell r="Q6522">
            <v>-4145.3867162563783</v>
          </cell>
        </row>
        <row r="6523">
          <cell r="Q6523">
            <v>-1173.98756047079</v>
          </cell>
        </row>
        <row r="6524">
          <cell r="Q6524">
            <v>663.65101884762055</v>
          </cell>
        </row>
        <row r="6525">
          <cell r="Q6525">
            <v>1035.7155244126009</v>
          </cell>
        </row>
        <row r="6526">
          <cell r="Q6526">
            <v>87.653661019972674</v>
          </cell>
        </row>
        <row r="6527">
          <cell r="Q6527">
            <v>4559.4444429299356</v>
          </cell>
        </row>
        <row r="6528">
          <cell r="Q6528">
            <v>-2429.0439836297255</v>
          </cell>
        </row>
        <row r="6529">
          <cell r="Q6529">
            <v>-137.55819027943625</v>
          </cell>
        </row>
        <row r="6530">
          <cell r="Q6530">
            <v>-163.13874078538589</v>
          </cell>
        </row>
        <row r="6531">
          <cell r="Q6531">
            <v>-355.48817194472696</v>
          </cell>
        </row>
        <row r="6532">
          <cell r="Q6532">
            <v>1413.598567479421</v>
          </cell>
        </row>
        <row r="6533">
          <cell r="Q6533">
            <v>4239.8857350720937</v>
          </cell>
        </row>
        <row r="6534">
          <cell r="Q6534">
            <v>-1398.8663320328255</v>
          </cell>
        </row>
        <row r="6535">
          <cell r="Q6535">
            <v>-4418.2976243925877</v>
          </cell>
        </row>
        <row r="6536">
          <cell r="Q6536">
            <v>-4154.9851355646679</v>
          </cell>
        </row>
        <row r="6537">
          <cell r="Q6537">
            <v>1867.9909148276604</v>
          </cell>
        </row>
        <row r="6538">
          <cell r="Q6538">
            <v>-1861.5322384428421</v>
          </cell>
        </row>
        <row r="6539">
          <cell r="Q6539">
            <v>3764.4540231408555</v>
          </cell>
        </row>
        <row r="6540">
          <cell r="Q6540">
            <v>3543.0927326508063</v>
          </cell>
        </row>
        <row r="6541">
          <cell r="Q6541">
            <v>3066.006655095307</v>
          </cell>
        </row>
        <row r="6542">
          <cell r="Q6542">
            <v>1244.76721939706</v>
          </cell>
        </row>
        <row r="6543">
          <cell r="Q6543">
            <v>1053.5154345075589</v>
          </cell>
        </row>
        <row r="6544">
          <cell r="Q6544">
            <v>-1384.2286552434091</v>
          </cell>
        </row>
        <row r="6545">
          <cell r="Q6545">
            <v>-2949.7543234656437</v>
          </cell>
        </row>
        <row r="6546">
          <cell r="Q6546">
            <v>-514.53093366944472</v>
          </cell>
        </row>
        <row r="6547">
          <cell r="Q6547">
            <v>1307.9625719447813</v>
          </cell>
        </row>
        <row r="6548">
          <cell r="Q6548">
            <v>1890.6931488133207</v>
          </cell>
        </row>
        <row r="6549">
          <cell r="Q6549">
            <v>-1488.1364651539245</v>
          </cell>
        </row>
        <row r="6550">
          <cell r="Q6550">
            <v>840.55482407831505</v>
          </cell>
        </row>
        <row r="6551">
          <cell r="Q6551">
            <v>1580.1131254997622</v>
          </cell>
        </row>
        <row r="6552">
          <cell r="Q6552">
            <v>2577.0611284889178</v>
          </cell>
        </row>
        <row r="6553">
          <cell r="Q6553">
            <v>2148.0839674431318</v>
          </cell>
        </row>
        <row r="6554">
          <cell r="Q6554">
            <v>-1612.513667493301</v>
          </cell>
        </row>
        <row r="6555">
          <cell r="Q6555">
            <v>-554.23893154129973</v>
          </cell>
        </row>
        <row r="6556">
          <cell r="Q6556">
            <v>171.95335856501757</v>
          </cell>
        </row>
        <row r="6557">
          <cell r="Q6557">
            <v>-4976.2342549137702</v>
          </cell>
        </row>
        <row r="6558">
          <cell r="Q6558">
            <v>2029.8716383104181</v>
          </cell>
        </row>
        <row r="6559">
          <cell r="Q6559">
            <v>123.15175062499407</v>
          </cell>
        </row>
        <row r="6560">
          <cell r="Q6560">
            <v>-69.998345943072479</v>
          </cell>
        </row>
        <row r="6561">
          <cell r="Q6561">
            <v>1174.1960959236237</v>
          </cell>
        </row>
        <row r="6562">
          <cell r="Q6562">
            <v>313.99043786942599</v>
          </cell>
        </row>
        <row r="6563">
          <cell r="Q6563">
            <v>3858.5586697209305</v>
          </cell>
        </row>
        <row r="6564">
          <cell r="Q6564">
            <v>1924.5450697766478</v>
          </cell>
        </row>
        <row r="6565">
          <cell r="Q6565">
            <v>-1858.4858437311457</v>
          </cell>
        </row>
        <row r="6566">
          <cell r="Q6566">
            <v>33.861098165418696</v>
          </cell>
        </row>
        <row r="6567">
          <cell r="Q6567">
            <v>-1491.4821719807508</v>
          </cell>
        </row>
        <row r="6568">
          <cell r="Q6568">
            <v>-251.93557492782764</v>
          </cell>
        </row>
        <row r="6569">
          <cell r="Q6569">
            <v>1010.1781477454613</v>
          </cell>
        </row>
        <row r="6570">
          <cell r="Q6570">
            <v>1595.7986978303561</v>
          </cell>
        </row>
        <row r="6571">
          <cell r="Q6571">
            <v>185.87471815353112</v>
          </cell>
        </row>
        <row r="6572">
          <cell r="Q6572">
            <v>2528.857720950085</v>
          </cell>
        </row>
        <row r="6573">
          <cell r="Q6573">
            <v>5053.130600170608</v>
          </cell>
        </row>
        <row r="6574">
          <cell r="Q6574">
            <v>-4081.5220290685438</v>
          </cell>
        </row>
        <row r="6575">
          <cell r="Q6575">
            <v>62.007387236384432</v>
          </cell>
        </row>
        <row r="6576">
          <cell r="Q6576">
            <v>-2493.4383615086799</v>
          </cell>
        </row>
        <row r="6577">
          <cell r="Q6577">
            <v>5641.0972355970589</v>
          </cell>
        </row>
        <row r="6578">
          <cell r="Q6578">
            <v>-2612.8253707233066</v>
          </cell>
        </row>
        <row r="6579">
          <cell r="Q6579">
            <v>-1687.0795594594358</v>
          </cell>
        </row>
        <row r="6580">
          <cell r="Q6580">
            <v>-1402.9722465422346</v>
          </cell>
        </row>
        <row r="6581">
          <cell r="Q6581">
            <v>725.26835743722893</v>
          </cell>
        </row>
        <row r="6582">
          <cell r="Q6582">
            <v>2081.869191462285</v>
          </cell>
        </row>
        <row r="6583">
          <cell r="Q6583">
            <v>1640.9627490872563</v>
          </cell>
        </row>
        <row r="6584">
          <cell r="Q6584">
            <v>1962.5314247574388</v>
          </cell>
        </row>
        <row r="6585">
          <cell r="Q6585">
            <v>482.19154517612191</v>
          </cell>
        </row>
        <row r="6586">
          <cell r="Q6586">
            <v>-2504.937096033007</v>
          </cell>
        </row>
        <row r="6587">
          <cell r="Q6587">
            <v>1036.9906294144484</v>
          </cell>
        </row>
        <row r="6588">
          <cell r="Q6588">
            <v>-816.16739585262826</v>
          </cell>
        </row>
        <row r="6589">
          <cell r="Q6589">
            <v>-931.63412608954081</v>
          </cell>
        </row>
        <row r="6590">
          <cell r="Q6590">
            <v>65.977952936687359</v>
          </cell>
        </row>
        <row r="6591">
          <cell r="Q6591">
            <v>183.36017089672831</v>
          </cell>
        </row>
        <row r="6592">
          <cell r="Q6592">
            <v>-1183.6798711258789</v>
          </cell>
        </row>
        <row r="6593">
          <cell r="Q6593">
            <v>-486.43982329971374</v>
          </cell>
        </row>
        <row r="6594">
          <cell r="Q6594">
            <v>2836.8845281374101</v>
          </cell>
        </row>
        <row r="6595">
          <cell r="Q6595">
            <v>-2585.6629218198141</v>
          </cell>
        </row>
        <row r="6596">
          <cell r="Q6596">
            <v>-2810.4376425472556</v>
          </cell>
        </row>
        <row r="6597">
          <cell r="Q6597">
            <v>111.50627503176031</v>
          </cell>
        </row>
        <row r="6598">
          <cell r="Q6598">
            <v>-1420.3187879905413</v>
          </cell>
        </row>
        <row r="6599">
          <cell r="Q6599">
            <v>1147.7594747157509</v>
          </cell>
        </row>
        <row r="6600">
          <cell r="Q6600">
            <v>-1795.2856609830203</v>
          </cell>
        </row>
        <row r="6601">
          <cell r="Q6601">
            <v>411.60154796234156</v>
          </cell>
        </row>
        <row r="6602">
          <cell r="Q6602">
            <v>1280.5753312662112</v>
          </cell>
        </row>
        <row r="6603">
          <cell r="Q6603">
            <v>-809.92224946519718</v>
          </cell>
        </row>
        <row r="6604">
          <cell r="Q6604">
            <v>-4021.278063294606</v>
          </cell>
        </row>
        <row r="6605">
          <cell r="Q6605">
            <v>-5316.2672441785944</v>
          </cell>
        </row>
        <row r="6606">
          <cell r="Q6606">
            <v>-1329.7200960542266</v>
          </cell>
        </row>
        <row r="6607">
          <cell r="Q6607">
            <v>-214.69539080371948</v>
          </cell>
        </row>
        <row r="6608">
          <cell r="Q6608">
            <v>-766.58123975748254</v>
          </cell>
        </row>
        <row r="6609">
          <cell r="Q6609">
            <v>3612.3876135467594</v>
          </cell>
        </row>
        <row r="6610">
          <cell r="Q6610">
            <v>-226.72799200785897</v>
          </cell>
        </row>
        <row r="6611">
          <cell r="Q6611">
            <v>1529.5022119109699</v>
          </cell>
        </row>
        <row r="6612">
          <cell r="Q6612">
            <v>-1140.3288931106715</v>
          </cell>
        </row>
        <row r="6613">
          <cell r="Q6613">
            <v>1679.9087558392032</v>
          </cell>
        </row>
        <row r="6614">
          <cell r="Q6614">
            <v>10.060735480176163</v>
          </cell>
        </row>
        <row r="6615">
          <cell r="Q6615">
            <v>1276.5786656297753</v>
          </cell>
        </row>
        <row r="6616">
          <cell r="Q6616">
            <v>703.41302607518344</v>
          </cell>
        </row>
        <row r="6617">
          <cell r="Q6617">
            <v>390.91746101781825</v>
          </cell>
        </row>
        <row r="6618">
          <cell r="Q6618">
            <v>-514.73318074198778</v>
          </cell>
        </row>
        <row r="6619">
          <cell r="Q6619">
            <v>539.02493814551451</v>
          </cell>
        </row>
        <row r="6620">
          <cell r="Q6620">
            <v>3349.9771109207286</v>
          </cell>
        </row>
        <row r="6621">
          <cell r="Q6621">
            <v>1133.4597307786662</v>
          </cell>
        </row>
        <row r="6622">
          <cell r="Q6622">
            <v>-2451.244414598184</v>
          </cell>
        </row>
        <row r="6623">
          <cell r="Q6623">
            <v>-24.357117362250676</v>
          </cell>
        </row>
        <row r="6624">
          <cell r="Q6624">
            <v>2242.0245144800456</v>
          </cell>
        </row>
        <row r="6625">
          <cell r="Q6625">
            <v>-264.64320772882451</v>
          </cell>
        </row>
        <row r="6626">
          <cell r="Q6626">
            <v>2293.7570957388079</v>
          </cell>
        </row>
        <row r="6627">
          <cell r="Q6627">
            <v>371.28605609905048</v>
          </cell>
        </row>
        <row r="6628">
          <cell r="Q6628">
            <v>290.21710098295887</v>
          </cell>
        </row>
        <row r="6629">
          <cell r="Q6629">
            <v>2623.1403967341494</v>
          </cell>
        </row>
        <row r="6630">
          <cell r="Q6630">
            <v>137.77521799960397</v>
          </cell>
        </row>
        <row r="6631">
          <cell r="Q6631">
            <v>2026.2296321566052</v>
          </cell>
        </row>
        <row r="6632">
          <cell r="Q6632">
            <v>-1100.0584179163086</v>
          </cell>
        </row>
        <row r="6633">
          <cell r="Q6633">
            <v>-860.2334366581681</v>
          </cell>
        </row>
        <row r="6634">
          <cell r="Q6634">
            <v>1311.9037462174249</v>
          </cell>
        </row>
        <row r="6635">
          <cell r="Q6635">
            <v>2736.295741805337</v>
          </cell>
        </row>
        <row r="6636">
          <cell r="Q6636">
            <v>-820.21948768004222</v>
          </cell>
        </row>
        <row r="6637">
          <cell r="Q6637">
            <v>3470.6349212734935</v>
          </cell>
        </row>
        <row r="6638">
          <cell r="Q6638">
            <v>202.1876004504598</v>
          </cell>
        </row>
        <row r="6639">
          <cell r="Q6639">
            <v>980.50758077432283</v>
          </cell>
        </row>
        <row r="6640">
          <cell r="Q6640">
            <v>2417.4507191705707</v>
          </cell>
        </row>
        <row r="6641">
          <cell r="Q6641">
            <v>-253.61468600567565</v>
          </cell>
        </row>
        <row r="6642">
          <cell r="Q6642">
            <v>-329.79428336429061</v>
          </cell>
        </row>
        <row r="6643">
          <cell r="Q6643">
            <v>834.24060071340443</v>
          </cell>
        </row>
        <row r="6644">
          <cell r="Q6644">
            <v>-2094.9842768634271</v>
          </cell>
        </row>
        <row r="6645">
          <cell r="Q6645">
            <v>4423.0042700374297</v>
          </cell>
        </row>
        <row r="6646">
          <cell r="Q6646">
            <v>1162.2738099482488</v>
          </cell>
        </row>
        <row r="6647">
          <cell r="Q6647">
            <v>3152.1477597378216</v>
          </cell>
        </row>
        <row r="6648">
          <cell r="Q6648">
            <v>3252.8641158486266</v>
          </cell>
        </row>
        <row r="6649">
          <cell r="Q6649">
            <v>389.99893407107612</v>
          </cell>
        </row>
        <row r="6650">
          <cell r="Q6650">
            <v>2609.9826417093941</v>
          </cell>
        </row>
        <row r="6651">
          <cell r="Q6651">
            <v>1382.9580553859703</v>
          </cell>
        </row>
        <row r="6652">
          <cell r="Q6652">
            <v>-54.280715283176448</v>
          </cell>
        </row>
        <row r="6653">
          <cell r="Q6653">
            <v>-637.18823443628139</v>
          </cell>
        </row>
        <row r="6654">
          <cell r="Q6654">
            <v>-408.72125491848436</v>
          </cell>
        </row>
        <row r="6655">
          <cell r="Q6655">
            <v>2601.3574412758858</v>
          </cell>
        </row>
        <row r="6656">
          <cell r="Q6656">
            <v>-2166.5230424292117</v>
          </cell>
        </row>
        <row r="6657">
          <cell r="Q6657">
            <v>-3620.1266702087469</v>
          </cell>
        </row>
        <row r="6658">
          <cell r="Q6658">
            <v>-1434.588872819088</v>
          </cell>
        </row>
        <row r="6659">
          <cell r="Q6659">
            <v>4058.578778239641</v>
          </cell>
        </row>
        <row r="6660">
          <cell r="Q6660">
            <v>-661.9553747732939</v>
          </cell>
        </row>
        <row r="6661">
          <cell r="Q6661">
            <v>2314.9428262029774</v>
          </cell>
        </row>
        <row r="6662">
          <cell r="Q6662">
            <v>4290.0006815350289</v>
          </cell>
        </row>
        <row r="6663">
          <cell r="Q6663">
            <v>2314.9491579289229</v>
          </cell>
        </row>
        <row r="6664">
          <cell r="Q6664">
            <v>4005.4981330345563</v>
          </cell>
        </row>
        <row r="6665">
          <cell r="Q6665">
            <v>-1050.9248281120676</v>
          </cell>
        </row>
        <row r="6666">
          <cell r="Q6666">
            <v>711.51362423911996</v>
          </cell>
        </row>
        <row r="6667">
          <cell r="Q6667">
            <v>981.7113428124519</v>
          </cell>
        </row>
        <row r="6668">
          <cell r="Q6668">
            <v>-2028.5465919079973</v>
          </cell>
        </row>
        <row r="6669">
          <cell r="Q6669">
            <v>-1163.8504843454443</v>
          </cell>
        </row>
        <row r="6670">
          <cell r="Q6670">
            <v>-1096.7171767692248</v>
          </cell>
        </row>
        <row r="6671">
          <cell r="Q6671">
            <v>404.89255106344865</v>
          </cell>
        </row>
        <row r="6672">
          <cell r="Q6672">
            <v>-2557.3068450257847</v>
          </cell>
        </row>
        <row r="6673">
          <cell r="Q6673">
            <v>2187.7527860379828</v>
          </cell>
        </row>
        <row r="6674">
          <cell r="Q6674">
            <v>3493.9840592589926</v>
          </cell>
        </row>
        <row r="6675">
          <cell r="Q6675">
            <v>502.32909094432387</v>
          </cell>
        </row>
        <row r="6676">
          <cell r="Q6676">
            <v>757.1809353751778</v>
          </cell>
        </row>
        <row r="6677">
          <cell r="Q6677">
            <v>2054.4927837327668</v>
          </cell>
        </row>
        <row r="6678">
          <cell r="Q6678">
            <v>-1050.5711580319398</v>
          </cell>
        </row>
        <row r="6679">
          <cell r="Q6679">
            <v>1465.1468435509601</v>
          </cell>
        </row>
        <row r="6680">
          <cell r="Q6680">
            <v>-2026.7181170809097</v>
          </cell>
        </row>
        <row r="6681">
          <cell r="Q6681">
            <v>-359.51916255596831</v>
          </cell>
        </row>
        <row r="6682">
          <cell r="Q6682">
            <v>4157.617618938797</v>
          </cell>
        </row>
        <row r="6683">
          <cell r="Q6683">
            <v>-797.62211509375084</v>
          </cell>
        </row>
        <row r="6684">
          <cell r="Q6684">
            <v>897.0020343049739</v>
          </cell>
        </row>
        <row r="6685">
          <cell r="Q6685">
            <v>651.16323332520869</v>
          </cell>
        </row>
        <row r="6686">
          <cell r="Q6686">
            <v>-5620.4934993687748</v>
          </cell>
        </row>
        <row r="6687">
          <cell r="Q6687">
            <v>1560.0595002849468</v>
          </cell>
        </row>
        <row r="6688">
          <cell r="Q6688">
            <v>-3187.2563964495821</v>
          </cell>
        </row>
        <row r="6689">
          <cell r="Q6689">
            <v>639.10806531067067</v>
          </cell>
        </row>
        <row r="6690">
          <cell r="Q6690">
            <v>2780.949862448339</v>
          </cell>
        </row>
        <row r="6691">
          <cell r="Q6691">
            <v>-2550.5749755525426</v>
          </cell>
        </row>
        <row r="6692">
          <cell r="Q6692">
            <v>2832.5919574613849</v>
          </cell>
        </row>
        <row r="6693">
          <cell r="Q6693">
            <v>-567.70622361431947</v>
          </cell>
        </row>
        <row r="6694">
          <cell r="Q6694">
            <v>216.62062447306815</v>
          </cell>
        </row>
        <row r="6695">
          <cell r="Q6695">
            <v>2201.6191009606223</v>
          </cell>
        </row>
        <row r="6696">
          <cell r="Q6696">
            <v>2427.0600109169541</v>
          </cell>
        </row>
        <row r="6697">
          <cell r="Q6697">
            <v>-1897.1114931121217</v>
          </cell>
        </row>
        <row r="6698">
          <cell r="Q6698">
            <v>327.18030442081465</v>
          </cell>
        </row>
        <row r="6699">
          <cell r="Q6699">
            <v>-2883.5845198025654</v>
          </cell>
        </row>
        <row r="6700">
          <cell r="Q6700">
            <v>2105.365799294168</v>
          </cell>
        </row>
        <row r="6701">
          <cell r="Q6701">
            <v>-1523.0099863984017</v>
          </cell>
        </row>
        <row r="6702">
          <cell r="Q6702">
            <v>-3606.6678880212394</v>
          </cell>
        </row>
        <row r="6703">
          <cell r="Q6703">
            <v>1241.0892938416887</v>
          </cell>
        </row>
        <row r="6704">
          <cell r="Q6704">
            <v>-1231.3065917319057</v>
          </cell>
        </row>
        <row r="6705">
          <cell r="Q6705">
            <v>1280.6525968669291</v>
          </cell>
        </row>
        <row r="6706">
          <cell r="Q6706">
            <v>-2336.8331799842153</v>
          </cell>
        </row>
        <row r="6707">
          <cell r="Q6707">
            <v>35.349607494562406</v>
          </cell>
        </row>
        <row r="6708">
          <cell r="Q6708">
            <v>-1282.4646428302656</v>
          </cell>
        </row>
        <row r="6709">
          <cell r="Q6709">
            <v>807.5193147860673</v>
          </cell>
        </row>
        <row r="6710">
          <cell r="Q6710">
            <v>2362.4026192992478</v>
          </cell>
        </row>
        <row r="6711">
          <cell r="Q6711">
            <v>1854.78056532921</v>
          </cell>
        </row>
        <row r="6712">
          <cell r="Q6712">
            <v>-433.40133360864769</v>
          </cell>
        </row>
        <row r="6713">
          <cell r="Q6713">
            <v>207.12462999930682</v>
          </cell>
        </row>
        <row r="6714">
          <cell r="Q6714">
            <v>-2188.132165365751</v>
          </cell>
        </row>
        <row r="6715">
          <cell r="Q6715">
            <v>1568.3732736174904</v>
          </cell>
        </row>
        <row r="6716">
          <cell r="Q6716">
            <v>-403.94815932856596</v>
          </cell>
        </row>
        <row r="6717">
          <cell r="Q6717">
            <v>-75.081155083263297</v>
          </cell>
        </row>
        <row r="6718">
          <cell r="Q6718">
            <v>1508.7759315671667</v>
          </cell>
        </row>
        <row r="6719">
          <cell r="Q6719">
            <v>-928.69796901894051</v>
          </cell>
        </row>
        <row r="6720">
          <cell r="Q6720">
            <v>56.296261781255396</v>
          </cell>
        </row>
        <row r="6721">
          <cell r="Q6721">
            <v>-180.60368792360561</v>
          </cell>
        </row>
        <row r="6722">
          <cell r="Q6722">
            <v>3126.1679481390042</v>
          </cell>
        </row>
        <row r="6723">
          <cell r="Q6723">
            <v>1728.6787350812131</v>
          </cell>
        </row>
        <row r="6724">
          <cell r="Q6724">
            <v>-1255.0850426401944</v>
          </cell>
        </row>
        <row r="6725">
          <cell r="Q6725">
            <v>1618.0905451191798</v>
          </cell>
        </row>
        <row r="6726">
          <cell r="Q6726">
            <v>-4052.6470798799337</v>
          </cell>
        </row>
        <row r="6727">
          <cell r="Q6727">
            <v>-706.53745246056019</v>
          </cell>
        </row>
        <row r="6728">
          <cell r="Q6728">
            <v>-497.43985940104329</v>
          </cell>
        </row>
        <row r="6729">
          <cell r="Q6729">
            <v>2785.7818664422648</v>
          </cell>
        </row>
        <row r="6730">
          <cell r="Q6730">
            <v>-1611.3172114054648</v>
          </cell>
        </row>
        <row r="6731">
          <cell r="Q6731">
            <v>2151.5490130020603</v>
          </cell>
        </row>
        <row r="6732">
          <cell r="Q6732">
            <v>1334.7462369238724</v>
          </cell>
        </row>
        <row r="6733">
          <cell r="Q6733">
            <v>4430.2540877495758</v>
          </cell>
        </row>
        <row r="6734">
          <cell r="Q6734">
            <v>1408.5789498242921</v>
          </cell>
        </row>
        <row r="6735">
          <cell r="Q6735">
            <v>431.05290055011778</v>
          </cell>
        </row>
        <row r="6736">
          <cell r="Q6736">
            <v>1548.8401637261779</v>
          </cell>
        </row>
        <row r="6737">
          <cell r="Q6737">
            <v>-1634.9009301892097</v>
          </cell>
        </row>
        <row r="6738">
          <cell r="Q6738">
            <v>-2139.6884340163733</v>
          </cell>
        </row>
        <row r="6739">
          <cell r="Q6739">
            <v>-839.27415203646638</v>
          </cell>
        </row>
        <row r="6740">
          <cell r="Q6740">
            <v>1723.1307802155354</v>
          </cell>
        </row>
        <row r="6741">
          <cell r="Q6741">
            <v>5195.237721296854</v>
          </cell>
        </row>
        <row r="6742">
          <cell r="Q6742">
            <v>-770.71611386268773</v>
          </cell>
        </row>
        <row r="6743">
          <cell r="Q6743">
            <v>-1021.3015092344608</v>
          </cell>
        </row>
        <row r="6744">
          <cell r="Q6744">
            <v>1614.2847526258836</v>
          </cell>
        </row>
        <row r="6745">
          <cell r="Q6745">
            <v>-118.00420062150596</v>
          </cell>
        </row>
        <row r="6746">
          <cell r="Q6746">
            <v>2934.1989740721251</v>
          </cell>
        </row>
        <row r="6747">
          <cell r="Q6747">
            <v>5146.4306211340599</v>
          </cell>
        </row>
        <row r="6748">
          <cell r="Q6748">
            <v>4454.0593736823239</v>
          </cell>
        </row>
        <row r="6749">
          <cell r="Q6749">
            <v>2548.6084509836533</v>
          </cell>
        </row>
        <row r="6750">
          <cell r="Q6750">
            <v>71.706621558809957</v>
          </cell>
        </row>
        <row r="6751">
          <cell r="Q6751">
            <v>3041.4615971088479</v>
          </cell>
        </row>
        <row r="6752">
          <cell r="Q6752">
            <v>37.133418435521492</v>
          </cell>
        </row>
        <row r="6753">
          <cell r="Q6753">
            <v>-230.89407090465289</v>
          </cell>
        </row>
        <row r="6754">
          <cell r="Q6754">
            <v>7.069686732265609</v>
          </cell>
        </row>
        <row r="6755">
          <cell r="Q6755">
            <v>-945.20722153070324</v>
          </cell>
        </row>
        <row r="6756">
          <cell r="Q6756">
            <v>-840.97485958783841</v>
          </cell>
        </row>
        <row r="6757">
          <cell r="Q6757">
            <v>1529.6996836668666</v>
          </cell>
        </row>
        <row r="6758">
          <cell r="Q6758">
            <v>-975.43746420332377</v>
          </cell>
        </row>
        <row r="6759">
          <cell r="Q6759">
            <v>4640.5500252189122</v>
          </cell>
        </row>
        <row r="6760">
          <cell r="Q6760">
            <v>-2036.5827762655533</v>
          </cell>
        </row>
        <row r="6761">
          <cell r="Q6761">
            <v>2156.4478085707715</v>
          </cell>
        </row>
        <row r="6762">
          <cell r="Q6762">
            <v>1833.8103634162869</v>
          </cell>
        </row>
        <row r="6763">
          <cell r="Q6763">
            <v>3060.8211020678405</v>
          </cell>
        </row>
        <row r="6764">
          <cell r="Q6764">
            <v>601.00422555914827</v>
          </cell>
        </row>
        <row r="6765">
          <cell r="Q6765">
            <v>1430.1590778111931</v>
          </cell>
        </row>
        <row r="6766">
          <cell r="Q6766">
            <v>-1036.7068909011432</v>
          </cell>
        </row>
        <row r="6767">
          <cell r="Q6767">
            <v>249.29555980898894</v>
          </cell>
        </row>
        <row r="6768">
          <cell r="Q6768">
            <v>704.8045581335648</v>
          </cell>
        </row>
        <row r="6769">
          <cell r="Q6769">
            <v>-1150.0214474797453</v>
          </cell>
        </row>
        <row r="6770">
          <cell r="Q6770">
            <v>-2807.5192921629332</v>
          </cell>
        </row>
        <row r="6771">
          <cell r="Q6771">
            <v>672.34136777096728</v>
          </cell>
        </row>
        <row r="6772">
          <cell r="Q6772">
            <v>-2009.3729891293485</v>
          </cell>
        </row>
        <row r="6773">
          <cell r="Q6773">
            <v>-1954.7012806292184</v>
          </cell>
        </row>
        <row r="6774">
          <cell r="Q6774">
            <v>-1519.6898911573599</v>
          </cell>
        </row>
        <row r="6775">
          <cell r="Q6775">
            <v>2057.2915498371767</v>
          </cell>
        </row>
        <row r="6776">
          <cell r="Q6776">
            <v>265.41449801626777</v>
          </cell>
        </row>
        <row r="6777">
          <cell r="Q6777">
            <v>3386.3319049003744</v>
          </cell>
        </row>
        <row r="6778">
          <cell r="Q6778">
            <v>-103.51567389038502</v>
          </cell>
        </row>
        <row r="6779">
          <cell r="Q6779">
            <v>2254.684157886039</v>
          </cell>
        </row>
        <row r="6780">
          <cell r="Q6780">
            <v>3855.5272503256183</v>
          </cell>
        </row>
        <row r="6781">
          <cell r="Q6781">
            <v>1576.3197339409144</v>
          </cell>
        </row>
        <row r="6782">
          <cell r="Q6782">
            <v>-1372.0353609261012</v>
          </cell>
        </row>
        <row r="6783">
          <cell r="Q6783">
            <v>-3577.0260609465422</v>
          </cell>
        </row>
        <row r="6784">
          <cell r="Q6784">
            <v>2340.0226046899397</v>
          </cell>
        </row>
        <row r="6785">
          <cell r="Q6785">
            <v>1401.9998028744967</v>
          </cell>
        </row>
        <row r="6786">
          <cell r="Q6786">
            <v>-3436.3564178821061</v>
          </cell>
        </row>
        <row r="6787">
          <cell r="Q6787">
            <v>478.1159601678205</v>
          </cell>
        </row>
        <row r="6788">
          <cell r="Q6788">
            <v>-3855.0268980563942</v>
          </cell>
        </row>
        <row r="6789">
          <cell r="Q6789">
            <v>4577.9656253315588</v>
          </cell>
        </row>
        <row r="6790">
          <cell r="Q6790">
            <v>1399.7575071984231</v>
          </cell>
        </row>
        <row r="6791">
          <cell r="Q6791">
            <v>-4109.3040935572535</v>
          </cell>
        </row>
        <row r="6792">
          <cell r="Q6792">
            <v>1635.4672470704202</v>
          </cell>
        </row>
        <row r="6793">
          <cell r="Q6793">
            <v>1362.3862465912225</v>
          </cell>
        </row>
        <row r="6794">
          <cell r="Q6794">
            <v>-361.63651180534788</v>
          </cell>
        </row>
        <row r="6795">
          <cell r="Q6795">
            <v>-801.09654847847173</v>
          </cell>
        </row>
        <row r="6796">
          <cell r="Q6796">
            <v>-734.44150022306007</v>
          </cell>
        </row>
        <row r="6797">
          <cell r="Q6797">
            <v>2958.5056558174406</v>
          </cell>
        </row>
        <row r="6798">
          <cell r="Q6798">
            <v>-580.73545861684283</v>
          </cell>
        </row>
        <row r="6799">
          <cell r="Q6799">
            <v>1011.2838240980082</v>
          </cell>
        </row>
        <row r="6800">
          <cell r="Q6800">
            <v>2393.3533827142619</v>
          </cell>
        </row>
        <row r="6801">
          <cell r="Q6801">
            <v>256.47436347625575</v>
          </cell>
        </row>
        <row r="6802">
          <cell r="Q6802">
            <v>300.48420076418455</v>
          </cell>
        </row>
        <row r="6803">
          <cell r="Q6803">
            <v>1058.2412630323045</v>
          </cell>
        </row>
        <row r="6804">
          <cell r="Q6804">
            <v>3123.4584899954739</v>
          </cell>
        </row>
        <row r="6805">
          <cell r="Q6805">
            <v>1849.053544084614</v>
          </cell>
        </row>
        <row r="6806">
          <cell r="Q6806">
            <v>-1504.9640026091292</v>
          </cell>
        </row>
        <row r="6807">
          <cell r="Q6807">
            <v>-5267.8053621962035</v>
          </cell>
        </row>
        <row r="6808">
          <cell r="Q6808">
            <v>-3167.0313059919058</v>
          </cell>
        </row>
        <row r="6809">
          <cell r="Q6809">
            <v>-927.65189723460708</v>
          </cell>
        </row>
        <row r="6810">
          <cell r="Q6810">
            <v>1221.6337708139897</v>
          </cell>
        </row>
        <row r="6811">
          <cell r="Q6811">
            <v>-1909.2855654883294</v>
          </cell>
        </row>
        <row r="6812">
          <cell r="Q6812">
            <v>2504.8373578045084</v>
          </cell>
        </row>
        <row r="6813">
          <cell r="Q6813">
            <v>1203.2234179547579</v>
          </cell>
        </row>
        <row r="6814">
          <cell r="Q6814">
            <v>-1351.7733123644441</v>
          </cell>
        </row>
        <row r="6815">
          <cell r="Q6815">
            <v>3347.1601255239943</v>
          </cell>
        </row>
        <row r="6816">
          <cell r="Q6816">
            <v>-1484.4617896436932</v>
          </cell>
        </row>
        <row r="6817">
          <cell r="Q6817">
            <v>1476.7630518657459</v>
          </cell>
        </row>
        <row r="6818">
          <cell r="Q6818">
            <v>-5503.1790530822345</v>
          </cell>
        </row>
        <row r="6819">
          <cell r="Q6819">
            <v>49.773193626895136</v>
          </cell>
        </row>
        <row r="6820">
          <cell r="Q6820">
            <v>388.8478946138016</v>
          </cell>
        </row>
        <row r="6821">
          <cell r="Q6821">
            <v>2197.7446722752074</v>
          </cell>
        </row>
        <row r="6822">
          <cell r="Q6822">
            <v>1097.5485971468599</v>
          </cell>
        </row>
        <row r="6823">
          <cell r="Q6823">
            <v>-73.241457835405697</v>
          </cell>
        </row>
        <row r="6824">
          <cell r="Q6824">
            <v>2250.2123593264073</v>
          </cell>
        </row>
        <row r="6825">
          <cell r="Q6825">
            <v>3036.1637727805073</v>
          </cell>
        </row>
        <row r="6826">
          <cell r="Q6826">
            <v>-269.09590074478018</v>
          </cell>
        </row>
        <row r="6827">
          <cell r="Q6827">
            <v>2572.2056407011696</v>
          </cell>
        </row>
        <row r="6828">
          <cell r="Q6828">
            <v>121.46208257350798</v>
          </cell>
        </row>
        <row r="6829">
          <cell r="Q6829">
            <v>-3725.8657895900515</v>
          </cell>
        </row>
        <row r="6830">
          <cell r="Q6830">
            <v>-1576.5761988198688</v>
          </cell>
        </row>
        <row r="6831">
          <cell r="Q6831">
            <v>2042.3312872842357</v>
          </cell>
        </row>
        <row r="6832">
          <cell r="Q6832">
            <v>2174.701334466014</v>
          </cell>
        </row>
        <row r="6833">
          <cell r="Q6833">
            <v>2730.7011954747641</v>
          </cell>
        </row>
        <row r="6834">
          <cell r="Q6834">
            <v>2202.1818293563242</v>
          </cell>
        </row>
        <row r="6835">
          <cell r="Q6835">
            <v>-1255.7599148834695</v>
          </cell>
        </row>
        <row r="6836">
          <cell r="Q6836">
            <v>-731.39366865594866</v>
          </cell>
        </row>
        <row r="6837">
          <cell r="Q6837">
            <v>-376.72320138682488</v>
          </cell>
        </row>
        <row r="6838">
          <cell r="Q6838">
            <v>2315.3240072735252</v>
          </cell>
        </row>
        <row r="6839">
          <cell r="Q6839">
            <v>3561.4627086012538</v>
          </cell>
        </row>
        <row r="6840">
          <cell r="Q6840">
            <v>-218.08707356389897</v>
          </cell>
        </row>
        <row r="6841">
          <cell r="Q6841">
            <v>-973.89973783948835</v>
          </cell>
        </row>
        <row r="6842">
          <cell r="Q6842">
            <v>-578.56026715537701</v>
          </cell>
        </row>
        <row r="6843">
          <cell r="Q6843">
            <v>4231.1286334406886</v>
          </cell>
        </row>
        <row r="6844">
          <cell r="Q6844">
            <v>254.18654817183364</v>
          </cell>
        </row>
        <row r="6845">
          <cell r="Q6845">
            <v>-857.03170247666822</v>
          </cell>
        </row>
        <row r="6846">
          <cell r="Q6846">
            <v>691.95349323243636</v>
          </cell>
        </row>
        <row r="6847">
          <cell r="Q6847">
            <v>2007.967673569678</v>
          </cell>
        </row>
        <row r="6848">
          <cell r="Q6848">
            <v>-4793.5921217309187</v>
          </cell>
        </row>
        <row r="6849">
          <cell r="Q6849">
            <v>1990.2465405269061</v>
          </cell>
        </row>
        <row r="6850">
          <cell r="Q6850">
            <v>385.52261245976979</v>
          </cell>
        </row>
        <row r="6851">
          <cell r="Q6851">
            <v>676.52593585031764</v>
          </cell>
        </row>
        <row r="6852">
          <cell r="Q6852">
            <v>-1931.1927753584703</v>
          </cell>
        </row>
        <row r="6853">
          <cell r="Q6853">
            <v>-1907.7280863540284</v>
          </cell>
        </row>
        <row r="6854">
          <cell r="Q6854">
            <v>-592.49693679316238</v>
          </cell>
        </row>
        <row r="6855">
          <cell r="Q6855">
            <v>1454.084834175429</v>
          </cell>
        </row>
        <row r="6856">
          <cell r="Q6856">
            <v>-777.98474723655613</v>
          </cell>
        </row>
        <row r="6857">
          <cell r="Q6857">
            <v>-1387.1294475323546</v>
          </cell>
        </row>
        <row r="6858">
          <cell r="Q6858">
            <v>127.35528681252447</v>
          </cell>
        </row>
        <row r="6859">
          <cell r="Q6859">
            <v>1840.9038697063672</v>
          </cell>
        </row>
        <row r="6860">
          <cell r="Q6860">
            <v>2372.0971512621049</v>
          </cell>
        </row>
        <row r="6861">
          <cell r="Q6861">
            <v>4221.7596312322885</v>
          </cell>
        </row>
        <row r="6862">
          <cell r="Q6862">
            <v>-1804.0017442862511</v>
          </cell>
        </row>
        <row r="6863">
          <cell r="Q6863">
            <v>-2037.0840747347818</v>
          </cell>
        </row>
        <row r="6864">
          <cell r="Q6864">
            <v>-3517.9158590023694</v>
          </cell>
        </row>
        <row r="6865">
          <cell r="Q6865">
            <v>-199.92335076723469</v>
          </cell>
        </row>
        <row r="6866">
          <cell r="Q6866">
            <v>4448.4737232113066</v>
          </cell>
        </row>
        <row r="6867">
          <cell r="Q6867">
            <v>-229.86383777563384</v>
          </cell>
        </row>
        <row r="6868">
          <cell r="Q6868">
            <v>2058.7154718402394</v>
          </cell>
        </row>
        <row r="6869">
          <cell r="Q6869">
            <v>2441.5723379049509</v>
          </cell>
        </row>
        <row r="6870">
          <cell r="Q6870">
            <v>-656.86246956734135</v>
          </cell>
        </row>
        <row r="6871">
          <cell r="Q6871">
            <v>-449.57514206507921</v>
          </cell>
        </row>
        <row r="6872">
          <cell r="Q6872">
            <v>158.98579655998614</v>
          </cell>
        </row>
        <row r="6873">
          <cell r="Q6873">
            <v>558.72889259222541</v>
          </cell>
        </row>
        <row r="6874">
          <cell r="Q6874">
            <v>-458.69671950577509</v>
          </cell>
        </row>
        <row r="6875">
          <cell r="Q6875">
            <v>-1456.7037384007465</v>
          </cell>
        </row>
        <row r="6876">
          <cell r="Q6876">
            <v>1365.3231064921968</v>
          </cell>
        </row>
        <row r="6877">
          <cell r="Q6877">
            <v>-1653.918344020424</v>
          </cell>
        </row>
        <row r="6878">
          <cell r="Q6878">
            <v>2917.1242980605875</v>
          </cell>
        </row>
        <row r="6879">
          <cell r="Q6879">
            <v>-6273.9534694113781</v>
          </cell>
        </row>
        <row r="6880">
          <cell r="Q6880">
            <v>4319.5328786234459</v>
          </cell>
        </row>
        <row r="6881">
          <cell r="Q6881">
            <v>192.92004656500177</v>
          </cell>
        </row>
        <row r="6882">
          <cell r="Q6882">
            <v>-1942.1825805647024</v>
          </cell>
        </row>
        <row r="6883">
          <cell r="Q6883">
            <v>-1022.2697229231323</v>
          </cell>
        </row>
        <row r="6884">
          <cell r="Q6884">
            <v>-1259.3154293237949</v>
          </cell>
        </row>
        <row r="6885">
          <cell r="Q6885">
            <v>-1063.7120551050866</v>
          </cell>
        </row>
        <row r="6886">
          <cell r="Q6886">
            <v>-499.15021909357125</v>
          </cell>
        </row>
        <row r="6887">
          <cell r="Q6887">
            <v>-1978.5665173736336</v>
          </cell>
        </row>
        <row r="6888">
          <cell r="Q6888">
            <v>-3026.1592840127382</v>
          </cell>
        </row>
        <row r="6889">
          <cell r="Q6889">
            <v>1503.9458086932705</v>
          </cell>
        </row>
        <row r="6890">
          <cell r="Q6890">
            <v>-2212.0694410729284</v>
          </cell>
        </row>
        <row r="6891">
          <cell r="Q6891">
            <v>757.37689465587277</v>
          </cell>
        </row>
        <row r="6892">
          <cell r="Q6892">
            <v>-1578.7049468194284</v>
          </cell>
        </row>
        <row r="6893">
          <cell r="Q6893">
            <v>136.53278213173218</v>
          </cell>
        </row>
        <row r="6894">
          <cell r="Q6894">
            <v>1741.6820381784464</v>
          </cell>
        </row>
        <row r="6895">
          <cell r="Q6895">
            <v>463.42211090589188</v>
          </cell>
        </row>
        <row r="6896">
          <cell r="Q6896">
            <v>-130.07795091862243</v>
          </cell>
        </row>
        <row r="6897">
          <cell r="Q6897">
            <v>49.252031203608965</v>
          </cell>
        </row>
        <row r="6898">
          <cell r="Q6898">
            <v>1609.6297338800355</v>
          </cell>
        </row>
        <row r="6899">
          <cell r="Q6899">
            <v>1382.2899981234652</v>
          </cell>
        </row>
        <row r="6900">
          <cell r="Q6900">
            <v>-1500.3984453186822</v>
          </cell>
        </row>
        <row r="6901">
          <cell r="Q6901">
            <v>177.9391513128798</v>
          </cell>
        </row>
        <row r="6902">
          <cell r="Q6902">
            <v>1178.5167432325652</v>
          </cell>
        </row>
        <row r="6903">
          <cell r="Q6903">
            <v>835.58511547311127</v>
          </cell>
        </row>
        <row r="6904">
          <cell r="Q6904">
            <v>1005.4819152973173</v>
          </cell>
        </row>
        <row r="6905">
          <cell r="Q6905">
            <v>6032.0215124733777</v>
          </cell>
        </row>
        <row r="6906">
          <cell r="Q6906">
            <v>2811.1766877620521</v>
          </cell>
        </row>
        <row r="6907">
          <cell r="Q6907">
            <v>2786.5469374264735</v>
          </cell>
        </row>
        <row r="6908">
          <cell r="Q6908">
            <v>3288.8582985365515</v>
          </cell>
        </row>
        <row r="6909">
          <cell r="Q6909">
            <v>2869.9068767135045</v>
          </cell>
        </row>
        <row r="6910">
          <cell r="Q6910">
            <v>2484.3507741035287</v>
          </cell>
        </row>
        <row r="6911">
          <cell r="Q6911">
            <v>-954.84983218703519</v>
          </cell>
        </row>
        <row r="6912">
          <cell r="Q6912">
            <v>957.10881791329166</v>
          </cell>
        </row>
        <row r="6913">
          <cell r="Q6913">
            <v>2297.2297474155089</v>
          </cell>
        </row>
        <row r="6914">
          <cell r="Q6914">
            <v>2560.4389769093041</v>
          </cell>
        </row>
        <row r="6915">
          <cell r="Q6915">
            <v>2108.8649273743599</v>
          </cell>
        </row>
        <row r="6916">
          <cell r="Q6916">
            <v>1246.761243527905</v>
          </cell>
        </row>
        <row r="6917">
          <cell r="Q6917">
            <v>465.21322928537506</v>
          </cell>
        </row>
        <row r="6918">
          <cell r="Q6918">
            <v>-117.14321494154723</v>
          </cell>
        </row>
        <row r="6919">
          <cell r="Q6919">
            <v>2114.1677002561032</v>
          </cell>
        </row>
        <row r="6920">
          <cell r="Q6920">
            <v>-1411.0946584088149</v>
          </cell>
        </row>
        <row r="6921">
          <cell r="Q6921">
            <v>-880.68133003995263</v>
          </cell>
        </row>
        <row r="6922">
          <cell r="Q6922">
            <v>2173.744829157547</v>
          </cell>
        </row>
        <row r="6923">
          <cell r="Q6923">
            <v>1425.1684071432494</v>
          </cell>
        </row>
        <row r="6924">
          <cell r="Q6924">
            <v>3667.5187245762681</v>
          </cell>
        </row>
        <row r="6925">
          <cell r="Q6925">
            <v>1522.6137100454239</v>
          </cell>
        </row>
        <row r="6926">
          <cell r="Q6926">
            <v>2669.3530090775266</v>
          </cell>
        </row>
        <row r="6927">
          <cell r="Q6927">
            <v>-381.19338889500892</v>
          </cell>
        </row>
        <row r="6928">
          <cell r="Q6928">
            <v>2922.2636786387134</v>
          </cell>
        </row>
        <row r="6929">
          <cell r="Q6929">
            <v>474.03643144929856</v>
          </cell>
        </row>
        <row r="6930">
          <cell r="Q6930">
            <v>-354.81199664605361</v>
          </cell>
        </row>
        <row r="6931">
          <cell r="Q6931">
            <v>-3006.3910557875611</v>
          </cell>
        </row>
        <row r="6932">
          <cell r="Q6932">
            <v>369.60344247381295</v>
          </cell>
        </row>
        <row r="6933">
          <cell r="Q6933">
            <v>1873.9002045363161</v>
          </cell>
        </row>
        <row r="6934">
          <cell r="Q6934">
            <v>2996.6297351570906</v>
          </cell>
        </row>
        <row r="6935">
          <cell r="Q6935">
            <v>-752.93427595989851</v>
          </cell>
        </row>
        <row r="6936">
          <cell r="Q6936">
            <v>1567.8199700486746</v>
          </cell>
        </row>
        <row r="6937">
          <cell r="Q6937">
            <v>-5345.7417238835133</v>
          </cell>
        </row>
        <row r="6938">
          <cell r="Q6938">
            <v>1785.3187924450597</v>
          </cell>
        </row>
        <row r="6939">
          <cell r="Q6939">
            <v>-2805.832748258003</v>
          </cell>
        </row>
        <row r="6940">
          <cell r="Q6940">
            <v>-3100.1924876724161</v>
          </cell>
        </row>
        <row r="6941">
          <cell r="Q6941">
            <v>2168.2963692488015</v>
          </cell>
        </row>
        <row r="6942">
          <cell r="Q6942">
            <v>3502.0695578705695</v>
          </cell>
        </row>
        <row r="6943">
          <cell r="Q6943">
            <v>1818.5677711193739</v>
          </cell>
        </row>
        <row r="6944">
          <cell r="Q6944">
            <v>-3505.7374913992385</v>
          </cell>
        </row>
        <row r="6945">
          <cell r="Q6945">
            <v>-481.33042075554118</v>
          </cell>
        </row>
        <row r="6946">
          <cell r="Q6946">
            <v>-1576.6923998011614</v>
          </cell>
        </row>
        <row r="6947">
          <cell r="Q6947">
            <v>-535.62641718982422</v>
          </cell>
        </row>
        <row r="6948">
          <cell r="Q6948">
            <v>-90.822827803112318</v>
          </cell>
        </row>
        <row r="6949">
          <cell r="Q6949">
            <v>5347.9658800005991</v>
          </cell>
        </row>
        <row r="6950">
          <cell r="Q6950">
            <v>-564.82253194101349</v>
          </cell>
        </row>
        <row r="6951">
          <cell r="Q6951">
            <v>2051.7358283844014</v>
          </cell>
        </row>
        <row r="6952">
          <cell r="Q6952">
            <v>1255.0606235499943</v>
          </cell>
        </row>
        <row r="6953">
          <cell r="Q6953">
            <v>2025.9086517905203</v>
          </cell>
        </row>
        <row r="6954">
          <cell r="Q6954">
            <v>-289.00316442548359</v>
          </cell>
        </row>
        <row r="6955">
          <cell r="Q6955">
            <v>2948.0558118969366</v>
          </cell>
        </row>
        <row r="6956">
          <cell r="Q6956">
            <v>-967.22017280907653</v>
          </cell>
        </row>
        <row r="6957">
          <cell r="Q6957">
            <v>-74.66579726726269</v>
          </cell>
        </row>
        <row r="6958">
          <cell r="Q6958">
            <v>-1857.2779985725076</v>
          </cell>
        </row>
        <row r="6959">
          <cell r="Q6959">
            <v>-1726.9488505656479</v>
          </cell>
        </row>
        <row r="6960">
          <cell r="Q6960">
            <v>1677.7435255890846</v>
          </cell>
        </row>
        <row r="6961">
          <cell r="Q6961">
            <v>-374.24240367303543</v>
          </cell>
        </row>
        <row r="6962">
          <cell r="Q6962">
            <v>1617.1559289921001</v>
          </cell>
        </row>
        <row r="6963">
          <cell r="Q6963">
            <v>1462.2599264594232</v>
          </cell>
        </row>
        <row r="6964">
          <cell r="Q6964">
            <v>105.63551347654106</v>
          </cell>
        </row>
        <row r="6965">
          <cell r="Q6965">
            <v>1361.8602500986167</v>
          </cell>
        </row>
        <row r="6966">
          <cell r="Q6966">
            <v>1813.5613363352611</v>
          </cell>
        </row>
        <row r="6967">
          <cell r="Q6967">
            <v>708.45755785092501</v>
          </cell>
        </row>
        <row r="6968">
          <cell r="Q6968">
            <v>-2798.1971382177294</v>
          </cell>
        </row>
        <row r="6969">
          <cell r="Q6969">
            <v>2346.5720511759205</v>
          </cell>
        </row>
        <row r="6970">
          <cell r="Q6970">
            <v>-789.91756343689781</v>
          </cell>
        </row>
        <row r="6971">
          <cell r="Q6971">
            <v>-1469.0852390597904</v>
          </cell>
        </row>
        <row r="6972">
          <cell r="Q6972">
            <v>1003.9346883822075</v>
          </cell>
        </row>
        <row r="6973">
          <cell r="Q6973">
            <v>1153.8036973653295</v>
          </cell>
        </row>
        <row r="6974">
          <cell r="Q6974">
            <v>61.002438324737341</v>
          </cell>
        </row>
        <row r="6975">
          <cell r="Q6975">
            <v>613.54494881405321</v>
          </cell>
        </row>
        <row r="6976">
          <cell r="Q6976">
            <v>-935.57437311855551</v>
          </cell>
        </row>
        <row r="6977">
          <cell r="Q6977">
            <v>-3545.3809845276542</v>
          </cell>
        </row>
        <row r="6978">
          <cell r="Q6978">
            <v>-474.40087161152331</v>
          </cell>
        </row>
        <row r="6979">
          <cell r="Q6979">
            <v>169.56133150705102</v>
          </cell>
        </row>
        <row r="6980">
          <cell r="Q6980">
            <v>-1218.8400959177418</v>
          </cell>
        </row>
        <row r="6981">
          <cell r="Q6981">
            <v>812.98719296992385</v>
          </cell>
        </row>
        <row r="6982">
          <cell r="Q6982">
            <v>-1501.9774150315704</v>
          </cell>
        </row>
        <row r="6983">
          <cell r="Q6983">
            <v>839.8538359632289</v>
          </cell>
        </row>
        <row r="6984">
          <cell r="Q6984">
            <v>-48.001582595642219</v>
          </cell>
        </row>
        <row r="6985">
          <cell r="Q6985">
            <v>-1419.5312133276311</v>
          </cell>
        </row>
        <row r="6986">
          <cell r="Q6986">
            <v>5310.5252383673524</v>
          </cell>
        </row>
        <row r="6987">
          <cell r="Q6987">
            <v>-559.82443652614165</v>
          </cell>
        </row>
        <row r="6988">
          <cell r="Q6988">
            <v>2831.621834265557</v>
          </cell>
        </row>
        <row r="6989">
          <cell r="Q6989">
            <v>687.26457640079911</v>
          </cell>
        </row>
        <row r="6990">
          <cell r="Q6990">
            <v>2169.5517744183967</v>
          </cell>
        </row>
        <row r="6991">
          <cell r="Q6991">
            <v>1979.2032895773425</v>
          </cell>
        </row>
        <row r="6992">
          <cell r="Q6992">
            <v>1079.3865761067448</v>
          </cell>
        </row>
        <row r="6993">
          <cell r="Q6993">
            <v>295.8623676117893</v>
          </cell>
        </row>
        <row r="6994">
          <cell r="Q6994">
            <v>904.04911073765584</v>
          </cell>
        </row>
        <row r="6995">
          <cell r="Q6995">
            <v>2416.7371444788319</v>
          </cell>
        </row>
        <row r="6996">
          <cell r="Q6996">
            <v>1073.0349584365263</v>
          </cell>
        </row>
        <row r="6997">
          <cell r="Q6997">
            <v>1643.9660021510545</v>
          </cell>
        </row>
        <row r="6998">
          <cell r="Q6998">
            <v>876.06192833060868</v>
          </cell>
        </row>
        <row r="6999">
          <cell r="Q6999">
            <v>-2032.445618919962</v>
          </cell>
        </row>
        <row r="7000">
          <cell r="Q7000">
            <v>-2254.634687655489</v>
          </cell>
        </row>
        <row r="7001">
          <cell r="Q7001">
            <v>438.16693854653585</v>
          </cell>
        </row>
        <row r="7002">
          <cell r="Q7002">
            <v>-1115.276123553218</v>
          </cell>
        </row>
        <row r="7003">
          <cell r="Q7003">
            <v>-2752.4658786571672</v>
          </cell>
        </row>
        <row r="7004">
          <cell r="Q7004">
            <v>3037.6573876386319</v>
          </cell>
        </row>
        <row r="7005">
          <cell r="Q7005">
            <v>1299.7914108394029</v>
          </cell>
        </row>
        <row r="7006">
          <cell r="Q7006">
            <v>4366.2037182044151</v>
          </cell>
        </row>
        <row r="7007">
          <cell r="Q7007">
            <v>3425.5457533405543</v>
          </cell>
        </row>
        <row r="7008">
          <cell r="Q7008">
            <v>749.9642972374545</v>
          </cell>
        </row>
        <row r="7009">
          <cell r="Q7009">
            <v>-844.63074221201327</v>
          </cell>
        </row>
        <row r="7010">
          <cell r="Q7010">
            <v>2858.3602105103873</v>
          </cell>
        </row>
        <row r="7011">
          <cell r="Q7011">
            <v>7142.4076343822344</v>
          </cell>
        </row>
        <row r="7012">
          <cell r="Q7012">
            <v>306.65136751090705</v>
          </cell>
        </row>
        <row r="7013">
          <cell r="Q7013">
            <v>927.75964630945828</v>
          </cell>
        </row>
        <row r="7014">
          <cell r="Q7014">
            <v>1968.7588019420953</v>
          </cell>
        </row>
        <row r="7015">
          <cell r="Q7015">
            <v>-187.76122934445101</v>
          </cell>
        </row>
        <row r="7016">
          <cell r="Q7016">
            <v>-735.46914204662244</v>
          </cell>
        </row>
        <row r="7017">
          <cell r="Q7017">
            <v>-368.63530468945152</v>
          </cell>
        </row>
        <row r="7018">
          <cell r="Q7018">
            <v>-1225.8089178910088</v>
          </cell>
        </row>
        <row r="7019">
          <cell r="Q7019">
            <v>-2670.7200328151021</v>
          </cell>
        </row>
        <row r="7020">
          <cell r="Q7020">
            <v>-97.6577314327875</v>
          </cell>
        </row>
        <row r="7021">
          <cell r="Q7021">
            <v>1410.09395922314</v>
          </cell>
        </row>
        <row r="7022">
          <cell r="Q7022">
            <v>272.29278184015112</v>
          </cell>
        </row>
        <row r="7023">
          <cell r="Q7023">
            <v>56.450603836817493</v>
          </cell>
        </row>
        <row r="7024">
          <cell r="Q7024">
            <v>2610.8268687244681</v>
          </cell>
        </row>
        <row r="7025">
          <cell r="Q7025">
            <v>824.52204921836062</v>
          </cell>
        </row>
        <row r="7026">
          <cell r="Q7026">
            <v>78.037610379175248</v>
          </cell>
        </row>
        <row r="7027">
          <cell r="Q7027">
            <v>-1570.1732310837845</v>
          </cell>
        </row>
        <row r="7028">
          <cell r="Q7028">
            <v>2915.01193749713</v>
          </cell>
        </row>
        <row r="7029">
          <cell r="Q7029">
            <v>622.07692909741604</v>
          </cell>
        </row>
        <row r="7030">
          <cell r="Q7030">
            <v>-202.82058198326291</v>
          </cell>
        </row>
        <row r="7031">
          <cell r="Q7031">
            <v>-4710.1226138709671</v>
          </cell>
        </row>
        <row r="7032">
          <cell r="Q7032">
            <v>-1345.3482753772048</v>
          </cell>
        </row>
        <row r="7033">
          <cell r="Q7033">
            <v>3206.8819960929623</v>
          </cell>
        </row>
        <row r="7034">
          <cell r="Q7034">
            <v>2076.4890724731035</v>
          </cell>
        </row>
        <row r="7035">
          <cell r="Q7035">
            <v>568.39379666216826</v>
          </cell>
        </row>
        <row r="7036">
          <cell r="Q7036">
            <v>3701.2737075040368</v>
          </cell>
        </row>
        <row r="7037">
          <cell r="Q7037">
            <v>-1244.4531842157671</v>
          </cell>
        </row>
        <row r="7038">
          <cell r="Q7038">
            <v>2543.6362167857701</v>
          </cell>
        </row>
        <row r="7039">
          <cell r="Q7039">
            <v>-1363.8177977301486</v>
          </cell>
        </row>
        <row r="7040">
          <cell r="Q7040">
            <v>-148.36382397972687</v>
          </cell>
        </row>
        <row r="7041">
          <cell r="Q7041">
            <v>3485.9888349615517</v>
          </cell>
        </row>
        <row r="7042">
          <cell r="Q7042">
            <v>1458.8340093706981</v>
          </cell>
        </row>
        <row r="7043">
          <cell r="Q7043">
            <v>-9.5372135119083623</v>
          </cell>
        </row>
        <row r="7044">
          <cell r="Q7044">
            <v>747.35685274430216</v>
          </cell>
        </row>
        <row r="7045">
          <cell r="Q7045">
            <v>1246.0217559401117</v>
          </cell>
        </row>
        <row r="7046">
          <cell r="Q7046">
            <v>282.89086747214577</v>
          </cell>
        </row>
        <row r="7047">
          <cell r="Q7047">
            <v>940.31071145227611</v>
          </cell>
        </row>
        <row r="7048">
          <cell r="Q7048">
            <v>1865.7082399302562</v>
          </cell>
        </row>
        <row r="7049">
          <cell r="Q7049">
            <v>-9.1903857416296546</v>
          </cell>
        </row>
        <row r="7050">
          <cell r="Q7050">
            <v>1421.4398702273857</v>
          </cell>
        </row>
        <row r="7051">
          <cell r="Q7051">
            <v>-56.87073967803633</v>
          </cell>
        </row>
        <row r="7052">
          <cell r="Q7052">
            <v>-64.32232681468173</v>
          </cell>
        </row>
        <row r="7053">
          <cell r="Q7053">
            <v>-2092.1683314920119</v>
          </cell>
        </row>
        <row r="7054">
          <cell r="Q7054">
            <v>3977.3643062300885</v>
          </cell>
        </row>
        <row r="7055">
          <cell r="Q7055">
            <v>-1060.9008413367549</v>
          </cell>
        </row>
        <row r="7056">
          <cell r="Q7056">
            <v>3030.5578475310372</v>
          </cell>
        </row>
        <row r="7057">
          <cell r="Q7057">
            <v>4137.9273937087046</v>
          </cell>
        </row>
        <row r="7058">
          <cell r="Q7058">
            <v>120.28071397817837</v>
          </cell>
        </row>
        <row r="7059">
          <cell r="Q7059">
            <v>1960.6733228236087</v>
          </cell>
        </row>
        <row r="7060">
          <cell r="Q7060">
            <v>213.6163329795387</v>
          </cell>
        </row>
        <row r="7061">
          <cell r="Q7061">
            <v>2174.8324828230502</v>
          </cell>
        </row>
        <row r="7062">
          <cell r="Q7062">
            <v>2229.9959236063391</v>
          </cell>
        </row>
        <row r="7063">
          <cell r="Q7063">
            <v>2939.807920479986</v>
          </cell>
        </row>
        <row r="7064">
          <cell r="Q7064">
            <v>301.7772171517077</v>
          </cell>
        </row>
        <row r="7065">
          <cell r="Q7065">
            <v>-2648.4156250734527</v>
          </cell>
        </row>
        <row r="7066">
          <cell r="Q7066">
            <v>994.32975904209707</v>
          </cell>
        </row>
        <row r="7067">
          <cell r="Q7067">
            <v>277.50038029618122</v>
          </cell>
        </row>
        <row r="7068">
          <cell r="Q7068">
            <v>675.09330339535268</v>
          </cell>
        </row>
        <row r="7069">
          <cell r="Q7069">
            <v>1261.9811592532196</v>
          </cell>
        </row>
        <row r="7070">
          <cell r="Q7070">
            <v>-1.6659149279662415</v>
          </cell>
        </row>
        <row r="7071">
          <cell r="Q7071">
            <v>-4112.2554766440253</v>
          </cell>
        </row>
        <row r="7072">
          <cell r="Q7072">
            <v>1865.7008240774471</v>
          </cell>
        </row>
        <row r="7073">
          <cell r="Q7073">
            <v>3286.7833972283051</v>
          </cell>
        </row>
        <row r="7074">
          <cell r="Q7074">
            <v>3945.7760170449901</v>
          </cell>
        </row>
        <row r="7075">
          <cell r="Q7075">
            <v>-1541.1265707230782</v>
          </cell>
        </row>
        <row r="7076">
          <cell r="Q7076">
            <v>1586.221487422272</v>
          </cell>
        </row>
        <row r="7077">
          <cell r="Q7077">
            <v>2679.2604454119255</v>
          </cell>
        </row>
        <row r="7078">
          <cell r="Q7078">
            <v>-1290.7543936227464</v>
          </cell>
        </row>
        <row r="7079">
          <cell r="Q7079">
            <v>-2150.0554471142723</v>
          </cell>
        </row>
        <row r="7080">
          <cell r="Q7080">
            <v>1237.1628867078537</v>
          </cell>
        </row>
        <row r="7081">
          <cell r="Q7081">
            <v>1566.3533132437251</v>
          </cell>
        </row>
        <row r="7082">
          <cell r="Q7082">
            <v>832.55002672219018</v>
          </cell>
        </row>
        <row r="7083">
          <cell r="Q7083">
            <v>-580.07575385723067</v>
          </cell>
        </row>
        <row r="7084">
          <cell r="Q7084">
            <v>631.35508606896803</v>
          </cell>
        </row>
        <row r="7085">
          <cell r="Q7085">
            <v>-67.367662826302421</v>
          </cell>
        </row>
        <row r="7086">
          <cell r="Q7086">
            <v>-25.333315370870935</v>
          </cell>
        </row>
        <row r="7087">
          <cell r="Q7087">
            <v>220.21402592898903</v>
          </cell>
        </row>
        <row r="7088">
          <cell r="Q7088">
            <v>140.59140942098702</v>
          </cell>
        </row>
        <row r="7089">
          <cell r="Q7089">
            <v>2334.9997202289874</v>
          </cell>
        </row>
        <row r="7090">
          <cell r="Q7090">
            <v>1203.9260335020074</v>
          </cell>
        </row>
        <row r="7091">
          <cell r="Q7091">
            <v>1838.4862556146152</v>
          </cell>
        </row>
        <row r="7092">
          <cell r="Q7092">
            <v>-315.86669851200082</v>
          </cell>
        </row>
        <row r="7093">
          <cell r="Q7093">
            <v>-1625.6825213978063</v>
          </cell>
        </row>
        <row r="7094">
          <cell r="Q7094">
            <v>2034.5471315781826</v>
          </cell>
        </row>
        <row r="7095">
          <cell r="Q7095">
            <v>4782.5686803963699</v>
          </cell>
        </row>
        <row r="7096">
          <cell r="Q7096">
            <v>-310.97648425640278</v>
          </cell>
        </row>
        <row r="7097">
          <cell r="Q7097">
            <v>-143.83379898560548</v>
          </cell>
        </row>
        <row r="7098">
          <cell r="Q7098">
            <v>-641.85068528407419</v>
          </cell>
        </row>
        <row r="7099">
          <cell r="Q7099">
            <v>-304.93462334095528</v>
          </cell>
        </row>
        <row r="7100">
          <cell r="Q7100">
            <v>173.59156995969136</v>
          </cell>
        </row>
        <row r="7101">
          <cell r="Q7101">
            <v>-489.35025212395743</v>
          </cell>
        </row>
        <row r="7102">
          <cell r="Q7102">
            <v>1727.3012380379901</v>
          </cell>
        </row>
        <row r="7103">
          <cell r="Q7103">
            <v>1627.7848285937864</v>
          </cell>
        </row>
        <row r="7104">
          <cell r="Q7104">
            <v>2714.2447797339019</v>
          </cell>
        </row>
        <row r="7105">
          <cell r="Q7105">
            <v>583.87580169958255</v>
          </cell>
        </row>
        <row r="7106">
          <cell r="Q7106">
            <v>-627.62816807137756</v>
          </cell>
        </row>
        <row r="7107">
          <cell r="Q7107">
            <v>124.02154334718944</v>
          </cell>
        </row>
        <row r="7108">
          <cell r="Q7108">
            <v>2156.2244464261489</v>
          </cell>
        </row>
        <row r="7109">
          <cell r="Q7109">
            <v>681.87248111087706</v>
          </cell>
        </row>
        <row r="7110">
          <cell r="Q7110">
            <v>-309.61358762931599</v>
          </cell>
        </row>
        <row r="7111">
          <cell r="Q7111">
            <v>-1097.6013807952133</v>
          </cell>
        </row>
        <row r="7112">
          <cell r="Q7112">
            <v>-1034.2473409548413</v>
          </cell>
        </row>
        <row r="7113">
          <cell r="Q7113">
            <v>-694.76866179169497</v>
          </cell>
        </row>
        <row r="7114">
          <cell r="Q7114">
            <v>1087.9170615340192</v>
          </cell>
        </row>
        <row r="7115">
          <cell r="Q7115">
            <v>1534.1629376361468</v>
          </cell>
        </row>
        <row r="7116">
          <cell r="Q7116">
            <v>-3339.0086390280426</v>
          </cell>
        </row>
        <row r="7117">
          <cell r="Q7117">
            <v>-720.54211973838437</v>
          </cell>
        </row>
        <row r="7118">
          <cell r="Q7118">
            <v>1827.7323204865529</v>
          </cell>
        </row>
        <row r="7119">
          <cell r="Q7119">
            <v>-5875.5964363579333</v>
          </cell>
        </row>
        <row r="7120">
          <cell r="Q7120">
            <v>-88.275912395880368</v>
          </cell>
        </row>
        <row r="7121">
          <cell r="Q7121">
            <v>-1175.7611718813475</v>
          </cell>
        </row>
        <row r="7122">
          <cell r="Q7122">
            <v>41.738190375929264</v>
          </cell>
        </row>
        <row r="7123">
          <cell r="Q7123">
            <v>1752.0810259464533</v>
          </cell>
        </row>
        <row r="7124">
          <cell r="Q7124">
            <v>-633.13911023515266</v>
          </cell>
        </row>
        <row r="7125">
          <cell r="Q7125">
            <v>1916.8071279224446</v>
          </cell>
        </row>
        <row r="7126">
          <cell r="Q7126">
            <v>-880.45685727742421</v>
          </cell>
        </row>
        <row r="7127">
          <cell r="Q7127">
            <v>-693.73189833244692</v>
          </cell>
        </row>
        <row r="7128">
          <cell r="Q7128">
            <v>564.44696651640754</v>
          </cell>
        </row>
        <row r="7129">
          <cell r="Q7129">
            <v>899.44463417419752</v>
          </cell>
        </row>
        <row r="7130">
          <cell r="Q7130">
            <v>-485.2564099229275</v>
          </cell>
        </row>
        <row r="7131">
          <cell r="Q7131">
            <v>-648.41976432855972</v>
          </cell>
        </row>
        <row r="7132">
          <cell r="Q7132">
            <v>-236.91656206617637</v>
          </cell>
        </row>
        <row r="7133">
          <cell r="Q7133">
            <v>4280.2593960523172</v>
          </cell>
        </row>
        <row r="7134">
          <cell r="Q7134">
            <v>-5784.3204927823945</v>
          </cell>
        </row>
        <row r="7135">
          <cell r="Q7135">
            <v>1087.6835155324272</v>
          </cell>
        </row>
        <row r="7136">
          <cell r="Q7136">
            <v>-2203.499037622285</v>
          </cell>
        </row>
        <row r="7137">
          <cell r="Q7137">
            <v>-1568.0510181715433</v>
          </cell>
        </row>
        <row r="7138">
          <cell r="Q7138">
            <v>478.31329003575547</v>
          </cell>
        </row>
        <row r="7139">
          <cell r="Q7139">
            <v>-1005.5147558329959</v>
          </cell>
        </row>
        <row r="7140">
          <cell r="Q7140">
            <v>-169.27864190338352</v>
          </cell>
        </row>
        <row r="7141">
          <cell r="Q7141">
            <v>-1528.2807064617402</v>
          </cell>
        </row>
        <row r="7142">
          <cell r="Q7142">
            <v>-471.89267226670978</v>
          </cell>
        </row>
        <row r="7143">
          <cell r="Q7143">
            <v>3996.3332745116263</v>
          </cell>
        </row>
        <row r="7144">
          <cell r="Q7144">
            <v>2345.5681178339942</v>
          </cell>
        </row>
        <row r="7145">
          <cell r="Q7145">
            <v>-2093.0598955611849</v>
          </cell>
        </row>
        <row r="7146">
          <cell r="Q7146">
            <v>1785.0628868778847</v>
          </cell>
        </row>
        <row r="7147">
          <cell r="Q7147">
            <v>143.17814092826364</v>
          </cell>
        </row>
        <row r="7148">
          <cell r="Q7148">
            <v>-788.77558974277395</v>
          </cell>
        </row>
        <row r="7149">
          <cell r="Q7149">
            <v>1016.1678718794958</v>
          </cell>
        </row>
        <row r="7150">
          <cell r="Q7150">
            <v>-1751.6876275696616</v>
          </cell>
        </row>
        <row r="7151">
          <cell r="Q7151">
            <v>3206.8149653573641</v>
          </cell>
        </row>
        <row r="7152">
          <cell r="Q7152">
            <v>-1065.0226758434292</v>
          </cell>
        </row>
        <row r="7153">
          <cell r="Q7153">
            <v>2685.8149630128464</v>
          </cell>
        </row>
        <row r="7154">
          <cell r="Q7154">
            <v>-2901.6810131201246</v>
          </cell>
        </row>
        <row r="7155">
          <cell r="Q7155">
            <v>-666.04877948569879</v>
          </cell>
        </row>
        <row r="7156">
          <cell r="Q7156">
            <v>-1446.8477597776371</v>
          </cell>
        </row>
        <row r="7157">
          <cell r="Q7157">
            <v>-981.12587543672203</v>
          </cell>
        </row>
        <row r="7158">
          <cell r="Q7158">
            <v>2958.4045884872344</v>
          </cell>
        </row>
        <row r="7159">
          <cell r="Q7159">
            <v>-2357.7811720644545</v>
          </cell>
        </row>
        <row r="7160">
          <cell r="Q7160">
            <v>853.67512354600285</v>
          </cell>
        </row>
        <row r="7161">
          <cell r="Q7161">
            <v>3952.7340554229067</v>
          </cell>
        </row>
        <row r="7162">
          <cell r="Q7162">
            <v>-1770.4373995682638</v>
          </cell>
        </row>
        <row r="7163">
          <cell r="Q7163">
            <v>805.89967471100158</v>
          </cell>
        </row>
        <row r="7164">
          <cell r="Q7164">
            <v>2866.9040879032873</v>
          </cell>
        </row>
        <row r="7165">
          <cell r="Q7165">
            <v>2174.9049912791397</v>
          </cell>
        </row>
        <row r="7166">
          <cell r="Q7166">
            <v>733.19298524438591</v>
          </cell>
        </row>
        <row r="7167">
          <cell r="Q7167">
            <v>-549.74955111081704</v>
          </cell>
        </row>
        <row r="7168">
          <cell r="Q7168">
            <v>1460.9558048805457</v>
          </cell>
        </row>
        <row r="7169">
          <cell r="Q7169">
            <v>692.40934877729831</v>
          </cell>
        </row>
        <row r="7170">
          <cell r="Q7170">
            <v>2796.4922348400087</v>
          </cell>
        </row>
        <row r="7171">
          <cell r="Q7171">
            <v>3324.9697926014442</v>
          </cell>
        </row>
        <row r="7172">
          <cell r="Q7172">
            <v>2800.4616989078995</v>
          </cell>
        </row>
        <row r="7173">
          <cell r="Q7173">
            <v>1906.1518146689418</v>
          </cell>
        </row>
        <row r="7174">
          <cell r="Q7174">
            <v>4187.3402132737465</v>
          </cell>
        </row>
        <row r="7175">
          <cell r="Q7175">
            <v>1264.5266002164656</v>
          </cell>
        </row>
        <row r="7176">
          <cell r="Q7176">
            <v>933.46033978294554</v>
          </cell>
        </row>
        <row r="7177">
          <cell r="Q7177">
            <v>-212.33954606800711</v>
          </cell>
        </row>
        <row r="7178">
          <cell r="Q7178">
            <v>2128.2105805146903</v>
          </cell>
        </row>
        <row r="7179">
          <cell r="Q7179">
            <v>-24.292109784605259</v>
          </cell>
        </row>
        <row r="7180">
          <cell r="Q7180">
            <v>-2262.552793578207</v>
          </cell>
        </row>
        <row r="7181">
          <cell r="Q7181">
            <v>-864.90654361045563</v>
          </cell>
        </row>
        <row r="7182">
          <cell r="Q7182">
            <v>-1652.0280579728312</v>
          </cell>
        </row>
        <row r="7183">
          <cell r="Q7183">
            <v>637.50730467646872</v>
          </cell>
        </row>
        <row r="7184">
          <cell r="Q7184">
            <v>4812.3690616608346</v>
          </cell>
        </row>
        <row r="7185">
          <cell r="Q7185">
            <v>1627.6641155143914</v>
          </cell>
        </row>
        <row r="7186">
          <cell r="Q7186">
            <v>4196.4837192861378</v>
          </cell>
        </row>
        <row r="7187">
          <cell r="Q7187">
            <v>1652.8296858710512</v>
          </cell>
        </row>
        <row r="7188">
          <cell r="Q7188">
            <v>1039.4171133774112</v>
          </cell>
        </row>
        <row r="7189">
          <cell r="Q7189">
            <v>-2214.0445613905599</v>
          </cell>
        </row>
        <row r="7190">
          <cell r="Q7190">
            <v>2589.4373604225398</v>
          </cell>
        </row>
        <row r="7191">
          <cell r="Q7191">
            <v>-909.92499753333732</v>
          </cell>
        </row>
        <row r="7192">
          <cell r="Q7192">
            <v>2989.2580000022094</v>
          </cell>
        </row>
        <row r="7193">
          <cell r="Q7193">
            <v>3689.9997955431622</v>
          </cell>
        </row>
        <row r="7194">
          <cell r="Q7194">
            <v>-593.00077057953217</v>
          </cell>
        </row>
        <row r="7195">
          <cell r="Q7195">
            <v>1780.2068880685913</v>
          </cell>
        </row>
        <row r="7196">
          <cell r="Q7196">
            <v>120.22679781827446</v>
          </cell>
        </row>
        <row r="7197">
          <cell r="Q7197">
            <v>-805.79091058635117</v>
          </cell>
        </row>
        <row r="7198">
          <cell r="Q7198">
            <v>3202.6704277031454</v>
          </cell>
        </row>
        <row r="7199">
          <cell r="Q7199">
            <v>430.40469470318607</v>
          </cell>
        </row>
        <row r="7200">
          <cell r="Q7200">
            <v>1052.7918303938193</v>
          </cell>
        </row>
        <row r="7201">
          <cell r="Q7201">
            <v>-2061.9438823476476</v>
          </cell>
        </row>
        <row r="7202">
          <cell r="Q7202">
            <v>433.05069762969003</v>
          </cell>
        </row>
        <row r="7203">
          <cell r="Q7203">
            <v>1519.3226139450903</v>
          </cell>
        </row>
        <row r="7204">
          <cell r="Q7204">
            <v>1749.5319532872202</v>
          </cell>
        </row>
        <row r="7205">
          <cell r="Q7205">
            <v>-2966.4425705136573</v>
          </cell>
        </row>
        <row r="7206">
          <cell r="Q7206">
            <v>-2065.8966076093084</v>
          </cell>
        </row>
        <row r="7207">
          <cell r="Q7207">
            <v>164.17171517195524</v>
          </cell>
        </row>
        <row r="7208">
          <cell r="Q7208">
            <v>-1572.9718464945308</v>
          </cell>
        </row>
        <row r="7209">
          <cell r="Q7209">
            <v>-98.126520455290631</v>
          </cell>
        </row>
        <row r="7210">
          <cell r="Q7210">
            <v>694.66499318070578</v>
          </cell>
        </row>
        <row r="7211">
          <cell r="Q7211">
            <v>-1490.6556267925062</v>
          </cell>
        </row>
        <row r="7212">
          <cell r="Q7212">
            <v>-2734.9222406087038</v>
          </cell>
        </row>
        <row r="7213">
          <cell r="Q7213">
            <v>3953.4875634283248</v>
          </cell>
        </row>
        <row r="7214">
          <cell r="Q7214">
            <v>609.04749945682499</v>
          </cell>
        </row>
        <row r="7215">
          <cell r="Q7215">
            <v>2056.5700489507644</v>
          </cell>
        </row>
        <row r="7216">
          <cell r="Q7216">
            <v>-1080.8851026869431</v>
          </cell>
        </row>
        <row r="7217">
          <cell r="Q7217">
            <v>2530.4873288157287</v>
          </cell>
        </row>
        <row r="7218">
          <cell r="Q7218">
            <v>-583.72322317794578</v>
          </cell>
        </row>
        <row r="7219">
          <cell r="Q7219">
            <v>169.81041782708118</v>
          </cell>
        </row>
        <row r="7220">
          <cell r="Q7220">
            <v>426.28499517823792</v>
          </cell>
        </row>
        <row r="7221">
          <cell r="Q7221">
            <v>-3614.532585929076</v>
          </cell>
        </row>
        <row r="7222">
          <cell r="Q7222">
            <v>204.26016867234117</v>
          </cell>
        </row>
        <row r="7223">
          <cell r="Q7223">
            <v>-1422.0597513650951</v>
          </cell>
        </row>
        <row r="7224">
          <cell r="Q7224">
            <v>632.58568109946771</v>
          </cell>
        </row>
        <row r="7225">
          <cell r="Q7225">
            <v>1499.1540179405756</v>
          </cell>
        </row>
        <row r="7226">
          <cell r="Q7226">
            <v>2731.7471336879876</v>
          </cell>
        </row>
        <row r="7227">
          <cell r="Q7227">
            <v>556.94299066626616</v>
          </cell>
        </row>
        <row r="7228">
          <cell r="Q7228">
            <v>783.99538696709578</v>
          </cell>
        </row>
        <row r="7229">
          <cell r="Q7229">
            <v>-79.123595567929556</v>
          </cell>
        </row>
        <row r="7230">
          <cell r="Q7230">
            <v>-291.30807322421771</v>
          </cell>
        </row>
        <row r="7231">
          <cell r="Q7231">
            <v>-2640.6189543594101</v>
          </cell>
        </row>
        <row r="7232">
          <cell r="Q7232">
            <v>3338.8678595331307</v>
          </cell>
        </row>
        <row r="7233">
          <cell r="Q7233">
            <v>2514.5007653502739</v>
          </cell>
        </row>
        <row r="7234">
          <cell r="Q7234">
            <v>108.92227049112404</v>
          </cell>
        </row>
        <row r="7235">
          <cell r="Q7235">
            <v>-1852.3534301020229</v>
          </cell>
        </row>
        <row r="7236">
          <cell r="Q7236">
            <v>1026.0147538351341</v>
          </cell>
        </row>
        <row r="7237">
          <cell r="Q7237">
            <v>1426.883216008147</v>
          </cell>
        </row>
        <row r="7238">
          <cell r="Q7238">
            <v>3170.524927633669</v>
          </cell>
        </row>
        <row r="7239">
          <cell r="Q7239">
            <v>410.3360412992609</v>
          </cell>
        </row>
        <row r="7240">
          <cell r="Q7240">
            <v>1320.7092206288796</v>
          </cell>
        </row>
        <row r="7241">
          <cell r="Q7241">
            <v>-1366.323168099444</v>
          </cell>
        </row>
        <row r="7242">
          <cell r="Q7242">
            <v>982.18743907945623</v>
          </cell>
        </row>
        <row r="7243">
          <cell r="Q7243">
            <v>1772.7209548297678</v>
          </cell>
        </row>
        <row r="7244">
          <cell r="Q7244">
            <v>-93.149701847084373</v>
          </cell>
        </row>
        <row r="7245">
          <cell r="Q7245">
            <v>-1800.6677029094437</v>
          </cell>
        </row>
        <row r="7246">
          <cell r="Q7246">
            <v>1074.8173212523755</v>
          </cell>
        </row>
        <row r="7247">
          <cell r="Q7247">
            <v>-983.66842316961151</v>
          </cell>
        </row>
        <row r="7248">
          <cell r="Q7248">
            <v>1059.528597637197</v>
          </cell>
        </row>
        <row r="7249">
          <cell r="Q7249">
            <v>3816.2755021926891</v>
          </cell>
        </row>
        <row r="7250">
          <cell r="Q7250">
            <v>612.75140872014765</v>
          </cell>
        </row>
        <row r="7251">
          <cell r="Q7251">
            <v>-492.30556198199116</v>
          </cell>
        </row>
        <row r="7252">
          <cell r="Q7252">
            <v>345.18517703519029</v>
          </cell>
        </row>
        <row r="7253">
          <cell r="Q7253">
            <v>-533.23125950102508</v>
          </cell>
        </row>
        <row r="7254">
          <cell r="Q7254">
            <v>1873.2915758241643</v>
          </cell>
        </row>
        <row r="7255">
          <cell r="Q7255">
            <v>-237.50442941645719</v>
          </cell>
        </row>
        <row r="7256">
          <cell r="Q7256">
            <v>543.48178052023434</v>
          </cell>
        </row>
        <row r="7257">
          <cell r="Q7257">
            <v>847.96040231375468</v>
          </cell>
        </row>
        <row r="7258">
          <cell r="Q7258">
            <v>-729.25894152545925</v>
          </cell>
        </row>
        <row r="7259">
          <cell r="Q7259">
            <v>-3003.7728083262473</v>
          </cell>
        </row>
        <row r="7260">
          <cell r="Q7260">
            <v>-1088.7428145120648</v>
          </cell>
        </row>
        <row r="7261">
          <cell r="Q7261">
            <v>2874.7744623287699</v>
          </cell>
        </row>
        <row r="7262">
          <cell r="Q7262">
            <v>-537.16807126747335</v>
          </cell>
        </row>
        <row r="7263">
          <cell r="Q7263">
            <v>1877.0477888890312</v>
          </cell>
        </row>
        <row r="7264">
          <cell r="Q7264">
            <v>3768.3060370300282</v>
          </cell>
        </row>
        <row r="7265">
          <cell r="Q7265">
            <v>-638.86451657879775</v>
          </cell>
        </row>
        <row r="7266">
          <cell r="Q7266">
            <v>-1799.7857577307357</v>
          </cell>
        </row>
        <row r="7267">
          <cell r="Q7267">
            <v>-89.55059713306855</v>
          </cell>
        </row>
        <row r="7268">
          <cell r="Q7268">
            <v>111.67640865464915</v>
          </cell>
        </row>
        <row r="7269">
          <cell r="Q7269">
            <v>2898.1831652842452</v>
          </cell>
        </row>
        <row r="7270">
          <cell r="Q7270">
            <v>-3968.0762663165533</v>
          </cell>
        </row>
        <row r="7271">
          <cell r="Q7271">
            <v>2804.1830444044499</v>
          </cell>
        </row>
        <row r="7272">
          <cell r="Q7272">
            <v>2488.2698958446622</v>
          </cell>
        </row>
        <row r="7273">
          <cell r="Q7273">
            <v>1432.4914838026907</v>
          </cell>
        </row>
        <row r="7274">
          <cell r="Q7274">
            <v>-1274.7174995215521</v>
          </cell>
        </row>
        <row r="7275">
          <cell r="Q7275">
            <v>-2383.7546427259931</v>
          </cell>
        </row>
        <row r="7276">
          <cell r="Q7276">
            <v>505.76545218532533</v>
          </cell>
        </row>
        <row r="7277">
          <cell r="Q7277">
            <v>1467.9680377474722</v>
          </cell>
        </row>
        <row r="7278">
          <cell r="Q7278">
            <v>3277.2815519529431</v>
          </cell>
        </row>
        <row r="7279">
          <cell r="Q7279">
            <v>-1308.31912290739</v>
          </cell>
        </row>
        <row r="7280">
          <cell r="Q7280">
            <v>2962.7873954001284</v>
          </cell>
        </row>
        <row r="7281">
          <cell r="Q7281">
            <v>-3747.2349517794055</v>
          </cell>
        </row>
        <row r="7282">
          <cell r="Q7282">
            <v>-2016.3767450774101</v>
          </cell>
        </row>
        <row r="7283">
          <cell r="Q7283">
            <v>2488.9516528506042</v>
          </cell>
        </row>
        <row r="7284">
          <cell r="Q7284">
            <v>218.68570631386243</v>
          </cell>
        </row>
        <row r="7285">
          <cell r="Q7285">
            <v>4025.8036038124546</v>
          </cell>
        </row>
        <row r="7286">
          <cell r="Q7286">
            <v>-1116.0877274471929</v>
          </cell>
        </row>
        <row r="7287">
          <cell r="Q7287">
            <v>754.0438893792516</v>
          </cell>
        </row>
        <row r="7288">
          <cell r="Q7288">
            <v>-1953.8218093509352</v>
          </cell>
        </row>
        <row r="7289">
          <cell r="Q7289">
            <v>3601.478605319367</v>
          </cell>
        </row>
        <row r="7290">
          <cell r="Q7290">
            <v>1873.9391842469311</v>
          </cell>
        </row>
        <row r="7291">
          <cell r="Q7291">
            <v>503.49776456461609</v>
          </cell>
        </row>
        <row r="7292">
          <cell r="Q7292">
            <v>2054.8093853115724</v>
          </cell>
        </row>
        <row r="7293">
          <cell r="Q7293">
            <v>637.12006235079457</v>
          </cell>
        </row>
        <row r="7294">
          <cell r="Q7294">
            <v>-1392.6715827370108</v>
          </cell>
        </row>
        <row r="7295">
          <cell r="Q7295">
            <v>4198.4433529831822</v>
          </cell>
        </row>
        <row r="7296">
          <cell r="Q7296">
            <v>-1617.7529026132495</v>
          </cell>
        </row>
        <row r="7297">
          <cell r="Q7297">
            <v>512.20810411189962</v>
          </cell>
        </row>
        <row r="7298">
          <cell r="Q7298">
            <v>3222.1776933369224</v>
          </cell>
        </row>
        <row r="7299">
          <cell r="Q7299">
            <v>2504.7174847943888</v>
          </cell>
        </row>
        <row r="7300">
          <cell r="Q7300">
            <v>2954.4627367780481</v>
          </cell>
        </row>
        <row r="7301">
          <cell r="Q7301">
            <v>5167.419036011288</v>
          </cell>
        </row>
        <row r="7302">
          <cell r="Q7302">
            <v>-437.5441591014249</v>
          </cell>
        </row>
        <row r="7303">
          <cell r="Q7303">
            <v>-1208.9284892630985</v>
          </cell>
        </row>
        <row r="7304">
          <cell r="Q7304">
            <v>-538.6611969741889</v>
          </cell>
        </row>
        <row r="7305">
          <cell r="Q7305">
            <v>-379.01142537995867</v>
          </cell>
        </row>
        <row r="7306">
          <cell r="Q7306">
            <v>2774.242035268217</v>
          </cell>
        </row>
        <row r="7307">
          <cell r="Q7307">
            <v>-556.09511226221593</v>
          </cell>
        </row>
        <row r="7308">
          <cell r="Q7308">
            <v>-2555.0377373875485</v>
          </cell>
        </row>
        <row r="7309">
          <cell r="Q7309">
            <v>-274.41306379409372</v>
          </cell>
        </row>
        <row r="7310">
          <cell r="Q7310">
            <v>-707.89778560561081</v>
          </cell>
        </row>
        <row r="7311">
          <cell r="Q7311">
            <v>688.02793187393218</v>
          </cell>
        </row>
        <row r="7312">
          <cell r="Q7312">
            <v>1335.4046039890459</v>
          </cell>
        </row>
        <row r="7313">
          <cell r="Q7313">
            <v>453.07770097499758</v>
          </cell>
        </row>
        <row r="7314">
          <cell r="Q7314">
            <v>-1559.6877871425925</v>
          </cell>
        </row>
        <row r="7315">
          <cell r="Q7315">
            <v>-1638.1548148118843</v>
          </cell>
        </row>
        <row r="7316">
          <cell r="Q7316">
            <v>361.94806860937462</v>
          </cell>
        </row>
        <row r="7317">
          <cell r="Q7317">
            <v>-576.50822513151502</v>
          </cell>
        </row>
        <row r="7318">
          <cell r="Q7318">
            <v>2637.5815060419445</v>
          </cell>
        </row>
        <row r="7319">
          <cell r="Q7319">
            <v>-1387.4427526874317</v>
          </cell>
        </row>
        <row r="7320">
          <cell r="Q7320">
            <v>686.30108628151061</v>
          </cell>
        </row>
        <row r="7321">
          <cell r="Q7321">
            <v>-1126.0539654307074</v>
          </cell>
        </row>
        <row r="7322">
          <cell r="Q7322">
            <v>-2870.8421115350948</v>
          </cell>
        </row>
        <row r="7323">
          <cell r="Q7323">
            <v>-1789.4536160239447</v>
          </cell>
        </row>
        <row r="7324">
          <cell r="Q7324">
            <v>-1473.0138646245607</v>
          </cell>
        </row>
        <row r="7325">
          <cell r="Q7325">
            <v>-506.39680888910056</v>
          </cell>
        </row>
        <row r="7326">
          <cell r="Q7326">
            <v>-1804.0600135793468</v>
          </cell>
        </row>
        <row r="7327">
          <cell r="Q7327">
            <v>-283.65356573274192</v>
          </cell>
        </row>
        <row r="7328">
          <cell r="Q7328">
            <v>-1547.8574892630591</v>
          </cell>
        </row>
        <row r="7329">
          <cell r="Q7329">
            <v>-609.54368112671614</v>
          </cell>
        </row>
        <row r="7330">
          <cell r="Q7330">
            <v>-2682.842258100693</v>
          </cell>
        </row>
        <row r="7331">
          <cell r="Q7331">
            <v>1435.4780510554128</v>
          </cell>
        </row>
        <row r="7332">
          <cell r="Q7332">
            <v>-5832.4320657111593</v>
          </cell>
        </row>
        <row r="7333">
          <cell r="Q7333">
            <v>3633.318634054639</v>
          </cell>
        </row>
        <row r="7334">
          <cell r="Q7334">
            <v>-468.73381814256305</v>
          </cell>
        </row>
        <row r="7335">
          <cell r="Q7335">
            <v>811.80775135654426</v>
          </cell>
        </row>
        <row r="7336">
          <cell r="Q7336">
            <v>-343.76463738524507</v>
          </cell>
        </row>
        <row r="7337">
          <cell r="Q7337">
            <v>938.00296888059029</v>
          </cell>
        </row>
        <row r="7338">
          <cell r="Q7338">
            <v>1796.100688162401</v>
          </cell>
        </row>
        <row r="7339">
          <cell r="Q7339">
            <v>167.15589922198112</v>
          </cell>
        </row>
        <row r="7340">
          <cell r="Q7340">
            <v>2347.6500862689272</v>
          </cell>
        </row>
        <row r="7341">
          <cell r="Q7341">
            <v>-2247.5599253391561</v>
          </cell>
        </row>
        <row r="7342">
          <cell r="Q7342">
            <v>285.77870521534942</v>
          </cell>
        </row>
        <row r="7343">
          <cell r="Q7343">
            <v>3231.6045883314105</v>
          </cell>
        </row>
        <row r="7344">
          <cell r="Q7344">
            <v>2827.3042311097747</v>
          </cell>
        </row>
        <row r="7345">
          <cell r="Q7345">
            <v>-580.43047854301153</v>
          </cell>
        </row>
        <row r="7346">
          <cell r="Q7346">
            <v>1958.2319526953677</v>
          </cell>
        </row>
        <row r="7347">
          <cell r="Q7347">
            <v>3424.7886224475974</v>
          </cell>
        </row>
        <row r="7348">
          <cell r="Q7348">
            <v>-358.26245975013177</v>
          </cell>
        </row>
        <row r="7349">
          <cell r="Q7349">
            <v>-519.15086650531703</v>
          </cell>
        </row>
        <row r="7350">
          <cell r="Q7350">
            <v>2108.8341133210411</v>
          </cell>
        </row>
        <row r="7351">
          <cell r="Q7351">
            <v>-1819.7496910579709</v>
          </cell>
        </row>
        <row r="7352">
          <cell r="Q7352">
            <v>1899.6119397728833</v>
          </cell>
        </row>
        <row r="7353">
          <cell r="Q7353">
            <v>989.54923494496097</v>
          </cell>
        </row>
        <row r="7354">
          <cell r="Q7354">
            <v>1505.3773347405624</v>
          </cell>
        </row>
        <row r="7355">
          <cell r="Q7355">
            <v>-1441.6068577024519</v>
          </cell>
        </row>
        <row r="7356">
          <cell r="Q7356">
            <v>-252.83076598338852</v>
          </cell>
        </row>
        <row r="7357">
          <cell r="Q7357">
            <v>880.97910605565426</v>
          </cell>
        </row>
        <row r="7358">
          <cell r="Q7358">
            <v>-2467.2737774960278</v>
          </cell>
        </row>
        <row r="7359">
          <cell r="Q7359">
            <v>-5370.9930938445659</v>
          </cell>
        </row>
        <row r="7360">
          <cell r="Q7360">
            <v>11.467635709252932</v>
          </cell>
        </row>
        <row r="7361">
          <cell r="Q7361">
            <v>-3339.7446265835451</v>
          </cell>
        </row>
        <row r="7362">
          <cell r="Q7362">
            <v>517.63127312351185</v>
          </cell>
        </row>
        <row r="7363">
          <cell r="Q7363">
            <v>-2784.2120044783514</v>
          </cell>
        </row>
        <row r="7364">
          <cell r="Q7364">
            <v>-2350.7246314114473</v>
          </cell>
        </row>
        <row r="7365">
          <cell r="Q7365">
            <v>-2655.6987982635874</v>
          </cell>
        </row>
        <row r="7366">
          <cell r="Q7366">
            <v>4257.2724419640008</v>
          </cell>
        </row>
        <row r="7367">
          <cell r="Q7367">
            <v>743.68368027166787</v>
          </cell>
        </row>
        <row r="7368">
          <cell r="Q7368">
            <v>-2495.7051755168959</v>
          </cell>
        </row>
        <row r="7369">
          <cell r="Q7369">
            <v>-846.70655806531454</v>
          </cell>
        </row>
        <row r="7370">
          <cell r="Q7370">
            <v>-2313.3483231548034</v>
          </cell>
        </row>
        <row r="7371">
          <cell r="Q7371">
            <v>1000.5648836371795</v>
          </cell>
        </row>
        <row r="7372">
          <cell r="Q7372">
            <v>485.83873567492901</v>
          </cell>
        </row>
        <row r="7373">
          <cell r="Q7373">
            <v>-1871.0355624901347</v>
          </cell>
        </row>
        <row r="7374">
          <cell r="Q7374">
            <v>-1535.2338121976866</v>
          </cell>
        </row>
        <row r="7375">
          <cell r="Q7375">
            <v>-1599.2673603326518</v>
          </cell>
        </row>
        <row r="7376">
          <cell r="Q7376">
            <v>1020.6704599673192</v>
          </cell>
        </row>
        <row r="7377">
          <cell r="Q7377">
            <v>107.31109386257407</v>
          </cell>
        </row>
        <row r="7378">
          <cell r="Q7378">
            <v>-2377.5400313082055</v>
          </cell>
        </row>
        <row r="7379">
          <cell r="Q7379">
            <v>2219.9283496595453</v>
          </cell>
        </row>
        <row r="7380">
          <cell r="Q7380">
            <v>802.49211063961332</v>
          </cell>
        </row>
        <row r="7381">
          <cell r="Q7381">
            <v>1562.8985677902301</v>
          </cell>
        </row>
        <row r="7382">
          <cell r="Q7382">
            <v>565.51917480587372</v>
          </cell>
        </row>
        <row r="7383">
          <cell r="Q7383">
            <v>-4717.6726249511812</v>
          </cell>
        </row>
        <row r="7384">
          <cell r="Q7384">
            <v>1599.3258446248819</v>
          </cell>
        </row>
        <row r="7385">
          <cell r="Q7385">
            <v>-867.28569366536271</v>
          </cell>
        </row>
        <row r="7386">
          <cell r="Q7386">
            <v>3278.5116570420328</v>
          </cell>
        </row>
        <row r="7387">
          <cell r="Q7387">
            <v>-18.3776025948913</v>
          </cell>
        </row>
        <row r="7388">
          <cell r="Q7388">
            <v>850.27717743339304</v>
          </cell>
        </row>
        <row r="7389">
          <cell r="Q7389">
            <v>3536.5061716616437</v>
          </cell>
        </row>
        <row r="7390">
          <cell r="Q7390">
            <v>3774.5217251817303</v>
          </cell>
        </row>
        <row r="7391">
          <cell r="Q7391">
            <v>-84.04647565468224</v>
          </cell>
        </row>
        <row r="7392">
          <cell r="Q7392">
            <v>-360.66472515545485</v>
          </cell>
        </row>
        <row r="7393">
          <cell r="Q7393">
            <v>-1998.2754484583963</v>
          </cell>
        </row>
        <row r="7394">
          <cell r="Q7394">
            <v>628.10843518877118</v>
          </cell>
        </row>
        <row r="7395">
          <cell r="Q7395">
            <v>-1771.212633452303</v>
          </cell>
        </row>
        <row r="7396">
          <cell r="Q7396">
            <v>-5376.805149063428</v>
          </cell>
        </row>
        <row r="7397">
          <cell r="Q7397">
            <v>929.33824300108017</v>
          </cell>
        </row>
        <row r="7398">
          <cell r="Q7398">
            <v>-2003.2754988221898</v>
          </cell>
        </row>
        <row r="7399">
          <cell r="Q7399">
            <v>149.84104112459966</v>
          </cell>
        </row>
        <row r="7400">
          <cell r="Q7400">
            <v>-644.4495822052404</v>
          </cell>
        </row>
        <row r="7401">
          <cell r="Q7401">
            <v>1800.4920038719774</v>
          </cell>
        </row>
        <row r="7402">
          <cell r="Q7402">
            <v>-1993.2496945029086</v>
          </cell>
        </row>
        <row r="7403">
          <cell r="Q7403">
            <v>-2666.9359770507913</v>
          </cell>
        </row>
        <row r="7404">
          <cell r="Q7404">
            <v>-504.10049093184313</v>
          </cell>
        </row>
        <row r="7405">
          <cell r="Q7405">
            <v>3156.9108613618773</v>
          </cell>
        </row>
        <row r="7406">
          <cell r="Q7406">
            <v>-356.01954641043716</v>
          </cell>
        </row>
        <row r="7407">
          <cell r="Q7407">
            <v>1619.9589524947708</v>
          </cell>
        </row>
        <row r="7408">
          <cell r="Q7408">
            <v>-963.78924057839117</v>
          </cell>
        </row>
        <row r="7409">
          <cell r="Q7409">
            <v>3353.0177557048069</v>
          </cell>
        </row>
        <row r="7410">
          <cell r="Q7410">
            <v>-544.57281710219263</v>
          </cell>
        </row>
        <row r="7411">
          <cell r="Q7411">
            <v>-299.6658397645287</v>
          </cell>
        </row>
        <row r="7412">
          <cell r="Q7412">
            <v>3280.9155617885422</v>
          </cell>
        </row>
        <row r="7413">
          <cell r="Q7413">
            <v>-893.90284735473733</v>
          </cell>
        </row>
        <row r="7414">
          <cell r="Q7414">
            <v>2386.1342641732758</v>
          </cell>
        </row>
        <row r="7415">
          <cell r="Q7415">
            <v>-1902.5969318104751</v>
          </cell>
        </row>
        <row r="7416">
          <cell r="Q7416">
            <v>276.28333815648523</v>
          </cell>
        </row>
        <row r="7417">
          <cell r="Q7417">
            <v>1359.6617293548434</v>
          </cell>
        </row>
        <row r="7418">
          <cell r="Q7418">
            <v>1631.8206545924547</v>
          </cell>
        </row>
        <row r="7419">
          <cell r="Q7419">
            <v>-2028.7168053279618</v>
          </cell>
        </row>
        <row r="7420">
          <cell r="Q7420">
            <v>647.92775392816475</v>
          </cell>
        </row>
        <row r="7421">
          <cell r="Q7421">
            <v>-4569.5928310156723</v>
          </cell>
        </row>
        <row r="7422">
          <cell r="Q7422">
            <v>1377.2161869084935</v>
          </cell>
        </row>
        <row r="7423">
          <cell r="Q7423">
            <v>-1213.8200834644827</v>
          </cell>
        </row>
        <row r="7424">
          <cell r="Q7424">
            <v>437.58774340412253</v>
          </cell>
        </row>
        <row r="7425">
          <cell r="Q7425">
            <v>2453.143947699476</v>
          </cell>
        </row>
        <row r="7426">
          <cell r="Q7426">
            <v>1554.1467522345454</v>
          </cell>
        </row>
        <row r="7427">
          <cell r="Q7427">
            <v>1781.4557381445877</v>
          </cell>
        </row>
        <row r="7428">
          <cell r="Q7428">
            <v>368.51850126182205</v>
          </cell>
        </row>
        <row r="7429">
          <cell r="Q7429">
            <v>1127.4177958702346</v>
          </cell>
        </row>
        <row r="7430">
          <cell r="Q7430">
            <v>2645.2868760432289</v>
          </cell>
        </row>
        <row r="7431">
          <cell r="Q7431">
            <v>-479.90508642301069</v>
          </cell>
        </row>
        <row r="7432">
          <cell r="Q7432">
            <v>123.52889388512733</v>
          </cell>
        </row>
        <row r="7433">
          <cell r="Q7433">
            <v>250.82646266879522</v>
          </cell>
        </row>
        <row r="7434">
          <cell r="Q7434">
            <v>3125.9554176808638</v>
          </cell>
        </row>
        <row r="7435">
          <cell r="Q7435">
            <v>3999.0602059452153</v>
          </cell>
        </row>
        <row r="7436">
          <cell r="Q7436">
            <v>921.77415206377555</v>
          </cell>
        </row>
        <row r="7437">
          <cell r="Q7437">
            <v>531.78191742827084</v>
          </cell>
        </row>
        <row r="7438">
          <cell r="Q7438">
            <v>-1327.4953623142649</v>
          </cell>
        </row>
        <row r="7439">
          <cell r="Q7439">
            <v>-1495.1593595224065</v>
          </cell>
        </row>
        <row r="7440">
          <cell r="Q7440">
            <v>-150.56906178544028</v>
          </cell>
        </row>
        <row r="7441">
          <cell r="Q7441">
            <v>1181.7528583535125</v>
          </cell>
        </row>
        <row r="7442">
          <cell r="Q7442">
            <v>-2670.3396914391315</v>
          </cell>
        </row>
        <row r="7443">
          <cell r="Q7443">
            <v>-1332.0723698083307</v>
          </cell>
        </row>
        <row r="7444">
          <cell r="Q7444">
            <v>-1140.8440333239889</v>
          </cell>
        </row>
        <row r="7445">
          <cell r="Q7445">
            <v>-84.492172148426846</v>
          </cell>
        </row>
        <row r="7446">
          <cell r="Q7446">
            <v>3913.1482116924376</v>
          </cell>
        </row>
        <row r="7447">
          <cell r="Q7447">
            <v>3209.3308663724192</v>
          </cell>
        </row>
        <row r="7448">
          <cell r="Q7448">
            <v>1792.8246325329028</v>
          </cell>
        </row>
        <row r="7449">
          <cell r="Q7449">
            <v>1670.9516924652905</v>
          </cell>
        </row>
        <row r="7450">
          <cell r="Q7450">
            <v>154.10997318224057</v>
          </cell>
        </row>
        <row r="7451">
          <cell r="Q7451">
            <v>-2057.0217722611146</v>
          </cell>
        </row>
        <row r="7452">
          <cell r="Q7452">
            <v>6155.3852514104701</v>
          </cell>
        </row>
        <row r="7453">
          <cell r="Q7453">
            <v>1742.0976984701749</v>
          </cell>
        </row>
        <row r="7454">
          <cell r="Q7454">
            <v>1153.0147391678204</v>
          </cell>
        </row>
        <row r="7455">
          <cell r="Q7455">
            <v>3397.3194803549072</v>
          </cell>
        </row>
        <row r="7456">
          <cell r="Q7456">
            <v>-5162.5486014676007</v>
          </cell>
        </row>
        <row r="7457">
          <cell r="Q7457">
            <v>2164.3267265636791</v>
          </cell>
        </row>
        <row r="7458">
          <cell r="Q7458">
            <v>-598.48595539681764</v>
          </cell>
        </row>
        <row r="7459">
          <cell r="Q7459">
            <v>-1233.0085501930639</v>
          </cell>
        </row>
        <row r="7460">
          <cell r="Q7460">
            <v>2276.7041616474758</v>
          </cell>
        </row>
        <row r="7461">
          <cell r="Q7461">
            <v>-1073.6533930206633</v>
          </cell>
        </row>
        <row r="7462">
          <cell r="Q7462">
            <v>-28.754511921988581</v>
          </cell>
        </row>
        <row r="7463">
          <cell r="Q7463">
            <v>1955.5756324158231</v>
          </cell>
        </row>
        <row r="7464">
          <cell r="Q7464">
            <v>-1022.5523758940662</v>
          </cell>
        </row>
        <row r="7465">
          <cell r="Q7465">
            <v>-518.23877395585009</v>
          </cell>
        </row>
        <row r="7466">
          <cell r="Q7466">
            <v>2153.2573277844995</v>
          </cell>
        </row>
        <row r="7467">
          <cell r="Q7467">
            <v>2625.3905458145605</v>
          </cell>
        </row>
        <row r="7468">
          <cell r="Q7468">
            <v>389.57623851468509</v>
          </cell>
        </row>
        <row r="7469">
          <cell r="Q7469">
            <v>-3386.7387654973818</v>
          </cell>
        </row>
        <row r="7470">
          <cell r="Q7470">
            <v>174.49947992044608</v>
          </cell>
        </row>
        <row r="7471">
          <cell r="Q7471">
            <v>2499.6508216103493</v>
          </cell>
        </row>
        <row r="7472">
          <cell r="Q7472">
            <v>2192.6615147065472</v>
          </cell>
        </row>
        <row r="7473">
          <cell r="Q7473">
            <v>5256.2778530694841</v>
          </cell>
        </row>
        <row r="7474">
          <cell r="Q7474">
            <v>-3065.0400916960525</v>
          </cell>
        </row>
        <row r="7475">
          <cell r="Q7475">
            <v>-2763.9447430324017</v>
          </cell>
        </row>
        <row r="7476">
          <cell r="Q7476">
            <v>-2152.6942353445706</v>
          </cell>
        </row>
        <row r="7477">
          <cell r="Q7477">
            <v>-438.85927734409762</v>
          </cell>
        </row>
        <row r="7478">
          <cell r="Q7478">
            <v>-1053.830091965262</v>
          </cell>
        </row>
        <row r="7479">
          <cell r="Q7479">
            <v>-242.16386681227567</v>
          </cell>
        </row>
        <row r="7480">
          <cell r="Q7480">
            <v>-2004.3704875364772</v>
          </cell>
        </row>
        <row r="7481">
          <cell r="Q7481">
            <v>447.69532040515816</v>
          </cell>
        </row>
        <row r="7482">
          <cell r="Q7482">
            <v>4200.0149252505516</v>
          </cell>
        </row>
        <row r="7483">
          <cell r="Q7483">
            <v>636.40881153058285</v>
          </cell>
        </row>
        <row r="7484">
          <cell r="Q7484">
            <v>-1965.3645913021148</v>
          </cell>
        </row>
        <row r="7485">
          <cell r="Q7485">
            <v>-847.50698765425136</v>
          </cell>
        </row>
        <row r="7486">
          <cell r="Q7486">
            <v>114.76871595342976</v>
          </cell>
        </row>
        <row r="7487">
          <cell r="Q7487">
            <v>-1763.9686127825146</v>
          </cell>
        </row>
        <row r="7488">
          <cell r="Q7488">
            <v>846.51935124348324</v>
          </cell>
        </row>
        <row r="7489">
          <cell r="Q7489">
            <v>1395.6354096794312</v>
          </cell>
        </row>
        <row r="7490">
          <cell r="Q7490">
            <v>-1960.5007698604879</v>
          </cell>
        </row>
        <row r="7491">
          <cell r="Q7491">
            <v>-1807.1874210742101</v>
          </cell>
        </row>
        <row r="7492">
          <cell r="Q7492">
            <v>3218.0386647458968</v>
          </cell>
        </row>
        <row r="7493">
          <cell r="Q7493">
            <v>-3237.7416125151581</v>
          </cell>
        </row>
        <row r="7494">
          <cell r="Q7494">
            <v>3733.8530531156384</v>
          </cell>
        </row>
        <row r="7495">
          <cell r="Q7495">
            <v>1091.8296936488944</v>
          </cell>
        </row>
        <row r="7496">
          <cell r="Q7496">
            <v>-976.73776725783</v>
          </cell>
        </row>
        <row r="7497">
          <cell r="Q7497">
            <v>-2612.7752014357657</v>
          </cell>
        </row>
        <row r="7498">
          <cell r="Q7498">
            <v>-960.90685815410052</v>
          </cell>
        </row>
        <row r="7499">
          <cell r="Q7499">
            <v>-4496.0163969699915</v>
          </cell>
        </row>
        <row r="7500">
          <cell r="Q7500">
            <v>1873.6539635669385</v>
          </cell>
        </row>
        <row r="7501">
          <cell r="Q7501">
            <v>706.4396860258546</v>
          </cell>
        </row>
        <row r="7502">
          <cell r="Q7502">
            <v>-292.27374894665564</v>
          </cell>
        </row>
        <row r="7503">
          <cell r="Q7503">
            <v>3173.5958933262373</v>
          </cell>
        </row>
        <row r="7504">
          <cell r="Q7504">
            <v>1054.4612754234795</v>
          </cell>
        </row>
        <row r="7505">
          <cell r="Q7505">
            <v>-944.71926481939522</v>
          </cell>
        </row>
        <row r="7506">
          <cell r="Q7506">
            <v>-1265.3698252848842</v>
          </cell>
        </row>
        <row r="7507">
          <cell r="Q7507">
            <v>998.56233822756326</v>
          </cell>
        </row>
        <row r="7508">
          <cell r="Q7508">
            <v>1033.1667523548213</v>
          </cell>
        </row>
        <row r="7509">
          <cell r="Q7509">
            <v>-3628.8577338571104</v>
          </cell>
        </row>
        <row r="7510">
          <cell r="Q7510">
            <v>846.36715228442938</v>
          </cell>
        </row>
        <row r="7511">
          <cell r="Q7511">
            <v>-1261.5825533370719</v>
          </cell>
        </row>
        <row r="7512">
          <cell r="Q7512">
            <v>2367.4039650003701</v>
          </cell>
        </row>
        <row r="7513">
          <cell r="Q7513">
            <v>1872.1323812628759</v>
          </cell>
        </row>
        <row r="7514">
          <cell r="Q7514">
            <v>-1854.8020209168633</v>
          </cell>
        </row>
        <row r="7515">
          <cell r="Q7515">
            <v>1364.8224197167019</v>
          </cell>
        </row>
        <row r="7516">
          <cell r="Q7516">
            <v>81.285113222569009</v>
          </cell>
        </row>
        <row r="7517">
          <cell r="Q7517">
            <v>3552.4049013671765</v>
          </cell>
        </row>
        <row r="7518">
          <cell r="Q7518">
            <v>-462.04962974219251</v>
          </cell>
        </row>
        <row r="7519">
          <cell r="Q7519">
            <v>-415.85384225837248</v>
          </cell>
        </row>
        <row r="7520">
          <cell r="Q7520">
            <v>1231.948997709839</v>
          </cell>
        </row>
        <row r="7521">
          <cell r="Q7521">
            <v>-807.79529389681011</v>
          </cell>
        </row>
        <row r="7522">
          <cell r="Q7522">
            <v>-56.920202153660796</v>
          </cell>
        </row>
        <row r="7523">
          <cell r="Q7523">
            <v>1122.6364694514609</v>
          </cell>
        </row>
        <row r="7524">
          <cell r="Q7524">
            <v>-674.46922412521121</v>
          </cell>
        </row>
        <row r="7525">
          <cell r="Q7525">
            <v>-3879.2711940919507</v>
          </cell>
        </row>
        <row r="7526">
          <cell r="Q7526">
            <v>1388.0425529431272</v>
          </cell>
        </row>
        <row r="7527">
          <cell r="Q7527">
            <v>-1901.0750357721465</v>
          </cell>
        </row>
        <row r="7528">
          <cell r="Q7528">
            <v>1566.6140578219158</v>
          </cell>
        </row>
        <row r="7529">
          <cell r="Q7529">
            <v>1946.54147183945</v>
          </cell>
        </row>
        <row r="7530">
          <cell r="Q7530">
            <v>4088.6210017851486</v>
          </cell>
        </row>
        <row r="7531">
          <cell r="Q7531">
            <v>-781.38647927143347</v>
          </cell>
        </row>
        <row r="7532">
          <cell r="Q7532">
            <v>2357.6159557566921</v>
          </cell>
        </row>
        <row r="7533">
          <cell r="Q7533">
            <v>-1065.3453559040179</v>
          </cell>
        </row>
        <row r="7534">
          <cell r="Q7534">
            <v>-430.7956674526144</v>
          </cell>
        </row>
        <row r="7535">
          <cell r="Q7535">
            <v>26.671201286865369</v>
          </cell>
        </row>
        <row r="7536">
          <cell r="Q7536">
            <v>2649.0017444658488</v>
          </cell>
        </row>
        <row r="7537">
          <cell r="Q7537">
            <v>-179.14004205198631</v>
          </cell>
        </row>
        <row r="7538">
          <cell r="Q7538">
            <v>-1154.6904443770284</v>
          </cell>
        </row>
        <row r="7539">
          <cell r="Q7539">
            <v>5400.9942935433955</v>
          </cell>
        </row>
        <row r="7540">
          <cell r="Q7540">
            <v>1124.1119286714222</v>
          </cell>
        </row>
        <row r="7541">
          <cell r="Q7541">
            <v>3587.3045626313378</v>
          </cell>
        </row>
        <row r="7542">
          <cell r="Q7542">
            <v>1324.3236724220642</v>
          </cell>
        </row>
        <row r="7543">
          <cell r="Q7543">
            <v>-1836.1091760060965</v>
          </cell>
        </row>
        <row r="7544">
          <cell r="Q7544">
            <v>-358.08586295104288</v>
          </cell>
        </row>
        <row r="7545">
          <cell r="Q7545">
            <v>899.89062593449864</v>
          </cell>
        </row>
        <row r="7546">
          <cell r="Q7546">
            <v>10.946376277175943</v>
          </cell>
        </row>
        <row r="7547">
          <cell r="Q7547">
            <v>2020.9132023470463</v>
          </cell>
        </row>
        <row r="7548">
          <cell r="Q7548">
            <v>-291.86989530838986</v>
          </cell>
        </row>
        <row r="7549">
          <cell r="Q7549">
            <v>-1081.1291092890026</v>
          </cell>
        </row>
        <row r="7550">
          <cell r="Q7550">
            <v>-519.53224252766972</v>
          </cell>
        </row>
        <row r="7551">
          <cell r="Q7551">
            <v>-2113.3438755769748</v>
          </cell>
        </row>
        <row r="7552">
          <cell r="Q7552">
            <v>-2599.7085537836447</v>
          </cell>
        </row>
        <row r="7553">
          <cell r="Q7553">
            <v>1188.6443742213235</v>
          </cell>
        </row>
        <row r="7554">
          <cell r="Q7554">
            <v>2371.3903982144334</v>
          </cell>
        </row>
        <row r="7555">
          <cell r="Q7555">
            <v>1144.5122561295482</v>
          </cell>
        </row>
        <row r="7556">
          <cell r="Q7556">
            <v>1450.8368565430665</v>
          </cell>
        </row>
        <row r="7557">
          <cell r="Q7557">
            <v>-1839.6548804657461</v>
          </cell>
        </row>
        <row r="7558">
          <cell r="Q7558">
            <v>754.76291015620927</v>
          </cell>
        </row>
        <row r="7559">
          <cell r="Q7559">
            <v>4010.5586214023169</v>
          </cell>
        </row>
        <row r="7560">
          <cell r="Q7560">
            <v>-466.79277798902302</v>
          </cell>
        </row>
        <row r="7561">
          <cell r="Q7561">
            <v>-724.92418683307142</v>
          </cell>
        </row>
        <row r="7562">
          <cell r="Q7562">
            <v>-1082.243530151758</v>
          </cell>
        </row>
        <row r="7563">
          <cell r="Q7563">
            <v>2575.2945403927247</v>
          </cell>
        </row>
        <row r="7564">
          <cell r="Q7564">
            <v>677.13671161667116</v>
          </cell>
        </row>
        <row r="7565">
          <cell r="Q7565">
            <v>-3846.619532529854</v>
          </cell>
        </row>
        <row r="7566">
          <cell r="Q7566">
            <v>2646.3276316372567</v>
          </cell>
        </row>
        <row r="7567">
          <cell r="Q7567">
            <v>-2549.1045581132494</v>
          </cell>
        </row>
        <row r="7568">
          <cell r="Q7568">
            <v>738.44763445551143</v>
          </cell>
        </row>
        <row r="7569">
          <cell r="Q7569">
            <v>-1679.5715374346785</v>
          </cell>
        </row>
        <row r="7570">
          <cell r="Q7570">
            <v>1298.6633875371576</v>
          </cell>
        </row>
        <row r="7571">
          <cell r="Q7571">
            <v>2274.1643841691466</v>
          </cell>
        </row>
        <row r="7572">
          <cell r="Q7572">
            <v>-1150.0753289518329</v>
          </cell>
        </row>
        <row r="7573">
          <cell r="Q7573">
            <v>398.34593099176084</v>
          </cell>
        </row>
        <row r="7574">
          <cell r="Q7574">
            <v>3337.9577418777253</v>
          </cell>
        </row>
        <row r="7575">
          <cell r="Q7575">
            <v>4232.4437218844669</v>
          </cell>
        </row>
        <row r="7576">
          <cell r="Q7576">
            <v>464.6143138145444</v>
          </cell>
        </row>
        <row r="7577">
          <cell r="Q7577">
            <v>-494.6436127465708</v>
          </cell>
        </row>
        <row r="7578">
          <cell r="Q7578">
            <v>313.28182012708788</v>
          </cell>
        </row>
        <row r="7579">
          <cell r="Q7579">
            <v>1211.4860985500454</v>
          </cell>
        </row>
        <row r="7580">
          <cell r="Q7580">
            <v>4602.8953871844487</v>
          </cell>
        </row>
        <row r="7581">
          <cell r="Q7581">
            <v>3262.2533356573722</v>
          </cell>
        </row>
        <row r="7582">
          <cell r="Q7582">
            <v>2.8043632263841687</v>
          </cell>
        </row>
        <row r="7583">
          <cell r="Q7583">
            <v>3479.8047181462525</v>
          </cell>
        </row>
        <row r="7584">
          <cell r="Q7584">
            <v>-723.10783229393792</v>
          </cell>
        </row>
        <row r="7585">
          <cell r="Q7585">
            <v>-740.42144904847351</v>
          </cell>
        </row>
        <row r="7586">
          <cell r="Q7586">
            <v>1797.9453922479699</v>
          </cell>
        </row>
        <row r="7587">
          <cell r="Q7587">
            <v>-2478.5257968545029</v>
          </cell>
        </row>
        <row r="7588">
          <cell r="Q7588">
            <v>2637.7175928503025</v>
          </cell>
        </row>
        <row r="7589">
          <cell r="Q7589">
            <v>-176.82808478537669</v>
          </cell>
        </row>
        <row r="7590">
          <cell r="Q7590">
            <v>-2799.5929517768327</v>
          </cell>
        </row>
        <row r="7591">
          <cell r="Q7591">
            <v>614.67901003026032</v>
          </cell>
        </row>
        <row r="7592">
          <cell r="Q7592">
            <v>-1822.8134207318087</v>
          </cell>
        </row>
        <row r="7593">
          <cell r="Q7593">
            <v>626.7988984095872</v>
          </cell>
        </row>
        <row r="7594">
          <cell r="Q7594">
            <v>368.87825482864037</v>
          </cell>
        </row>
        <row r="7595">
          <cell r="Q7595">
            <v>1519.5711399736842</v>
          </cell>
        </row>
        <row r="7596">
          <cell r="Q7596">
            <v>165.77835788461178</v>
          </cell>
        </row>
        <row r="7597">
          <cell r="Q7597">
            <v>-2073.4747614352477</v>
          </cell>
        </row>
        <row r="7598">
          <cell r="Q7598">
            <v>1256.1906861100329</v>
          </cell>
        </row>
        <row r="7599">
          <cell r="Q7599">
            <v>-3045.6927127785416</v>
          </cell>
        </row>
        <row r="7600">
          <cell r="Q7600">
            <v>30.347439660556745</v>
          </cell>
        </row>
        <row r="7601">
          <cell r="Q7601">
            <v>1742.743464299791</v>
          </cell>
        </row>
        <row r="7602">
          <cell r="Q7602">
            <v>1299.8211900538008</v>
          </cell>
        </row>
        <row r="7603">
          <cell r="Q7603">
            <v>2100.7328551665059</v>
          </cell>
        </row>
        <row r="7604">
          <cell r="Q7604">
            <v>1210.1723974226275</v>
          </cell>
        </row>
        <row r="7605">
          <cell r="Q7605">
            <v>1446.2541600406125</v>
          </cell>
        </row>
        <row r="7606">
          <cell r="Q7606">
            <v>1148.827899153662</v>
          </cell>
        </row>
        <row r="7607">
          <cell r="Q7607">
            <v>-604.50840399478329</v>
          </cell>
        </row>
        <row r="7608">
          <cell r="Q7608">
            <v>1439.7185951828553</v>
          </cell>
        </row>
        <row r="7609">
          <cell r="Q7609">
            <v>3506.2726840498281</v>
          </cell>
        </row>
        <row r="7610">
          <cell r="Q7610">
            <v>3060.8250664501784</v>
          </cell>
        </row>
        <row r="7611">
          <cell r="Q7611">
            <v>1812.5072232312591</v>
          </cell>
        </row>
        <row r="7612">
          <cell r="Q7612">
            <v>2500.2592963752927</v>
          </cell>
        </row>
        <row r="7613">
          <cell r="Q7613">
            <v>-1359.3070710036764</v>
          </cell>
        </row>
        <row r="7614">
          <cell r="Q7614">
            <v>460.31009549934834</v>
          </cell>
        </row>
        <row r="7615">
          <cell r="Q7615">
            <v>1019.5109518042134</v>
          </cell>
        </row>
        <row r="7616">
          <cell r="Q7616">
            <v>-4319.9996048539288</v>
          </cell>
        </row>
        <row r="7617">
          <cell r="Q7617">
            <v>854.12538703783684</v>
          </cell>
        </row>
        <row r="7618">
          <cell r="Q7618">
            <v>699.58668528666499</v>
          </cell>
        </row>
        <row r="7619">
          <cell r="Q7619">
            <v>-2134.4000858461027</v>
          </cell>
        </row>
        <row r="7620">
          <cell r="Q7620">
            <v>2059.3172812552598</v>
          </cell>
        </row>
        <row r="7621">
          <cell r="Q7621">
            <v>-3158.5951431034528</v>
          </cell>
        </row>
        <row r="7622">
          <cell r="Q7622">
            <v>-1410.1919274785207</v>
          </cell>
        </row>
        <row r="7623">
          <cell r="Q7623">
            <v>174.58932464986532</v>
          </cell>
        </row>
        <row r="7624">
          <cell r="Q7624">
            <v>1749.5630465829661</v>
          </cell>
        </row>
        <row r="7625">
          <cell r="Q7625">
            <v>-943.56614579190887</v>
          </cell>
        </row>
        <row r="7626">
          <cell r="Q7626">
            <v>1231.3108992887383</v>
          </cell>
        </row>
        <row r="7627">
          <cell r="Q7627">
            <v>1055.9768696226026</v>
          </cell>
        </row>
        <row r="7628">
          <cell r="Q7628">
            <v>1723.6335981814802</v>
          </cell>
        </row>
        <row r="7629">
          <cell r="Q7629">
            <v>-617.94049959793961</v>
          </cell>
        </row>
        <row r="7630">
          <cell r="Q7630">
            <v>2934.7629644076783</v>
          </cell>
        </row>
        <row r="7631">
          <cell r="Q7631">
            <v>-2597.9427481335865</v>
          </cell>
        </row>
        <row r="7632">
          <cell r="Q7632">
            <v>-393.77193034926069</v>
          </cell>
        </row>
        <row r="7633">
          <cell r="Q7633">
            <v>366.87642883621623</v>
          </cell>
        </row>
        <row r="7634">
          <cell r="Q7634">
            <v>2409.2395845231672</v>
          </cell>
        </row>
        <row r="7635">
          <cell r="Q7635">
            <v>1989.2016368295219</v>
          </cell>
        </row>
        <row r="7636">
          <cell r="Q7636">
            <v>1025.3467842064031</v>
          </cell>
        </row>
        <row r="7637">
          <cell r="Q7637">
            <v>7376.1988119919251</v>
          </cell>
        </row>
        <row r="7638">
          <cell r="Q7638">
            <v>-1313.3316681587821</v>
          </cell>
        </row>
        <row r="7639">
          <cell r="Q7639">
            <v>-1064.2045302941044</v>
          </cell>
        </row>
        <row r="7640">
          <cell r="Q7640">
            <v>-691.64397917023393</v>
          </cell>
        </row>
        <row r="7641">
          <cell r="Q7641">
            <v>-2851.8533415484608</v>
          </cell>
        </row>
        <row r="7642">
          <cell r="Q7642">
            <v>1620.0810931954566</v>
          </cell>
        </row>
        <row r="7643">
          <cell r="Q7643">
            <v>25.328877012000817</v>
          </cell>
        </row>
        <row r="7644">
          <cell r="Q7644">
            <v>1448.4918365064627</v>
          </cell>
        </row>
        <row r="7645">
          <cell r="Q7645">
            <v>376.10993713932288</v>
          </cell>
        </row>
        <row r="7646">
          <cell r="Q7646">
            <v>-2151.1267808857865</v>
          </cell>
        </row>
        <row r="7647">
          <cell r="Q7647">
            <v>-4730.0819901210916</v>
          </cell>
        </row>
        <row r="7648">
          <cell r="Q7648">
            <v>2422.9177997254815</v>
          </cell>
        </row>
        <row r="7649">
          <cell r="Q7649">
            <v>698.0627329473084</v>
          </cell>
        </row>
        <row r="7650">
          <cell r="Q7650">
            <v>3391.7069647037551</v>
          </cell>
        </row>
        <row r="7651">
          <cell r="Q7651">
            <v>-499.52437331977052</v>
          </cell>
        </row>
        <row r="7652">
          <cell r="Q7652">
            <v>-2576.8437466687878</v>
          </cell>
        </row>
        <row r="7653">
          <cell r="Q7653">
            <v>1940.3388219010717</v>
          </cell>
        </row>
        <row r="7654">
          <cell r="Q7654">
            <v>2613.9954560314068</v>
          </cell>
        </row>
        <row r="7655">
          <cell r="Q7655">
            <v>-2028.5348525120755</v>
          </cell>
        </row>
        <row r="7656">
          <cell r="Q7656">
            <v>1111.2490749760009</v>
          </cell>
        </row>
        <row r="7657">
          <cell r="Q7657">
            <v>-1224.6199753982369</v>
          </cell>
        </row>
        <row r="7658">
          <cell r="Q7658">
            <v>-3404.9029914002531</v>
          </cell>
        </row>
        <row r="7659">
          <cell r="Q7659">
            <v>-3703.2218707921638</v>
          </cell>
        </row>
        <row r="7660">
          <cell r="Q7660">
            <v>-2295.742774144579</v>
          </cell>
        </row>
        <row r="7661">
          <cell r="Q7661">
            <v>3360.929071888208</v>
          </cell>
        </row>
        <row r="7662">
          <cell r="Q7662">
            <v>1498.2231685728466</v>
          </cell>
        </row>
        <row r="7663">
          <cell r="Q7663">
            <v>4100.5667046348826</v>
          </cell>
        </row>
        <row r="7664">
          <cell r="Q7664">
            <v>361.27223680378813</v>
          </cell>
        </row>
        <row r="7665">
          <cell r="Q7665">
            <v>909.95413031419776</v>
          </cell>
        </row>
        <row r="7666">
          <cell r="Q7666">
            <v>311.78367458608591</v>
          </cell>
        </row>
        <row r="7667">
          <cell r="Q7667">
            <v>1785.3562473074996</v>
          </cell>
        </row>
        <row r="7668">
          <cell r="Q7668">
            <v>349.45252159880022</v>
          </cell>
        </row>
        <row r="7669">
          <cell r="Q7669">
            <v>-2106.9354023378246</v>
          </cell>
        </row>
        <row r="7670">
          <cell r="Q7670">
            <v>-123.05216083009037</v>
          </cell>
        </row>
        <row r="7671">
          <cell r="Q7671">
            <v>1841.4388880002546</v>
          </cell>
        </row>
        <row r="7672">
          <cell r="Q7672">
            <v>264.33395106602376</v>
          </cell>
        </row>
        <row r="7673">
          <cell r="Q7673">
            <v>2410.1302956804839</v>
          </cell>
        </row>
        <row r="7674">
          <cell r="Q7674">
            <v>-710.30477144973383</v>
          </cell>
        </row>
        <row r="7675">
          <cell r="Q7675">
            <v>2308.9537418851387</v>
          </cell>
        </row>
        <row r="7676">
          <cell r="Q7676">
            <v>998.22764737781563</v>
          </cell>
        </row>
        <row r="7677">
          <cell r="Q7677">
            <v>-3012.0053435399914</v>
          </cell>
        </row>
        <row r="7678">
          <cell r="Q7678">
            <v>-892.83443076294384</v>
          </cell>
        </row>
        <row r="7679">
          <cell r="Q7679">
            <v>-616.31104200885511</v>
          </cell>
        </row>
        <row r="7680">
          <cell r="Q7680">
            <v>106.86407503742629</v>
          </cell>
        </row>
        <row r="7681">
          <cell r="Q7681">
            <v>2388.2237475853208</v>
          </cell>
        </row>
        <row r="7682">
          <cell r="Q7682">
            <v>-1658.0644265807712</v>
          </cell>
        </row>
        <row r="7683">
          <cell r="Q7683">
            <v>3038.5878983588777</v>
          </cell>
        </row>
        <row r="7684">
          <cell r="Q7684">
            <v>371.86109859586418</v>
          </cell>
        </row>
        <row r="7685">
          <cell r="Q7685">
            <v>3035.3807531835628</v>
          </cell>
        </row>
        <row r="7686">
          <cell r="Q7686">
            <v>-1940.5307009149676</v>
          </cell>
        </row>
        <row r="7687">
          <cell r="Q7687">
            <v>3806.2456797267673</v>
          </cell>
        </row>
        <row r="7688">
          <cell r="Q7688">
            <v>785.42397619100188</v>
          </cell>
        </row>
        <row r="7689">
          <cell r="Q7689">
            <v>2168.3571110835037</v>
          </cell>
        </row>
        <row r="7690">
          <cell r="Q7690">
            <v>1270.2267402328846</v>
          </cell>
        </row>
        <row r="7691">
          <cell r="Q7691">
            <v>-1104.7397024171946</v>
          </cell>
        </row>
        <row r="7692">
          <cell r="Q7692">
            <v>-1843.4664880409434</v>
          </cell>
        </row>
        <row r="7693">
          <cell r="Q7693">
            <v>2368.6821005020702</v>
          </cell>
        </row>
        <row r="7694">
          <cell r="Q7694">
            <v>157.57620839973609</v>
          </cell>
        </row>
        <row r="7695">
          <cell r="Q7695">
            <v>2718.9043022607952</v>
          </cell>
        </row>
        <row r="7696">
          <cell r="Q7696">
            <v>2166.5917097606284</v>
          </cell>
        </row>
        <row r="7697">
          <cell r="Q7697">
            <v>-89.546312035265942</v>
          </cell>
        </row>
        <row r="7698">
          <cell r="Q7698">
            <v>-2428.4099237822211</v>
          </cell>
        </row>
        <row r="7699">
          <cell r="Q7699">
            <v>-1820.5586822300827</v>
          </cell>
        </row>
        <row r="7700">
          <cell r="Q7700">
            <v>5218.5301152805951</v>
          </cell>
        </row>
        <row r="7701">
          <cell r="Q7701">
            <v>583.38662040986515</v>
          </cell>
        </row>
        <row r="7702">
          <cell r="Q7702">
            <v>-428.15628013845725</v>
          </cell>
        </row>
        <row r="7703">
          <cell r="Q7703">
            <v>1292.4599839769558</v>
          </cell>
        </row>
        <row r="7704">
          <cell r="Q7704">
            <v>2602.8879448125631</v>
          </cell>
        </row>
        <row r="7705">
          <cell r="Q7705">
            <v>649.00646650924568</v>
          </cell>
        </row>
        <row r="7706">
          <cell r="Q7706">
            <v>4206.480616637491</v>
          </cell>
        </row>
        <row r="7707">
          <cell r="Q7707">
            <v>-313.36406624328407</v>
          </cell>
        </row>
        <row r="7708">
          <cell r="Q7708">
            <v>718.16806505665386</v>
          </cell>
        </row>
        <row r="7709">
          <cell r="Q7709">
            <v>1980.5315612373438</v>
          </cell>
        </row>
        <row r="7710">
          <cell r="Q7710">
            <v>3137.7188818234144</v>
          </cell>
        </row>
        <row r="7711">
          <cell r="Q7711">
            <v>-44.777031963155537</v>
          </cell>
        </row>
        <row r="7712">
          <cell r="Q7712">
            <v>1567.1904192893135</v>
          </cell>
        </row>
        <row r="7713">
          <cell r="Q7713">
            <v>-1305.1481357310063</v>
          </cell>
        </row>
        <row r="7714">
          <cell r="Q7714">
            <v>7.7112977622130643</v>
          </cell>
        </row>
        <row r="7715">
          <cell r="Q7715">
            <v>-173.21453413282308</v>
          </cell>
        </row>
        <row r="7716">
          <cell r="Q7716">
            <v>4026.9126669908537</v>
          </cell>
        </row>
        <row r="7717">
          <cell r="Q7717">
            <v>-3943.7062464490073</v>
          </cell>
        </row>
        <row r="7718">
          <cell r="Q7718">
            <v>2838.4466152604837</v>
          </cell>
        </row>
        <row r="7719">
          <cell r="Q7719">
            <v>-2220.4809430040427</v>
          </cell>
        </row>
        <row r="7720">
          <cell r="Q7720">
            <v>3523.9561815335596</v>
          </cell>
        </row>
        <row r="7721">
          <cell r="Q7721">
            <v>-870.97434251519303</v>
          </cell>
        </row>
        <row r="7722">
          <cell r="Q7722">
            <v>670.40845993720848</v>
          </cell>
        </row>
        <row r="7723">
          <cell r="Q7723">
            <v>474.83276786042165</v>
          </cell>
        </row>
        <row r="7724">
          <cell r="Q7724">
            <v>3394.9184723338881</v>
          </cell>
        </row>
        <row r="7725">
          <cell r="Q7725">
            <v>3654.7416071616731</v>
          </cell>
        </row>
        <row r="7726">
          <cell r="Q7726">
            <v>-837.44400711736807</v>
          </cell>
        </row>
        <row r="7727">
          <cell r="Q7727">
            <v>106.61458225959802</v>
          </cell>
        </row>
        <row r="7728">
          <cell r="Q7728">
            <v>1063.6543368816483</v>
          </cell>
        </row>
        <row r="7729">
          <cell r="Q7729">
            <v>-2708.4796670015153</v>
          </cell>
        </row>
        <row r="7730">
          <cell r="Q7730">
            <v>2232.4216013603314</v>
          </cell>
        </row>
        <row r="7731">
          <cell r="Q7731">
            <v>-1785.5987505165765</v>
          </cell>
        </row>
        <row r="7732">
          <cell r="Q7732">
            <v>536.87253724557479</v>
          </cell>
        </row>
        <row r="7733">
          <cell r="Q7733">
            <v>-466.43162729673264</v>
          </cell>
        </row>
        <row r="7734">
          <cell r="Q7734">
            <v>4178.4331961444814</v>
          </cell>
        </row>
        <row r="7735">
          <cell r="Q7735">
            <v>4395.9350525750287</v>
          </cell>
        </row>
        <row r="7736">
          <cell r="Q7736">
            <v>3096.4757255743971</v>
          </cell>
        </row>
        <row r="7737">
          <cell r="Q7737">
            <v>500.06354418671998</v>
          </cell>
        </row>
        <row r="7738">
          <cell r="Q7738">
            <v>-412.20591022142736</v>
          </cell>
        </row>
        <row r="7739">
          <cell r="Q7739">
            <v>1829.7743242214167</v>
          </cell>
        </row>
        <row r="7740">
          <cell r="Q7740">
            <v>765.30703940917783</v>
          </cell>
        </row>
        <row r="7741">
          <cell r="Q7741">
            <v>-596.90439832066045</v>
          </cell>
        </row>
        <row r="7742">
          <cell r="Q7742">
            <v>-1822.9359988249469</v>
          </cell>
        </row>
        <row r="7743">
          <cell r="Q7743">
            <v>-668.86135935887046</v>
          </cell>
        </row>
        <row r="7744">
          <cell r="Q7744">
            <v>-1896.1689948347691</v>
          </cell>
        </row>
        <row r="7745">
          <cell r="Q7745">
            <v>3587.5426726185569</v>
          </cell>
        </row>
        <row r="7746">
          <cell r="Q7746">
            <v>1882.2997028381235</v>
          </cell>
        </row>
        <row r="7747">
          <cell r="Q7747">
            <v>4513.6646039825109</v>
          </cell>
        </row>
        <row r="7748">
          <cell r="Q7748">
            <v>956.96862703145825</v>
          </cell>
        </row>
        <row r="7749">
          <cell r="Q7749">
            <v>2111.5984348542424</v>
          </cell>
        </row>
        <row r="7750">
          <cell r="Q7750">
            <v>2175.2106636144799</v>
          </cell>
        </row>
        <row r="7751">
          <cell r="Q7751">
            <v>2350.7581006861365</v>
          </cell>
        </row>
        <row r="7752">
          <cell r="Q7752">
            <v>2355.3637988178889</v>
          </cell>
        </row>
        <row r="7753">
          <cell r="Q7753">
            <v>2088.5475992242427</v>
          </cell>
        </row>
        <row r="7754">
          <cell r="Q7754">
            <v>1938.8356737123636</v>
          </cell>
        </row>
        <row r="7755">
          <cell r="Q7755">
            <v>2684.4030409403513</v>
          </cell>
        </row>
        <row r="7756">
          <cell r="Q7756">
            <v>2363.629982789329</v>
          </cell>
        </row>
        <row r="7757">
          <cell r="Q7757">
            <v>1099.3820896971806</v>
          </cell>
        </row>
        <row r="7758">
          <cell r="Q7758">
            <v>701.92058623112189</v>
          </cell>
        </row>
        <row r="7759">
          <cell r="Q7759">
            <v>-2187.1394130772105</v>
          </cell>
        </row>
        <row r="7760">
          <cell r="Q7760">
            <v>649.3346125959996</v>
          </cell>
        </row>
        <row r="7761">
          <cell r="Q7761">
            <v>-2158.5276016604898</v>
          </cell>
        </row>
        <row r="7762">
          <cell r="Q7762">
            <v>2966.2595962974078</v>
          </cell>
        </row>
        <row r="7763">
          <cell r="Q7763">
            <v>2426.1634285378368</v>
          </cell>
        </row>
        <row r="7764">
          <cell r="Q7764">
            <v>1636.2458736911808</v>
          </cell>
        </row>
        <row r="7765">
          <cell r="Q7765">
            <v>913.99861151045457</v>
          </cell>
        </row>
        <row r="7766">
          <cell r="Q7766">
            <v>-3127.752687037656</v>
          </cell>
        </row>
        <row r="7767">
          <cell r="Q7767">
            <v>-1347.1665787167362</v>
          </cell>
        </row>
        <row r="7768">
          <cell r="Q7768">
            <v>-1237.5184889261557</v>
          </cell>
        </row>
        <row r="7769">
          <cell r="Q7769">
            <v>-2544.5919792316704</v>
          </cell>
        </row>
        <row r="7770">
          <cell r="Q7770">
            <v>-2194.1421823324813</v>
          </cell>
        </row>
        <row r="7771">
          <cell r="Q7771">
            <v>-350.60055559349206</v>
          </cell>
        </row>
        <row r="7772">
          <cell r="Q7772">
            <v>-97.009739989847617</v>
          </cell>
        </row>
        <row r="7773">
          <cell r="Q7773">
            <v>-1158.4031192836055</v>
          </cell>
        </row>
        <row r="7774">
          <cell r="Q7774">
            <v>2758.0807815201765</v>
          </cell>
        </row>
        <row r="7775">
          <cell r="Q7775">
            <v>196.10054338512555</v>
          </cell>
        </row>
        <row r="7776">
          <cell r="Q7776">
            <v>-1061.8622703824103</v>
          </cell>
        </row>
        <row r="7777">
          <cell r="Q7777">
            <v>-406.63095941316539</v>
          </cell>
        </row>
        <row r="7778">
          <cell r="Q7778">
            <v>-835.35467882134753</v>
          </cell>
        </row>
        <row r="7779">
          <cell r="Q7779">
            <v>2460.3848929668889</v>
          </cell>
        </row>
        <row r="7780">
          <cell r="Q7780">
            <v>-2979.0311513942784</v>
          </cell>
        </row>
        <row r="7781">
          <cell r="Q7781">
            <v>1193.2167415605156</v>
          </cell>
        </row>
        <row r="7782">
          <cell r="Q7782">
            <v>-2986.3929606224842</v>
          </cell>
        </row>
        <row r="7783">
          <cell r="Q7783">
            <v>259.49208342297584</v>
          </cell>
        </row>
        <row r="7784">
          <cell r="Q7784">
            <v>1298.4883866762091</v>
          </cell>
        </row>
        <row r="7785">
          <cell r="Q7785">
            <v>-783.19267921940695</v>
          </cell>
        </row>
        <row r="7786">
          <cell r="Q7786">
            <v>-1925.2383678058284</v>
          </cell>
        </row>
        <row r="7787">
          <cell r="Q7787">
            <v>-43.089847379203547</v>
          </cell>
        </row>
        <row r="7788">
          <cell r="Q7788">
            <v>446.39523639211325</v>
          </cell>
        </row>
        <row r="7789">
          <cell r="Q7789">
            <v>916.2770584781972</v>
          </cell>
        </row>
        <row r="7790">
          <cell r="Q7790">
            <v>-802.94395534867476</v>
          </cell>
        </row>
        <row r="7791">
          <cell r="Q7791">
            <v>4459.2251851071287</v>
          </cell>
        </row>
        <row r="7792">
          <cell r="Q7792">
            <v>2144.5396224024198</v>
          </cell>
        </row>
        <row r="7793">
          <cell r="Q7793">
            <v>4593.3655371974719</v>
          </cell>
        </row>
        <row r="7794">
          <cell r="Q7794">
            <v>828.61072822146912</v>
          </cell>
        </row>
        <row r="7795">
          <cell r="Q7795">
            <v>596.04716293824288</v>
          </cell>
        </row>
        <row r="7796">
          <cell r="Q7796">
            <v>220.87409648959738</v>
          </cell>
        </row>
        <row r="7797">
          <cell r="Q7797">
            <v>1459.5639381477022</v>
          </cell>
        </row>
        <row r="7798">
          <cell r="Q7798">
            <v>-1975.674009378941</v>
          </cell>
        </row>
        <row r="7799">
          <cell r="Q7799">
            <v>480.84545416579715</v>
          </cell>
        </row>
        <row r="7800">
          <cell r="Q7800">
            <v>1671.2802823811337</v>
          </cell>
        </row>
        <row r="7801">
          <cell r="Q7801">
            <v>-854.78088928450279</v>
          </cell>
        </row>
        <row r="7802">
          <cell r="Q7802">
            <v>2079.2929292804538</v>
          </cell>
        </row>
        <row r="7803">
          <cell r="Q7803">
            <v>-163.15900470656305</v>
          </cell>
        </row>
        <row r="7804">
          <cell r="Q7804">
            <v>-2481.949890791755</v>
          </cell>
        </row>
        <row r="7805">
          <cell r="Q7805">
            <v>1416.857901714385</v>
          </cell>
        </row>
        <row r="7806">
          <cell r="Q7806">
            <v>-1232.8938020032751</v>
          </cell>
        </row>
        <row r="7807">
          <cell r="Q7807">
            <v>-946.41090307325067</v>
          </cell>
        </row>
        <row r="7808">
          <cell r="Q7808">
            <v>-2411.4389047952232</v>
          </cell>
        </row>
        <row r="7809">
          <cell r="Q7809">
            <v>1737.9975919877156</v>
          </cell>
        </row>
        <row r="7810">
          <cell r="Q7810">
            <v>5322.5133898906433</v>
          </cell>
        </row>
        <row r="7811">
          <cell r="Q7811">
            <v>-16.045404545447013</v>
          </cell>
        </row>
        <row r="7812">
          <cell r="Q7812">
            <v>-693.3031817909814</v>
          </cell>
        </row>
        <row r="7813">
          <cell r="Q7813">
            <v>-1939.4134733865478</v>
          </cell>
        </row>
        <row r="7814">
          <cell r="Q7814">
            <v>577.64737232272535</v>
          </cell>
        </row>
        <row r="7815">
          <cell r="Q7815">
            <v>764.04927157120278</v>
          </cell>
        </row>
        <row r="7816">
          <cell r="Q7816">
            <v>3571.8222586442785</v>
          </cell>
        </row>
        <row r="7817">
          <cell r="Q7817">
            <v>2574.8075226129008</v>
          </cell>
        </row>
        <row r="7818">
          <cell r="Q7818">
            <v>-1637.4802579870336</v>
          </cell>
        </row>
        <row r="7819">
          <cell r="Q7819">
            <v>2135.5249363591747</v>
          </cell>
        </row>
        <row r="7820">
          <cell r="Q7820">
            <v>-271.82514184712096</v>
          </cell>
        </row>
        <row r="7821">
          <cell r="Q7821">
            <v>2178.1766258111779</v>
          </cell>
        </row>
        <row r="7822">
          <cell r="Q7822">
            <v>354.63012459971947</v>
          </cell>
        </row>
        <row r="7823">
          <cell r="Q7823">
            <v>-777.71738672198535</v>
          </cell>
        </row>
        <row r="7824">
          <cell r="Q7824">
            <v>-41.405446958991945</v>
          </cell>
        </row>
        <row r="7825">
          <cell r="Q7825">
            <v>-142.47610088020946</v>
          </cell>
        </row>
        <row r="7826">
          <cell r="Q7826">
            <v>482.17682578344056</v>
          </cell>
        </row>
        <row r="7827">
          <cell r="Q7827">
            <v>1091.105078072412</v>
          </cell>
        </row>
        <row r="7828">
          <cell r="Q7828">
            <v>-1365.8105305650731</v>
          </cell>
        </row>
        <row r="7829">
          <cell r="Q7829">
            <v>-2341.4201351216261</v>
          </cell>
        </row>
        <row r="7830">
          <cell r="Q7830">
            <v>-1733.6749143755085</v>
          </cell>
        </row>
        <row r="7831">
          <cell r="Q7831">
            <v>-2253.3477704949419</v>
          </cell>
        </row>
        <row r="7832">
          <cell r="Q7832">
            <v>-1839.2331191441297</v>
          </cell>
        </row>
        <row r="7833">
          <cell r="Q7833">
            <v>1369.2839996423347</v>
          </cell>
        </row>
        <row r="7834">
          <cell r="Q7834">
            <v>2004.3736116953148</v>
          </cell>
        </row>
        <row r="7835">
          <cell r="Q7835">
            <v>1702.808751127144</v>
          </cell>
        </row>
        <row r="7836">
          <cell r="Q7836">
            <v>-727.37645766214041</v>
          </cell>
        </row>
        <row r="7837">
          <cell r="Q7837">
            <v>150.03319317542608</v>
          </cell>
        </row>
        <row r="7838">
          <cell r="Q7838">
            <v>3125.5733470189375</v>
          </cell>
        </row>
        <row r="7839">
          <cell r="Q7839">
            <v>490.20875211499072</v>
          </cell>
        </row>
        <row r="7840">
          <cell r="Q7840">
            <v>2641.1551713452413</v>
          </cell>
        </row>
        <row r="7841">
          <cell r="Q7841">
            <v>-2081.9948928694998</v>
          </cell>
        </row>
        <row r="7842">
          <cell r="Q7842">
            <v>2228.9009383289517</v>
          </cell>
        </row>
        <row r="7843">
          <cell r="Q7843">
            <v>1916.1573600733159</v>
          </cell>
        </row>
        <row r="7844">
          <cell r="Q7844">
            <v>1391.0441559374131</v>
          </cell>
        </row>
        <row r="7845">
          <cell r="Q7845">
            <v>2260.8386754320172</v>
          </cell>
        </row>
        <row r="7846">
          <cell r="Q7846">
            <v>-2681.4706501434548</v>
          </cell>
        </row>
        <row r="7847">
          <cell r="Q7847">
            <v>-812.22900431172661</v>
          </cell>
        </row>
        <row r="7848">
          <cell r="Q7848">
            <v>-2718.5718723847522</v>
          </cell>
        </row>
        <row r="7849">
          <cell r="Q7849">
            <v>-3682.7478004745153</v>
          </cell>
        </row>
        <row r="7850">
          <cell r="Q7850">
            <v>-1104.5175043962247</v>
          </cell>
        </row>
        <row r="7851">
          <cell r="Q7851">
            <v>-3376.6153995711534</v>
          </cell>
        </row>
        <row r="7852">
          <cell r="Q7852">
            <v>-2705.7988069627859</v>
          </cell>
        </row>
        <row r="7853">
          <cell r="Q7853">
            <v>3497.6125860041793</v>
          </cell>
        </row>
        <row r="7854">
          <cell r="Q7854">
            <v>1509.485521081823</v>
          </cell>
        </row>
        <row r="7855">
          <cell r="Q7855">
            <v>-856.66407907851976</v>
          </cell>
        </row>
        <row r="7856">
          <cell r="Q7856">
            <v>-587.44516212150961</v>
          </cell>
        </row>
        <row r="7857">
          <cell r="Q7857">
            <v>796.35699909891559</v>
          </cell>
        </row>
        <row r="7858">
          <cell r="Q7858">
            <v>-1470.7545302572414</v>
          </cell>
        </row>
        <row r="7859">
          <cell r="Q7859">
            <v>-691.49276851598916</v>
          </cell>
        </row>
        <row r="7860">
          <cell r="Q7860">
            <v>-1592.8080579231973</v>
          </cell>
        </row>
        <row r="7861">
          <cell r="Q7861">
            <v>-268.0729769862084</v>
          </cell>
        </row>
        <row r="7862">
          <cell r="Q7862">
            <v>-1887.0500270986824</v>
          </cell>
        </row>
        <row r="7863">
          <cell r="Q7863">
            <v>-1385.2837430775805</v>
          </cell>
        </row>
        <row r="7864">
          <cell r="Q7864">
            <v>3942.9988094171381</v>
          </cell>
        </row>
        <row r="7865">
          <cell r="Q7865">
            <v>-55.494253367070712</v>
          </cell>
        </row>
        <row r="7866">
          <cell r="Q7866">
            <v>1077.1394186198368</v>
          </cell>
        </row>
        <row r="7867">
          <cell r="Q7867">
            <v>896.54491005999648</v>
          </cell>
        </row>
        <row r="7868">
          <cell r="Q7868">
            <v>691.48881192021645</v>
          </cell>
        </row>
        <row r="7869">
          <cell r="Q7869">
            <v>-2836.3527215805611</v>
          </cell>
        </row>
        <row r="7870">
          <cell r="Q7870">
            <v>-2605.0016307301753</v>
          </cell>
        </row>
        <row r="7871">
          <cell r="Q7871">
            <v>2736.291928126228</v>
          </cell>
        </row>
        <row r="7872">
          <cell r="Q7872">
            <v>-813.32637615693784</v>
          </cell>
        </row>
        <row r="7873">
          <cell r="Q7873">
            <v>1385.1143841927728</v>
          </cell>
        </row>
        <row r="7874">
          <cell r="Q7874">
            <v>85.758648354151887</v>
          </cell>
        </row>
        <row r="7875">
          <cell r="Q7875">
            <v>3636.8246980322683</v>
          </cell>
        </row>
        <row r="7876">
          <cell r="Q7876">
            <v>3485.4286716258575</v>
          </cell>
        </row>
        <row r="7877">
          <cell r="Q7877">
            <v>771.26890170107777</v>
          </cell>
        </row>
        <row r="7878">
          <cell r="Q7878">
            <v>1499.5578760218871</v>
          </cell>
        </row>
        <row r="7879">
          <cell r="Q7879">
            <v>-526.96026634188161</v>
          </cell>
        </row>
        <row r="7880">
          <cell r="Q7880">
            <v>-4912.967510631237</v>
          </cell>
        </row>
        <row r="7881">
          <cell r="Q7881">
            <v>557.15860532163276</v>
          </cell>
        </row>
        <row r="7882">
          <cell r="Q7882">
            <v>-3289.1755102860243</v>
          </cell>
        </row>
        <row r="7883">
          <cell r="Q7883">
            <v>1023.5897198293271</v>
          </cell>
        </row>
        <row r="7884">
          <cell r="Q7884">
            <v>-3236.466557019553</v>
          </cell>
        </row>
        <row r="7885">
          <cell r="Q7885">
            <v>-1982.5618242111643</v>
          </cell>
        </row>
        <row r="7886">
          <cell r="Q7886">
            <v>-2210.644498144402</v>
          </cell>
        </row>
        <row r="7887">
          <cell r="Q7887">
            <v>3615.3074213930836</v>
          </cell>
        </row>
        <row r="7888">
          <cell r="Q7888">
            <v>-1559.4364190152696</v>
          </cell>
        </row>
        <row r="7889">
          <cell r="Q7889">
            <v>-2124.3784337163906</v>
          </cell>
        </row>
        <row r="7890">
          <cell r="Q7890">
            <v>-648.12691452543481</v>
          </cell>
        </row>
        <row r="7891">
          <cell r="Q7891">
            <v>1212.038115552444</v>
          </cell>
        </row>
        <row r="7892">
          <cell r="Q7892">
            <v>1577.9163019712119</v>
          </cell>
        </row>
        <row r="7893">
          <cell r="Q7893">
            <v>1081.6104615214624</v>
          </cell>
        </row>
        <row r="7894">
          <cell r="Q7894">
            <v>-128.0802779282597</v>
          </cell>
        </row>
        <row r="7895">
          <cell r="Q7895">
            <v>689.11965362933029</v>
          </cell>
        </row>
        <row r="7896">
          <cell r="Q7896">
            <v>4069.6797979325861</v>
          </cell>
        </row>
        <row r="7897">
          <cell r="Q7897">
            <v>-2047.3934816169674</v>
          </cell>
        </row>
        <row r="7898">
          <cell r="Q7898">
            <v>-313.01504822523344</v>
          </cell>
        </row>
        <row r="7899">
          <cell r="Q7899">
            <v>344.13084682188543</v>
          </cell>
        </row>
        <row r="7900">
          <cell r="Q7900">
            <v>1780.8803145688614</v>
          </cell>
        </row>
        <row r="7901">
          <cell r="Q7901">
            <v>-567.93676098694255</v>
          </cell>
        </row>
        <row r="7902">
          <cell r="Q7902">
            <v>1632.3208399200134</v>
          </cell>
        </row>
        <row r="7903">
          <cell r="Q7903">
            <v>-1604.3647000801868</v>
          </cell>
        </row>
        <row r="7904">
          <cell r="Q7904">
            <v>2022.4315861947805</v>
          </cell>
        </row>
        <row r="7905">
          <cell r="Q7905">
            <v>-489.20452635073394</v>
          </cell>
        </row>
        <row r="7906">
          <cell r="Q7906">
            <v>3216.3394983419707</v>
          </cell>
        </row>
        <row r="7907">
          <cell r="Q7907">
            <v>-4163.3326760288492</v>
          </cell>
        </row>
        <row r="7908">
          <cell r="Q7908">
            <v>-1379.8185323033929</v>
          </cell>
        </row>
        <row r="7909">
          <cell r="Q7909">
            <v>1236.8956895983308</v>
          </cell>
        </row>
        <row r="7910">
          <cell r="Q7910">
            <v>2021.7266062734727</v>
          </cell>
        </row>
        <row r="7911">
          <cell r="Q7911">
            <v>-4044.0180021754195</v>
          </cell>
        </row>
        <row r="7912">
          <cell r="Q7912">
            <v>923.84392673093635</v>
          </cell>
        </row>
        <row r="7913">
          <cell r="Q7913">
            <v>-2844.0403536829172</v>
          </cell>
        </row>
        <row r="7914">
          <cell r="Q7914">
            <v>3506.281524385663</v>
          </cell>
        </row>
        <row r="7915">
          <cell r="Q7915">
            <v>-2589.3591072024751</v>
          </cell>
        </row>
        <row r="7916">
          <cell r="Q7916">
            <v>2384.4023502227305</v>
          </cell>
        </row>
        <row r="7917">
          <cell r="Q7917">
            <v>619.41932039856692</v>
          </cell>
        </row>
        <row r="7918">
          <cell r="Q7918">
            <v>3700.8181046302934</v>
          </cell>
        </row>
        <row r="7919">
          <cell r="Q7919">
            <v>3821.478579801766</v>
          </cell>
        </row>
        <row r="7920">
          <cell r="Q7920">
            <v>2814.2032336361676</v>
          </cell>
        </row>
        <row r="7921">
          <cell r="Q7921">
            <v>2642.6797894406059</v>
          </cell>
        </row>
        <row r="7922">
          <cell r="Q7922">
            <v>-810.8569022237125</v>
          </cell>
        </row>
        <row r="7923">
          <cell r="Q7923">
            <v>1186.5858781195734</v>
          </cell>
        </row>
        <row r="7924">
          <cell r="Q7924">
            <v>3306.6398718711525</v>
          </cell>
        </row>
        <row r="7925">
          <cell r="Q7925">
            <v>3381.228786237682</v>
          </cell>
        </row>
        <row r="7926">
          <cell r="Q7926">
            <v>-2088.7318800163484</v>
          </cell>
        </row>
        <row r="7927">
          <cell r="Q7927">
            <v>164.20638600723319</v>
          </cell>
        </row>
        <row r="7928">
          <cell r="Q7928">
            <v>927.4251217688045</v>
          </cell>
        </row>
        <row r="7929">
          <cell r="Q7929">
            <v>-509.03819419542293</v>
          </cell>
        </row>
        <row r="7930">
          <cell r="Q7930">
            <v>-1832.4015077256079</v>
          </cell>
        </row>
        <row r="7931">
          <cell r="Q7931">
            <v>1131.8601389490093</v>
          </cell>
        </row>
        <row r="7932">
          <cell r="Q7932">
            <v>-460.7338093712761</v>
          </cell>
        </row>
        <row r="7933">
          <cell r="Q7933">
            <v>-2129.224744073018</v>
          </cell>
        </row>
        <row r="7934">
          <cell r="Q7934">
            <v>115.24175149916016</v>
          </cell>
        </row>
        <row r="7935">
          <cell r="Q7935">
            <v>3755.7670471413999</v>
          </cell>
        </row>
        <row r="7936">
          <cell r="Q7936">
            <v>-2583.3483139676873</v>
          </cell>
        </row>
        <row r="7937">
          <cell r="Q7937">
            <v>-1060.1019414857024</v>
          </cell>
        </row>
        <row r="7938">
          <cell r="Q7938">
            <v>-3108.5579820480939</v>
          </cell>
        </row>
        <row r="7939">
          <cell r="Q7939">
            <v>-389.83644710695017</v>
          </cell>
        </row>
        <row r="7940">
          <cell r="Q7940">
            <v>820.5241742838889</v>
          </cell>
        </row>
        <row r="7941">
          <cell r="Q7941">
            <v>-3306.6256897128133</v>
          </cell>
        </row>
        <row r="7942">
          <cell r="Q7942">
            <v>-201.22081429044312</v>
          </cell>
        </row>
        <row r="7943">
          <cell r="Q7943">
            <v>1617.4438813388742</v>
          </cell>
        </row>
        <row r="7944">
          <cell r="Q7944">
            <v>998.70596012592955</v>
          </cell>
        </row>
        <row r="7945">
          <cell r="Q7945">
            <v>2675.0613664857692</v>
          </cell>
        </row>
        <row r="7946">
          <cell r="Q7946">
            <v>-430.95647524391001</v>
          </cell>
        </row>
        <row r="7947">
          <cell r="Q7947">
            <v>690.29532273711288</v>
          </cell>
        </row>
        <row r="7948">
          <cell r="Q7948">
            <v>1887.5151145517955</v>
          </cell>
        </row>
        <row r="7949">
          <cell r="Q7949">
            <v>1305.5369006560841</v>
          </cell>
        </row>
        <row r="7950">
          <cell r="Q7950">
            <v>1669.8115201303567</v>
          </cell>
        </row>
        <row r="7951">
          <cell r="Q7951">
            <v>77.679503126853831</v>
          </cell>
        </row>
        <row r="7952">
          <cell r="Q7952">
            <v>3790.8593293219642</v>
          </cell>
        </row>
        <row r="7953">
          <cell r="Q7953">
            <v>1151.4556977450377</v>
          </cell>
        </row>
        <row r="7954">
          <cell r="Q7954">
            <v>3999.6097339803691</v>
          </cell>
        </row>
        <row r="7955">
          <cell r="Q7955">
            <v>5107.0944764540936</v>
          </cell>
        </row>
        <row r="7956">
          <cell r="Q7956">
            <v>-848.39746300884417</v>
          </cell>
        </row>
        <row r="7957">
          <cell r="Q7957">
            <v>2454.7610980200675</v>
          </cell>
        </row>
        <row r="7958">
          <cell r="Q7958">
            <v>743.03778134251286</v>
          </cell>
        </row>
        <row r="7959">
          <cell r="Q7959">
            <v>2712.1048436580186</v>
          </cell>
        </row>
        <row r="7960">
          <cell r="Q7960">
            <v>-964.44450823148418</v>
          </cell>
        </row>
        <row r="7961">
          <cell r="Q7961">
            <v>-1965.0248546834216</v>
          </cell>
        </row>
        <row r="7962">
          <cell r="Q7962">
            <v>-1783.1478946883333</v>
          </cell>
        </row>
        <row r="7963">
          <cell r="Q7963">
            <v>-1151.8413375756768</v>
          </cell>
        </row>
        <row r="7964">
          <cell r="Q7964">
            <v>1446.2955528682533</v>
          </cell>
        </row>
        <row r="7965">
          <cell r="Q7965">
            <v>663.05395962451394</v>
          </cell>
        </row>
        <row r="7966">
          <cell r="Q7966">
            <v>-1223.9432612354244</v>
          </cell>
        </row>
        <row r="7967">
          <cell r="Q7967">
            <v>-718.61472152661463</v>
          </cell>
        </row>
        <row r="7968">
          <cell r="Q7968">
            <v>723.90692219847188</v>
          </cell>
        </row>
        <row r="7969">
          <cell r="Q7969">
            <v>-1608.0666951623355</v>
          </cell>
        </row>
        <row r="7970">
          <cell r="Q7970">
            <v>-109.22862881594449</v>
          </cell>
        </row>
        <row r="7971">
          <cell r="Q7971">
            <v>-517.53606951437314</v>
          </cell>
        </row>
        <row r="7972">
          <cell r="Q7972">
            <v>217.20755579433117</v>
          </cell>
        </row>
        <row r="7973">
          <cell r="Q7973">
            <v>-795.22954577257565</v>
          </cell>
        </row>
        <row r="7974">
          <cell r="Q7974">
            <v>1961.7695219321258</v>
          </cell>
        </row>
        <row r="7975">
          <cell r="Q7975">
            <v>-1379.9051310845105</v>
          </cell>
        </row>
        <row r="7976">
          <cell r="Q7976">
            <v>-1791.4024458364736</v>
          </cell>
        </row>
        <row r="7977">
          <cell r="Q7977">
            <v>2331.4259896971425</v>
          </cell>
        </row>
        <row r="7978">
          <cell r="Q7978">
            <v>4332.5754418144006</v>
          </cell>
        </row>
        <row r="7979">
          <cell r="Q7979">
            <v>265.89731923495776</v>
          </cell>
        </row>
        <row r="7980">
          <cell r="Q7980">
            <v>5646.4537056282106</v>
          </cell>
        </row>
        <row r="7981">
          <cell r="Q7981">
            <v>2785.0559709908184</v>
          </cell>
        </row>
        <row r="7982">
          <cell r="Q7982">
            <v>2746.6699993334291</v>
          </cell>
        </row>
        <row r="7983">
          <cell r="Q7983">
            <v>3396.9009439705551</v>
          </cell>
        </row>
        <row r="7984">
          <cell r="Q7984">
            <v>1934.7780736361422</v>
          </cell>
        </row>
        <row r="7985">
          <cell r="Q7985">
            <v>1646.7941819925727</v>
          </cell>
        </row>
        <row r="7986">
          <cell r="Q7986">
            <v>857.68840736356242</v>
          </cell>
        </row>
        <row r="7987">
          <cell r="Q7987">
            <v>865.20228359005182</v>
          </cell>
        </row>
        <row r="7988">
          <cell r="Q7988">
            <v>294.69632416843996</v>
          </cell>
        </row>
        <row r="7989">
          <cell r="Q7989">
            <v>1226.8081829768839</v>
          </cell>
        </row>
        <row r="7990">
          <cell r="Q7990">
            <v>-1278.0056454340422</v>
          </cell>
        </row>
        <row r="7991">
          <cell r="Q7991">
            <v>-1335.5148475574315</v>
          </cell>
        </row>
        <row r="7992">
          <cell r="Q7992">
            <v>-78.420985424609853</v>
          </cell>
        </row>
        <row r="7993">
          <cell r="Q7993">
            <v>463.43434296561475</v>
          </cell>
        </row>
        <row r="7994">
          <cell r="Q7994">
            <v>497.43355480289392</v>
          </cell>
        </row>
        <row r="7995">
          <cell r="Q7995">
            <v>466.60775075522662</v>
          </cell>
        </row>
        <row r="7996">
          <cell r="Q7996">
            <v>373.23984317913312</v>
          </cell>
        </row>
        <row r="7997">
          <cell r="Q7997">
            <v>8.3390504302595332</v>
          </cell>
        </row>
        <row r="7998">
          <cell r="Q7998">
            <v>-2200.3961812405646</v>
          </cell>
        </row>
        <row r="7999">
          <cell r="Q7999">
            <v>-3498.2534350418655</v>
          </cell>
        </row>
        <row r="8000">
          <cell r="Q8000">
            <v>2452.4587080663478</v>
          </cell>
        </row>
        <row r="8001">
          <cell r="Q8001">
            <v>-1916.9000138463909</v>
          </cell>
        </row>
        <row r="8002">
          <cell r="Q8002">
            <v>1080.6549318097923</v>
          </cell>
        </row>
        <row r="8003">
          <cell r="Q8003">
            <v>3136.6692763705169</v>
          </cell>
        </row>
        <row r="8004">
          <cell r="Q8004">
            <v>-985.01816166435515</v>
          </cell>
        </row>
        <row r="8005">
          <cell r="Q8005">
            <v>2070.1348423351083</v>
          </cell>
        </row>
        <row r="8006">
          <cell r="Q8006">
            <v>2541.3976527412651</v>
          </cell>
        </row>
        <row r="8007">
          <cell r="Q8007">
            <v>1417.6297818987071</v>
          </cell>
        </row>
        <row r="8008">
          <cell r="Q8008">
            <v>-1815.9173823800809</v>
          </cell>
        </row>
        <row r="8009">
          <cell r="Q8009">
            <v>1499.7317424980426</v>
          </cell>
        </row>
        <row r="8010">
          <cell r="Q8010">
            <v>2282.032703098605</v>
          </cell>
        </row>
        <row r="8011">
          <cell r="Q8011">
            <v>2381.3547185183525</v>
          </cell>
        </row>
        <row r="8012">
          <cell r="Q8012">
            <v>-167.06786121141016</v>
          </cell>
        </row>
        <row r="8013">
          <cell r="Q8013">
            <v>132.15684992739455</v>
          </cell>
        </row>
        <row r="8014">
          <cell r="Q8014">
            <v>-3758.1646202445972</v>
          </cell>
        </row>
        <row r="8015">
          <cell r="Q8015">
            <v>3432.3584448169067</v>
          </cell>
        </row>
        <row r="8016">
          <cell r="Q8016">
            <v>1509.9639230321222</v>
          </cell>
        </row>
        <row r="8017">
          <cell r="Q8017">
            <v>362.39056962339538</v>
          </cell>
        </row>
        <row r="8018">
          <cell r="Q8018">
            <v>4247.9826375215807</v>
          </cell>
        </row>
        <row r="8019">
          <cell r="Q8019">
            <v>1032.6857075529911</v>
          </cell>
        </row>
        <row r="8020">
          <cell r="Q8020">
            <v>-1771.4090655370371</v>
          </cell>
        </row>
        <row r="8021">
          <cell r="Q8021">
            <v>155.32118495020552</v>
          </cell>
        </row>
        <row r="8022">
          <cell r="Q8022">
            <v>-3573.519353078229</v>
          </cell>
        </row>
        <row r="8023">
          <cell r="Q8023">
            <v>-5400.5033172632138</v>
          </cell>
        </row>
        <row r="8024">
          <cell r="Q8024">
            <v>2241.2956283139679</v>
          </cell>
        </row>
        <row r="8025">
          <cell r="Q8025">
            <v>-462.47123287508049</v>
          </cell>
        </row>
        <row r="8026">
          <cell r="Q8026">
            <v>756.01393710638126</v>
          </cell>
        </row>
        <row r="8027">
          <cell r="Q8027">
            <v>695.76542422179205</v>
          </cell>
        </row>
        <row r="8028">
          <cell r="Q8028">
            <v>114.31909962633802</v>
          </cell>
        </row>
        <row r="8029">
          <cell r="Q8029">
            <v>456.43706433582457</v>
          </cell>
        </row>
        <row r="8030">
          <cell r="Q8030">
            <v>-1565.6879863160827</v>
          </cell>
        </row>
        <row r="8031">
          <cell r="Q8031">
            <v>-1386.432202135745</v>
          </cell>
        </row>
        <row r="8032">
          <cell r="Q8032">
            <v>-332.04540507553855</v>
          </cell>
        </row>
        <row r="8033">
          <cell r="Q8033">
            <v>2100.5377683658749</v>
          </cell>
        </row>
        <row r="8034">
          <cell r="Q8034">
            <v>816.27643480145593</v>
          </cell>
        </row>
        <row r="8035">
          <cell r="Q8035">
            <v>33.522185243056072</v>
          </cell>
        </row>
        <row r="8036">
          <cell r="Q8036">
            <v>-496.23479786955153</v>
          </cell>
        </row>
        <row r="8037">
          <cell r="Q8037">
            <v>2193.7687815290528</v>
          </cell>
        </row>
        <row r="8038">
          <cell r="Q8038">
            <v>-302.47403000288119</v>
          </cell>
        </row>
        <row r="8039">
          <cell r="Q8039">
            <v>-134.75982784464833</v>
          </cell>
        </row>
        <row r="8040">
          <cell r="Q8040">
            <v>-263.92701642077071</v>
          </cell>
        </row>
        <row r="8041">
          <cell r="Q8041">
            <v>-122.28587359284296</v>
          </cell>
        </row>
        <row r="8042">
          <cell r="Q8042">
            <v>4980.4374330240225</v>
          </cell>
        </row>
        <row r="8043">
          <cell r="Q8043">
            <v>696.70561269358063</v>
          </cell>
        </row>
        <row r="8044">
          <cell r="Q8044">
            <v>1854.6800228047309</v>
          </cell>
        </row>
        <row r="8045">
          <cell r="Q8045">
            <v>2317.6744754465149</v>
          </cell>
        </row>
        <row r="8046">
          <cell r="Q8046">
            <v>-1272.2736704066047</v>
          </cell>
        </row>
        <row r="8047">
          <cell r="Q8047">
            <v>115.05005496921228</v>
          </cell>
        </row>
        <row r="8048">
          <cell r="Q8048">
            <v>1012.4881654936071</v>
          </cell>
        </row>
        <row r="8049">
          <cell r="Q8049">
            <v>536.0822647654586</v>
          </cell>
        </row>
        <row r="8050">
          <cell r="Q8050">
            <v>-508.22475631960407</v>
          </cell>
        </row>
        <row r="8051">
          <cell r="Q8051">
            <v>-1787.8337685038653</v>
          </cell>
        </row>
        <row r="8052">
          <cell r="Q8052">
            <v>2318.704665052574</v>
          </cell>
        </row>
        <row r="8053">
          <cell r="Q8053">
            <v>-526.08914584036188</v>
          </cell>
        </row>
        <row r="8054">
          <cell r="Q8054">
            <v>1652.3884217427378</v>
          </cell>
        </row>
        <row r="8055">
          <cell r="Q8055">
            <v>1114.9533819274086</v>
          </cell>
        </row>
        <row r="8056">
          <cell r="Q8056">
            <v>4873.3443665448167</v>
          </cell>
        </row>
        <row r="8057">
          <cell r="Q8057">
            <v>1551.4218510244664</v>
          </cell>
        </row>
        <row r="8058">
          <cell r="Q8058">
            <v>-2875.3318773781498</v>
          </cell>
        </row>
        <row r="8059">
          <cell r="Q8059">
            <v>164.07538360140805</v>
          </cell>
        </row>
        <row r="8060">
          <cell r="Q8060">
            <v>-2100.2640002865382</v>
          </cell>
        </row>
        <row r="8061">
          <cell r="Q8061">
            <v>-1905.5200394573565</v>
          </cell>
        </row>
        <row r="8062">
          <cell r="Q8062">
            <v>2949.0782429888382</v>
          </cell>
        </row>
        <row r="8063">
          <cell r="Q8063">
            <v>1553.3926948079359</v>
          </cell>
        </row>
        <row r="8064">
          <cell r="Q8064">
            <v>3728.6723231129768</v>
          </cell>
        </row>
        <row r="8065">
          <cell r="Q8065">
            <v>-2625.9985107233524</v>
          </cell>
        </row>
        <row r="8066">
          <cell r="Q8066">
            <v>-1187.7708415335173</v>
          </cell>
        </row>
        <row r="8067">
          <cell r="Q8067">
            <v>152.63073579890985</v>
          </cell>
        </row>
        <row r="8068">
          <cell r="Q8068">
            <v>976.25278882239559</v>
          </cell>
        </row>
        <row r="8069">
          <cell r="Q8069">
            <v>1253.7959248962914</v>
          </cell>
        </row>
        <row r="8070">
          <cell r="Q8070">
            <v>-172.38028352232874</v>
          </cell>
        </row>
        <row r="8071">
          <cell r="Q8071">
            <v>1195.4242337783719</v>
          </cell>
        </row>
        <row r="8072">
          <cell r="Q8072">
            <v>-2012.6002612912928</v>
          </cell>
        </row>
        <row r="8073">
          <cell r="Q8073">
            <v>-106.44191544353077</v>
          </cell>
        </row>
        <row r="8074">
          <cell r="Q8074">
            <v>4272.0550162809359</v>
          </cell>
        </row>
        <row r="8075">
          <cell r="Q8075">
            <v>-2949.9727684002573</v>
          </cell>
        </row>
        <row r="8076">
          <cell r="Q8076">
            <v>-84.966423528753467</v>
          </cell>
        </row>
        <row r="8077">
          <cell r="Q8077">
            <v>-2186.1730113812241</v>
          </cell>
        </row>
        <row r="8078">
          <cell r="Q8078">
            <v>4086.8179434010322</v>
          </cell>
        </row>
        <row r="8079">
          <cell r="Q8079">
            <v>-0.93966601367765179</v>
          </cell>
        </row>
        <row r="8080">
          <cell r="Q8080">
            <v>6182.8991433219899</v>
          </cell>
        </row>
        <row r="8081">
          <cell r="Q8081">
            <v>-616.60912927797358</v>
          </cell>
        </row>
        <row r="8082">
          <cell r="Q8082">
            <v>-2149.4390175801982</v>
          </cell>
        </row>
        <row r="8083">
          <cell r="Q8083">
            <v>70.66460603193417</v>
          </cell>
        </row>
        <row r="8084">
          <cell r="Q8084">
            <v>-784.82571286070856</v>
          </cell>
        </row>
        <row r="8085">
          <cell r="Q8085">
            <v>1214.9904476726024</v>
          </cell>
        </row>
        <row r="8086">
          <cell r="Q8086">
            <v>1723.2169264688271</v>
          </cell>
        </row>
        <row r="8087">
          <cell r="Q8087">
            <v>512.12670096533714</v>
          </cell>
        </row>
        <row r="8088">
          <cell r="Q8088">
            <v>1135.6339548416238</v>
          </cell>
        </row>
        <row r="8089">
          <cell r="Q8089">
            <v>-1326.1529098977294</v>
          </cell>
        </row>
        <row r="8090">
          <cell r="Q8090">
            <v>-3679.5556981292139</v>
          </cell>
        </row>
        <row r="8091">
          <cell r="Q8091">
            <v>2841.433837834411</v>
          </cell>
        </row>
        <row r="8092">
          <cell r="Q8092">
            <v>-1119.9954392776554</v>
          </cell>
        </row>
        <row r="8093">
          <cell r="Q8093">
            <v>948.71875503793717</v>
          </cell>
        </row>
        <row r="8094">
          <cell r="Q8094">
            <v>-1352.8454758653888</v>
          </cell>
        </row>
        <row r="8095">
          <cell r="Q8095">
            <v>19.354959370458573</v>
          </cell>
        </row>
        <row r="8096">
          <cell r="Q8096">
            <v>1229.8178603590941</v>
          </cell>
        </row>
        <row r="8097">
          <cell r="Q8097">
            <v>-167.54349943281323</v>
          </cell>
        </row>
        <row r="8098">
          <cell r="Q8098">
            <v>-741.53770231135377</v>
          </cell>
        </row>
        <row r="8099">
          <cell r="Q8099">
            <v>598.28716277270837</v>
          </cell>
        </row>
        <row r="8100">
          <cell r="Q8100">
            <v>1678.3665961434026</v>
          </cell>
        </row>
        <row r="8101">
          <cell r="Q8101">
            <v>3117.2689048633156</v>
          </cell>
        </row>
        <row r="8102">
          <cell r="Q8102">
            <v>-3316.1494696710547</v>
          </cell>
        </row>
        <row r="8103">
          <cell r="Q8103">
            <v>1516.7153550041692</v>
          </cell>
        </row>
        <row r="8104">
          <cell r="Q8104">
            <v>3970.3479417227882</v>
          </cell>
        </row>
        <row r="8105">
          <cell r="Q8105">
            <v>-4214.9065891241999</v>
          </cell>
        </row>
        <row r="8106">
          <cell r="Q8106">
            <v>-1484.2382806378946</v>
          </cell>
        </row>
        <row r="8107">
          <cell r="Q8107">
            <v>261.95602519505019</v>
          </cell>
        </row>
        <row r="8108">
          <cell r="Q8108">
            <v>1489.1554473887711</v>
          </cell>
        </row>
        <row r="8109">
          <cell r="Q8109">
            <v>212.01957192273656</v>
          </cell>
        </row>
        <row r="8110">
          <cell r="Q8110">
            <v>3382.6935252742724</v>
          </cell>
        </row>
        <row r="8111">
          <cell r="Q8111">
            <v>3154.8380828167801</v>
          </cell>
        </row>
        <row r="8112">
          <cell r="Q8112">
            <v>-3347.2831072414597</v>
          </cell>
        </row>
        <row r="8113">
          <cell r="Q8113">
            <v>-2758.5008415281031</v>
          </cell>
        </row>
        <row r="8114">
          <cell r="Q8114">
            <v>-1071.5260921220058</v>
          </cell>
        </row>
        <row r="8115">
          <cell r="Q8115">
            <v>3022.6799820101778</v>
          </cell>
        </row>
        <row r="8116">
          <cell r="Q8116">
            <v>-46.315601024113789</v>
          </cell>
        </row>
        <row r="8117">
          <cell r="Q8117">
            <v>-919.34797015830895</v>
          </cell>
        </row>
        <row r="8118">
          <cell r="Q8118">
            <v>931.09879242158377</v>
          </cell>
        </row>
        <row r="8119">
          <cell r="Q8119">
            <v>-1437.2246394629838</v>
          </cell>
        </row>
        <row r="8120">
          <cell r="Q8120">
            <v>2576.0641711047551</v>
          </cell>
        </row>
        <row r="8121">
          <cell r="Q8121">
            <v>1744.9588202825305</v>
          </cell>
        </row>
        <row r="8122">
          <cell r="Q8122">
            <v>-838.08054261767552</v>
          </cell>
        </row>
        <row r="8123">
          <cell r="Q8123">
            <v>456.26186312749439</v>
          </cell>
        </row>
        <row r="8124">
          <cell r="Q8124">
            <v>38.575419012388522</v>
          </cell>
        </row>
        <row r="8125">
          <cell r="Q8125">
            <v>290.80728224803318</v>
          </cell>
        </row>
        <row r="8126">
          <cell r="Q8126">
            <v>-5141.0622391769521</v>
          </cell>
        </row>
        <row r="8127">
          <cell r="Q8127">
            <v>-1644.4108755496386</v>
          </cell>
        </row>
        <row r="8128">
          <cell r="Q8128">
            <v>2516.6302529039076</v>
          </cell>
        </row>
        <row r="8129">
          <cell r="Q8129">
            <v>-409.84371441934223</v>
          </cell>
        </row>
        <row r="8130">
          <cell r="Q8130">
            <v>3345.8986346254842</v>
          </cell>
        </row>
        <row r="8131">
          <cell r="Q8131">
            <v>-2014.3609665548304</v>
          </cell>
        </row>
        <row r="8132">
          <cell r="Q8132">
            <v>2783.667288818212</v>
          </cell>
        </row>
        <row r="8133">
          <cell r="Q8133">
            <v>3554.5262867225088</v>
          </cell>
        </row>
        <row r="8134">
          <cell r="Q8134">
            <v>-896.65777706958602</v>
          </cell>
        </row>
        <row r="8135">
          <cell r="Q8135">
            <v>1606.7851497895433</v>
          </cell>
        </row>
        <row r="8136">
          <cell r="Q8136">
            <v>1783.3088905218776</v>
          </cell>
        </row>
        <row r="8137">
          <cell r="Q8137">
            <v>126.86588908643944</v>
          </cell>
        </row>
        <row r="8138">
          <cell r="Q8138">
            <v>3422.9077760570976</v>
          </cell>
        </row>
        <row r="8139">
          <cell r="Q8139">
            <v>721.0015515909738</v>
          </cell>
        </row>
        <row r="8140">
          <cell r="Q8140">
            <v>1828.0962245971573</v>
          </cell>
        </row>
        <row r="8141">
          <cell r="Q8141">
            <v>-1884.7238493208399</v>
          </cell>
        </row>
        <row r="8142">
          <cell r="Q8142">
            <v>-1484.3796517378885</v>
          </cell>
        </row>
        <row r="8143">
          <cell r="Q8143">
            <v>-2205.0551067624597</v>
          </cell>
        </row>
        <row r="8144">
          <cell r="Q8144">
            <v>438.72910849386113</v>
          </cell>
        </row>
        <row r="8145">
          <cell r="Q8145">
            <v>-356.91596296312383</v>
          </cell>
        </row>
        <row r="8146">
          <cell r="Q8146">
            <v>-2087.3469593350783</v>
          </cell>
        </row>
        <row r="8147">
          <cell r="Q8147">
            <v>140.94467880555231</v>
          </cell>
        </row>
        <row r="8148">
          <cell r="Q8148">
            <v>919.30135604511315</v>
          </cell>
        </row>
        <row r="8149">
          <cell r="Q8149">
            <v>-4134.484573962055</v>
          </cell>
        </row>
        <row r="8150">
          <cell r="Q8150">
            <v>247.85399489970422</v>
          </cell>
        </row>
        <row r="8151">
          <cell r="Q8151">
            <v>133.23148721136749</v>
          </cell>
        </row>
        <row r="8152">
          <cell r="Q8152">
            <v>1140.9309629550444</v>
          </cell>
        </row>
        <row r="8153">
          <cell r="Q8153">
            <v>808.44639400493736</v>
          </cell>
        </row>
        <row r="8154">
          <cell r="Q8154">
            <v>2801.4944714557823</v>
          </cell>
        </row>
        <row r="8155">
          <cell r="Q8155">
            <v>283.7794295501127</v>
          </cell>
        </row>
        <row r="8156">
          <cell r="Q8156">
            <v>-1029.5507216996371</v>
          </cell>
        </row>
        <row r="8157">
          <cell r="Q8157">
            <v>-3802.4112165830629</v>
          </cell>
        </row>
        <row r="8158">
          <cell r="Q8158">
            <v>-195.38742824966795</v>
          </cell>
        </row>
        <row r="8159">
          <cell r="Q8159">
            <v>188.42736059175772</v>
          </cell>
        </row>
        <row r="8160">
          <cell r="Q8160">
            <v>877.46810216119025</v>
          </cell>
        </row>
        <row r="8161">
          <cell r="Q8161">
            <v>-1798.8823004780859</v>
          </cell>
        </row>
        <row r="8162">
          <cell r="Q8162">
            <v>1281.5531027575862</v>
          </cell>
        </row>
        <row r="8163">
          <cell r="Q8163">
            <v>4477.077120719654</v>
          </cell>
        </row>
        <row r="8164">
          <cell r="Q8164">
            <v>-207.47884343318748</v>
          </cell>
        </row>
        <row r="8165">
          <cell r="Q8165">
            <v>1976.8196025215786</v>
          </cell>
        </row>
        <row r="8166">
          <cell r="Q8166">
            <v>1442.4116914800079</v>
          </cell>
        </row>
        <row r="8167">
          <cell r="Q8167">
            <v>1722.8674034899898</v>
          </cell>
        </row>
        <row r="8168">
          <cell r="Q8168">
            <v>-2031.946430579301</v>
          </cell>
        </row>
        <row r="8169">
          <cell r="Q8169">
            <v>163.79112737371338</v>
          </cell>
        </row>
        <row r="8170">
          <cell r="Q8170">
            <v>5167.1478837453387</v>
          </cell>
        </row>
        <row r="8171">
          <cell r="Q8171">
            <v>2437.0440643171778</v>
          </cell>
        </row>
        <row r="8172">
          <cell r="Q8172">
            <v>1516.1293036820368</v>
          </cell>
        </row>
        <row r="8173">
          <cell r="Q8173">
            <v>999.66528301372909</v>
          </cell>
        </row>
        <row r="8174">
          <cell r="Q8174">
            <v>1373.8761255914353</v>
          </cell>
        </row>
        <row r="8175">
          <cell r="Q8175">
            <v>2250.4219417332683</v>
          </cell>
        </row>
        <row r="8176">
          <cell r="Q8176">
            <v>-1787.3915086798158</v>
          </cell>
        </row>
        <row r="8177">
          <cell r="Q8177">
            <v>3680.7702168596124</v>
          </cell>
        </row>
        <row r="8178">
          <cell r="Q8178">
            <v>-497.91977652936231</v>
          </cell>
        </row>
        <row r="8179">
          <cell r="Q8179">
            <v>1726.5810376537599</v>
          </cell>
        </row>
        <row r="8180">
          <cell r="Q8180">
            <v>-1211.5296622040721</v>
          </cell>
        </row>
        <row r="8181">
          <cell r="Q8181">
            <v>-697.21619951669413</v>
          </cell>
        </row>
        <row r="8182">
          <cell r="Q8182">
            <v>1872.8680786156735</v>
          </cell>
        </row>
        <row r="8183">
          <cell r="Q8183">
            <v>3780.9323692905909</v>
          </cell>
        </row>
        <row r="8184">
          <cell r="Q8184">
            <v>1728.0110374222293</v>
          </cell>
        </row>
        <row r="8185">
          <cell r="Q8185">
            <v>-851.04487155650691</v>
          </cell>
        </row>
        <row r="8186">
          <cell r="Q8186">
            <v>-401.78410484002137</v>
          </cell>
        </row>
        <row r="8187">
          <cell r="Q8187">
            <v>-2649.0271595630129</v>
          </cell>
        </row>
        <row r="8188">
          <cell r="Q8188">
            <v>1554.4879821634843</v>
          </cell>
        </row>
        <row r="8189">
          <cell r="Q8189">
            <v>663.75711583776661</v>
          </cell>
        </row>
        <row r="8190">
          <cell r="Q8190">
            <v>1312.2028741701388</v>
          </cell>
        </row>
        <row r="8191">
          <cell r="Q8191">
            <v>63.175966650883822</v>
          </cell>
        </row>
        <row r="8192">
          <cell r="Q8192">
            <v>2202.638300068917</v>
          </cell>
        </row>
        <row r="8193">
          <cell r="Q8193">
            <v>-1960.9488316375148</v>
          </cell>
        </row>
        <row r="8194">
          <cell r="Q8194">
            <v>-814.56954199993174</v>
          </cell>
        </row>
        <row r="8195">
          <cell r="Q8195">
            <v>-925.68323631560224</v>
          </cell>
        </row>
        <row r="8196">
          <cell r="Q8196">
            <v>967.15462062373194</v>
          </cell>
        </row>
        <row r="8197">
          <cell r="Q8197">
            <v>3474.8848044123793</v>
          </cell>
        </row>
        <row r="8198">
          <cell r="Q8198">
            <v>3591.970329958338</v>
          </cell>
        </row>
        <row r="8199">
          <cell r="Q8199">
            <v>1035.3516505215393</v>
          </cell>
        </row>
        <row r="8200">
          <cell r="Q8200">
            <v>1180.5327987393591</v>
          </cell>
        </row>
        <row r="8201">
          <cell r="Q8201">
            <v>-3201.5803177401158</v>
          </cell>
        </row>
        <row r="8202">
          <cell r="Q8202">
            <v>2442.1572189960202</v>
          </cell>
        </row>
        <row r="8203">
          <cell r="Q8203">
            <v>-345.32571875009836</v>
          </cell>
        </row>
        <row r="8204">
          <cell r="Q8204">
            <v>486.44024399751663</v>
          </cell>
        </row>
        <row r="8205">
          <cell r="Q8205">
            <v>-611.00474805364752</v>
          </cell>
        </row>
        <row r="8206">
          <cell r="Q8206">
            <v>-529.85797016348033</v>
          </cell>
        </row>
        <row r="8207">
          <cell r="Q8207">
            <v>2678.9344609518839</v>
          </cell>
        </row>
        <row r="8208">
          <cell r="Q8208">
            <v>2832.0422633786307</v>
          </cell>
        </row>
        <row r="8209">
          <cell r="Q8209">
            <v>-264.14671896124554</v>
          </cell>
        </row>
        <row r="8210">
          <cell r="Q8210">
            <v>1906.3387533541081</v>
          </cell>
        </row>
        <row r="8211">
          <cell r="Q8211">
            <v>-292.98425340297825</v>
          </cell>
        </row>
        <row r="8212">
          <cell r="Q8212">
            <v>2590.2816586382173</v>
          </cell>
        </row>
        <row r="8213">
          <cell r="Q8213">
            <v>887.19802217755887</v>
          </cell>
        </row>
        <row r="8214">
          <cell r="Q8214">
            <v>-3242.1429812229007</v>
          </cell>
        </row>
        <row r="8215">
          <cell r="Q8215">
            <v>1213.5020886601944</v>
          </cell>
        </row>
        <row r="8216">
          <cell r="Q8216">
            <v>1165.9958113386278</v>
          </cell>
        </row>
        <row r="8217">
          <cell r="Q8217">
            <v>1111.8845167269058</v>
          </cell>
        </row>
        <row r="8218">
          <cell r="Q8218">
            <v>2233.2307614661545</v>
          </cell>
        </row>
        <row r="8219">
          <cell r="Q8219">
            <v>-146.40468071711342</v>
          </cell>
        </row>
        <row r="8220">
          <cell r="Q8220">
            <v>-1193.1829256242445</v>
          </cell>
        </row>
        <row r="8221">
          <cell r="Q8221">
            <v>-2192.6113741192289</v>
          </cell>
        </row>
        <row r="8222">
          <cell r="Q8222">
            <v>-906.09386590289728</v>
          </cell>
        </row>
        <row r="8223">
          <cell r="Q8223">
            <v>1658.9202320662339</v>
          </cell>
        </row>
        <row r="8224">
          <cell r="Q8224">
            <v>1128.0850267955855</v>
          </cell>
        </row>
        <row r="8225">
          <cell r="Q8225">
            <v>2908.2571638242061</v>
          </cell>
        </row>
        <row r="8226">
          <cell r="Q8226">
            <v>-1151.7604444821702</v>
          </cell>
        </row>
        <row r="8227">
          <cell r="Q8227">
            <v>-349.85901677543967</v>
          </cell>
        </row>
        <row r="8228">
          <cell r="Q8228">
            <v>1684.3694275066564</v>
          </cell>
        </row>
        <row r="8229">
          <cell r="Q8229">
            <v>-191.26628567138999</v>
          </cell>
        </row>
        <row r="8230">
          <cell r="Q8230">
            <v>-2080.7977586828833</v>
          </cell>
        </row>
        <row r="8231">
          <cell r="Q8231">
            <v>1031.063070074571</v>
          </cell>
        </row>
        <row r="8232">
          <cell r="Q8232">
            <v>-496.99077782777982</v>
          </cell>
        </row>
        <row r="8233">
          <cell r="Q8233">
            <v>-1804.1110197208106</v>
          </cell>
        </row>
        <row r="8234">
          <cell r="Q8234">
            <v>-1518.1550284831831</v>
          </cell>
        </row>
        <row r="8235">
          <cell r="Q8235">
            <v>-1965.6074895915483</v>
          </cell>
        </row>
        <row r="8236">
          <cell r="Q8236">
            <v>-4688.4902477877249</v>
          </cell>
        </row>
        <row r="8237">
          <cell r="Q8237">
            <v>-1556.1289508855448</v>
          </cell>
        </row>
        <row r="8238">
          <cell r="Q8238">
            <v>-1057.4327342792562</v>
          </cell>
        </row>
        <row r="8239">
          <cell r="Q8239">
            <v>1186.8506392571505</v>
          </cell>
        </row>
        <row r="8240">
          <cell r="Q8240">
            <v>109.39190141990241</v>
          </cell>
        </row>
        <row r="8241">
          <cell r="Q8241">
            <v>530.62923885797431</v>
          </cell>
        </row>
        <row r="8242">
          <cell r="Q8242">
            <v>-486.17964821658489</v>
          </cell>
        </row>
        <row r="8243">
          <cell r="Q8243">
            <v>-1024.8642937243226</v>
          </cell>
        </row>
        <row r="8244">
          <cell r="Q8244">
            <v>357.1857103158228</v>
          </cell>
        </row>
        <row r="8245">
          <cell r="Q8245">
            <v>1654.7608741842312</v>
          </cell>
        </row>
        <row r="8246">
          <cell r="Q8246">
            <v>-2091.463022659962</v>
          </cell>
        </row>
        <row r="8247">
          <cell r="Q8247">
            <v>3092.0575016893586</v>
          </cell>
        </row>
        <row r="8248">
          <cell r="Q8248">
            <v>223.79695347510557</v>
          </cell>
        </row>
        <row r="8249">
          <cell r="Q8249">
            <v>1987.2514004107099</v>
          </cell>
        </row>
        <row r="8250">
          <cell r="Q8250">
            <v>-134.68239865987476</v>
          </cell>
        </row>
        <row r="8251">
          <cell r="Q8251">
            <v>2820.5153736660413</v>
          </cell>
        </row>
        <row r="8252">
          <cell r="Q8252">
            <v>-12.626429528341248</v>
          </cell>
        </row>
        <row r="8253">
          <cell r="Q8253">
            <v>551.5041768927872</v>
          </cell>
        </row>
        <row r="8254">
          <cell r="Q8254">
            <v>-1752.6315895851469</v>
          </cell>
        </row>
        <row r="8255">
          <cell r="Q8255">
            <v>2063.9066986802613</v>
          </cell>
        </row>
        <row r="8256">
          <cell r="Q8256">
            <v>832.93878400552899</v>
          </cell>
        </row>
        <row r="8257">
          <cell r="Q8257">
            <v>-2030.2231957969377</v>
          </cell>
        </row>
        <row r="8258">
          <cell r="Q8258">
            <v>1592.7458696470446</v>
          </cell>
        </row>
        <row r="8259">
          <cell r="Q8259">
            <v>1637.389177973022</v>
          </cell>
        </row>
        <row r="8260">
          <cell r="Q8260">
            <v>910.39568034535728</v>
          </cell>
        </row>
        <row r="8261">
          <cell r="Q8261">
            <v>1448.295581778716</v>
          </cell>
        </row>
        <row r="8262">
          <cell r="Q8262">
            <v>-1658.6392289463504</v>
          </cell>
        </row>
        <row r="8263">
          <cell r="Q8263">
            <v>1656.0875516545316</v>
          </cell>
        </row>
        <row r="8264">
          <cell r="Q8264">
            <v>-1397.5028933009255</v>
          </cell>
        </row>
        <row r="8265">
          <cell r="Q8265">
            <v>-1717.8945104736783</v>
          </cell>
        </row>
        <row r="8266">
          <cell r="Q8266">
            <v>5501.4544677063877</v>
          </cell>
        </row>
        <row r="8267">
          <cell r="Q8267">
            <v>2475.5770255975285</v>
          </cell>
        </row>
        <row r="8268">
          <cell r="Q8268">
            <v>1311.4563078322478</v>
          </cell>
        </row>
        <row r="8269">
          <cell r="Q8269">
            <v>-1305.6131516914618</v>
          </cell>
        </row>
        <row r="8270">
          <cell r="Q8270">
            <v>1405.2211391431613</v>
          </cell>
        </row>
        <row r="8271">
          <cell r="Q8271">
            <v>-2739.6676855769615</v>
          </cell>
        </row>
        <row r="8272">
          <cell r="Q8272">
            <v>4135.2863637864084</v>
          </cell>
        </row>
        <row r="8273">
          <cell r="Q8273">
            <v>1770.5919351828759</v>
          </cell>
        </row>
        <row r="8274">
          <cell r="Q8274">
            <v>363.20086749477446</v>
          </cell>
        </row>
        <row r="8275">
          <cell r="Q8275">
            <v>3472.9666205237572</v>
          </cell>
        </row>
        <row r="8276">
          <cell r="Q8276">
            <v>-595.83107978102794</v>
          </cell>
        </row>
        <row r="8277">
          <cell r="Q8277">
            <v>796.8681281735561</v>
          </cell>
        </row>
        <row r="8278">
          <cell r="Q8278">
            <v>-1072.5682698590251</v>
          </cell>
        </row>
        <row r="8279">
          <cell r="Q8279">
            <v>-41.953452933221058</v>
          </cell>
        </row>
        <row r="8280">
          <cell r="Q8280">
            <v>-2949.1388963973482</v>
          </cell>
        </row>
        <row r="8281">
          <cell r="Q8281">
            <v>2197.3378413124219</v>
          </cell>
        </row>
        <row r="8282">
          <cell r="Q8282">
            <v>-909.01240288427152</v>
          </cell>
        </row>
        <row r="8283">
          <cell r="Q8283">
            <v>1565.2580028535508</v>
          </cell>
        </row>
        <row r="8284">
          <cell r="Q8284">
            <v>5897.9843187011602</v>
          </cell>
        </row>
        <row r="8285">
          <cell r="Q8285">
            <v>-982.06758376424386</v>
          </cell>
        </row>
        <row r="8286">
          <cell r="Q8286">
            <v>2006.6835819203593</v>
          </cell>
        </row>
        <row r="8287">
          <cell r="Q8287">
            <v>-83.580656627308485</v>
          </cell>
        </row>
        <row r="8288">
          <cell r="Q8288">
            <v>1538.670669410533</v>
          </cell>
        </row>
        <row r="8289">
          <cell r="Q8289">
            <v>340.75479826852904</v>
          </cell>
        </row>
        <row r="8290">
          <cell r="Q8290">
            <v>47.564694174814349</v>
          </cell>
        </row>
        <row r="8291">
          <cell r="Q8291">
            <v>2626.717503418085</v>
          </cell>
        </row>
        <row r="8292">
          <cell r="Q8292">
            <v>-1830.9380306619889</v>
          </cell>
        </row>
        <row r="8293">
          <cell r="Q8293">
            <v>100.47508927376782</v>
          </cell>
        </row>
        <row r="8294">
          <cell r="Q8294">
            <v>116.95246825482496</v>
          </cell>
        </row>
        <row r="8295">
          <cell r="Q8295">
            <v>-682.58421195593519</v>
          </cell>
        </row>
        <row r="8296">
          <cell r="Q8296">
            <v>1628.9768300627975</v>
          </cell>
        </row>
        <row r="8297">
          <cell r="Q8297">
            <v>2015.9576319057064</v>
          </cell>
        </row>
        <row r="8298">
          <cell r="Q8298">
            <v>3247.3754992720324</v>
          </cell>
        </row>
        <row r="8299">
          <cell r="Q8299">
            <v>207.65510946581765</v>
          </cell>
        </row>
        <row r="8300">
          <cell r="Q8300">
            <v>3768.2111676706818</v>
          </cell>
        </row>
        <row r="8301">
          <cell r="Q8301">
            <v>7653.430946075634</v>
          </cell>
        </row>
        <row r="8302">
          <cell r="Q8302">
            <v>-593.36232760387202</v>
          </cell>
        </row>
        <row r="8303">
          <cell r="Q8303">
            <v>3808.50890655589</v>
          </cell>
        </row>
        <row r="8304">
          <cell r="Q8304">
            <v>-653.20610986345241</v>
          </cell>
        </row>
        <row r="8305">
          <cell r="Q8305">
            <v>-3168.3644282393134</v>
          </cell>
        </row>
        <row r="8306">
          <cell r="Q8306">
            <v>-1177.8668203679865</v>
          </cell>
        </row>
        <row r="8307">
          <cell r="Q8307">
            <v>1173.374143706669</v>
          </cell>
        </row>
        <row r="8308">
          <cell r="Q8308">
            <v>3709.9136791534856</v>
          </cell>
        </row>
        <row r="8309">
          <cell r="Q8309">
            <v>-442.9100860795333</v>
          </cell>
        </row>
        <row r="8310">
          <cell r="Q8310">
            <v>-4425.7703487845884</v>
          </cell>
        </row>
        <row r="8311">
          <cell r="Q8311">
            <v>897.04818473408136</v>
          </cell>
        </row>
        <row r="8312">
          <cell r="Q8312">
            <v>-2654.1569037166178</v>
          </cell>
        </row>
        <row r="8313">
          <cell r="Q8313">
            <v>3428.781068003042</v>
          </cell>
        </row>
        <row r="8314">
          <cell r="Q8314">
            <v>253.4461643674112</v>
          </cell>
        </row>
        <row r="8315">
          <cell r="Q8315">
            <v>-449.75923265885666</v>
          </cell>
        </row>
        <row r="8316">
          <cell r="Q8316">
            <v>4159.1501915960725</v>
          </cell>
        </row>
        <row r="8317">
          <cell r="Q8317">
            <v>896.9689147568422</v>
          </cell>
        </row>
        <row r="8318">
          <cell r="Q8318">
            <v>203.59291100951904</v>
          </cell>
        </row>
        <row r="8319">
          <cell r="Q8319">
            <v>554.84246789003453</v>
          </cell>
        </row>
        <row r="8320">
          <cell r="Q8320">
            <v>-749.28023717173801</v>
          </cell>
        </row>
        <row r="8321">
          <cell r="Q8321">
            <v>673.26731053853496</v>
          </cell>
        </row>
        <row r="8322">
          <cell r="Q8322">
            <v>-1764.1912005666015</v>
          </cell>
        </row>
        <row r="8323">
          <cell r="Q8323">
            <v>5605.743798623882</v>
          </cell>
        </row>
        <row r="8324">
          <cell r="Q8324">
            <v>-4208.2815065561663</v>
          </cell>
        </row>
        <row r="8325">
          <cell r="Q8325">
            <v>-933.52967688066974</v>
          </cell>
        </row>
        <row r="8326">
          <cell r="Q8326">
            <v>1134.1048863939818</v>
          </cell>
        </row>
        <row r="8327">
          <cell r="Q8327">
            <v>424.3166639498869</v>
          </cell>
        </row>
        <row r="8328">
          <cell r="Q8328">
            <v>2314.1615043979486</v>
          </cell>
        </row>
        <row r="8329">
          <cell r="Q8329">
            <v>240.65489857533623</v>
          </cell>
        </row>
        <row r="8330">
          <cell r="Q8330">
            <v>655.67536264366527</v>
          </cell>
        </row>
        <row r="8331">
          <cell r="Q8331">
            <v>-2355.8767920805967</v>
          </cell>
        </row>
        <row r="8332">
          <cell r="Q8332">
            <v>-2356.4142365202715</v>
          </cell>
        </row>
        <row r="8333">
          <cell r="Q8333">
            <v>-892.27473540027154</v>
          </cell>
        </row>
        <row r="8334">
          <cell r="Q8334">
            <v>-919.14700665919622</v>
          </cell>
        </row>
        <row r="8335">
          <cell r="Q8335">
            <v>3184.0741895554856</v>
          </cell>
        </row>
        <row r="8336">
          <cell r="Q8336">
            <v>-437.23862606876668</v>
          </cell>
        </row>
        <row r="8337">
          <cell r="Q8337">
            <v>-1413.1669337457759</v>
          </cell>
        </row>
        <row r="8338">
          <cell r="Q8338">
            <v>1492.117298858587</v>
          </cell>
        </row>
        <row r="8339">
          <cell r="Q8339">
            <v>536.80637022046062</v>
          </cell>
        </row>
        <row r="8340">
          <cell r="Q8340">
            <v>-78.471725393171482</v>
          </cell>
        </row>
        <row r="8341">
          <cell r="Q8341">
            <v>-1860.6279382328091</v>
          </cell>
        </row>
        <row r="8342">
          <cell r="Q8342">
            <v>-2501.2914800097569</v>
          </cell>
        </row>
        <row r="8343">
          <cell r="Q8343">
            <v>1772.1293934675327</v>
          </cell>
        </row>
        <row r="8344">
          <cell r="Q8344">
            <v>2446.3818479118418</v>
          </cell>
        </row>
        <row r="8345">
          <cell r="Q8345">
            <v>596.70509014810364</v>
          </cell>
        </row>
        <row r="8346">
          <cell r="Q8346">
            <v>-2619.8183844449768</v>
          </cell>
        </row>
        <row r="8347">
          <cell r="Q8347">
            <v>399.08565687367832</v>
          </cell>
        </row>
        <row r="8348">
          <cell r="Q8348">
            <v>850.13652209602708</v>
          </cell>
        </row>
        <row r="8349">
          <cell r="Q8349">
            <v>762.81054818208099</v>
          </cell>
        </row>
        <row r="8350">
          <cell r="Q8350">
            <v>486.32777210968663</v>
          </cell>
        </row>
        <row r="8351">
          <cell r="Q8351">
            <v>2483.9970224465978</v>
          </cell>
        </row>
        <row r="8352">
          <cell r="Q8352">
            <v>656.07443674952276</v>
          </cell>
        </row>
        <row r="8353">
          <cell r="Q8353">
            <v>390.27239180486646</v>
          </cell>
        </row>
        <row r="8354">
          <cell r="Q8354">
            <v>1927.6227556897522</v>
          </cell>
        </row>
        <row r="8355">
          <cell r="Q8355">
            <v>980.35839901610007</v>
          </cell>
        </row>
        <row r="8356">
          <cell r="Q8356">
            <v>-3105.251326107315</v>
          </cell>
        </row>
        <row r="8357">
          <cell r="Q8357">
            <v>2215.9652686915479</v>
          </cell>
        </row>
        <row r="8358">
          <cell r="Q8358">
            <v>1379.7476656231775</v>
          </cell>
        </row>
        <row r="8359">
          <cell r="Q8359">
            <v>1606.3840014732186</v>
          </cell>
        </row>
        <row r="8360">
          <cell r="Q8360">
            <v>1254.108899809572</v>
          </cell>
        </row>
        <row r="8361">
          <cell r="Q8361">
            <v>2464.0484061634656</v>
          </cell>
        </row>
        <row r="8362">
          <cell r="Q8362">
            <v>-1501.4021259574492</v>
          </cell>
        </row>
        <row r="8363">
          <cell r="Q8363">
            <v>3259.7772032770722</v>
          </cell>
        </row>
        <row r="8364">
          <cell r="Q8364">
            <v>903.95128383248937</v>
          </cell>
        </row>
        <row r="8365">
          <cell r="Q8365">
            <v>-133.34016463700749</v>
          </cell>
        </row>
        <row r="8366">
          <cell r="Q8366">
            <v>2571.5271953165379</v>
          </cell>
        </row>
        <row r="8367">
          <cell r="Q8367">
            <v>1560.4622064749335</v>
          </cell>
        </row>
        <row r="8368">
          <cell r="Q8368">
            <v>384.26857190004938</v>
          </cell>
        </row>
        <row r="8369">
          <cell r="Q8369">
            <v>-3896.5630492738092</v>
          </cell>
        </row>
        <row r="8370">
          <cell r="Q8370">
            <v>3513.5446106324393</v>
          </cell>
        </row>
        <row r="8371">
          <cell r="Q8371">
            <v>325.0143749076251</v>
          </cell>
        </row>
        <row r="8372">
          <cell r="Q8372">
            <v>1711.8106745357484</v>
          </cell>
        </row>
        <row r="8373">
          <cell r="Q8373">
            <v>2157.3710685046167</v>
          </cell>
        </row>
        <row r="8374">
          <cell r="Q8374">
            <v>-1110.0445753387537</v>
          </cell>
        </row>
        <row r="8375">
          <cell r="Q8375">
            <v>-4518.4577935085199</v>
          </cell>
        </row>
        <row r="8376">
          <cell r="Q8376">
            <v>-2306.8669990361655</v>
          </cell>
        </row>
        <row r="8377">
          <cell r="Q8377">
            <v>2351.1123257539789</v>
          </cell>
        </row>
        <row r="8378">
          <cell r="Q8378">
            <v>-2502.8373308474861</v>
          </cell>
        </row>
        <row r="8379">
          <cell r="Q8379">
            <v>-2769.6335104978134</v>
          </cell>
        </row>
        <row r="8380">
          <cell r="Q8380">
            <v>243.5538521972563</v>
          </cell>
        </row>
        <row r="8381">
          <cell r="Q8381">
            <v>1196.9823249101723</v>
          </cell>
        </row>
        <row r="8382">
          <cell r="Q8382">
            <v>-3014.1761468486402</v>
          </cell>
        </row>
        <row r="8383">
          <cell r="Q8383">
            <v>-3119.882777008595</v>
          </cell>
        </row>
        <row r="8384">
          <cell r="Q8384">
            <v>2857.74281549223</v>
          </cell>
        </row>
        <row r="8385">
          <cell r="Q8385">
            <v>-595.82953756450934</v>
          </cell>
        </row>
        <row r="8386">
          <cell r="Q8386">
            <v>3292.9006799193603</v>
          </cell>
        </row>
        <row r="8387">
          <cell r="Q8387">
            <v>838.06545059673158</v>
          </cell>
        </row>
        <row r="8388">
          <cell r="Q8388">
            <v>-459.25177600464662</v>
          </cell>
        </row>
        <row r="8389">
          <cell r="Q8389">
            <v>-153.34286915284764</v>
          </cell>
        </row>
        <row r="8390">
          <cell r="Q8390">
            <v>-239.43202005719746</v>
          </cell>
        </row>
        <row r="8391">
          <cell r="Q8391">
            <v>-1730.0371823629828</v>
          </cell>
        </row>
        <row r="8392">
          <cell r="Q8392">
            <v>2045.0673535536969</v>
          </cell>
        </row>
        <row r="8393">
          <cell r="Q8393">
            <v>3401.9491927397394</v>
          </cell>
        </row>
        <row r="8394">
          <cell r="Q8394">
            <v>-1958.7437418954839</v>
          </cell>
        </row>
        <row r="8395">
          <cell r="Q8395">
            <v>-1138.1103538402324</v>
          </cell>
        </row>
        <row r="8396">
          <cell r="Q8396">
            <v>641.91371618447874</v>
          </cell>
        </row>
        <row r="8397">
          <cell r="Q8397">
            <v>749.35944678363171</v>
          </cell>
        </row>
        <row r="8398">
          <cell r="Q8398">
            <v>1429.1033435222162</v>
          </cell>
        </row>
        <row r="8399">
          <cell r="Q8399">
            <v>2888.9912026179995</v>
          </cell>
        </row>
        <row r="8400">
          <cell r="Q8400">
            <v>1095.7163459139251</v>
          </cell>
        </row>
        <row r="8401">
          <cell r="Q8401">
            <v>-1460.8943013056034</v>
          </cell>
        </row>
        <row r="8402">
          <cell r="Q8402">
            <v>1848.5599030371432</v>
          </cell>
        </row>
        <row r="8403">
          <cell r="Q8403">
            <v>5732.5291904270134</v>
          </cell>
        </row>
        <row r="8404">
          <cell r="Q8404">
            <v>-2890.8046702676661</v>
          </cell>
        </row>
        <row r="8405">
          <cell r="Q8405">
            <v>-273.68768512604123</v>
          </cell>
        </row>
        <row r="8406">
          <cell r="Q8406">
            <v>1749.7370772076822</v>
          </cell>
        </row>
        <row r="8407">
          <cell r="Q8407">
            <v>-1398.2666979559735</v>
          </cell>
        </row>
        <row r="8408">
          <cell r="Q8408">
            <v>-3336.3017407716798</v>
          </cell>
        </row>
        <row r="8409">
          <cell r="Q8409">
            <v>-2577.2761218992787</v>
          </cell>
        </row>
        <row r="8410">
          <cell r="Q8410">
            <v>-2155.5478699027312</v>
          </cell>
        </row>
        <row r="8411">
          <cell r="Q8411">
            <v>-154.06831476417648</v>
          </cell>
        </row>
        <row r="8412">
          <cell r="Q8412">
            <v>-1268.0611050621812</v>
          </cell>
        </row>
        <row r="8413">
          <cell r="Q8413">
            <v>-876.20776147053039</v>
          </cell>
        </row>
        <row r="8414">
          <cell r="Q8414">
            <v>3743.7141938817776</v>
          </cell>
        </row>
        <row r="8415">
          <cell r="Q8415">
            <v>4633.0969576720336</v>
          </cell>
        </row>
        <row r="8416">
          <cell r="Q8416">
            <v>1802.5847490771678</v>
          </cell>
        </row>
        <row r="8417">
          <cell r="Q8417">
            <v>2107.5576011052899</v>
          </cell>
        </row>
        <row r="8418">
          <cell r="Q8418">
            <v>-682.84968328308582</v>
          </cell>
        </row>
        <row r="8419">
          <cell r="Q8419">
            <v>2803.6404563364131</v>
          </cell>
        </row>
        <row r="8420">
          <cell r="Q8420">
            <v>-1824.8586166329999</v>
          </cell>
        </row>
        <row r="8421">
          <cell r="Q8421">
            <v>627.88314176942322</v>
          </cell>
        </row>
        <row r="8422">
          <cell r="Q8422">
            <v>2009.7508317933043</v>
          </cell>
        </row>
        <row r="8423">
          <cell r="Q8423">
            <v>2882.5286131775888</v>
          </cell>
        </row>
        <row r="8424">
          <cell r="Q8424">
            <v>5340.0991855451093</v>
          </cell>
        </row>
        <row r="8425">
          <cell r="Q8425">
            <v>-1054.9590614213832</v>
          </cell>
        </row>
        <row r="8426">
          <cell r="Q8426">
            <v>798.44426386820192</v>
          </cell>
        </row>
        <row r="8427">
          <cell r="Q8427">
            <v>-4338.9424458889771</v>
          </cell>
        </row>
        <row r="8428">
          <cell r="Q8428">
            <v>-198.14666190293775</v>
          </cell>
        </row>
        <row r="8429">
          <cell r="Q8429">
            <v>-1738.9571372527878</v>
          </cell>
        </row>
        <row r="8430">
          <cell r="Q8430">
            <v>-316.72936535355956</v>
          </cell>
        </row>
        <row r="8431">
          <cell r="Q8431">
            <v>2722.3246385990906</v>
          </cell>
        </row>
        <row r="8432">
          <cell r="Q8432">
            <v>899.21823646854182</v>
          </cell>
        </row>
        <row r="8433">
          <cell r="Q8433">
            <v>1556.6865425258159</v>
          </cell>
        </row>
        <row r="8434">
          <cell r="Q8434">
            <v>534.32892736861288</v>
          </cell>
        </row>
        <row r="8435">
          <cell r="Q8435">
            <v>2601.1555283885073</v>
          </cell>
        </row>
        <row r="8436">
          <cell r="Q8436">
            <v>2726.0933181908263</v>
          </cell>
        </row>
        <row r="8437">
          <cell r="Q8437">
            <v>-373.88153045629809</v>
          </cell>
        </row>
        <row r="8438">
          <cell r="Q8438">
            <v>-462.93972321241102</v>
          </cell>
        </row>
        <row r="8439">
          <cell r="Q8439">
            <v>-811.11117893593837</v>
          </cell>
        </row>
        <row r="8440">
          <cell r="Q8440">
            <v>-1916.4635835591118</v>
          </cell>
        </row>
        <row r="8441">
          <cell r="Q8441">
            <v>1712.1240057047039</v>
          </cell>
        </row>
        <row r="8442">
          <cell r="Q8442">
            <v>-1644.7228356216829</v>
          </cell>
        </row>
        <row r="8443">
          <cell r="Q8443">
            <v>-242.02125077748707</v>
          </cell>
        </row>
        <row r="8444">
          <cell r="Q8444">
            <v>-2411.6575206092098</v>
          </cell>
        </row>
        <row r="8445">
          <cell r="Q8445">
            <v>-1543.3455674423562</v>
          </cell>
        </row>
        <row r="8446">
          <cell r="Q8446">
            <v>-2151.8456617134148</v>
          </cell>
        </row>
        <row r="8447">
          <cell r="Q8447">
            <v>5379.5239963779923</v>
          </cell>
        </row>
        <row r="8448">
          <cell r="Q8448">
            <v>-3502.2335886119631</v>
          </cell>
        </row>
        <row r="8449">
          <cell r="Q8449">
            <v>-2211.5050661752334</v>
          </cell>
        </row>
        <row r="8450">
          <cell r="Q8450">
            <v>-1617.4644605218625</v>
          </cell>
        </row>
        <row r="8451">
          <cell r="Q8451">
            <v>-431.58186656120591</v>
          </cell>
        </row>
        <row r="8452">
          <cell r="Q8452">
            <v>585.71042174522063</v>
          </cell>
        </row>
        <row r="8453">
          <cell r="Q8453">
            <v>3844.6158171340617</v>
          </cell>
        </row>
        <row r="8454">
          <cell r="Q8454">
            <v>1261.6339161569911</v>
          </cell>
        </row>
        <row r="8455">
          <cell r="Q8455">
            <v>4979.7920739740612</v>
          </cell>
        </row>
        <row r="8456">
          <cell r="Q8456">
            <v>302.31841122517653</v>
          </cell>
        </row>
        <row r="8457">
          <cell r="Q8457">
            <v>892.64391158940055</v>
          </cell>
        </row>
        <row r="8458">
          <cell r="Q8458">
            <v>-1912.0718667867948</v>
          </cell>
        </row>
        <row r="8459">
          <cell r="Q8459">
            <v>580.20804032355181</v>
          </cell>
        </row>
        <row r="8460">
          <cell r="Q8460">
            <v>3205.4112897570458</v>
          </cell>
        </row>
        <row r="8461">
          <cell r="Q8461">
            <v>1107.4649090328157</v>
          </cell>
        </row>
        <row r="8462">
          <cell r="Q8462">
            <v>-334.28557706576083</v>
          </cell>
        </row>
        <row r="8463">
          <cell r="Q8463">
            <v>285.78999641446222</v>
          </cell>
        </row>
        <row r="8464">
          <cell r="Q8464">
            <v>2970.6007164631787</v>
          </cell>
        </row>
        <row r="8465">
          <cell r="Q8465">
            <v>1146.9316850150674</v>
          </cell>
        </row>
        <row r="8466">
          <cell r="Q8466">
            <v>-2465.4261727373541</v>
          </cell>
        </row>
        <row r="8467">
          <cell r="Q8467">
            <v>1083.0032985840428</v>
          </cell>
        </row>
        <row r="8468">
          <cell r="Q8468">
            <v>2651.2438390156226</v>
          </cell>
        </row>
        <row r="8469">
          <cell r="Q8469">
            <v>793.27206120143592</v>
          </cell>
        </row>
        <row r="8470">
          <cell r="Q8470">
            <v>2093.575259801863</v>
          </cell>
        </row>
        <row r="8471">
          <cell r="Q8471">
            <v>2153.8820161533386</v>
          </cell>
        </row>
        <row r="8472">
          <cell r="Q8472">
            <v>-362.31577690671321</v>
          </cell>
        </row>
        <row r="8473">
          <cell r="Q8473">
            <v>-687.05088478296966</v>
          </cell>
        </row>
        <row r="8474">
          <cell r="Q8474">
            <v>2703.5473394397991</v>
          </cell>
        </row>
        <row r="8475">
          <cell r="Q8475">
            <v>-1557.9090231445641</v>
          </cell>
        </row>
        <row r="8476">
          <cell r="Q8476">
            <v>451.95806022377548</v>
          </cell>
        </row>
        <row r="8477">
          <cell r="Q8477">
            <v>1942.5834216229555</v>
          </cell>
        </row>
        <row r="8478">
          <cell r="Q8478">
            <v>-2073.5258362096333</v>
          </cell>
        </row>
        <row r="8479">
          <cell r="Q8479">
            <v>3344.6798139279135</v>
          </cell>
        </row>
        <row r="8480">
          <cell r="Q8480">
            <v>711.81666263346619</v>
          </cell>
        </row>
        <row r="8481">
          <cell r="Q8481">
            <v>-1177.6963942450971</v>
          </cell>
        </row>
        <row r="8482">
          <cell r="Q8482">
            <v>85.014597251915404</v>
          </cell>
        </row>
        <row r="8483">
          <cell r="Q8483">
            <v>-1920.7753671883095</v>
          </cell>
        </row>
        <row r="8484">
          <cell r="Q8484">
            <v>3512.5304524694002</v>
          </cell>
        </row>
        <row r="8485">
          <cell r="Q8485">
            <v>685.98926935973134</v>
          </cell>
        </row>
        <row r="8486">
          <cell r="Q8486">
            <v>-3373.122548478932</v>
          </cell>
        </row>
        <row r="8487">
          <cell r="Q8487">
            <v>650.07219913033816</v>
          </cell>
        </row>
        <row r="8488">
          <cell r="Q8488">
            <v>832.58237999249286</v>
          </cell>
        </row>
        <row r="8489">
          <cell r="Q8489">
            <v>859.6198451408427</v>
          </cell>
        </row>
        <row r="8490">
          <cell r="Q8490">
            <v>-1451.1785703315377</v>
          </cell>
        </row>
        <row r="8491">
          <cell r="Q8491">
            <v>-1578.5531408647678</v>
          </cell>
        </row>
        <row r="8492">
          <cell r="Q8492">
            <v>3168.6824124341829</v>
          </cell>
        </row>
        <row r="8493">
          <cell r="Q8493">
            <v>-2597.5925582337836</v>
          </cell>
        </row>
        <row r="8494">
          <cell r="Q8494">
            <v>-1715.6510288717952</v>
          </cell>
        </row>
        <row r="8495">
          <cell r="Q8495">
            <v>2561.1813215054367</v>
          </cell>
        </row>
        <row r="8496">
          <cell r="Q8496">
            <v>720.50399380833153</v>
          </cell>
        </row>
        <row r="8497">
          <cell r="Q8497">
            <v>704.98227461971533</v>
          </cell>
        </row>
        <row r="8498">
          <cell r="Q8498">
            <v>-4008.8563410586958</v>
          </cell>
        </row>
        <row r="8499">
          <cell r="Q8499">
            <v>2216.2248800569669</v>
          </cell>
        </row>
        <row r="8500">
          <cell r="Q8500">
            <v>1562.9052258924264</v>
          </cell>
        </row>
        <row r="8501">
          <cell r="Q8501">
            <v>503.82832644147919</v>
          </cell>
        </row>
        <row r="8502">
          <cell r="Q8502">
            <v>-3400.1965201204225</v>
          </cell>
        </row>
        <row r="8503">
          <cell r="Q8503">
            <v>3631.4846737647063</v>
          </cell>
        </row>
        <row r="8504">
          <cell r="Q8504">
            <v>1748.9724114885362</v>
          </cell>
        </row>
        <row r="8505">
          <cell r="Q8505">
            <v>1772.7493174525234</v>
          </cell>
        </row>
        <row r="8506">
          <cell r="Q8506">
            <v>34.147323421312876</v>
          </cell>
        </row>
        <row r="8507">
          <cell r="Q8507">
            <v>3080.5356725380416</v>
          </cell>
        </row>
        <row r="8508">
          <cell r="Q8508">
            <v>1721.0668677476403</v>
          </cell>
        </row>
        <row r="8509">
          <cell r="Q8509">
            <v>1012.4206854340453</v>
          </cell>
        </row>
        <row r="8510">
          <cell r="Q8510">
            <v>-1825.5508250517362</v>
          </cell>
        </row>
        <row r="8511">
          <cell r="Q8511">
            <v>2309.9836437716831</v>
          </cell>
        </row>
        <row r="8512">
          <cell r="Q8512">
            <v>-2124.7728572085684</v>
          </cell>
        </row>
        <row r="8513">
          <cell r="Q8513">
            <v>-282.42281815614928</v>
          </cell>
        </row>
        <row r="8514">
          <cell r="Q8514">
            <v>4905.5023021700545</v>
          </cell>
        </row>
        <row r="8515">
          <cell r="Q8515">
            <v>980.08880372270005</v>
          </cell>
        </row>
        <row r="8516">
          <cell r="Q8516">
            <v>4512.8454449987958</v>
          </cell>
        </row>
        <row r="8517">
          <cell r="Q8517">
            <v>1129.9237238664525</v>
          </cell>
        </row>
        <row r="8518">
          <cell r="Q8518">
            <v>3633.3787051706959</v>
          </cell>
        </row>
        <row r="8519">
          <cell r="Q8519">
            <v>2607.3185758719237</v>
          </cell>
        </row>
        <row r="8520">
          <cell r="Q8520">
            <v>1642.6327818257141</v>
          </cell>
        </row>
        <row r="8521">
          <cell r="Q8521">
            <v>-115.90702999340391</v>
          </cell>
        </row>
        <row r="8522">
          <cell r="Q8522">
            <v>842.02829718397811</v>
          </cell>
        </row>
        <row r="8523">
          <cell r="Q8523">
            <v>1671.021183424589</v>
          </cell>
        </row>
        <row r="8524">
          <cell r="Q8524">
            <v>-2038.7614882206283</v>
          </cell>
        </row>
        <row r="8525">
          <cell r="Q8525">
            <v>-1964.4855372811014</v>
          </cell>
        </row>
        <row r="8526">
          <cell r="Q8526">
            <v>-1493.9368941175103</v>
          </cell>
        </row>
        <row r="8527">
          <cell r="Q8527">
            <v>-1571.0834406709043</v>
          </cell>
        </row>
        <row r="8528">
          <cell r="Q8528">
            <v>2238.0513224568517</v>
          </cell>
        </row>
        <row r="8529">
          <cell r="Q8529">
            <v>230.10789227261515</v>
          </cell>
        </row>
        <row r="8530">
          <cell r="Q8530">
            <v>3059.2356602843597</v>
          </cell>
        </row>
        <row r="8531">
          <cell r="Q8531">
            <v>-853.86434492608964</v>
          </cell>
        </row>
        <row r="8532">
          <cell r="Q8532">
            <v>623.79127083608148</v>
          </cell>
        </row>
        <row r="8533">
          <cell r="Q8533">
            <v>-1593.9723298888173</v>
          </cell>
        </row>
        <row r="8534">
          <cell r="Q8534">
            <v>5343.3333434548113</v>
          </cell>
        </row>
        <row r="8535">
          <cell r="Q8535">
            <v>1957.1586058899536</v>
          </cell>
        </row>
        <row r="8536">
          <cell r="Q8536">
            <v>-785.63749007944148</v>
          </cell>
        </row>
        <row r="8537">
          <cell r="Q8537">
            <v>2764.6524951475403</v>
          </cell>
        </row>
        <row r="8538">
          <cell r="Q8538">
            <v>-1376.5639843234442</v>
          </cell>
        </row>
        <row r="8539">
          <cell r="Q8539">
            <v>573.49901383095141</v>
          </cell>
        </row>
        <row r="8540">
          <cell r="Q8540">
            <v>-983.01083360573352</v>
          </cell>
        </row>
        <row r="8541">
          <cell r="Q8541">
            <v>1726.6361960049135</v>
          </cell>
        </row>
        <row r="8542">
          <cell r="Q8542">
            <v>-2848.1682698728605</v>
          </cell>
        </row>
        <row r="8543">
          <cell r="Q8543">
            <v>2321.6003216044187</v>
          </cell>
        </row>
        <row r="8544">
          <cell r="Q8544">
            <v>-265.44334381600851</v>
          </cell>
        </row>
        <row r="8545">
          <cell r="Q8545">
            <v>1363.5546495874592</v>
          </cell>
        </row>
        <row r="8546">
          <cell r="Q8546">
            <v>-1142.0182910052706</v>
          </cell>
        </row>
        <row r="8547">
          <cell r="Q8547">
            <v>-3458.604070193152</v>
          </cell>
        </row>
        <row r="8548">
          <cell r="Q8548">
            <v>-1755.6938465112482</v>
          </cell>
        </row>
        <row r="8549">
          <cell r="Q8549">
            <v>-3465.7641842778298</v>
          </cell>
        </row>
        <row r="8550">
          <cell r="Q8550">
            <v>-46.976911474104213</v>
          </cell>
        </row>
        <row r="8551">
          <cell r="Q8551">
            <v>-271.07419781698508</v>
          </cell>
        </row>
        <row r="8552">
          <cell r="Q8552">
            <v>-1022.7059611294105</v>
          </cell>
        </row>
        <row r="8553">
          <cell r="Q8553">
            <v>1718.7629626044284</v>
          </cell>
        </row>
        <row r="8554">
          <cell r="Q8554">
            <v>1125.0426475463826</v>
          </cell>
        </row>
        <row r="8555">
          <cell r="Q8555">
            <v>-623.24391281632006</v>
          </cell>
        </row>
        <row r="8556">
          <cell r="Q8556">
            <v>2080.6108521329311</v>
          </cell>
        </row>
        <row r="8557">
          <cell r="Q8557">
            <v>3958.8959695700819</v>
          </cell>
        </row>
        <row r="8558">
          <cell r="Q8558">
            <v>-938.59524786200268</v>
          </cell>
        </row>
        <row r="8559">
          <cell r="Q8559">
            <v>222.54716524088911</v>
          </cell>
        </row>
        <row r="8560">
          <cell r="Q8560">
            <v>1327.3046551674511</v>
          </cell>
        </row>
        <row r="8561">
          <cell r="Q8561">
            <v>-1555.0800319949403</v>
          </cell>
        </row>
        <row r="8562">
          <cell r="Q8562">
            <v>-2484.1581201067693</v>
          </cell>
        </row>
        <row r="8563">
          <cell r="Q8563">
            <v>2347.9190244366923</v>
          </cell>
        </row>
        <row r="8564">
          <cell r="Q8564">
            <v>3573.1909386933357</v>
          </cell>
        </row>
        <row r="8565">
          <cell r="Q8565">
            <v>1587.4082127494548</v>
          </cell>
        </row>
        <row r="8566">
          <cell r="Q8566">
            <v>2091.8490564846084</v>
          </cell>
        </row>
        <row r="8567">
          <cell r="Q8567">
            <v>-304.991801336131</v>
          </cell>
        </row>
        <row r="8568">
          <cell r="Q8568">
            <v>2492.3649579729154</v>
          </cell>
        </row>
        <row r="8569">
          <cell r="Q8569">
            <v>-1039.9431349578565</v>
          </cell>
        </row>
        <row r="8570">
          <cell r="Q8570">
            <v>355.14084219032418</v>
          </cell>
        </row>
        <row r="8571">
          <cell r="Q8571">
            <v>-1598.9360922555331</v>
          </cell>
        </row>
        <row r="8572">
          <cell r="Q8572">
            <v>321.39341261621621</v>
          </cell>
        </row>
        <row r="8573">
          <cell r="Q8573">
            <v>2563.7109989826181</v>
          </cell>
        </row>
        <row r="8574">
          <cell r="Q8574">
            <v>2307.5163396929579</v>
          </cell>
        </row>
        <row r="8575">
          <cell r="Q8575">
            <v>767.00648478672269</v>
          </cell>
        </row>
        <row r="8576">
          <cell r="Q8576">
            <v>-2463.0478605524813</v>
          </cell>
        </row>
        <row r="8577">
          <cell r="Q8577">
            <v>-151.37285367780152</v>
          </cell>
        </row>
        <row r="8578">
          <cell r="Q8578">
            <v>-14.925285252389244</v>
          </cell>
        </row>
        <row r="8579">
          <cell r="Q8579">
            <v>-562.39491861915371</v>
          </cell>
        </row>
        <row r="8580">
          <cell r="Q8580">
            <v>-7.0745674966133265</v>
          </cell>
        </row>
        <row r="8581">
          <cell r="Q8581">
            <v>549.75685903859971</v>
          </cell>
        </row>
        <row r="8582">
          <cell r="Q8582">
            <v>-3436.7211961833978</v>
          </cell>
        </row>
        <row r="8583">
          <cell r="Q8583">
            <v>1650.2615906634783</v>
          </cell>
        </row>
        <row r="8584">
          <cell r="Q8584">
            <v>-835.62641997111223</v>
          </cell>
        </row>
        <row r="8585">
          <cell r="Q8585">
            <v>-1912.956195279218</v>
          </cell>
        </row>
        <row r="8586">
          <cell r="Q8586">
            <v>2712.5892137865926</v>
          </cell>
        </row>
        <row r="8587">
          <cell r="Q8587">
            <v>-169.43738533792833</v>
          </cell>
        </row>
        <row r="8588">
          <cell r="Q8588">
            <v>-595.97913141683784</v>
          </cell>
        </row>
        <row r="8589">
          <cell r="Q8589">
            <v>-433.55867919038479</v>
          </cell>
        </row>
        <row r="8590">
          <cell r="Q8590">
            <v>2815.7209002690038</v>
          </cell>
        </row>
        <row r="8591">
          <cell r="Q8591">
            <v>2065.4200493229046</v>
          </cell>
        </row>
        <row r="8592">
          <cell r="Q8592">
            <v>-990.62946991417243</v>
          </cell>
        </row>
        <row r="8593">
          <cell r="Q8593">
            <v>-1125.6720183759096</v>
          </cell>
        </row>
        <row r="8594">
          <cell r="Q8594">
            <v>3572.6286243563063</v>
          </cell>
        </row>
        <row r="8595">
          <cell r="Q8595">
            <v>2868.2785911700498</v>
          </cell>
        </row>
        <row r="8596">
          <cell r="Q8596">
            <v>-994.25491247833429</v>
          </cell>
        </row>
        <row r="8597">
          <cell r="Q8597">
            <v>-4977.5493044365603</v>
          </cell>
        </row>
        <row r="8598">
          <cell r="Q8598">
            <v>482.16631768070283</v>
          </cell>
        </row>
        <row r="8599">
          <cell r="Q8599">
            <v>1042.7532384716276</v>
          </cell>
        </row>
        <row r="8600">
          <cell r="Q8600">
            <v>2939.5789904206458</v>
          </cell>
        </row>
        <row r="8601">
          <cell r="Q8601">
            <v>590.11677185306655</v>
          </cell>
        </row>
        <row r="8602">
          <cell r="Q8602">
            <v>-1750.2997182265387</v>
          </cell>
        </row>
        <row r="8603">
          <cell r="Q8603">
            <v>-2112.1569038110588</v>
          </cell>
        </row>
        <row r="8604">
          <cell r="Q8604">
            <v>2486.2368847760417</v>
          </cell>
        </row>
        <row r="8605">
          <cell r="Q8605">
            <v>3249.6114941699589</v>
          </cell>
        </row>
        <row r="8606">
          <cell r="Q8606">
            <v>-2000.6419640056426</v>
          </cell>
        </row>
        <row r="8607">
          <cell r="Q8607">
            <v>-2544.6016525702598</v>
          </cell>
        </row>
        <row r="8608">
          <cell r="Q8608">
            <v>983.25894156263189</v>
          </cell>
        </row>
        <row r="8609">
          <cell r="Q8609">
            <v>-1567.1614684853801</v>
          </cell>
        </row>
        <row r="8610">
          <cell r="Q8610">
            <v>-418.07415210737275</v>
          </cell>
        </row>
        <row r="8611">
          <cell r="Q8611">
            <v>-117.99582311500347</v>
          </cell>
        </row>
        <row r="8612">
          <cell r="Q8612">
            <v>540.8033959280408</v>
          </cell>
        </row>
        <row r="8613">
          <cell r="Q8613">
            <v>336.36868767158495</v>
          </cell>
        </row>
        <row r="8614">
          <cell r="Q8614">
            <v>88.885796868757723</v>
          </cell>
        </row>
        <row r="8615">
          <cell r="Q8615">
            <v>1827.7056104601468</v>
          </cell>
        </row>
        <row r="8616">
          <cell r="Q8616">
            <v>474.92298989818568</v>
          </cell>
        </row>
        <row r="8617">
          <cell r="Q8617">
            <v>2792.249474916674</v>
          </cell>
        </row>
        <row r="8618">
          <cell r="Q8618">
            <v>2075.2816406432394</v>
          </cell>
        </row>
        <row r="8619">
          <cell r="Q8619">
            <v>1757.9210397019042</v>
          </cell>
        </row>
        <row r="8620">
          <cell r="Q8620">
            <v>-398.90570530214478</v>
          </cell>
        </row>
        <row r="8621">
          <cell r="Q8621">
            <v>2158.8409399839416</v>
          </cell>
        </row>
        <row r="8622">
          <cell r="Q8622">
            <v>-1343.8838344512735</v>
          </cell>
        </row>
        <row r="8623">
          <cell r="Q8623">
            <v>2550.8586596520672</v>
          </cell>
        </row>
        <row r="8624">
          <cell r="Q8624">
            <v>1014.4788112828039</v>
          </cell>
        </row>
        <row r="8625">
          <cell r="Q8625">
            <v>-1708.6867349589168</v>
          </cell>
        </row>
        <row r="8626">
          <cell r="Q8626">
            <v>2349.4062486621151</v>
          </cell>
        </row>
        <row r="8627">
          <cell r="Q8627">
            <v>428.56495197818253</v>
          </cell>
        </row>
        <row r="8628">
          <cell r="Q8628">
            <v>2024.1575260829702</v>
          </cell>
        </row>
        <row r="8629">
          <cell r="Q8629">
            <v>1736.1861607605754</v>
          </cell>
        </row>
        <row r="8630">
          <cell r="Q8630">
            <v>1871.2265135414732</v>
          </cell>
        </row>
        <row r="8631">
          <cell r="Q8631">
            <v>-233.07223500052083</v>
          </cell>
        </row>
        <row r="8632">
          <cell r="Q8632">
            <v>2848.3026839061522</v>
          </cell>
        </row>
        <row r="8633">
          <cell r="Q8633">
            <v>1970.3423693308032</v>
          </cell>
        </row>
        <row r="8634">
          <cell r="Q8634">
            <v>12.590220040599718</v>
          </cell>
        </row>
        <row r="8635">
          <cell r="Q8635">
            <v>529.15745469292165</v>
          </cell>
        </row>
        <row r="8636">
          <cell r="Q8636">
            <v>1996.4475618925153</v>
          </cell>
        </row>
        <row r="8637">
          <cell r="Q8637">
            <v>-418.70987606685713</v>
          </cell>
        </row>
        <row r="8638">
          <cell r="Q8638">
            <v>-1272.2896279191898</v>
          </cell>
        </row>
        <row r="8639">
          <cell r="Q8639">
            <v>1843.3300669846383</v>
          </cell>
        </row>
        <row r="8640">
          <cell r="Q8640">
            <v>-563.15022897283461</v>
          </cell>
        </row>
        <row r="8641">
          <cell r="Q8641">
            <v>3151.4771971276955</v>
          </cell>
        </row>
        <row r="8642">
          <cell r="Q8642">
            <v>1338.6143369867625</v>
          </cell>
        </row>
        <row r="8643">
          <cell r="Q8643">
            <v>-1533.5758381653752</v>
          </cell>
        </row>
        <row r="8644">
          <cell r="Q8644">
            <v>522.77284629284054</v>
          </cell>
        </row>
        <row r="8645">
          <cell r="Q8645">
            <v>2741.8220672296648</v>
          </cell>
        </row>
        <row r="8646">
          <cell r="Q8646">
            <v>1509.7126479255412</v>
          </cell>
        </row>
        <row r="8647">
          <cell r="Q8647">
            <v>1931.8696306788343</v>
          </cell>
        </row>
        <row r="8648">
          <cell r="Q8648">
            <v>393.34511914725567</v>
          </cell>
        </row>
        <row r="8649">
          <cell r="Q8649">
            <v>1548.2522219376763</v>
          </cell>
        </row>
        <row r="8650">
          <cell r="Q8650">
            <v>2812.2453956847962</v>
          </cell>
        </row>
        <row r="8651">
          <cell r="Q8651">
            <v>735.48169764189902</v>
          </cell>
        </row>
        <row r="8652">
          <cell r="Q8652">
            <v>2229.9892876141857</v>
          </cell>
        </row>
        <row r="8653">
          <cell r="Q8653">
            <v>1526.3373877844922</v>
          </cell>
        </row>
        <row r="8654">
          <cell r="Q8654">
            <v>2196.7216109552282</v>
          </cell>
        </row>
        <row r="8655">
          <cell r="Q8655">
            <v>-920.18072238434411</v>
          </cell>
        </row>
        <row r="8656">
          <cell r="Q8656">
            <v>-3196.8157952291754</v>
          </cell>
        </row>
        <row r="8657">
          <cell r="Q8657">
            <v>29.754625364434787</v>
          </cell>
        </row>
        <row r="8658">
          <cell r="Q8658">
            <v>1966.5762676407426</v>
          </cell>
        </row>
        <row r="8659">
          <cell r="Q8659">
            <v>2688.6065424678027</v>
          </cell>
        </row>
        <row r="8660">
          <cell r="Q8660">
            <v>-69.271107148911312</v>
          </cell>
        </row>
        <row r="8661">
          <cell r="Q8661">
            <v>-128.22759455053875</v>
          </cell>
        </row>
        <row r="8662">
          <cell r="Q8662">
            <v>3210.840322839108</v>
          </cell>
        </row>
        <row r="8663">
          <cell r="Q8663">
            <v>1087.3322502033707</v>
          </cell>
        </row>
        <row r="8664">
          <cell r="Q8664">
            <v>-857.68749787595198</v>
          </cell>
        </row>
        <row r="8665">
          <cell r="Q8665">
            <v>1801.7581485538437</v>
          </cell>
        </row>
        <row r="8666">
          <cell r="Q8666">
            <v>665.0113720142042</v>
          </cell>
        </row>
        <row r="8667">
          <cell r="Q8667">
            <v>109.86609130668955</v>
          </cell>
        </row>
        <row r="8668">
          <cell r="Q8668">
            <v>272.80941976417733</v>
          </cell>
        </row>
        <row r="8669">
          <cell r="Q8669">
            <v>2433.1473106748822</v>
          </cell>
        </row>
        <row r="8670">
          <cell r="Q8670">
            <v>3677.1400765379362</v>
          </cell>
        </row>
        <row r="8671">
          <cell r="Q8671">
            <v>2876.3106535140687</v>
          </cell>
        </row>
        <row r="8672">
          <cell r="Q8672">
            <v>1840.9218745005721</v>
          </cell>
        </row>
        <row r="8673">
          <cell r="Q8673">
            <v>4753.9840547265339</v>
          </cell>
        </row>
        <row r="8674">
          <cell r="Q8674">
            <v>2017.4464144343374</v>
          </cell>
        </row>
        <row r="8675">
          <cell r="Q8675">
            <v>301.18379712956568</v>
          </cell>
        </row>
        <row r="8676">
          <cell r="Q8676">
            <v>2841.3885738486442</v>
          </cell>
        </row>
        <row r="8677">
          <cell r="Q8677">
            <v>-1601.0065900789498</v>
          </cell>
        </row>
        <row r="8678">
          <cell r="Q8678">
            <v>1367.2964175595189</v>
          </cell>
        </row>
        <row r="8679">
          <cell r="Q8679">
            <v>4253.9872951592833</v>
          </cell>
        </row>
        <row r="8680">
          <cell r="Q8680">
            <v>173.97298474415334</v>
          </cell>
        </row>
        <row r="8681">
          <cell r="Q8681">
            <v>-1548.5493827470088</v>
          </cell>
        </row>
        <row r="8682">
          <cell r="Q8682">
            <v>229.84158383933811</v>
          </cell>
        </row>
        <row r="8683">
          <cell r="Q8683">
            <v>5041.1866347989671</v>
          </cell>
        </row>
        <row r="8684">
          <cell r="Q8684">
            <v>-880.76599907423974</v>
          </cell>
        </row>
        <row r="8685">
          <cell r="Q8685">
            <v>-1158.5528662148715</v>
          </cell>
        </row>
        <row r="8686">
          <cell r="Q8686">
            <v>1126.0184558043086</v>
          </cell>
        </row>
        <row r="8687">
          <cell r="Q8687">
            <v>2866.6583212149308</v>
          </cell>
        </row>
        <row r="8688">
          <cell r="Q8688">
            <v>1439.617581988068</v>
          </cell>
        </row>
        <row r="8689">
          <cell r="Q8689">
            <v>-1548.7832235783485</v>
          </cell>
        </row>
        <row r="8690">
          <cell r="Q8690">
            <v>-405.07025903075436</v>
          </cell>
        </row>
        <row r="8691">
          <cell r="Q8691">
            <v>312.4618605074653</v>
          </cell>
        </row>
        <row r="8692">
          <cell r="Q8692">
            <v>2064.7700135796881</v>
          </cell>
        </row>
        <row r="8693">
          <cell r="Q8693">
            <v>4021.3828597560328</v>
          </cell>
        </row>
        <row r="8694">
          <cell r="Q8694">
            <v>867.27537381668526</v>
          </cell>
        </row>
        <row r="8695">
          <cell r="Q8695">
            <v>-139.18892852168329</v>
          </cell>
        </row>
        <row r="8696">
          <cell r="Q8696">
            <v>-2192.0789882089493</v>
          </cell>
        </row>
        <row r="8697">
          <cell r="Q8697">
            <v>591.04229606348667</v>
          </cell>
        </row>
        <row r="8698">
          <cell r="Q8698">
            <v>-1948.5042550708069</v>
          </cell>
        </row>
        <row r="8699">
          <cell r="Q8699">
            <v>1174.9779290751972</v>
          </cell>
        </row>
        <row r="8700">
          <cell r="Q8700">
            <v>1014.9552675055472</v>
          </cell>
        </row>
        <row r="8701">
          <cell r="Q8701">
            <v>-120.0200396408074</v>
          </cell>
        </row>
        <row r="8702">
          <cell r="Q8702">
            <v>501.91946927959452</v>
          </cell>
        </row>
        <row r="8703">
          <cell r="Q8703">
            <v>63.617867996921916</v>
          </cell>
        </row>
        <row r="8704">
          <cell r="Q8704">
            <v>2410.984029938244</v>
          </cell>
        </row>
        <row r="8705">
          <cell r="Q8705">
            <v>3642.9456013112767</v>
          </cell>
        </row>
        <row r="8706">
          <cell r="Q8706">
            <v>-1791.3897226814913</v>
          </cell>
        </row>
        <row r="8707">
          <cell r="Q8707">
            <v>-3000.5432278304129</v>
          </cell>
        </row>
        <row r="8708">
          <cell r="Q8708">
            <v>910.86779063166477</v>
          </cell>
        </row>
        <row r="8709">
          <cell r="Q8709">
            <v>861.7500663271345</v>
          </cell>
        </row>
        <row r="8710">
          <cell r="Q8710">
            <v>2277.6600011482019</v>
          </cell>
        </row>
        <row r="8711">
          <cell r="Q8711">
            <v>1259.6189921212424</v>
          </cell>
        </row>
        <row r="8712">
          <cell r="Q8712">
            <v>738.70735665702148</v>
          </cell>
        </row>
        <row r="8713">
          <cell r="Q8713">
            <v>-2532.2811801735929</v>
          </cell>
        </row>
        <row r="8714">
          <cell r="Q8714">
            <v>341.37329403756326</v>
          </cell>
        </row>
        <row r="8715">
          <cell r="Q8715">
            <v>3330.9200333770009</v>
          </cell>
        </row>
        <row r="8716">
          <cell r="Q8716">
            <v>1018.0859318182434</v>
          </cell>
        </row>
        <row r="8717">
          <cell r="Q8717">
            <v>962.4400469736072</v>
          </cell>
        </row>
        <row r="8718">
          <cell r="Q8718">
            <v>1331.8395159676134</v>
          </cell>
        </row>
        <row r="8719">
          <cell r="Q8719">
            <v>3071.7962258197945</v>
          </cell>
        </row>
        <row r="8720">
          <cell r="Q8720">
            <v>1175.3070210142289</v>
          </cell>
        </row>
        <row r="8721">
          <cell r="Q8721">
            <v>1214.7032491973039</v>
          </cell>
        </row>
        <row r="8722">
          <cell r="Q8722">
            <v>-990.66611340747727</v>
          </cell>
        </row>
        <row r="8723">
          <cell r="Q8723">
            <v>3411.0778531853612</v>
          </cell>
        </row>
        <row r="8724">
          <cell r="Q8724">
            <v>-2406.0268382591221</v>
          </cell>
        </row>
        <row r="8725">
          <cell r="Q8725">
            <v>54.242630546282555</v>
          </cell>
        </row>
        <row r="8726">
          <cell r="Q8726">
            <v>-1321.0499122852057</v>
          </cell>
        </row>
        <row r="8727">
          <cell r="Q8727">
            <v>-2696.0994206892519</v>
          </cell>
        </row>
        <row r="8728">
          <cell r="Q8728">
            <v>633.64315004925197</v>
          </cell>
        </row>
        <row r="8729">
          <cell r="Q8729">
            <v>50.305568246128246</v>
          </cell>
        </row>
        <row r="8730">
          <cell r="Q8730">
            <v>-2953.3650483305719</v>
          </cell>
        </row>
        <row r="8731">
          <cell r="Q8731">
            <v>-157.64806056234141</v>
          </cell>
        </row>
        <row r="8732">
          <cell r="Q8732">
            <v>-3545.7123252643296</v>
          </cell>
        </row>
        <row r="8733">
          <cell r="Q8733">
            <v>1887.21634557177</v>
          </cell>
        </row>
        <row r="8734">
          <cell r="Q8734">
            <v>763.63371882392573</v>
          </cell>
        </row>
        <row r="8735">
          <cell r="Q8735">
            <v>3485.878301683741</v>
          </cell>
        </row>
        <row r="8736">
          <cell r="Q8736">
            <v>2402.6608827251412</v>
          </cell>
        </row>
        <row r="8737">
          <cell r="Q8737">
            <v>-289.499853847716</v>
          </cell>
        </row>
        <row r="8738">
          <cell r="Q8738">
            <v>-2633.0744397599892</v>
          </cell>
        </row>
        <row r="8739">
          <cell r="Q8739">
            <v>4123.6308955681507</v>
          </cell>
        </row>
        <row r="8740">
          <cell r="Q8740">
            <v>3586.139497761787</v>
          </cell>
        </row>
        <row r="8741">
          <cell r="Q8741">
            <v>-1539.8467152720048</v>
          </cell>
        </row>
        <row r="8742">
          <cell r="Q8742">
            <v>2358.7297689647921</v>
          </cell>
        </row>
        <row r="8743">
          <cell r="Q8743">
            <v>193.59238283511405</v>
          </cell>
        </row>
        <row r="8744">
          <cell r="Q8744">
            <v>5940.080774776452</v>
          </cell>
        </row>
        <row r="8745">
          <cell r="Q8745">
            <v>-2267.9625557986219</v>
          </cell>
        </row>
        <row r="8746">
          <cell r="Q8746">
            <v>-1781.9097733835326</v>
          </cell>
        </row>
        <row r="8747">
          <cell r="Q8747">
            <v>574.6756510115199</v>
          </cell>
        </row>
        <row r="8748">
          <cell r="Q8748">
            <v>-344.82196682212651</v>
          </cell>
        </row>
        <row r="8749">
          <cell r="Q8749">
            <v>470.51254425957484</v>
          </cell>
        </row>
        <row r="8750">
          <cell r="Q8750">
            <v>1201.3189690699776</v>
          </cell>
        </row>
        <row r="8751">
          <cell r="Q8751">
            <v>2198.3794649077154</v>
          </cell>
        </row>
        <row r="8752">
          <cell r="Q8752">
            <v>115.01713050159412</v>
          </cell>
        </row>
        <row r="8753">
          <cell r="Q8753">
            <v>342.55110715290431</v>
          </cell>
        </row>
        <row r="8754">
          <cell r="Q8754">
            <v>-1873.4493813530664</v>
          </cell>
        </row>
        <row r="8755">
          <cell r="Q8755">
            <v>-2372.480109011789</v>
          </cell>
        </row>
        <row r="8756">
          <cell r="Q8756">
            <v>-2116.5527517803857</v>
          </cell>
        </row>
        <row r="8757">
          <cell r="Q8757">
            <v>-321.66236648810508</v>
          </cell>
        </row>
        <row r="8758">
          <cell r="Q8758">
            <v>-874.11880871470953</v>
          </cell>
        </row>
        <row r="8759">
          <cell r="Q8759">
            <v>1643.8188523630138</v>
          </cell>
        </row>
        <row r="8760">
          <cell r="Q8760">
            <v>-3067.6025825744155</v>
          </cell>
        </row>
        <row r="8761">
          <cell r="Q8761">
            <v>-5196.664291683097</v>
          </cell>
        </row>
        <row r="8762">
          <cell r="Q8762">
            <v>-1578.8606193568737</v>
          </cell>
        </row>
        <row r="8763">
          <cell r="Q8763">
            <v>1839.1322688521766</v>
          </cell>
        </row>
        <row r="8764">
          <cell r="Q8764">
            <v>-1076.11445519361</v>
          </cell>
        </row>
        <row r="8765">
          <cell r="Q8765">
            <v>2454.4818213557523</v>
          </cell>
        </row>
        <row r="8766">
          <cell r="Q8766">
            <v>3372.4091949776407</v>
          </cell>
        </row>
        <row r="8767">
          <cell r="Q8767">
            <v>-686.0783497756081</v>
          </cell>
        </row>
        <row r="8768">
          <cell r="Q8768">
            <v>-397.79390619858026</v>
          </cell>
        </row>
        <row r="8769">
          <cell r="Q8769">
            <v>418.83251672044702</v>
          </cell>
        </row>
        <row r="8770">
          <cell r="Q8770">
            <v>-942.13136578226863</v>
          </cell>
        </row>
        <row r="8771">
          <cell r="Q8771">
            <v>1837.4475390983166</v>
          </cell>
        </row>
        <row r="8772">
          <cell r="Q8772">
            <v>-2800.390362834702</v>
          </cell>
        </row>
        <row r="8773">
          <cell r="Q8773">
            <v>379.20252193150628</v>
          </cell>
        </row>
        <row r="8774">
          <cell r="Q8774">
            <v>-250.64071936288798</v>
          </cell>
        </row>
        <row r="8775">
          <cell r="Q8775">
            <v>-497.1170645129053</v>
          </cell>
        </row>
        <row r="8776">
          <cell r="Q8776">
            <v>486.56813678084382</v>
          </cell>
        </row>
        <row r="8777">
          <cell r="Q8777">
            <v>1069.5782110645328</v>
          </cell>
        </row>
        <row r="8778">
          <cell r="Q8778">
            <v>-1089.8794024297433</v>
          </cell>
        </row>
        <row r="8779">
          <cell r="Q8779">
            <v>-4694.4383116905728</v>
          </cell>
        </row>
        <row r="8780">
          <cell r="Q8780">
            <v>2324.683665215769</v>
          </cell>
        </row>
        <row r="8781">
          <cell r="Q8781">
            <v>3776.266280779048</v>
          </cell>
        </row>
        <row r="8782">
          <cell r="Q8782">
            <v>1760.3789638726187</v>
          </cell>
        </row>
        <row r="8783">
          <cell r="Q8783">
            <v>-1503.0704491952993</v>
          </cell>
        </row>
        <row r="8784">
          <cell r="Q8784">
            <v>2851.554851866073</v>
          </cell>
        </row>
        <row r="8785">
          <cell r="Q8785">
            <v>-274.6584372607486</v>
          </cell>
        </row>
        <row r="8786">
          <cell r="Q8786">
            <v>1922.8244327802959</v>
          </cell>
        </row>
        <row r="8787">
          <cell r="Q8787">
            <v>1992.386766423391</v>
          </cell>
        </row>
        <row r="8788">
          <cell r="Q8788">
            <v>-1809.2210455526927</v>
          </cell>
        </row>
        <row r="8789">
          <cell r="Q8789">
            <v>5447.3195467780351</v>
          </cell>
        </row>
        <row r="8790">
          <cell r="Q8790">
            <v>-882.82910338647935</v>
          </cell>
        </row>
        <row r="8791">
          <cell r="Q8791">
            <v>2911.7393848916017</v>
          </cell>
        </row>
        <row r="8792">
          <cell r="Q8792">
            <v>-1247.5373651596394</v>
          </cell>
        </row>
        <row r="8793">
          <cell r="Q8793">
            <v>219.81804156307848</v>
          </cell>
        </row>
        <row r="8794">
          <cell r="Q8794">
            <v>1124.5417126171465</v>
          </cell>
        </row>
        <row r="8795">
          <cell r="Q8795">
            <v>535.40234097651182</v>
          </cell>
        </row>
        <row r="8796">
          <cell r="Q8796">
            <v>2628.205428653353</v>
          </cell>
        </row>
        <row r="8797">
          <cell r="Q8797">
            <v>-2084.4908610376988</v>
          </cell>
        </row>
        <row r="8798">
          <cell r="Q8798">
            <v>2953.1870415945655</v>
          </cell>
        </row>
        <row r="8799">
          <cell r="Q8799">
            <v>2411.3130738600476</v>
          </cell>
        </row>
        <row r="8800">
          <cell r="Q8800">
            <v>-1743.3068422730964</v>
          </cell>
        </row>
        <row r="8801">
          <cell r="Q8801">
            <v>1232.8703609612876</v>
          </cell>
        </row>
        <row r="8802">
          <cell r="Q8802">
            <v>-1360.5895965254397</v>
          </cell>
        </row>
        <row r="8803">
          <cell r="Q8803">
            <v>1720.3295894131722</v>
          </cell>
        </row>
        <row r="8804">
          <cell r="Q8804">
            <v>1601.5100206253237</v>
          </cell>
        </row>
        <row r="8805">
          <cell r="Q8805">
            <v>97.085407777768978</v>
          </cell>
        </row>
        <row r="8806">
          <cell r="Q8806">
            <v>692.32293570946899</v>
          </cell>
        </row>
        <row r="8807">
          <cell r="Q8807">
            <v>-23.771378500370361</v>
          </cell>
        </row>
        <row r="8808">
          <cell r="Q8808">
            <v>-174.34834412127253</v>
          </cell>
        </row>
        <row r="8809">
          <cell r="Q8809">
            <v>-557.79153569192636</v>
          </cell>
        </row>
        <row r="8810">
          <cell r="Q8810">
            <v>6036.3224057341677</v>
          </cell>
        </row>
        <row r="8811">
          <cell r="Q8811">
            <v>-2050.189496865908</v>
          </cell>
        </row>
        <row r="8812">
          <cell r="Q8812">
            <v>101.04761608275044</v>
          </cell>
        </row>
        <row r="8813">
          <cell r="Q8813">
            <v>1612.5339068359619</v>
          </cell>
        </row>
        <row r="8814">
          <cell r="Q8814">
            <v>3231.0301975265083</v>
          </cell>
        </row>
        <row r="8815">
          <cell r="Q8815">
            <v>82.790797283150994</v>
          </cell>
        </row>
        <row r="8816">
          <cell r="Q8816">
            <v>-338.20420982655702</v>
          </cell>
        </row>
        <row r="8817">
          <cell r="Q8817">
            <v>-2319.6961038154009</v>
          </cell>
        </row>
        <row r="8818">
          <cell r="Q8818">
            <v>2897.2390398289458</v>
          </cell>
        </row>
        <row r="8819">
          <cell r="Q8819">
            <v>2056.8514280142476</v>
          </cell>
        </row>
        <row r="8820">
          <cell r="Q8820">
            <v>1344.9273093017257</v>
          </cell>
        </row>
        <row r="8821">
          <cell r="Q8821">
            <v>1436.3945700260124</v>
          </cell>
        </row>
        <row r="8822">
          <cell r="Q8822">
            <v>-1224.5075536738507</v>
          </cell>
        </row>
        <row r="8823">
          <cell r="Q8823">
            <v>3135.8658297582133</v>
          </cell>
        </row>
        <row r="8824">
          <cell r="Q8824">
            <v>1063.8582438381818</v>
          </cell>
        </row>
        <row r="8825">
          <cell r="Q8825">
            <v>187.96315329991054</v>
          </cell>
        </row>
        <row r="8826">
          <cell r="Q8826">
            <v>444.31959413754538</v>
          </cell>
        </row>
        <row r="8827">
          <cell r="Q8827">
            <v>-886.79515743965021</v>
          </cell>
        </row>
        <row r="8828">
          <cell r="Q8828">
            <v>3291.8490562178758</v>
          </cell>
        </row>
        <row r="8829">
          <cell r="Q8829">
            <v>2606.3635413237284</v>
          </cell>
        </row>
        <row r="8830">
          <cell r="Q8830">
            <v>1445.0704181077251</v>
          </cell>
        </row>
        <row r="8831">
          <cell r="Q8831">
            <v>2266.9537354189774</v>
          </cell>
        </row>
        <row r="8832">
          <cell r="Q8832">
            <v>4649.9901210657554</v>
          </cell>
        </row>
        <row r="8833">
          <cell r="Q8833">
            <v>-2063.8692473827109</v>
          </cell>
        </row>
        <row r="8834">
          <cell r="Q8834">
            <v>-2417.9481217448747</v>
          </cell>
        </row>
        <row r="8835">
          <cell r="Q8835">
            <v>-1039.083586042241</v>
          </cell>
        </row>
        <row r="8836">
          <cell r="Q8836">
            <v>-2427.7193062833967</v>
          </cell>
        </row>
        <row r="8837">
          <cell r="Q8837">
            <v>2243.9493256459577</v>
          </cell>
        </row>
        <row r="8838">
          <cell r="Q8838">
            <v>1267.7266589719661</v>
          </cell>
        </row>
        <row r="8839">
          <cell r="Q8839">
            <v>-5080.6207241206257</v>
          </cell>
        </row>
        <row r="8840">
          <cell r="Q8840">
            <v>2074.210805307685</v>
          </cell>
        </row>
        <row r="8841">
          <cell r="Q8841">
            <v>2971.030895137781</v>
          </cell>
        </row>
        <row r="8842">
          <cell r="Q8842">
            <v>3182.6816191938055</v>
          </cell>
        </row>
        <row r="8843">
          <cell r="Q8843">
            <v>555.56994801536075</v>
          </cell>
        </row>
        <row r="8844">
          <cell r="Q8844">
            <v>446.87108126311938</v>
          </cell>
        </row>
        <row r="8845">
          <cell r="Q8845">
            <v>2385.9169940785455</v>
          </cell>
        </row>
        <row r="8846">
          <cell r="Q8846">
            <v>3564.6561922380079</v>
          </cell>
        </row>
        <row r="8847">
          <cell r="Q8847">
            <v>662.87137993420401</v>
          </cell>
        </row>
        <row r="8848">
          <cell r="Q8848">
            <v>-1535.026353567449</v>
          </cell>
        </row>
        <row r="8849">
          <cell r="Q8849">
            <v>1226.1484060823204</v>
          </cell>
        </row>
        <row r="8850">
          <cell r="Q8850">
            <v>-2504.0608026432428</v>
          </cell>
        </row>
        <row r="8851">
          <cell r="Q8851">
            <v>3283.6592856831576</v>
          </cell>
        </row>
        <row r="8852">
          <cell r="Q8852">
            <v>291.67160282478397</v>
          </cell>
        </row>
        <row r="8853">
          <cell r="Q8853">
            <v>283.29366912502013</v>
          </cell>
        </row>
        <row r="8854">
          <cell r="Q8854">
            <v>3978.8225152611149</v>
          </cell>
        </row>
        <row r="8855">
          <cell r="Q8855">
            <v>-195.693389816246</v>
          </cell>
        </row>
        <row r="8856">
          <cell r="Q8856">
            <v>-2979.7564830093052</v>
          </cell>
        </row>
        <row r="8857">
          <cell r="Q8857">
            <v>-1636.3761776692852</v>
          </cell>
        </row>
        <row r="8858">
          <cell r="Q8858">
            <v>1034.7568295268525</v>
          </cell>
        </row>
        <row r="8859">
          <cell r="Q8859">
            <v>1238.7570242241468</v>
          </cell>
        </row>
        <row r="8860">
          <cell r="Q8860">
            <v>158.31722056668224</v>
          </cell>
        </row>
        <row r="8861">
          <cell r="Q8861">
            <v>-3114.809747837865</v>
          </cell>
        </row>
        <row r="8862">
          <cell r="Q8862">
            <v>-502.61839213274203</v>
          </cell>
        </row>
        <row r="8863">
          <cell r="Q8863">
            <v>1744.6399249116696</v>
          </cell>
        </row>
        <row r="8864">
          <cell r="Q8864">
            <v>155.85115635144572</v>
          </cell>
        </row>
        <row r="8865">
          <cell r="Q8865">
            <v>3618.381587285262</v>
          </cell>
        </row>
        <row r="8866">
          <cell r="Q8866">
            <v>3293.3307220542242</v>
          </cell>
        </row>
        <row r="8867">
          <cell r="Q8867">
            <v>4141.0029352008505</v>
          </cell>
        </row>
        <row r="8868">
          <cell r="Q8868">
            <v>683.01861192779927</v>
          </cell>
        </row>
        <row r="8869">
          <cell r="Q8869">
            <v>882.95051290275228</v>
          </cell>
        </row>
        <row r="8870">
          <cell r="Q8870">
            <v>-907.5058399027148</v>
          </cell>
        </row>
        <row r="8871">
          <cell r="Q8871">
            <v>858.4207003054978</v>
          </cell>
        </row>
        <row r="8872">
          <cell r="Q8872">
            <v>-536.8522100076309</v>
          </cell>
        </row>
        <row r="8873">
          <cell r="Q8873">
            <v>-950.80901781302191</v>
          </cell>
        </row>
        <row r="8874">
          <cell r="Q8874">
            <v>-2726.723758683464</v>
          </cell>
        </row>
        <row r="8875">
          <cell r="Q8875">
            <v>2417.4036706094075</v>
          </cell>
        </row>
        <row r="8876">
          <cell r="Q8876">
            <v>-1761.3110999263015</v>
          </cell>
        </row>
        <row r="8877">
          <cell r="Q8877">
            <v>161.85137416420889</v>
          </cell>
        </row>
        <row r="8878">
          <cell r="Q8878">
            <v>-2483.9900794400555</v>
          </cell>
        </row>
        <row r="8879">
          <cell r="Q8879">
            <v>-2642.1201389469275</v>
          </cell>
        </row>
        <row r="8880">
          <cell r="Q8880">
            <v>532.88403498342132</v>
          </cell>
        </row>
        <row r="8881">
          <cell r="Q8881">
            <v>-2265.709086926925</v>
          </cell>
        </row>
        <row r="8882">
          <cell r="Q8882">
            <v>1158.7562345158447</v>
          </cell>
        </row>
        <row r="8883">
          <cell r="Q8883">
            <v>-1321.2971103584346</v>
          </cell>
        </row>
        <row r="8884">
          <cell r="Q8884">
            <v>-483.0962515020812</v>
          </cell>
        </row>
        <row r="8885">
          <cell r="Q8885">
            <v>4874.4992612265614</v>
          </cell>
        </row>
        <row r="8886">
          <cell r="Q8886">
            <v>-5429.1821771251443</v>
          </cell>
        </row>
        <row r="8887">
          <cell r="Q8887">
            <v>796.69210528205008</v>
          </cell>
        </row>
        <row r="8888">
          <cell r="Q8888">
            <v>1526.3967066628165</v>
          </cell>
        </row>
        <row r="8889">
          <cell r="Q8889">
            <v>-1379.4290694516781</v>
          </cell>
        </row>
        <row r="8890">
          <cell r="Q8890">
            <v>-48.44516928019641</v>
          </cell>
        </row>
        <row r="8891">
          <cell r="Q8891">
            <v>-5539.859402227009</v>
          </cell>
        </row>
        <row r="8892">
          <cell r="Q8892">
            <v>676.63579212716218</v>
          </cell>
        </row>
        <row r="8893">
          <cell r="Q8893">
            <v>3024.1759244723189</v>
          </cell>
        </row>
        <row r="8894">
          <cell r="Q8894">
            <v>2702.0842772968695</v>
          </cell>
        </row>
        <row r="8895">
          <cell r="Q8895">
            <v>-2264.5049319021982</v>
          </cell>
        </row>
        <row r="8896">
          <cell r="Q8896">
            <v>-258.30154872497434</v>
          </cell>
        </row>
        <row r="8897">
          <cell r="Q8897">
            <v>-199.11693619023737</v>
          </cell>
        </row>
        <row r="8898">
          <cell r="Q8898">
            <v>-791.63467118476228</v>
          </cell>
        </row>
        <row r="8899">
          <cell r="Q8899">
            <v>2872.8597889021103</v>
          </cell>
        </row>
        <row r="8900">
          <cell r="Q8900">
            <v>1022.9320266210314</v>
          </cell>
        </row>
        <row r="8901">
          <cell r="Q8901">
            <v>-20.956692272566386</v>
          </cell>
        </row>
        <row r="8902">
          <cell r="Q8902">
            <v>-372.89050171955927</v>
          </cell>
        </row>
        <row r="8903">
          <cell r="Q8903">
            <v>3677.1193978029287</v>
          </cell>
        </row>
        <row r="8904">
          <cell r="Q8904">
            <v>-2203.540046574471</v>
          </cell>
        </row>
        <row r="8905">
          <cell r="Q8905">
            <v>-1610.1572512607859</v>
          </cell>
        </row>
        <row r="8906">
          <cell r="Q8906">
            <v>2437.4276116303217</v>
          </cell>
        </row>
        <row r="8907">
          <cell r="Q8907">
            <v>-2912.9605530890535</v>
          </cell>
        </row>
        <row r="8908">
          <cell r="Q8908">
            <v>-784.2893962927717</v>
          </cell>
        </row>
        <row r="8909">
          <cell r="Q8909">
            <v>-622.01355182623229</v>
          </cell>
        </row>
        <row r="8910">
          <cell r="Q8910">
            <v>-214.2475879987615</v>
          </cell>
        </row>
        <row r="8911">
          <cell r="Q8911">
            <v>-1727.409444575929</v>
          </cell>
        </row>
        <row r="8912">
          <cell r="Q8912">
            <v>2530.0313045522689</v>
          </cell>
        </row>
        <row r="8913">
          <cell r="Q8913">
            <v>-340.59090985895483</v>
          </cell>
        </row>
        <row r="8914">
          <cell r="Q8914">
            <v>4022.9950124888724</v>
          </cell>
        </row>
        <row r="8915">
          <cell r="Q8915">
            <v>2752.856019680587</v>
          </cell>
        </row>
        <row r="8916">
          <cell r="Q8916">
            <v>786.04975121576558</v>
          </cell>
        </row>
        <row r="8917">
          <cell r="Q8917">
            <v>-1686.3116269569211</v>
          </cell>
        </row>
        <row r="8918">
          <cell r="Q8918">
            <v>-1936.5005061066865</v>
          </cell>
        </row>
        <row r="8919">
          <cell r="Q8919">
            <v>2628.4920520627538</v>
          </cell>
        </row>
        <row r="8920">
          <cell r="Q8920">
            <v>-1058.7998359900685</v>
          </cell>
        </row>
        <row r="8921">
          <cell r="Q8921">
            <v>5213.0142204287367</v>
          </cell>
        </row>
        <row r="8922">
          <cell r="Q8922">
            <v>16.546733098661946</v>
          </cell>
        </row>
        <row r="8923">
          <cell r="Q8923">
            <v>13.49486880142581</v>
          </cell>
        </row>
        <row r="8924">
          <cell r="Q8924">
            <v>-537.59810718581525</v>
          </cell>
        </row>
        <row r="8925">
          <cell r="Q8925">
            <v>1862.3461692429519</v>
          </cell>
        </row>
        <row r="8926">
          <cell r="Q8926">
            <v>733.60315583399711</v>
          </cell>
        </row>
        <row r="8927">
          <cell r="Q8927">
            <v>4442.6714723348105</v>
          </cell>
        </row>
        <row r="8928">
          <cell r="Q8928">
            <v>-1697.1605090890209</v>
          </cell>
        </row>
        <row r="8929">
          <cell r="Q8929">
            <v>3556.2951134693653</v>
          </cell>
        </row>
        <row r="8930">
          <cell r="Q8930">
            <v>2110.8243847077974</v>
          </cell>
        </row>
        <row r="8931">
          <cell r="Q8931">
            <v>3316.0149596702845</v>
          </cell>
        </row>
        <row r="8932">
          <cell r="Q8932">
            <v>-2305.9038959737823</v>
          </cell>
        </row>
        <row r="8933">
          <cell r="Q8933">
            <v>2934.9495593168253</v>
          </cell>
        </row>
        <row r="8934">
          <cell r="Q8934">
            <v>2073.4310973916722</v>
          </cell>
        </row>
        <row r="8935">
          <cell r="Q8935">
            <v>-1651.9009921732993</v>
          </cell>
        </row>
        <row r="8936">
          <cell r="Q8936">
            <v>2425.9792969159898</v>
          </cell>
        </row>
        <row r="8937">
          <cell r="Q8937">
            <v>1129.5010952614457</v>
          </cell>
        </row>
        <row r="8938">
          <cell r="Q8938">
            <v>792.42766866586453</v>
          </cell>
        </row>
        <row r="8939">
          <cell r="Q8939">
            <v>1284.5660229811758</v>
          </cell>
        </row>
        <row r="8940">
          <cell r="Q8940">
            <v>711.35649349013943</v>
          </cell>
        </row>
        <row r="8941">
          <cell r="Q8941">
            <v>-28.389553897396468</v>
          </cell>
        </row>
        <row r="8942">
          <cell r="Q8942">
            <v>-647.38488430468783</v>
          </cell>
        </row>
        <row r="8943">
          <cell r="Q8943">
            <v>3898.2232020691863</v>
          </cell>
        </row>
        <row r="8944">
          <cell r="Q8944">
            <v>5685.0928579417741</v>
          </cell>
        </row>
        <row r="8945">
          <cell r="Q8945">
            <v>327.92319957121987</v>
          </cell>
        </row>
        <row r="8946">
          <cell r="Q8946">
            <v>175.661093033838</v>
          </cell>
        </row>
        <row r="8947">
          <cell r="Q8947">
            <v>724.97763333352191</v>
          </cell>
        </row>
        <row r="8948">
          <cell r="Q8948">
            <v>1901.3819102026932</v>
          </cell>
        </row>
        <row r="8949">
          <cell r="Q8949">
            <v>3329.2622609064802</v>
          </cell>
        </row>
        <row r="8950">
          <cell r="Q8950">
            <v>1845.6331152554158</v>
          </cell>
        </row>
        <row r="8951">
          <cell r="Q8951">
            <v>-1055.2542052663682</v>
          </cell>
        </row>
        <row r="8952">
          <cell r="Q8952">
            <v>1759.0440813055411</v>
          </cell>
        </row>
        <row r="8953">
          <cell r="Q8953">
            <v>600.60087849163494</v>
          </cell>
        </row>
        <row r="8954">
          <cell r="Q8954">
            <v>-855.62585954831411</v>
          </cell>
        </row>
        <row r="8955">
          <cell r="Q8955">
            <v>451.33698827622487</v>
          </cell>
        </row>
        <row r="8956">
          <cell r="Q8956">
            <v>-134.07697802731701</v>
          </cell>
        </row>
        <row r="8957">
          <cell r="Q8957">
            <v>1242.761701695176</v>
          </cell>
        </row>
        <row r="8958">
          <cell r="Q8958">
            <v>-2519.4851299611405</v>
          </cell>
        </row>
        <row r="8959">
          <cell r="Q8959">
            <v>1641.4554743671638</v>
          </cell>
        </row>
        <row r="8960">
          <cell r="Q8960">
            <v>-1631.7362358677494</v>
          </cell>
        </row>
        <row r="8961">
          <cell r="Q8961">
            <v>-98.444921894495224</v>
          </cell>
        </row>
        <row r="8962">
          <cell r="Q8962">
            <v>782.44724886036079</v>
          </cell>
        </row>
        <row r="8963">
          <cell r="Q8963">
            <v>-2029.906252941458</v>
          </cell>
        </row>
        <row r="8964">
          <cell r="Q8964">
            <v>-1728.1731540718645</v>
          </cell>
        </row>
        <row r="8965">
          <cell r="Q8965">
            <v>-2405.8780349494618</v>
          </cell>
        </row>
        <row r="8966">
          <cell r="Q8966">
            <v>3136.2622450037898</v>
          </cell>
        </row>
        <row r="8967">
          <cell r="Q8967">
            <v>-3693.4549875958101</v>
          </cell>
        </row>
        <row r="8968">
          <cell r="Q8968">
            <v>827.77823483065208</v>
          </cell>
        </row>
        <row r="8969">
          <cell r="Q8969">
            <v>88.882119738877805</v>
          </cell>
        </row>
        <row r="8970">
          <cell r="Q8970">
            <v>-4099.9710815698982</v>
          </cell>
        </row>
        <row r="8971">
          <cell r="Q8971">
            <v>1734.6036379624327</v>
          </cell>
        </row>
        <row r="8972">
          <cell r="Q8972">
            <v>251.00919673380619</v>
          </cell>
        </row>
        <row r="8973">
          <cell r="Q8973">
            <v>1927.4512103871223</v>
          </cell>
        </row>
        <row r="8974">
          <cell r="Q8974">
            <v>-2165.2753699170657</v>
          </cell>
        </row>
        <row r="8975">
          <cell r="Q8975">
            <v>-2446.4870048368452</v>
          </cell>
        </row>
        <row r="8976">
          <cell r="Q8976">
            <v>-204.86794517544416</v>
          </cell>
        </row>
        <row r="8977">
          <cell r="Q8977">
            <v>-1996.2458415646909</v>
          </cell>
        </row>
        <row r="8978">
          <cell r="Q8978">
            <v>-2495.9562486490872</v>
          </cell>
        </row>
        <row r="8979">
          <cell r="Q8979">
            <v>4949.6868125637593</v>
          </cell>
        </row>
        <row r="8980">
          <cell r="Q8980">
            <v>-1129.1611958470444</v>
          </cell>
        </row>
        <row r="8981">
          <cell r="Q8981">
            <v>363.71346711107441</v>
          </cell>
        </row>
        <row r="8982">
          <cell r="Q8982">
            <v>1550.2206636598676</v>
          </cell>
        </row>
        <row r="8983">
          <cell r="Q8983">
            <v>2076.278581700562</v>
          </cell>
        </row>
        <row r="8984">
          <cell r="Q8984">
            <v>1951.8370463365136</v>
          </cell>
        </row>
        <row r="8985">
          <cell r="Q8985">
            <v>-991.73892106125277</v>
          </cell>
        </row>
        <row r="8986">
          <cell r="Q8986">
            <v>-3529.8482067120908</v>
          </cell>
        </row>
        <row r="8987">
          <cell r="Q8987">
            <v>1538.7401919886083</v>
          </cell>
        </row>
        <row r="8988">
          <cell r="Q8988">
            <v>2665.6099737239369</v>
          </cell>
        </row>
        <row r="8989">
          <cell r="Q8989">
            <v>-150.65972525655474</v>
          </cell>
        </row>
        <row r="8990">
          <cell r="Q8990">
            <v>-1980.4345394381546</v>
          </cell>
        </row>
        <row r="8991">
          <cell r="Q8991">
            <v>1025.9809503317099</v>
          </cell>
        </row>
        <row r="8992">
          <cell r="Q8992">
            <v>2042.0997395473044</v>
          </cell>
        </row>
        <row r="8993">
          <cell r="Q8993">
            <v>1193.1074907151717</v>
          </cell>
        </row>
        <row r="8994">
          <cell r="Q8994">
            <v>-1942.1897022983514</v>
          </cell>
        </row>
        <row r="8995">
          <cell r="Q8995">
            <v>-3338.0446562150564</v>
          </cell>
        </row>
        <row r="8996">
          <cell r="Q8996">
            <v>289.47563442880642</v>
          </cell>
        </row>
        <row r="8997">
          <cell r="Q8997">
            <v>3370.0401426853073</v>
          </cell>
        </row>
        <row r="8998">
          <cell r="Q8998">
            <v>885.5978875298631</v>
          </cell>
        </row>
        <row r="8999">
          <cell r="Q8999">
            <v>980.5496659151504</v>
          </cell>
        </row>
        <row r="9000">
          <cell r="Q9000">
            <v>998.59767273721195</v>
          </cell>
        </row>
        <row r="9001">
          <cell r="Q9001">
            <v>-3852.0595058878225</v>
          </cell>
        </row>
        <row r="9002">
          <cell r="Q9002">
            <v>-28.328689050968705</v>
          </cell>
        </row>
        <row r="9003">
          <cell r="Q9003">
            <v>1293.88565880546</v>
          </cell>
        </row>
        <row r="9004">
          <cell r="Q9004">
            <v>-2878.9076143277653</v>
          </cell>
        </row>
        <row r="9005">
          <cell r="Q9005">
            <v>-484.32324442380906</v>
          </cell>
        </row>
        <row r="9006">
          <cell r="Q9006">
            <v>-2513.2372135353603</v>
          </cell>
        </row>
        <row r="9007">
          <cell r="Q9007">
            <v>-3022.6345486263604</v>
          </cell>
        </row>
        <row r="9008">
          <cell r="Q9008">
            <v>141.37318330135403</v>
          </cell>
        </row>
        <row r="9009">
          <cell r="Q9009">
            <v>1643.9247486469012</v>
          </cell>
        </row>
        <row r="9010">
          <cell r="Q9010">
            <v>383.267730623425</v>
          </cell>
        </row>
        <row r="9011">
          <cell r="Q9011">
            <v>2342.1731259772864</v>
          </cell>
        </row>
        <row r="9012">
          <cell r="Q9012">
            <v>2211.7053221598176</v>
          </cell>
        </row>
        <row r="9013">
          <cell r="Q9013">
            <v>-2714.2346390786843</v>
          </cell>
        </row>
        <row r="9014">
          <cell r="Q9014">
            <v>71.092612439070308</v>
          </cell>
        </row>
        <row r="9015">
          <cell r="Q9015">
            <v>222.66265148397935</v>
          </cell>
        </row>
        <row r="9016">
          <cell r="Q9016">
            <v>-1117.1463890700049</v>
          </cell>
        </row>
        <row r="9017">
          <cell r="Q9017">
            <v>27.302611267895088</v>
          </cell>
        </row>
        <row r="9018">
          <cell r="Q9018">
            <v>3737.1493186892485</v>
          </cell>
        </row>
        <row r="9019">
          <cell r="Q9019">
            <v>600.88758737961564</v>
          </cell>
        </row>
        <row r="9020">
          <cell r="Q9020">
            <v>1179.1693985240086</v>
          </cell>
        </row>
        <row r="9021">
          <cell r="Q9021">
            <v>2574.1921559784819</v>
          </cell>
        </row>
        <row r="9022">
          <cell r="Q9022">
            <v>1582.2316602267592</v>
          </cell>
        </row>
        <row r="9023">
          <cell r="Q9023">
            <v>43.685978524225504</v>
          </cell>
        </row>
        <row r="9024">
          <cell r="Q9024">
            <v>-1974.3183720995105</v>
          </cell>
        </row>
        <row r="9025">
          <cell r="Q9025">
            <v>1234.7682302441945</v>
          </cell>
        </row>
        <row r="9026">
          <cell r="Q9026">
            <v>-913.66868703164891</v>
          </cell>
        </row>
        <row r="9027">
          <cell r="Q9027">
            <v>1873.9185807772853</v>
          </cell>
        </row>
        <row r="9028">
          <cell r="Q9028">
            <v>-214.05394148472539</v>
          </cell>
        </row>
        <row r="9029">
          <cell r="Q9029">
            <v>-1659.1165429624909</v>
          </cell>
        </row>
        <row r="9030">
          <cell r="Q9030">
            <v>-1850.3292193220407</v>
          </cell>
        </row>
        <row r="9031">
          <cell r="Q9031">
            <v>-443.47227930064838</v>
          </cell>
        </row>
        <row r="9032">
          <cell r="Q9032">
            <v>1069.5720632808425</v>
          </cell>
        </row>
        <row r="9033">
          <cell r="Q9033">
            <v>-1664.9248179081012</v>
          </cell>
        </row>
        <row r="9034">
          <cell r="Q9034">
            <v>359.68394458333495</v>
          </cell>
        </row>
        <row r="9035">
          <cell r="Q9035">
            <v>-2433.9942646303807</v>
          </cell>
        </row>
        <row r="9036">
          <cell r="Q9036">
            <v>-750.91902837422504</v>
          </cell>
        </row>
        <row r="9037">
          <cell r="Q9037">
            <v>-2244.6073185018986</v>
          </cell>
        </row>
        <row r="9038">
          <cell r="Q9038">
            <v>-2712.9766704946883</v>
          </cell>
        </row>
        <row r="9039">
          <cell r="Q9039">
            <v>3044.2170575447885</v>
          </cell>
        </row>
        <row r="9040">
          <cell r="Q9040">
            <v>-1457.5873510941244</v>
          </cell>
        </row>
        <row r="9041">
          <cell r="Q9041">
            <v>2846.8285199768097</v>
          </cell>
        </row>
        <row r="9042">
          <cell r="Q9042">
            <v>2847.3503632961224</v>
          </cell>
        </row>
        <row r="9043">
          <cell r="Q9043">
            <v>1079.8534288137826</v>
          </cell>
        </row>
        <row r="9044">
          <cell r="Q9044">
            <v>610.20360279817055</v>
          </cell>
        </row>
        <row r="9045">
          <cell r="Q9045">
            <v>-1301.1271342938492</v>
          </cell>
        </row>
        <row r="9046">
          <cell r="Q9046">
            <v>2688.1460364596364</v>
          </cell>
        </row>
        <row r="9047">
          <cell r="Q9047">
            <v>1894.3917562000345</v>
          </cell>
        </row>
        <row r="9048">
          <cell r="Q9048">
            <v>-1143.6217755060777</v>
          </cell>
        </row>
        <row r="9049">
          <cell r="Q9049">
            <v>-2544.8958525299308</v>
          </cell>
        </row>
        <row r="9050">
          <cell r="Q9050">
            <v>103.98571086722023</v>
          </cell>
        </row>
        <row r="9051">
          <cell r="Q9051">
            <v>-220.12905910964122</v>
          </cell>
        </row>
        <row r="9052">
          <cell r="Q9052">
            <v>-3976.1235394130299</v>
          </cell>
        </row>
        <row r="9053">
          <cell r="Q9053">
            <v>880.43685859280515</v>
          </cell>
        </row>
        <row r="9054">
          <cell r="Q9054">
            <v>2071.7310885745042</v>
          </cell>
        </row>
        <row r="9055">
          <cell r="Q9055">
            <v>4383.7379145661762</v>
          </cell>
        </row>
        <row r="9056">
          <cell r="Q9056">
            <v>-265.70058083082387</v>
          </cell>
        </row>
        <row r="9057">
          <cell r="Q9057">
            <v>1160.284002305669</v>
          </cell>
        </row>
        <row r="9058">
          <cell r="Q9058">
            <v>848.17901390808356</v>
          </cell>
        </row>
        <row r="9059">
          <cell r="Q9059">
            <v>479.73882492964123</v>
          </cell>
        </row>
        <row r="9060">
          <cell r="Q9060">
            <v>-2995.8301758001967</v>
          </cell>
        </row>
        <row r="9061">
          <cell r="Q9061">
            <v>1335.5542173234321</v>
          </cell>
        </row>
        <row r="9062">
          <cell r="Q9062">
            <v>1809.7920526900048</v>
          </cell>
        </row>
        <row r="9063">
          <cell r="Q9063">
            <v>2083.207493061645</v>
          </cell>
        </row>
        <row r="9064">
          <cell r="Q9064">
            <v>3495.0335575345403</v>
          </cell>
        </row>
        <row r="9065">
          <cell r="Q9065">
            <v>1509.4709995420346</v>
          </cell>
        </row>
        <row r="9066">
          <cell r="Q9066">
            <v>-454.46728843046702</v>
          </cell>
        </row>
        <row r="9067">
          <cell r="Q9067">
            <v>-560.0299757660307</v>
          </cell>
        </row>
        <row r="9068">
          <cell r="Q9068">
            <v>831.7020991495865</v>
          </cell>
        </row>
        <row r="9069">
          <cell r="Q9069">
            <v>-522.07498150099559</v>
          </cell>
        </row>
        <row r="9070">
          <cell r="Q9070">
            <v>3217.5451403605421</v>
          </cell>
        </row>
        <row r="9071">
          <cell r="Q9071">
            <v>541.97208138938379</v>
          </cell>
        </row>
        <row r="9072">
          <cell r="Q9072">
            <v>-828.54971169002829</v>
          </cell>
        </row>
        <row r="9073">
          <cell r="Q9073">
            <v>2769.2176942783708</v>
          </cell>
        </row>
        <row r="9074">
          <cell r="Q9074">
            <v>1452.7503411370585</v>
          </cell>
        </row>
        <row r="9075">
          <cell r="Q9075">
            <v>1812.8407240312083</v>
          </cell>
        </row>
        <row r="9076">
          <cell r="Q9076">
            <v>2077.2614055255258</v>
          </cell>
        </row>
        <row r="9077">
          <cell r="Q9077">
            <v>-203.47067779162768</v>
          </cell>
        </row>
        <row r="9078">
          <cell r="Q9078">
            <v>2859.9563323718662</v>
          </cell>
        </row>
        <row r="9079">
          <cell r="Q9079">
            <v>5521.7798825220398</v>
          </cell>
        </row>
        <row r="9080">
          <cell r="Q9080">
            <v>3004.461425818406</v>
          </cell>
        </row>
        <row r="9081">
          <cell r="Q9081">
            <v>1819.9068414988706</v>
          </cell>
        </row>
        <row r="9082">
          <cell r="Q9082">
            <v>-2345.7213896141343</v>
          </cell>
        </row>
        <row r="9083">
          <cell r="Q9083">
            <v>1117.4359077251061</v>
          </cell>
        </row>
        <row r="9084">
          <cell r="Q9084">
            <v>1027.7344900754513</v>
          </cell>
        </row>
        <row r="9085">
          <cell r="Q9085">
            <v>2771.2047052325152</v>
          </cell>
        </row>
        <row r="9086">
          <cell r="Q9086">
            <v>673.56186099198101</v>
          </cell>
        </row>
        <row r="9087">
          <cell r="Q9087">
            <v>3195.6470489081685</v>
          </cell>
        </row>
        <row r="9088">
          <cell r="Q9088">
            <v>2937.6584513961625</v>
          </cell>
        </row>
        <row r="9089">
          <cell r="Q9089">
            <v>104.16395900690412</v>
          </cell>
        </row>
        <row r="9090">
          <cell r="Q9090">
            <v>2413.9176306482045</v>
          </cell>
        </row>
        <row r="9091">
          <cell r="Q9091">
            <v>-515.6720301377743</v>
          </cell>
        </row>
        <row r="9092">
          <cell r="Q9092">
            <v>-1375.0832000533896</v>
          </cell>
        </row>
        <row r="9093">
          <cell r="Q9093">
            <v>-2149.3327678296682</v>
          </cell>
        </row>
        <row r="9094">
          <cell r="Q9094">
            <v>4487.7696798800143</v>
          </cell>
        </row>
        <row r="9095">
          <cell r="Q9095">
            <v>-2088.4827569917325</v>
          </cell>
        </row>
        <row r="9096">
          <cell r="Q9096">
            <v>-1573.1457506960298</v>
          </cell>
        </row>
        <row r="9097">
          <cell r="Q9097">
            <v>-1341.0172107349574</v>
          </cell>
        </row>
        <row r="9098">
          <cell r="Q9098">
            <v>1395.5416536768687</v>
          </cell>
        </row>
        <row r="9099">
          <cell r="Q9099">
            <v>-1357.2571406912666</v>
          </cell>
        </row>
        <row r="9100">
          <cell r="Q9100">
            <v>-580.71619344724559</v>
          </cell>
        </row>
        <row r="9101">
          <cell r="Q9101">
            <v>-6.4817013635158673</v>
          </cell>
        </row>
        <row r="9102">
          <cell r="Q9102">
            <v>117.78093490169198</v>
          </cell>
        </row>
        <row r="9103">
          <cell r="Q9103">
            <v>1410.4683584290847</v>
          </cell>
        </row>
        <row r="9104">
          <cell r="Q9104">
            <v>-120.24789274413314</v>
          </cell>
        </row>
        <row r="9105">
          <cell r="Q9105">
            <v>-1911.0850638873251</v>
          </cell>
        </row>
        <row r="9106">
          <cell r="Q9106">
            <v>1641.5407384087634</v>
          </cell>
        </row>
        <row r="9107">
          <cell r="Q9107">
            <v>1636.0467616879598</v>
          </cell>
        </row>
        <row r="9108">
          <cell r="Q9108">
            <v>4193.4667646680109</v>
          </cell>
        </row>
        <row r="9109">
          <cell r="Q9109">
            <v>-5113.2304361256956</v>
          </cell>
        </row>
        <row r="9110">
          <cell r="Q9110">
            <v>3640.6943587886994</v>
          </cell>
        </row>
        <row r="9111">
          <cell r="Q9111">
            <v>1259.1887972096231</v>
          </cell>
        </row>
        <row r="9112">
          <cell r="Q9112">
            <v>475.75244501681334</v>
          </cell>
        </row>
        <row r="9113">
          <cell r="Q9113">
            <v>2420.9164737335855</v>
          </cell>
        </row>
        <row r="9114">
          <cell r="Q9114">
            <v>-662.90318918965067</v>
          </cell>
        </row>
        <row r="9115">
          <cell r="Q9115">
            <v>2051.3526975712607</v>
          </cell>
        </row>
        <row r="9116">
          <cell r="Q9116">
            <v>-608.95020674969169</v>
          </cell>
        </row>
        <row r="9117">
          <cell r="Q9117">
            <v>-1291.9678161615168</v>
          </cell>
        </row>
        <row r="9118">
          <cell r="Q9118">
            <v>2095.7741519178217</v>
          </cell>
        </row>
        <row r="9119">
          <cell r="Q9119">
            <v>1931.7485247727523</v>
          </cell>
        </row>
        <row r="9120">
          <cell r="Q9120">
            <v>-2369.773791109249</v>
          </cell>
        </row>
        <row r="9121">
          <cell r="Q9121">
            <v>-1819.6318323347739</v>
          </cell>
        </row>
        <row r="9122">
          <cell r="Q9122">
            <v>-3590.0722243643768</v>
          </cell>
        </row>
        <row r="9123">
          <cell r="Q9123">
            <v>660.26782200659943</v>
          </cell>
        </row>
        <row r="9124">
          <cell r="Q9124">
            <v>-859.61718169898541</v>
          </cell>
        </row>
        <row r="9125">
          <cell r="Q9125">
            <v>2159.8227897975371</v>
          </cell>
        </row>
        <row r="9126">
          <cell r="Q9126">
            <v>-1802.7318559099215</v>
          </cell>
        </row>
        <row r="9127">
          <cell r="Q9127">
            <v>653.5920725483038</v>
          </cell>
        </row>
        <row r="9128">
          <cell r="Q9128">
            <v>3400.4804517121502</v>
          </cell>
        </row>
        <row r="9129">
          <cell r="Q9129">
            <v>-1993.4638004978854</v>
          </cell>
        </row>
        <row r="9130">
          <cell r="Q9130">
            <v>-3314.2610833061299</v>
          </cell>
        </row>
        <row r="9131">
          <cell r="Q9131">
            <v>2266.0522456047502</v>
          </cell>
        </row>
        <row r="9132">
          <cell r="Q9132">
            <v>-71.628942626285721</v>
          </cell>
        </row>
        <row r="9133">
          <cell r="Q9133">
            <v>2480.9261058882034</v>
          </cell>
        </row>
        <row r="9134">
          <cell r="Q9134">
            <v>1726.8172744267054</v>
          </cell>
        </row>
        <row r="9135">
          <cell r="Q9135">
            <v>2175.2772619515413</v>
          </cell>
        </row>
        <row r="9136">
          <cell r="Q9136">
            <v>994.12157605496532</v>
          </cell>
        </row>
        <row r="9137">
          <cell r="Q9137">
            <v>-3421.2645205666831</v>
          </cell>
        </row>
        <row r="9138">
          <cell r="Q9138">
            <v>1083.4615973279342</v>
          </cell>
        </row>
        <row r="9139">
          <cell r="Q9139">
            <v>2449.1951710022299</v>
          </cell>
        </row>
        <row r="9140">
          <cell r="Q9140">
            <v>-3925.420674342522</v>
          </cell>
        </row>
        <row r="9141">
          <cell r="Q9141">
            <v>1945.3309693709041</v>
          </cell>
        </row>
        <row r="9142">
          <cell r="Q9142">
            <v>129.29545068042597</v>
          </cell>
        </row>
        <row r="9143">
          <cell r="Q9143">
            <v>-1452.7081181271874</v>
          </cell>
        </row>
        <row r="9144">
          <cell r="Q9144">
            <v>-408.79018907482447</v>
          </cell>
        </row>
        <row r="9145">
          <cell r="Q9145">
            <v>3835.6568479051234</v>
          </cell>
        </row>
        <row r="9146">
          <cell r="Q9146">
            <v>-1126.4884453445727</v>
          </cell>
        </row>
        <row r="9147">
          <cell r="Q9147">
            <v>112.51807165931297</v>
          </cell>
        </row>
        <row r="9148">
          <cell r="Q9148">
            <v>-1722.645119386593</v>
          </cell>
        </row>
        <row r="9149">
          <cell r="Q9149">
            <v>-86.674365121997766</v>
          </cell>
        </row>
        <row r="9150">
          <cell r="Q9150">
            <v>1933.5125403906516</v>
          </cell>
        </row>
        <row r="9151">
          <cell r="Q9151">
            <v>-44.063267614692052</v>
          </cell>
        </row>
        <row r="9152">
          <cell r="Q9152">
            <v>-34.058495406920713</v>
          </cell>
        </row>
        <row r="9153">
          <cell r="Q9153">
            <v>3352.7509615505637</v>
          </cell>
        </row>
        <row r="9154">
          <cell r="Q9154">
            <v>293.78279461388104</v>
          </cell>
        </row>
        <row r="9155">
          <cell r="Q9155">
            <v>-1733.1729293778556</v>
          </cell>
        </row>
        <row r="9156">
          <cell r="Q9156">
            <v>775.15686780261001</v>
          </cell>
        </row>
        <row r="9157">
          <cell r="Q9157">
            <v>3681.3332943653963</v>
          </cell>
        </row>
        <row r="9158">
          <cell r="Q9158">
            <v>-649.0463789308792</v>
          </cell>
        </row>
        <row r="9159">
          <cell r="Q9159">
            <v>647.09867104068383</v>
          </cell>
        </row>
        <row r="9160">
          <cell r="Q9160">
            <v>-192.6956675584882</v>
          </cell>
        </row>
        <row r="9161">
          <cell r="Q9161">
            <v>2594.1996707568296</v>
          </cell>
        </row>
        <row r="9162">
          <cell r="Q9162">
            <v>-3178.865835558137</v>
          </cell>
        </row>
        <row r="9163">
          <cell r="Q9163">
            <v>4529.5042206458202</v>
          </cell>
        </row>
        <row r="9164">
          <cell r="Q9164">
            <v>1360.9622124513673</v>
          </cell>
        </row>
        <row r="9165">
          <cell r="Q9165">
            <v>3400.2533302056859</v>
          </cell>
        </row>
        <row r="9166">
          <cell r="Q9166">
            <v>-354.6550556175826</v>
          </cell>
        </row>
        <row r="9167">
          <cell r="Q9167">
            <v>1328.0775480872812</v>
          </cell>
        </row>
        <row r="9168">
          <cell r="Q9168">
            <v>-1074.7926127465405</v>
          </cell>
        </row>
        <row r="9169">
          <cell r="Q9169">
            <v>-3885.7265958922608</v>
          </cell>
        </row>
        <row r="9170">
          <cell r="Q9170">
            <v>-2057.9835329924831</v>
          </cell>
        </row>
        <row r="9171">
          <cell r="Q9171">
            <v>1897.1251447654306</v>
          </cell>
        </row>
        <row r="9172">
          <cell r="Q9172">
            <v>-219.37888529060814</v>
          </cell>
        </row>
        <row r="9173">
          <cell r="Q9173">
            <v>-3076.1733931512185</v>
          </cell>
        </row>
        <row r="9174">
          <cell r="Q9174">
            <v>556.9463450906992</v>
          </cell>
        </row>
        <row r="9175">
          <cell r="Q9175">
            <v>-939.72507246117652</v>
          </cell>
        </row>
        <row r="9176">
          <cell r="Q9176">
            <v>-1514.7103731547249</v>
          </cell>
        </row>
        <row r="9177">
          <cell r="Q9177">
            <v>452.9071637372424</v>
          </cell>
        </row>
        <row r="9178">
          <cell r="Q9178">
            <v>2428.5239260584667</v>
          </cell>
        </row>
        <row r="9179">
          <cell r="Q9179">
            <v>2934.4841059545915</v>
          </cell>
        </row>
        <row r="9180">
          <cell r="Q9180">
            <v>-670.66417099079354</v>
          </cell>
        </row>
        <row r="9181">
          <cell r="Q9181">
            <v>-109.09731787821681</v>
          </cell>
        </row>
        <row r="9182">
          <cell r="Q9182">
            <v>-1861.7111604663385</v>
          </cell>
        </row>
        <row r="9183">
          <cell r="Q9183">
            <v>-854.80398202199058</v>
          </cell>
        </row>
        <row r="9184">
          <cell r="Q9184">
            <v>-394.10008879923788</v>
          </cell>
        </row>
        <row r="9185">
          <cell r="Q9185">
            <v>-1646.7450495827991</v>
          </cell>
        </row>
        <row r="9186">
          <cell r="Q9186">
            <v>1632.4476218905413</v>
          </cell>
        </row>
        <row r="9187">
          <cell r="Q9187">
            <v>-461.75124521273966</v>
          </cell>
        </row>
        <row r="9188">
          <cell r="Q9188">
            <v>-467.67266764085224</v>
          </cell>
        </row>
        <row r="9189">
          <cell r="Q9189">
            <v>1111.5974801059394</v>
          </cell>
        </row>
        <row r="9190">
          <cell r="Q9190">
            <v>2866.5440602714912</v>
          </cell>
        </row>
        <row r="9191">
          <cell r="Q9191">
            <v>5281.3973775200266</v>
          </cell>
        </row>
        <row r="9192">
          <cell r="Q9192">
            <v>-592.76679877210722</v>
          </cell>
        </row>
        <row r="9193">
          <cell r="Q9193">
            <v>1082.3312904701359</v>
          </cell>
        </row>
        <row r="9194">
          <cell r="Q9194">
            <v>-485.12743499829736</v>
          </cell>
        </row>
        <row r="9195">
          <cell r="Q9195">
            <v>4835.7777721365628</v>
          </cell>
        </row>
        <row r="9196">
          <cell r="Q9196">
            <v>-3690.6523561513573</v>
          </cell>
        </row>
        <row r="9197">
          <cell r="Q9197">
            <v>-1705.3127235725676</v>
          </cell>
        </row>
        <row r="9198">
          <cell r="Q9198">
            <v>-4173.729079345223</v>
          </cell>
        </row>
        <row r="9199">
          <cell r="Q9199">
            <v>-3157.4838343536208</v>
          </cell>
        </row>
        <row r="9200">
          <cell r="Q9200">
            <v>-394.57456204134354</v>
          </cell>
        </row>
        <row r="9201">
          <cell r="Q9201">
            <v>-1257.2849299522861</v>
          </cell>
        </row>
        <row r="9202">
          <cell r="Q9202">
            <v>547.28730393673425</v>
          </cell>
        </row>
        <row r="9203">
          <cell r="Q9203">
            <v>-73.817110052234398</v>
          </cell>
        </row>
        <row r="9204">
          <cell r="Q9204">
            <v>-450.42549700419232</v>
          </cell>
        </row>
        <row r="9205">
          <cell r="Q9205">
            <v>4133.8416666998</v>
          </cell>
        </row>
        <row r="9206">
          <cell r="Q9206">
            <v>463.74977177854555</v>
          </cell>
        </row>
        <row r="9207">
          <cell r="Q9207">
            <v>2884.3437119507335</v>
          </cell>
        </row>
        <row r="9208">
          <cell r="Q9208">
            <v>-2673.4314314402895</v>
          </cell>
        </row>
        <row r="9209">
          <cell r="Q9209">
            <v>5985.0681540094329</v>
          </cell>
        </row>
        <row r="9210">
          <cell r="Q9210">
            <v>-281.1006215839414</v>
          </cell>
        </row>
        <row r="9211">
          <cell r="Q9211">
            <v>2245.0762567299503</v>
          </cell>
        </row>
        <row r="9212">
          <cell r="Q9212">
            <v>1131.9149057153404</v>
          </cell>
        </row>
        <row r="9213">
          <cell r="Q9213">
            <v>-2184.026786311656</v>
          </cell>
        </row>
        <row r="9214">
          <cell r="Q9214">
            <v>926.01074984270122</v>
          </cell>
        </row>
        <row r="9215">
          <cell r="Q9215">
            <v>4537.2584672453122</v>
          </cell>
        </row>
        <row r="9216">
          <cell r="Q9216">
            <v>183.31152625437139</v>
          </cell>
        </row>
        <row r="9217">
          <cell r="Q9217">
            <v>1053.6738296048209</v>
          </cell>
        </row>
        <row r="9218">
          <cell r="Q9218">
            <v>-515.19011079904931</v>
          </cell>
        </row>
        <row r="9219">
          <cell r="Q9219">
            <v>-1226.6504232548052</v>
          </cell>
        </row>
        <row r="9220">
          <cell r="Q9220">
            <v>549.29888372732307</v>
          </cell>
        </row>
        <row r="9221">
          <cell r="Q9221">
            <v>2805.4848814960083</v>
          </cell>
        </row>
        <row r="9222">
          <cell r="Q9222">
            <v>667.76568201031228</v>
          </cell>
        </row>
        <row r="9223">
          <cell r="Q9223">
            <v>-621.91527424785068</v>
          </cell>
        </row>
        <row r="9224">
          <cell r="Q9224">
            <v>-496.7418972913992</v>
          </cell>
        </row>
        <row r="9225">
          <cell r="Q9225">
            <v>-154.70972701344641</v>
          </cell>
        </row>
        <row r="9226">
          <cell r="Q9226">
            <v>-455.83651178698909</v>
          </cell>
        </row>
        <row r="9227">
          <cell r="Q9227">
            <v>4144.9467158852676</v>
          </cell>
        </row>
        <row r="9228">
          <cell r="Q9228">
            <v>2818.371597965373</v>
          </cell>
        </row>
        <row r="9229">
          <cell r="Q9229">
            <v>-1343.948456033758</v>
          </cell>
        </row>
        <row r="9230">
          <cell r="Q9230">
            <v>3122.7700243876138</v>
          </cell>
        </row>
        <row r="9231">
          <cell r="Q9231">
            <v>1096.9091435686712</v>
          </cell>
        </row>
        <row r="9232">
          <cell r="Q9232">
            <v>935.94305078620528</v>
          </cell>
        </row>
        <row r="9233">
          <cell r="Q9233">
            <v>2659.0040386225623</v>
          </cell>
        </row>
        <row r="9234">
          <cell r="Q9234">
            <v>428.14727407859459</v>
          </cell>
        </row>
        <row r="9235">
          <cell r="Q9235">
            <v>-178.37831392371237</v>
          </cell>
        </row>
        <row r="9236">
          <cell r="Q9236">
            <v>1617.9319534423605</v>
          </cell>
        </row>
        <row r="9237">
          <cell r="Q9237">
            <v>1833.2736710474617</v>
          </cell>
        </row>
        <row r="9238">
          <cell r="Q9238">
            <v>691.45055461987886</v>
          </cell>
        </row>
        <row r="9239">
          <cell r="Q9239">
            <v>-1202.3655870992741</v>
          </cell>
        </row>
        <row r="9240">
          <cell r="Q9240">
            <v>-2545.38895238646</v>
          </cell>
        </row>
        <row r="9241">
          <cell r="Q9241">
            <v>147.49673813082333</v>
          </cell>
        </row>
        <row r="9242">
          <cell r="Q9242">
            <v>-1316.6223375267627</v>
          </cell>
        </row>
        <row r="9243">
          <cell r="Q9243">
            <v>2660.1800995220997</v>
          </cell>
        </row>
        <row r="9244">
          <cell r="Q9244">
            <v>-487.4149963462707</v>
          </cell>
        </row>
        <row r="9245">
          <cell r="Q9245">
            <v>-1276.7612797603224</v>
          </cell>
        </row>
        <row r="9246">
          <cell r="Q9246">
            <v>1342.6173096994232</v>
          </cell>
        </row>
        <row r="9247">
          <cell r="Q9247">
            <v>-568.03854484008957</v>
          </cell>
        </row>
        <row r="9248">
          <cell r="Q9248">
            <v>-3445.5466334474972</v>
          </cell>
        </row>
        <row r="9249">
          <cell r="Q9249">
            <v>-4282.9184495276786</v>
          </cell>
        </row>
        <row r="9250">
          <cell r="Q9250">
            <v>-22.516455712842173</v>
          </cell>
        </row>
        <row r="9251">
          <cell r="Q9251">
            <v>1062.6819216830597</v>
          </cell>
        </row>
        <row r="9252">
          <cell r="Q9252">
            <v>2142.6182645902027</v>
          </cell>
        </row>
        <row r="9253">
          <cell r="Q9253">
            <v>-1147.4254942538912</v>
          </cell>
        </row>
        <row r="9254">
          <cell r="Q9254">
            <v>1609.710639531912</v>
          </cell>
        </row>
        <row r="9255">
          <cell r="Q9255">
            <v>-3222.1760939427404</v>
          </cell>
        </row>
        <row r="9256">
          <cell r="Q9256">
            <v>2659.8833073712572</v>
          </cell>
        </row>
        <row r="9257">
          <cell r="Q9257">
            <v>1604.1447503059396</v>
          </cell>
        </row>
        <row r="9258">
          <cell r="Q9258">
            <v>-3319.1149695116105</v>
          </cell>
        </row>
        <row r="9259">
          <cell r="Q9259">
            <v>-1880.2009941564827</v>
          </cell>
        </row>
        <row r="9260">
          <cell r="Q9260">
            <v>-1393.4632233528757</v>
          </cell>
        </row>
        <row r="9261">
          <cell r="Q9261">
            <v>1704.5993165418049</v>
          </cell>
        </row>
        <row r="9262">
          <cell r="Q9262">
            <v>-329.35802085996346</v>
          </cell>
        </row>
        <row r="9263">
          <cell r="Q9263">
            <v>3251.2079340189125</v>
          </cell>
        </row>
        <row r="9264">
          <cell r="Q9264">
            <v>1823.7286371621165</v>
          </cell>
        </row>
        <row r="9265">
          <cell r="Q9265">
            <v>1378.780923306784</v>
          </cell>
        </row>
        <row r="9266">
          <cell r="Q9266">
            <v>-1872.7081991869511</v>
          </cell>
        </row>
        <row r="9267">
          <cell r="Q9267">
            <v>-2879.8300587105073</v>
          </cell>
        </row>
        <row r="9268">
          <cell r="Q9268">
            <v>3053.1453236475995</v>
          </cell>
        </row>
        <row r="9269">
          <cell r="Q9269">
            <v>1721.5930455086759</v>
          </cell>
        </row>
        <row r="9270">
          <cell r="Q9270">
            <v>1030.4829944738474</v>
          </cell>
        </row>
        <row r="9271">
          <cell r="Q9271">
            <v>1638.8211631853389</v>
          </cell>
        </row>
        <row r="9272">
          <cell r="Q9272">
            <v>5180.0720241217441</v>
          </cell>
        </row>
        <row r="9273">
          <cell r="Q9273">
            <v>-5033.1755098176454</v>
          </cell>
        </row>
        <row r="9274">
          <cell r="Q9274">
            <v>-1703.7574251112858</v>
          </cell>
        </row>
        <row r="9275">
          <cell r="Q9275">
            <v>-2091.6399415184455</v>
          </cell>
        </row>
        <row r="9276">
          <cell r="Q9276">
            <v>1655.9472448395318</v>
          </cell>
        </row>
        <row r="9277">
          <cell r="Q9277">
            <v>-975.54643215794113</v>
          </cell>
        </row>
        <row r="9278">
          <cell r="Q9278">
            <v>-332.77925793188632</v>
          </cell>
        </row>
        <row r="9279">
          <cell r="Q9279">
            <v>-2022.1188204665893</v>
          </cell>
        </row>
        <row r="9280">
          <cell r="Q9280">
            <v>-453.46570127996057</v>
          </cell>
        </row>
        <row r="9281">
          <cell r="Q9281">
            <v>-398.11428221626892</v>
          </cell>
        </row>
        <row r="9282">
          <cell r="Q9282">
            <v>-1559.5214376469128</v>
          </cell>
        </row>
        <row r="9283">
          <cell r="Q9283">
            <v>774.97545571457476</v>
          </cell>
        </row>
        <row r="9284">
          <cell r="Q9284">
            <v>-1277.3511800178896</v>
          </cell>
        </row>
        <row r="9285">
          <cell r="Q9285">
            <v>-2740.411290955155</v>
          </cell>
        </row>
        <row r="9286">
          <cell r="Q9286">
            <v>1450.3341001818965</v>
          </cell>
        </row>
        <row r="9287">
          <cell r="Q9287">
            <v>1423.4434868748215</v>
          </cell>
        </row>
        <row r="9288">
          <cell r="Q9288">
            <v>-1630.0778183005561</v>
          </cell>
        </row>
        <row r="9289">
          <cell r="Q9289">
            <v>6.8382178011829637</v>
          </cell>
        </row>
        <row r="9290">
          <cell r="Q9290">
            <v>-2190.9335071557448</v>
          </cell>
        </row>
        <row r="9291">
          <cell r="Q9291">
            <v>537.94542187391073</v>
          </cell>
        </row>
        <row r="9292">
          <cell r="Q9292">
            <v>2448.861350034826</v>
          </cell>
        </row>
        <row r="9293">
          <cell r="Q9293">
            <v>1191.2036880270925</v>
          </cell>
        </row>
        <row r="9294">
          <cell r="Q9294">
            <v>2955.8928253889258</v>
          </cell>
        </row>
        <row r="9295">
          <cell r="Q9295">
            <v>-2001.2741365514023</v>
          </cell>
        </row>
        <row r="9296">
          <cell r="Q9296">
            <v>418.30170100835011</v>
          </cell>
        </row>
        <row r="9297">
          <cell r="Q9297">
            <v>304.96599238066347</v>
          </cell>
        </row>
        <row r="9298">
          <cell r="Q9298">
            <v>1188.7762800164542</v>
          </cell>
        </row>
        <row r="9299">
          <cell r="Q9299">
            <v>-489.13331682859933</v>
          </cell>
        </row>
        <row r="9300">
          <cell r="Q9300">
            <v>754.77679813927682</v>
          </cell>
        </row>
        <row r="9301">
          <cell r="Q9301">
            <v>-2641.7193937687666</v>
          </cell>
        </row>
        <row r="9302">
          <cell r="Q9302">
            <v>1289.4099424474823</v>
          </cell>
        </row>
        <row r="9303">
          <cell r="Q9303">
            <v>-824.6922629265257</v>
          </cell>
        </row>
        <row r="9304">
          <cell r="Q9304">
            <v>108.75288856960691</v>
          </cell>
        </row>
        <row r="9305">
          <cell r="Q9305">
            <v>-1897.0441025820116</v>
          </cell>
        </row>
        <row r="9306">
          <cell r="Q9306">
            <v>-1098.1897313185273</v>
          </cell>
        </row>
        <row r="9307">
          <cell r="Q9307">
            <v>741.10778786517415</v>
          </cell>
        </row>
        <row r="9308">
          <cell r="Q9308">
            <v>-279.12926920364106</v>
          </cell>
        </row>
        <row r="9309">
          <cell r="Q9309">
            <v>-173.62208617906555</v>
          </cell>
        </row>
        <row r="9310">
          <cell r="Q9310">
            <v>3728.4722396283428</v>
          </cell>
        </row>
        <row r="9311">
          <cell r="Q9311">
            <v>1785.1447151159969</v>
          </cell>
        </row>
        <row r="9312">
          <cell r="Q9312">
            <v>584.10712909406209</v>
          </cell>
        </row>
        <row r="9313">
          <cell r="Q9313">
            <v>-1424.2296766919851</v>
          </cell>
        </row>
        <row r="9314">
          <cell r="Q9314">
            <v>-213.90722073745843</v>
          </cell>
        </row>
        <row r="9315">
          <cell r="Q9315">
            <v>2537.6410120141281</v>
          </cell>
        </row>
        <row r="9316">
          <cell r="Q9316">
            <v>63.16930374861073</v>
          </cell>
        </row>
        <row r="9317">
          <cell r="Q9317">
            <v>2652.8687480826306</v>
          </cell>
        </row>
        <row r="9318">
          <cell r="Q9318">
            <v>3847.5292083225436</v>
          </cell>
        </row>
        <row r="9319">
          <cell r="Q9319">
            <v>684.01566915506805</v>
          </cell>
        </row>
        <row r="9320">
          <cell r="Q9320">
            <v>636.16311417268662</v>
          </cell>
        </row>
        <row r="9321">
          <cell r="Q9321">
            <v>139.9482069490706</v>
          </cell>
        </row>
        <row r="9322">
          <cell r="Q9322">
            <v>-1497.7046240207228</v>
          </cell>
        </row>
        <row r="9323">
          <cell r="Q9323">
            <v>1567.3909791038523</v>
          </cell>
        </row>
        <row r="9324">
          <cell r="Q9324">
            <v>1388.2502565234631</v>
          </cell>
        </row>
        <row r="9325">
          <cell r="Q9325">
            <v>825.94456721738584</v>
          </cell>
        </row>
        <row r="9326">
          <cell r="Q9326">
            <v>2014.7959762155735</v>
          </cell>
        </row>
        <row r="9327">
          <cell r="Q9327">
            <v>-3606.6391585130959</v>
          </cell>
        </row>
        <row r="9328">
          <cell r="Q9328">
            <v>-830.05519228066578</v>
          </cell>
        </row>
        <row r="9329">
          <cell r="Q9329">
            <v>601.11274412507623</v>
          </cell>
        </row>
        <row r="9330">
          <cell r="Q9330">
            <v>863.79604466998205</v>
          </cell>
        </row>
        <row r="9331">
          <cell r="Q9331">
            <v>-2510.0094901129351</v>
          </cell>
        </row>
        <row r="9332">
          <cell r="Q9332">
            <v>-3327.3451062190884</v>
          </cell>
        </row>
        <row r="9333">
          <cell r="Q9333">
            <v>-1728.5922634495994</v>
          </cell>
        </row>
        <row r="9334">
          <cell r="Q9334">
            <v>-3027.1523599506927</v>
          </cell>
        </row>
        <row r="9335">
          <cell r="Q9335">
            <v>3149.2902141746695</v>
          </cell>
        </row>
        <row r="9336">
          <cell r="Q9336">
            <v>2151.3038424072929</v>
          </cell>
        </row>
        <row r="9337">
          <cell r="Q9337">
            <v>-1.6890596822879616</v>
          </cell>
        </row>
        <row r="9338">
          <cell r="Q9338">
            <v>2687.2939598179669</v>
          </cell>
        </row>
        <row r="9339">
          <cell r="Q9339">
            <v>294.46612108803595</v>
          </cell>
        </row>
        <row r="9340">
          <cell r="Q9340">
            <v>377.43109911690834</v>
          </cell>
        </row>
        <row r="9341">
          <cell r="Q9341">
            <v>3.2815084011321574</v>
          </cell>
        </row>
        <row r="9342">
          <cell r="Q9342">
            <v>-1000.1963432861667</v>
          </cell>
        </row>
        <row r="9343">
          <cell r="Q9343">
            <v>430.39227561140382</v>
          </cell>
        </row>
        <row r="9344">
          <cell r="Q9344">
            <v>879.12543726302044</v>
          </cell>
        </row>
        <row r="9345">
          <cell r="Q9345">
            <v>-417.12612427812604</v>
          </cell>
        </row>
        <row r="9346">
          <cell r="Q9346">
            <v>-2352.4558729570495</v>
          </cell>
        </row>
        <row r="9347">
          <cell r="Q9347">
            <v>530.5714198203865</v>
          </cell>
        </row>
        <row r="9348">
          <cell r="Q9348">
            <v>1564.8135617679814</v>
          </cell>
        </row>
        <row r="9349">
          <cell r="Q9349">
            <v>803.00994614300646</v>
          </cell>
        </row>
        <row r="9350">
          <cell r="Q9350">
            <v>206.8211517275883</v>
          </cell>
        </row>
        <row r="9351">
          <cell r="Q9351">
            <v>2473.8670405815401</v>
          </cell>
        </row>
        <row r="9352">
          <cell r="Q9352">
            <v>273.27963258223747</v>
          </cell>
        </row>
        <row r="9353">
          <cell r="Q9353">
            <v>607.93848793691575</v>
          </cell>
        </row>
        <row r="9354">
          <cell r="Q9354">
            <v>557.6922835924363</v>
          </cell>
        </row>
        <row r="9355">
          <cell r="Q9355">
            <v>-1240.2987008560301</v>
          </cell>
        </row>
        <row r="9356">
          <cell r="Q9356">
            <v>3170.4101496101853</v>
          </cell>
        </row>
        <row r="9357">
          <cell r="Q9357">
            <v>-1491.8007559084112</v>
          </cell>
        </row>
        <row r="9358">
          <cell r="Q9358">
            <v>1095.294709749063</v>
          </cell>
        </row>
        <row r="9359">
          <cell r="Q9359">
            <v>1827.1821926632797</v>
          </cell>
        </row>
        <row r="9360">
          <cell r="Q9360">
            <v>-2285.5149906295574</v>
          </cell>
        </row>
        <row r="9361">
          <cell r="Q9361">
            <v>1672.3882124173801</v>
          </cell>
        </row>
        <row r="9362">
          <cell r="Q9362">
            <v>780.6472344181193</v>
          </cell>
        </row>
        <row r="9363">
          <cell r="Q9363">
            <v>-852.17443507058329</v>
          </cell>
        </row>
        <row r="9364">
          <cell r="Q9364">
            <v>1954.758053619516</v>
          </cell>
        </row>
        <row r="9365">
          <cell r="Q9365">
            <v>2395.1187630741774</v>
          </cell>
        </row>
        <row r="9366">
          <cell r="Q9366">
            <v>-75.280645723782527</v>
          </cell>
        </row>
        <row r="9367">
          <cell r="Q9367">
            <v>3430.5212352705225</v>
          </cell>
        </row>
        <row r="9368">
          <cell r="Q9368">
            <v>1371.8285095660949</v>
          </cell>
        </row>
        <row r="9369">
          <cell r="Q9369">
            <v>-3871.3856885665746</v>
          </cell>
        </row>
        <row r="9370">
          <cell r="Q9370">
            <v>2455.303848227506</v>
          </cell>
        </row>
        <row r="9371">
          <cell r="Q9371">
            <v>-688.72414009201179</v>
          </cell>
        </row>
        <row r="9372">
          <cell r="Q9372">
            <v>-17.705641840736746</v>
          </cell>
        </row>
        <row r="9373">
          <cell r="Q9373">
            <v>710.40028007930709</v>
          </cell>
        </row>
        <row r="9374">
          <cell r="Q9374">
            <v>254.20883529424844</v>
          </cell>
        </row>
        <row r="9375">
          <cell r="Q9375">
            <v>2399.8991798454776</v>
          </cell>
        </row>
        <row r="9376">
          <cell r="Q9376">
            <v>1811.1258599446128</v>
          </cell>
        </row>
        <row r="9377">
          <cell r="Q9377">
            <v>-1455.053525095132</v>
          </cell>
        </row>
        <row r="9378">
          <cell r="Q9378">
            <v>550.70197391472345</v>
          </cell>
        </row>
        <row r="9379">
          <cell r="Q9379">
            <v>-209.99672784960802</v>
          </cell>
        </row>
        <row r="9380">
          <cell r="Q9380">
            <v>-1990.9222404610889</v>
          </cell>
        </row>
        <row r="9381">
          <cell r="Q9381">
            <v>2717.1926070060326</v>
          </cell>
        </row>
        <row r="9382">
          <cell r="Q9382">
            <v>-169.73032426345816</v>
          </cell>
        </row>
        <row r="9383">
          <cell r="Q9383">
            <v>455.28540270036285</v>
          </cell>
        </row>
        <row r="9384">
          <cell r="Q9384">
            <v>-659.3429178112001</v>
          </cell>
        </row>
        <row r="9385">
          <cell r="Q9385">
            <v>1063.9510067047174</v>
          </cell>
        </row>
        <row r="9386">
          <cell r="Q9386">
            <v>903.77428092408627</v>
          </cell>
        </row>
        <row r="9387">
          <cell r="Q9387">
            <v>72.144381433063415</v>
          </cell>
        </row>
        <row r="9388">
          <cell r="Q9388">
            <v>-1170.7563006323157</v>
          </cell>
        </row>
        <row r="9389">
          <cell r="Q9389">
            <v>-864.05315884691709</v>
          </cell>
        </row>
        <row r="9390">
          <cell r="Q9390">
            <v>575.02272496770092</v>
          </cell>
        </row>
        <row r="9391">
          <cell r="Q9391">
            <v>-6325.4851040952626</v>
          </cell>
        </row>
        <row r="9392">
          <cell r="Q9392">
            <v>-842.53793967514798</v>
          </cell>
        </row>
        <row r="9393">
          <cell r="Q9393">
            <v>1589.4444057579383</v>
          </cell>
        </row>
        <row r="9394">
          <cell r="Q9394">
            <v>-563.90363133354049</v>
          </cell>
        </row>
        <row r="9395">
          <cell r="Q9395">
            <v>58.475828759918443</v>
          </cell>
        </row>
        <row r="9396">
          <cell r="Q9396">
            <v>1144.2025020705914</v>
          </cell>
        </row>
        <row r="9397">
          <cell r="Q9397">
            <v>-228.35048613173495</v>
          </cell>
        </row>
        <row r="9398">
          <cell r="Q9398">
            <v>-1197.1393525291419</v>
          </cell>
        </row>
        <row r="9399">
          <cell r="Q9399">
            <v>1780.3584013997381</v>
          </cell>
        </row>
        <row r="9400">
          <cell r="Q9400">
            <v>1584.1329368665336</v>
          </cell>
        </row>
        <row r="9401">
          <cell r="Q9401">
            <v>327.65389680714577</v>
          </cell>
        </row>
        <row r="9402">
          <cell r="Q9402">
            <v>2433.7262985274806</v>
          </cell>
        </row>
        <row r="9403">
          <cell r="Q9403">
            <v>-950.63356310344943</v>
          </cell>
        </row>
        <row r="9404">
          <cell r="Q9404">
            <v>-1147.2095589029575</v>
          </cell>
        </row>
        <row r="9405">
          <cell r="Q9405">
            <v>-4396.7599905005227</v>
          </cell>
        </row>
        <row r="9406">
          <cell r="Q9406">
            <v>-1335.2031777534571</v>
          </cell>
        </row>
        <row r="9407">
          <cell r="Q9407">
            <v>-1859.5945643687967</v>
          </cell>
        </row>
        <row r="9408">
          <cell r="Q9408">
            <v>-2671.7091723939611</v>
          </cell>
        </row>
        <row r="9409">
          <cell r="Q9409">
            <v>1025.1208237534438</v>
          </cell>
        </row>
        <row r="9410">
          <cell r="Q9410">
            <v>-737.07944173619489</v>
          </cell>
        </row>
        <row r="9411">
          <cell r="Q9411">
            <v>248.78531702702978</v>
          </cell>
        </row>
        <row r="9412">
          <cell r="Q9412">
            <v>-1461.0374027608336</v>
          </cell>
        </row>
        <row r="9413">
          <cell r="Q9413">
            <v>-3227.9270618712244</v>
          </cell>
        </row>
        <row r="9414">
          <cell r="Q9414">
            <v>-541.38780543573807</v>
          </cell>
        </row>
        <row r="9415">
          <cell r="Q9415">
            <v>1836.7380843723608</v>
          </cell>
        </row>
        <row r="9416">
          <cell r="Q9416">
            <v>-2466.1723131726576</v>
          </cell>
        </row>
        <row r="9417">
          <cell r="Q9417">
            <v>2054.5520511020991</v>
          </cell>
        </row>
        <row r="9418">
          <cell r="Q9418">
            <v>289.74798623611184</v>
          </cell>
        </row>
        <row r="9419">
          <cell r="Q9419">
            <v>-2000.9046647526341</v>
          </cell>
        </row>
        <row r="9420">
          <cell r="Q9420">
            <v>1316.3930386463519</v>
          </cell>
        </row>
        <row r="9421">
          <cell r="Q9421">
            <v>-503.06728241666889</v>
          </cell>
        </row>
        <row r="9422">
          <cell r="Q9422">
            <v>3034.8668590185216</v>
          </cell>
        </row>
        <row r="9423">
          <cell r="Q9423">
            <v>2228.6637724091383</v>
          </cell>
        </row>
        <row r="9424">
          <cell r="Q9424">
            <v>-767.28319506473463</v>
          </cell>
        </row>
        <row r="9425">
          <cell r="Q9425">
            <v>-1478.7944135643884</v>
          </cell>
        </row>
        <row r="9426">
          <cell r="Q9426">
            <v>1710.1461239344712</v>
          </cell>
        </row>
        <row r="9427">
          <cell r="Q9427">
            <v>-1247.2004203966897</v>
          </cell>
        </row>
        <row r="9428">
          <cell r="Q9428">
            <v>1302.1674578516888</v>
          </cell>
        </row>
        <row r="9429">
          <cell r="Q9429">
            <v>-1738.0434842610309</v>
          </cell>
        </row>
        <row r="9430">
          <cell r="Q9430">
            <v>2156.6461665414745</v>
          </cell>
        </row>
        <row r="9431">
          <cell r="Q9431">
            <v>-2346.156654774547</v>
          </cell>
        </row>
        <row r="9432">
          <cell r="Q9432">
            <v>-806.49831588354255</v>
          </cell>
        </row>
        <row r="9433">
          <cell r="Q9433">
            <v>440.13570974794209</v>
          </cell>
        </row>
        <row r="9434">
          <cell r="Q9434">
            <v>-2403.3296562439277</v>
          </cell>
        </row>
        <row r="9435">
          <cell r="Q9435">
            <v>-420.76627723067912</v>
          </cell>
        </row>
        <row r="9436">
          <cell r="Q9436">
            <v>-1559.3676176717884</v>
          </cell>
        </row>
        <row r="9437">
          <cell r="Q9437">
            <v>3880.450020992389</v>
          </cell>
        </row>
        <row r="9438">
          <cell r="Q9438">
            <v>219.65286810259235</v>
          </cell>
        </row>
        <row r="9439">
          <cell r="Q9439">
            <v>844.39114707435749</v>
          </cell>
        </row>
        <row r="9440">
          <cell r="Q9440">
            <v>3683.1121025756088</v>
          </cell>
        </row>
        <row r="9441">
          <cell r="Q9441">
            <v>-1607.673803818893</v>
          </cell>
        </row>
        <row r="9442">
          <cell r="Q9442">
            <v>2355.5492424828262</v>
          </cell>
        </row>
        <row r="9443">
          <cell r="Q9443">
            <v>2318.5146506606352</v>
          </cell>
        </row>
        <row r="9444">
          <cell r="Q9444">
            <v>3194.5364486466174</v>
          </cell>
        </row>
        <row r="9445">
          <cell r="Q9445">
            <v>1942.9236161075535</v>
          </cell>
        </row>
        <row r="9446">
          <cell r="Q9446">
            <v>-2113.0845544302088</v>
          </cell>
        </row>
        <row r="9447">
          <cell r="Q9447">
            <v>1055.5778104652757</v>
          </cell>
        </row>
        <row r="9448">
          <cell r="Q9448">
            <v>4202.7198280651064</v>
          </cell>
        </row>
        <row r="9449">
          <cell r="Q9449">
            <v>1133.3886967018427</v>
          </cell>
        </row>
        <row r="9450">
          <cell r="Q9450">
            <v>1190.6597989290062</v>
          </cell>
        </row>
        <row r="9451">
          <cell r="Q9451">
            <v>-903.07039412114477</v>
          </cell>
        </row>
        <row r="9452">
          <cell r="Q9452">
            <v>-2955.9718646663569</v>
          </cell>
        </row>
        <row r="9453">
          <cell r="Q9453">
            <v>-3196.3104056971397</v>
          </cell>
        </row>
        <row r="9454">
          <cell r="Q9454">
            <v>125.40976307889275</v>
          </cell>
        </row>
        <row r="9455">
          <cell r="Q9455">
            <v>-1069.1345502008128</v>
          </cell>
        </row>
        <row r="9456">
          <cell r="Q9456">
            <v>-360.67097901162907</v>
          </cell>
        </row>
        <row r="9457">
          <cell r="Q9457">
            <v>3690.1097261163113</v>
          </cell>
        </row>
        <row r="9458">
          <cell r="Q9458">
            <v>1241.8524057872046</v>
          </cell>
        </row>
        <row r="9459">
          <cell r="Q9459">
            <v>-1474.0318189038373</v>
          </cell>
        </row>
        <row r="9460">
          <cell r="Q9460">
            <v>2160.8711385989</v>
          </cell>
        </row>
        <row r="9461">
          <cell r="Q9461">
            <v>1457.5877961417566</v>
          </cell>
        </row>
        <row r="9462">
          <cell r="Q9462">
            <v>466.58355871140509</v>
          </cell>
        </row>
        <row r="9463">
          <cell r="Q9463">
            <v>-1712.995509592108</v>
          </cell>
        </row>
        <row r="9464">
          <cell r="Q9464">
            <v>712.31535964456998</v>
          </cell>
        </row>
        <row r="9465">
          <cell r="Q9465">
            <v>-492.06108886033536</v>
          </cell>
        </row>
        <row r="9466">
          <cell r="Q9466">
            <v>-836.71206858012738</v>
          </cell>
        </row>
        <row r="9467">
          <cell r="Q9467">
            <v>-5075.0790880352924</v>
          </cell>
        </row>
        <row r="9468">
          <cell r="Q9468">
            <v>-78.810183960579366</v>
          </cell>
        </row>
        <row r="9469">
          <cell r="Q9469">
            <v>3212.5417099093979</v>
          </cell>
        </row>
        <row r="9470">
          <cell r="Q9470">
            <v>2076.9987815337877</v>
          </cell>
        </row>
        <row r="9471">
          <cell r="Q9471">
            <v>-127.89198114422294</v>
          </cell>
        </row>
        <row r="9472">
          <cell r="Q9472">
            <v>-985.07659472255909</v>
          </cell>
        </row>
        <row r="9473">
          <cell r="Q9473">
            <v>-975.75522149606263</v>
          </cell>
        </row>
        <row r="9474">
          <cell r="Q9474">
            <v>906.31491781358943</v>
          </cell>
        </row>
        <row r="9475">
          <cell r="Q9475">
            <v>6789.8863867081582</v>
          </cell>
        </row>
        <row r="9476">
          <cell r="Q9476">
            <v>497.44277677987225</v>
          </cell>
        </row>
        <row r="9477">
          <cell r="Q9477">
            <v>3677.6459329214094</v>
          </cell>
        </row>
        <row r="9478">
          <cell r="Q9478">
            <v>-1214.5669361497182</v>
          </cell>
        </row>
        <row r="9479">
          <cell r="Q9479">
            <v>-1052.9945689512508</v>
          </cell>
        </row>
        <row r="9480">
          <cell r="Q9480">
            <v>-686.82748427067554</v>
          </cell>
        </row>
        <row r="9481">
          <cell r="Q9481">
            <v>3690.9852743297556</v>
          </cell>
        </row>
        <row r="9482">
          <cell r="Q9482">
            <v>1619.7309098083915</v>
          </cell>
        </row>
        <row r="9483">
          <cell r="Q9483">
            <v>-2519.8499974194538</v>
          </cell>
        </row>
        <row r="9484">
          <cell r="Q9484">
            <v>-3415.5381464798011</v>
          </cell>
        </row>
        <row r="9485">
          <cell r="Q9485">
            <v>915.29088310986867</v>
          </cell>
        </row>
        <row r="9486">
          <cell r="Q9486">
            <v>-338.31611676702829</v>
          </cell>
        </row>
        <row r="9487">
          <cell r="Q9487">
            <v>-2325.3618205289067</v>
          </cell>
        </row>
        <row r="9488">
          <cell r="Q9488">
            <v>2029.0684793309258</v>
          </cell>
        </row>
        <row r="9489">
          <cell r="Q9489">
            <v>302.2352772831232</v>
          </cell>
        </row>
        <row r="9490">
          <cell r="Q9490">
            <v>-3122.1287878507383</v>
          </cell>
        </row>
        <row r="9491">
          <cell r="Q9491">
            <v>-1280.1215152566044</v>
          </cell>
        </row>
        <row r="9492">
          <cell r="Q9492">
            <v>702.00189242856834</v>
          </cell>
        </row>
        <row r="9493">
          <cell r="Q9493">
            <v>-2763.3354692604598</v>
          </cell>
        </row>
        <row r="9494">
          <cell r="Q9494">
            <v>1111.8110369894157</v>
          </cell>
        </row>
        <row r="9495">
          <cell r="Q9495">
            <v>2858.920743037268</v>
          </cell>
        </row>
        <row r="9496">
          <cell r="Q9496">
            <v>-763.35553269168895</v>
          </cell>
        </row>
        <row r="9497">
          <cell r="Q9497">
            <v>2780.1568214772947</v>
          </cell>
        </row>
        <row r="9498">
          <cell r="Q9498">
            <v>327.05261437207082</v>
          </cell>
        </row>
        <row r="9499">
          <cell r="Q9499">
            <v>2654.8946691924034</v>
          </cell>
        </row>
        <row r="9500">
          <cell r="Q9500">
            <v>1688.9407655231048</v>
          </cell>
        </row>
        <row r="9501">
          <cell r="Q9501">
            <v>571.54379413696711</v>
          </cell>
        </row>
        <row r="9502">
          <cell r="Q9502">
            <v>-1711.346707394561</v>
          </cell>
        </row>
        <row r="9503">
          <cell r="Q9503">
            <v>1947.8381753419674</v>
          </cell>
        </row>
        <row r="9504">
          <cell r="Q9504">
            <v>-791.80023483200694</v>
          </cell>
        </row>
        <row r="9505">
          <cell r="Q9505">
            <v>-1211.0728161753971</v>
          </cell>
        </row>
        <row r="9506">
          <cell r="Q9506">
            <v>3550.5817816702479</v>
          </cell>
        </row>
        <row r="9507">
          <cell r="Q9507">
            <v>-2244.9577551374714</v>
          </cell>
        </row>
        <row r="9508">
          <cell r="Q9508">
            <v>3632.5331480989612</v>
          </cell>
        </row>
        <row r="9509">
          <cell r="Q9509">
            <v>1845.4608677712138</v>
          </cell>
        </row>
        <row r="9510">
          <cell r="Q9510">
            <v>-556.24561869395779</v>
          </cell>
        </row>
        <row r="9511">
          <cell r="Q9511">
            <v>-77.804371600391562</v>
          </cell>
        </row>
        <row r="9512">
          <cell r="Q9512">
            <v>3074.936972751711</v>
          </cell>
        </row>
        <row r="9513">
          <cell r="Q9513">
            <v>-1586.7870865888872</v>
          </cell>
        </row>
        <row r="9514">
          <cell r="Q9514">
            <v>-717.54204625761872</v>
          </cell>
        </row>
        <row r="9515">
          <cell r="Q9515">
            <v>-647.15674308791699</v>
          </cell>
        </row>
        <row r="9516">
          <cell r="Q9516">
            <v>308.86068195525507</v>
          </cell>
        </row>
        <row r="9517">
          <cell r="Q9517">
            <v>2508.834953112239</v>
          </cell>
        </row>
        <row r="9518">
          <cell r="Q9518">
            <v>-1662.9250037211089</v>
          </cell>
        </row>
        <row r="9519">
          <cell r="Q9519">
            <v>-59.080745007634732</v>
          </cell>
        </row>
        <row r="9520">
          <cell r="Q9520">
            <v>114.39224867643492</v>
          </cell>
        </row>
        <row r="9521">
          <cell r="Q9521">
            <v>3757.2578267105437</v>
          </cell>
        </row>
        <row r="9522">
          <cell r="Q9522">
            <v>341.5096923968992</v>
          </cell>
        </row>
        <row r="9523">
          <cell r="Q9523">
            <v>2186.6791943208714</v>
          </cell>
        </row>
        <row r="9524">
          <cell r="Q9524">
            <v>-689.77706335038488</v>
          </cell>
        </row>
        <row r="9525">
          <cell r="Q9525">
            <v>995.32209017062019</v>
          </cell>
        </row>
        <row r="9526">
          <cell r="Q9526">
            <v>-524.49924814072233</v>
          </cell>
        </row>
        <row r="9527">
          <cell r="Q9527">
            <v>-886.11712748696596</v>
          </cell>
        </row>
        <row r="9528">
          <cell r="Q9528">
            <v>1463.6853143259777</v>
          </cell>
        </row>
        <row r="9529">
          <cell r="Q9529">
            <v>294.17127427062042</v>
          </cell>
        </row>
        <row r="9530">
          <cell r="Q9530">
            <v>132.20680959896629</v>
          </cell>
        </row>
        <row r="9531">
          <cell r="Q9531">
            <v>-1224.3542998145301</v>
          </cell>
        </row>
        <row r="9532">
          <cell r="Q9532">
            <v>294.10809140687513</v>
          </cell>
        </row>
        <row r="9533">
          <cell r="Q9533">
            <v>437.6719468204214</v>
          </cell>
        </row>
        <row r="9534">
          <cell r="Q9534">
            <v>-1240.0171366928378</v>
          </cell>
        </row>
        <row r="9535">
          <cell r="Q9535">
            <v>1496.9767699963265</v>
          </cell>
        </row>
        <row r="9536">
          <cell r="Q9536">
            <v>-869.70806935849328</v>
          </cell>
        </row>
        <row r="9537">
          <cell r="Q9537">
            <v>282.77902271939723</v>
          </cell>
        </row>
        <row r="9538">
          <cell r="Q9538">
            <v>2853.663860246912</v>
          </cell>
        </row>
        <row r="9539">
          <cell r="Q9539">
            <v>603.90222412155822</v>
          </cell>
        </row>
        <row r="9540">
          <cell r="Q9540">
            <v>-3214.245087659378</v>
          </cell>
        </row>
        <row r="9541">
          <cell r="Q9541">
            <v>992.33547941399138</v>
          </cell>
        </row>
        <row r="9542">
          <cell r="Q9542">
            <v>-2237.8963435609603</v>
          </cell>
        </row>
        <row r="9543">
          <cell r="Q9543">
            <v>2933.5028794059003</v>
          </cell>
        </row>
        <row r="9544">
          <cell r="Q9544">
            <v>2441.7012951183347</v>
          </cell>
        </row>
        <row r="9545">
          <cell r="Q9545">
            <v>788.85973943843703</v>
          </cell>
        </row>
        <row r="9546">
          <cell r="Q9546">
            <v>5.3487840422233717</v>
          </cell>
        </row>
        <row r="9547">
          <cell r="Q9547">
            <v>7175.1181045737494</v>
          </cell>
        </row>
        <row r="9548">
          <cell r="Q9548">
            <v>1026.2354830783286</v>
          </cell>
        </row>
        <row r="9549">
          <cell r="Q9549">
            <v>-766.40546329489098</v>
          </cell>
        </row>
        <row r="9550">
          <cell r="Q9550">
            <v>1180.1939635072283</v>
          </cell>
        </row>
        <row r="9551">
          <cell r="Q9551">
            <v>-1087.526777797704</v>
          </cell>
        </row>
        <row r="9552">
          <cell r="Q9552">
            <v>1143.2228618650092</v>
          </cell>
        </row>
        <row r="9553">
          <cell r="Q9553">
            <v>-45.102441560407499</v>
          </cell>
        </row>
        <row r="9554">
          <cell r="Q9554">
            <v>-2186.3769617179164</v>
          </cell>
        </row>
        <row r="9555">
          <cell r="Q9555">
            <v>2469.8184067617008</v>
          </cell>
        </row>
        <row r="9556">
          <cell r="Q9556">
            <v>519.57939919438309</v>
          </cell>
        </row>
        <row r="9557">
          <cell r="Q9557">
            <v>-2012.9982215560151</v>
          </cell>
        </row>
        <row r="9558">
          <cell r="Q9558">
            <v>680.29983139071874</v>
          </cell>
        </row>
        <row r="9559">
          <cell r="Q9559">
            <v>2078.0538578800524</v>
          </cell>
        </row>
        <row r="9560">
          <cell r="Q9560">
            <v>447.60734076160759</v>
          </cell>
        </row>
        <row r="9561">
          <cell r="Q9561">
            <v>-1019.2488521807368</v>
          </cell>
        </row>
        <row r="9562">
          <cell r="Q9562">
            <v>1953.3269617031865</v>
          </cell>
        </row>
        <row r="9563">
          <cell r="Q9563">
            <v>1537.5086296197235</v>
          </cell>
        </row>
        <row r="9564">
          <cell r="Q9564">
            <v>-679.93075354564758</v>
          </cell>
        </row>
        <row r="9565">
          <cell r="Q9565">
            <v>1592.3933713785798</v>
          </cell>
        </row>
        <row r="9566">
          <cell r="Q9566">
            <v>2785.0561411443609</v>
          </cell>
        </row>
        <row r="9567">
          <cell r="Q9567">
            <v>-3342.4602051826191</v>
          </cell>
        </row>
        <row r="9568">
          <cell r="Q9568">
            <v>-1423.7998245050298</v>
          </cell>
        </row>
        <row r="9569">
          <cell r="Q9569">
            <v>-2222.7776943603039</v>
          </cell>
        </row>
        <row r="9570">
          <cell r="Q9570">
            <v>3615.3216636169286</v>
          </cell>
        </row>
        <row r="9571">
          <cell r="Q9571">
            <v>-1309.9026133854686</v>
          </cell>
        </row>
        <row r="9572">
          <cell r="Q9572">
            <v>-937.65252562546402</v>
          </cell>
        </row>
        <row r="9573">
          <cell r="Q9573">
            <v>2780.1739301962343</v>
          </cell>
        </row>
        <row r="9574">
          <cell r="Q9574">
            <v>794.13477870684233</v>
          </cell>
        </row>
        <row r="9575">
          <cell r="Q9575">
            <v>-1708.0379256059334</v>
          </cell>
        </row>
        <row r="9576">
          <cell r="Q9576">
            <v>485.4572057641891</v>
          </cell>
        </row>
        <row r="9577">
          <cell r="Q9577">
            <v>756.19716242093909</v>
          </cell>
        </row>
        <row r="9578">
          <cell r="Q9578">
            <v>-521.2800959263102</v>
          </cell>
        </row>
        <row r="9579">
          <cell r="Q9579">
            <v>-2983.1530933341273</v>
          </cell>
        </row>
        <row r="9580">
          <cell r="Q9580">
            <v>1441.1443514758362</v>
          </cell>
        </row>
        <row r="9581">
          <cell r="Q9581">
            <v>-1136.2803616403232</v>
          </cell>
        </row>
        <row r="9582">
          <cell r="Q9582">
            <v>228.31204522064266</v>
          </cell>
        </row>
        <row r="9583">
          <cell r="Q9583">
            <v>-1223.6764321791438</v>
          </cell>
        </row>
        <row r="9584">
          <cell r="Q9584">
            <v>5369.3851918194168</v>
          </cell>
        </row>
        <row r="9585">
          <cell r="Q9585">
            <v>717.11289445575085</v>
          </cell>
        </row>
        <row r="9586">
          <cell r="Q9586">
            <v>-739.7339667031888</v>
          </cell>
        </row>
        <row r="9587">
          <cell r="Q9587">
            <v>1406.5479241999608</v>
          </cell>
        </row>
        <row r="9588">
          <cell r="Q9588">
            <v>1232.1945955666517</v>
          </cell>
        </row>
        <row r="9589">
          <cell r="Q9589">
            <v>1828.7519815446969</v>
          </cell>
        </row>
        <row r="9590">
          <cell r="Q9590">
            <v>-2387.3093138137201</v>
          </cell>
        </row>
        <row r="9591">
          <cell r="Q9591">
            <v>-805.48806737794189</v>
          </cell>
        </row>
        <row r="9592">
          <cell r="Q9592">
            <v>932.5844931433935</v>
          </cell>
        </row>
        <row r="9593">
          <cell r="Q9593">
            <v>2108.5772764581156</v>
          </cell>
        </row>
        <row r="9594">
          <cell r="Q9594">
            <v>-147.03830839206245</v>
          </cell>
        </row>
        <row r="9595">
          <cell r="Q9595">
            <v>-84.882983915754892</v>
          </cell>
        </row>
        <row r="9596">
          <cell r="Q9596">
            <v>1217.3537081188078</v>
          </cell>
        </row>
        <row r="9597">
          <cell r="Q9597">
            <v>-1956.4618533182577</v>
          </cell>
        </row>
        <row r="9598">
          <cell r="Q9598">
            <v>-1096.7400248826871</v>
          </cell>
        </row>
        <row r="9599">
          <cell r="Q9599">
            <v>1665.8952927630742</v>
          </cell>
        </row>
        <row r="9600">
          <cell r="Q9600">
            <v>2395.1282291073999</v>
          </cell>
        </row>
        <row r="9601">
          <cell r="Q9601">
            <v>660.97877175244594</v>
          </cell>
        </row>
        <row r="9602">
          <cell r="Q9602">
            <v>1839.6934626589436</v>
          </cell>
        </row>
        <row r="9603">
          <cell r="Q9603">
            <v>2494.4980661861232</v>
          </cell>
        </row>
        <row r="9604">
          <cell r="Q9604">
            <v>2579.9879840719605</v>
          </cell>
        </row>
        <row r="9605">
          <cell r="Q9605">
            <v>-2801.9598207355648</v>
          </cell>
        </row>
        <row r="9606">
          <cell r="Q9606">
            <v>1770.1033041033588</v>
          </cell>
        </row>
        <row r="9607">
          <cell r="Q9607">
            <v>908.34865036513224</v>
          </cell>
        </row>
        <row r="9608">
          <cell r="Q9608">
            <v>1877.8715662712837</v>
          </cell>
        </row>
        <row r="9609">
          <cell r="Q9609">
            <v>336.4187457133267</v>
          </cell>
        </row>
        <row r="9610">
          <cell r="Q9610">
            <v>-3401.1746051416349</v>
          </cell>
        </row>
        <row r="9611">
          <cell r="Q9611">
            <v>3627.5911642036745</v>
          </cell>
        </row>
        <row r="9612">
          <cell r="Q9612">
            <v>-3159.4191553476362</v>
          </cell>
        </row>
        <row r="9613">
          <cell r="Q9613">
            <v>238.58473110046344</v>
          </cell>
        </row>
        <row r="9614">
          <cell r="Q9614">
            <v>907.6013484945172</v>
          </cell>
        </row>
        <row r="9615">
          <cell r="Q9615">
            <v>590.76138640565262</v>
          </cell>
        </row>
        <row r="9616">
          <cell r="Q9616">
            <v>-706.91473267115975</v>
          </cell>
        </row>
        <row r="9617">
          <cell r="Q9617">
            <v>-1156.6077272579091</v>
          </cell>
        </row>
        <row r="9618">
          <cell r="Q9618">
            <v>204.2339816501561</v>
          </cell>
        </row>
        <row r="9619">
          <cell r="Q9619">
            <v>-2965.362110269125</v>
          </cell>
        </row>
        <row r="9620">
          <cell r="Q9620">
            <v>-479.33835767602358</v>
          </cell>
        </row>
        <row r="9621">
          <cell r="Q9621">
            <v>1129.7628359637449</v>
          </cell>
        </row>
        <row r="9622">
          <cell r="Q9622">
            <v>1376.3692998373485</v>
          </cell>
        </row>
        <row r="9623">
          <cell r="Q9623">
            <v>931.34167479130565</v>
          </cell>
        </row>
        <row r="9624">
          <cell r="Q9624">
            <v>1983.2369245025416</v>
          </cell>
        </row>
        <row r="9625">
          <cell r="Q9625">
            <v>-1613.4206949092807</v>
          </cell>
        </row>
        <row r="9626">
          <cell r="Q9626">
            <v>1073.9329124387382</v>
          </cell>
        </row>
        <row r="9627">
          <cell r="Q9627">
            <v>479.3482573959979</v>
          </cell>
        </row>
        <row r="9628">
          <cell r="Q9628">
            <v>494.53530769838972</v>
          </cell>
        </row>
        <row r="9629">
          <cell r="Q9629">
            <v>1817.552294891196</v>
          </cell>
        </row>
        <row r="9630">
          <cell r="Q9630">
            <v>47.23687649106887</v>
          </cell>
        </row>
        <row r="9631">
          <cell r="Q9631">
            <v>388.44680210213807</v>
          </cell>
        </row>
        <row r="9632">
          <cell r="Q9632">
            <v>1798.5108679551197</v>
          </cell>
        </row>
        <row r="9633">
          <cell r="Q9633">
            <v>291.76763312300972</v>
          </cell>
        </row>
        <row r="9634">
          <cell r="Q9634">
            <v>-1955.7608197357488</v>
          </cell>
        </row>
        <row r="9635">
          <cell r="Q9635">
            <v>-1492.6353086027898</v>
          </cell>
        </row>
        <row r="9636">
          <cell r="Q9636">
            <v>-2015.7979277107086</v>
          </cell>
        </row>
        <row r="9637">
          <cell r="Q9637">
            <v>-508.71505476932549</v>
          </cell>
        </row>
        <row r="9638">
          <cell r="Q9638">
            <v>-3217.8025104820499</v>
          </cell>
        </row>
        <row r="9639">
          <cell r="Q9639">
            <v>430.22802198368851</v>
          </cell>
        </row>
        <row r="9640">
          <cell r="Q9640">
            <v>-1801.7765827723549</v>
          </cell>
        </row>
        <row r="9641">
          <cell r="Q9641">
            <v>-495.58275054303505</v>
          </cell>
        </row>
        <row r="9642">
          <cell r="Q9642">
            <v>3057.4215434324087</v>
          </cell>
        </row>
        <row r="9643">
          <cell r="Q9643">
            <v>-188.81206294936607</v>
          </cell>
        </row>
        <row r="9644">
          <cell r="Q9644">
            <v>-868.43520947006709</v>
          </cell>
        </row>
        <row r="9645">
          <cell r="Q9645">
            <v>3118.9549274000401</v>
          </cell>
        </row>
        <row r="9646">
          <cell r="Q9646">
            <v>-2906.5041323321439</v>
          </cell>
        </row>
        <row r="9647">
          <cell r="Q9647">
            <v>2522.2555086636098</v>
          </cell>
        </row>
        <row r="9648">
          <cell r="Q9648">
            <v>1600.0921080977623</v>
          </cell>
        </row>
        <row r="9649">
          <cell r="Q9649">
            <v>5790.8786815291596</v>
          </cell>
        </row>
        <row r="9650">
          <cell r="Q9650">
            <v>-1305.8210860477934</v>
          </cell>
        </row>
        <row r="9651">
          <cell r="Q9651">
            <v>3049.0226501463931</v>
          </cell>
        </row>
        <row r="9652">
          <cell r="Q9652">
            <v>-4191.166037449575</v>
          </cell>
        </row>
        <row r="9653">
          <cell r="Q9653">
            <v>1969.6620098928684</v>
          </cell>
        </row>
        <row r="9654">
          <cell r="Q9654">
            <v>985.27587822910095</v>
          </cell>
        </row>
        <row r="9655">
          <cell r="Q9655">
            <v>-203.13556178671143</v>
          </cell>
        </row>
        <row r="9656">
          <cell r="Q9656">
            <v>1637.4797684170317</v>
          </cell>
        </row>
        <row r="9657">
          <cell r="Q9657">
            <v>-2618.0851443109054</v>
          </cell>
        </row>
        <row r="9658">
          <cell r="Q9658">
            <v>1635.981922423292</v>
          </cell>
        </row>
        <row r="9659">
          <cell r="Q9659">
            <v>740.39065817719199</v>
          </cell>
        </row>
        <row r="9660">
          <cell r="Q9660">
            <v>-893.97224498922537</v>
          </cell>
        </row>
        <row r="9661">
          <cell r="Q9661">
            <v>936.00760720886569</v>
          </cell>
        </row>
        <row r="9662">
          <cell r="Q9662">
            <v>2329.4530714437319</v>
          </cell>
        </row>
        <row r="9663">
          <cell r="Q9663">
            <v>1992.4244324486192</v>
          </cell>
        </row>
        <row r="9664">
          <cell r="Q9664">
            <v>509.24436842477024</v>
          </cell>
        </row>
        <row r="9665">
          <cell r="Q9665">
            <v>-1986.8223250088515</v>
          </cell>
        </row>
        <row r="9666">
          <cell r="Q9666">
            <v>974.10041564999892</v>
          </cell>
        </row>
        <row r="9667">
          <cell r="Q9667">
            <v>216.59615478972955</v>
          </cell>
        </row>
        <row r="9668">
          <cell r="Q9668">
            <v>1775.6927055044055</v>
          </cell>
        </row>
        <row r="9669">
          <cell r="Q9669">
            <v>1492.3899483084297</v>
          </cell>
        </row>
        <row r="9670">
          <cell r="Q9670">
            <v>299.63337165463423</v>
          </cell>
        </row>
        <row r="9671">
          <cell r="Q9671">
            <v>848.28902018197755</v>
          </cell>
        </row>
        <row r="9672">
          <cell r="Q9672">
            <v>948.22058837609507</v>
          </cell>
        </row>
        <row r="9673">
          <cell r="Q9673">
            <v>1130.7080482824174</v>
          </cell>
        </row>
        <row r="9674">
          <cell r="Q9674">
            <v>1484.1890658638063</v>
          </cell>
        </row>
        <row r="9675">
          <cell r="Q9675">
            <v>1789.837940966532</v>
          </cell>
        </row>
        <row r="9676">
          <cell r="Q9676">
            <v>2493.3251790113973</v>
          </cell>
        </row>
        <row r="9677">
          <cell r="Q9677">
            <v>1160.6016259163994</v>
          </cell>
        </row>
        <row r="9678">
          <cell r="Q9678">
            <v>5547.8993053756731</v>
          </cell>
        </row>
        <row r="9679">
          <cell r="Q9679">
            <v>-542.44007392144204</v>
          </cell>
        </row>
        <row r="9680">
          <cell r="Q9680">
            <v>-3992.9139376804596</v>
          </cell>
        </row>
        <row r="9681">
          <cell r="Q9681">
            <v>-311.573469680453</v>
          </cell>
        </row>
        <row r="9682">
          <cell r="Q9682">
            <v>1661.4100543388276</v>
          </cell>
        </row>
        <row r="9683">
          <cell r="Q9683">
            <v>4462.9963510575835</v>
          </cell>
        </row>
        <row r="9684">
          <cell r="Q9684">
            <v>2474.0442325174167</v>
          </cell>
        </row>
        <row r="9685">
          <cell r="Q9685">
            <v>-2062.2982669464395</v>
          </cell>
        </row>
        <row r="9686">
          <cell r="Q9686">
            <v>-2260.3198627550246</v>
          </cell>
        </row>
        <row r="9687">
          <cell r="Q9687">
            <v>-700.88701996956661</v>
          </cell>
        </row>
        <row r="9688">
          <cell r="Q9688">
            <v>145.54309741962055</v>
          </cell>
        </row>
        <row r="9689">
          <cell r="Q9689">
            <v>751.00354264138696</v>
          </cell>
        </row>
        <row r="9690">
          <cell r="Q9690">
            <v>-3516.4875866490884</v>
          </cell>
        </row>
        <row r="9691">
          <cell r="Q9691">
            <v>-2912.7471780069836</v>
          </cell>
        </row>
        <row r="9692">
          <cell r="Q9692">
            <v>979.01598350467521</v>
          </cell>
        </row>
        <row r="9693">
          <cell r="Q9693">
            <v>-3031.8451105206332</v>
          </cell>
        </row>
        <row r="9694">
          <cell r="Q9694">
            <v>-894.75904717940261</v>
          </cell>
        </row>
        <row r="9695">
          <cell r="Q9695">
            <v>-1188.6438378244627</v>
          </cell>
        </row>
        <row r="9696">
          <cell r="Q9696">
            <v>1624.8937342828808</v>
          </cell>
        </row>
        <row r="9697">
          <cell r="Q9697">
            <v>5167.8352744436734</v>
          </cell>
        </row>
        <row r="9698">
          <cell r="Q9698">
            <v>-2145.0863788574829</v>
          </cell>
        </row>
        <row r="9699">
          <cell r="Q9699">
            <v>2938.5659687836305</v>
          </cell>
        </row>
        <row r="9700">
          <cell r="Q9700">
            <v>1988.8614297574622</v>
          </cell>
        </row>
        <row r="9701">
          <cell r="Q9701">
            <v>1111.552608021238</v>
          </cell>
        </row>
        <row r="9702">
          <cell r="Q9702">
            <v>-1386.5825988083971</v>
          </cell>
        </row>
        <row r="9703">
          <cell r="Q9703">
            <v>149.54612359931457</v>
          </cell>
        </row>
        <row r="9704">
          <cell r="Q9704">
            <v>3465.1430741654435</v>
          </cell>
        </row>
        <row r="9705">
          <cell r="Q9705">
            <v>1526.6601075844271</v>
          </cell>
        </row>
        <row r="9706">
          <cell r="Q9706">
            <v>1082.2034800935587</v>
          </cell>
        </row>
        <row r="9707">
          <cell r="Q9707">
            <v>-372.6310546654035</v>
          </cell>
        </row>
        <row r="9708">
          <cell r="Q9708">
            <v>-128.56893474013094</v>
          </cell>
        </row>
        <row r="9709">
          <cell r="Q9709">
            <v>4596.0686975206472</v>
          </cell>
        </row>
        <row r="9710">
          <cell r="Q9710">
            <v>1933.8271867254905</v>
          </cell>
        </row>
        <row r="9711">
          <cell r="Q9711">
            <v>1070.7348131907504</v>
          </cell>
        </row>
        <row r="9712">
          <cell r="Q9712">
            <v>4953.6912825995614</v>
          </cell>
        </row>
        <row r="9713">
          <cell r="Q9713">
            <v>-170.42281952521176</v>
          </cell>
        </row>
        <row r="9714">
          <cell r="Q9714">
            <v>-3209.4968817047807</v>
          </cell>
        </row>
        <row r="9715">
          <cell r="Q9715">
            <v>-361.02965373934177</v>
          </cell>
        </row>
        <row r="9716">
          <cell r="Q9716">
            <v>2086.3687806979256</v>
          </cell>
        </row>
        <row r="9717">
          <cell r="Q9717">
            <v>2102.9459502370573</v>
          </cell>
        </row>
        <row r="9718">
          <cell r="Q9718">
            <v>386.87136094477455</v>
          </cell>
        </row>
        <row r="9719">
          <cell r="Q9719">
            <v>2931.2055566153253</v>
          </cell>
        </row>
        <row r="9720">
          <cell r="Q9720">
            <v>2744.8103200936062</v>
          </cell>
        </row>
        <row r="9721">
          <cell r="Q9721">
            <v>727.58862935938191</v>
          </cell>
        </row>
        <row r="9722">
          <cell r="Q9722">
            <v>-2654.0703863064982</v>
          </cell>
        </row>
        <row r="9723">
          <cell r="Q9723">
            <v>188.17526051959652</v>
          </cell>
        </row>
        <row r="9724">
          <cell r="Q9724">
            <v>-117.25798582446549</v>
          </cell>
        </row>
        <row r="9725">
          <cell r="Q9725">
            <v>634.42925477767574</v>
          </cell>
        </row>
        <row r="9726">
          <cell r="Q9726">
            <v>-3154.9953750498648</v>
          </cell>
        </row>
        <row r="9727">
          <cell r="Q9727">
            <v>-1583.2426882043449</v>
          </cell>
        </row>
        <row r="9728">
          <cell r="Q9728">
            <v>-644.42423265089883</v>
          </cell>
        </row>
        <row r="9729">
          <cell r="Q9729">
            <v>874.39338268208712</v>
          </cell>
        </row>
        <row r="9730">
          <cell r="Q9730">
            <v>-1520.0693455264234</v>
          </cell>
        </row>
        <row r="9731">
          <cell r="Q9731">
            <v>1575.4977596996264</v>
          </cell>
        </row>
        <row r="9732">
          <cell r="Q9732">
            <v>-1350.8258700526512</v>
          </cell>
        </row>
        <row r="9733">
          <cell r="Q9733">
            <v>1617.2938832443815</v>
          </cell>
        </row>
        <row r="9734">
          <cell r="Q9734">
            <v>-3302.0516129017169</v>
          </cell>
        </row>
        <row r="9735">
          <cell r="Q9735">
            <v>2855.4304269328541</v>
          </cell>
        </row>
        <row r="9736">
          <cell r="Q9736">
            <v>-234.09705917361663</v>
          </cell>
        </row>
        <row r="9737">
          <cell r="Q9737">
            <v>1494.7200446453082</v>
          </cell>
        </row>
        <row r="9738">
          <cell r="Q9738">
            <v>1544.284258979854</v>
          </cell>
        </row>
        <row r="9739">
          <cell r="Q9739">
            <v>992.13182170759546</v>
          </cell>
        </row>
        <row r="9740">
          <cell r="Q9740">
            <v>387.57927524207406</v>
          </cell>
        </row>
        <row r="9741">
          <cell r="Q9741">
            <v>3439.9850562909032</v>
          </cell>
        </row>
        <row r="9742">
          <cell r="Q9742">
            <v>2302.3802131203165</v>
          </cell>
        </row>
        <row r="9743">
          <cell r="Q9743">
            <v>336.87614380727109</v>
          </cell>
        </row>
        <row r="9744">
          <cell r="Q9744">
            <v>1312.2860622712371</v>
          </cell>
        </row>
        <row r="9745">
          <cell r="Q9745">
            <v>1016.6670339178893</v>
          </cell>
        </row>
        <row r="9746">
          <cell r="Q9746">
            <v>-1843.4129038486806</v>
          </cell>
        </row>
        <row r="9747">
          <cell r="Q9747">
            <v>2032.441018862713</v>
          </cell>
        </row>
        <row r="9748">
          <cell r="Q9748">
            <v>2863.3346560807609</v>
          </cell>
        </row>
        <row r="9749">
          <cell r="Q9749">
            <v>-148.5341263114455</v>
          </cell>
        </row>
        <row r="9750">
          <cell r="Q9750">
            <v>-1039.5168223804851</v>
          </cell>
        </row>
        <row r="9751">
          <cell r="Q9751">
            <v>-1396.5640457862303</v>
          </cell>
        </row>
        <row r="9752">
          <cell r="Q9752">
            <v>1329.7702327675909</v>
          </cell>
        </row>
        <row r="9753">
          <cell r="Q9753">
            <v>986.02765604628416</v>
          </cell>
        </row>
        <row r="9754">
          <cell r="Q9754">
            <v>862.35997497450353</v>
          </cell>
        </row>
        <row r="9755">
          <cell r="Q9755">
            <v>-3160.902535219584</v>
          </cell>
        </row>
        <row r="9756">
          <cell r="Q9756">
            <v>2091.6439034617101</v>
          </cell>
        </row>
        <row r="9757">
          <cell r="Q9757">
            <v>-939.6312002725706</v>
          </cell>
        </row>
        <row r="9758">
          <cell r="Q9758">
            <v>-217.13367737290781</v>
          </cell>
        </row>
        <row r="9759">
          <cell r="Q9759">
            <v>-1618.9833891312846</v>
          </cell>
        </row>
        <row r="9760">
          <cell r="Q9760">
            <v>669.02230528584369</v>
          </cell>
        </row>
        <row r="9761">
          <cell r="Q9761">
            <v>336.68553501654827</v>
          </cell>
        </row>
        <row r="9762">
          <cell r="Q9762">
            <v>3263.4416078624336</v>
          </cell>
        </row>
        <row r="9763">
          <cell r="Q9763">
            <v>-292.58641782915555</v>
          </cell>
        </row>
        <row r="9764">
          <cell r="Q9764">
            <v>2470.7277142943149</v>
          </cell>
        </row>
        <row r="9765">
          <cell r="Q9765">
            <v>3758.6028575946025</v>
          </cell>
        </row>
        <row r="9766">
          <cell r="Q9766">
            <v>-2147.7803690608412</v>
          </cell>
        </row>
        <row r="9767">
          <cell r="Q9767">
            <v>-766.32164055221892</v>
          </cell>
        </row>
        <row r="9768">
          <cell r="Q9768">
            <v>1678.2670725458431</v>
          </cell>
        </row>
        <row r="9769">
          <cell r="Q9769">
            <v>2190.0771355149136</v>
          </cell>
        </row>
        <row r="9770">
          <cell r="Q9770">
            <v>1743.3362045443052</v>
          </cell>
        </row>
        <row r="9771">
          <cell r="Q9771">
            <v>-67.730176295986666</v>
          </cell>
        </row>
        <row r="9772">
          <cell r="Q9772">
            <v>653.26282548980157</v>
          </cell>
        </row>
        <row r="9773">
          <cell r="Q9773">
            <v>-2063.536179878588</v>
          </cell>
        </row>
        <row r="9774">
          <cell r="Q9774">
            <v>-6.5405777135188714</v>
          </cell>
        </row>
        <row r="9775">
          <cell r="Q9775">
            <v>1148.5678697302437</v>
          </cell>
        </row>
        <row r="9776">
          <cell r="Q9776">
            <v>-1529.0017784991585</v>
          </cell>
        </row>
        <row r="9777">
          <cell r="Q9777">
            <v>-442.91100863646381</v>
          </cell>
        </row>
        <row r="9778">
          <cell r="Q9778">
            <v>1764.1719064733709</v>
          </cell>
        </row>
        <row r="9779">
          <cell r="Q9779">
            <v>1580.207970171949</v>
          </cell>
        </row>
        <row r="9780">
          <cell r="Q9780">
            <v>-274.86678803378851</v>
          </cell>
        </row>
        <row r="9781">
          <cell r="Q9781">
            <v>2494.1464600465006</v>
          </cell>
        </row>
        <row r="9782">
          <cell r="Q9782">
            <v>1368.2347252275567</v>
          </cell>
        </row>
        <row r="9783">
          <cell r="Q9783">
            <v>-2563.426322146966</v>
          </cell>
        </row>
        <row r="9784">
          <cell r="Q9784">
            <v>-385.0929244178372</v>
          </cell>
        </row>
        <row r="9785">
          <cell r="Q9785">
            <v>-736.28457176475422</v>
          </cell>
        </row>
        <row r="9786">
          <cell r="Q9786">
            <v>1700.5602834960027</v>
          </cell>
        </row>
        <row r="9787">
          <cell r="Q9787">
            <v>-624.30886480025902</v>
          </cell>
        </row>
        <row r="9788">
          <cell r="Q9788">
            <v>253.91020089839367</v>
          </cell>
        </row>
        <row r="9789">
          <cell r="Q9789">
            <v>-269.86602478892024</v>
          </cell>
        </row>
        <row r="9790">
          <cell r="Q9790">
            <v>1472.9419824568004</v>
          </cell>
        </row>
        <row r="9791">
          <cell r="Q9791">
            <v>-420.90406550985853</v>
          </cell>
        </row>
        <row r="9792">
          <cell r="Q9792">
            <v>-580.7748559340846</v>
          </cell>
        </row>
        <row r="9793">
          <cell r="Q9793">
            <v>1424.3701474031823</v>
          </cell>
        </row>
        <row r="9794">
          <cell r="Q9794">
            <v>2268.5589568025061</v>
          </cell>
        </row>
        <row r="9795">
          <cell r="Q9795">
            <v>2357.4461138430497</v>
          </cell>
        </row>
        <row r="9796">
          <cell r="Q9796">
            <v>2519.1682055277834</v>
          </cell>
        </row>
        <row r="9797">
          <cell r="Q9797">
            <v>-1542.0401300638894</v>
          </cell>
        </row>
        <row r="9798">
          <cell r="Q9798">
            <v>-380.08347500899953</v>
          </cell>
        </row>
        <row r="9799">
          <cell r="Q9799">
            <v>421.60721889408256</v>
          </cell>
        </row>
        <row r="9800">
          <cell r="Q9800">
            <v>593.49355479564849</v>
          </cell>
        </row>
        <row r="9801">
          <cell r="Q9801">
            <v>734.86978475347746</v>
          </cell>
        </row>
        <row r="9802">
          <cell r="Q9802">
            <v>453.69664386797723</v>
          </cell>
        </row>
        <row r="9803">
          <cell r="Q9803">
            <v>-615.96165124606227</v>
          </cell>
        </row>
        <row r="9804">
          <cell r="Q9804">
            <v>-652.35267422849347</v>
          </cell>
        </row>
        <row r="9805">
          <cell r="Q9805">
            <v>920.40877536922972</v>
          </cell>
        </row>
        <row r="9806">
          <cell r="Q9806">
            <v>264.28142638533313</v>
          </cell>
        </row>
        <row r="9807">
          <cell r="Q9807">
            <v>-604.25679960220077</v>
          </cell>
        </row>
        <row r="9808">
          <cell r="Q9808">
            <v>-1511.5433325860361</v>
          </cell>
        </row>
        <row r="9809">
          <cell r="Q9809">
            <v>3394.7263689943052</v>
          </cell>
        </row>
        <row r="9810">
          <cell r="Q9810">
            <v>1405.45230192748</v>
          </cell>
        </row>
        <row r="9811">
          <cell r="Q9811">
            <v>-639.09305821800376</v>
          </cell>
        </row>
        <row r="9812">
          <cell r="Q9812">
            <v>-49.523252204348864</v>
          </cell>
        </row>
        <row r="9813">
          <cell r="Q9813">
            <v>-485.96333882178573</v>
          </cell>
        </row>
        <row r="9814">
          <cell r="Q9814">
            <v>-2098.8291874238844</v>
          </cell>
        </row>
        <row r="9815">
          <cell r="Q9815">
            <v>976.61624984001651</v>
          </cell>
        </row>
        <row r="9816">
          <cell r="Q9816">
            <v>-737.3925209239942</v>
          </cell>
        </row>
        <row r="9817">
          <cell r="Q9817">
            <v>474.41790952580504</v>
          </cell>
        </row>
        <row r="9818">
          <cell r="Q9818">
            <v>757.7630679939582</v>
          </cell>
        </row>
        <row r="9819">
          <cell r="Q9819">
            <v>1057.2356380290544</v>
          </cell>
        </row>
        <row r="9820">
          <cell r="Q9820">
            <v>-2400.8249516979504</v>
          </cell>
        </row>
        <row r="9821">
          <cell r="Q9821">
            <v>-3063.3185631398064</v>
          </cell>
        </row>
        <row r="9822">
          <cell r="Q9822">
            <v>1893.8855349704743</v>
          </cell>
        </row>
        <row r="9823">
          <cell r="Q9823">
            <v>-67.280806876753047</v>
          </cell>
        </row>
        <row r="9824">
          <cell r="Q9824">
            <v>1583.1125742905172</v>
          </cell>
        </row>
        <row r="9825">
          <cell r="Q9825">
            <v>1921.5683549329071</v>
          </cell>
        </row>
        <row r="9826">
          <cell r="Q9826">
            <v>-2539.9122456396699</v>
          </cell>
        </row>
        <row r="9827">
          <cell r="Q9827">
            <v>749.96537671741748</v>
          </cell>
        </row>
        <row r="9828">
          <cell r="Q9828">
            <v>-74.9639665976826</v>
          </cell>
        </row>
        <row r="9829">
          <cell r="Q9829">
            <v>2769.7691094705556</v>
          </cell>
        </row>
        <row r="9830">
          <cell r="Q9830">
            <v>1769.4379226554088</v>
          </cell>
        </row>
        <row r="9831">
          <cell r="Q9831">
            <v>-775.07811504819279</v>
          </cell>
        </row>
        <row r="9832">
          <cell r="Q9832">
            <v>2135.2014750543844</v>
          </cell>
        </row>
        <row r="9833">
          <cell r="Q9833">
            <v>-2085.3907841879104</v>
          </cell>
        </row>
        <row r="9834">
          <cell r="Q9834">
            <v>-66.729525175093443</v>
          </cell>
        </row>
        <row r="9835">
          <cell r="Q9835">
            <v>-403.13213773739068</v>
          </cell>
        </row>
        <row r="9836">
          <cell r="Q9836">
            <v>3218.4574400916385</v>
          </cell>
        </row>
        <row r="9837">
          <cell r="Q9837">
            <v>1324.871965645209</v>
          </cell>
        </row>
        <row r="9838">
          <cell r="Q9838">
            <v>-4684.2555006021039</v>
          </cell>
        </row>
        <row r="9839">
          <cell r="Q9839">
            <v>1211.5334573374953</v>
          </cell>
        </row>
        <row r="9840">
          <cell r="Q9840">
            <v>1055.617614042528</v>
          </cell>
        </row>
        <row r="9841">
          <cell r="Q9841">
            <v>-1091.7270018625236</v>
          </cell>
        </row>
        <row r="9842">
          <cell r="Q9842">
            <v>-758.95721879031726</v>
          </cell>
        </row>
        <row r="9843">
          <cell r="Q9843">
            <v>2561.4954598525997</v>
          </cell>
        </row>
        <row r="9844">
          <cell r="Q9844">
            <v>1509.7579799984426</v>
          </cell>
        </row>
        <row r="9845">
          <cell r="Q9845">
            <v>389.19714993088945</v>
          </cell>
        </row>
        <row r="9846">
          <cell r="Q9846">
            <v>-782.59005054020872</v>
          </cell>
        </row>
        <row r="9847">
          <cell r="Q9847">
            <v>1224.7812908320982</v>
          </cell>
        </row>
        <row r="9848">
          <cell r="Q9848">
            <v>-882.42363739168491</v>
          </cell>
        </row>
        <row r="9849">
          <cell r="Q9849">
            <v>32.017253895064357</v>
          </cell>
        </row>
        <row r="9850">
          <cell r="Q9850">
            <v>837.78643040041834</v>
          </cell>
        </row>
        <row r="9851">
          <cell r="Q9851">
            <v>88.41168676757934</v>
          </cell>
        </row>
        <row r="9852">
          <cell r="Q9852">
            <v>2542.084490933988</v>
          </cell>
        </row>
        <row r="9853">
          <cell r="Q9853">
            <v>4536.2106143990059</v>
          </cell>
        </row>
        <row r="9854">
          <cell r="Q9854">
            <v>1141.6295183933144</v>
          </cell>
        </row>
        <row r="9855">
          <cell r="Q9855">
            <v>-469.78694578830704</v>
          </cell>
        </row>
        <row r="9856">
          <cell r="Q9856">
            <v>-680.48392162086384</v>
          </cell>
        </row>
        <row r="9857">
          <cell r="Q9857">
            <v>831.711205901315</v>
          </cell>
        </row>
        <row r="9858">
          <cell r="Q9858">
            <v>1210.1057896227237</v>
          </cell>
        </row>
        <row r="9859">
          <cell r="Q9859">
            <v>1437.0759002726886</v>
          </cell>
        </row>
        <row r="9860">
          <cell r="Q9860">
            <v>5148.5464859323838</v>
          </cell>
        </row>
        <row r="9861">
          <cell r="Q9861">
            <v>4912.1791015941899</v>
          </cell>
        </row>
        <row r="9862">
          <cell r="Q9862">
            <v>-424.64131987074774</v>
          </cell>
        </row>
        <row r="9863">
          <cell r="Q9863">
            <v>1383.1733706629852</v>
          </cell>
        </row>
        <row r="9864">
          <cell r="Q9864">
            <v>-1134.1368748979573</v>
          </cell>
        </row>
        <row r="9865">
          <cell r="Q9865">
            <v>1684.2191994347284</v>
          </cell>
        </row>
        <row r="9866">
          <cell r="Q9866">
            <v>187.68963260859206</v>
          </cell>
        </row>
        <row r="9867">
          <cell r="Q9867">
            <v>1080.2291122434378</v>
          </cell>
        </row>
        <row r="9868">
          <cell r="Q9868">
            <v>1530.0635690521915</v>
          </cell>
        </row>
        <row r="9869">
          <cell r="Q9869">
            <v>-691.11602120137991</v>
          </cell>
        </row>
        <row r="9870">
          <cell r="Q9870">
            <v>1906.8934212933004</v>
          </cell>
        </row>
        <row r="9871">
          <cell r="Q9871">
            <v>1116.1610243606171</v>
          </cell>
        </row>
        <row r="9872">
          <cell r="Q9872">
            <v>-2538.2847976326989</v>
          </cell>
        </row>
        <row r="9873">
          <cell r="Q9873">
            <v>399.86736768853797</v>
          </cell>
        </row>
        <row r="9874">
          <cell r="Q9874">
            <v>2032.047288074079</v>
          </cell>
        </row>
        <row r="9875">
          <cell r="Q9875">
            <v>1865.8662425869963</v>
          </cell>
        </row>
        <row r="9876">
          <cell r="Q9876">
            <v>-797.3653908015724</v>
          </cell>
        </row>
        <row r="9877">
          <cell r="Q9877">
            <v>257.4419613371424</v>
          </cell>
        </row>
        <row r="9878">
          <cell r="Q9878">
            <v>1005.7863087660426</v>
          </cell>
        </row>
        <row r="9879">
          <cell r="Q9879">
            <v>2707.24131460122</v>
          </cell>
        </row>
        <row r="9880">
          <cell r="Q9880">
            <v>1037.8544741315247</v>
          </cell>
        </row>
        <row r="9881">
          <cell r="Q9881">
            <v>-2045.4043138123914</v>
          </cell>
        </row>
        <row r="9882">
          <cell r="Q9882">
            <v>2133.8618692621621</v>
          </cell>
        </row>
        <row r="9883">
          <cell r="Q9883">
            <v>2503.7211707372012</v>
          </cell>
        </row>
        <row r="9884">
          <cell r="Q9884">
            <v>1691.8892167565386</v>
          </cell>
        </row>
        <row r="9885">
          <cell r="Q9885">
            <v>1945.6444767069102</v>
          </cell>
        </row>
        <row r="9886">
          <cell r="Q9886">
            <v>1123.1437642070498</v>
          </cell>
        </row>
        <row r="9887">
          <cell r="Q9887">
            <v>1796.8273509247499</v>
          </cell>
        </row>
        <row r="9888">
          <cell r="Q9888">
            <v>1211.5196147225161</v>
          </cell>
        </row>
        <row r="9889">
          <cell r="Q9889">
            <v>711.49548186211632</v>
          </cell>
        </row>
        <row r="9890">
          <cell r="Q9890">
            <v>2175.2465117687725</v>
          </cell>
        </row>
        <row r="9891">
          <cell r="Q9891">
            <v>-1986.3557439728668</v>
          </cell>
        </row>
        <row r="9892">
          <cell r="Q9892">
            <v>-0.32270377874959877</v>
          </cell>
        </row>
        <row r="9893">
          <cell r="Q9893">
            <v>2048.4448472703548</v>
          </cell>
        </row>
        <row r="9894">
          <cell r="Q9894">
            <v>108.38151911289322</v>
          </cell>
        </row>
        <row r="9895">
          <cell r="Q9895">
            <v>-268.13246513672919</v>
          </cell>
        </row>
        <row r="9896">
          <cell r="Q9896">
            <v>1176.7307235241749</v>
          </cell>
        </row>
        <row r="9897">
          <cell r="Q9897">
            <v>1659.2073064856575</v>
          </cell>
        </row>
        <row r="9898">
          <cell r="Q9898">
            <v>1005.9232396641846</v>
          </cell>
        </row>
        <row r="9899">
          <cell r="Q9899">
            <v>2413.1032024591264</v>
          </cell>
        </row>
        <row r="9900">
          <cell r="Q9900">
            <v>2505.5800013273529</v>
          </cell>
        </row>
        <row r="9901">
          <cell r="Q9901">
            <v>733.17167126574259</v>
          </cell>
        </row>
        <row r="9902">
          <cell r="Q9902">
            <v>308.60279858886605</v>
          </cell>
        </row>
        <row r="9903">
          <cell r="Q9903">
            <v>1382.4033702087461</v>
          </cell>
        </row>
        <row r="9904">
          <cell r="Q9904">
            <v>-3284.9934816574328</v>
          </cell>
        </row>
        <row r="9905">
          <cell r="Q9905">
            <v>2585.9383440646111</v>
          </cell>
        </row>
        <row r="9906">
          <cell r="Q9906">
            <v>822.71883300267859</v>
          </cell>
        </row>
        <row r="9907">
          <cell r="Q9907">
            <v>-436.57816925411822</v>
          </cell>
        </row>
        <row r="9908">
          <cell r="Q9908">
            <v>5158.4664835615631</v>
          </cell>
        </row>
        <row r="9909">
          <cell r="Q9909">
            <v>-1186.3807805387626</v>
          </cell>
        </row>
        <row r="9910">
          <cell r="Q9910">
            <v>-2973.2715516064636</v>
          </cell>
        </row>
        <row r="9911">
          <cell r="Q9911">
            <v>-1970.4046405401398</v>
          </cell>
        </row>
        <row r="9912">
          <cell r="Q9912">
            <v>644.93528857476463</v>
          </cell>
        </row>
        <row r="9913">
          <cell r="Q9913">
            <v>-1849.3353869084533</v>
          </cell>
        </row>
        <row r="9914">
          <cell r="Q9914">
            <v>3834.6439080634796</v>
          </cell>
        </row>
        <row r="9915">
          <cell r="Q9915">
            <v>804.27034118839583</v>
          </cell>
        </row>
        <row r="9916">
          <cell r="Q9916">
            <v>-2596.2388020861686</v>
          </cell>
        </row>
        <row r="9917">
          <cell r="Q9917">
            <v>-558.90144403801423</v>
          </cell>
        </row>
        <row r="9918">
          <cell r="Q9918">
            <v>1807.5193123420568</v>
          </cell>
        </row>
        <row r="9919">
          <cell r="Q9919">
            <v>3326.9839255646721</v>
          </cell>
        </row>
        <row r="9920">
          <cell r="Q9920">
            <v>2913.5058068970984</v>
          </cell>
        </row>
        <row r="9921">
          <cell r="Q9921">
            <v>1160.8402635265809</v>
          </cell>
        </row>
        <row r="9922">
          <cell r="Q9922">
            <v>391.02655711060868</v>
          </cell>
        </row>
        <row r="9923">
          <cell r="Q9923">
            <v>-2126.3381574112668</v>
          </cell>
        </row>
        <row r="9924">
          <cell r="Q9924">
            <v>1560.8204634576946</v>
          </cell>
        </row>
        <row r="9925">
          <cell r="Q9925">
            <v>81.894141487661955</v>
          </cell>
        </row>
        <row r="9926">
          <cell r="Q9926">
            <v>-44.978374750054115</v>
          </cell>
        </row>
        <row r="9927">
          <cell r="Q9927">
            <v>1106.870296021182</v>
          </cell>
        </row>
        <row r="9928">
          <cell r="Q9928">
            <v>2498.7978772910524</v>
          </cell>
        </row>
        <row r="9929">
          <cell r="Q9929">
            <v>861.61073793356013</v>
          </cell>
        </row>
        <row r="9930">
          <cell r="Q9930">
            <v>2378.7897238917162</v>
          </cell>
        </row>
        <row r="9931">
          <cell r="Q9931">
            <v>-2411.2928067911639</v>
          </cell>
        </row>
        <row r="9932">
          <cell r="Q9932">
            <v>-138.39119003934076</v>
          </cell>
        </row>
        <row r="9933">
          <cell r="Q9933">
            <v>2519.3338240264511</v>
          </cell>
        </row>
        <row r="9934">
          <cell r="Q9934">
            <v>3755.8696060038096</v>
          </cell>
        </row>
        <row r="9935">
          <cell r="Q9935">
            <v>-32.040182632048129</v>
          </cell>
        </row>
        <row r="9936">
          <cell r="Q9936">
            <v>-746.91475681565794</v>
          </cell>
        </row>
        <row r="9937">
          <cell r="Q9937">
            <v>-125.27253664393896</v>
          </cell>
        </row>
        <row r="9938">
          <cell r="Q9938">
            <v>1253.2852586310978</v>
          </cell>
        </row>
        <row r="9939">
          <cell r="Q9939">
            <v>-369.89612963468761</v>
          </cell>
        </row>
        <row r="9940">
          <cell r="Q9940">
            <v>452.3774826238996</v>
          </cell>
        </row>
        <row r="9941">
          <cell r="Q9941">
            <v>1400.6059252005966</v>
          </cell>
        </row>
        <row r="9942">
          <cell r="Q9942">
            <v>1243.5184864485525</v>
          </cell>
        </row>
        <row r="9943">
          <cell r="Q9943">
            <v>409.38622757048728</v>
          </cell>
        </row>
        <row r="9944">
          <cell r="Q9944">
            <v>165.79042782786132</v>
          </cell>
        </row>
        <row r="9945">
          <cell r="Q9945">
            <v>3389.7651499272433</v>
          </cell>
        </row>
        <row r="9946">
          <cell r="Q9946">
            <v>3194.958713923525</v>
          </cell>
        </row>
        <row r="9947">
          <cell r="Q9947">
            <v>-73.820134030961299</v>
          </cell>
        </row>
        <row r="9948">
          <cell r="Q9948">
            <v>4605.1420776705409</v>
          </cell>
        </row>
        <row r="9949">
          <cell r="Q9949">
            <v>531.00387134407924</v>
          </cell>
        </row>
        <row r="9950">
          <cell r="Q9950">
            <v>-671.27455654827918</v>
          </cell>
        </row>
        <row r="9951">
          <cell r="Q9951">
            <v>1728.1942912414524</v>
          </cell>
        </row>
        <row r="9952">
          <cell r="Q9952">
            <v>1947.6705162830679</v>
          </cell>
        </row>
        <row r="9953">
          <cell r="Q9953">
            <v>3654.6920050580652</v>
          </cell>
        </row>
        <row r="9954">
          <cell r="Q9954">
            <v>1992.5866653050757</v>
          </cell>
        </row>
        <row r="9955">
          <cell r="Q9955">
            <v>2080.3380063956261</v>
          </cell>
        </row>
        <row r="9956">
          <cell r="Q9956">
            <v>-1050.2808985055478</v>
          </cell>
        </row>
        <row r="9957">
          <cell r="Q9957">
            <v>-1255.4965632998253</v>
          </cell>
        </row>
        <row r="9958">
          <cell r="Q9958">
            <v>1642.2788867100244</v>
          </cell>
        </row>
        <row r="9959">
          <cell r="Q9959">
            <v>-1260.387738217074</v>
          </cell>
        </row>
        <row r="9960">
          <cell r="Q9960">
            <v>3306.513403608104</v>
          </cell>
        </row>
        <row r="9961">
          <cell r="Q9961">
            <v>-63.726273958403226</v>
          </cell>
        </row>
        <row r="9962">
          <cell r="Q9962">
            <v>-405.60845931073942</v>
          </cell>
        </row>
        <row r="9963">
          <cell r="Q9963">
            <v>188.96855608874705</v>
          </cell>
        </row>
        <row r="9964">
          <cell r="Q9964">
            <v>-690.5171978112362</v>
          </cell>
        </row>
        <row r="9965">
          <cell r="Q9965">
            <v>1229.5739421481626</v>
          </cell>
        </row>
        <row r="9966">
          <cell r="Q9966">
            <v>60.174332724437761</v>
          </cell>
        </row>
        <row r="9967">
          <cell r="Q9967">
            <v>1654.3631689333654</v>
          </cell>
        </row>
        <row r="9968">
          <cell r="Q9968">
            <v>2452.2075278357856</v>
          </cell>
        </row>
        <row r="9969">
          <cell r="Q9969">
            <v>1260.7811456221762</v>
          </cell>
        </row>
        <row r="9970">
          <cell r="Q9970">
            <v>1902.3080775823842</v>
          </cell>
        </row>
        <row r="9971">
          <cell r="Q9971">
            <v>5048.2776216801494</v>
          </cell>
        </row>
        <row r="9972">
          <cell r="Q9972">
            <v>2515.8734578111498</v>
          </cell>
        </row>
        <row r="9973">
          <cell r="Q9973">
            <v>5300.2208413881663</v>
          </cell>
        </row>
        <row r="9974">
          <cell r="Q9974">
            <v>3074.6698156427569</v>
          </cell>
        </row>
        <row r="9975">
          <cell r="Q9975">
            <v>1639.97215027277</v>
          </cell>
        </row>
        <row r="9976">
          <cell r="Q9976">
            <v>1323.615987128675</v>
          </cell>
        </row>
        <row r="9977">
          <cell r="Q9977">
            <v>2089.154210221333</v>
          </cell>
        </row>
        <row r="9978">
          <cell r="Q9978">
            <v>453.2070417155582</v>
          </cell>
        </row>
        <row r="9979">
          <cell r="Q9979">
            <v>1588.9510403551892</v>
          </cell>
        </row>
        <row r="9980">
          <cell r="Q9980">
            <v>-3566.5177159044647</v>
          </cell>
        </row>
        <row r="9981">
          <cell r="Q9981">
            <v>1508.4134742259812</v>
          </cell>
        </row>
        <row r="9982">
          <cell r="Q9982">
            <v>-1816.5528517190407</v>
          </cell>
        </row>
        <row r="9983">
          <cell r="Q9983">
            <v>610.58888283492479</v>
          </cell>
        </row>
        <row r="9984">
          <cell r="Q9984">
            <v>1388.643232027368</v>
          </cell>
        </row>
        <row r="9985">
          <cell r="Q9985">
            <v>1963.9025555028682</v>
          </cell>
        </row>
        <row r="9986">
          <cell r="Q9986">
            <v>-1070.0304387232075</v>
          </cell>
        </row>
        <row r="9987">
          <cell r="Q9987">
            <v>-1116.9249514359651</v>
          </cell>
        </row>
        <row r="9988">
          <cell r="Q9988">
            <v>-772.079094962005</v>
          </cell>
        </row>
        <row r="9989">
          <cell r="Q9989">
            <v>-581.10537951809852</v>
          </cell>
        </row>
        <row r="9990">
          <cell r="Q9990">
            <v>601.618592822403</v>
          </cell>
        </row>
        <row r="9991">
          <cell r="Q9991">
            <v>1536.0379140277066</v>
          </cell>
        </row>
        <row r="9992">
          <cell r="Q9992">
            <v>-736.70176046078791</v>
          </cell>
        </row>
        <row r="9993">
          <cell r="Q9993">
            <v>-689.6053546193325</v>
          </cell>
        </row>
        <row r="9994">
          <cell r="Q9994">
            <v>1535.2514542326567</v>
          </cell>
        </row>
        <row r="9995">
          <cell r="Q9995">
            <v>1114.2055944769093</v>
          </cell>
        </row>
        <row r="9996">
          <cell r="Q9996">
            <v>1967.9803490567319</v>
          </cell>
        </row>
        <row r="9997">
          <cell r="Q9997">
            <v>-1317.5722628473111</v>
          </cell>
        </row>
        <row r="9998">
          <cell r="Q9998">
            <v>-3316.0611096331927</v>
          </cell>
        </row>
        <row r="9999">
          <cell r="Q9999">
            <v>-724.22402068765382</v>
          </cell>
        </row>
        <row r="10000">
          <cell r="Q10000">
            <v>82.140406477143017</v>
          </cell>
        </row>
        <row r="10001">
          <cell r="Q10001">
            <v>-1186.9427637179203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5BA0-8017-468D-B84C-99EAAF8F44E3}">
  <dimension ref="A1:AQ18000"/>
  <sheetViews>
    <sheetView tabSelected="1" workbookViewId="0">
      <selection activeCell="AN14" sqref="AN14"/>
    </sheetView>
  </sheetViews>
  <sheetFormatPr defaultColWidth="12.6328125" defaultRowHeight="15.75" customHeight="1" x14ac:dyDescent="0.35"/>
  <cols>
    <col min="3" max="3" width="10.26953125" customWidth="1"/>
    <col min="5" max="5" width="11.453125" customWidth="1"/>
    <col min="6" max="6" width="11.453125" style="43" customWidth="1"/>
    <col min="7" max="7" width="43.08984375" style="43" customWidth="1"/>
    <col min="8" max="8" width="8.08984375" style="43" customWidth="1"/>
    <col min="9" max="9" width="20.1796875" customWidth="1"/>
    <col min="10" max="14" width="15.26953125" customWidth="1"/>
    <col min="15" max="15" width="12.26953125" customWidth="1"/>
    <col min="16" max="16" width="20.36328125" customWidth="1"/>
    <col min="18" max="18" width="15.6328125" customWidth="1"/>
    <col min="19" max="20" width="13.453125" customWidth="1"/>
    <col min="21" max="21" width="6.6328125" customWidth="1"/>
    <col min="22" max="22" width="28.81640625" customWidth="1"/>
    <col min="23" max="26" width="15.08984375" customWidth="1"/>
    <col min="27" max="31" width="13.26953125" customWidth="1"/>
    <col min="32" max="32" width="12.36328125" customWidth="1"/>
    <col min="33" max="33" width="11.7265625" style="38" customWidth="1"/>
    <col min="34" max="34" width="12.6328125" style="20"/>
  </cols>
  <sheetData>
    <row r="1" spans="1:43" ht="46.5" customHeight="1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0"/>
      <c r="G1" s="40"/>
      <c r="H1" s="40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6" t="s">
        <v>5</v>
      </c>
      <c r="AH1" s="7">
        <f ca="1">W7</f>
        <v>-1873.660797928427</v>
      </c>
      <c r="AI1" s="5"/>
      <c r="AJ1" s="5"/>
      <c r="AK1" s="5"/>
      <c r="AL1" s="5"/>
      <c r="AM1" s="5"/>
      <c r="AN1" s="5"/>
      <c r="AO1" s="5"/>
      <c r="AP1" s="5"/>
      <c r="AQ1" s="5"/>
    </row>
    <row r="2" spans="1:43" ht="14.5" x14ac:dyDescent="0.35">
      <c r="A2" s="8">
        <v>45083</v>
      </c>
      <c r="B2" s="9">
        <v>428.02999899999998</v>
      </c>
      <c r="C2" s="10"/>
      <c r="D2" s="11">
        <v>72.75</v>
      </c>
      <c r="E2" s="12"/>
      <c r="F2" s="41"/>
      <c r="G2" s="41"/>
      <c r="H2" s="41"/>
      <c r="I2" s="13" t="s">
        <v>6</v>
      </c>
      <c r="J2" s="14"/>
      <c r="K2" s="44"/>
      <c r="L2" s="44"/>
      <c r="M2" s="44"/>
      <c r="N2" s="44"/>
      <c r="O2" s="15"/>
      <c r="P2" s="16" t="s">
        <v>7</v>
      </c>
      <c r="Q2" s="14"/>
      <c r="R2" s="44"/>
      <c r="S2" s="44"/>
      <c r="T2" s="44"/>
      <c r="U2" s="15"/>
      <c r="V2" s="17" t="s">
        <v>8</v>
      </c>
      <c r="W2" s="18"/>
      <c r="X2" s="44"/>
      <c r="Y2" s="44"/>
      <c r="Z2" s="44"/>
      <c r="AA2" s="44"/>
      <c r="AB2" s="44"/>
      <c r="AC2" s="44"/>
      <c r="AD2" s="44"/>
      <c r="AE2" s="44"/>
      <c r="AF2" s="44"/>
      <c r="AG2" s="19">
        <v>1</v>
      </c>
      <c r="AH2" s="20">
        <v>691.79146716343325</v>
      </c>
    </row>
    <row r="3" spans="1:43" ht="39.5" x14ac:dyDescent="0.35">
      <c r="A3" s="8">
        <v>45084</v>
      </c>
      <c r="B3" s="9">
        <v>426.54998799999998</v>
      </c>
      <c r="C3" s="10">
        <f t="shared" ref="C3:C254" si="0">(B3-B2)/B2</f>
        <v>-3.4577272701860097E-3</v>
      </c>
      <c r="D3" s="11">
        <v>72.34</v>
      </c>
      <c r="E3" s="12">
        <f t="shared" ref="E3:E254" si="1">(D3-D2)/D2</f>
        <v>-5.6357388316150732E-3</v>
      </c>
      <c r="F3" s="41"/>
      <c r="G3" s="41"/>
      <c r="H3" s="41"/>
      <c r="I3" s="21" t="s">
        <v>9</v>
      </c>
      <c r="J3" s="12">
        <v>7.0000000000000007E-2</v>
      </c>
      <c r="K3" s="39"/>
      <c r="L3" s="39"/>
      <c r="M3" s="39"/>
      <c r="N3" s="39"/>
      <c r="O3" s="22"/>
      <c r="P3" s="23" t="s">
        <v>10</v>
      </c>
      <c r="Q3" s="24">
        <v>100000</v>
      </c>
      <c r="R3" s="46"/>
      <c r="S3" s="46"/>
      <c r="T3" s="46"/>
      <c r="U3" s="22"/>
      <c r="V3" s="25" t="s">
        <v>11</v>
      </c>
      <c r="W3" s="26">
        <v>20</v>
      </c>
      <c r="X3" s="47"/>
      <c r="Y3" s="47"/>
      <c r="Z3" s="47"/>
      <c r="AA3" s="47"/>
      <c r="AB3" s="47"/>
      <c r="AC3" s="47"/>
      <c r="AD3" s="47"/>
      <c r="AE3" s="47"/>
      <c r="AF3" s="47"/>
      <c r="AG3" s="19">
        <v>2</v>
      </c>
      <c r="AH3" s="20">
        <v>-3638.4201758025592</v>
      </c>
    </row>
    <row r="4" spans="1:43" ht="14.5" x14ac:dyDescent="0.35">
      <c r="A4" s="8">
        <v>45085</v>
      </c>
      <c r="B4" s="9">
        <v>429.13000499999998</v>
      </c>
      <c r="C4" s="10">
        <f t="shared" si="0"/>
        <v>6.0485689194299027E-3</v>
      </c>
      <c r="D4" s="11">
        <v>72.7</v>
      </c>
      <c r="E4" s="12">
        <f t="shared" si="1"/>
        <v>4.9764998617638848E-3</v>
      </c>
      <c r="F4" s="41"/>
      <c r="G4" s="41"/>
      <c r="H4" s="41"/>
      <c r="I4" s="27" t="s">
        <v>12</v>
      </c>
      <c r="J4" s="12">
        <f>_xlfn.STDEV.S(C3:C254)*(252^0.5)</f>
        <v>0.11417472791190415</v>
      </c>
      <c r="K4" s="39"/>
      <c r="L4" s="39"/>
      <c r="M4" s="39"/>
      <c r="N4" s="39"/>
      <c r="O4" s="22"/>
      <c r="P4" s="23" t="s">
        <v>13</v>
      </c>
      <c r="Q4" s="12">
        <v>0.6</v>
      </c>
      <c r="R4" s="39"/>
      <c r="S4" s="39"/>
      <c r="T4" s="39"/>
      <c r="U4" s="22"/>
      <c r="V4" s="48" t="s">
        <v>23</v>
      </c>
      <c r="W4" s="28">
        <f>(Q3*((Q4*J3)+(Q5*J8)))*(W3/252)</f>
        <v>396.82539682539681</v>
      </c>
      <c r="X4" s="46"/>
      <c r="Y4" s="46"/>
      <c r="Z4" s="46"/>
      <c r="AA4" s="46"/>
      <c r="AB4" s="46"/>
      <c r="AC4" s="46"/>
      <c r="AD4" s="46"/>
      <c r="AE4" s="46"/>
      <c r="AF4" s="46"/>
      <c r="AG4" s="19">
        <v>3</v>
      </c>
      <c r="AH4" s="20">
        <v>3718.1611799606821</v>
      </c>
    </row>
    <row r="5" spans="1:43" ht="14.5" x14ac:dyDescent="0.35">
      <c r="A5" s="8">
        <v>45086</v>
      </c>
      <c r="B5" s="9">
        <v>429.89999399999999</v>
      </c>
      <c r="C5" s="10">
        <f t="shared" si="0"/>
        <v>1.7943024049320662E-3</v>
      </c>
      <c r="D5" s="11">
        <v>72.55</v>
      </c>
      <c r="E5" s="12">
        <f t="shared" si="1"/>
        <v>-2.0632737276479463E-3</v>
      </c>
      <c r="F5" s="41"/>
      <c r="G5" s="41"/>
      <c r="H5" s="41"/>
      <c r="I5" s="22"/>
      <c r="J5" s="22"/>
      <c r="K5" s="22"/>
      <c r="L5" s="22"/>
      <c r="M5" s="22"/>
      <c r="N5" s="22"/>
      <c r="O5" s="22"/>
      <c r="P5" s="23" t="s">
        <v>15</v>
      </c>
      <c r="Q5" s="12">
        <f>1-Q4</f>
        <v>0.4</v>
      </c>
      <c r="R5" s="39"/>
      <c r="S5" s="39"/>
      <c r="T5" s="39"/>
      <c r="U5" s="22"/>
      <c r="V5" s="25" t="s">
        <v>16</v>
      </c>
      <c r="W5" s="26">
        <f ca="1">_xlfn.NORM.S.INV(RAND())</f>
        <v>1.097563385876964</v>
      </c>
      <c r="X5" s="47"/>
      <c r="Y5" s="47"/>
      <c r="Z5" s="47"/>
      <c r="AA5" s="47"/>
      <c r="AB5" s="47"/>
      <c r="AC5" s="47"/>
      <c r="AD5" s="47"/>
      <c r="AE5" s="47"/>
      <c r="AF5" s="47"/>
      <c r="AG5" s="19">
        <v>4</v>
      </c>
      <c r="AH5" s="20">
        <v>208.10544856531601</v>
      </c>
    </row>
    <row r="6" spans="1:43" ht="14.5" x14ac:dyDescent="0.35">
      <c r="A6" s="8">
        <v>45089</v>
      </c>
      <c r="B6" s="9">
        <v>433.79998799999998</v>
      </c>
      <c r="C6" s="10">
        <f t="shared" si="0"/>
        <v>9.0718633506191495E-3</v>
      </c>
      <c r="D6" s="11">
        <v>72.7</v>
      </c>
      <c r="E6" s="12">
        <f t="shared" si="1"/>
        <v>2.0675396278429454E-3</v>
      </c>
      <c r="F6" s="41"/>
      <c r="G6" s="41"/>
      <c r="H6" s="41"/>
      <c r="I6" s="22"/>
      <c r="J6" s="22"/>
      <c r="K6" s="22"/>
      <c r="L6" s="22"/>
      <c r="M6" s="22"/>
      <c r="N6" s="22"/>
      <c r="O6" s="22"/>
      <c r="P6" s="23"/>
      <c r="Q6" s="29"/>
      <c r="R6" s="47"/>
      <c r="S6" s="47"/>
      <c r="T6" s="47"/>
      <c r="U6" s="22"/>
      <c r="V6" s="25"/>
      <c r="W6" s="26"/>
      <c r="X6" s="47"/>
      <c r="Y6" s="47"/>
      <c r="Z6" s="47"/>
      <c r="AA6" s="47"/>
      <c r="AB6" s="47"/>
      <c r="AC6" s="47"/>
      <c r="AD6" s="47"/>
      <c r="AE6" s="47"/>
      <c r="AF6" s="47"/>
      <c r="AG6" s="19">
        <v>5</v>
      </c>
      <c r="AH6" s="20">
        <v>-1716.9808542855719</v>
      </c>
    </row>
    <row r="7" spans="1:43" ht="14.5" x14ac:dyDescent="0.35">
      <c r="A7" s="8">
        <v>45090</v>
      </c>
      <c r="B7" s="9">
        <v>436.66000400000001</v>
      </c>
      <c r="C7" s="10">
        <f t="shared" si="0"/>
        <v>6.5929370196294934E-3</v>
      </c>
      <c r="D7" s="11">
        <v>72.38</v>
      </c>
      <c r="E7" s="12">
        <f t="shared" si="1"/>
        <v>-4.4016506189822197E-3</v>
      </c>
      <c r="F7" s="41"/>
      <c r="G7" s="41"/>
      <c r="H7" s="41"/>
      <c r="I7" s="30" t="s">
        <v>17</v>
      </c>
      <c r="J7" s="14"/>
      <c r="K7" s="44"/>
      <c r="L7" s="44"/>
      <c r="M7" s="44"/>
      <c r="N7" s="44"/>
      <c r="O7" s="22"/>
      <c r="P7" s="23" t="s">
        <v>18</v>
      </c>
      <c r="Q7" s="29">
        <f>Q4^2*J4^2 + Q5^2*J9^2 + 2*Q4*Q5*J10</f>
        <v>5.3919897105884343E-3</v>
      </c>
      <c r="R7" s="47"/>
      <c r="S7" s="47"/>
      <c r="T7" s="47"/>
      <c r="U7" s="22"/>
      <c r="V7" s="25" t="s">
        <v>19</v>
      </c>
      <c r="W7" s="28">
        <f ca="1">W4-(Q3*Q8*W5*(W3/252)^0.5)</f>
        <v>-1873.660797928427</v>
      </c>
      <c r="X7" s="46"/>
      <c r="Y7" s="46"/>
      <c r="Z7" s="46"/>
      <c r="AA7" s="46"/>
      <c r="AB7" s="46"/>
      <c r="AC7" s="46"/>
      <c r="AD7" s="46"/>
      <c r="AE7" s="46"/>
      <c r="AF7" s="46"/>
      <c r="AG7" s="19">
        <v>6</v>
      </c>
      <c r="AH7" s="20">
        <v>-510.30829700670535</v>
      </c>
    </row>
    <row r="8" spans="1:43" ht="39.5" x14ac:dyDescent="0.35">
      <c r="A8" s="8">
        <v>45091</v>
      </c>
      <c r="B8" s="9">
        <v>437.17999300000002</v>
      </c>
      <c r="C8" s="10">
        <f t="shared" si="0"/>
        <v>1.1908326735599296E-3</v>
      </c>
      <c r="D8" s="11">
        <v>72.44</v>
      </c>
      <c r="E8" s="12">
        <f t="shared" si="1"/>
        <v>8.2895827576681788E-4</v>
      </c>
      <c r="F8" s="41"/>
      <c r="G8" s="41"/>
      <c r="H8" s="41"/>
      <c r="I8" s="21" t="s">
        <v>9</v>
      </c>
      <c r="J8" s="12">
        <v>0.02</v>
      </c>
      <c r="K8" s="39"/>
      <c r="L8" s="39"/>
      <c r="M8" s="39"/>
      <c r="N8" s="39"/>
      <c r="O8" s="22"/>
      <c r="P8" s="23" t="s">
        <v>20</v>
      </c>
      <c r="Q8" s="29">
        <f>Q7^0.5</f>
        <v>7.3430168940214452E-2</v>
      </c>
      <c r="R8" s="47"/>
      <c r="S8" s="47"/>
      <c r="T8" s="47"/>
      <c r="U8" s="22"/>
      <c r="V8" s="25" t="s">
        <v>14</v>
      </c>
      <c r="W8" s="26">
        <v>0.95</v>
      </c>
      <c r="X8" s="47"/>
      <c r="Y8" s="47"/>
      <c r="Z8" s="47"/>
      <c r="AA8" s="47"/>
      <c r="AB8" s="47"/>
      <c r="AC8" s="47"/>
      <c r="AD8" s="47"/>
      <c r="AE8" s="47"/>
      <c r="AF8" s="47"/>
      <c r="AG8" s="19">
        <v>7</v>
      </c>
      <c r="AH8" s="20">
        <v>1978.6575585751034</v>
      </c>
    </row>
    <row r="9" spans="1:43" ht="14.5" x14ac:dyDescent="0.35">
      <c r="A9" s="8">
        <v>45092</v>
      </c>
      <c r="B9" s="9">
        <v>442.60000600000001</v>
      </c>
      <c r="C9" s="10">
        <f t="shared" si="0"/>
        <v>1.2397669350802115E-2</v>
      </c>
      <c r="D9" s="11">
        <v>72.89</v>
      </c>
      <c r="E9" s="12">
        <f t="shared" si="1"/>
        <v>6.2120375483158867E-3</v>
      </c>
      <c r="F9" s="41"/>
      <c r="G9" s="41"/>
      <c r="H9" s="41"/>
      <c r="I9" s="27" t="s">
        <v>12</v>
      </c>
      <c r="J9" s="12">
        <f>_xlfn.STDEV.S(E3:E254)*(252^0.5)</f>
        <v>6.5867107950059914E-2</v>
      </c>
      <c r="K9" s="39"/>
      <c r="L9" s="39"/>
      <c r="M9" s="39"/>
      <c r="N9" s="39"/>
      <c r="O9" s="22"/>
      <c r="P9" s="22"/>
      <c r="Q9" s="22"/>
      <c r="R9" s="22"/>
      <c r="S9" s="22"/>
      <c r="T9" s="22"/>
      <c r="U9" s="22"/>
      <c r="V9" s="25" t="s">
        <v>21</v>
      </c>
      <c r="W9" s="26">
        <f>_xlfn.PERCENTILE.INC(AH2:AH10001,1-W8)</f>
        <v>-3004.6184038201977</v>
      </c>
      <c r="X9" s="47"/>
      <c r="Y9" s="47"/>
      <c r="Z9" s="47"/>
      <c r="AA9" s="47"/>
      <c r="AB9" s="47"/>
      <c r="AC9" s="47"/>
      <c r="AD9" s="47"/>
      <c r="AE9" s="47"/>
      <c r="AF9" s="47"/>
      <c r="AG9" s="19">
        <v>8</v>
      </c>
      <c r="AH9" s="20">
        <v>6232.8128761755597</v>
      </c>
    </row>
    <row r="10" spans="1:43" ht="14.5" x14ac:dyDescent="0.35">
      <c r="A10" s="8">
        <v>45093</v>
      </c>
      <c r="B10" s="9">
        <v>439.459991</v>
      </c>
      <c r="C10" s="10">
        <f t="shared" si="0"/>
        <v>-7.094475728497856E-3</v>
      </c>
      <c r="D10" s="11">
        <v>72.73</v>
      </c>
      <c r="E10" s="12">
        <f t="shared" si="1"/>
        <v>-2.1950884895046863E-3</v>
      </c>
      <c r="F10" s="41"/>
      <c r="G10" s="41"/>
      <c r="H10" s="41"/>
      <c r="I10" s="31" t="s">
        <v>22</v>
      </c>
      <c r="J10" s="32">
        <f>_xlfn.COVARIANCE.S(C3:C254,E3:E254)</f>
        <v>1.0251890172948687E-5</v>
      </c>
      <c r="K10" s="45"/>
      <c r="L10" s="45"/>
      <c r="M10" s="45"/>
      <c r="N10" s="45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19">
        <v>9</v>
      </c>
      <c r="AH10" s="20">
        <v>-2880.1048329627629</v>
      </c>
    </row>
    <row r="11" spans="1:43" ht="14.5" x14ac:dyDescent="0.35">
      <c r="A11" s="8">
        <v>45097</v>
      </c>
      <c r="B11" s="9">
        <v>437.17999300000002</v>
      </c>
      <c r="C11" s="10">
        <f t="shared" si="0"/>
        <v>-5.1881810555991607E-3</v>
      </c>
      <c r="D11" s="11">
        <v>72.83</v>
      </c>
      <c r="E11" s="12">
        <f t="shared" si="1"/>
        <v>1.3749484394334429E-3</v>
      </c>
      <c r="F11" s="41"/>
      <c r="G11" s="41"/>
      <c r="H11" s="41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19">
        <v>10</v>
      </c>
      <c r="AH11" s="20">
        <v>1535.5513981764361</v>
      </c>
    </row>
    <row r="12" spans="1:43" ht="14.5" x14ac:dyDescent="0.35">
      <c r="A12" s="8">
        <v>45098</v>
      </c>
      <c r="B12" s="9">
        <v>434.94000199999999</v>
      </c>
      <c r="C12" s="10">
        <f t="shared" si="0"/>
        <v>-5.1237271509815673E-3</v>
      </c>
      <c r="D12" s="11">
        <v>72.95</v>
      </c>
      <c r="E12" s="12">
        <f t="shared" si="1"/>
        <v>1.6476726623644727E-3</v>
      </c>
      <c r="F12" s="41"/>
      <c r="G12" s="41"/>
      <c r="H12" s="41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19">
        <v>11</v>
      </c>
      <c r="AH12" s="20">
        <v>-3782.5908555323258</v>
      </c>
    </row>
    <row r="13" spans="1:43" ht="14.5" x14ac:dyDescent="0.35">
      <c r="A13" s="8">
        <v>45099</v>
      </c>
      <c r="B13" s="9">
        <v>436.51001000000002</v>
      </c>
      <c r="C13" s="10">
        <f t="shared" si="0"/>
        <v>3.6097116677716616E-3</v>
      </c>
      <c r="D13" s="11">
        <v>72.599999999999994</v>
      </c>
      <c r="E13" s="12">
        <f t="shared" si="1"/>
        <v>-4.79780671692952E-3</v>
      </c>
      <c r="F13" s="41"/>
      <c r="G13" s="41"/>
      <c r="H13" s="41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19">
        <v>12</v>
      </c>
      <c r="AH13" s="20">
        <v>-4460.5025246669347</v>
      </c>
    </row>
    <row r="14" spans="1:43" ht="14.5" x14ac:dyDescent="0.35">
      <c r="A14" s="8">
        <v>45100</v>
      </c>
      <c r="B14" s="9">
        <v>433.209991</v>
      </c>
      <c r="C14" s="10">
        <f t="shared" si="0"/>
        <v>-7.5600076158620511E-3</v>
      </c>
      <c r="D14" s="11">
        <v>72.81</v>
      </c>
      <c r="E14" s="12">
        <f t="shared" si="1"/>
        <v>2.8925619834711844E-3</v>
      </c>
      <c r="F14" s="41"/>
      <c r="G14" s="41"/>
      <c r="H14" s="41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19">
        <v>13</v>
      </c>
      <c r="AH14" s="20">
        <v>-2706.3837013744001</v>
      </c>
    </row>
    <row r="15" spans="1:43" ht="14.5" x14ac:dyDescent="0.35">
      <c r="A15" s="8">
        <v>45103</v>
      </c>
      <c r="B15" s="9">
        <v>431.44000199999999</v>
      </c>
      <c r="C15" s="10">
        <f t="shared" si="0"/>
        <v>-4.0857529530061313E-3</v>
      </c>
      <c r="D15" s="11">
        <v>72.900000000000006</v>
      </c>
      <c r="E15" s="12">
        <f t="shared" si="1"/>
        <v>1.2360939431397253E-3</v>
      </c>
      <c r="F15" s="41"/>
      <c r="G15" s="41"/>
      <c r="H15" s="41"/>
      <c r="AG15" s="19">
        <v>14</v>
      </c>
      <c r="AH15" s="20">
        <v>1398.4174707216976</v>
      </c>
    </row>
    <row r="16" spans="1:43" ht="14.5" x14ac:dyDescent="0.35">
      <c r="A16" s="8">
        <v>45104</v>
      </c>
      <c r="B16" s="9">
        <v>436.17001299999998</v>
      </c>
      <c r="C16" s="10">
        <f t="shared" si="0"/>
        <v>1.0963311185966457E-2</v>
      </c>
      <c r="D16" s="11">
        <v>72.760000000000005</v>
      </c>
      <c r="E16" s="12">
        <f t="shared" si="1"/>
        <v>-1.9204389574760021E-3</v>
      </c>
      <c r="F16" s="41"/>
      <c r="G16" s="41"/>
      <c r="H16" s="41"/>
      <c r="AG16" s="19">
        <v>15</v>
      </c>
      <c r="AH16" s="20">
        <v>4236.0621633992196</v>
      </c>
    </row>
    <row r="17" spans="1:34" ht="14.5" x14ac:dyDescent="0.35">
      <c r="A17" s="8">
        <v>45105</v>
      </c>
      <c r="B17" s="9">
        <v>436.39001500000001</v>
      </c>
      <c r="C17" s="10">
        <f t="shared" si="0"/>
        <v>5.0439506028128131E-4</v>
      </c>
      <c r="D17" s="11">
        <v>72.989999999999995</v>
      </c>
      <c r="E17" s="12">
        <f t="shared" si="1"/>
        <v>3.1610775151180558E-3</v>
      </c>
      <c r="F17" s="41"/>
      <c r="G17" s="41"/>
      <c r="H17" s="41"/>
      <c r="AG17" s="19">
        <v>16</v>
      </c>
      <c r="AH17" s="20">
        <v>-1156.3462944478415</v>
      </c>
    </row>
    <row r="18" spans="1:34" ht="14.5" x14ac:dyDescent="0.35">
      <c r="A18" s="8">
        <v>45106</v>
      </c>
      <c r="B18" s="9">
        <v>438.10998499999999</v>
      </c>
      <c r="C18" s="10">
        <f t="shared" si="0"/>
        <v>3.9413596573697708E-3</v>
      </c>
      <c r="D18" s="11">
        <v>72.44</v>
      </c>
      <c r="E18" s="12">
        <f t="shared" si="1"/>
        <v>-7.5352788053157579E-3</v>
      </c>
      <c r="F18" s="41"/>
      <c r="G18" s="41"/>
      <c r="H18" s="41"/>
      <c r="AG18" s="19">
        <v>17</v>
      </c>
      <c r="AH18" s="20">
        <v>-1076.1649236684964</v>
      </c>
    </row>
    <row r="19" spans="1:34" ht="14.5" x14ac:dyDescent="0.35">
      <c r="A19" s="8">
        <v>45107</v>
      </c>
      <c r="B19" s="9">
        <v>443.27999899999998</v>
      </c>
      <c r="C19" s="10">
        <f t="shared" si="0"/>
        <v>1.1800721684076615E-2</v>
      </c>
      <c r="D19" s="11">
        <v>72.69</v>
      </c>
      <c r="E19" s="12">
        <f t="shared" si="1"/>
        <v>3.4511319712865821E-3</v>
      </c>
      <c r="F19" s="41"/>
      <c r="G19" s="41"/>
      <c r="H19" s="41"/>
      <c r="AG19" s="19">
        <v>18</v>
      </c>
      <c r="AH19" s="20">
        <v>-970.81646520981644</v>
      </c>
    </row>
    <row r="20" spans="1:34" ht="14.5" x14ac:dyDescent="0.35">
      <c r="A20" s="8">
        <v>45110</v>
      </c>
      <c r="B20" s="9">
        <v>443.790009</v>
      </c>
      <c r="C20" s="10">
        <f t="shared" si="0"/>
        <v>1.1505369092911014E-3</v>
      </c>
      <c r="D20" s="11">
        <v>72.3</v>
      </c>
      <c r="E20" s="12">
        <f t="shared" si="1"/>
        <v>-5.3652496904663723E-3</v>
      </c>
      <c r="F20" s="41"/>
      <c r="G20" s="41"/>
      <c r="H20" s="41"/>
      <c r="AG20" s="19">
        <v>19</v>
      </c>
      <c r="AH20" s="20">
        <v>4312.4376885070178</v>
      </c>
    </row>
    <row r="21" spans="1:34" ht="14.5" x14ac:dyDescent="0.35">
      <c r="A21" s="8">
        <v>45112</v>
      </c>
      <c r="B21" s="9">
        <v>443.13000499999998</v>
      </c>
      <c r="C21" s="10">
        <f t="shared" si="0"/>
        <v>-1.4871988702206563E-3</v>
      </c>
      <c r="D21" s="11">
        <v>72</v>
      </c>
      <c r="E21" s="12">
        <f t="shared" si="1"/>
        <v>-4.1493775933609568E-3</v>
      </c>
      <c r="F21" s="41"/>
      <c r="G21" s="41"/>
      <c r="H21" s="41"/>
      <c r="AG21" s="19">
        <v>20</v>
      </c>
      <c r="AH21" s="20">
        <v>2778.5765437658692</v>
      </c>
    </row>
    <row r="22" spans="1:34" ht="14.5" x14ac:dyDescent="0.35">
      <c r="A22" s="8">
        <v>45113</v>
      </c>
      <c r="B22" s="9">
        <v>439.66000400000001</v>
      </c>
      <c r="C22" s="10">
        <f t="shared" si="0"/>
        <v>-7.8306613428263967E-3</v>
      </c>
      <c r="D22" s="11">
        <v>71.540000000000006</v>
      </c>
      <c r="E22" s="12">
        <f t="shared" si="1"/>
        <v>-6.3888888888888017E-3</v>
      </c>
      <c r="F22" s="41"/>
      <c r="G22" s="41"/>
      <c r="H22" s="41"/>
      <c r="AG22" s="19">
        <v>21</v>
      </c>
      <c r="AH22" s="20">
        <v>-248.06536688111345</v>
      </c>
    </row>
    <row r="23" spans="1:34" ht="14.5" x14ac:dyDescent="0.35">
      <c r="A23" s="8">
        <v>45114</v>
      </c>
      <c r="B23" s="9">
        <v>438.54998799999998</v>
      </c>
      <c r="C23" s="10">
        <f t="shared" si="0"/>
        <v>-2.5247145291843057E-3</v>
      </c>
      <c r="D23" s="11">
        <v>71.5</v>
      </c>
      <c r="E23" s="12">
        <f t="shared" si="1"/>
        <v>-5.5912776069340581E-4</v>
      </c>
      <c r="F23" s="41"/>
      <c r="G23" s="41"/>
      <c r="H23" s="41"/>
      <c r="AG23" s="19">
        <v>22</v>
      </c>
      <c r="AH23" s="20">
        <v>10.518784107154204</v>
      </c>
    </row>
    <row r="24" spans="1:34" ht="14.5" x14ac:dyDescent="0.35">
      <c r="A24" s="8">
        <v>45117</v>
      </c>
      <c r="B24" s="9">
        <v>439.66000400000001</v>
      </c>
      <c r="C24" s="10">
        <f t="shared" si="0"/>
        <v>2.5311048463648122E-3</v>
      </c>
      <c r="D24" s="11">
        <v>71.75</v>
      </c>
      <c r="E24" s="12">
        <f t="shared" si="1"/>
        <v>3.4965034965034965E-3</v>
      </c>
      <c r="F24" s="41"/>
      <c r="G24" s="41"/>
      <c r="H24" s="41"/>
      <c r="AG24" s="19">
        <v>23</v>
      </c>
      <c r="AH24" s="20">
        <v>-356.0592726110977</v>
      </c>
    </row>
    <row r="25" spans="1:34" ht="14.5" x14ac:dyDescent="0.35">
      <c r="A25" s="8">
        <v>45118</v>
      </c>
      <c r="B25" s="9">
        <v>442.459991</v>
      </c>
      <c r="C25" s="10">
        <f t="shared" si="0"/>
        <v>6.3685278954780412E-3</v>
      </c>
      <c r="D25" s="11">
        <v>71.900000000000006</v>
      </c>
      <c r="E25" s="12">
        <f t="shared" si="1"/>
        <v>2.0905923344948529E-3</v>
      </c>
      <c r="F25" s="41"/>
      <c r="G25" s="41"/>
      <c r="H25" s="41"/>
      <c r="AG25" s="19">
        <v>24</v>
      </c>
      <c r="AH25" s="20">
        <v>-143.62265432238388</v>
      </c>
    </row>
    <row r="26" spans="1:34" ht="14.5" x14ac:dyDescent="0.35">
      <c r="A26" s="8">
        <v>45119</v>
      </c>
      <c r="B26" s="9">
        <v>446.01998900000001</v>
      </c>
      <c r="C26" s="10">
        <f t="shared" si="0"/>
        <v>8.0459206988502778E-3</v>
      </c>
      <c r="D26" s="11">
        <v>72.47</v>
      </c>
      <c r="E26" s="12">
        <f t="shared" si="1"/>
        <v>7.9276773296243826E-3</v>
      </c>
      <c r="F26" s="41"/>
      <c r="G26" s="41"/>
      <c r="H26" s="41"/>
      <c r="AG26" s="19">
        <v>25</v>
      </c>
      <c r="AH26" s="20">
        <v>-1352.3610685751603</v>
      </c>
    </row>
    <row r="27" spans="1:34" ht="14.5" x14ac:dyDescent="0.35">
      <c r="A27" s="8">
        <v>45120</v>
      </c>
      <c r="B27" s="9">
        <v>449.55999800000001</v>
      </c>
      <c r="C27" s="10">
        <f t="shared" si="0"/>
        <v>7.9368841919773194E-3</v>
      </c>
      <c r="D27" s="11">
        <v>72.91</v>
      </c>
      <c r="E27" s="12">
        <f t="shared" si="1"/>
        <v>6.0714778529046189E-3</v>
      </c>
      <c r="F27" s="41"/>
      <c r="G27" s="41"/>
      <c r="H27" s="41"/>
      <c r="AG27" s="19">
        <v>26</v>
      </c>
      <c r="AH27" s="20">
        <v>3260.9709178992221</v>
      </c>
    </row>
    <row r="28" spans="1:34" ht="14.5" x14ac:dyDescent="0.35">
      <c r="A28" s="8">
        <v>45121</v>
      </c>
      <c r="B28" s="9">
        <v>449.27999899999998</v>
      </c>
      <c r="C28" s="10">
        <f t="shared" si="0"/>
        <v>-6.2282899111506824E-4</v>
      </c>
      <c r="D28" s="11">
        <v>72.569999999999993</v>
      </c>
      <c r="E28" s="12">
        <f t="shared" si="1"/>
        <v>-4.6632835002057803E-3</v>
      </c>
      <c r="F28" s="41"/>
      <c r="G28" s="41"/>
      <c r="H28" s="41"/>
      <c r="AG28" s="19">
        <v>27</v>
      </c>
      <c r="AH28" s="20">
        <v>-156.74981333886575</v>
      </c>
    </row>
    <row r="29" spans="1:34" ht="14.5" x14ac:dyDescent="0.35">
      <c r="A29" s="8">
        <v>45124</v>
      </c>
      <c r="B29" s="9">
        <v>450.83999599999999</v>
      </c>
      <c r="C29" s="10">
        <f t="shared" si="0"/>
        <v>3.4722155526002172E-3</v>
      </c>
      <c r="D29" s="11">
        <v>72.650000000000006</v>
      </c>
      <c r="E29" s="12">
        <f t="shared" si="1"/>
        <v>1.1023839051951566E-3</v>
      </c>
      <c r="F29" s="41"/>
      <c r="G29" s="41"/>
      <c r="H29" s="41"/>
      <c r="AG29" s="19">
        <v>28</v>
      </c>
      <c r="AH29" s="20">
        <v>744.10763298363679</v>
      </c>
    </row>
    <row r="30" spans="1:34" ht="14.5" x14ac:dyDescent="0.35">
      <c r="A30" s="8">
        <v>45125</v>
      </c>
      <c r="B30" s="9">
        <v>454.19000199999999</v>
      </c>
      <c r="C30" s="10">
        <f t="shared" si="0"/>
        <v>7.4305874139880164E-3</v>
      </c>
      <c r="D30" s="11">
        <v>72.739999999999995</v>
      </c>
      <c r="E30" s="12">
        <f t="shared" si="1"/>
        <v>1.2388162422572496E-3</v>
      </c>
      <c r="F30" s="41"/>
      <c r="G30" s="41"/>
      <c r="H30" s="41"/>
      <c r="AG30" s="19">
        <v>29</v>
      </c>
      <c r="AH30" s="20">
        <v>1664.3984977237394</v>
      </c>
    </row>
    <row r="31" spans="1:34" ht="14.5" x14ac:dyDescent="0.35">
      <c r="A31" s="8">
        <v>45126</v>
      </c>
      <c r="B31" s="9">
        <v>455.20001200000002</v>
      </c>
      <c r="C31" s="10">
        <f t="shared" si="0"/>
        <v>2.2237609712950539E-3</v>
      </c>
      <c r="D31" s="11">
        <v>72.91</v>
      </c>
      <c r="E31" s="12">
        <f t="shared" si="1"/>
        <v>2.3370910090734359E-3</v>
      </c>
      <c r="F31" s="41"/>
      <c r="G31" s="41"/>
      <c r="H31" s="41"/>
      <c r="AG31" s="19">
        <v>30</v>
      </c>
      <c r="AH31" s="20">
        <v>196.51182906062954</v>
      </c>
    </row>
    <row r="32" spans="1:34" ht="14.5" x14ac:dyDescent="0.35">
      <c r="A32" s="8">
        <v>45127</v>
      </c>
      <c r="B32" s="9">
        <v>452.17999300000002</v>
      </c>
      <c r="C32" s="10">
        <f t="shared" si="0"/>
        <v>-6.634487962183952E-3</v>
      </c>
      <c r="D32" s="11">
        <v>72.569999999999993</v>
      </c>
      <c r="E32" s="12">
        <f t="shared" si="1"/>
        <v>-4.6632835002057803E-3</v>
      </c>
      <c r="F32" s="41"/>
      <c r="G32" s="41"/>
      <c r="H32" s="41"/>
      <c r="AG32" s="19">
        <v>31</v>
      </c>
      <c r="AH32" s="20">
        <v>299.92167521611981</v>
      </c>
    </row>
    <row r="33" spans="1:34" ht="14.5" x14ac:dyDescent="0.35">
      <c r="A33" s="8">
        <v>45128</v>
      </c>
      <c r="B33" s="9">
        <v>452.17999300000002</v>
      </c>
      <c r="C33" s="10">
        <f t="shared" si="0"/>
        <v>0</v>
      </c>
      <c r="D33" s="11">
        <v>72.62</v>
      </c>
      <c r="E33" s="12">
        <f t="shared" si="1"/>
        <v>6.8898994074702183E-4</v>
      </c>
      <c r="F33" s="41"/>
      <c r="G33" s="41"/>
      <c r="H33" s="41"/>
      <c r="AG33" s="19">
        <v>32</v>
      </c>
      <c r="AH33" s="20">
        <v>1855.9682708708956</v>
      </c>
    </row>
    <row r="34" spans="1:34" ht="14.5" x14ac:dyDescent="0.35">
      <c r="A34" s="8">
        <v>45131</v>
      </c>
      <c r="B34" s="9">
        <v>454.20001200000002</v>
      </c>
      <c r="C34" s="10">
        <f t="shared" si="0"/>
        <v>4.4672896441041582E-3</v>
      </c>
      <c r="D34" s="11">
        <v>72.5</v>
      </c>
      <c r="E34" s="12">
        <f t="shared" si="1"/>
        <v>-1.6524373450840615E-3</v>
      </c>
      <c r="F34" s="41"/>
      <c r="G34" s="41"/>
      <c r="H34" s="41"/>
      <c r="AG34" s="19">
        <v>33</v>
      </c>
      <c r="AH34" s="20">
        <v>4198.3887253646662</v>
      </c>
    </row>
    <row r="35" spans="1:34" ht="14.5" x14ac:dyDescent="0.35">
      <c r="A35" s="8">
        <v>45132</v>
      </c>
      <c r="B35" s="9">
        <v>455.44000199999999</v>
      </c>
      <c r="C35" s="10">
        <f t="shared" si="0"/>
        <v>2.7300527680302602E-3</v>
      </c>
      <c r="D35" s="11">
        <v>72.42</v>
      </c>
      <c r="E35" s="12">
        <f t="shared" si="1"/>
        <v>-1.1034482758620454E-3</v>
      </c>
      <c r="F35" s="41"/>
      <c r="G35" s="41"/>
      <c r="H35" s="41"/>
      <c r="AG35" s="19">
        <v>34</v>
      </c>
      <c r="AH35" s="20">
        <v>1506.8864933418895</v>
      </c>
    </row>
    <row r="36" spans="1:34" ht="14.5" x14ac:dyDescent="0.35">
      <c r="A36" s="8">
        <v>45133</v>
      </c>
      <c r="B36" s="9">
        <v>455.51001000000002</v>
      </c>
      <c r="C36" s="10">
        <f t="shared" si="0"/>
        <v>1.5371508803047526E-4</v>
      </c>
      <c r="D36" s="11">
        <v>72.66</v>
      </c>
      <c r="E36" s="12">
        <f t="shared" si="1"/>
        <v>3.3140016570007576E-3</v>
      </c>
      <c r="F36" s="41"/>
      <c r="G36" s="41"/>
      <c r="H36" s="41"/>
      <c r="AG36" s="19">
        <v>35</v>
      </c>
      <c r="AH36" s="20">
        <v>2708.7377393244487</v>
      </c>
    </row>
    <row r="37" spans="1:34" ht="14.5" x14ac:dyDescent="0.35">
      <c r="A37" s="8">
        <v>45134</v>
      </c>
      <c r="B37" s="9">
        <v>452.48998999999998</v>
      </c>
      <c r="C37" s="10">
        <f t="shared" si="0"/>
        <v>-6.6299750470907208E-3</v>
      </c>
      <c r="D37" s="11">
        <v>72.040000000000006</v>
      </c>
      <c r="E37" s="12">
        <f t="shared" si="1"/>
        <v>-8.5328929259563778E-3</v>
      </c>
      <c r="F37" s="41"/>
      <c r="G37" s="41"/>
      <c r="H37" s="41"/>
      <c r="AG37" s="19">
        <v>36</v>
      </c>
      <c r="AH37" s="20">
        <v>-1156.9549553470267</v>
      </c>
    </row>
    <row r="38" spans="1:34" ht="14.5" x14ac:dyDescent="0.35">
      <c r="A38" s="8">
        <v>45135</v>
      </c>
      <c r="B38" s="9">
        <v>456.92001299999998</v>
      </c>
      <c r="C38" s="10">
        <f t="shared" si="0"/>
        <v>9.7903226544304462E-3</v>
      </c>
      <c r="D38" s="11">
        <v>72.290000000000006</v>
      </c>
      <c r="E38" s="12">
        <f t="shared" si="1"/>
        <v>3.4702942809550245E-3</v>
      </c>
      <c r="F38" s="41"/>
      <c r="G38" s="41"/>
      <c r="H38" s="41"/>
      <c r="AG38" s="19">
        <v>37</v>
      </c>
      <c r="AH38" s="20">
        <v>-596.04544450987441</v>
      </c>
    </row>
    <row r="39" spans="1:34" ht="14.5" x14ac:dyDescent="0.35">
      <c r="A39" s="8">
        <v>45138</v>
      </c>
      <c r="B39" s="9">
        <v>457.790009</v>
      </c>
      <c r="C39" s="10">
        <f t="shared" si="0"/>
        <v>1.9040444175073038E-3</v>
      </c>
      <c r="D39" s="11">
        <v>72.42</v>
      </c>
      <c r="E39" s="12">
        <f t="shared" si="1"/>
        <v>1.798312353022485E-3</v>
      </c>
      <c r="F39" s="41"/>
      <c r="G39" s="41"/>
      <c r="H39" s="41"/>
      <c r="AG39" s="19">
        <v>38</v>
      </c>
      <c r="AH39" s="20">
        <v>-176.64622193814472</v>
      </c>
    </row>
    <row r="40" spans="1:34" ht="14.5" x14ac:dyDescent="0.35">
      <c r="A40" s="8">
        <v>45139</v>
      </c>
      <c r="B40" s="9">
        <v>456.48001099999999</v>
      </c>
      <c r="C40" s="10">
        <f t="shared" si="0"/>
        <v>-2.8615696591141799E-3</v>
      </c>
      <c r="D40" s="11">
        <v>71.78</v>
      </c>
      <c r="E40" s="12">
        <f t="shared" si="1"/>
        <v>-8.8373377520022164E-3</v>
      </c>
      <c r="F40" s="41"/>
      <c r="G40" s="41"/>
      <c r="H40" s="41"/>
      <c r="AG40" s="19">
        <v>39</v>
      </c>
      <c r="AH40" s="20">
        <v>712.56836106717765</v>
      </c>
    </row>
    <row r="41" spans="1:34" ht="14.5" x14ac:dyDescent="0.35">
      <c r="A41" s="8">
        <v>45140</v>
      </c>
      <c r="B41" s="9">
        <v>450.13000499999998</v>
      </c>
      <c r="C41" s="10">
        <f t="shared" si="0"/>
        <v>-1.3910808462541875E-2</v>
      </c>
      <c r="D41" s="11">
        <v>71.55</v>
      </c>
      <c r="E41" s="12">
        <f t="shared" si="1"/>
        <v>-3.2042351629981052E-3</v>
      </c>
      <c r="F41" s="41"/>
      <c r="G41" s="41"/>
      <c r="H41" s="41"/>
      <c r="AG41" s="19">
        <v>40</v>
      </c>
      <c r="AH41" s="20">
        <v>-2385.659179002138</v>
      </c>
    </row>
    <row r="42" spans="1:34" ht="14.5" x14ac:dyDescent="0.35">
      <c r="A42" s="8">
        <v>45141</v>
      </c>
      <c r="B42" s="9">
        <v>448.83999599999999</v>
      </c>
      <c r="C42" s="10">
        <f t="shared" si="0"/>
        <v>-2.8658587200824301E-3</v>
      </c>
      <c r="D42" s="11">
        <v>71.11</v>
      </c>
      <c r="E42" s="12">
        <f t="shared" si="1"/>
        <v>-6.1495457721872501E-3</v>
      </c>
      <c r="F42" s="41"/>
      <c r="G42" s="41"/>
      <c r="H42" s="41"/>
      <c r="AG42" s="19">
        <v>41</v>
      </c>
      <c r="AH42" s="20">
        <v>-510.19757141885538</v>
      </c>
    </row>
    <row r="43" spans="1:34" ht="14.5" x14ac:dyDescent="0.35">
      <c r="A43" s="8">
        <v>45142</v>
      </c>
      <c r="B43" s="9">
        <v>446.80999800000001</v>
      </c>
      <c r="C43" s="10">
        <f t="shared" si="0"/>
        <v>-4.5227653909879675E-3</v>
      </c>
      <c r="D43" s="11">
        <v>71.7</v>
      </c>
      <c r="E43" s="12">
        <f t="shared" si="1"/>
        <v>8.2970046406975594E-3</v>
      </c>
      <c r="F43" s="41"/>
      <c r="G43" s="41"/>
      <c r="H43" s="41"/>
      <c r="AG43" s="19">
        <v>42</v>
      </c>
      <c r="AH43" s="20">
        <v>-877.09018769988688</v>
      </c>
    </row>
    <row r="44" spans="1:34" ht="14.5" x14ac:dyDescent="0.35">
      <c r="A44" s="8">
        <v>45145</v>
      </c>
      <c r="B44" s="9">
        <v>450.709991</v>
      </c>
      <c r="C44" s="10">
        <f t="shared" si="0"/>
        <v>8.7285267058862786E-3</v>
      </c>
      <c r="D44" s="11">
        <v>71.59</v>
      </c>
      <c r="E44" s="12">
        <f t="shared" si="1"/>
        <v>-1.5341701534170072E-3</v>
      </c>
      <c r="F44" s="41"/>
      <c r="G44" s="41"/>
      <c r="H44" s="41"/>
      <c r="AG44" s="19">
        <v>43</v>
      </c>
      <c r="AH44" s="20">
        <v>1411.045507894969</v>
      </c>
    </row>
    <row r="45" spans="1:34" ht="14.5" x14ac:dyDescent="0.35">
      <c r="A45" s="8">
        <v>45146</v>
      </c>
      <c r="B45" s="9">
        <v>448.75</v>
      </c>
      <c r="C45" s="10">
        <f t="shared" si="0"/>
        <v>-4.348674400696838E-3</v>
      </c>
      <c r="D45" s="11">
        <v>71.849999999999994</v>
      </c>
      <c r="E45" s="12">
        <f t="shared" si="1"/>
        <v>3.6317921497414567E-3</v>
      </c>
      <c r="F45" s="41"/>
      <c r="G45" s="41"/>
      <c r="H45" s="41"/>
      <c r="AG45" s="19">
        <v>44</v>
      </c>
      <c r="AH45" s="20">
        <v>306.34702704142967</v>
      </c>
    </row>
    <row r="46" spans="1:34" ht="14.5" x14ac:dyDescent="0.35">
      <c r="A46" s="8">
        <v>45147</v>
      </c>
      <c r="B46" s="9">
        <v>445.75</v>
      </c>
      <c r="C46" s="10">
        <f t="shared" si="0"/>
        <v>-6.6852367688022283E-3</v>
      </c>
      <c r="D46" s="11">
        <v>71.87</v>
      </c>
      <c r="E46" s="12">
        <f t="shared" si="1"/>
        <v>2.7835768963131849E-4</v>
      </c>
      <c r="F46" s="41"/>
      <c r="G46" s="41"/>
      <c r="H46" s="41"/>
      <c r="AG46" s="19">
        <v>45</v>
      </c>
      <c r="AH46" s="20">
        <v>1023.9186708611894</v>
      </c>
    </row>
    <row r="47" spans="1:34" ht="14.5" x14ac:dyDescent="0.35">
      <c r="A47" s="8">
        <v>45148</v>
      </c>
      <c r="B47" s="9">
        <v>445.91000400000001</v>
      </c>
      <c r="C47" s="10">
        <f t="shared" si="0"/>
        <v>3.5895457094787419E-4</v>
      </c>
      <c r="D47" s="11">
        <v>71.47</v>
      </c>
      <c r="E47" s="12">
        <f t="shared" si="1"/>
        <v>-5.5656045637958208E-3</v>
      </c>
      <c r="F47" s="41"/>
      <c r="G47" s="41"/>
      <c r="H47" s="41"/>
      <c r="AG47" s="19">
        <v>46</v>
      </c>
      <c r="AH47" s="20">
        <v>-1944.5719483616169</v>
      </c>
    </row>
    <row r="48" spans="1:34" ht="14.5" x14ac:dyDescent="0.35">
      <c r="A48" s="8">
        <v>45149</v>
      </c>
      <c r="B48" s="9">
        <v>445.64999399999999</v>
      </c>
      <c r="C48" s="10">
        <f t="shared" si="0"/>
        <v>-5.8309972341419477E-4</v>
      </c>
      <c r="D48" s="11">
        <v>71.239999999999995</v>
      </c>
      <c r="E48" s="12">
        <f t="shared" si="1"/>
        <v>-3.2181334825801592E-3</v>
      </c>
      <c r="F48" s="41"/>
      <c r="G48" s="41"/>
      <c r="H48" s="41"/>
      <c r="AG48" s="19">
        <v>47</v>
      </c>
      <c r="AH48" s="20">
        <v>-1653.4964577866101</v>
      </c>
    </row>
    <row r="49" spans="1:34" ht="14.5" x14ac:dyDescent="0.35">
      <c r="A49" s="8">
        <v>45152</v>
      </c>
      <c r="B49" s="9">
        <v>448.10998499999999</v>
      </c>
      <c r="C49" s="10">
        <f t="shared" si="0"/>
        <v>5.5200068060586626E-3</v>
      </c>
      <c r="D49" s="11">
        <v>71.150000000000006</v>
      </c>
      <c r="E49" s="12">
        <f t="shared" si="1"/>
        <v>-1.2633352049408928E-3</v>
      </c>
      <c r="F49" s="41"/>
      <c r="G49" s="41"/>
      <c r="H49" s="41"/>
      <c r="AG49" s="19">
        <v>48</v>
      </c>
      <c r="AH49" s="20">
        <v>-1829.2947821074561</v>
      </c>
    </row>
    <row r="50" spans="1:34" ht="14.5" x14ac:dyDescent="0.35">
      <c r="A50" s="8">
        <v>45153</v>
      </c>
      <c r="B50" s="9">
        <v>442.89001500000001</v>
      </c>
      <c r="C50" s="10">
        <f t="shared" si="0"/>
        <v>-1.1648858929130958E-2</v>
      </c>
      <c r="D50" s="11">
        <v>70.989999999999995</v>
      </c>
      <c r="E50" s="12">
        <f t="shared" si="1"/>
        <v>-2.2487702037949512E-3</v>
      </c>
      <c r="F50" s="41"/>
      <c r="G50" s="41"/>
      <c r="H50" s="41"/>
      <c r="AG50" s="19">
        <v>49</v>
      </c>
      <c r="AH50" s="20">
        <v>-5733.639519222319</v>
      </c>
    </row>
    <row r="51" spans="1:34" ht="14.5" x14ac:dyDescent="0.35">
      <c r="A51" s="8">
        <v>45154</v>
      </c>
      <c r="B51" s="9">
        <v>439.64001500000001</v>
      </c>
      <c r="C51" s="10">
        <f t="shared" si="0"/>
        <v>-7.3381649843697648E-3</v>
      </c>
      <c r="D51" s="11">
        <v>70.790000000000006</v>
      </c>
      <c r="E51" s="12">
        <f t="shared" si="1"/>
        <v>-2.8172982110154761E-3</v>
      </c>
      <c r="F51" s="41"/>
      <c r="G51" s="41"/>
      <c r="H51" s="41"/>
      <c r="AG51" s="19">
        <v>50</v>
      </c>
      <c r="AH51" s="20">
        <v>4791.4304964473522</v>
      </c>
    </row>
    <row r="52" spans="1:34" ht="14.5" x14ac:dyDescent="0.35">
      <c r="A52" s="8">
        <v>45155</v>
      </c>
      <c r="B52" s="9">
        <v>436.290009</v>
      </c>
      <c r="C52" s="10">
        <f t="shared" si="0"/>
        <v>-7.6198841909329105E-3</v>
      </c>
      <c r="D52" s="11">
        <v>70.72</v>
      </c>
      <c r="E52" s="12">
        <f t="shared" si="1"/>
        <v>-9.888402316712442E-4</v>
      </c>
      <c r="F52" s="41"/>
      <c r="G52" s="41"/>
      <c r="H52" s="41"/>
      <c r="AG52" s="19">
        <v>51</v>
      </c>
      <c r="AH52" s="20">
        <v>2316.869230296923</v>
      </c>
    </row>
    <row r="53" spans="1:34" ht="14.5" x14ac:dyDescent="0.35">
      <c r="A53" s="8">
        <v>45156</v>
      </c>
      <c r="B53" s="9">
        <v>436.5</v>
      </c>
      <c r="C53" s="10">
        <f t="shared" si="0"/>
        <v>4.8131058623440139E-4</v>
      </c>
      <c r="D53" s="11">
        <v>70.87</v>
      </c>
      <c r="E53" s="12">
        <f t="shared" si="1"/>
        <v>2.121040723981981E-3</v>
      </c>
      <c r="F53" s="41"/>
      <c r="G53" s="41"/>
      <c r="H53" s="41"/>
      <c r="AG53" s="19">
        <v>52</v>
      </c>
      <c r="AH53" s="20">
        <v>-1858.0566838948187</v>
      </c>
    </row>
    <row r="54" spans="1:34" ht="14.5" x14ac:dyDescent="0.35">
      <c r="A54" s="8">
        <v>45159</v>
      </c>
      <c r="B54" s="9">
        <v>439.33999599999999</v>
      </c>
      <c r="C54" s="10">
        <f t="shared" si="0"/>
        <v>6.5062909507445244E-3</v>
      </c>
      <c r="D54" s="11">
        <v>70.53</v>
      </c>
      <c r="E54" s="12">
        <f t="shared" si="1"/>
        <v>-4.7975165796529332E-3</v>
      </c>
      <c r="F54" s="41"/>
      <c r="G54" s="41"/>
      <c r="H54" s="41"/>
      <c r="AG54" s="19">
        <v>53</v>
      </c>
      <c r="AH54" s="20">
        <v>1941.8629782990313</v>
      </c>
    </row>
    <row r="55" spans="1:34" ht="14.5" x14ac:dyDescent="0.35">
      <c r="A55" s="8">
        <v>45160</v>
      </c>
      <c r="B55" s="9">
        <v>438.14999399999999</v>
      </c>
      <c r="C55" s="10">
        <f t="shared" si="0"/>
        <v>-2.7086129440397973E-3</v>
      </c>
      <c r="D55" s="11">
        <v>70.62</v>
      </c>
      <c r="E55" s="12">
        <f t="shared" si="1"/>
        <v>1.2760527435134469E-3</v>
      </c>
      <c r="F55" s="41"/>
      <c r="G55" s="41"/>
      <c r="H55" s="41"/>
      <c r="AG55" s="19">
        <v>54</v>
      </c>
      <c r="AH55" s="20">
        <v>573.26564836369175</v>
      </c>
    </row>
    <row r="56" spans="1:34" ht="14.5" x14ac:dyDescent="0.35">
      <c r="A56" s="8">
        <v>45161</v>
      </c>
      <c r="B56" s="9">
        <v>443.02999899999998</v>
      </c>
      <c r="C56" s="10">
        <f t="shared" si="0"/>
        <v>1.113774978164209E-2</v>
      </c>
      <c r="D56" s="11">
        <v>71.260000000000005</v>
      </c>
      <c r="E56" s="12">
        <f t="shared" si="1"/>
        <v>9.0625885018408465E-3</v>
      </c>
      <c r="F56" s="41"/>
      <c r="G56" s="41"/>
      <c r="H56" s="41"/>
      <c r="AG56" s="19">
        <v>55</v>
      </c>
      <c r="AH56" s="20">
        <v>565.77204920588849</v>
      </c>
    </row>
    <row r="57" spans="1:34" ht="14.5" x14ac:dyDescent="0.35">
      <c r="A57" s="8">
        <v>45162</v>
      </c>
      <c r="B57" s="9">
        <v>436.89001500000001</v>
      </c>
      <c r="C57" s="10">
        <f t="shared" si="0"/>
        <v>-1.385907052312268E-2</v>
      </c>
      <c r="D57" s="11">
        <v>71.09</v>
      </c>
      <c r="E57" s="12">
        <f t="shared" si="1"/>
        <v>-2.3856300870053562E-3</v>
      </c>
      <c r="F57" s="41"/>
      <c r="G57" s="41"/>
      <c r="H57" s="41"/>
      <c r="AG57" s="19">
        <v>56</v>
      </c>
      <c r="AH57" s="20">
        <v>-1435.9521806950254</v>
      </c>
    </row>
    <row r="58" spans="1:34" ht="14.5" x14ac:dyDescent="0.35">
      <c r="A58" s="8">
        <v>45163</v>
      </c>
      <c r="B58" s="9">
        <v>439.97000100000002</v>
      </c>
      <c r="C58" s="10">
        <f t="shared" si="0"/>
        <v>7.0497971898030665E-3</v>
      </c>
      <c r="D58" s="11">
        <v>71.09</v>
      </c>
      <c r="E58" s="12">
        <f t="shared" si="1"/>
        <v>0</v>
      </c>
      <c r="F58" s="41"/>
      <c r="G58" s="41"/>
      <c r="H58" s="41"/>
      <c r="AG58" s="19">
        <v>57</v>
      </c>
      <c r="AH58" s="20">
        <v>1561.920573381849</v>
      </c>
    </row>
    <row r="59" spans="1:34" ht="14.5" x14ac:dyDescent="0.35">
      <c r="A59" s="8">
        <v>45166</v>
      </c>
      <c r="B59" s="9">
        <v>442.76001000000002</v>
      </c>
      <c r="C59" s="10">
        <f t="shared" si="0"/>
        <v>6.3413618966262145E-3</v>
      </c>
      <c r="D59" s="11">
        <v>71.22</v>
      </c>
      <c r="E59" s="12">
        <f t="shared" si="1"/>
        <v>1.8286678857785264E-3</v>
      </c>
      <c r="F59" s="41"/>
      <c r="G59" s="41"/>
      <c r="H59" s="41"/>
      <c r="AG59" s="19">
        <v>58</v>
      </c>
      <c r="AH59" s="20">
        <v>76.549126548143079</v>
      </c>
    </row>
    <row r="60" spans="1:34" ht="14.5" x14ac:dyDescent="0.35">
      <c r="A60" s="8">
        <v>45167</v>
      </c>
      <c r="B60" s="9">
        <v>449.16000400000001</v>
      </c>
      <c r="C60" s="10">
        <f t="shared" si="0"/>
        <v>1.4454769752128229E-2</v>
      </c>
      <c r="D60" s="11">
        <v>71.66</v>
      </c>
      <c r="E60" s="12">
        <f t="shared" si="1"/>
        <v>6.178039876439171E-3</v>
      </c>
      <c r="F60" s="41"/>
      <c r="G60" s="41"/>
      <c r="H60" s="41"/>
      <c r="AG60" s="19">
        <v>59</v>
      </c>
      <c r="AH60" s="20">
        <v>1059.7861152440664</v>
      </c>
    </row>
    <row r="61" spans="1:34" ht="14.5" x14ac:dyDescent="0.35">
      <c r="A61" s="8">
        <v>45168</v>
      </c>
      <c r="B61" s="9">
        <v>451.01001000000002</v>
      </c>
      <c r="C61" s="10">
        <f t="shared" si="0"/>
        <v>4.1188128585019947E-3</v>
      </c>
      <c r="D61" s="11">
        <v>71.63</v>
      </c>
      <c r="E61" s="12">
        <f t="shared" si="1"/>
        <v>-4.1864359475301616E-4</v>
      </c>
      <c r="F61" s="41"/>
      <c r="G61" s="41"/>
      <c r="H61" s="41"/>
      <c r="AG61" s="19">
        <v>60</v>
      </c>
      <c r="AH61" s="20">
        <v>1570.2859318737105</v>
      </c>
    </row>
    <row r="62" spans="1:34" ht="14.5" x14ac:dyDescent="0.35">
      <c r="A62" s="8">
        <v>45169</v>
      </c>
      <c r="B62" s="9">
        <v>450.35000600000001</v>
      </c>
      <c r="C62" s="10">
        <f t="shared" si="0"/>
        <v>-1.4633910231837534E-3</v>
      </c>
      <c r="D62" s="11">
        <v>71.75</v>
      </c>
      <c r="E62" s="12">
        <f t="shared" si="1"/>
        <v>1.6752757224627189E-3</v>
      </c>
      <c r="F62" s="41"/>
      <c r="G62" s="41"/>
      <c r="H62" s="41"/>
      <c r="AG62" s="19">
        <v>61</v>
      </c>
      <c r="AH62" s="20">
        <v>96.859488759299381</v>
      </c>
    </row>
    <row r="63" spans="1:34" ht="14.5" x14ac:dyDescent="0.35">
      <c r="A63" s="8">
        <v>45170</v>
      </c>
      <c r="B63" s="9">
        <v>451.19000199999999</v>
      </c>
      <c r="C63" s="10">
        <f t="shared" si="0"/>
        <v>1.8652070363245096E-3</v>
      </c>
      <c r="D63" s="11">
        <v>71.209999999999994</v>
      </c>
      <c r="E63" s="12">
        <f t="shared" si="1"/>
        <v>-7.5261324041812714E-3</v>
      </c>
      <c r="F63" s="41"/>
      <c r="G63" s="41"/>
      <c r="H63" s="41"/>
      <c r="AG63" s="19">
        <v>62</v>
      </c>
      <c r="AH63" s="20">
        <v>3030.4782927729966</v>
      </c>
    </row>
    <row r="64" spans="1:34" ht="14.5" x14ac:dyDescent="0.35">
      <c r="A64" s="8">
        <v>45174</v>
      </c>
      <c r="B64" s="9">
        <v>449.23998999999998</v>
      </c>
      <c r="C64" s="10">
        <f t="shared" si="0"/>
        <v>-4.3219308747005775E-3</v>
      </c>
      <c r="D64" s="11">
        <v>70.819999999999993</v>
      </c>
      <c r="E64" s="12">
        <f t="shared" si="1"/>
        <v>-5.4767588821794779E-3</v>
      </c>
      <c r="F64" s="41"/>
      <c r="G64" s="41"/>
      <c r="H64" s="41"/>
      <c r="AG64" s="19">
        <v>63</v>
      </c>
      <c r="AH64" s="20">
        <v>-590.53239394951561</v>
      </c>
    </row>
    <row r="65" spans="1:34" ht="14.5" x14ac:dyDescent="0.35">
      <c r="A65" s="8">
        <v>45175</v>
      </c>
      <c r="B65" s="9">
        <v>446.22000100000002</v>
      </c>
      <c r="C65" s="10">
        <f t="shared" si="0"/>
        <v>-6.7224402707335845E-3</v>
      </c>
      <c r="D65" s="11">
        <v>70.739999999999995</v>
      </c>
      <c r="E65" s="12">
        <f t="shared" si="1"/>
        <v>-1.1296243998870136E-3</v>
      </c>
      <c r="F65" s="41"/>
      <c r="G65" s="41"/>
      <c r="H65" s="41"/>
      <c r="AG65" s="19">
        <v>64</v>
      </c>
      <c r="AH65" s="20">
        <v>2063.9088999947226</v>
      </c>
    </row>
    <row r="66" spans="1:34" ht="14.5" x14ac:dyDescent="0.35">
      <c r="A66" s="8">
        <v>45176</v>
      </c>
      <c r="B66" s="9">
        <v>444.85000600000001</v>
      </c>
      <c r="C66" s="10">
        <f t="shared" si="0"/>
        <v>-3.0702232014024338E-3</v>
      </c>
      <c r="D66" s="11">
        <v>70.98</v>
      </c>
      <c r="E66" s="12">
        <f t="shared" si="1"/>
        <v>3.3927056827821474E-3</v>
      </c>
      <c r="F66" s="41"/>
      <c r="G66" s="41"/>
      <c r="H66" s="41"/>
      <c r="AG66" s="19">
        <v>65</v>
      </c>
      <c r="AH66" s="20">
        <v>-384.55009417759294</v>
      </c>
    </row>
    <row r="67" spans="1:34" ht="14.5" x14ac:dyDescent="0.35">
      <c r="A67" s="8">
        <v>45177</v>
      </c>
      <c r="B67" s="9">
        <v>445.51998900000001</v>
      </c>
      <c r="C67" s="10">
        <f t="shared" si="0"/>
        <v>1.5060874248926097E-3</v>
      </c>
      <c r="D67" s="11">
        <v>71</v>
      </c>
      <c r="E67" s="12">
        <f t="shared" si="1"/>
        <v>2.8176951253868724E-4</v>
      </c>
      <c r="F67" s="41"/>
      <c r="G67" s="41"/>
      <c r="H67" s="41"/>
      <c r="AG67" s="19">
        <v>66</v>
      </c>
      <c r="AH67" s="20">
        <v>1848.7940498841742</v>
      </c>
    </row>
    <row r="68" spans="1:34" ht="14.5" x14ac:dyDescent="0.35">
      <c r="A68" s="8">
        <v>45180</v>
      </c>
      <c r="B68" s="9">
        <v>448.45001200000002</v>
      </c>
      <c r="C68" s="10">
        <f t="shared" si="0"/>
        <v>6.5766364525565776E-3</v>
      </c>
      <c r="D68" s="11">
        <v>70.89</v>
      </c>
      <c r="E68" s="12">
        <f t="shared" si="1"/>
        <v>-1.5492957746478793E-3</v>
      </c>
      <c r="F68" s="41"/>
      <c r="G68" s="41"/>
      <c r="H68" s="41"/>
      <c r="AG68" s="19">
        <v>67</v>
      </c>
      <c r="AH68" s="20">
        <v>2073.4446440390698</v>
      </c>
    </row>
    <row r="69" spans="1:34" ht="14.5" x14ac:dyDescent="0.35">
      <c r="A69" s="8">
        <v>45181</v>
      </c>
      <c r="B69" s="9">
        <v>445.98998999999998</v>
      </c>
      <c r="C69" s="10">
        <f t="shared" si="0"/>
        <v>-5.4856102891575739E-3</v>
      </c>
      <c r="D69" s="11">
        <v>70.94</v>
      </c>
      <c r="E69" s="12">
        <f t="shared" si="1"/>
        <v>7.0531809846236643E-4</v>
      </c>
      <c r="F69" s="41"/>
      <c r="G69" s="41"/>
      <c r="H69" s="41"/>
      <c r="AG69" s="19">
        <v>68</v>
      </c>
      <c r="AH69" s="20">
        <v>-442.29709658144458</v>
      </c>
    </row>
    <row r="70" spans="1:34" ht="14.5" x14ac:dyDescent="0.35">
      <c r="A70" s="8">
        <v>45182</v>
      </c>
      <c r="B70" s="9">
        <v>446.51001000000002</v>
      </c>
      <c r="C70" s="10">
        <f t="shared" si="0"/>
        <v>1.1659902949840758E-3</v>
      </c>
      <c r="D70" s="11">
        <v>71.05</v>
      </c>
      <c r="E70" s="12">
        <f t="shared" si="1"/>
        <v>1.5506061460388982E-3</v>
      </c>
      <c r="F70" s="41"/>
      <c r="G70" s="41"/>
      <c r="H70" s="41"/>
      <c r="AG70" s="19">
        <v>69</v>
      </c>
      <c r="AH70" s="20">
        <v>2563.2091519795194</v>
      </c>
    </row>
    <row r="71" spans="1:34" ht="14.5" x14ac:dyDescent="0.35">
      <c r="A71" s="8">
        <v>45183</v>
      </c>
      <c r="B71" s="9">
        <v>450.35998499999999</v>
      </c>
      <c r="C71" s="10">
        <f t="shared" si="0"/>
        <v>8.6223710863726714E-3</v>
      </c>
      <c r="D71" s="11">
        <v>70.930000000000007</v>
      </c>
      <c r="E71" s="12">
        <f t="shared" si="1"/>
        <v>-1.688951442645888E-3</v>
      </c>
      <c r="F71" s="41"/>
      <c r="G71" s="41"/>
      <c r="H71" s="41"/>
      <c r="AG71" s="19">
        <v>70</v>
      </c>
      <c r="AH71" s="20">
        <v>-825.626518935685</v>
      </c>
    </row>
    <row r="72" spans="1:34" ht="14.5" x14ac:dyDescent="0.35">
      <c r="A72" s="8">
        <v>45184</v>
      </c>
      <c r="B72" s="9">
        <v>443.36999500000002</v>
      </c>
      <c r="C72" s="10">
        <f t="shared" si="0"/>
        <v>-1.552089491254419E-2</v>
      </c>
      <c r="D72" s="11">
        <v>70.790000000000006</v>
      </c>
      <c r="E72" s="12">
        <f t="shared" si="1"/>
        <v>-1.9737769632031657E-3</v>
      </c>
      <c r="F72" s="41"/>
      <c r="G72" s="41"/>
      <c r="H72" s="41"/>
      <c r="AG72" s="19">
        <v>71</v>
      </c>
      <c r="AH72" s="20">
        <v>-1877.1995656471533</v>
      </c>
    </row>
    <row r="73" spans="1:34" ht="14.5" x14ac:dyDescent="0.35">
      <c r="A73" s="8">
        <v>45187</v>
      </c>
      <c r="B73" s="9">
        <v>443.63000499999998</v>
      </c>
      <c r="C73" s="10">
        <f t="shared" si="0"/>
        <v>5.8644022584335154E-4</v>
      </c>
      <c r="D73" s="11">
        <v>70.86</v>
      </c>
      <c r="E73" s="12">
        <f t="shared" si="1"/>
        <v>9.8884023167104362E-4</v>
      </c>
      <c r="F73" s="41"/>
      <c r="G73" s="41"/>
      <c r="H73" s="41"/>
      <c r="AG73" s="19">
        <v>72</v>
      </c>
      <c r="AH73" s="20">
        <v>984.32979211015277</v>
      </c>
    </row>
    <row r="74" spans="1:34" ht="14.5" x14ac:dyDescent="0.35">
      <c r="A74" s="8">
        <v>45188</v>
      </c>
      <c r="B74" s="9">
        <v>442.709991</v>
      </c>
      <c r="C74" s="10">
        <f t="shared" si="0"/>
        <v>-2.0738317733940935E-3</v>
      </c>
      <c r="D74" s="11">
        <v>70.709999999999994</v>
      </c>
      <c r="E74" s="12">
        <f t="shared" si="1"/>
        <v>-2.1168501270110878E-3</v>
      </c>
      <c r="F74" s="41"/>
      <c r="G74" s="41"/>
      <c r="H74" s="41"/>
      <c r="AG74" s="19">
        <v>73</v>
      </c>
      <c r="AH74" s="20">
        <v>1520.7644606908907</v>
      </c>
    </row>
    <row r="75" spans="1:34" ht="14.5" x14ac:dyDescent="0.35">
      <c r="A75" s="8">
        <v>45189</v>
      </c>
      <c r="B75" s="9">
        <v>438.64001500000001</v>
      </c>
      <c r="C75" s="10">
        <f t="shared" si="0"/>
        <v>-9.1933231296783564E-3</v>
      </c>
      <c r="D75" s="11">
        <v>70.62</v>
      </c>
      <c r="E75" s="12">
        <f t="shared" si="1"/>
        <v>-1.2728044123884771E-3</v>
      </c>
      <c r="F75" s="41"/>
      <c r="G75" s="41"/>
      <c r="H75" s="41"/>
      <c r="AG75" s="19">
        <v>74</v>
      </c>
      <c r="AH75" s="20">
        <v>-161.88052172785348</v>
      </c>
    </row>
    <row r="76" spans="1:34" ht="14.5" x14ac:dyDescent="0.35">
      <c r="A76" s="8">
        <v>45190</v>
      </c>
      <c r="B76" s="9">
        <v>431.39001500000001</v>
      </c>
      <c r="C76" s="10">
        <f t="shared" si="0"/>
        <v>-1.6528359821435808E-2</v>
      </c>
      <c r="D76" s="11">
        <v>70.180000000000007</v>
      </c>
      <c r="E76" s="12">
        <f t="shared" si="1"/>
        <v>-6.2305295950155441E-3</v>
      </c>
      <c r="F76" s="41"/>
      <c r="G76" s="41"/>
      <c r="H76" s="41"/>
      <c r="AG76" s="19">
        <v>75</v>
      </c>
      <c r="AH76" s="20">
        <v>-1436.59866364349</v>
      </c>
    </row>
    <row r="77" spans="1:34" ht="14.5" x14ac:dyDescent="0.35">
      <c r="A77" s="8">
        <v>45191</v>
      </c>
      <c r="B77" s="9">
        <v>430.42001299999998</v>
      </c>
      <c r="C77" s="10">
        <f t="shared" si="0"/>
        <v>-2.2485499577453646E-3</v>
      </c>
      <c r="D77" s="11">
        <v>70.47</v>
      </c>
      <c r="E77" s="12">
        <f t="shared" si="1"/>
        <v>4.1322314049585642E-3</v>
      </c>
      <c r="F77" s="41"/>
      <c r="G77" s="41"/>
      <c r="H77" s="41"/>
      <c r="AG77" s="19">
        <v>76</v>
      </c>
      <c r="AH77" s="20">
        <v>3229.176672723388</v>
      </c>
    </row>
    <row r="78" spans="1:34" ht="14.5" x14ac:dyDescent="0.35">
      <c r="A78" s="8">
        <v>45194</v>
      </c>
      <c r="B78" s="9">
        <v>432.23001099999999</v>
      </c>
      <c r="C78" s="10">
        <f t="shared" si="0"/>
        <v>4.2051901522525336E-3</v>
      </c>
      <c r="D78" s="11">
        <v>69.95</v>
      </c>
      <c r="E78" s="12">
        <f t="shared" si="1"/>
        <v>-7.3790265361146027E-3</v>
      </c>
      <c r="F78" s="41"/>
      <c r="G78" s="41"/>
      <c r="H78" s="41"/>
      <c r="AG78" s="19">
        <v>77</v>
      </c>
      <c r="AH78" s="20">
        <v>-3294.1503095940352</v>
      </c>
    </row>
    <row r="79" spans="1:34" ht="14.5" x14ac:dyDescent="0.35">
      <c r="A79" s="8">
        <v>45195</v>
      </c>
      <c r="B79" s="9">
        <v>425.88000499999998</v>
      </c>
      <c r="C79" s="10">
        <f t="shared" si="0"/>
        <v>-1.4691265850117029E-2</v>
      </c>
      <c r="D79" s="11">
        <v>69.88</v>
      </c>
      <c r="E79" s="12">
        <f t="shared" si="1"/>
        <v>-1.0007147962831648E-3</v>
      </c>
      <c r="F79" s="41"/>
      <c r="G79" s="41"/>
      <c r="H79" s="41"/>
      <c r="AG79" s="19">
        <v>78</v>
      </c>
      <c r="AH79" s="20">
        <v>237.41427500755844</v>
      </c>
    </row>
    <row r="80" spans="1:34" ht="14.5" x14ac:dyDescent="0.35">
      <c r="A80" s="8">
        <v>45196</v>
      </c>
      <c r="B80" s="9">
        <v>426.04998799999998</v>
      </c>
      <c r="C80" s="10">
        <f t="shared" si="0"/>
        <v>3.9913355406296193E-4</v>
      </c>
      <c r="D80" s="11">
        <v>69.63</v>
      </c>
      <c r="E80" s="12">
        <f t="shared" si="1"/>
        <v>-3.577561534058386E-3</v>
      </c>
      <c r="F80" s="41"/>
      <c r="G80" s="41"/>
      <c r="H80" s="41"/>
      <c r="AG80" s="19">
        <v>79</v>
      </c>
      <c r="AH80" s="20">
        <v>1062.4742325021016</v>
      </c>
    </row>
    <row r="81" spans="1:34" ht="14.5" x14ac:dyDescent="0.35">
      <c r="A81" s="8">
        <v>45197</v>
      </c>
      <c r="B81" s="9">
        <v>428.51998900000001</v>
      </c>
      <c r="C81" s="10">
        <f t="shared" si="0"/>
        <v>5.7974441252654722E-3</v>
      </c>
      <c r="D81" s="11">
        <v>69.81</v>
      </c>
      <c r="E81" s="12">
        <f t="shared" si="1"/>
        <v>2.5850926324860954E-3</v>
      </c>
      <c r="F81" s="41"/>
      <c r="G81" s="41"/>
      <c r="H81" s="41"/>
      <c r="AG81" s="19">
        <v>80</v>
      </c>
      <c r="AH81" s="20">
        <v>-1342.0478078921319</v>
      </c>
    </row>
    <row r="82" spans="1:34" ht="14.5" x14ac:dyDescent="0.35">
      <c r="A82" s="8">
        <v>45198</v>
      </c>
      <c r="B82" s="9">
        <v>427.48001099999999</v>
      </c>
      <c r="C82" s="10">
        <f t="shared" si="0"/>
        <v>-2.4269066244189115E-3</v>
      </c>
      <c r="D82" s="11">
        <v>69.78</v>
      </c>
      <c r="E82" s="12">
        <f t="shared" si="1"/>
        <v>-4.2973785990547394E-4</v>
      </c>
      <c r="F82" s="41"/>
      <c r="G82" s="41"/>
      <c r="H82" s="41"/>
      <c r="AG82" s="19">
        <v>81</v>
      </c>
      <c r="AH82" s="20">
        <v>1457.8027630874626</v>
      </c>
    </row>
    <row r="83" spans="1:34" ht="14.5" x14ac:dyDescent="0.35">
      <c r="A83" s="8">
        <v>45201</v>
      </c>
      <c r="B83" s="9">
        <v>427.30999800000001</v>
      </c>
      <c r="C83" s="10">
        <f t="shared" si="0"/>
        <v>-3.9770982414422904E-4</v>
      </c>
      <c r="D83" s="11">
        <v>69.11</v>
      </c>
      <c r="E83" s="12">
        <f t="shared" si="1"/>
        <v>-9.6016050444253619E-3</v>
      </c>
      <c r="F83" s="41"/>
      <c r="G83" s="41"/>
      <c r="H83" s="41"/>
      <c r="AG83" s="19">
        <v>82</v>
      </c>
      <c r="AH83" s="20">
        <v>-5048.9259762517231</v>
      </c>
    </row>
    <row r="84" spans="1:34" ht="14.5" x14ac:dyDescent="0.35">
      <c r="A84" s="8">
        <v>45202</v>
      </c>
      <c r="B84" s="9">
        <v>421.58999599999999</v>
      </c>
      <c r="C84" s="10">
        <f t="shared" si="0"/>
        <v>-1.3386071064969611E-2</v>
      </c>
      <c r="D84" s="11">
        <v>68.55</v>
      </c>
      <c r="E84" s="12">
        <f t="shared" si="1"/>
        <v>-8.1030241643756662E-3</v>
      </c>
      <c r="F84" s="41"/>
      <c r="G84" s="41"/>
      <c r="H84" s="41"/>
      <c r="AG84" s="19">
        <v>83</v>
      </c>
      <c r="AH84" s="20">
        <v>2840.2655546136216</v>
      </c>
    </row>
    <row r="85" spans="1:34" ht="14.5" x14ac:dyDescent="0.35">
      <c r="A85" s="8">
        <v>45203</v>
      </c>
      <c r="B85" s="9">
        <v>424.66000400000001</v>
      </c>
      <c r="C85" s="10">
        <f t="shared" si="0"/>
        <v>7.2819754480133109E-3</v>
      </c>
      <c r="D85" s="11">
        <v>69</v>
      </c>
      <c r="E85" s="12">
        <f t="shared" si="1"/>
        <v>6.5645514223195162E-3</v>
      </c>
      <c r="F85" s="41"/>
      <c r="G85" s="41"/>
      <c r="H85" s="41"/>
      <c r="AG85" s="19">
        <v>84</v>
      </c>
      <c r="AH85" s="20">
        <v>3470.2817154286449</v>
      </c>
    </row>
    <row r="86" spans="1:34" ht="14.5" x14ac:dyDescent="0.35">
      <c r="A86" s="8">
        <v>45204</v>
      </c>
      <c r="B86" s="9">
        <v>424.5</v>
      </c>
      <c r="C86" s="10">
        <f t="shared" si="0"/>
        <v>-3.7678142159112987E-4</v>
      </c>
      <c r="D86" s="11">
        <v>69.05</v>
      </c>
      <c r="E86" s="12">
        <f t="shared" si="1"/>
        <v>7.246376811593791E-4</v>
      </c>
      <c r="F86" s="41"/>
      <c r="G86" s="41"/>
      <c r="H86" s="41"/>
      <c r="AG86" s="19">
        <v>85</v>
      </c>
      <c r="AH86" s="20">
        <v>1421.8777470181835</v>
      </c>
    </row>
    <row r="87" spans="1:34" ht="14.5" x14ac:dyDescent="0.35">
      <c r="A87" s="8">
        <v>45205</v>
      </c>
      <c r="B87" s="9">
        <v>429.540009</v>
      </c>
      <c r="C87" s="10">
        <f t="shared" si="0"/>
        <v>1.1872812720848051E-2</v>
      </c>
      <c r="D87" s="11">
        <v>68.78</v>
      </c>
      <c r="E87" s="12">
        <f t="shared" si="1"/>
        <v>-3.9102099927588131E-3</v>
      </c>
      <c r="F87" s="41"/>
      <c r="G87" s="41"/>
      <c r="H87" s="41"/>
      <c r="AG87" s="19">
        <v>86</v>
      </c>
      <c r="AH87" s="20">
        <v>741.63126463818764</v>
      </c>
    </row>
    <row r="88" spans="1:34" ht="14.5" x14ac:dyDescent="0.35">
      <c r="A88" s="8">
        <v>45208</v>
      </c>
      <c r="B88" s="9">
        <v>432.290009</v>
      </c>
      <c r="C88" s="10">
        <f t="shared" si="0"/>
        <v>6.4021975657219858E-3</v>
      </c>
      <c r="D88" s="11">
        <v>69.48</v>
      </c>
      <c r="E88" s="12">
        <f t="shared" si="1"/>
        <v>1.0177377144518796E-2</v>
      </c>
      <c r="F88" s="41"/>
      <c r="G88" s="41"/>
      <c r="H88" s="41"/>
      <c r="AG88" s="19">
        <v>87</v>
      </c>
      <c r="AH88" s="20">
        <v>-2706.514487286347</v>
      </c>
    </row>
    <row r="89" spans="1:34" ht="14.5" x14ac:dyDescent="0.35">
      <c r="A89" s="8">
        <v>45209</v>
      </c>
      <c r="B89" s="9">
        <v>434.540009</v>
      </c>
      <c r="C89" s="10">
        <f t="shared" si="0"/>
        <v>5.2048392355975087E-3</v>
      </c>
      <c r="D89" s="11">
        <v>69.41</v>
      </c>
      <c r="E89" s="12">
        <f t="shared" si="1"/>
        <v>-1.0074841681060361E-3</v>
      </c>
      <c r="F89" s="41"/>
      <c r="G89" s="41"/>
      <c r="H89" s="41"/>
      <c r="AG89" s="19">
        <v>88</v>
      </c>
      <c r="AH89" s="20">
        <v>2248.1445483491857</v>
      </c>
    </row>
    <row r="90" spans="1:34" ht="14.5" x14ac:dyDescent="0.35">
      <c r="A90" s="8">
        <v>45210</v>
      </c>
      <c r="B90" s="9">
        <v>436.32000699999998</v>
      </c>
      <c r="C90" s="10">
        <f t="shared" si="0"/>
        <v>4.0962810400272665E-3</v>
      </c>
      <c r="D90" s="11">
        <v>69.73</v>
      </c>
      <c r="E90" s="12">
        <f t="shared" si="1"/>
        <v>4.6102867022044004E-3</v>
      </c>
      <c r="F90" s="41"/>
      <c r="G90" s="41"/>
      <c r="H90" s="41"/>
      <c r="AG90" s="19">
        <v>89</v>
      </c>
      <c r="AH90" s="20">
        <v>-672.49815772814986</v>
      </c>
    </row>
    <row r="91" spans="1:34" ht="14.5" x14ac:dyDescent="0.35">
      <c r="A91" s="8">
        <v>45211</v>
      </c>
      <c r="B91" s="9">
        <v>433.66000400000001</v>
      </c>
      <c r="C91" s="10">
        <f t="shared" si="0"/>
        <v>-6.0964497555115798E-3</v>
      </c>
      <c r="D91" s="11">
        <v>69.13</v>
      </c>
      <c r="E91" s="12">
        <f t="shared" si="1"/>
        <v>-8.6046178115589921E-3</v>
      </c>
      <c r="F91" s="41"/>
      <c r="G91" s="41"/>
      <c r="H91" s="41"/>
      <c r="AG91" s="19">
        <v>90</v>
      </c>
      <c r="AH91" s="20">
        <v>-389.14164366554115</v>
      </c>
    </row>
    <row r="92" spans="1:34" ht="14.5" x14ac:dyDescent="0.35">
      <c r="A92" s="8">
        <v>45212</v>
      </c>
      <c r="B92" s="9">
        <v>431.5</v>
      </c>
      <c r="C92" s="10">
        <f t="shared" si="0"/>
        <v>-4.9808697598960842E-3</v>
      </c>
      <c r="D92" s="11">
        <v>69.45</v>
      </c>
      <c r="E92" s="12">
        <f t="shared" si="1"/>
        <v>4.628959930565708E-3</v>
      </c>
      <c r="F92" s="41"/>
      <c r="G92" s="41"/>
      <c r="H92" s="41"/>
      <c r="AG92" s="19">
        <v>91</v>
      </c>
      <c r="AH92" s="20">
        <v>538.66464922868272</v>
      </c>
    </row>
    <row r="93" spans="1:34" ht="14.5" x14ac:dyDescent="0.35">
      <c r="A93" s="8">
        <v>45215</v>
      </c>
      <c r="B93" s="9">
        <v>436.040009</v>
      </c>
      <c r="C93" s="10">
        <f t="shared" si="0"/>
        <v>1.0521457705677863E-2</v>
      </c>
      <c r="D93" s="11">
        <v>69.09</v>
      </c>
      <c r="E93" s="12">
        <f t="shared" si="1"/>
        <v>-5.1835853131749375E-3</v>
      </c>
      <c r="F93" s="41"/>
      <c r="G93" s="41"/>
      <c r="H93" s="41"/>
      <c r="AG93" s="19">
        <v>92</v>
      </c>
      <c r="AH93" s="20">
        <v>2932.6194433793798</v>
      </c>
    </row>
    <row r="94" spans="1:34" ht="14.5" x14ac:dyDescent="0.35">
      <c r="A94" s="8">
        <v>45216</v>
      </c>
      <c r="B94" s="9">
        <v>436.01998900000001</v>
      </c>
      <c r="C94" s="10">
        <f t="shared" si="0"/>
        <v>-4.5913218023046501E-5</v>
      </c>
      <c r="D94" s="11">
        <v>68.64</v>
      </c>
      <c r="E94" s="12">
        <f t="shared" si="1"/>
        <v>-6.513243595310505E-3</v>
      </c>
      <c r="F94" s="41"/>
      <c r="G94" s="41"/>
      <c r="H94" s="41"/>
      <c r="AG94" s="19">
        <v>93</v>
      </c>
      <c r="AH94" s="20">
        <v>-1586.5887416062394</v>
      </c>
    </row>
    <row r="95" spans="1:34" ht="14.5" x14ac:dyDescent="0.35">
      <c r="A95" s="8">
        <v>45217</v>
      </c>
      <c r="B95" s="9">
        <v>430.209991</v>
      </c>
      <c r="C95" s="10">
        <f t="shared" si="0"/>
        <v>-1.3325072580560079E-2</v>
      </c>
      <c r="D95" s="11">
        <v>68.34</v>
      </c>
      <c r="E95" s="12">
        <f t="shared" si="1"/>
        <v>-4.3706293706293293E-3</v>
      </c>
      <c r="F95" s="41"/>
      <c r="G95" s="41"/>
      <c r="H95" s="41"/>
      <c r="AG95" s="19">
        <v>94</v>
      </c>
      <c r="AH95" s="20">
        <v>1940.2845910476296</v>
      </c>
    </row>
    <row r="96" spans="1:34" ht="14.5" x14ac:dyDescent="0.35">
      <c r="A96" s="8">
        <v>45218</v>
      </c>
      <c r="B96" s="9">
        <v>426.42999300000002</v>
      </c>
      <c r="C96" s="10">
        <f t="shared" si="0"/>
        <v>-8.7864021735375684E-3</v>
      </c>
      <c r="D96" s="11">
        <v>68.040000000000006</v>
      </c>
      <c r="E96" s="12">
        <f t="shared" si="1"/>
        <v>-4.3898156277435933E-3</v>
      </c>
      <c r="F96" s="41"/>
      <c r="G96" s="41"/>
      <c r="H96" s="41"/>
      <c r="AG96" s="19">
        <v>95</v>
      </c>
      <c r="AH96" s="20">
        <v>2336.6858453121845</v>
      </c>
    </row>
    <row r="97" spans="1:34" ht="14.5" x14ac:dyDescent="0.35">
      <c r="A97" s="8">
        <v>45219</v>
      </c>
      <c r="B97" s="9">
        <v>421.19000199999999</v>
      </c>
      <c r="C97" s="10">
        <f t="shared" si="0"/>
        <v>-1.2288045132885462E-2</v>
      </c>
      <c r="D97" s="11">
        <v>68.290000000000006</v>
      </c>
      <c r="E97" s="12">
        <f t="shared" si="1"/>
        <v>3.6743092298647849E-3</v>
      </c>
      <c r="F97" s="41"/>
      <c r="G97" s="41"/>
      <c r="H97" s="41"/>
      <c r="AG97" s="19">
        <v>96</v>
      </c>
      <c r="AH97" s="20">
        <v>2757.2146371996478</v>
      </c>
    </row>
    <row r="98" spans="1:34" ht="14.5" x14ac:dyDescent="0.35">
      <c r="A98" s="8">
        <v>45222</v>
      </c>
      <c r="B98" s="9">
        <v>420.459991</v>
      </c>
      <c r="C98" s="10">
        <f t="shared" si="0"/>
        <v>-1.7332106567904489E-3</v>
      </c>
      <c r="D98" s="11">
        <v>68.55</v>
      </c>
      <c r="E98" s="12">
        <f t="shared" si="1"/>
        <v>3.8072924293453048E-3</v>
      </c>
      <c r="F98" s="41"/>
      <c r="G98" s="41"/>
      <c r="H98" s="41"/>
      <c r="AG98" s="19">
        <v>97</v>
      </c>
      <c r="AH98" s="20">
        <v>-1457.4848875576579</v>
      </c>
    </row>
    <row r="99" spans="1:34" ht="14.5" x14ac:dyDescent="0.35">
      <c r="A99" s="8">
        <v>45223</v>
      </c>
      <c r="B99" s="9">
        <v>423.63000499999998</v>
      </c>
      <c r="C99" s="10">
        <f t="shared" si="0"/>
        <v>7.5393951097715278E-3</v>
      </c>
      <c r="D99" s="11">
        <v>68.78</v>
      </c>
      <c r="E99" s="12">
        <f t="shared" si="1"/>
        <v>3.3552151714077898E-3</v>
      </c>
      <c r="F99" s="41"/>
      <c r="G99" s="41"/>
      <c r="H99" s="41"/>
      <c r="AG99" s="19">
        <v>98</v>
      </c>
      <c r="AH99" s="20">
        <v>-2625.0351426383017</v>
      </c>
    </row>
    <row r="100" spans="1:34" ht="14.5" x14ac:dyDescent="0.35">
      <c r="A100" s="8">
        <v>45224</v>
      </c>
      <c r="B100" s="9">
        <v>417.54998799999998</v>
      </c>
      <c r="C100" s="10">
        <f t="shared" si="0"/>
        <v>-1.4352186880624753E-2</v>
      </c>
      <c r="D100" s="11">
        <v>68.260000000000005</v>
      </c>
      <c r="E100" s="12">
        <f t="shared" si="1"/>
        <v>-7.5603373073567315E-3</v>
      </c>
      <c r="F100" s="41"/>
      <c r="G100" s="41"/>
      <c r="H100" s="41"/>
      <c r="AG100" s="19">
        <v>99</v>
      </c>
      <c r="AH100" s="20">
        <v>1152.0199890506731</v>
      </c>
    </row>
    <row r="101" spans="1:34" ht="14.5" x14ac:dyDescent="0.35">
      <c r="A101" s="8">
        <v>45225</v>
      </c>
      <c r="B101" s="9">
        <v>412.54998799999998</v>
      </c>
      <c r="C101" s="10">
        <f t="shared" si="0"/>
        <v>-1.197461416284366E-2</v>
      </c>
      <c r="D101" s="11">
        <v>68.72</v>
      </c>
      <c r="E101" s="12">
        <f t="shared" si="1"/>
        <v>6.7389393495457623E-3</v>
      </c>
      <c r="F101" s="41"/>
      <c r="G101" s="41"/>
      <c r="H101" s="41"/>
      <c r="AG101" s="19">
        <v>100</v>
      </c>
      <c r="AH101" s="20">
        <v>2000.029146123062</v>
      </c>
    </row>
    <row r="102" spans="1:34" ht="14.5" x14ac:dyDescent="0.35">
      <c r="A102" s="8">
        <v>45226</v>
      </c>
      <c r="B102" s="9">
        <v>410.67999300000002</v>
      </c>
      <c r="C102" s="10">
        <f t="shared" si="0"/>
        <v>-4.5327719170845313E-3</v>
      </c>
      <c r="D102" s="11">
        <v>68.72</v>
      </c>
      <c r="E102" s="12">
        <f t="shared" si="1"/>
        <v>0</v>
      </c>
      <c r="F102" s="41"/>
      <c r="G102" s="41"/>
      <c r="H102" s="41"/>
      <c r="AG102" s="19">
        <v>101</v>
      </c>
      <c r="AH102" s="20">
        <v>755.72728422909438</v>
      </c>
    </row>
    <row r="103" spans="1:34" ht="14.5" x14ac:dyDescent="0.35">
      <c r="A103" s="8">
        <v>45229</v>
      </c>
      <c r="B103" s="9">
        <v>415.58999599999999</v>
      </c>
      <c r="C103" s="10">
        <f t="shared" si="0"/>
        <v>1.1955788165214955E-2</v>
      </c>
      <c r="D103" s="11">
        <v>68.55</v>
      </c>
      <c r="E103" s="12">
        <f t="shared" si="1"/>
        <v>-2.4738067520372773E-3</v>
      </c>
      <c r="F103" s="41"/>
      <c r="G103" s="41"/>
      <c r="H103" s="41"/>
      <c r="AG103" s="19">
        <v>102</v>
      </c>
      <c r="AH103" s="20">
        <v>878.76242138571422</v>
      </c>
    </row>
    <row r="104" spans="1:34" ht="14.5" x14ac:dyDescent="0.35">
      <c r="A104" s="8">
        <v>45230</v>
      </c>
      <c r="B104" s="9">
        <v>418.20001200000002</v>
      </c>
      <c r="C104" s="10">
        <f t="shared" si="0"/>
        <v>6.2802666693642694E-3</v>
      </c>
      <c r="D104" s="11">
        <v>68.53</v>
      </c>
      <c r="E104" s="12">
        <f t="shared" si="1"/>
        <v>-2.9175784099191865E-4</v>
      </c>
      <c r="F104" s="41"/>
      <c r="G104" s="41"/>
      <c r="H104" s="41"/>
      <c r="AG104" s="19">
        <v>103</v>
      </c>
      <c r="AH104" s="20">
        <v>2725.1874812332831</v>
      </c>
    </row>
    <row r="105" spans="1:34" ht="14.5" x14ac:dyDescent="0.35">
      <c r="A105" s="8">
        <v>45231</v>
      </c>
      <c r="B105" s="9">
        <v>422.66000400000001</v>
      </c>
      <c r="C105" s="10">
        <f t="shared" si="0"/>
        <v>1.0664734270739331E-2</v>
      </c>
      <c r="D105" s="11">
        <v>68.989999999999995</v>
      </c>
      <c r="E105" s="12">
        <f t="shared" si="1"/>
        <v>6.712388734860554E-3</v>
      </c>
      <c r="F105" s="41"/>
      <c r="G105" s="41"/>
      <c r="H105" s="41"/>
      <c r="AG105" s="19">
        <v>104</v>
      </c>
      <c r="AH105" s="20">
        <v>3297.9064872354379</v>
      </c>
    </row>
    <row r="106" spans="1:34" ht="14.5" x14ac:dyDescent="0.35">
      <c r="A106" s="8">
        <v>45232</v>
      </c>
      <c r="B106" s="9">
        <v>430.76001000000002</v>
      </c>
      <c r="C106" s="10">
        <f t="shared" si="0"/>
        <v>1.916435414598635E-2</v>
      </c>
      <c r="D106" s="11">
        <v>69.39</v>
      </c>
      <c r="E106" s="12">
        <f t="shared" si="1"/>
        <v>5.7979417306856891E-3</v>
      </c>
      <c r="F106" s="41"/>
      <c r="G106" s="41"/>
      <c r="H106" s="41"/>
      <c r="AG106" s="19">
        <v>105</v>
      </c>
      <c r="AH106" s="20">
        <v>3994.7852173030738</v>
      </c>
    </row>
    <row r="107" spans="1:34" ht="14.5" x14ac:dyDescent="0.35">
      <c r="A107" s="8">
        <v>45233</v>
      </c>
      <c r="B107" s="9">
        <v>434.69000199999999</v>
      </c>
      <c r="C107" s="10">
        <f t="shared" si="0"/>
        <v>9.123391003728434E-3</v>
      </c>
      <c r="D107" s="11">
        <v>69.8</v>
      </c>
      <c r="E107" s="12">
        <f t="shared" si="1"/>
        <v>5.9086323677762873E-3</v>
      </c>
      <c r="F107" s="41"/>
      <c r="G107" s="41"/>
      <c r="H107" s="41"/>
      <c r="AG107" s="19">
        <v>106</v>
      </c>
      <c r="AH107" s="20">
        <v>2414.5447857187496</v>
      </c>
    </row>
    <row r="108" spans="1:34" ht="14.5" x14ac:dyDescent="0.35">
      <c r="A108" s="8">
        <v>45236</v>
      </c>
      <c r="B108" s="9">
        <v>435.69000199999999</v>
      </c>
      <c r="C108" s="10">
        <f t="shared" si="0"/>
        <v>2.3004899937864227E-3</v>
      </c>
      <c r="D108" s="11">
        <v>69.5</v>
      </c>
      <c r="E108" s="12">
        <f t="shared" si="1"/>
        <v>-4.2979942693409335E-3</v>
      </c>
      <c r="F108" s="41"/>
      <c r="G108" s="41"/>
      <c r="H108" s="41"/>
      <c r="AG108" s="19">
        <v>107</v>
      </c>
      <c r="AH108" s="20">
        <v>1364.9407531986749</v>
      </c>
    </row>
    <row r="109" spans="1:34" ht="14.5" x14ac:dyDescent="0.35">
      <c r="A109" s="8">
        <v>45237</v>
      </c>
      <c r="B109" s="9">
        <v>436.92999300000002</v>
      </c>
      <c r="C109" s="10">
        <f t="shared" si="0"/>
        <v>2.846039602258378E-3</v>
      </c>
      <c r="D109" s="11">
        <v>69.849999999999994</v>
      </c>
      <c r="E109" s="12">
        <f t="shared" si="1"/>
        <v>5.0359712230215008E-3</v>
      </c>
      <c r="F109" s="41"/>
      <c r="G109" s="41"/>
      <c r="H109" s="41"/>
      <c r="AG109" s="19">
        <v>108</v>
      </c>
      <c r="AH109" s="20">
        <v>-559.49446908993013</v>
      </c>
    </row>
    <row r="110" spans="1:34" ht="14.5" x14ac:dyDescent="0.35">
      <c r="A110" s="8">
        <v>45238</v>
      </c>
      <c r="B110" s="9">
        <v>437.25</v>
      </c>
      <c r="C110" s="10">
        <f t="shared" si="0"/>
        <v>7.3239879414727083E-4</v>
      </c>
      <c r="D110" s="11">
        <v>70.069999999999993</v>
      </c>
      <c r="E110" s="12">
        <f t="shared" si="1"/>
        <v>3.1496062992125823E-3</v>
      </c>
      <c r="F110" s="41"/>
      <c r="G110" s="41"/>
      <c r="H110" s="41"/>
      <c r="AG110" s="19">
        <v>109</v>
      </c>
      <c r="AH110" s="20">
        <v>-834.66859053367534</v>
      </c>
    </row>
    <row r="111" spans="1:34" ht="14.5" x14ac:dyDescent="0.35">
      <c r="A111" s="8">
        <v>45239</v>
      </c>
      <c r="B111" s="9">
        <v>433.83999599999999</v>
      </c>
      <c r="C111" s="10">
        <f t="shared" si="0"/>
        <v>-7.7987512864494341E-3</v>
      </c>
      <c r="D111" s="11">
        <v>69.55</v>
      </c>
      <c r="E111" s="12">
        <f t="shared" si="1"/>
        <v>-7.4211502782930792E-3</v>
      </c>
      <c r="F111" s="41"/>
      <c r="G111" s="41"/>
      <c r="H111" s="41"/>
      <c r="AG111" s="19">
        <v>110</v>
      </c>
      <c r="AH111" s="20">
        <v>1059.7320059336489</v>
      </c>
    </row>
    <row r="112" spans="1:34" ht="14.5" x14ac:dyDescent="0.35">
      <c r="A112" s="8">
        <v>45240</v>
      </c>
      <c r="B112" s="9">
        <v>440.60998499999999</v>
      </c>
      <c r="C112" s="10">
        <f t="shared" si="0"/>
        <v>1.5604806063109058E-2</v>
      </c>
      <c r="D112" s="11">
        <v>69.680000000000007</v>
      </c>
      <c r="E112" s="12">
        <f t="shared" si="1"/>
        <v>1.869158878504812E-3</v>
      </c>
      <c r="F112" s="41"/>
      <c r="G112" s="41"/>
      <c r="H112" s="41"/>
      <c r="AG112" s="19">
        <v>111</v>
      </c>
      <c r="AH112" s="20">
        <v>-1596.857147885584</v>
      </c>
    </row>
    <row r="113" spans="1:34" ht="14.5" x14ac:dyDescent="0.35">
      <c r="A113" s="8">
        <v>45243</v>
      </c>
      <c r="B113" s="9">
        <v>440.19000199999999</v>
      </c>
      <c r="C113" s="10">
        <f t="shared" si="0"/>
        <v>-9.5318538911459759E-4</v>
      </c>
      <c r="D113" s="11">
        <v>69.66</v>
      </c>
      <c r="E113" s="12">
        <f t="shared" si="1"/>
        <v>-2.8702640642953831E-4</v>
      </c>
      <c r="F113" s="41"/>
      <c r="G113" s="41"/>
      <c r="H113" s="41"/>
      <c r="AG113" s="19">
        <v>112</v>
      </c>
      <c r="AH113" s="20">
        <v>709.42830431397397</v>
      </c>
    </row>
    <row r="114" spans="1:34" ht="14.5" x14ac:dyDescent="0.35">
      <c r="A114" s="8">
        <v>45244</v>
      </c>
      <c r="B114" s="9">
        <v>448.73001099999999</v>
      </c>
      <c r="C114" s="10">
        <f t="shared" si="0"/>
        <v>1.940073368590502E-2</v>
      </c>
      <c r="D114" s="11">
        <v>70.510000000000005</v>
      </c>
      <c r="E114" s="12">
        <f t="shared" si="1"/>
        <v>1.2202124605225503E-2</v>
      </c>
      <c r="F114" s="41"/>
      <c r="G114" s="41"/>
      <c r="H114" s="41"/>
      <c r="AG114" s="19">
        <v>113</v>
      </c>
      <c r="AH114" s="20">
        <v>-4043.3940918057342</v>
      </c>
    </row>
    <row r="115" spans="1:34" ht="14.5" x14ac:dyDescent="0.35">
      <c r="A115" s="8">
        <v>45245</v>
      </c>
      <c r="B115" s="9">
        <v>449.67999300000002</v>
      </c>
      <c r="C115" s="10">
        <f t="shared" si="0"/>
        <v>2.1170458331569763E-3</v>
      </c>
      <c r="D115" s="11">
        <v>70.12</v>
      </c>
      <c r="E115" s="12">
        <f t="shared" si="1"/>
        <v>-5.5311303361225434E-3</v>
      </c>
      <c r="F115" s="41"/>
      <c r="G115" s="41"/>
      <c r="H115" s="41"/>
      <c r="AG115" s="19">
        <v>114</v>
      </c>
      <c r="AH115" s="20">
        <v>-1881.0970669978558</v>
      </c>
    </row>
    <row r="116" spans="1:34" ht="14.5" x14ac:dyDescent="0.35">
      <c r="A116" s="8">
        <v>45246</v>
      </c>
      <c r="B116" s="9">
        <v>450.23001099999999</v>
      </c>
      <c r="C116" s="10">
        <f t="shared" si="0"/>
        <v>1.223132024021282E-3</v>
      </c>
      <c r="D116" s="11">
        <v>70.540000000000006</v>
      </c>
      <c r="E116" s="12">
        <f t="shared" si="1"/>
        <v>5.9897318881916954E-3</v>
      </c>
      <c r="F116" s="41"/>
      <c r="G116" s="41"/>
      <c r="H116" s="41"/>
      <c r="AG116" s="19">
        <v>115</v>
      </c>
      <c r="AH116" s="20">
        <v>2971.4842962117132</v>
      </c>
    </row>
    <row r="117" spans="1:34" ht="14.5" x14ac:dyDescent="0.35">
      <c r="A117" s="8">
        <v>45247</v>
      </c>
      <c r="B117" s="9">
        <v>450.790009</v>
      </c>
      <c r="C117" s="10">
        <f t="shared" si="0"/>
        <v>1.2438042474250063E-3</v>
      </c>
      <c r="D117" s="11">
        <v>70.64</v>
      </c>
      <c r="E117" s="12">
        <f t="shared" si="1"/>
        <v>1.4176353841791084E-3</v>
      </c>
      <c r="F117" s="41"/>
      <c r="G117" s="41"/>
      <c r="H117" s="41"/>
      <c r="AG117" s="19">
        <v>116</v>
      </c>
      <c r="AH117" s="20">
        <v>512.56125725970242</v>
      </c>
    </row>
    <row r="118" spans="1:34" ht="14.5" x14ac:dyDescent="0.35">
      <c r="A118" s="8">
        <v>45250</v>
      </c>
      <c r="B118" s="9">
        <v>454.26001000000002</v>
      </c>
      <c r="C118" s="10">
        <f t="shared" si="0"/>
        <v>7.6975996156117667E-3</v>
      </c>
      <c r="D118" s="11">
        <v>70.739999999999995</v>
      </c>
      <c r="E118" s="12">
        <f t="shared" si="1"/>
        <v>1.4156285390712672E-3</v>
      </c>
      <c r="F118" s="41"/>
      <c r="G118" s="41"/>
      <c r="H118" s="41"/>
      <c r="AG118" s="19">
        <v>117</v>
      </c>
      <c r="AH118" s="20">
        <v>-876.78011400568198</v>
      </c>
    </row>
    <row r="119" spans="1:34" ht="14.5" x14ac:dyDescent="0.35">
      <c r="A119" s="8">
        <v>45251</v>
      </c>
      <c r="B119" s="9">
        <v>453.26998900000001</v>
      </c>
      <c r="C119" s="10">
        <f t="shared" si="0"/>
        <v>-2.1794148245627277E-3</v>
      </c>
      <c r="D119" s="11">
        <v>70.84</v>
      </c>
      <c r="E119" s="12">
        <f t="shared" si="1"/>
        <v>1.4136273678259617E-3</v>
      </c>
      <c r="F119" s="41"/>
      <c r="G119" s="41"/>
      <c r="H119" s="41"/>
      <c r="AG119" s="19">
        <v>118</v>
      </c>
      <c r="AH119" s="20">
        <v>-334.89023185503248</v>
      </c>
    </row>
    <row r="120" spans="1:34" ht="14.5" x14ac:dyDescent="0.35">
      <c r="A120" s="8">
        <v>45252</v>
      </c>
      <c r="B120" s="9">
        <v>455.01998900000001</v>
      </c>
      <c r="C120" s="10">
        <f t="shared" si="0"/>
        <v>3.8608335924927074E-3</v>
      </c>
      <c r="D120" s="11">
        <v>70.900000000000006</v>
      </c>
      <c r="E120" s="12">
        <f t="shared" si="1"/>
        <v>8.469791078487051E-4</v>
      </c>
      <c r="F120" s="41"/>
      <c r="G120" s="41"/>
      <c r="H120" s="41"/>
      <c r="AG120" s="19">
        <v>119</v>
      </c>
      <c r="AH120" s="20">
        <v>-3269.7122725134868</v>
      </c>
    </row>
    <row r="121" spans="1:34" ht="14.5" x14ac:dyDescent="0.35">
      <c r="A121" s="8">
        <v>45254</v>
      </c>
      <c r="B121" s="9">
        <v>455.29998799999998</v>
      </c>
      <c r="C121" s="10">
        <f t="shared" si="0"/>
        <v>6.1535538387078471E-4</v>
      </c>
      <c r="D121" s="11">
        <v>70.56</v>
      </c>
      <c r="E121" s="12">
        <f t="shared" si="1"/>
        <v>-4.7954866008463101E-3</v>
      </c>
      <c r="F121" s="41"/>
      <c r="G121" s="41"/>
      <c r="H121" s="41"/>
      <c r="AG121" s="19">
        <v>120</v>
      </c>
      <c r="AH121" s="20">
        <v>-1114.738558630994</v>
      </c>
    </row>
    <row r="122" spans="1:34" ht="14.5" x14ac:dyDescent="0.35">
      <c r="A122" s="8">
        <v>45257</v>
      </c>
      <c r="B122" s="9">
        <v>454.48001099999999</v>
      </c>
      <c r="C122" s="10">
        <f t="shared" si="0"/>
        <v>-1.8009598541873768E-3</v>
      </c>
      <c r="D122" s="11">
        <v>70.989999999999995</v>
      </c>
      <c r="E122" s="12">
        <f t="shared" si="1"/>
        <v>6.0941043083899181E-3</v>
      </c>
      <c r="F122" s="41"/>
      <c r="G122" s="41"/>
      <c r="H122" s="41"/>
      <c r="AG122" s="19">
        <v>121</v>
      </c>
      <c r="AH122" s="20">
        <v>-1527.124235110022</v>
      </c>
    </row>
    <row r="123" spans="1:34" ht="14.5" x14ac:dyDescent="0.35">
      <c r="A123" s="8">
        <v>45258</v>
      </c>
      <c r="B123" s="9">
        <v>454.92999300000002</v>
      </c>
      <c r="C123" s="10">
        <f t="shared" si="0"/>
        <v>9.9010295086450809E-4</v>
      </c>
      <c r="D123" s="11">
        <v>71.290000000000006</v>
      </c>
      <c r="E123" s="12">
        <f t="shared" si="1"/>
        <v>4.2259473165236145E-3</v>
      </c>
      <c r="F123" s="41"/>
      <c r="G123" s="41"/>
      <c r="H123" s="41"/>
      <c r="AG123" s="19">
        <v>122</v>
      </c>
      <c r="AH123" s="20">
        <v>-495.53226117528396</v>
      </c>
    </row>
    <row r="124" spans="1:34" ht="14.5" x14ac:dyDescent="0.35">
      <c r="A124" s="8">
        <v>45259</v>
      </c>
      <c r="B124" s="9">
        <v>454.60998499999999</v>
      </c>
      <c r="C124" s="10">
        <f t="shared" si="0"/>
        <v>-7.0342251538475678E-4</v>
      </c>
      <c r="D124" s="11">
        <v>71.66</v>
      </c>
      <c r="E124" s="12">
        <f t="shared" si="1"/>
        <v>5.190068733342549E-3</v>
      </c>
      <c r="F124" s="41"/>
      <c r="G124" s="41"/>
      <c r="H124" s="41"/>
      <c r="AG124" s="19">
        <v>123</v>
      </c>
      <c r="AH124" s="20">
        <v>962.11319409777889</v>
      </c>
    </row>
    <row r="125" spans="1:34" ht="14.5" x14ac:dyDescent="0.35">
      <c r="A125" s="8">
        <v>45260</v>
      </c>
      <c r="B125" s="9">
        <v>456.39999399999999</v>
      </c>
      <c r="C125" s="10">
        <f t="shared" si="0"/>
        <v>3.9374608105011109E-3</v>
      </c>
      <c r="D125" s="11">
        <v>71.430000000000007</v>
      </c>
      <c r="E125" s="12">
        <f t="shared" si="1"/>
        <v>-3.2096008931061927E-3</v>
      </c>
      <c r="F125" s="41"/>
      <c r="G125" s="41"/>
      <c r="H125" s="41"/>
      <c r="AG125" s="19">
        <v>124</v>
      </c>
      <c r="AH125" s="20">
        <v>-3684.8229720724448</v>
      </c>
    </row>
    <row r="126" spans="1:34" ht="14.5" x14ac:dyDescent="0.35">
      <c r="A126" s="8">
        <v>45261</v>
      </c>
      <c r="B126" s="9">
        <v>459.10000600000001</v>
      </c>
      <c r="C126" s="10">
        <f t="shared" si="0"/>
        <v>5.9158896483246124E-3</v>
      </c>
      <c r="D126" s="11">
        <v>71.81</v>
      </c>
      <c r="E126" s="12">
        <f t="shared" si="1"/>
        <v>5.3198936021278936E-3</v>
      </c>
      <c r="F126" s="41"/>
      <c r="G126" s="41"/>
      <c r="H126" s="41"/>
      <c r="AG126" s="19">
        <v>125</v>
      </c>
      <c r="AH126" s="20">
        <v>3094.0684410413405</v>
      </c>
    </row>
    <row r="127" spans="1:34" ht="14.5" x14ac:dyDescent="0.35">
      <c r="A127" s="8">
        <v>45264</v>
      </c>
      <c r="B127" s="9">
        <v>456.69000199999999</v>
      </c>
      <c r="C127" s="10">
        <f t="shared" si="0"/>
        <v>-5.2494096460543611E-3</v>
      </c>
      <c r="D127" s="11">
        <v>71.52</v>
      </c>
      <c r="E127" s="12">
        <f t="shared" si="1"/>
        <v>-4.0384347583902833E-3</v>
      </c>
      <c r="F127" s="41"/>
      <c r="G127" s="41"/>
      <c r="H127" s="41"/>
      <c r="AG127" s="19">
        <v>126</v>
      </c>
      <c r="AH127" s="20">
        <v>-3741.7176780988957</v>
      </c>
    </row>
    <row r="128" spans="1:34" ht="14.5" x14ac:dyDescent="0.35">
      <c r="A128" s="8">
        <v>45265</v>
      </c>
      <c r="B128" s="9">
        <v>456.60000600000001</v>
      </c>
      <c r="C128" s="10">
        <f t="shared" si="0"/>
        <v>-1.9706146314975621E-4</v>
      </c>
      <c r="D128" s="11">
        <v>71.98</v>
      </c>
      <c r="E128" s="12">
        <f t="shared" si="1"/>
        <v>6.4317673378077181E-3</v>
      </c>
      <c r="F128" s="41"/>
      <c r="G128" s="41"/>
      <c r="H128" s="41"/>
      <c r="AG128" s="19">
        <v>127</v>
      </c>
      <c r="AH128" s="20">
        <v>2423.5222848583894</v>
      </c>
    </row>
    <row r="129" spans="1:34" ht="14.5" x14ac:dyDescent="0.35">
      <c r="A129" s="8">
        <v>45266</v>
      </c>
      <c r="B129" s="9">
        <v>454.76001000000002</v>
      </c>
      <c r="C129" s="10">
        <f t="shared" si="0"/>
        <v>-4.0297765567703144E-3</v>
      </c>
      <c r="D129" s="11">
        <v>72.19</v>
      </c>
      <c r="E129" s="12">
        <f t="shared" si="1"/>
        <v>2.9174770769657367E-3</v>
      </c>
      <c r="F129" s="41"/>
      <c r="G129" s="41"/>
      <c r="H129" s="41"/>
      <c r="AG129" s="19">
        <v>128</v>
      </c>
      <c r="AH129" s="20">
        <v>-1564.2877529591881</v>
      </c>
    </row>
    <row r="130" spans="1:34" ht="14.5" x14ac:dyDescent="0.35">
      <c r="A130" s="8">
        <v>45267</v>
      </c>
      <c r="B130" s="9">
        <v>458.23001099999999</v>
      </c>
      <c r="C130" s="10">
        <f t="shared" si="0"/>
        <v>7.6304004831030938E-3</v>
      </c>
      <c r="D130" s="11">
        <v>72.17</v>
      </c>
      <c r="E130" s="12">
        <f t="shared" si="1"/>
        <v>-2.7704668236592356E-4</v>
      </c>
      <c r="F130" s="41"/>
      <c r="G130" s="41"/>
      <c r="H130" s="41"/>
      <c r="AG130" s="19">
        <v>129</v>
      </c>
      <c r="AH130" s="20">
        <v>-2074.5109768662969</v>
      </c>
    </row>
    <row r="131" spans="1:34" ht="14.5" x14ac:dyDescent="0.35">
      <c r="A131" s="8">
        <v>45268</v>
      </c>
      <c r="B131" s="9">
        <v>460.20001200000002</v>
      </c>
      <c r="C131" s="10">
        <f t="shared" si="0"/>
        <v>4.2991531604420052E-3</v>
      </c>
      <c r="D131" s="11">
        <v>71.819999999999993</v>
      </c>
      <c r="E131" s="12">
        <f t="shared" si="1"/>
        <v>-4.8496605237634549E-3</v>
      </c>
      <c r="F131" s="41"/>
      <c r="G131" s="41"/>
      <c r="H131" s="41"/>
      <c r="AG131" s="19">
        <v>130</v>
      </c>
      <c r="AH131" s="20">
        <v>860.90027002399904</v>
      </c>
    </row>
    <row r="132" spans="1:34" ht="14.5" x14ac:dyDescent="0.35">
      <c r="A132" s="8">
        <v>45271</v>
      </c>
      <c r="B132" s="9">
        <v>461.98998999999998</v>
      </c>
      <c r="C132" s="10">
        <f t="shared" si="0"/>
        <v>3.8895653049221611E-3</v>
      </c>
      <c r="D132" s="11">
        <v>71.83</v>
      </c>
      <c r="E132" s="12">
        <f t="shared" si="1"/>
        <v>1.3923698134231575E-4</v>
      </c>
      <c r="F132" s="41"/>
      <c r="G132" s="41"/>
      <c r="H132" s="41"/>
      <c r="AG132" s="19">
        <v>131</v>
      </c>
      <c r="AH132" s="20">
        <v>-4405.7173785046034</v>
      </c>
    </row>
    <row r="133" spans="1:34" ht="14.5" x14ac:dyDescent="0.35">
      <c r="A133" s="8">
        <v>45272</v>
      </c>
      <c r="B133" s="9">
        <v>464.10000600000001</v>
      </c>
      <c r="C133" s="10">
        <f t="shared" si="0"/>
        <v>4.5672331558526411E-3</v>
      </c>
      <c r="D133" s="11">
        <v>72.040000000000006</v>
      </c>
      <c r="E133" s="12">
        <f t="shared" si="1"/>
        <v>2.9235695391898646E-3</v>
      </c>
      <c r="F133" s="41"/>
      <c r="G133" s="41"/>
      <c r="H133" s="41"/>
      <c r="AG133" s="19">
        <v>132</v>
      </c>
      <c r="AH133" s="20">
        <v>1757.6622216632547</v>
      </c>
    </row>
    <row r="134" spans="1:34" ht="14.5" x14ac:dyDescent="0.35">
      <c r="A134" s="8">
        <v>45273</v>
      </c>
      <c r="B134" s="9">
        <v>470.5</v>
      </c>
      <c r="C134" s="10">
        <f t="shared" si="0"/>
        <v>1.379011833065995E-2</v>
      </c>
      <c r="D134" s="11">
        <v>72.959999999999994</v>
      </c>
      <c r="E134" s="12">
        <f t="shared" si="1"/>
        <v>1.2770682953914318E-2</v>
      </c>
      <c r="F134" s="41"/>
      <c r="G134" s="41"/>
      <c r="H134" s="41"/>
      <c r="AG134" s="19">
        <v>133</v>
      </c>
      <c r="AH134" s="20">
        <v>3.9124006236871196</v>
      </c>
    </row>
    <row r="135" spans="1:34" ht="14.5" x14ac:dyDescent="0.35">
      <c r="A135" s="8">
        <v>45274</v>
      </c>
      <c r="B135" s="9">
        <v>472.01001000000002</v>
      </c>
      <c r="C135" s="10">
        <f t="shared" si="0"/>
        <v>3.2093730074389424E-3</v>
      </c>
      <c r="D135" s="11">
        <v>73.510000000000005</v>
      </c>
      <c r="E135" s="12">
        <f t="shared" si="1"/>
        <v>7.5383771929826123E-3</v>
      </c>
      <c r="F135" s="41"/>
      <c r="G135" s="41"/>
      <c r="H135" s="41"/>
      <c r="AG135" s="19">
        <v>134</v>
      </c>
      <c r="AH135" s="20">
        <v>-416.35747967044489</v>
      </c>
    </row>
    <row r="136" spans="1:34" ht="14.5" x14ac:dyDescent="0.35">
      <c r="A136" s="8">
        <v>45275</v>
      </c>
      <c r="B136" s="9">
        <v>469.32998700000002</v>
      </c>
      <c r="C136" s="10">
        <f t="shared" si="0"/>
        <v>-5.6778944158408957E-3</v>
      </c>
      <c r="D136" s="11">
        <v>73.400000000000006</v>
      </c>
      <c r="E136" s="12">
        <f t="shared" si="1"/>
        <v>-1.4963950482927415E-3</v>
      </c>
      <c r="F136" s="41"/>
      <c r="G136" s="41"/>
      <c r="H136" s="41"/>
      <c r="AG136" s="19">
        <v>135</v>
      </c>
      <c r="AH136" s="20">
        <v>-2332.2030290436496</v>
      </c>
    </row>
    <row r="137" spans="1:34" ht="14.5" x14ac:dyDescent="0.35">
      <c r="A137" s="8">
        <v>45278</v>
      </c>
      <c r="B137" s="9">
        <v>471.97000100000002</v>
      </c>
      <c r="C137" s="10">
        <f t="shared" si="0"/>
        <v>5.6250699361343123E-3</v>
      </c>
      <c r="D137" s="11">
        <v>73.25</v>
      </c>
      <c r="E137" s="12">
        <f t="shared" si="1"/>
        <v>-2.0435967302453091E-3</v>
      </c>
      <c r="F137" s="41"/>
      <c r="G137" s="41"/>
      <c r="H137" s="41"/>
      <c r="AG137" s="19">
        <v>136</v>
      </c>
      <c r="AH137" s="20">
        <v>-1164.3078769622409</v>
      </c>
    </row>
    <row r="138" spans="1:34" ht="14.5" x14ac:dyDescent="0.35">
      <c r="A138" s="8">
        <v>45279</v>
      </c>
      <c r="B138" s="9">
        <v>474.83999599999999</v>
      </c>
      <c r="C138" s="10">
        <f t="shared" si="0"/>
        <v>6.0808843653602472E-3</v>
      </c>
      <c r="D138" s="11">
        <v>73.39</v>
      </c>
      <c r="E138" s="12">
        <f t="shared" si="1"/>
        <v>1.9112627986348201E-3</v>
      </c>
      <c r="F138" s="41"/>
      <c r="G138" s="41"/>
      <c r="H138" s="41"/>
      <c r="AG138" s="19">
        <v>137</v>
      </c>
      <c r="AH138" s="20">
        <v>-3091.2407986195922</v>
      </c>
    </row>
    <row r="139" spans="1:34" ht="14.5" x14ac:dyDescent="0.35">
      <c r="A139" s="8">
        <v>45280</v>
      </c>
      <c r="B139" s="9">
        <v>468.26001000000002</v>
      </c>
      <c r="C139" s="10">
        <f t="shared" si="0"/>
        <v>-1.3857269933933625E-2</v>
      </c>
      <c r="D139" s="11">
        <v>73.63</v>
      </c>
      <c r="E139" s="12">
        <f t="shared" si="1"/>
        <v>3.2702002997682909E-3</v>
      </c>
      <c r="F139" s="41"/>
      <c r="G139" s="41"/>
      <c r="H139" s="41"/>
      <c r="AG139" s="19">
        <v>138</v>
      </c>
      <c r="AH139" s="20">
        <v>-3148.3517676602487</v>
      </c>
    </row>
    <row r="140" spans="1:34" ht="14.5" x14ac:dyDescent="0.35">
      <c r="A140" s="8">
        <v>45281</v>
      </c>
      <c r="B140" s="9">
        <v>472.70001200000002</v>
      </c>
      <c r="C140" s="10">
        <f t="shared" si="0"/>
        <v>9.4819158270636698E-3</v>
      </c>
      <c r="D140" s="11">
        <v>73.62</v>
      </c>
      <c r="E140" s="12">
        <f t="shared" si="1"/>
        <v>-1.3581420616584145E-4</v>
      </c>
      <c r="F140" s="41"/>
      <c r="G140" s="41"/>
      <c r="H140" s="41"/>
      <c r="AG140" s="19">
        <v>139</v>
      </c>
      <c r="AH140" s="20">
        <v>-271.65614284747647</v>
      </c>
    </row>
    <row r="141" spans="1:34" ht="14.5" x14ac:dyDescent="0.35">
      <c r="A141" s="8">
        <v>45282</v>
      </c>
      <c r="B141" s="9">
        <v>473.64999399999999</v>
      </c>
      <c r="C141" s="10">
        <f t="shared" si="0"/>
        <v>2.0096932005154618E-3</v>
      </c>
      <c r="D141" s="11">
        <v>73.36</v>
      </c>
      <c r="E141" s="12">
        <f t="shared" si="1"/>
        <v>-3.5316490084216939E-3</v>
      </c>
      <c r="F141" s="41"/>
      <c r="G141" s="41"/>
      <c r="H141" s="41"/>
      <c r="AG141" s="19">
        <v>140</v>
      </c>
      <c r="AH141" s="20">
        <v>224.29816534794614</v>
      </c>
    </row>
    <row r="142" spans="1:34" ht="14.5" x14ac:dyDescent="0.35">
      <c r="A142" s="8">
        <v>45286</v>
      </c>
      <c r="B142" s="9">
        <v>475.64999399999999</v>
      </c>
      <c r="C142" s="10">
        <f t="shared" si="0"/>
        <v>4.222527236007946E-3</v>
      </c>
      <c r="D142" s="11">
        <v>73.430000000000007</v>
      </c>
      <c r="E142" s="12">
        <f t="shared" si="1"/>
        <v>9.5419847328254343E-4</v>
      </c>
      <c r="F142" s="41"/>
      <c r="G142" s="41"/>
      <c r="H142" s="41"/>
      <c r="AG142" s="19">
        <v>141</v>
      </c>
      <c r="AH142" s="20">
        <v>-53.568091168676176</v>
      </c>
    </row>
    <row r="143" spans="1:34" ht="14.5" x14ac:dyDescent="0.35">
      <c r="A143" s="8">
        <v>45287</v>
      </c>
      <c r="B143" s="9">
        <v>476.51001000000002</v>
      </c>
      <c r="C143" s="10">
        <f t="shared" si="0"/>
        <v>1.8080858001651317E-3</v>
      </c>
      <c r="D143" s="11">
        <v>73.900000000000006</v>
      </c>
      <c r="E143" s="12">
        <f t="shared" si="1"/>
        <v>6.4006536837804551E-3</v>
      </c>
      <c r="F143" s="41"/>
      <c r="G143" s="41"/>
      <c r="H143" s="41"/>
      <c r="AG143" s="19">
        <v>142</v>
      </c>
      <c r="AH143" s="20">
        <v>718.94486960988957</v>
      </c>
    </row>
    <row r="144" spans="1:34" ht="14.5" x14ac:dyDescent="0.35">
      <c r="A144" s="8">
        <v>45288</v>
      </c>
      <c r="B144" s="9">
        <v>476.69000199999999</v>
      </c>
      <c r="C144" s="10">
        <f t="shared" si="0"/>
        <v>3.7772973541514934E-4</v>
      </c>
      <c r="D144" s="11">
        <v>73.72</v>
      </c>
      <c r="E144" s="12">
        <f t="shared" si="1"/>
        <v>-2.4357239512856131E-3</v>
      </c>
      <c r="F144" s="41"/>
      <c r="G144" s="41"/>
      <c r="H144" s="41"/>
      <c r="AG144" s="19">
        <v>143</v>
      </c>
      <c r="AH144" s="20">
        <v>-40.742187463717187</v>
      </c>
    </row>
    <row r="145" spans="1:34" ht="14.5" x14ac:dyDescent="0.35">
      <c r="A145" s="8">
        <v>45289</v>
      </c>
      <c r="B145" s="9">
        <v>475.30999800000001</v>
      </c>
      <c r="C145" s="10">
        <f t="shared" si="0"/>
        <v>-2.8949715626718458E-3</v>
      </c>
      <c r="D145" s="11">
        <v>73.55</v>
      </c>
      <c r="E145" s="12">
        <f t="shared" si="1"/>
        <v>-2.3060227889311136E-3</v>
      </c>
      <c r="F145" s="41"/>
      <c r="G145" s="41"/>
      <c r="H145" s="41"/>
      <c r="AG145" s="19">
        <v>144</v>
      </c>
      <c r="AH145" s="20">
        <v>-2048.5286877419398</v>
      </c>
    </row>
    <row r="146" spans="1:34" ht="14.5" x14ac:dyDescent="0.35">
      <c r="A146" s="8">
        <v>45293</v>
      </c>
      <c r="B146" s="9">
        <v>472.64999399999999</v>
      </c>
      <c r="C146" s="10">
        <f t="shared" si="0"/>
        <v>-5.5963560859075695E-3</v>
      </c>
      <c r="D146" s="11">
        <v>73.239999999999995</v>
      </c>
      <c r="E146" s="12">
        <f t="shared" si="1"/>
        <v>-4.2148198504419077E-3</v>
      </c>
      <c r="F146" s="41"/>
      <c r="G146" s="41"/>
      <c r="H146" s="41"/>
      <c r="AG146" s="19">
        <v>145</v>
      </c>
      <c r="AH146" s="20">
        <v>656.71646829673875</v>
      </c>
    </row>
    <row r="147" spans="1:34" ht="14.5" x14ac:dyDescent="0.35">
      <c r="A147" s="8">
        <v>45294</v>
      </c>
      <c r="B147" s="9">
        <v>468.790009</v>
      </c>
      <c r="C147" s="10">
        <f t="shared" si="0"/>
        <v>-8.1666879276422778E-3</v>
      </c>
      <c r="D147" s="11">
        <v>73.3</v>
      </c>
      <c r="E147" s="12">
        <f t="shared" si="1"/>
        <v>8.1922446750412722E-4</v>
      </c>
      <c r="F147" s="41"/>
      <c r="G147" s="41"/>
      <c r="H147" s="41"/>
      <c r="AG147" s="19">
        <v>146</v>
      </c>
      <c r="AH147" s="20">
        <v>3494.1887893064331</v>
      </c>
    </row>
    <row r="148" spans="1:34" ht="14.5" x14ac:dyDescent="0.35">
      <c r="A148" s="8">
        <v>45295</v>
      </c>
      <c r="B148" s="9">
        <v>467.27999899999998</v>
      </c>
      <c r="C148" s="10">
        <f t="shared" si="0"/>
        <v>-3.2210797393508925E-3</v>
      </c>
      <c r="D148" s="11">
        <v>72.97</v>
      </c>
      <c r="E148" s="12">
        <f t="shared" si="1"/>
        <v>-4.5020463847203042E-3</v>
      </c>
      <c r="F148" s="41"/>
      <c r="G148" s="41"/>
      <c r="H148" s="41"/>
      <c r="AG148" s="19">
        <v>147</v>
      </c>
      <c r="AH148" s="20">
        <v>715.52892383760434</v>
      </c>
    </row>
    <row r="149" spans="1:34" ht="14.5" x14ac:dyDescent="0.35">
      <c r="A149" s="8">
        <v>45296</v>
      </c>
      <c r="B149" s="9">
        <v>467.92001299999998</v>
      </c>
      <c r="C149" s="10">
        <f t="shared" si="0"/>
        <v>1.369658451826884E-3</v>
      </c>
      <c r="D149" s="11">
        <v>72.75</v>
      </c>
      <c r="E149" s="12">
        <f t="shared" si="1"/>
        <v>-3.0149376456077683E-3</v>
      </c>
      <c r="F149" s="41"/>
      <c r="G149" s="41"/>
      <c r="H149" s="41"/>
      <c r="AG149" s="19">
        <v>148</v>
      </c>
      <c r="AH149" s="20">
        <v>108.76735906414888</v>
      </c>
    </row>
    <row r="150" spans="1:34" ht="14.5" x14ac:dyDescent="0.35">
      <c r="A150" s="8">
        <v>45299</v>
      </c>
      <c r="B150" s="9">
        <v>474.60000600000001</v>
      </c>
      <c r="C150" s="10">
        <f t="shared" si="0"/>
        <v>1.4275929249472014E-2</v>
      </c>
      <c r="D150" s="11">
        <v>73.069999999999993</v>
      </c>
      <c r="E150" s="12">
        <f t="shared" si="1"/>
        <v>4.3986254295531706E-3</v>
      </c>
      <c r="F150" s="41"/>
      <c r="G150" s="41"/>
      <c r="H150" s="41"/>
      <c r="AG150" s="19">
        <v>149</v>
      </c>
      <c r="AH150" s="20">
        <v>-3418.9706743035517</v>
      </c>
    </row>
    <row r="151" spans="1:34" ht="14.5" x14ac:dyDescent="0.35">
      <c r="A151" s="8">
        <v>45300</v>
      </c>
      <c r="B151" s="9">
        <v>473.88000499999998</v>
      </c>
      <c r="C151" s="10">
        <f t="shared" si="0"/>
        <v>-1.517069091651096E-3</v>
      </c>
      <c r="D151" s="11">
        <v>73.06</v>
      </c>
      <c r="E151" s="12">
        <f t="shared" si="1"/>
        <v>-1.3685507048023684E-4</v>
      </c>
      <c r="F151" s="41"/>
      <c r="G151" s="41"/>
      <c r="H151" s="41"/>
      <c r="AG151" s="19">
        <v>150</v>
      </c>
      <c r="AH151" s="20">
        <v>1853.6377759213392</v>
      </c>
    </row>
    <row r="152" spans="1:34" ht="14.5" x14ac:dyDescent="0.35">
      <c r="A152" s="8">
        <v>45301</v>
      </c>
      <c r="B152" s="9">
        <v>476.55999800000001</v>
      </c>
      <c r="C152" s="10">
        <f t="shared" si="0"/>
        <v>5.6554253644865741E-3</v>
      </c>
      <c r="D152" s="11">
        <v>72.930000000000007</v>
      </c>
      <c r="E152" s="12">
        <f t="shared" si="1"/>
        <v>-1.7793594306049199E-3</v>
      </c>
      <c r="F152" s="41"/>
      <c r="G152" s="41"/>
      <c r="H152" s="41"/>
      <c r="AG152" s="19">
        <v>151</v>
      </c>
      <c r="AH152" s="20">
        <v>1703.9050924970795</v>
      </c>
    </row>
    <row r="153" spans="1:34" ht="14.5" x14ac:dyDescent="0.35">
      <c r="A153" s="8">
        <v>45302</v>
      </c>
      <c r="B153" s="9">
        <v>476.35000600000001</v>
      </c>
      <c r="C153" s="10">
        <f t="shared" si="0"/>
        <v>-4.4064126422965055E-4</v>
      </c>
      <c r="D153" s="11">
        <v>73.31</v>
      </c>
      <c r="E153" s="12">
        <f t="shared" si="1"/>
        <v>5.2104757987110296E-3</v>
      </c>
      <c r="F153" s="41"/>
      <c r="G153" s="41"/>
      <c r="H153" s="41"/>
      <c r="AG153" s="19">
        <v>152</v>
      </c>
      <c r="AH153" s="20">
        <v>-1152.643368095979</v>
      </c>
    </row>
    <row r="154" spans="1:34" ht="14.5" x14ac:dyDescent="0.35">
      <c r="A154" s="8">
        <v>45303</v>
      </c>
      <c r="B154" s="9">
        <v>476.67999300000002</v>
      </c>
      <c r="C154" s="10">
        <f t="shared" si="0"/>
        <v>6.9274062316274413E-4</v>
      </c>
      <c r="D154" s="11">
        <v>73.459999999999994</v>
      </c>
      <c r="E154" s="12">
        <f t="shared" si="1"/>
        <v>2.0461055790477623E-3</v>
      </c>
      <c r="F154" s="41"/>
      <c r="G154" s="41"/>
      <c r="H154" s="41"/>
      <c r="AG154" s="19">
        <v>153</v>
      </c>
      <c r="AH154" s="20">
        <v>-1580.7330382078617</v>
      </c>
    </row>
    <row r="155" spans="1:34" ht="14.5" x14ac:dyDescent="0.35">
      <c r="A155" s="8">
        <v>45307</v>
      </c>
      <c r="B155" s="9">
        <v>474.92999300000002</v>
      </c>
      <c r="C155" s="10">
        <f t="shared" si="0"/>
        <v>-3.6712260336044769E-3</v>
      </c>
      <c r="D155" s="11">
        <v>72.94</v>
      </c>
      <c r="E155" s="12">
        <f t="shared" si="1"/>
        <v>-7.0786822760685554E-3</v>
      </c>
      <c r="F155" s="41"/>
      <c r="G155" s="41"/>
      <c r="H155" s="41"/>
      <c r="AG155" s="19">
        <v>154</v>
      </c>
      <c r="AH155" s="20">
        <v>1897.4981159222805</v>
      </c>
    </row>
    <row r="156" spans="1:34" ht="14.5" x14ac:dyDescent="0.35">
      <c r="A156" s="8">
        <v>45308</v>
      </c>
      <c r="B156" s="9">
        <v>472.290009</v>
      </c>
      <c r="C156" s="10">
        <f t="shared" si="0"/>
        <v>-5.5586803084892271E-3</v>
      </c>
      <c r="D156" s="11">
        <v>72.77</v>
      </c>
      <c r="E156" s="12">
        <f t="shared" si="1"/>
        <v>-2.3306827529476514E-3</v>
      </c>
      <c r="F156" s="41"/>
      <c r="G156" s="41"/>
      <c r="H156" s="41"/>
      <c r="AG156" s="19">
        <v>155</v>
      </c>
      <c r="AH156" s="20">
        <v>3492.9415754715428</v>
      </c>
    </row>
    <row r="157" spans="1:34" ht="14.5" x14ac:dyDescent="0.35">
      <c r="A157" s="8">
        <v>45309</v>
      </c>
      <c r="B157" s="9">
        <v>476.48998999999998</v>
      </c>
      <c r="C157" s="10">
        <f t="shared" si="0"/>
        <v>8.8928008638014186E-3</v>
      </c>
      <c r="D157" s="11">
        <v>72.67</v>
      </c>
      <c r="E157" s="12">
        <f t="shared" si="1"/>
        <v>-1.3741926618111079E-3</v>
      </c>
      <c r="F157" s="41"/>
      <c r="G157" s="41"/>
      <c r="H157" s="41"/>
      <c r="AG157" s="19">
        <v>156</v>
      </c>
      <c r="AH157" s="20">
        <v>3066.243075356957</v>
      </c>
    </row>
    <row r="158" spans="1:34" ht="14.5" x14ac:dyDescent="0.35">
      <c r="A158" s="8">
        <v>45310</v>
      </c>
      <c r="B158" s="9">
        <v>482.42999300000002</v>
      </c>
      <c r="C158" s="10">
        <f t="shared" si="0"/>
        <v>1.2466165343788329E-2</v>
      </c>
      <c r="D158" s="11">
        <v>72.67</v>
      </c>
      <c r="E158" s="12">
        <f t="shared" si="1"/>
        <v>0</v>
      </c>
      <c r="F158" s="41"/>
      <c r="G158" s="41"/>
      <c r="H158" s="41"/>
      <c r="AG158" s="19">
        <v>157</v>
      </c>
      <c r="AH158" s="20">
        <v>-2481.3930973525403</v>
      </c>
    </row>
    <row r="159" spans="1:34" ht="14.5" x14ac:dyDescent="0.35">
      <c r="A159" s="8">
        <v>45313</v>
      </c>
      <c r="B159" s="9">
        <v>483.45001200000002</v>
      </c>
      <c r="C159" s="10">
        <f t="shared" si="0"/>
        <v>2.1143357892343785E-3</v>
      </c>
      <c r="D159" s="11">
        <v>72.790000000000006</v>
      </c>
      <c r="E159" s="12">
        <f t="shared" si="1"/>
        <v>1.6513003990643257E-3</v>
      </c>
      <c r="F159" s="41"/>
      <c r="G159" s="41"/>
      <c r="H159" s="41"/>
      <c r="AG159" s="19">
        <v>158</v>
      </c>
      <c r="AH159" s="20">
        <v>-601.04672045930261</v>
      </c>
    </row>
    <row r="160" spans="1:34" ht="14.5" x14ac:dyDescent="0.35">
      <c r="A160" s="8">
        <v>45314</v>
      </c>
      <c r="B160" s="9">
        <v>484.85998499999999</v>
      </c>
      <c r="C160" s="10">
        <f t="shared" si="0"/>
        <v>2.9164814665471133E-3</v>
      </c>
      <c r="D160" s="11">
        <v>72.62</v>
      </c>
      <c r="E160" s="12">
        <f t="shared" si="1"/>
        <v>-2.3354856436323904E-3</v>
      </c>
      <c r="F160" s="41"/>
      <c r="G160" s="41"/>
      <c r="H160" s="41"/>
      <c r="AG160" s="19">
        <v>159</v>
      </c>
      <c r="AH160" s="20">
        <v>1254.5493840562206</v>
      </c>
    </row>
    <row r="161" spans="1:34" ht="14.5" x14ac:dyDescent="0.35">
      <c r="A161" s="8">
        <v>45315</v>
      </c>
      <c r="B161" s="9">
        <v>485.39001500000001</v>
      </c>
      <c r="C161" s="10">
        <f t="shared" si="0"/>
        <v>1.0931609462472155E-3</v>
      </c>
      <c r="D161" s="11">
        <v>72.47</v>
      </c>
      <c r="E161" s="12">
        <f t="shared" si="1"/>
        <v>-2.0655466813550767E-3</v>
      </c>
      <c r="F161" s="41"/>
      <c r="G161" s="41"/>
      <c r="H161" s="41"/>
      <c r="AG161" s="19">
        <v>160</v>
      </c>
      <c r="AH161" s="20">
        <v>-722.39180853471635</v>
      </c>
    </row>
    <row r="162" spans="1:34" ht="14.5" x14ac:dyDescent="0.35">
      <c r="A162" s="8">
        <v>45316</v>
      </c>
      <c r="B162" s="9">
        <v>488.02999899999998</v>
      </c>
      <c r="C162" s="10">
        <f t="shared" si="0"/>
        <v>5.4388922689313458E-3</v>
      </c>
      <c r="D162" s="11">
        <v>72.81</v>
      </c>
      <c r="E162" s="12">
        <f t="shared" si="1"/>
        <v>4.6915965226990951E-3</v>
      </c>
      <c r="F162" s="41"/>
      <c r="G162" s="41"/>
      <c r="H162" s="41"/>
      <c r="AG162" s="19">
        <v>161</v>
      </c>
      <c r="AH162" s="20">
        <v>-84.83589507201026</v>
      </c>
    </row>
    <row r="163" spans="1:34" ht="14.5" x14ac:dyDescent="0.35">
      <c r="A163" s="8">
        <v>45317</v>
      </c>
      <c r="B163" s="9">
        <v>487.41000400000001</v>
      </c>
      <c r="C163" s="10">
        <f t="shared" si="0"/>
        <v>-1.2704034614068067E-3</v>
      </c>
      <c r="D163" s="11">
        <v>72.7</v>
      </c>
      <c r="E163" s="12">
        <f t="shared" si="1"/>
        <v>-1.5107814860595994E-3</v>
      </c>
      <c r="F163" s="41"/>
      <c r="G163" s="41"/>
      <c r="H163" s="41"/>
      <c r="AG163" s="19">
        <v>162</v>
      </c>
      <c r="AH163" s="20">
        <v>-386.91788471007357</v>
      </c>
    </row>
    <row r="164" spans="1:34" ht="14.5" x14ac:dyDescent="0.35">
      <c r="A164" s="8">
        <v>45320</v>
      </c>
      <c r="B164" s="9">
        <v>491.26998900000001</v>
      </c>
      <c r="C164" s="10">
        <f t="shared" si="0"/>
        <v>7.9193799231088297E-3</v>
      </c>
      <c r="D164" s="11">
        <v>72.989999999999995</v>
      </c>
      <c r="E164" s="12">
        <f t="shared" si="1"/>
        <v>3.9889958734524349E-3</v>
      </c>
      <c r="F164" s="41"/>
      <c r="G164" s="41"/>
      <c r="H164" s="41"/>
      <c r="AG164" s="19">
        <v>163</v>
      </c>
      <c r="AH164" s="20">
        <v>-1443.7847549445146</v>
      </c>
    </row>
    <row r="165" spans="1:34" ht="14.5" x14ac:dyDescent="0.35">
      <c r="A165" s="8">
        <v>45321</v>
      </c>
      <c r="B165" s="9">
        <v>490.89001500000001</v>
      </c>
      <c r="C165" s="10">
        <f t="shared" si="0"/>
        <v>-7.7345249762448697E-4</v>
      </c>
      <c r="D165" s="11">
        <v>73.12</v>
      </c>
      <c r="E165" s="12">
        <f t="shared" si="1"/>
        <v>1.7810658994384116E-3</v>
      </c>
      <c r="F165" s="41"/>
      <c r="G165" s="41"/>
      <c r="H165" s="41"/>
      <c r="AG165" s="19">
        <v>164</v>
      </c>
      <c r="AH165" s="20">
        <v>2974.4694437086123</v>
      </c>
    </row>
    <row r="166" spans="1:34" ht="14.5" x14ac:dyDescent="0.35">
      <c r="A166" s="8">
        <v>45322</v>
      </c>
      <c r="B166" s="9">
        <v>482.88000499999998</v>
      </c>
      <c r="C166" s="10">
        <f t="shared" si="0"/>
        <v>-1.631732110093953E-2</v>
      </c>
      <c r="D166" s="11">
        <v>73.430000000000007</v>
      </c>
      <c r="E166" s="12">
        <f t="shared" si="1"/>
        <v>4.2396061269146914E-3</v>
      </c>
      <c r="F166" s="41"/>
      <c r="G166" s="41"/>
      <c r="H166" s="41"/>
      <c r="AG166" s="19">
        <v>165</v>
      </c>
      <c r="AH166" s="20">
        <v>252.60667455529949</v>
      </c>
    </row>
    <row r="167" spans="1:34" ht="14.5" x14ac:dyDescent="0.35">
      <c r="A167" s="8">
        <v>45323</v>
      </c>
      <c r="B167" s="9">
        <v>489.20001200000002</v>
      </c>
      <c r="C167" s="10">
        <f t="shared" si="0"/>
        <v>1.3088152200462375E-2</v>
      </c>
      <c r="D167" s="11">
        <v>73.66</v>
      </c>
      <c r="E167" s="12">
        <f t="shared" si="1"/>
        <v>3.1322347814243465E-3</v>
      </c>
      <c r="F167" s="41"/>
      <c r="G167" s="41"/>
      <c r="H167" s="41"/>
      <c r="AG167" s="19">
        <v>166</v>
      </c>
      <c r="AH167" s="20">
        <v>-2323.617621449228</v>
      </c>
    </row>
    <row r="168" spans="1:34" ht="14.5" x14ac:dyDescent="0.35">
      <c r="A168" s="8">
        <v>45324</v>
      </c>
      <c r="B168" s="9">
        <v>494.35000600000001</v>
      </c>
      <c r="C168" s="10">
        <f t="shared" si="0"/>
        <v>1.0527379136695509E-2</v>
      </c>
      <c r="D168" s="11">
        <v>73</v>
      </c>
      <c r="E168" s="12">
        <f t="shared" si="1"/>
        <v>-8.9600868856909675E-3</v>
      </c>
      <c r="F168" s="41"/>
      <c r="G168" s="41"/>
      <c r="H168" s="41"/>
      <c r="AG168" s="19">
        <v>167</v>
      </c>
      <c r="AH168" s="20">
        <v>4106.2405928358439</v>
      </c>
    </row>
    <row r="169" spans="1:34" ht="14.5" x14ac:dyDescent="0.35">
      <c r="A169" s="8">
        <v>45327</v>
      </c>
      <c r="B169" s="9">
        <v>492.54998799999998</v>
      </c>
      <c r="C169" s="10">
        <f t="shared" si="0"/>
        <v>-3.6411813050529684E-3</v>
      </c>
      <c r="D169" s="11">
        <v>72.42</v>
      </c>
      <c r="E169" s="12">
        <f t="shared" si="1"/>
        <v>-7.9452054794520322E-3</v>
      </c>
      <c r="F169" s="41"/>
      <c r="G169" s="41"/>
      <c r="H169" s="41"/>
      <c r="AG169" s="19">
        <v>168</v>
      </c>
      <c r="AH169" s="20">
        <v>1641.11125290976</v>
      </c>
    </row>
    <row r="170" spans="1:34" ht="14.5" x14ac:dyDescent="0.35">
      <c r="A170" s="8">
        <v>45328</v>
      </c>
      <c r="B170" s="9">
        <v>493.98001099999999</v>
      </c>
      <c r="C170" s="10">
        <f t="shared" si="0"/>
        <v>2.903305318931417E-3</v>
      </c>
      <c r="D170" s="11">
        <v>72.760000000000005</v>
      </c>
      <c r="E170" s="12">
        <f t="shared" si="1"/>
        <v>4.6948356807512207E-3</v>
      </c>
      <c r="F170" s="41"/>
      <c r="G170" s="41"/>
      <c r="H170" s="41"/>
      <c r="AG170" s="19">
        <v>169</v>
      </c>
      <c r="AH170" s="20">
        <v>1928.7832770591328</v>
      </c>
    </row>
    <row r="171" spans="1:34" ht="14.5" x14ac:dyDescent="0.35">
      <c r="A171" s="8">
        <v>45329</v>
      </c>
      <c r="B171" s="9">
        <v>498.10000600000001</v>
      </c>
      <c r="C171" s="10">
        <f t="shared" si="0"/>
        <v>8.3404083328384258E-3</v>
      </c>
      <c r="D171" s="11">
        <v>72.62</v>
      </c>
      <c r="E171" s="12">
        <f t="shared" si="1"/>
        <v>-1.9241341396371711E-3</v>
      </c>
      <c r="F171" s="41"/>
      <c r="G171" s="41"/>
      <c r="H171" s="41"/>
      <c r="AG171" s="19">
        <v>170</v>
      </c>
      <c r="AH171" s="20">
        <v>649.38389224544824</v>
      </c>
    </row>
    <row r="172" spans="1:34" ht="14.5" x14ac:dyDescent="0.35">
      <c r="A172" s="8">
        <v>45330</v>
      </c>
      <c r="B172" s="9">
        <v>498.32000699999998</v>
      </c>
      <c r="C172" s="10">
        <f t="shared" si="0"/>
        <v>4.4168038014431968E-4</v>
      </c>
      <c r="D172" s="11">
        <v>72.430000000000007</v>
      </c>
      <c r="E172" s="12">
        <f t="shared" si="1"/>
        <v>-2.6163591297163002E-3</v>
      </c>
      <c r="F172" s="41"/>
      <c r="G172" s="41"/>
      <c r="H172" s="41"/>
      <c r="AG172" s="19">
        <v>171</v>
      </c>
      <c r="AH172" s="20">
        <v>654.65970623732562</v>
      </c>
    </row>
    <row r="173" spans="1:34" ht="14.5" x14ac:dyDescent="0.35">
      <c r="A173" s="8">
        <v>45331</v>
      </c>
      <c r="B173" s="9">
        <v>501.20001200000002</v>
      </c>
      <c r="C173" s="10">
        <f t="shared" si="0"/>
        <v>5.7794287998555911E-3</v>
      </c>
      <c r="D173" s="11">
        <v>72.37</v>
      </c>
      <c r="E173" s="12">
        <f t="shared" si="1"/>
        <v>-8.2838602788902753E-4</v>
      </c>
      <c r="F173" s="41"/>
      <c r="G173" s="41"/>
      <c r="H173" s="41"/>
      <c r="AG173" s="19">
        <v>172</v>
      </c>
      <c r="AH173" s="20">
        <v>1310.1257141305816</v>
      </c>
    </row>
    <row r="174" spans="1:34" ht="14.5" x14ac:dyDescent="0.35">
      <c r="A174" s="8">
        <v>45334</v>
      </c>
      <c r="B174" s="9">
        <v>500.98001099999999</v>
      </c>
      <c r="C174" s="10">
        <f t="shared" si="0"/>
        <v>-4.3894851303400361E-4</v>
      </c>
      <c r="D174" s="11">
        <v>72.39</v>
      </c>
      <c r="E174" s="12">
        <f t="shared" si="1"/>
        <v>2.7635760674307063E-4</v>
      </c>
      <c r="F174" s="41"/>
      <c r="G174" s="41"/>
      <c r="H174" s="41"/>
      <c r="AG174" s="19">
        <v>173</v>
      </c>
      <c r="AH174" s="20">
        <v>149.14319540881468</v>
      </c>
    </row>
    <row r="175" spans="1:34" ht="14.5" x14ac:dyDescent="0.35">
      <c r="A175" s="8">
        <v>45335</v>
      </c>
      <c r="B175" s="9">
        <v>494.07998700000002</v>
      </c>
      <c r="C175" s="10">
        <f t="shared" si="0"/>
        <v>-1.3773052514065224E-2</v>
      </c>
      <c r="D175" s="11">
        <v>71.760000000000005</v>
      </c>
      <c r="E175" s="12">
        <f t="shared" si="1"/>
        <v>-8.7028595109821163E-3</v>
      </c>
      <c r="F175" s="41"/>
      <c r="G175" s="41"/>
      <c r="H175" s="41"/>
      <c r="AG175" s="19">
        <v>174</v>
      </c>
      <c r="AH175" s="20">
        <v>-2492.4041549244112</v>
      </c>
    </row>
    <row r="176" spans="1:34" ht="14.5" x14ac:dyDescent="0.35">
      <c r="A176" s="8">
        <v>45336</v>
      </c>
      <c r="B176" s="9">
        <v>498.57000699999998</v>
      </c>
      <c r="C176" s="10">
        <f t="shared" si="0"/>
        <v>9.087637868643238E-3</v>
      </c>
      <c r="D176" s="11">
        <v>72.03</v>
      </c>
      <c r="E176" s="12">
        <f t="shared" si="1"/>
        <v>3.762541806020011E-3</v>
      </c>
      <c r="F176" s="41"/>
      <c r="G176" s="41"/>
      <c r="H176" s="41"/>
      <c r="AG176" s="19">
        <v>175</v>
      </c>
      <c r="AH176" s="20">
        <v>661.50804849926999</v>
      </c>
    </row>
    <row r="177" spans="1:34" ht="14.5" x14ac:dyDescent="0.35">
      <c r="A177" s="8">
        <v>45337</v>
      </c>
      <c r="B177" s="9">
        <v>502.01001000000002</v>
      </c>
      <c r="C177" s="10">
        <f t="shared" si="0"/>
        <v>6.8997391573938924E-3</v>
      </c>
      <c r="D177" s="11">
        <v>72.23</v>
      </c>
      <c r="E177" s="12">
        <f t="shared" si="1"/>
        <v>2.7766208524226412E-3</v>
      </c>
      <c r="F177" s="41"/>
      <c r="G177" s="41"/>
      <c r="H177" s="41"/>
      <c r="AG177" s="19">
        <v>176</v>
      </c>
      <c r="AH177" s="20">
        <v>-2553.1174063462618</v>
      </c>
    </row>
    <row r="178" spans="1:34" ht="14.5" x14ac:dyDescent="0.35">
      <c r="A178" s="8">
        <v>45338</v>
      </c>
      <c r="B178" s="9">
        <v>499.51001000000002</v>
      </c>
      <c r="C178" s="10">
        <f t="shared" si="0"/>
        <v>-4.9799803792757039E-3</v>
      </c>
      <c r="D178" s="11">
        <v>72</v>
      </c>
      <c r="E178" s="12">
        <f t="shared" si="1"/>
        <v>-3.1842724629655818E-3</v>
      </c>
      <c r="F178" s="41"/>
      <c r="G178" s="41"/>
      <c r="H178" s="41"/>
      <c r="AG178" s="19">
        <v>177</v>
      </c>
      <c r="AH178" s="20">
        <v>1464.906027968794</v>
      </c>
    </row>
    <row r="179" spans="1:34" ht="14.5" x14ac:dyDescent="0.35">
      <c r="A179" s="8">
        <v>45342</v>
      </c>
      <c r="B179" s="9">
        <v>496.76001000000002</v>
      </c>
      <c r="C179" s="10">
        <f t="shared" si="0"/>
        <v>-5.5053951771657185E-3</v>
      </c>
      <c r="D179" s="11">
        <v>72.09</v>
      </c>
      <c r="E179" s="12">
        <f t="shared" si="1"/>
        <v>1.2500000000000473E-3</v>
      </c>
      <c r="F179" s="41"/>
      <c r="G179" s="41"/>
      <c r="H179" s="41"/>
      <c r="AG179" s="19">
        <v>178</v>
      </c>
      <c r="AH179" s="20">
        <v>7036.1808033522257</v>
      </c>
    </row>
    <row r="180" spans="1:34" ht="14.5" x14ac:dyDescent="0.35">
      <c r="A180" s="8">
        <v>45343</v>
      </c>
      <c r="B180" s="9">
        <v>497.209991</v>
      </c>
      <c r="C180" s="10">
        <f t="shared" si="0"/>
        <v>9.0583177176435713E-4</v>
      </c>
      <c r="D180" s="11">
        <v>71.89</v>
      </c>
      <c r="E180" s="12">
        <f t="shared" si="1"/>
        <v>-2.7743098904147987E-3</v>
      </c>
      <c r="F180" s="41"/>
      <c r="G180" s="41"/>
      <c r="H180" s="41"/>
      <c r="AG180" s="19">
        <v>179</v>
      </c>
      <c r="AH180" s="20">
        <v>-567.54816818266204</v>
      </c>
    </row>
    <row r="181" spans="1:34" ht="14.5" x14ac:dyDescent="0.35">
      <c r="A181" s="8">
        <v>45344</v>
      </c>
      <c r="B181" s="9">
        <v>507.5</v>
      </c>
      <c r="C181" s="10">
        <f t="shared" si="0"/>
        <v>2.0695499258380746E-2</v>
      </c>
      <c r="D181" s="11">
        <v>71.92</v>
      </c>
      <c r="E181" s="12">
        <f t="shared" si="1"/>
        <v>4.1730421477258504E-4</v>
      </c>
      <c r="F181" s="41"/>
      <c r="G181" s="41"/>
      <c r="H181" s="41"/>
      <c r="AG181" s="19">
        <v>180</v>
      </c>
      <c r="AH181" s="20">
        <v>49.926444029895151</v>
      </c>
    </row>
    <row r="182" spans="1:34" ht="14.5" x14ac:dyDescent="0.35">
      <c r="A182" s="8">
        <v>45345</v>
      </c>
      <c r="B182" s="9">
        <v>507.85000600000001</v>
      </c>
      <c r="C182" s="10">
        <f t="shared" si="0"/>
        <v>6.8966699507390654E-4</v>
      </c>
      <c r="D182" s="11">
        <v>72.180000000000007</v>
      </c>
      <c r="E182" s="12">
        <f t="shared" si="1"/>
        <v>3.6151279199110832E-3</v>
      </c>
      <c r="F182" s="41"/>
      <c r="G182" s="41"/>
      <c r="H182" s="41"/>
      <c r="AG182" s="19">
        <v>181</v>
      </c>
      <c r="AH182" s="20">
        <v>2489.6243719997797</v>
      </c>
    </row>
    <row r="183" spans="1:34" ht="14.5" x14ac:dyDescent="0.35">
      <c r="A183" s="8">
        <v>45348</v>
      </c>
      <c r="B183" s="9">
        <v>505.98998999999998</v>
      </c>
      <c r="C183" s="10">
        <f t="shared" si="0"/>
        <v>-3.6625302314164591E-3</v>
      </c>
      <c r="D183" s="11">
        <v>72.05</v>
      </c>
      <c r="E183" s="12">
        <f t="shared" si="1"/>
        <v>-1.8010529232475707E-3</v>
      </c>
      <c r="F183" s="41"/>
      <c r="G183" s="41"/>
      <c r="H183" s="41"/>
      <c r="AG183" s="19">
        <v>182</v>
      </c>
      <c r="AH183" s="20">
        <v>597.37344491365388</v>
      </c>
    </row>
    <row r="184" spans="1:34" ht="14.5" x14ac:dyDescent="0.35">
      <c r="A184" s="8">
        <v>45349</v>
      </c>
      <c r="B184" s="9">
        <v>506.92999300000002</v>
      </c>
      <c r="C184" s="10">
        <f t="shared" si="0"/>
        <v>1.8577501898803315E-3</v>
      </c>
      <c r="D184" s="11">
        <v>71.94</v>
      </c>
      <c r="E184" s="12">
        <f t="shared" si="1"/>
        <v>-1.5267175572519006E-3</v>
      </c>
      <c r="F184" s="41"/>
      <c r="G184" s="41"/>
      <c r="H184" s="41"/>
      <c r="AG184" s="19">
        <v>183</v>
      </c>
      <c r="AH184" s="20">
        <v>-2186.2554395120615</v>
      </c>
    </row>
    <row r="185" spans="1:34" ht="14.5" x14ac:dyDescent="0.35">
      <c r="A185" s="8">
        <v>45350</v>
      </c>
      <c r="B185" s="9">
        <v>506.26001000000002</v>
      </c>
      <c r="C185" s="10">
        <f t="shared" si="0"/>
        <v>-1.3216479775344481E-3</v>
      </c>
      <c r="D185" s="11">
        <v>72.099999999999994</v>
      </c>
      <c r="E185" s="12">
        <f t="shared" si="1"/>
        <v>2.2240756185709842E-3</v>
      </c>
      <c r="F185" s="41"/>
      <c r="G185" s="41"/>
      <c r="H185" s="41"/>
      <c r="AG185" s="19">
        <v>184</v>
      </c>
      <c r="AH185" s="20">
        <v>2947.4801987805081</v>
      </c>
    </row>
    <row r="186" spans="1:34" ht="14.5" x14ac:dyDescent="0.35">
      <c r="A186" s="8">
        <v>45351</v>
      </c>
      <c r="B186" s="9">
        <v>508.07998700000002</v>
      </c>
      <c r="C186" s="10">
        <f t="shared" si="0"/>
        <v>3.5949452140215349E-3</v>
      </c>
      <c r="D186" s="11">
        <v>72.22</v>
      </c>
      <c r="E186" s="12">
        <f t="shared" si="1"/>
        <v>1.664355062413378E-3</v>
      </c>
      <c r="F186" s="41"/>
      <c r="G186" s="41"/>
      <c r="H186" s="41"/>
      <c r="AG186" s="19">
        <v>185</v>
      </c>
      <c r="AH186" s="20">
        <v>3755.1953764061823</v>
      </c>
    </row>
    <row r="187" spans="1:34" ht="14.5" x14ac:dyDescent="0.35">
      <c r="A187" s="8">
        <v>45352</v>
      </c>
      <c r="B187" s="9">
        <v>512.84997599999997</v>
      </c>
      <c r="C187" s="10">
        <f t="shared" si="0"/>
        <v>9.388263899479183E-3</v>
      </c>
      <c r="D187" s="11">
        <v>72.319999999999993</v>
      </c>
      <c r="E187" s="12">
        <f t="shared" si="1"/>
        <v>1.3846579894765205E-3</v>
      </c>
      <c r="F187" s="41"/>
      <c r="G187" s="41"/>
      <c r="H187" s="41"/>
      <c r="AG187" s="19">
        <v>186</v>
      </c>
      <c r="AH187" s="20">
        <v>-2479.0024295038838</v>
      </c>
    </row>
    <row r="188" spans="1:34" ht="14.5" x14ac:dyDescent="0.35">
      <c r="A188" s="8">
        <v>45355</v>
      </c>
      <c r="B188" s="9">
        <v>512.29998799999998</v>
      </c>
      <c r="C188" s="10">
        <f t="shared" si="0"/>
        <v>-1.0724149863272779E-3</v>
      </c>
      <c r="D188" s="11">
        <v>72.150000000000006</v>
      </c>
      <c r="E188" s="12">
        <f t="shared" si="1"/>
        <v>-2.3506637168139864E-3</v>
      </c>
      <c r="F188" s="41"/>
      <c r="G188" s="41"/>
      <c r="H188" s="41"/>
      <c r="AG188" s="19">
        <v>187</v>
      </c>
      <c r="AH188" s="20">
        <v>-1598.9957907433145</v>
      </c>
    </row>
    <row r="189" spans="1:34" ht="14.5" x14ac:dyDescent="0.35">
      <c r="A189" s="8">
        <v>45356</v>
      </c>
      <c r="B189" s="9">
        <v>507.17999300000002</v>
      </c>
      <c r="C189" s="10">
        <f t="shared" si="0"/>
        <v>-9.994134530411038E-3</v>
      </c>
      <c r="D189" s="11">
        <v>72.540000000000006</v>
      </c>
      <c r="E189" s="12">
        <f t="shared" si="1"/>
        <v>5.4054054054054126E-3</v>
      </c>
      <c r="F189" s="41"/>
      <c r="G189" s="41"/>
      <c r="H189" s="41"/>
      <c r="AG189" s="19">
        <v>188</v>
      </c>
      <c r="AH189" s="20">
        <v>-1091.8836866404881</v>
      </c>
    </row>
    <row r="190" spans="1:34" ht="14.5" x14ac:dyDescent="0.35">
      <c r="A190" s="8">
        <v>45357</v>
      </c>
      <c r="B190" s="9">
        <v>509.75</v>
      </c>
      <c r="C190" s="10">
        <f t="shared" si="0"/>
        <v>5.0672483841451045E-3</v>
      </c>
      <c r="D190" s="11">
        <v>72.67</v>
      </c>
      <c r="E190" s="12">
        <f t="shared" si="1"/>
        <v>1.7921146953404389E-3</v>
      </c>
      <c r="F190" s="41"/>
      <c r="G190" s="41"/>
      <c r="H190" s="41"/>
      <c r="AG190" s="19">
        <v>189</v>
      </c>
      <c r="AH190" s="20">
        <v>-1173.6263518588764</v>
      </c>
    </row>
    <row r="191" spans="1:34" ht="14.5" x14ac:dyDescent="0.35">
      <c r="A191" s="8">
        <v>45358</v>
      </c>
      <c r="B191" s="9">
        <v>514.80999799999995</v>
      </c>
      <c r="C191" s="10">
        <f t="shared" si="0"/>
        <v>9.9264306032367834E-3</v>
      </c>
      <c r="D191" s="11">
        <v>72.790000000000006</v>
      </c>
      <c r="E191" s="12">
        <f t="shared" si="1"/>
        <v>1.6513003990643257E-3</v>
      </c>
      <c r="F191" s="41"/>
      <c r="G191" s="41"/>
      <c r="H191" s="41"/>
      <c r="AG191" s="19">
        <v>190</v>
      </c>
      <c r="AH191" s="20">
        <v>-2450.1710188326615</v>
      </c>
    </row>
    <row r="192" spans="1:34" ht="14.5" x14ac:dyDescent="0.35">
      <c r="A192" s="8">
        <v>45359</v>
      </c>
      <c r="B192" s="9">
        <v>511.72000100000002</v>
      </c>
      <c r="C192" s="10">
        <f t="shared" si="0"/>
        <v>-6.002208605124887E-3</v>
      </c>
      <c r="D192" s="11">
        <v>72.86</v>
      </c>
      <c r="E192" s="12">
        <f t="shared" si="1"/>
        <v>9.6167055914264557E-4</v>
      </c>
      <c r="F192" s="41"/>
      <c r="G192" s="41"/>
      <c r="H192" s="41"/>
      <c r="AG192" s="19">
        <v>191</v>
      </c>
      <c r="AH192" s="20">
        <v>-2069.8256730967551</v>
      </c>
    </row>
    <row r="193" spans="1:34" ht="14.5" x14ac:dyDescent="0.35">
      <c r="A193" s="8">
        <v>45362</v>
      </c>
      <c r="B193" s="9">
        <v>511.27999899999998</v>
      </c>
      <c r="C193" s="10">
        <f t="shared" si="0"/>
        <v>-8.5984913456616972E-4</v>
      </c>
      <c r="D193" s="11">
        <v>72.83</v>
      </c>
      <c r="E193" s="12">
        <f t="shared" si="1"/>
        <v>-4.117485588800595E-4</v>
      </c>
      <c r="F193" s="41"/>
      <c r="G193" s="41"/>
      <c r="H193" s="41"/>
      <c r="AG193" s="19">
        <v>192</v>
      </c>
      <c r="AH193" s="20">
        <v>353.34382218649921</v>
      </c>
    </row>
    <row r="194" spans="1:34" ht="14.5" x14ac:dyDescent="0.35">
      <c r="A194" s="8">
        <v>45363</v>
      </c>
      <c r="B194" s="9">
        <v>516.78002900000001</v>
      </c>
      <c r="C194" s="10">
        <f t="shared" si="0"/>
        <v>1.0757373671486098E-2</v>
      </c>
      <c r="D194" s="11">
        <v>72.61</v>
      </c>
      <c r="E194" s="12">
        <f t="shared" si="1"/>
        <v>-3.0207332143347364E-3</v>
      </c>
      <c r="F194" s="41"/>
      <c r="G194" s="41"/>
      <c r="H194" s="41"/>
      <c r="AG194" s="19">
        <v>193</v>
      </c>
      <c r="AH194" s="20">
        <v>-316.60418334019465</v>
      </c>
    </row>
    <row r="195" spans="1:34" ht="14.5" x14ac:dyDescent="0.35">
      <c r="A195" s="8">
        <v>45364</v>
      </c>
      <c r="B195" s="9">
        <v>515.96997099999999</v>
      </c>
      <c r="C195" s="10">
        <f t="shared" si="0"/>
        <v>-1.5675102646043359E-3</v>
      </c>
      <c r="D195" s="11">
        <v>72.489999999999995</v>
      </c>
      <c r="E195" s="12">
        <f t="shared" si="1"/>
        <v>-1.6526649221870891E-3</v>
      </c>
      <c r="F195" s="41"/>
      <c r="G195" s="41"/>
      <c r="H195" s="41"/>
      <c r="AG195" s="19">
        <v>194</v>
      </c>
      <c r="AH195" s="20">
        <v>1644.9089160120857</v>
      </c>
    </row>
    <row r="196" spans="1:34" ht="14.5" x14ac:dyDescent="0.35">
      <c r="A196" s="8">
        <v>45365</v>
      </c>
      <c r="B196" s="9">
        <v>514.95001200000002</v>
      </c>
      <c r="C196" s="10">
        <f t="shared" si="0"/>
        <v>-1.976779768836531E-3</v>
      </c>
      <c r="D196" s="11">
        <v>72.06</v>
      </c>
      <c r="E196" s="12">
        <f t="shared" si="1"/>
        <v>-5.9318526693335994E-3</v>
      </c>
      <c r="F196" s="41"/>
      <c r="G196" s="41"/>
      <c r="H196" s="41"/>
      <c r="AG196" s="19">
        <v>195</v>
      </c>
      <c r="AH196" s="20">
        <v>-1773.7387312379376</v>
      </c>
    </row>
    <row r="197" spans="1:34" ht="14.5" x14ac:dyDescent="0.35">
      <c r="A197" s="8">
        <v>45366</v>
      </c>
      <c r="B197" s="9">
        <v>509.82998700000002</v>
      </c>
      <c r="C197" s="10">
        <f t="shared" si="0"/>
        <v>-9.9427612014503612E-3</v>
      </c>
      <c r="D197" s="11">
        <v>72.02</v>
      </c>
      <c r="E197" s="12">
        <f t="shared" si="1"/>
        <v>-5.5509297807391415E-4</v>
      </c>
      <c r="F197" s="41"/>
      <c r="G197" s="41"/>
      <c r="H197" s="41"/>
      <c r="AG197" s="19">
        <v>196</v>
      </c>
      <c r="AH197" s="20">
        <v>82.881314269123891</v>
      </c>
    </row>
    <row r="198" spans="1:34" ht="14.5" x14ac:dyDescent="0.35">
      <c r="A198" s="8">
        <v>45369</v>
      </c>
      <c r="B198" s="9">
        <v>512.85998500000005</v>
      </c>
      <c r="C198" s="10">
        <f t="shared" si="0"/>
        <v>5.9431537517624176E-3</v>
      </c>
      <c r="D198" s="11">
        <v>71.930000000000007</v>
      </c>
      <c r="E198" s="12">
        <f t="shared" si="1"/>
        <v>-1.2496528742014608E-3</v>
      </c>
      <c r="F198" s="41"/>
      <c r="G198" s="41"/>
      <c r="H198" s="41"/>
      <c r="AG198" s="19">
        <v>197</v>
      </c>
      <c r="AH198" s="20">
        <v>-3650.759034580044</v>
      </c>
    </row>
    <row r="199" spans="1:34" ht="14.5" x14ac:dyDescent="0.35">
      <c r="A199" s="8">
        <v>45370</v>
      </c>
      <c r="B199" s="9">
        <v>515.71002199999998</v>
      </c>
      <c r="C199" s="10">
        <f t="shared" si="0"/>
        <v>5.557144412426579E-3</v>
      </c>
      <c r="D199" s="11">
        <v>72.12</v>
      </c>
      <c r="E199" s="12">
        <f t="shared" si="1"/>
        <v>2.6414569720561339E-3</v>
      </c>
      <c r="F199" s="41"/>
      <c r="G199" s="41"/>
      <c r="H199" s="41"/>
      <c r="AG199" s="19">
        <v>198</v>
      </c>
      <c r="AH199" s="20">
        <v>-4859.4281283835826</v>
      </c>
    </row>
    <row r="200" spans="1:34" ht="14.5" x14ac:dyDescent="0.35">
      <c r="A200" s="8">
        <v>45371</v>
      </c>
      <c r="B200" s="9">
        <v>520.47997999999995</v>
      </c>
      <c r="C200" s="10">
        <f t="shared" si="0"/>
        <v>9.2493025082222933E-3</v>
      </c>
      <c r="D200" s="11">
        <v>72.25</v>
      </c>
      <c r="E200" s="12">
        <f t="shared" si="1"/>
        <v>1.802551303383187E-3</v>
      </c>
      <c r="F200" s="41"/>
      <c r="G200" s="41"/>
      <c r="H200" s="41"/>
      <c r="AG200" s="19">
        <v>199</v>
      </c>
      <c r="AH200" s="20">
        <v>3087.8673952543595</v>
      </c>
    </row>
    <row r="201" spans="1:34" ht="14.5" x14ac:dyDescent="0.35">
      <c r="A201" s="8">
        <v>45372</v>
      </c>
      <c r="B201" s="9">
        <v>522.20001200000002</v>
      </c>
      <c r="C201" s="10">
        <f t="shared" si="0"/>
        <v>3.3047034777400281E-3</v>
      </c>
      <c r="D201" s="11">
        <v>72.31</v>
      </c>
      <c r="E201" s="12">
        <f t="shared" si="1"/>
        <v>8.3044982698965084E-4</v>
      </c>
      <c r="F201" s="41"/>
      <c r="G201" s="41"/>
      <c r="H201" s="41"/>
      <c r="AG201" s="19">
        <v>200</v>
      </c>
      <c r="AH201" s="20">
        <v>-999.22465851075845</v>
      </c>
    </row>
    <row r="202" spans="1:34" ht="14.5" x14ac:dyDescent="0.35">
      <c r="A202" s="8">
        <v>45373</v>
      </c>
      <c r="B202" s="9">
        <v>521.21002199999998</v>
      </c>
      <c r="C202" s="10">
        <f t="shared" si="0"/>
        <v>-1.8958061609543478E-3</v>
      </c>
      <c r="D202" s="11">
        <v>72.55</v>
      </c>
      <c r="E202" s="12">
        <f t="shared" si="1"/>
        <v>3.3190430092655907E-3</v>
      </c>
      <c r="F202" s="41"/>
      <c r="G202" s="41"/>
      <c r="H202" s="41"/>
      <c r="AG202" s="19">
        <v>201</v>
      </c>
      <c r="AH202" s="20">
        <v>1205.3221426442847</v>
      </c>
    </row>
    <row r="203" spans="1:34" ht="14.5" x14ac:dyDescent="0.35">
      <c r="A203" s="8">
        <v>45376</v>
      </c>
      <c r="B203" s="9">
        <v>519.77002000000005</v>
      </c>
      <c r="C203" s="10">
        <f t="shared" si="0"/>
        <v>-2.762805662244031E-3</v>
      </c>
      <c r="D203" s="11">
        <v>72.41</v>
      </c>
      <c r="E203" s="12">
        <f t="shared" si="1"/>
        <v>-1.9297036526533505E-3</v>
      </c>
      <c r="F203" s="41"/>
      <c r="G203" s="41"/>
      <c r="H203" s="41"/>
      <c r="AG203" s="19">
        <v>202</v>
      </c>
      <c r="AH203" s="20">
        <v>-147.9816177481336</v>
      </c>
    </row>
    <row r="204" spans="1:34" ht="14.5" x14ac:dyDescent="0.35">
      <c r="A204" s="8">
        <v>45377</v>
      </c>
      <c r="B204" s="9">
        <v>518.80999799999995</v>
      </c>
      <c r="C204" s="10">
        <f t="shared" si="0"/>
        <v>-1.847013030878723E-3</v>
      </c>
      <c r="D204" s="11">
        <v>72.47</v>
      </c>
      <c r="E204" s="12">
        <f t="shared" si="1"/>
        <v>8.2861483220552788E-4</v>
      </c>
      <c r="F204" s="41"/>
      <c r="G204" s="41"/>
      <c r="H204" s="41"/>
      <c r="AG204" s="19">
        <v>203</v>
      </c>
      <c r="AH204" s="20">
        <v>-1681.0562951810632</v>
      </c>
    </row>
    <row r="205" spans="1:34" ht="14.5" x14ac:dyDescent="0.35">
      <c r="A205" s="8">
        <v>45378</v>
      </c>
      <c r="B205" s="9">
        <v>523.169983</v>
      </c>
      <c r="C205" s="10">
        <f t="shared" si="0"/>
        <v>8.4038183859364481E-3</v>
      </c>
      <c r="D205" s="11">
        <v>72.72</v>
      </c>
      <c r="E205" s="12">
        <f t="shared" si="1"/>
        <v>3.4497033255140057E-3</v>
      </c>
      <c r="F205" s="41"/>
      <c r="G205" s="41"/>
      <c r="H205" s="41"/>
      <c r="AG205" s="19">
        <v>204</v>
      </c>
      <c r="AH205" s="20">
        <v>-642.17152651127435</v>
      </c>
    </row>
    <row r="206" spans="1:34" ht="14.5" x14ac:dyDescent="0.35">
      <c r="A206" s="8">
        <v>45379</v>
      </c>
      <c r="B206" s="9">
        <v>523.07000700000003</v>
      </c>
      <c r="C206" s="10">
        <f t="shared" si="0"/>
        <v>-1.9109659049374331E-4</v>
      </c>
      <c r="D206" s="11">
        <v>72.63</v>
      </c>
      <c r="E206" s="12">
        <f t="shared" si="1"/>
        <v>-1.2376237623762845E-3</v>
      </c>
      <c r="F206" s="41"/>
      <c r="G206" s="41"/>
      <c r="H206" s="41"/>
      <c r="AG206" s="19">
        <v>205</v>
      </c>
      <c r="AH206" s="20">
        <v>-2732.9483066982921</v>
      </c>
    </row>
    <row r="207" spans="1:34" ht="14.5" x14ac:dyDescent="0.35">
      <c r="A207" s="8">
        <v>45383</v>
      </c>
      <c r="B207" s="9">
        <v>522.15997300000004</v>
      </c>
      <c r="C207" s="10">
        <f t="shared" si="0"/>
        <v>-1.7397938857541797E-3</v>
      </c>
      <c r="D207" s="11">
        <v>71.92</v>
      </c>
      <c r="E207" s="12">
        <f t="shared" si="1"/>
        <v>-9.7755748313368279E-3</v>
      </c>
      <c r="F207" s="41"/>
      <c r="G207" s="41"/>
      <c r="H207" s="41"/>
      <c r="AG207" s="19">
        <v>206</v>
      </c>
      <c r="AH207" s="20">
        <v>3275.7516000327496</v>
      </c>
    </row>
    <row r="208" spans="1:34" ht="14.5" x14ac:dyDescent="0.35">
      <c r="A208" s="8">
        <v>45384</v>
      </c>
      <c r="B208" s="9">
        <v>518.84002699999996</v>
      </c>
      <c r="C208" s="10">
        <f t="shared" si="0"/>
        <v>-6.3581012939880636E-3</v>
      </c>
      <c r="D208" s="11">
        <v>71.84</v>
      </c>
      <c r="E208" s="12">
        <f t="shared" si="1"/>
        <v>-1.1123470522802878E-3</v>
      </c>
      <c r="F208" s="41"/>
      <c r="G208" s="41"/>
      <c r="H208" s="41"/>
      <c r="AG208" s="19">
        <v>207</v>
      </c>
      <c r="AH208" s="20">
        <v>2390.7655811538502</v>
      </c>
    </row>
    <row r="209" spans="1:34" ht="14.5" x14ac:dyDescent="0.35">
      <c r="A209" s="8">
        <v>45385</v>
      </c>
      <c r="B209" s="9">
        <v>519.40997300000004</v>
      </c>
      <c r="C209" s="10">
        <f t="shared" si="0"/>
        <v>1.0985004439529734E-3</v>
      </c>
      <c r="D209" s="11">
        <v>71.89</v>
      </c>
      <c r="E209" s="12">
        <f t="shared" si="1"/>
        <v>6.959910913139916E-4</v>
      </c>
      <c r="F209" s="41"/>
      <c r="G209" s="41"/>
      <c r="H209" s="41"/>
      <c r="AG209" s="19">
        <v>208</v>
      </c>
      <c r="AH209" s="20">
        <v>5422.0724406381669</v>
      </c>
    </row>
    <row r="210" spans="1:34" ht="14.5" x14ac:dyDescent="0.35">
      <c r="A210" s="8">
        <v>45386</v>
      </c>
      <c r="B210" s="9">
        <v>513.07000700000003</v>
      </c>
      <c r="C210" s="10">
        <f t="shared" si="0"/>
        <v>-1.2206092161422559E-2</v>
      </c>
      <c r="D210" s="11">
        <v>72.040000000000006</v>
      </c>
      <c r="E210" s="12">
        <f t="shared" si="1"/>
        <v>2.0865210738629249E-3</v>
      </c>
      <c r="F210" s="41"/>
      <c r="G210" s="41"/>
      <c r="H210" s="41"/>
      <c r="AG210" s="19">
        <v>209</v>
      </c>
      <c r="AH210" s="20">
        <v>2678.566225869843</v>
      </c>
    </row>
    <row r="211" spans="1:34" ht="14.5" x14ac:dyDescent="0.35">
      <c r="A211" s="8">
        <v>45387</v>
      </c>
      <c r="B211" s="9">
        <v>518.42999299999997</v>
      </c>
      <c r="C211" s="10">
        <f t="shared" si="0"/>
        <v>1.0446890145344112E-2</v>
      </c>
      <c r="D211" s="11">
        <v>71.680000000000007</v>
      </c>
      <c r="E211" s="12">
        <f t="shared" si="1"/>
        <v>-4.9972237645752281E-3</v>
      </c>
      <c r="F211" s="41"/>
      <c r="G211" s="41"/>
      <c r="H211" s="41"/>
      <c r="AG211" s="19">
        <v>210</v>
      </c>
      <c r="AH211" s="20">
        <v>-1118.581402429294</v>
      </c>
    </row>
    <row r="212" spans="1:34" ht="14.5" x14ac:dyDescent="0.35">
      <c r="A212" s="8">
        <v>45390</v>
      </c>
      <c r="B212" s="9">
        <v>518.71997099999999</v>
      </c>
      <c r="C212" s="10">
        <f t="shared" si="0"/>
        <v>5.5933878038576213E-4</v>
      </c>
      <c r="D212" s="11">
        <v>71.62</v>
      </c>
      <c r="E212" s="12">
        <f t="shared" si="1"/>
        <v>-8.3705357142860304E-4</v>
      </c>
      <c r="F212" s="41"/>
      <c r="G212" s="41"/>
      <c r="H212" s="41"/>
      <c r="AG212" s="19">
        <v>211</v>
      </c>
      <c r="AH212" s="20">
        <v>-1309.5395842667722</v>
      </c>
    </row>
    <row r="213" spans="1:34" ht="14.5" x14ac:dyDescent="0.35">
      <c r="A213" s="8">
        <v>45391</v>
      </c>
      <c r="B213" s="9">
        <v>519.32000700000003</v>
      </c>
      <c r="C213" s="10">
        <f t="shared" si="0"/>
        <v>1.1567628654113368E-3</v>
      </c>
      <c r="D213" s="11">
        <v>71.88</v>
      </c>
      <c r="E213" s="12">
        <f t="shared" si="1"/>
        <v>3.6302708740573986E-3</v>
      </c>
      <c r="F213" s="41"/>
      <c r="G213" s="41"/>
      <c r="H213" s="41"/>
      <c r="AG213" s="19">
        <v>212</v>
      </c>
      <c r="AH213" s="20">
        <v>-3383.9664140592258</v>
      </c>
    </row>
    <row r="214" spans="1:34" ht="14.5" x14ac:dyDescent="0.35">
      <c r="A214" s="8">
        <v>45392</v>
      </c>
      <c r="B214" s="9">
        <v>514.11999500000002</v>
      </c>
      <c r="C214" s="10">
        <f t="shared" si="0"/>
        <v>-1.0013117018231911E-2</v>
      </c>
      <c r="D214" s="11">
        <v>71.040000000000006</v>
      </c>
      <c r="E214" s="12">
        <f t="shared" si="1"/>
        <v>-1.1686143572620886E-2</v>
      </c>
      <c r="F214" s="41"/>
      <c r="G214" s="41"/>
      <c r="H214" s="41"/>
      <c r="AG214" s="19">
        <v>213</v>
      </c>
      <c r="AH214" s="20">
        <v>4026.8293398221722</v>
      </c>
    </row>
    <row r="215" spans="1:34" ht="14.5" x14ac:dyDescent="0.35">
      <c r="A215" s="8">
        <v>45393</v>
      </c>
      <c r="B215" s="9">
        <v>518</v>
      </c>
      <c r="C215" s="10">
        <f t="shared" si="0"/>
        <v>7.5468860144215603E-3</v>
      </c>
      <c r="D215" s="11">
        <v>71.040000000000006</v>
      </c>
      <c r="E215" s="12">
        <f t="shared" si="1"/>
        <v>0</v>
      </c>
      <c r="F215" s="41"/>
      <c r="G215" s="41"/>
      <c r="H215" s="41"/>
      <c r="AG215" s="19">
        <v>214</v>
      </c>
      <c r="AH215" s="20">
        <v>-752.7610835404023</v>
      </c>
    </row>
    <row r="216" spans="1:34" ht="14.5" x14ac:dyDescent="0.35">
      <c r="A216" s="8">
        <v>45394</v>
      </c>
      <c r="B216" s="9">
        <v>510.85000600000001</v>
      </c>
      <c r="C216" s="10">
        <f t="shared" si="0"/>
        <v>-1.3803077220077205E-2</v>
      </c>
      <c r="D216" s="11">
        <v>71.2</v>
      </c>
      <c r="E216" s="12">
        <f t="shared" si="1"/>
        <v>2.2522522522522041E-3</v>
      </c>
      <c r="F216" s="41"/>
      <c r="G216" s="41"/>
      <c r="H216" s="41"/>
      <c r="AG216" s="19">
        <v>215</v>
      </c>
      <c r="AH216" s="20">
        <v>3602.7751879412863</v>
      </c>
    </row>
    <row r="217" spans="1:34" ht="14.5" x14ac:dyDescent="0.35">
      <c r="A217" s="8">
        <v>45397</v>
      </c>
      <c r="B217" s="9">
        <v>504.45001200000002</v>
      </c>
      <c r="C217" s="10">
        <f t="shared" si="0"/>
        <v>-1.252812748327538E-2</v>
      </c>
      <c r="D217" s="11">
        <v>70.73</v>
      </c>
      <c r="E217" s="12">
        <f t="shared" si="1"/>
        <v>-6.6011235955056018E-3</v>
      </c>
      <c r="F217" s="41"/>
      <c r="G217" s="41"/>
      <c r="H217" s="41"/>
      <c r="AG217" s="19">
        <v>216</v>
      </c>
      <c r="AH217" s="20">
        <v>-4015.6044415033657</v>
      </c>
    </row>
    <row r="218" spans="1:34" ht="14.5" x14ac:dyDescent="0.35">
      <c r="A218" s="8">
        <v>45398</v>
      </c>
      <c r="B218" s="9">
        <v>503.52999899999998</v>
      </c>
      <c r="C218" s="10">
        <f t="shared" si="0"/>
        <v>-1.8237941879562091E-3</v>
      </c>
      <c r="D218" s="11">
        <v>70.55</v>
      </c>
      <c r="E218" s="12">
        <f t="shared" si="1"/>
        <v>-2.5448890145625168E-3</v>
      </c>
      <c r="F218" s="41"/>
      <c r="G218" s="41"/>
      <c r="H218" s="41"/>
      <c r="AG218" s="19">
        <v>217</v>
      </c>
      <c r="AH218" s="20">
        <v>1840.1559200799313</v>
      </c>
    </row>
    <row r="219" spans="1:34" ht="14.5" x14ac:dyDescent="0.35">
      <c r="A219" s="8">
        <v>45399</v>
      </c>
      <c r="B219" s="9">
        <v>500.54998799999998</v>
      </c>
      <c r="C219" s="10">
        <f t="shared" si="0"/>
        <v>-5.9182392427824162E-3</v>
      </c>
      <c r="D219" s="11">
        <v>70.89</v>
      </c>
      <c r="E219" s="12">
        <f t="shared" si="1"/>
        <v>4.8192771084337831E-3</v>
      </c>
      <c r="F219" s="41"/>
      <c r="G219" s="41"/>
      <c r="H219" s="41"/>
      <c r="AG219" s="19">
        <v>218</v>
      </c>
      <c r="AH219" s="20">
        <v>1665.0888513573652</v>
      </c>
    </row>
    <row r="220" spans="1:34" ht="14.5" x14ac:dyDescent="0.35">
      <c r="A220" s="8">
        <v>45400</v>
      </c>
      <c r="B220" s="9">
        <v>499.51998900000001</v>
      </c>
      <c r="C220" s="10">
        <f t="shared" si="0"/>
        <v>-2.0577345413900503E-3</v>
      </c>
      <c r="D220" s="11">
        <v>70.7</v>
      </c>
      <c r="E220" s="12">
        <f t="shared" si="1"/>
        <v>-2.6802087741571129E-3</v>
      </c>
      <c r="F220" s="41"/>
      <c r="G220" s="41"/>
      <c r="H220" s="41"/>
      <c r="AG220" s="19">
        <v>219</v>
      </c>
      <c r="AH220" s="20">
        <v>-1587.9599619393725</v>
      </c>
    </row>
    <row r="221" spans="1:34" ht="14.5" x14ac:dyDescent="0.35">
      <c r="A221" s="8">
        <v>45401</v>
      </c>
      <c r="B221" s="9">
        <v>495.16000400000001</v>
      </c>
      <c r="C221" s="10">
        <f t="shared" si="0"/>
        <v>-8.7283494074548336E-3</v>
      </c>
      <c r="D221" s="11">
        <v>70.790000000000006</v>
      </c>
      <c r="E221" s="12">
        <f t="shared" si="1"/>
        <v>1.2729844413013212E-3</v>
      </c>
      <c r="F221" s="41"/>
      <c r="G221" s="41"/>
      <c r="H221" s="41"/>
      <c r="AG221" s="19">
        <v>220</v>
      </c>
      <c r="AH221" s="20">
        <v>1028.6404511089484</v>
      </c>
    </row>
    <row r="222" spans="1:34" ht="14.5" x14ac:dyDescent="0.35">
      <c r="A222" s="8">
        <v>45404</v>
      </c>
      <c r="B222" s="9">
        <v>499.72000100000002</v>
      </c>
      <c r="C222" s="10">
        <f t="shared" si="0"/>
        <v>9.2091383859024475E-3</v>
      </c>
      <c r="D222" s="11">
        <v>70.819999999999993</v>
      </c>
      <c r="E222" s="12">
        <f t="shared" si="1"/>
        <v>4.2378867071601813E-4</v>
      </c>
      <c r="F222" s="41"/>
      <c r="G222" s="41"/>
      <c r="H222" s="41"/>
      <c r="AG222" s="19">
        <v>221</v>
      </c>
      <c r="AH222" s="20">
        <v>3420.7111277371432</v>
      </c>
    </row>
    <row r="223" spans="1:34" ht="14.5" x14ac:dyDescent="0.35">
      <c r="A223" s="8">
        <v>45405</v>
      </c>
      <c r="B223" s="9">
        <v>505.64999399999999</v>
      </c>
      <c r="C223" s="10">
        <f t="shared" si="0"/>
        <v>1.1866631289788954E-2</v>
      </c>
      <c r="D223" s="11">
        <v>70.95</v>
      </c>
      <c r="E223" s="12">
        <f t="shared" si="1"/>
        <v>1.8356396498165728E-3</v>
      </c>
      <c r="F223" s="41"/>
      <c r="G223" s="41"/>
      <c r="H223" s="41"/>
      <c r="AG223" s="19">
        <v>222</v>
      </c>
      <c r="AH223" s="20">
        <v>-2770.7746902757785</v>
      </c>
    </row>
    <row r="224" spans="1:34" ht="14.5" x14ac:dyDescent="0.35">
      <c r="A224" s="8">
        <v>45406</v>
      </c>
      <c r="B224" s="9">
        <v>505.41000400000001</v>
      </c>
      <c r="C224" s="10">
        <f t="shared" si="0"/>
        <v>-4.7461683545471872E-4</v>
      </c>
      <c r="D224" s="11">
        <v>70.77</v>
      </c>
      <c r="E224" s="12">
        <f t="shared" si="1"/>
        <v>-2.5369978858351913E-3</v>
      </c>
      <c r="F224" s="41"/>
      <c r="G224" s="41"/>
      <c r="H224" s="41"/>
      <c r="AG224" s="19">
        <v>223</v>
      </c>
      <c r="AH224" s="20">
        <v>4513.4615802249</v>
      </c>
    </row>
    <row r="225" spans="1:34" ht="14.5" x14ac:dyDescent="0.35">
      <c r="A225" s="8">
        <v>45407</v>
      </c>
      <c r="B225" s="9">
        <v>503.48998999999998</v>
      </c>
      <c r="C225" s="10">
        <f t="shared" si="0"/>
        <v>-3.7989236160826715E-3</v>
      </c>
      <c r="D225" s="11">
        <v>70.569999999999993</v>
      </c>
      <c r="E225" s="12">
        <f t="shared" si="1"/>
        <v>-2.826056238519187E-3</v>
      </c>
      <c r="F225" s="41"/>
      <c r="G225" s="41"/>
      <c r="H225" s="41"/>
      <c r="AG225" s="19">
        <v>224</v>
      </c>
      <c r="AH225" s="20">
        <v>-3414.9766209077397</v>
      </c>
    </row>
    <row r="226" spans="1:34" ht="14.5" x14ac:dyDescent="0.35">
      <c r="A226" s="8">
        <v>45408</v>
      </c>
      <c r="B226" s="9">
        <v>508.26001000000002</v>
      </c>
      <c r="C226" s="10">
        <f t="shared" si="0"/>
        <v>9.4739122817517098E-3</v>
      </c>
      <c r="D226" s="11">
        <v>70.73</v>
      </c>
      <c r="E226" s="12">
        <f t="shared" si="1"/>
        <v>2.2672523735299817E-3</v>
      </c>
      <c r="F226" s="41"/>
      <c r="G226" s="41"/>
      <c r="H226" s="41"/>
      <c r="AG226" s="19">
        <v>225</v>
      </c>
      <c r="AH226" s="20">
        <v>3069.3637832528998</v>
      </c>
    </row>
    <row r="227" spans="1:34" ht="14.5" x14ac:dyDescent="0.35">
      <c r="A227" s="8">
        <v>45411</v>
      </c>
      <c r="B227" s="9">
        <v>510.05999800000001</v>
      </c>
      <c r="C227" s="10">
        <f t="shared" si="0"/>
        <v>3.5414708310417434E-3</v>
      </c>
      <c r="D227" s="11">
        <v>70.94</v>
      </c>
      <c r="E227" s="12">
        <f t="shared" si="1"/>
        <v>2.9690371836560685E-3</v>
      </c>
      <c r="F227" s="41"/>
      <c r="G227" s="41"/>
      <c r="H227" s="41"/>
      <c r="AG227" s="19">
        <v>226</v>
      </c>
      <c r="AH227" s="20">
        <v>414.71057521067445</v>
      </c>
    </row>
    <row r="228" spans="1:34" ht="14.5" x14ac:dyDescent="0.35">
      <c r="A228" s="8">
        <v>45412</v>
      </c>
      <c r="B228" s="9">
        <v>501.98001099999999</v>
      </c>
      <c r="C228" s="10">
        <f t="shared" si="0"/>
        <v>-1.5841248150575447E-2</v>
      </c>
      <c r="D228" s="11">
        <v>70.67</v>
      </c>
      <c r="E228" s="12">
        <f t="shared" si="1"/>
        <v>-3.8060332675499864E-3</v>
      </c>
      <c r="F228" s="41"/>
      <c r="G228" s="41"/>
      <c r="H228" s="41"/>
      <c r="AG228" s="19">
        <v>227</v>
      </c>
      <c r="AH228" s="20">
        <v>2111.7109496108251</v>
      </c>
    </row>
    <row r="229" spans="1:34" ht="14.5" x14ac:dyDescent="0.35">
      <c r="A229" s="8">
        <v>45413</v>
      </c>
      <c r="B229" s="9">
        <v>500.35000600000001</v>
      </c>
      <c r="C229" s="10">
        <f t="shared" si="0"/>
        <v>-3.2471512097719422E-3</v>
      </c>
      <c r="D229" s="11">
        <v>70.709999999999994</v>
      </c>
      <c r="E229" s="12">
        <f t="shared" si="1"/>
        <v>5.660110372151131E-4</v>
      </c>
      <c r="F229" s="41"/>
      <c r="G229" s="41"/>
      <c r="H229" s="41"/>
      <c r="AG229" s="19">
        <v>228</v>
      </c>
      <c r="AH229" s="20">
        <v>1421.789705017826</v>
      </c>
    </row>
    <row r="230" spans="1:34" ht="14.5" x14ac:dyDescent="0.35">
      <c r="A230" s="8">
        <v>45414</v>
      </c>
      <c r="B230" s="9">
        <v>505.02999899999998</v>
      </c>
      <c r="C230" s="10">
        <f t="shared" si="0"/>
        <v>9.3534384808220978E-3</v>
      </c>
      <c r="D230" s="11">
        <v>70.989999999999995</v>
      </c>
      <c r="E230" s="12">
        <f t="shared" si="1"/>
        <v>3.9598359496535304E-3</v>
      </c>
      <c r="F230" s="41"/>
      <c r="G230" s="41"/>
      <c r="H230" s="41"/>
      <c r="AG230" s="19">
        <v>229</v>
      </c>
      <c r="AH230" s="20">
        <v>-3222.7943500921156</v>
      </c>
    </row>
    <row r="231" spans="1:34" ht="14.5" x14ac:dyDescent="0.35">
      <c r="A231" s="8">
        <v>45415</v>
      </c>
      <c r="B231" s="9">
        <v>511.290009</v>
      </c>
      <c r="C231" s="10">
        <f t="shared" si="0"/>
        <v>1.2395323074659617E-2</v>
      </c>
      <c r="D231" s="11">
        <v>71.349999999999994</v>
      </c>
      <c r="E231" s="12">
        <f t="shared" si="1"/>
        <v>5.0711367798281374E-3</v>
      </c>
      <c r="F231" s="41"/>
      <c r="G231" s="41"/>
      <c r="H231" s="41"/>
      <c r="AG231" s="19">
        <v>230</v>
      </c>
      <c r="AH231" s="20">
        <v>3525.6858673573474</v>
      </c>
    </row>
    <row r="232" spans="1:34" ht="14.5" x14ac:dyDescent="0.35">
      <c r="A232" s="8">
        <v>45418</v>
      </c>
      <c r="B232" s="9">
        <v>516.57000700000003</v>
      </c>
      <c r="C232" s="10">
        <f t="shared" si="0"/>
        <v>1.0326816302017814E-2</v>
      </c>
      <c r="D232" s="11">
        <v>71.42</v>
      </c>
      <c r="E232" s="12">
        <f t="shared" si="1"/>
        <v>9.810791871059201E-4</v>
      </c>
      <c r="F232" s="41"/>
      <c r="G232" s="41"/>
      <c r="H232" s="41"/>
      <c r="AG232" s="19">
        <v>231</v>
      </c>
      <c r="AH232" s="20">
        <v>247.61129882703037</v>
      </c>
    </row>
    <row r="233" spans="1:34" ht="14.5" x14ac:dyDescent="0.35">
      <c r="A233" s="8">
        <v>45419</v>
      </c>
      <c r="B233" s="9">
        <v>517.14001499999995</v>
      </c>
      <c r="C233" s="10">
        <f t="shared" si="0"/>
        <v>1.1034477268826723E-3</v>
      </c>
      <c r="D233" s="11">
        <v>71.56</v>
      </c>
      <c r="E233" s="12">
        <f t="shared" si="1"/>
        <v>1.9602352282273952E-3</v>
      </c>
      <c r="F233" s="41"/>
      <c r="G233" s="41"/>
      <c r="H233" s="41"/>
      <c r="AG233" s="19">
        <v>232</v>
      </c>
      <c r="AH233" s="20">
        <v>-2262.6750176633159</v>
      </c>
    </row>
    <row r="234" spans="1:34" ht="14.5" x14ac:dyDescent="0.35">
      <c r="A234" s="8">
        <v>45420</v>
      </c>
      <c r="B234" s="9">
        <v>517.19000200000005</v>
      </c>
      <c r="C234" s="10">
        <f t="shared" si="0"/>
        <v>9.6660475983667668E-5</v>
      </c>
      <c r="D234" s="11">
        <v>71.39</v>
      </c>
      <c r="E234" s="12">
        <f t="shared" si="1"/>
        <v>-2.3756288429290346E-3</v>
      </c>
      <c r="F234" s="41"/>
      <c r="G234" s="41"/>
      <c r="H234" s="41"/>
      <c r="AG234" s="19">
        <v>233</v>
      </c>
      <c r="AH234" s="20">
        <v>2014.4104163995655</v>
      </c>
    </row>
    <row r="235" spans="1:34" ht="14.5" x14ac:dyDescent="0.35">
      <c r="A235" s="8">
        <v>45421</v>
      </c>
      <c r="B235" s="9">
        <v>520.169983</v>
      </c>
      <c r="C235" s="10">
        <f t="shared" si="0"/>
        <v>5.7618689233670693E-3</v>
      </c>
      <c r="D235" s="11">
        <v>71.58</v>
      </c>
      <c r="E235" s="12">
        <f t="shared" si="1"/>
        <v>2.6614371760750486E-3</v>
      </c>
      <c r="F235" s="41"/>
      <c r="G235" s="41"/>
      <c r="H235" s="41"/>
      <c r="AG235" s="19">
        <v>234</v>
      </c>
      <c r="AH235" s="20">
        <v>-146.55876789275254</v>
      </c>
    </row>
    <row r="236" spans="1:34" ht="14.5" x14ac:dyDescent="0.35">
      <c r="A236" s="8">
        <v>45422</v>
      </c>
      <c r="B236" s="9">
        <v>520.84002699999996</v>
      </c>
      <c r="C236" s="10">
        <f t="shared" si="0"/>
        <v>1.2881250781438529E-3</v>
      </c>
      <c r="D236" s="11">
        <v>71.38</v>
      </c>
      <c r="E236" s="12">
        <f t="shared" si="1"/>
        <v>-2.7940765576977208E-3</v>
      </c>
      <c r="F236" s="41"/>
      <c r="G236" s="41"/>
      <c r="H236" s="41"/>
      <c r="AG236" s="19">
        <v>235</v>
      </c>
      <c r="AH236" s="20">
        <v>3445.4528758799765</v>
      </c>
    </row>
    <row r="237" spans="1:34" ht="14.5" x14ac:dyDescent="0.35">
      <c r="A237" s="8">
        <v>45425</v>
      </c>
      <c r="B237" s="9">
        <v>520.90997300000004</v>
      </c>
      <c r="C237" s="10">
        <f t="shared" si="0"/>
        <v>1.3429459406750371E-4</v>
      </c>
      <c r="D237" s="11">
        <v>71.44</v>
      </c>
      <c r="E237" s="12">
        <f t="shared" si="1"/>
        <v>8.4057158868033454E-4</v>
      </c>
      <c r="F237" s="41"/>
      <c r="G237" s="41"/>
      <c r="H237" s="41"/>
      <c r="AG237" s="19">
        <v>236</v>
      </c>
      <c r="AH237" s="20">
        <v>2384.4631907176836</v>
      </c>
    </row>
    <row r="238" spans="1:34" ht="14.5" x14ac:dyDescent="0.35">
      <c r="A238" s="8">
        <v>45426</v>
      </c>
      <c r="B238" s="9">
        <v>523.29998799999998</v>
      </c>
      <c r="C238" s="10">
        <f t="shared" si="0"/>
        <v>4.5881536616307946E-3</v>
      </c>
      <c r="D238" s="11">
        <v>71.650000000000006</v>
      </c>
      <c r="E238" s="12">
        <f t="shared" si="1"/>
        <v>2.939529675252071E-3</v>
      </c>
      <c r="F238" s="41"/>
      <c r="G238" s="41"/>
      <c r="H238" s="41"/>
      <c r="AG238" s="19">
        <v>237</v>
      </c>
      <c r="AH238" s="20">
        <v>-816.00839806904537</v>
      </c>
    </row>
    <row r="239" spans="1:34" ht="14.5" x14ac:dyDescent="0.35">
      <c r="A239" s="8">
        <v>45427</v>
      </c>
      <c r="B239" s="9">
        <v>529.78002900000001</v>
      </c>
      <c r="C239" s="10">
        <f t="shared" si="0"/>
        <v>1.2383032961200887E-2</v>
      </c>
      <c r="D239" s="11">
        <v>72.11</v>
      </c>
      <c r="E239" s="12">
        <f t="shared" si="1"/>
        <v>6.4200976971387821E-3</v>
      </c>
      <c r="F239" s="41"/>
      <c r="G239" s="41"/>
      <c r="H239" s="41"/>
      <c r="AG239" s="19">
        <v>238</v>
      </c>
      <c r="AH239" s="20">
        <v>1953.5290024873771</v>
      </c>
    </row>
    <row r="240" spans="1:34" ht="14.5" x14ac:dyDescent="0.35">
      <c r="A240" s="8">
        <v>45428</v>
      </c>
      <c r="B240" s="9">
        <v>528.69000200000005</v>
      </c>
      <c r="C240" s="10">
        <f t="shared" si="0"/>
        <v>-2.057508664600801E-3</v>
      </c>
      <c r="D240" s="11">
        <v>71.989999999999995</v>
      </c>
      <c r="E240" s="12">
        <f t="shared" si="1"/>
        <v>-1.6641242546110741E-3</v>
      </c>
      <c r="F240" s="41"/>
      <c r="G240" s="41"/>
      <c r="H240" s="41"/>
      <c r="AG240" s="19">
        <v>239</v>
      </c>
      <c r="AH240" s="20">
        <v>-2602.3994947316141</v>
      </c>
    </row>
    <row r="241" spans="1:34" ht="14.5" x14ac:dyDescent="0.35">
      <c r="A241" s="8">
        <v>45429</v>
      </c>
      <c r="B241" s="9">
        <v>529.45001200000002</v>
      </c>
      <c r="C241" s="10">
        <f t="shared" si="0"/>
        <v>1.4375342774118993E-3</v>
      </c>
      <c r="D241" s="11">
        <v>71.81</v>
      </c>
      <c r="E241" s="12">
        <f t="shared" si="1"/>
        <v>-2.5003472704541274E-3</v>
      </c>
      <c r="F241" s="41"/>
      <c r="G241" s="41"/>
      <c r="H241" s="41"/>
      <c r="AG241" s="19">
        <v>240</v>
      </c>
      <c r="AH241" s="20">
        <v>479.05203813656055</v>
      </c>
    </row>
    <row r="242" spans="1:34" ht="14.5" x14ac:dyDescent="0.35">
      <c r="A242" s="8">
        <v>45432</v>
      </c>
      <c r="B242" s="9">
        <v>530.05999799999995</v>
      </c>
      <c r="C242" s="10">
        <f t="shared" si="0"/>
        <v>1.1521125435349604E-3</v>
      </c>
      <c r="D242" s="11">
        <v>71.739999999999995</v>
      </c>
      <c r="E242" s="12">
        <f t="shared" si="1"/>
        <v>-9.7479459685290886E-4</v>
      </c>
      <c r="F242" s="41"/>
      <c r="G242" s="41"/>
      <c r="H242" s="41"/>
      <c r="AG242" s="19">
        <v>241</v>
      </c>
      <c r="AH242" s="20">
        <v>-791.23981877454798</v>
      </c>
    </row>
    <row r="243" spans="1:34" ht="14.5" x14ac:dyDescent="0.35">
      <c r="A243" s="8">
        <v>45433</v>
      </c>
      <c r="B243" s="9">
        <v>531.35998500000005</v>
      </c>
      <c r="C243" s="10">
        <f t="shared" si="0"/>
        <v>2.4525280249503021E-3</v>
      </c>
      <c r="D243" s="11">
        <v>71.89</v>
      </c>
      <c r="E243" s="12">
        <f t="shared" si="1"/>
        <v>2.090883746863754E-3</v>
      </c>
      <c r="F243" s="41"/>
      <c r="G243" s="41"/>
      <c r="H243" s="41"/>
      <c r="AG243" s="19">
        <v>242</v>
      </c>
      <c r="AH243" s="20">
        <v>4249.664999263613</v>
      </c>
    </row>
    <row r="244" spans="1:34" ht="14.5" x14ac:dyDescent="0.35">
      <c r="A244" s="8">
        <v>45434</v>
      </c>
      <c r="B244" s="9">
        <v>529.830017</v>
      </c>
      <c r="C244" s="10">
        <f t="shared" si="0"/>
        <v>-2.879343652495875E-3</v>
      </c>
      <c r="D244" s="11">
        <v>71.8</v>
      </c>
      <c r="E244" s="12">
        <f t="shared" si="1"/>
        <v>-1.251912644317755E-3</v>
      </c>
      <c r="F244" s="41"/>
      <c r="G244" s="41"/>
      <c r="H244" s="41"/>
      <c r="AG244" s="19">
        <v>243</v>
      </c>
      <c r="AH244" s="20">
        <v>-279.59691924495797</v>
      </c>
    </row>
    <row r="245" spans="1:34" ht="14.5" x14ac:dyDescent="0.35">
      <c r="A245" s="8">
        <v>45435</v>
      </c>
      <c r="B245" s="9">
        <v>525.96002199999998</v>
      </c>
      <c r="C245" s="10">
        <f t="shared" si="0"/>
        <v>-7.304219987219065E-3</v>
      </c>
      <c r="D245" s="11">
        <v>71.59</v>
      </c>
      <c r="E245" s="12">
        <f t="shared" si="1"/>
        <v>-2.9247910863508877E-3</v>
      </c>
      <c r="F245" s="41"/>
      <c r="G245" s="41"/>
      <c r="H245" s="41"/>
      <c r="AG245" s="19">
        <v>244</v>
      </c>
      <c r="AH245" s="20">
        <v>2185.7440540500806</v>
      </c>
    </row>
    <row r="246" spans="1:34" ht="14.5" x14ac:dyDescent="0.35">
      <c r="A246" s="8">
        <v>45436</v>
      </c>
      <c r="B246" s="9">
        <v>529.44000200000005</v>
      </c>
      <c r="C246" s="10">
        <f t="shared" si="0"/>
        <v>6.6164344331099542E-3</v>
      </c>
      <c r="D246" s="11">
        <v>71.67</v>
      </c>
      <c r="E246" s="12">
        <f t="shared" si="1"/>
        <v>1.1174745076127713E-3</v>
      </c>
      <c r="F246" s="41"/>
      <c r="G246" s="41"/>
      <c r="H246" s="41"/>
      <c r="AG246" s="19">
        <v>245</v>
      </c>
      <c r="AH246" s="20">
        <v>-252.95059601211818</v>
      </c>
    </row>
    <row r="247" spans="1:34" ht="14.5" x14ac:dyDescent="0.35">
      <c r="A247" s="8">
        <v>45440</v>
      </c>
      <c r="B247" s="9">
        <v>529.80999799999995</v>
      </c>
      <c r="C247" s="10">
        <f t="shared" si="0"/>
        <v>6.9884405900992141E-4</v>
      </c>
      <c r="D247" s="11">
        <v>71.33</v>
      </c>
      <c r="E247" s="12">
        <f t="shared" si="1"/>
        <v>-4.7439653969583283E-3</v>
      </c>
      <c r="F247" s="41"/>
      <c r="G247" s="41"/>
      <c r="H247" s="41"/>
      <c r="AG247" s="19">
        <v>246</v>
      </c>
      <c r="AH247" s="20">
        <v>529.60777329356074</v>
      </c>
    </row>
    <row r="248" spans="1:34" ht="14.5" x14ac:dyDescent="0.35">
      <c r="A248" s="8">
        <v>45441</v>
      </c>
      <c r="B248" s="9">
        <v>526.09997599999997</v>
      </c>
      <c r="C248" s="10">
        <f t="shared" si="0"/>
        <v>-7.0025518846474864E-3</v>
      </c>
      <c r="D248" s="11">
        <v>71.069999999999993</v>
      </c>
      <c r="E248" s="12">
        <f t="shared" si="1"/>
        <v>-3.6450301415954733E-3</v>
      </c>
      <c r="F248" s="41"/>
      <c r="G248" s="41"/>
      <c r="H248" s="41"/>
      <c r="AG248" s="19">
        <v>247</v>
      </c>
      <c r="AH248" s="20">
        <v>4182.6968471068894</v>
      </c>
    </row>
    <row r="249" spans="1:34" ht="14.5" x14ac:dyDescent="0.35">
      <c r="A249" s="8">
        <v>45442</v>
      </c>
      <c r="B249" s="9">
        <v>522.60998500000005</v>
      </c>
      <c r="C249" s="10">
        <f t="shared" si="0"/>
        <v>-6.6337030207352038E-3</v>
      </c>
      <c r="D249" s="11">
        <v>71.38</v>
      </c>
      <c r="E249" s="12">
        <f t="shared" si="1"/>
        <v>4.3618967215421738E-3</v>
      </c>
      <c r="F249" s="41"/>
      <c r="G249" s="41"/>
      <c r="H249" s="41"/>
      <c r="AG249" s="19">
        <v>248</v>
      </c>
      <c r="AH249" s="20">
        <v>4713.5045770999377</v>
      </c>
    </row>
    <row r="250" spans="1:34" ht="14.5" x14ac:dyDescent="0.35">
      <c r="A250" s="8">
        <v>45443</v>
      </c>
      <c r="B250" s="9">
        <v>527.36999500000002</v>
      </c>
      <c r="C250" s="10">
        <f t="shared" si="0"/>
        <v>9.1081497419150254E-3</v>
      </c>
      <c r="D250" s="11">
        <v>71.64</v>
      </c>
      <c r="E250" s="12">
        <f t="shared" si="1"/>
        <v>3.6424768842813833E-3</v>
      </c>
      <c r="F250" s="41"/>
      <c r="G250" s="41"/>
      <c r="H250" s="41"/>
      <c r="AG250" s="19">
        <v>249</v>
      </c>
      <c r="AH250" s="20">
        <v>3699.7887118855065</v>
      </c>
    </row>
    <row r="251" spans="1:34" ht="14.5" x14ac:dyDescent="0.35">
      <c r="A251" s="8">
        <v>45446</v>
      </c>
      <c r="B251" s="9">
        <v>527.79998799999998</v>
      </c>
      <c r="C251" s="10">
        <f t="shared" si="0"/>
        <v>8.153535545759816E-4</v>
      </c>
      <c r="D251" s="11">
        <v>71.819999999999993</v>
      </c>
      <c r="E251" s="12">
        <f t="shared" si="1"/>
        <v>2.5125628140702486E-3</v>
      </c>
      <c r="F251" s="41"/>
      <c r="G251" s="41"/>
      <c r="H251" s="41"/>
      <c r="AG251" s="19">
        <v>250</v>
      </c>
      <c r="AH251" s="20">
        <v>31.896986994034535</v>
      </c>
    </row>
    <row r="252" spans="1:34" ht="14.5" x14ac:dyDescent="0.35">
      <c r="A252" s="8">
        <v>45447</v>
      </c>
      <c r="B252" s="9">
        <v>528.39001499999995</v>
      </c>
      <c r="C252" s="10">
        <f t="shared" si="0"/>
        <v>1.117898850728969E-3</v>
      </c>
      <c r="D252" s="11">
        <v>72.09</v>
      </c>
      <c r="E252" s="12">
        <f t="shared" si="1"/>
        <v>3.7593984962407444E-3</v>
      </c>
      <c r="F252" s="41"/>
      <c r="G252" s="41"/>
      <c r="H252" s="41"/>
      <c r="AG252" s="19">
        <v>251</v>
      </c>
      <c r="AH252" s="20">
        <v>1661.2352865984869</v>
      </c>
    </row>
    <row r="253" spans="1:34" ht="14.5" x14ac:dyDescent="0.35">
      <c r="A253" s="8">
        <v>45448</v>
      </c>
      <c r="B253" s="9">
        <v>534.669983</v>
      </c>
      <c r="C253" s="10">
        <f t="shared" si="0"/>
        <v>1.1885099683422395E-2</v>
      </c>
      <c r="D253" s="11">
        <v>72.290000000000006</v>
      </c>
      <c r="E253" s="12">
        <f t="shared" si="1"/>
        <v>2.7743098904147987E-3</v>
      </c>
      <c r="F253" s="41"/>
      <c r="G253" s="41"/>
      <c r="H253" s="41"/>
      <c r="AG253" s="19">
        <v>252</v>
      </c>
      <c r="AH253" s="20">
        <v>892.54661494073457</v>
      </c>
    </row>
    <row r="254" spans="1:34" ht="14.5" x14ac:dyDescent="0.35">
      <c r="A254" s="8">
        <v>45449</v>
      </c>
      <c r="B254" s="9">
        <v>534.65997300000004</v>
      </c>
      <c r="C254" s="10">
        <f t="shared" si="0"/>
        <v>-1.872182901273075E-5</v>
      </c>
      <c r="D254" s="11">
        <v>72.3</v>
      </c>
      <c r="E254" s="12">
        <f t="shared" si="1"/>
        <v>1.383317194631471E-4</v>
      </c>
      <c r="F254" s="41"/>
      <c r="G254" s="41"/>
      <c r="H254" s="41"/>
      <c r="AG254" s="19">
        <v>253</v>
      </c>
      <c r="AH254" s="20">
        <v>257.22242880899762</v>
      </c>
    </row>
    <row r="255" spans="1:34" ht="14.5" x14ac:dyDescent="0.35">
      <c r="A255" s="33"/>
      <c r="B255" s="9"/>
      <c r="C255" s="12"/>
      <c r="D255" s="24"/>
      <c r="E255" s="12"/>
      <c r="F255" s="41"/>
      <c r="G255" s="41"/>
      <c r="H255" s="41"/>
      <c r="AG255" s="19">
        <v>254</v>
      </c>
      <c r="AH255" s="20">
        <v>-436.26702523000785</v>
      </c>
    </row>
    <row r="256" spans="1:34" ht="14.5" x14ac:dyDescent="0.35">
      <c r="A256" s="33"/>
      <c r="B256" s="9"/>
      <c r="C256" s="12"/>
      <c r="D256" s="24"/>
      <c r="E256" s="12"/>
      <c r="F256" s="41"/>
      <c r="G256" s="41"/>
      <c r="H256" s="41"/>
      <c r="AG256" s="19">
        <v>255</v>
      </c>
      <c r="AH256" s="20">
        <v>-1449.5360188463767</v>
      </c>
    </row>
    <row r="257" spans="1:34" ht="14.5" x14ac:dyDescent="0.35">
      <c r="A257" s="33"/>
      <c r="B257" s="9"/>
      <c r="C257" s="12"/>
      <c r="D257" s="24"/>
      <c r="E257" s="12"/>
      <c r="F257" s="41"/>
      <c r="G257" s="41"/>
      <c r="H257" s="41"/>
      <c r="AG257" s="19">
        <v>256</v>
      </c>
      <c r="AH257" s="20">
        <v>-533.03938380244563</v>
      </c>
    </row>
    <row r="258" spans="1:34" ht="14.5" x14ac:dyDescent="0.35">
      <c r="A258" s="33"/>
      <c r="B258" s="9"/>
      <c r="C258" s="12"/>
      <c r="D258" s="24"/>
      <c r="E258" s="12"/>
      <c r="F258" s="41"/>
      <c r="G258" s="41"/>
      <c r="H258" s="41"/>
      <c r="AG258" s="19">
        <v>257</v>
      </c>
      <c r="AH258" s="20">
        <v>4330.0950141207149</v>
      </c>
    </row>
    <row r="259" spans="1:34" ht="14.5" x14ac:dyDescent="0.35">
      <c r="A259" s="33"/>
      <c r="B259" s="9"/>
      <c r="C259" s="12"/>
      <c r="D259" s="24"/>
      <c r="E259" s="12"/>
      <c r="F259" s="41"/>
      <c r="G259" s="41"/>
      <c r="H259" s="41"/>
      <c r="AG259" s="19">
        <v>258</v>
      </c>
      <c r="AH259" s="20">
        <v>3999.2451551777981</v>
      </c>
    </row>
    <row r="260" spans="1:34" ht="14.5" x14ac:dyDescent="0.35">
      <c r="A260" s="33"/>
      <c r="B260" s="9"/>
      <c r="C260" s="12"/>
      <c r="D260" s="24"/>
      <c r="E260" s="12"/>
      <c r="F260" s="41"/>
      <c r="G260" s="41"/>
      <c r="H260" s="41"/>
      <c r="AG260" s="19">
        <v>259</v>
      </c>
      <c r="AH260" s="20">
        <v>2157.7550902726512</v>
      </c>
    </row>
    <row r="261" spans="1:34" ht="14.5" x14ac:dyDescent="0.35">
      <c r="A261" s="33"/>
      <c r="B261" s="9"/>
      <c r="C261" s="12"/>
      <c r="D261" s="24"/>
      <c r="E261" s="12"/>
      <c r="F261" s="41"/>
      <c r="G261" s="41"/>
      <c r="H261" s="41"/>
      <c r="AG261" s="19">
        <v>260</v>
      </c>
      <c r="AH261" s="20">
        <v>151.45668145006169</v>
      </c>
    </row>
    <row r="262" spans="1:34" ht="14.5" x14ac:dyDescent="0.35">
      <c r="A262" s="33"/>
      <c r="B262" s="9"/>
      <c r="C262" s="12"/>
      <c r="D262" s="24"/>
      <c r="E262" s="12"/>
      <c r="F262" s="41"/>
      <c r="G262" s="41"/>
      <c r="H262" s="41"/>
      <c r="AG262" s="19">
        <v>261</v>
      </c>
      <c r="AH262" s="20">
        <v>1249.2275110576652</v>
      </c>
    </row>
    <row r="263" spans="1:34" ht="14.5" x14ac:dyDescent="0.35">
      <c r="A263" s="33"/>
      <c r="B263" s="9"/>
      <c r="C263" s="12"/>
      <c r="D263" s="24"/>
      <c r="E263" s="12"/>
      <c r="F263" s="41"/>
      <c r="G263" s="41"/>
      <c r="H263" s="41"/>
      <c r="AG263" s="19">
        <v>262</v>
      </c>
      <c r="AH263" s="20">
        <v>3135.32617639708</v>
      </c>
    </row>
    <row r="264" spans="1:34" ht="14.5" x14ac:dyDescent="0.35">
      <c r="A264" s="33"/>
      <c r="B264" s="9"/>
      <c r="C264" s="12"/>
      <c r="D264" s="24"/>
      <c r="E264" s="12"/>
      <c r="F264" s="41"/>
      <c r="G264" s="41"/>
      <c r="H264" s="41"/>
      <c r="AG264" s="19">
        <v>263</v>
      </c>
      <c r="AH264" s="20">
        <v>-451.42112668411443</v>
      </c>
    </row>
    <row r="265" spans="1:34" ht="14.5" x14ac:dyDescent="0.35">
      <c r="A265" s="33"/>
      <c r="B265" s="9"/>
      <c r="C265" s="12"/>
      <c r="D265" s="24"/>
      <c r="E265" s="12"/>
      <c r="F265" s="41"/>
      <c r="G265" s="41"/>
      <c r="H265" s="41"/>
      <c r="AG265" s="19">
        <v>264</v>
      </c>
      <c r="AH265" s="20">
        <v>469.67592873798753</v>
      </c>
    </row>
    <row r="266" spans="1:34" ht="14.5" x14ac:dyDescent="0.35">
      <c r="A266" s="33"/>
      <c r="B266" s="9"/>
      <c r="C266" s="12"/>
      <c r="D266" s="24"/>
      <c r="E266" s="12"/>
      <c r="F266" s="41"/>
      <c r="G266" s="41"/>
      <c r="H266" s="41"/>
      <c r="AG266" s="19">
        <v>265</v>
      </c>
      <c r="AH266" s="20">
        <v>551.95725649006783</v>
      </c>
    </row>
    <row r="267" spans="1:34" ht="14.5" x14ac:dyDescent="0.35">
      <c r="A267" s="33"/>
      <c r="B267" s="9"/>
      <c r="C267" s="12"/>
      <c r="D267" s="24"/>
      <c r="E267" s="12"/>
      <c r="F267" s="41"/>
      <c r="G267" s="41"/>
      <c r="H267" s="41"/>
      <c r="AG267" s="19">
        <v>266</v>
      </c>
      <c r="AH267" s="20">
        <v>1010.0585756791154</v>
      </c>
    </row>
    <row r="268" spans="1:34" ht="14.5" x14ac:dyDescent="0.35">
      <c r="A268" s="33"/>
      <c r="B268" s="9"/>
      <c r="C268" s="12"/>
      <c r="D268" s="24"/>
      <c r="E268" s="12"/>
      <c r="F268" s="41"/>
      <c r="G268" s="41"/>
      <c r="H268" s="41"/>
      <c r="AG268" s="19">
        <v>267</v>
      </c>
      <c r="AH268" s="20">
        <v>1005.4502775676178</v>
      </c>
    </row>
    <row r="269" spans="1:34" ht="14.5" x14ac:dyDescent="0.35">
      <c r="A269" s="33"/>
      <c r="B269" s="9"/>
      <c r="C269" s="12"/>
      <c r="D269" s="24"/>
      <c r="E269" s="12"/>
      <c r="F269" s="41"/>
      <c r="G269" s="41"/>
      <c r="H269" s="41"/>
      <c r="AG269" s="19">
        <v>268</v>
      </c>
      <c r="AH269" s="20">
        <v>2465.3470518652416</v>
      </c>
    </row>
    <row r="270" spans="1:34" ht="14.5" x14ac:dyDescent="0.35">
      <c r="A270" s="33"/>
      <c r="B270" s="9"/>
      <c r="C270" s="12"/>
      <c r="D270" s="24"/>
      <c r="E270" s="12"/>
      <c r="F270" s="41"/>
      <c r="G270" s="41"/>
      <c r="H270" s="41"/>
      <c r="AG270" s="19">
        <v>269</v>
      </c>
      <c r="AH270" s="20">
        <v>2521.7311965407025</v>
      </c>
    </row>
    <row r="271" spans="1:34" ht="14.5" x14ac:dyDescent="0.35">
      <c r="A271" s="33"/>
      <c r="B271" s="9"/>
      <c r="C271" s="12"/>
      <c r="D271" s="24"/>
      <c r="E271" s="12"/>
      <c r="F271" s="41"/>
      <c r="G271" s="41"/>
      <c r="H271" s="41"/>
      <c r="AG271" s="19">
        <v>270</v>
      </c>
      <c r="AH271" s="20">
        <v>-2394.6172039998091</v>
      </c>
    </row>
    <row r="272" spans="1:34" ht="14.5" x14ac:dyDescent="0.35">
      <c r="A272" s="33"/>
      <c r="B272" s="9"/>
      <c r="C272" s="12"/>
      <c r="D272" s="24"/>
      <c r="E272" s="12"/>
      <c r="F272" s="41"/>
      <c r="G272" s="41"/>
      <c r="H272" s="41"/>
      <c r="AG272" s="19">
        <v>271</v>
      </c>
      <c r="AH272" s="20">
        <v>-625.77778597899828</v>
      </c>
    </row>
    <row r="273" spans="1:34" ht="14.5" x14ac:dyDescent="0.35">
      <c r="A273" s="33"/>
      <c r="B273" s="9"/>
      <c r="C273" s="12"/>
      <c r="D273" s="24"/>
      <c r="E273" s="12"/>
      <c r="F273" s="41"/>
      <c r="G273" s="41"/>
      <c r="H273" s="41"/>
      <c r="AG273" s="19">
        <v>272</v>
      </c>
      <c r="AH273" s="20">
        <v>-979.3603181831993</v>
      </c>
    </row>
    <row r="274" spans="1:34" ht="14.5" x14ac:dyDescent="0.35">
      <c r="A274" s="33"/>
      <c r="B274" s="9"/>
      <c r="C274" s="12"/>
      <c r="D274" s="24"/>
      <c r="E274" s="12"/>
      <c r="F274" s="41"/>
      <c r="G274" s="41"/>
      <c r="H274" s="41"/>
      <c r="AG274" s="19">
        <v>273</v>
      </c>
      <c r="AH274" s="20">
        <v>-724.53550686805124</v>
      </c>
    </row>
    <row r="275" spans="1:34" ht="14.5" x14ac:dyDescent="0.35">
      <c r="A275" s="33"/>
      <c r="B275" s="9"/>
      <c r="C275" s="12"/>
      <c r="D275" s="24"/>
      <c r="E275" s="12"/>
      <c r="F275" s="41"/>
      <c r="G275" s="41"/>
      <c r="H275" s="41"/>
      <c r="AG275" s="19">
        <v>274</v>
      </c>
      <c r="AH275" s="20">
        <v>3943.3002953034729</v>
      </c>
    </row>
    <row r="276" spans="1:34" ht="14.5" x14ac:dyDescent="0.35">
      <c r="A276" s="33"/>
      <c r="B276" s="9"/>
      <c r="C276" s="12"/>
      <c r="D276" s="24"/>
      <c r="E276" s="12"/>
      <c r="F276" s="41"/>
      <c r="G276" s="41"/>
      <c r="H276" s="41"/>
      <c r="AG276" s="19">
        <v>275</v>
      </c>
      <c r="AH276" s="20">
        <v>-1363.1840320708602</v>
      </c>
    </row>
    <row r="277" spans="1:34" ht="14.5" x14ac:dyDescent="0.35">
      <c r="A277" s="33"/>
      <c r="B277" s="9"/>
      <c r="C277" s="12"/>
      <c r="D277" s="24"/>
      <c r="E277" s="12"/>
      <c r="F277" s="41"/>
      <c r="G277" s="41"/>
      <c r="H277" s="41"/>
      <c r="AG277" s="19">
        <v>276</v>
      </c>
      <c r="AH277" s="20">
        <v>-1866.0261167387764</v>
      </c>
    </row>
    <row r="278" spans="1:34" ht="14.5" x14ac:dyDescent="0.35">
      <c r="A278" s="33"/>
      <c r="B278" s="9"/>
      <c r="C278" s="12"/>
      <c r="D278" s="24"/>
      <c r="E278" s="12"/>
      <c r="F278" s="41"/>
      <c r="G278" s="41"/>
      <c r="H278" s="41"/>
      <c r="AG278" s="19">
        <v>277</v>
      </c>
      <c r="AH278" s="20">
        <v>1232.4059279015798</v>
      </c>
    </row>
    <row r="279" spans="1:34" ht="14.5" x14ac:dyDescent="0.35">
      <c r="A279" s="33"/>
      <c r="B279" s="9"/>
      <c r="C279" s="12"/>
      <c r="D279" s="24"/>
      <c r="E279" s="12"/>
      <c r="F279" s="41"/>
      <c r="G279" s="41"/>
      <c r="H279" s="41"/>
      <c r="AG279" s="19">
        <v>278</v>
      </c>
      <c r="AH279" s="20">
        <v>-308.56357281071774</v>
      </c>
    </row>
    <row r="280" spans="1:34" ht="14.5" x14ac:dyDescent="0.35">
      <c r="A280" s="33"/>
      <c r="B280" s="9"/>
      <c r="C280" s="12"/>
      <c r="D280" s="24"/>
      <c r="E280" s="12"/>
      <c r="F280" s="41"/>
      <c r="G280" s="41"/>
      <c r="H280" s="41"/>
      <c r="AG280" s="19">
        <v>279</v>
      </c>
      <c r="AH280" s="20">
        <v>1652.976721049253</v>
      </c>
    </row>
    <row r="281" spans="1:34" ht="14.5" x14ac:dyDescent="0.35">
      <c r="A281" s="33"/>
      <c r="B281" s="9"/>
      <c r="C281" s="12"/>
      <c r="D281" s="24"/>
      <c r="E281" s="12"/>
      <c r="F281" s="41"/>
      <c r="G281" s="41"/>
      <c r="H281" s="41"/>
      <c r="AG281" s="19">
        <v>280</v>
      </c>
      <c r="AH281" s="20">
        <v>-2003.7453718421418</v>
      </c>
    </row>
    <row r="282" spans="1:34" ht="14.5" x14ac:dyDescent="0.35">
      <c r="A282" s="33"/>
      <c r="B282" s="9"/>
      <c r="C282" s="12"/>
      <c r="D282" s="24"/>
      <c r="E282" s="12"/>
      <c r="F282" s="41"/>
      <c r="G282" s="41"/>
      <c r="H282" s="41"/>
      <c r="AG282" s="19">
        <v>281</v>
      </c>
      <c r="AH282" s="20">
        <v>-267.2746914298711</v>
      </c>
    </row>
    <row r="283" spans="1:34" ht="14.5" x14ac:dyDescent="0.35">
      <c r="A283" s="33"/>
      <c r="B283" s="9"/>
      <c r="C283" s="12"/>
      <c r="D283" s="24"/>
      <c r="E283" s="12"/>
      <c r="F283" s="41"/>
      <c r="G283" s="41"/>
      <c r="H283" s="41"/>
      <c r="AG283" s="19">
        <v>282</v>
      </c>
      <c r="AH283" s="20">
        <v>5735.45916532922</v>
      </c>
    </row>
    <row r="284" spans="1:34" ht="14.5" x14ac:dyDescent="0.35">
      <c r="A284" s="33"/>
      <c r="B284" s="9"/>
      <c r="C284" s="12"/>
      <c r="D284" s="24"/>
      <c r="E284" s="12"/>
      <c r="F284" s="41"/>
      <c r="G284" s="41"/>
      <c r="H284" s="41"/>
      <c r="AG284" s="19">
        <v>283</v>
      </c>
      <c r="AH284" s="20">
        <v>561.64775925117385</v>
      </c>
    </row>
    <row r="285" spans="1:34" ht="14.5" x14ac:dyDescent="0.35">
      <c r="A285" s="33"/>
      <c r="B285" s="9"/>
      <c r="C285" s="12"/>
      <c r="D285" s="24"/>
      <c r="E285" s="12"/>
      <c r="F285" s="41"/>
      <c r="G285" s="41"/>
      <c r="H285" s="41"/>
      <c r="AG285" s="19">
        <v>284</v>
      </c>
      <c r="AH285" s="20">
        <v>483.92663417546686</v>
      </c>
    </row>
    <row r="286" spans="1:34" ht="14.5" x14ac:dyDescent="0.35">
      <c r="A286" s="33"/>
      <c r="B286" s="9"/>
      <c r="C286" s="12"/>
      <c r="D286" s="24"/>
      <c r="E286" s="12"/>
      <c r="F286" s="41"/>
      <c r="G286" s="41"/>
      <c r="H286" s="41"/>
      <c r="AG286" s="19">
        <v>285</v>
      </c>
      <c r="AH286" s="20">
        <v>-1788.1999911356008</v>
      </c>
    </row>
    <row r="287" spans="1:34" ht="14.5" x14ac:dyDescent="0.35">
      <c r="A287" s="33"/>
      <c r="B287" s="9"/>
      <c r="C287" s="12"/>
      <c r="D287" s="24"/>
      <c r="E287" s="12"/>
      <c r="F287" s="41"/>
      <c r="G287" s="41"/>
      <c r="H287" s="41"/>
      <c r="AG287" s="19">
        <v>286</v>
      </c>
      <c r="AH287" s="20">
        <v>750.86733707489498</v>
      </c>
    </row>
    <row r="288" spans="1:34" ht="14.5" x14ac:dyDescent="0.35">
      <c r="A288" s="33"/>
      <c r="B288" s="9"/>
      <c r="C288" s="12"/>
      <c r="D288" s="24"/>
      <c r="E288" s="12"/>
      <c r="F288" s="41"/>
      <c r="G288" s="41"/>
      <c r="H288" s="41"/>
      <c r="AG288" s="19">
        <v>287</v>
      </c>
      <c r="AH288" s="20">
        <v>-582.70371336408812</v>
      </c>
    </row>
    <row r="289" spans="1:34" ht="14.5" x14ac:dyDescent="0.35">
      <c r="A289" s="33"/>
      <c r="B289" s="9"/>
      <c r="C289" s="12"/>
      <c r="D289" s="24"/>
      <c r="E289" s="12"/>
      <c r="F289" s="41"/>
      <c r="G289" s="41"/>
      <c r="H289" s="41"/>
      <c r="AG289" s="19">
        <v>288</v>
      </c>
      <c r="AH289" s="20">
        <v>441.72855466144171</v>
      </c>
    </row>
    <row r="290" spans="1:34" ht="14.5" x14ac:dyDescent="0.35">
      <c r="A290" s="33"/>
      <c r="B290" s="9"/>
      <c r="C290" s="12"/>
      <c r="D290" s="24"/>
      <c r="E290" s="12"/>
      <c r="F290" s="41"/>
      <c r="G290" s="41"/>
      <c r="H290" s="41"/>
      <c r="AG290" s="19">
        <v>289</v>
      </c>
      <c r="AH290" s="20">
        <v>221.18979103544501</v>
      </c>
    </row>
    <row r="291" spans="1:34" ht="14.5" x14ac:dyDescent="0.35">
      <c r="A291" s="33"/>
      <c r="B291" s="9"/>
      <c r="C291" s="12"/>
      <c r="D291" s="24"/>
      <c r="E291" s="12"/>
      <c r="F291" s="41"/>
      <c r="G291" s="41"/>
      <c r="H291" s="41"/>
      <c r="AG291" s="19">
        <v>290</v>
      </c>
      <c r="AH291" s="20">
        <v>1236.5097747068589</v>
      </c>
    </row>
    <row r="292" spans="1:34" ht="14.5" x14ac:dyDescent="0.35">
      <c r="A292" s="33"/>
      <c r="B292" s="9"/>
      <c r="C292" s="12"/>
      <c r="D292" s="24"/>
      <c r="E292" s="12"/>
      <c r="F292" s="41"/>
      <c r="G292" s="41"/>
      <c r="H292" s="41"/>
      <c r="AG292" s="19">
        <v>291</v>
      </c>
      <c r="AH292" s="20">
        <v>-1913.3897981527969</v>
      </c>
    </row>
    <row r="293" spans="1:34" ht="14.5" x14ac:dyDescent="0.35">
      <c r="A293" s="33"/>
      <c r="B293" s="9"/>
      <c r="C293" s="12"/>
      <c r="D293" s="24"/>
      <c r="E293" s="12"/>
      <c r="F293" s="41"/>
      <c r="G293" s="41"/>
      <c r="H293" s="41"/>
      <c r="AG293" s="19">
        <v>292</v>
      </c>
      <c r="AH293" s="20">
        <v>-1091.1023592458439</v>
      </c>
    </row>
    <row r="294" spans="1:34" ht="14.5" x14ac:dyDescent="0.35">
      <c r="A294" s="33"/>
      <c r="B294" s="9"/>
      <c r="C294" s="12"/>
      <c r="D294" s="24"/>
      <c r="E294" s="12"/>
      <c r="F294" s="41"/>
      <c r="G294" s="41"/>
      <c r="H294" s="41"/>
      <c r="AG294" s="19">
        <v>293</v>
      </c>
      <c r="AH294" s="20">
        <v>2489.8820755621682</v>
      </c>
    </row>
    <row r="295" spans="1:34" ht="14.5" x14ac:dyDescent="0.35">
      <c r="A295" s="33"/>
      <c r="B295" s="9"/>
      <c r="C295" s="12"/>
      <c r="D295" s="24"/>
      <c r="E295" s="12"/>
      <c r="F295" s="41"/>
      <c r="G295" s="41"/>
      <c r="H295" s="41"/>
      <c r="AG295" s="19">
        <v>294</v>
      </c>
      <c r="AH295" s="20">
        <v>-3434.9845492335789</v>
      </c>
    </row>
    <row r="296" spans="1:34" ht="14.5" x14ac:dyDescent="0.35">
      <c r="A296" s="33"/>
      <c r="B296" s="9"/>
      <c r="C296" s="12"/>
      <c r="D296" s="24"/>
      <c r="E296" s="12"/>
      <c r="F296" s="41"/>
      <c r="G296" s="41"/>
      <c r="H296" s="41"/>
      <c r="AG296" s="19">
        <v>295</v>
      </c>
      <c r="AH296" s="20">
        <v>593.60203639171368</v>
      </c>
    </row>
    <row r="297" spans="1:34" ht="14.5" x14ac:dyDescent="0.35">
      <c r="A297" s="33"/>
      <c r="B297" s="9"/>
      <c r="C297" s="12"/>
      <c r="D297" s="24"/>
      <c r="E297" s="12"/>
      <c r="F297" s="41"/>
      <c r="G297" s="41"/>
      <c r="H297" s="41"/>
      <c r="AG297" s="19">
        <v>296</v>
      </c>
      <c r="AH297" s="20">
        <v>-190.60638075754986</v>
      </c>
    </row>
    <row r="298" spans="1:34" ht="14.5" x14ac:dyDescent="0.35">
      <c r="A298" s="33"/>
      <c r="B298" s="9"/>
      <c r="C298" s="12"/>
      <c r="D298" s="24"/>
      <c r="E298" s="12"/>
      <c r="F298" s="41"/>
      <c r="G298" s="41"/>
      <c r="H298" s="41"/>
      <c r="AG298" s="19">
        <v>297</v>
      </c>
      <c r="AH298" s="20">
        <v>2833.6813890320682</v>
      </c>
    </row>
    <row r="299" spans="1:34" ht="14.5" x14ac:dyDescent="0.35">
      <c r="A299" s="33"/>
      <c r="B299" s="9"/>
      <c r="C299" s="12"/>
      <c r="D299" s="24"/>
      <c r="E299" s="12"/>
      <c r="F299" s="41"/>
      <c r="G299" s="41"/>
      <c r="H299" s="41"/>
      <c r="AG299" s="19">
        <v>298</v>
      </c>
      <c r="AH299" s="20">
        <v>2296.1880397983355</v>
      </c>
    </row>
    <row r="300" spans="1:34" ht="14.5" x14ac:dyDescent="0.35">
      <c r="A300" s="33"/>
      <c r="B300" s="9"/>
      <c r="C300" s="12"/>
      <c r="D300" s="24"/>
      <c r="E300" s="12"/>
      <c r="F300" s="41"/>
      <c r="G300" s="41"/>
      <c r="H300" s="41"/>
      <c r="AG300" s="19">
        <v>299</v>
      </c>
      <c r="AH300" s="20">
        <v>878.71381129046415</v>
      </c>
    </row>
    <row r="301" spans="1:34" ht="14.5" x14ac:dyDescent="0.35">
      <c r="A301" s="33"/>
      <c r="B301" s="9"/>
      <c r="C301" s="12"/>
      <c r="D301" s="24"/>
      <c r="E301" s="12"/>
      <c r="F301" s="41"/>
      <c r="G301" s="41"/>
      <c r="H301" s="41"/>
      <c r="AG301" s="19">
        <v>300</v>
      </c>
      <c r="AH301" s="20">
        <v>555.97812385775683</v>
      </c>
    </row>
    <row r="302" spans="1:34" ht="14.5" x14ac:dyDescent="0.35">
      <c r="A302" s="33"/>
      <c r="B302" s="9"/>
      <c r="C302" s="12"/>
      <c r="D302" s="24"/>
      <c r="E302" s="12"/>
      <c r="F302" s="41"/>
      <c r="G302" s="41"/>
      <c r="H302" s="41"/>
      <c r="AG302" s="19">
        <v>301</v>
      </c>
      <c r="AH302" s="20">
        <v>-4040.1387970509604</v>
      </c>
    </row>
    <row r="303" spans="1:34" ht="14.5" x14ac:dyDescent="0.35">
      <c r="A303" s="33"/>
      <c r="B303" s="9"/>
      <c r="C303" s="12"/>
      <c r="D303" s="24"/>
      <c r="E303" s="12"/>
      <c r="F303" s="41"/>
      <c r="G303" s="41"/>
      <c r="H303" s="41"/>
      <c r="AG303" s="19">
        <v>302</v>
      </c>
      <c r="AH303" s="20">
        <v>-2734.9421423434037</v>
      </c>
    </row>
    <row r="304" spans="1:34" ht="14.5" x14ac:dyDescent="0.35">
      <c r="A304" s="33"/>
      <c r="B304" s="9"/>
      <c r="C304" s="12"/>
      <c r="D304" s="24"/>
      <c r="E304" s="12"/>
      <c r="F304" s="41"/>
      <c r="G304" s="41"/>
      <c r="H304" s="41"/>
      <c r="AG304" s="19">
        <v>303</v>
      </c>
      <c r="AH304" s="20">
        <v>897.12471431573886</v>
      </c>
    </row>
    <row r="305" spans="1:34" ht="14.5" x14ac:dyDescent="0.35">
      <c r="A305" s="33"/>
      <c r="B305" s="9"/>
      <c r="C305" s="12"/>
      <c r="D305" s="24"/>
      <c r="E305" s="12"/>
      <c r="F305" s="41"/>
      <c r="G305" s="41"/>
      <c r="H305" s="41"/>
      <c r="AG305" s="19">
        <v>304</v>
      </c>
      <c r="AH305" s="20">
        <v>2955.5789962528643</v>
      </c>
    </row>
    <row r="306" spans="1:34" ht="14.5" x14ac:dyDescent="0.35">
      <c r="A306" s="33"/>
      <c r="B306" s="9"/>
      <c r="C306" s="12"/>
      <c r="D306" s="24"/>
      <c r="E306" s="12"/>
      <c r="F306" s="41"/>
      <c r="G306" s="41"/>
      <c r="H306" s="41"/>
      <c r="AG306" s="19">
        <v>305</v>
      </c>
      <c r="AH306" s="20">
        <v>36.163745964776467</v>
      </c>
    </row>
    <row r="307" spans="1:34" ht="14.5" x14ac:dyDescent="0.35">
      <c r="A307" s="33"/>
      <c r="B307" s="9"/>
      <c r="C307" s="12"/>
      <c r="D307" s="24"/>
      <c r="E307" s="12"/>
      <c r="F307" s="41"/>
      <c r="G307" s="41"/>
      <c r="H307" s="41"/>
      <c r="AG307" s="19">
        <v>306</v>
      </c>
      <c r="AH307" s="20">
        <v>-2759.8884046907151</v>
      </c>
    </row>
    <row r="308" spans="1:34" ht="14.5" x14ac:dyDescent="0.35">
      <c r="A308" s="33"/>
      <c r="B308" s="9"/>
      <c r="C308" s="12"/>
      <c r="D308" s="24"/>
      <c r="E308" s="12"/>
      <c r="F308" s="41"/>
      <c r="G308" s="41"/>
      <c r="H308" s="41"/>
      <c r="AG308" s="19">
        <v>307</v>
      </c>
      <c r="AH308" s="20">
        <v>-2182.7223382095476</v>
      </c>
    </row>
    <row r="309" spans="1:34" ht="14.5" x14ac:dyDescent="0.35">
      <c r="A309" s="33"/>
      <c r="B309" s="9"/>
      <c r="C309" s="12"/>
      <c r="D309" s="24"/>
      <c r="E309" s="12"/>
      <c r="F309" s="41"/>
      <c r="G309" s="41"/>
      <c r="H309" s="41"/>
      <c r="AG309" s="19">
        <v>308</v>
      </c>
      <c r="AH309" s="20">
        <v>1064.171756110904</v>
      </c>
    </row>
    <row r="310" spans="1:34" ht="14.5" x14ac:dyDescent="0.35">
      <c r="A310" s="33"/>
      <c r="B310" s="9"/>
      <c r="C310" s="12"/>
      <c r="D310" s="24"/>
      <c r="E310" s="12"/>
      <c r="F310" s="41"/>
      <c r="G310" s="41"/>
      <c r="H310" s="41"/>
      <c r="AG310" s="19">
        <v>309</v>
      </c>
      <c r="AH310" s="20">
        <v>31.961762910894436</v>
      </c>
    </row>
    <row r="311" spans="1:34" ht="14.5" x14ac:dyDescent="0.35">
      <c r="A311" s="33"/>
      <c r="B311" s="9"/>
      <c r="C311" s="12"/>
      <c r="D311" s="24"/>
      <c r="E311" s="12"/>
      <c r="F311" s="41"/>
      <c r="G311" s="41"/>
      <c r="H311" s="41"/>
      <c r="AG311" s="19">
        <v>310</v>
      </c>
      <c r="AH311" s="20">
        <v>1429.8562783072107</v>
      </c>
    </row>
    <row r="312" spans="1:34" ht="14.5" x14ac:dyDescent="0.35">
      <c r="A312" s="33"/>
      <c r="B312" s="9"/>
      <c r="C312" s="12"/>
      <c r="D312" s="24"/>
      <c r="E312" s="12"/>
      <c r="F312" s="41"/>
      <c r="G312" s="41"/>
      <c r="H312" s="41"/>
      <c r="AG312" s="19">
        <v>311</v>
      </c>
      <c r="AH312" s="20">
        <v>-720.58694379068697</v>
      </c>
    </row>
    <row r="313" spans="1:34" ht="14.5" x14ac:dyDescent="0.35">
      <c r="A313" s="33"/>
      <c r="B313" s="9"/>
      <c r="C313" s="12"/>
      <c r="D313" s="24"/>
      <c r="E313" s="12"/>
      <c r="F313" s="41"/>
      <c r="G313" s="41"/>
      <c r="H313" s="41"/>
      <c r="AG313" s="19">
        <v>312</v>
      </c>
      <c r="AH313" s="20">
        <v>-214.31005529605142</v>
      </c>
    </row>
    <row r="314" spans="1:34" ht="14.5" x14ac:dyDescent="0.35">
      <c r="A314" s="33"/>
      <c r="B314" s="9"/>
      <c r="C314" s="12"/>
      <c r="D314" s="24"/>
      <c r="E314" s="12"/>
      <c r="F314" s="41"/>
      <c r="G314" s="41"/>
      <c r="H314" s="41"/>
      <c r="AG314" s="19">
        <v>313</v>
      </c>
      <c r="AH314" s="20">
        <v>-2209.2719219024507</v>
      </c>
    </row>
    <row r="315" spans="1:34" ht="14.5" x14ac:dyDescent="0.35">
      <c r="A315" s="33"/>
      <c r="B315" s="9"/>
      <c r="C315" s="12"/>
      <c r="D315" s="24"/>
      <c r="E315" s="12"/>
      <c r="F315" s="41"/>
      <c r="G315" s="41"/>
      <c r="H315" s="41"/>
      <c r="AG315" s="19">
        <v>314</v>
      </c>
      <c r="AH315" s="20">
        <v>3747.748495021614</v>
      </c>
    </row>
    <row r="316" spans="1:34" ht="14.5" x14ac:dyDescent="0.35">
      <c r="A316" s="33"/>
      <c r="B316" s="9"/>
      <c r="C316" s="12"/>
      <c r="D316" s="24"/>
      <c r="E316" s="12"/>
      <c r="F316" s="41"/>
      <c r="G316" s="41"/>
      <c r="H316" s="41"/>
      <c r="AG316" s="19">
        <v>315</v>
      </c>
      <c r="AH316" s="20">
        <v>-1188.0513252745052</v>
      </c>
    </row>
    <row r="317" spans="1:34" ht="14.5" x14ac:dyDescent="0.35">
      <c r="A317" s="33"/>
      <c r="B317" s="9"/>
      <c r="C317" s="12"/>
      <c r="D317" s="24"/>
      <c r="E317" s="12"/>
      <c r="F317" s="41"/>
      <c r="G317" s="41"/>
      <c r="H317" s="41"/>
      <c r="AG317" s="19">
        <v>316</v>
      </c>
      <c r="AH317" s="20">
        <v>629.8320331322584</v>
      </c>
    </row>
    <row r="318" spans="1:34" ht="14.5" x14ac:dyDescent="0.35">
      <c r="A318" s="33"/>
      <c r="B318" s="9"/>
      <c r="C318" s="12"/>
      <c r="D318" s="24"/>
      <c r="E318" s="12"/>
      <c r="F318" s="41"/>
      <c r="G318" s="41"/>
      <c r="H318" s="41"/>
      <c r="AG318" s="19">
        <v>317</v>
      </c>
      <c r="AH318" s="20">
        <v>-2981.4872861492449</v>
      </c>
    </row>
    <row r="319" spans="1:34" ht="14.5" x14ac:dyDescent="0.35">
      <c r="A319" s="33"/>
      <c r="B319" s="9"/>
      <c r="C319" s="12"/>
      <c r="D319" s="24"/>
      <c r="E319" s="12"/>
      <c r="F319" s="41"/>
      <c r="G319" s="41"/>
      <c r="H319" s="41"/>
      <c r="AG319" s="19">
        <v>318</v>
      </c>
      <c r="AH319" s="20">
        <v>-417.95615717658342</v>
      </c>
    </row>
    <row r="320" spans="1:34" ht="14.5" x14ac:dyDescent="0.35">
      <c r="A320" s="33"/>
      <c r="B320" s="9"/>
      <c r="C320" s="12"/>
      <c r="D320" s="24"/>
      <c r="E320" s="12"/>
      <c r="F320" s="41"/>
      <c r="G320" s="41"/>
      <c r="H320" s="41"/>
      <c r="AG320" s="19">
        <v>319</v>
      </c>
      <c r="AH320" s="20">
        <v>-2321.4954821206256</v>
      </c>
    </row>
    <row r="321" spans="1:34" ht="14.5" x14ac:dyDescent="0.35">
      <c r="A321" s="33"/>
      <c r="B321" s="9"/>
      <c r="C321" s="12"/>
      <c r="D321" s="24"/>
      <c r="E321" s="12"/>
      <c r="F321" s="41"/>
      <c r="G321" s="41"/>
      <c r="H321" s="41"/>
      <c r="AG321" s="19">
        <v>320</v>
      </c>
      <c r="AH321" s="20">
        <v>1351.6440687303186</v>
      </c>
    </row>
    <row r="322" spans="1:34" ht="14.5" x14ac:dyDescent="0.35">
      <c r="A322" s="33"/>
      <c r="B322" s="9"/>
      <c r="C322" s="12"/>
      <c r="D322" s="24"/>
      <c r="E322" s="12"/>
      <c r="F322" s="41"/>
      <c r="G322" s="41"/>
      <c r="H322" s="41"/>
      <c r="AG322" s="19">
        <v>321</v>
      </c>
      <c r="AH322" s="20">
        <v>-2216.1957312338036</v>
      </c>
    </row>
    <row r="323" spans="1:34" ht="14.5" x14ac:dyDescent="0.35">
      <c r="A323" s="33"/>
      <c r="B323" s="9"/>
      <c r="C323" s="12"/>
      <c r="D323" s="24"/>
      <c r="E323" s="12"/>
      <c r="F323" s="41"/>
      <c r="G323" s="41"/>
      <c r="H323" s="41"/>
      <c r="AG323" s="19">
        <v>322</v>
      </c>
      <c r="AH323" s="20">
        <v>4196.8888103092568</v>
      </c>
    </row>
    <row r="324" spans="1:34" ht="14.5" x14ac:dyDescent="0.35">
      <c r="A324" s="33"/>
      <c r="B324" s="9"/>
      <c r="C324" s="12"/>
      <c r="D324" s="24"/>
      <c r="E324" s="12"/>
      <c r="F324" s="41"/>
      <c r="G324" s="41"/>
      <c r="H324" s="41"/>
      <c r="AG324" s="19">
        <v>323</v>
      </c>
      <c r="AH324" s="20">
        <v>2660.1950661800015</v>
      </c>
    </row>
    <row r="325" spans="1:34" ht="14.5" x14ac:dyDescent="0.35">
      <c r="A325" s="33"/>
      <c r="B325" s="9"/>
      <c r="C325" s="12"/>
      <c r="D325" s="24"/>
      <c r="E325" s="12"/>
      <c r="F325" s="41"/>
      <c r="G325" s="41"/>
      <c r="H325" s="41"/>
      <c r="AG325" s="19">
        <v>324</v>
      </c>
      <c r="AH325" s="20">
        <v>3286.431112918488</v>
      </c>
    </row>
    <row r="326" spans="1:34" ht="14.5" x14ac:dyDescent="0.35">
      <c r="A326" s="33"/>
      <c r="B326" s="9"/>
      <c r="C326" s="12"/>
      <c r="D326" s="24"/>
      <c r="E326" s="12"/>
      <c r="F326" s="41"/>
      <c r="G326" s="41"/>
      <c r="H326" s="41"/>
      <c r="AG326" s="19">
        <v>325</v>
      </c>
      <c r="AH326" s="20">
        <v>-2508.0435714982177</v>
      </c>
    </row>
    <row r="327" spans="1:34" ht="14.5" x14ac:dyDescent="0.35">
      <c r="A327" s="33"/>
      <c r="B327" s="9"/>
      <c r="C327" s="12"/>
      <c r="D327" s="24"/>
      <c r="E327" s="12"/>
      <c r="F327" s="41"/>
      <c r="G327" s="41"/>
      <c r="H327" s="41"/>
      <c r="AG327" s="19">
        <v>326</v>
      </c>
      <c r="AH327" s="20">
        <v>-2768.6255098030947</v>
      </c>
    </row>
    <row r="328" spans="1:34" ht="14.5" x14ac:dyDescent="0.35">
      <c r="A328" s="33"/>
      <c r="B328" s="9"/>
      <c r="C328" s="12"/>
      <c r="D328" s="24"/>
      <c r="E328" s="12"/>
      <c r="F328" s="41"/>
      <c r="G328" s="41"/>
      <c r="H328" s="41"/>
      <c r="AG328" s="19">
        <v>327</v>
      </c>
      <c r="AH328" s="20">
        <v>2830.3266628448696</v>
      </c>
    </row>
    <row r="329" spans="1:34" ht="14.5" x14ac:dyDescent="0.35">
      <c r="A329" s="33"/>
      <c r="B329" s="9"/>
      <c r="C329" s="12"/>
      <c r="D329" s="24"/>
      <c r="E329" s="12"/>
      <c r="F329" s="41"/>
      <c r="G329" s="41"/>
      <c r="H329" s="41"/>
      <c r="AG329" s="19">
        <v>328</v>
      </c>
      <c r="AH329" s="20">
        <v>-2082.5798530741426</v>
      </c>
    </row>
    <row r="330" spans="1:34" ht="14.5" x14ac:dyDescent="0.35">
      <c r="A330" s="33"/>
      <c r="B330" s="9"/>
      <c r="C330" s="12"/>
      <c r="D330" s="24"/>
      <c r="E330" s="12"/>
      <c r="F330" s="41"/>
      <c r="G330" s="41"/>
      <c r="H330" s="41"/>
      <c r="AG330" s="19">
        <v>329</v>
      </c>
      <c r="AH330" s="20">
        <v>-1443.7504444954538</v>
      </c>
    </row>
    <row r="331" spans="1:34" ht="14.5" x14ac:dyDescent="0.35">
      <c r="A331" s="33"/>
      <c r="B331" s="9"/>
      <c r="C331" s="12"/>
      <c r="D331" s="24"/>
      <c r="E331" s="12"/>
      <c r="F331" s="41"/>
      <c r="G331" s="41"/>
      <c r="H331" s="41"/>
      <c r="AG331" s="19">
        <v>330</v>
      </c>
      <c r="AH331" s="20">
        <v>2089.6786078614264</v>
      </c>
    </row>
    <row r="332" spans="1:34" ht="14.5" x14ac:dyDescent="0.35">
      <c r="A332" s="33"/>
      <c r="B332" s="9"/>
      <c r="C332" s="12"/>
      <c r="D332" s="24"/>
      <c r="E332" s="12"/>
      <c r="F332" s="41"/>
      <c r="G332" s="41"/>
      <c r="H332" s="41"/>
      <c r="AG332" s="19">
        <v>331</v>
      </c>
      <c r="AH332" s="20">
        <v>688.67682022785664</v>
      </c>
    </row>
    <row r="333" spans="1:34" ht="14.5" x14ac:dyDescent="0.35">
      <c r="A333" s="33"/>
      <c r="B333" s="9"/>
      <c r="C333" s="12"/>
      <c r="D333" s="24"/>
      <c r="E333" s="12"/>
      <c r="F333" s="41"/>
      <c r="G333" s="41"/>
      <c r="H333" s="41"/>
      <c r="AG333" s="19">
        <v>332</v>
      </c>
      <c r="AH333" s="20">
        <v>-1003.5487539434462</v>
      </c>
    </row>
    <row r="334" spans="1:34" ht="14.5" x14ac:dyDescent="0.35">
      <c r="A334" s="33"/>
      <c r="B334" s="9"/>
      <c r="C334" s="12"/>
      <c r="D334" s="24"/>
      <c r="E334" s="12"/>
      <c r="F334" s="41"/>
      <c r="G334" s="41"/>
      <c r="H334" s="41"/>
      <c r="AG334" s="19">
        <v>333</v>
      </c>
      <c r="AH334" s="20">
        <v>-1529.5053200288162</v>
      </c>
    </row>
    <row r="335" spans="1:34" ht="14.5" x14ac:dyDescent="0.35">
      <c r="A335" s="33"/>
      <c r="B335" s="9"/>
      <c r="C335" s="12"/>
      <c r="D335" s="24"/>
      <c r="E335" s="12"/>
      <c r="F335" s="41"/>
      <c r="G335" s="41"/>
      <c r="H335" s="41"/>
      <c r="AG335" s="19">
        <v>334</v>
      </c>
      <c r="AH335" s="20">
        <v>-1585.8482973546413</v>
      </c>
    </row>
    <row r="336" spans="1:34" ht="14.5" x14ac:dyDescent="0.35">
      <c r="A336" s="33"/>
      <c r="B336" s="9"/>
      <c r="C336" s="12"/>
      <c r="D336" s="24"/>
      <c r="E336" s="12"/>
      <c r="F336" s="41"/>
      <c r="G336" s="41"/>
      <c r="H336" s="41"/>
      <c r="AG336" s="19">
        <v>335</v>
      </c>
      <c r="AH336" s="20">
        <v>83.340209499570904</v>
      </c>
    </row>
    <row r="337" spans="1:34" ht="14.5" x14ac:dyDescent="0.35">
      <c r="A337" s="33"/>
      <c r="B337" s="9"/>
      <c r="C337" s="12"/>
      <c r="D337" s="24"/>
      <c r="E337" s="12"/>
      <c r="F337" s="41"/>
      <c r="G337" s="41"/>
      <c r="H337" s="41"/>
      <c r="AG337" s="19">
        <v>336</v>
      </c>
      <c r="AH337" s="20">
        <v>2804.9558618013411</v>
      </c>
    </row>
    <row r="338" spans="1:34" ht="14.5" x14ac:dyDescent="0.35">
      <c r="A338" s="33"/>
      <c r="B338" s="9"/>
      <c r="C338" s="12"/>
      <c r="D338" s="24"/>
      <c r="E338" s="12"/>
      <c r="F338" s="41"/>
      <c r="G338" s="41"/>
      <c r="H338" s="41"/>
      <c r="AG338" s="19">
        <v>337</v>
      </c>
      <c r="AH338" s="20">
        <v>1073.8055756249655</v>
      </c>
    </row>
    <row r="339" spans="1:34" ht="14.5" x14ac:dyDescent="0.35">
      <c r="A339" s="33"/>
      <c r="B339" s="9"/>
      <c r="C339" s="12"/>
      <c r="D339" s="24"/>
      <c r="E339" s="12"/>
      <c r="F339" s="41"/>
      <c r="G339" s="41"/>
      <c r="H339" s="41"/>
      <c r="AG339" s="19">
        <v>338</v>
      </c>
      <c r="AH339" s="20">
        <v>-404.95136569311768</v>
      </c>
    </row>
    <row r="340" spans="1:34" ht="14.5" x14ac:dyDescent="0.35">
      <c r="A340" s="33"/>
      <c r="B340" s="9"/>
      <c r="C340" s="12"/>
      <c r="D340" s="24"/>
      <c r="E340" s="12"/>
      <c r="F340" s="41"/>
      <c r="G340" s="41"/>
      <c r="H340" s="41"/>
      <c r="AG340" s="19">
        <v>339</v>
      </c>
      <c r="AH340" s="20">
        <v>-890.22399521906118</v>
      </c>
    </row>
    <row r="341" spans="1:34" ht="14.5" x14ac:dyDescent="0.35">
      <c r="A341" s="33"/>
      <c r="B341" s="9"/>
      <c r="C341" s="12"/>
      <c r="D341" s="24"/>
      <c r="E341" s="12"/>
      <c r="F341" s="41"/>
      <c r="G341" s="41"/>
      <c r="H341" s="41"/>
      <c r="AG341" s="19">
        <v>340</v>
      </c>
      <c r="AH341" s="20">
        <v>-3836.457044523685</v>
      </c>
    </row>
    <row r="342" spans="1:34" ht="14.5" x14ac:dyDescent="0.35">
      <c r="A342" s="33"/>
      <c r="B342" s="9"/>
      <c r="C342" s="12"/>
      <c r="D342" s="24"/>
      <c r="E342" s="12"/>
      <c r="F342" s="41"/>
      <c r="G342" s="41"/>
      <c r="H342" s="41"/>
      <c r="AG342" s="19">
        <v>341</v>
      </c>
      <c r="AH342" s="20">
        <v>4356.230408833314</v>
      </c>
    </row>
    <row r="343" spans="1:34" ht="14.5" x14ac:dyDescent="0.35">
      <c r="A343" s="33"/>
      <c r="B343" s="9"/>
      <c r="C343" s="12"/>
      <c r="D343" s="24"/>
      <c r="E343" s="12"/>
      <c r="F343" s="41"/>
      <c r="G343" s="41"/>
      <c r="H343" s="41"/>
      <c r="AG343" s="19">
        <v>342</v>
      </c>
      <c r="AH343" s="20">
        <v>2179.852040510666</v>
      </c>
    </row>
    <row r="344" spans="1:34" ht="14.5" x14ac:dyDescent="0.35">
      <c r="A344" s="33"/>
      <c r="B344" s="9"/>
      <c r="C344" s="12"/>
      <c r="D344" s="24"/>
      <c r="E344" s="12"/>
      <c r="F344" s="41"/>
      <c r="G344" s="41"/>
      <c r="H344" s="41"/>
      <c r="AG344" s="19">
        <v>343</v>
      </c>
      <c r="AH344" s="20">
        <v>-4208.3067133277991</v>
      </c>
    </row>
    <row r="345" spans="1:34" ht="14.5" x14ac:dyDescent="0.35">
      <c r="A345" s="33"/>
      <c r="B345" s="9"/>
      <c r="C345" s="12"/>
      <c r="D345" s="24"/>
      <c r="E345" s="12"/>
      <c r="F345" s="41"/>
      <c r="G345" s="41"/>
      <c r="H345" s="41"/>
      <c r="AG345" s="19">
        <v>344</v>
      </c>
      <c r="AH345" s="20">
        <v>-1663.2806513107068</v>
      </c>
    </row>
    <row r="346" spans="1:34" ht="14.5" x14ac:dyDescent="0.35">
      <c r="A346" s="33"/>
      <c r="B346" s="9"/>
      <c r="C346" s="12"/>
      <c r="D346" s="24"/>
      <c r="E346" s="12"/>
      <c r="F346" s="41"/>
      <c r="G346" s="41"/>
      <c r="H346" s="41"/>
      <c r="AG346" s="19">
        <v>345</v>
      </c>
      <c r="AH346" s="20">
        <v>2365.6545554416134</v>
      </c>
    </row>
    <row r="347" spans="1:34" ht="14.5" x14ac:dyDescent="0.35">
      <c r="A347" s="33"/>
      <c r="B347" s="9"/>
      <c r="C347" s="12"/>
      <c r="D347" s="24"/>
      <c r="E347" s="12"/>
      <c r="F347" s="41"/>
      <c r="G347" s="41"/>
      <c r="H347" s="41"/>
      <c r="AG347" s="19">
        <v>346</v>
      </c>
      <c r="AH347" s="20">
        <v>111.85643742394552</v>
      </c>
    </row>
    <row r="348" spans="1:34" ht="14.5" x14ac:dyDescent="0.35">
      <c r="A348" s="33"/>
      <c r="B348" s="9"/>
      <c r="C348" s="12"/>
      <c r="D348" s="24"/>
      <c r="E348" s="12"/>
      <c r="F348" s="41"/>
      <c r="G348" s="41"/>
      <c r="H348" s="41"/>
      <c r="AG348" s="19">
        <v>347</v>
      </c>
      <c r="AH348" s="20">
        <v>-1481.0527408857145</v>
      </c>
    </row>
    <row r="349" spans="1:34" ht="14.5" x14ac:dyDescent="0.35">
      <c r="A349" s="33"/>
      <c r="B349" s="9"/>
      <c r="C349" s="12"/>
      <c r="D349" s="24"/>
      <c r="E349" s="12"/>
      <c r="F349" s="41"/>
      <c r="G349" s="41"/>
      <c r="H349" s="41"/>
      <c r="AG349" s="19">
        <v>348</v>
      </c>
      <c r="AH349" s="20">
        <v>-2979.4517085154571</v>
      </c>
    </row>
    <row r="350" spans="1:34" ht="14.5" x14ac:dyDescent="0.35">
      <c r="A350" s="33"/>
      <c r="B350" s="9"/>
      <c r="C350" s="12"/>
      <c r="D350" s="24"/>
      <c r="E350" s="12"/>
      <c r="F350" s="41"/>
      <c r="G350" s="41"/>
      <c r="H350" s="41"/>
      <c r="AG350" s="19">
        <v>349</v>
      </c>
      <c r="AH350" s="20">
        <v>1215.2280944687641</v>
      </c>
    </row>
    <row r="351" spans="1:34" ht="14.5" x14ac:dyDescent="0.35">
      <c r="A351" s="33"/>
      <c r="B351" s="9"/>
      <c r="C351" s="12"/>
      <c r="D351" s="24"/>
      <c r="E351" s="12"/>
      <c r="F351" s="41"/>
      <c r="G351" s="41"/>
      <c r="H351" s="41"/>
      <c r="AG351" s="19">
        <v>350</v>
      </c>
      <c r="AH351" s="20">
        <v>-2282.9831469530095</v>
      </c>
    </row>
    <row r="352" spans="1:34" ht="14.5" x14ac:dyDescent="0.35">
      <c r="A352" s="33"/>
      <c r="B352" s="9"/>
      <c r="C352" s="12"/>
      <c r="D352" s="24"/>
      <c r="E352" s="12"/>
      <c r="F352" s="41"/>
      <c r="G352" s="41"/>
      <c r="H352" s="41"/>
      <c r="AG352" s="19">
        <v>351</v>
      </c>
      <c r="AH352" s="20">
        <v>1035.8599184855839</v>
      </c>
    </row>
    <row r="353" spans="1:34" ht="14.5" x14ac:dyDescent="0.35">
      <c r="A353" s="33"/>
      <c r="B353" s="9"/>
      <c r="C353" s="12"/>
      <c r="D353" s="24"/>
      <c r="E353" s="12"/>
      <c r="F353" s="41"/>
      <c r="G353" s="41"/>
      <c r="H353" s="41"/>
      <c r="AG353" s="19">
        <v>352</v>
      </c>
      <c r="AH353" s="20">
        <v>-2439.4857648955531</v>
      </c>
    </row>
    <row r="354" spans="1:34" ht="14.5" x14ac:dyDescent="0.35">
      <c r="A354" s="33"/>
      <c r="B354" s="9"/>
      <c r="C354" s="12"/>
      <c r="D354" s="24"/>
      <c r="E354" s="12"/>
      <c r="F354" s="41"/>
      <c r="G354" s="41"/>
      <c r="H354" s="41"/>
      <c r="AG354" s="19">
        <v>353</v>
      </c>
      <c r="AH354" s="20">
        <v>3256.6828158252597</v>
      </c>
    </row>
    <row r="355" spans="1:34" ht="14.5" x14ac:dyDescent="0.35">
      <c r="A355" s="33"/>
      <c r="B355" s="9"/>
      <c r="C355" s="12"/>
      <c r="D355" s="24"/>
      <c r="E355" s="12"/>
      <c r="F355" s="41"/>
      <c r="G355" s="41"/>
      <c r="H355" s="41"/>
      <c r="AG355" s="19">
        <v>354</v>
      </c>
      <c r="AH355" s="20">
        <v>-187.26326139745998</v>
      </c>
    </row>
    <row r="356" spans="1:34" ht="14.5" x14ac:dyDescent="0.35">
      <c r="A356" s="33"/>
      <c r="B356" s="9"/>
      <c r="C356" s="12"/>
      <c r="D356" s="24"/>
      <c r="E356" s="12"/>
      <c r="F356" s="41"/>
      <c r="G356" s="41"/>
      <c r="H356" s="41"/>
      <c r="AG356" s="19">
        <v>355</v>
      </c>
      <c r="AH356" s="20">
        <v>445.15209061102598</v>
      </c>
    </row>
    <row r="357" spans="1:34" ht="14.5" x14ac:dyDescent="0.35">
      <c r="A357" s="33"/>
      <c r="B357" s="9"/>
      <c r="C357" s="12"/>
      <c r="D357" s="24"/>
      <c r="E357" s="12"/>
      <c r="F357" s="41"/>
      <c r="G357" s="41"/>
      <c r="H357" s="41"/>
      <c r="AG357" s="19">
        <v>356</v>
      </c>
      <c r="AH357" s="20">
        <v>1866.8997945019196</v>
      </c>
    </row>
    <row r="358" spans="1:34" ht="14.5" x14ac:dyDescent="0.35">
      <c r="A358" s="33"/>
      <c r="B358" s="9"/>
      <c r="C358" s="12"/>
      <c r="D358" s="24"/>
      <c r="E358" s="12"/>
      <c r="F358" s="41"/>
      <c r="G358" s="41"/>
      <c r="H358" s="41"/>
      <c r="AG358" s="19">
        <v>357</v>
      </c>
      <c r="AH358" s="20">
        <v>-35.655536688476559</v>
      </c>
    </row>
    <row r="359" spans="1:34" ht="14.5" x14ac:dyDescent="0.35">
      <c r="A359" s="33"/>
      <c r="B359" s="9"/>
      <c r="C359" s="12"/>
      <c r="D359" s="24"/>
      <c r="E359" s="12"/>
      <c r="F359" s="41"/>
      <c r="G359" s="41"/>
      <c r="H359" s="41"/>
      <c r="AG359" s="19">
        <v>358</v>
      </c>
      <c r="AH359" s="20">
        <v>1260.9537349761551</v>
      </c>
    </row>
    <row r="360" spans="1:34" ht="14.5" x14ac:dyDescent="0.35">
      <c r="A360" s="33"/>
      <c r="B360" s="9"/>
      <c r="C360" s="12"/>
      <c r="D360" s="24"/>
      <c r="E360" s="12"/>
      <c r="F360" s="41"/>
      <c r="G360" s="41"/>
      <c r="H360" s="41"/>
      <c r="AG360" s="19">
        <v>359</v>
      </c>
      <c r="AH360" s="20">
        <v>147.09143294801447</v>
      </c>
    </row>
    <row r="361" spans="1:34" ht="14.5" x14ac:dyDescent="0.35">
      <c r="A361" s="33"/>
      <c r="B361" s="9"/>
      <c r="C361" s="12"/>
      <c r="D361" s="24"/>
      <c r="E361" s="12"/>
      <c r="F361" s="41"/>
      <c r="G361" s="41"/>
      <c r="H361" s="41"/>
      <c r="AG361" s="19">
        <v>360</v>
      </c>
      <c r="AH361" s="20">
        <v>2151.9450255962583</v>
      </c>
    </row>
    <row r="362" spans="1:34" ht="14.5" x14ac:dyDescent="0.35">
      <c r="A362" s="33"/>
      <c r="B362" s="9"/>
      <c r="C362" s="12"/>
      <c r="D362" s="24"/>
      <c r="E362" s="12"/>
      <c r="F362" s="41"/>
      <c r="G362" s="41"/>
      <c r="H362" s="41"/>
      <c r="AG362" s="19">
        <v>361</v>
      </c>
      <c r="AH362" s="20">
        <v>-3037.9095677447503</v>
      </c>
    </row>
    <row r="363" spans="1:34" ht="14.5" x14ac:dyDescent="0.35">
      <c r="A363" s="33"/>
      <c r="B363" s="9"/>
      <c r="C363" s="12"/>
      <c r="D363" s="24"/>
      <c r="E363" s="12"/>
      <c r="F363" s="41"/>
      <c r="G363" s="41"/>
      <c r="H363" s="41"/>
      <c r="AG363" s="19">
        <v>362</v>
      </c>
      <c r="AH363" s="20">
        <v>-379.53835106443904</v>
      </c>
    </row>
    <row r="364" spans="1:34" ht="14.5" x14ac:dyDescent="0.35">
      <c r="A364" s="33"/>
      <c r="B364" s="9"/>
      <c r="C364" s="12"/>
      <c r="D364" s="24"/>
      <c r="E364" s="12"/>
      <c r="F364" s="41"/>
      <c r="G364" s="41"/>
      <c r="H364" s="41"/>
      <c r="AG364" s="19">
        <v>363</v>
      </c>
      <c r="AH364" s="20">
        <v>1176.9305939734325</v>
      </c>
    </row>
    <row r="365" spans="1:34" ht="14.5" x14ac:dyDescent="0.35">
      <c r="A365" s="33"/>
      <c r="B365" s="9"/>
      <c r="C365" s="12"/>
      <c r="D365" s="24"/>
      <c r="E365" s="12"/>
      <c r="F365" s="41"/>
      <c r="G365" s="41"/>
      <c r="H365" s="41"/>
      <c r="AG365" s="19">
        <v>364</v>
      </c>
      <c r="AH365" s="20">
        <v>3078.10407582992</v>
      </c>
    </row>
    <row r="366" spans="1:34" ht="14.5" x14ac:dyDescent="0.35">
      <c r="A366" s="33"/>
      <c r="B366" s="9"/>
      <c r="C366" s="12"/>
      <c r="D366" s="24"/>
      <c r="E366" s="12"/>
      <c r="F366" s="41"/>
      <c r="G366" s="41"/>
      <c r="H366" s="41"/>
      <c r="AG366" s="19">
        <v>365</v>
      </c>
      <c r="AH366" s="20">
        <v>-463.66543563544707</v>
      </c>
    </row>
    <row r="367" spans="1:34" ht="14.5" x14ac:dyDescent="0.35">
      <c r="A367" s="33"/>
      <c r="B367" s="9"/>
      <c r="C367" s="12"/>
      <c r="D367" s="24"/>
      <c r="E367" s="12"/>
      <c r="F367" s="41"/>
      <c r="G367" s="41"/>
      <c r="H367" s="41"/>
      <c r="AG367" s="19">
        <v>366</v>
      </c>
      <c r="AH367" s="20">
        <v>-689.34368298531172</v>
      </c>
    </row>
    <row r="368" spans="1:34" ht="14.5" x14ac:dyDescent="0.35">
      <c r="A368" s="33"/>
      <c r="B368" s="9"/>
      <c r="C368" s="12"/>
      <c r="D368" s="24"/>
      <c r="E368" s="12"/>
      <c r="F368" s="41"/>
      <c r="G368" s="41"/>
      <c r="H368" s="41"/>
      <c r="AG368" s="19">
        <v>367</v>
      </c>
      <c r="AH368" s="20">
        <v>-975.88986537732217</v>
      </c>
    </row>
    <row r="369" spans="1:34" ht="14.5" x14ac:dyDescent="0.35">
      <c r="A369" s="33"/>
      <c r="B369" s="9"/>
      <c r="C369" s="12"/>
      <c r="D369" s="24"/>
      <c r="E369" s="12"/>
      <c r="F369" s="41"/>
      <c r="G369" s="41"/>
      <c r="H369" s="41"/>
      <c r="AG369" s="19">
        <v>368</v>
      </c>
      <c r="AH369" s="20">
        <v>-467.67151397672757</v>
      </c>
    </row>
    <row r="370" spans="1:34" ht="14.5" x14ac:dyDescent="0.35">
      <c r="A370" s="33"/>
      <c r="B370" s="9"/>
      <c r="C370" s="12"/>
      <c r="D370" s="24"/>
      <c r="E370" s="12"/>
      <c r="F370" s="41"/>
      <c r="G370" s="41"/>
      <c r="H370" s="41"/>
      <c r="AG370" s="19">
        <v>369</v>
      </c>
      <c r="AH370" s="20">
        <v>746.38108991755473</v>
      </c>
    </row>
    <row r="371" spans="1:34" ht="14.5" x14ac:dyDescent="0.35">
      <c r="A371" s="33"/>
      <c r="B371" s="9"/>
      <c r="C371" s="12"/>
      <c r="D371" s="24"/>
      <c r="E371" s="12"/>
      <c r="F371" s="41"/>
      <c r="G371" s="41"/>
      <c r="H371" s="41"/>
      <c r="AG371" s="19">
        <v>370</v>
      </c>
      <c r="AH371" s="20">
        <v>378.09534334243904</v>
      </c>
    </row>
    <row r="372" spans="1:34" ht="14.5" x14ac:dyDescent="0.35">
      <c r="A372" s="33"/>
      <c r="B372" s="9"/>
      <c r="C372" s="12"/>
      <c r="D372" s="24"/>
      <c r="E372" s="12"/>
      <c r="F372" s="41"/>
      <c r="G372" s="41"/>
      <c r="H372" s="41"/>
      <c r="AG372" s="19">
        <v>371</v>
      </c>
      <c r="AH372" s="20">
        <v>-1275.5156902800804</v>
      </c>
    </row>
    <row r="373" spans="1:34" ht="14.5" x14ac:dyDescent="0.35">
      <c r="A373" s="33"/>
      <c r="B373" s="9"/>
      <c r="C373" s="12"/>
      <c r="D373" s="24"/>
      <c r="E373" s="12"/>
      <c r="F373" s="41"/>
      <c r="G373" s="41"/>
      <c r="H373" s="41"/>
      <c r="AG373" s="19">
        <v>372</v>
      </c>
      <c r="AH373" s="20">
        <v>1995.0708777276618</v>
      </c>
    </row>
    <row r="374" spans="1:34" ht="14.5" x14ac:dyDescent="0.35">
      <c r="A374" s="33"/>
      <c r="B374" s="9"/>
      <c r="C374" s="12"/>
      <c r="D374" s="24"/>
      <c r="E374" s="12"/>
      <c r="F374" s="41"/>
      <c r="G374" s="41"/>
      <c r="H374" s="41"/>
      <c r="AG374" s="19">
        <v>373</v>
      </c>
      <c r="AH374" s="20">
        <v>916.45206411234108</v>
      </c>
    </row>
    <row r="375" spans="1:34" ht="14.5" x14ac:dyDescent="0.35">
      <c r="A375" s="33"/>
      <c r="B375" s="9"/>
      <c r="C375" s="12"/>
      <c r="D375" s="24"/>
      <c r="E375" s="12"/>
      <c r="F375" s="41"/>
      <c r="G375" s="41"/>
      <c r="H375" s="41"/>
      <c r="AG375" s="19">
        <v>374</v>
      </c>
      <c r="AH375" s="20">
        <v>-2043.320174114486</v>
      </c>
    </row>
    <row r="376" spans="1:34" ht="14.5" x14ac:dyDescent="0.35">
      <c r="A376" s="33"/>
      <c r="B376" s="9"/>
      <c r="C376" s="12"/>
      <c r="D376" s="24"/>
      <c r="E376" s="12"/>
      <c r="F376" s="41"/>
      <c r="G376" s="41"/>
      <c r="H376" s="41"/>
      <c r="AG376" s="19">
        <v>375</v>
      </c>
      <c r="AH376" s="20">
        <v>2541.6832614825357</v>
      </c>
    </row>
    <row r="377" spans="1:34" ht="14.5" x14ac:dyDescent="0.35">
      <c r="A377" s="33"/>
      <c r="B377" s="9"/>
      <c r="C377" s="12"/>
      <c r="D377" s="24"/>
      <c r="E377" s="12"/>
      <c r="F377" s="41"/>
      <c r="G377" s="41"/>
      <c r="H377" s="41"/>
      <c r="AG377" s="19">
        <v>376</v>
      </c>
      <c r="AH377" s="20">
        <v>2574.0481631568473</v>
      </c>
    </row>
    <row r="378" spans="1:34" ht="14.5" x14ac:dyDescent="0.35">
      <c r="A378" s="33"/>
      <c r="B378" s="9"/>
      <c r="C378" s="12"/>
      <c r="D378" s="24"/>
      <c r="E378" s="12"/>
      <c r="F378" s="41"/>
      <c r="G378" s="41"/>
      <c r="H378" s="41"/>
      <c r="AG378" s="19">
        <v>377</v>
      </c>
      <c r="AH378" s="20">
        <v>-4251.9473978605492</v>
      </c>
    </row>
    <row r="379" spans="1:34" ht="14.5" x14ac:dyDescent="0.35">
      <c r="A379" s="33"/>
      <c r="B379" s="9"/>
      <c r="C379" s="12"/>
      <c r="D379" s="24"/>
      <c r="E379" s="12"/>
      <c r="F379" s="41"/>
      <c r="G379" s="41"/>
      <c r="H379" s="41"/>
      <c r="AG379" s="19">
        <v>378</v>
      </c>
      <c r="AH379" s="20">
        <v>2188.7545550311029</v>
      </c>
    </row>
    <row r="380" spans="1:34" ht="14.5" x14ac:dyDescent="0.35">
      <c r="A380" s="33"/>
      <c r="B380" s="9"/>
      <c r="C380" s="12"/>
      <c r="D380" s="24"/>
      <c r="E380" s="12"/>
      <c r="F380" s="41"/>
      <c r="G380" s="41"/>
      <c r="H380" s="41"/>
      <c r="AG380" s="19">
        <v>379</v>
      </c>
      <c r="AH380" s="20">
        <v>403.1095476429096</v>
      </c>
    </row>
    <row r="381" spans="1:34" ht="14.5" x14ac:dyDescent="0.35">
      <c r="A381" s="33"/>
      <c r="B381" s="9"/>
      <c r="C381" s="12"/>
      <c r="D381" s="24"/>
      <c r="E381" s="12"/>
      <c r="F381" s="41"/>
      <c r="G381" s="41"/>
      <c r="H381" s="41"/>
      <c r="AG381" s="19">
        <v>380</v>
      </c>
      <c r="AH381" s="20">
        <v>735.36696894259876</v>
      </c>
    </row>
    <row r="382" spans="1:34" ht="14.5" x14ac:dyDescent="0.35">
      <c r="A382" s="33"/>
      <c r="B382" s="9"/>
      <c r="C382" s="12"/>
      <c r="D382" s="24"/>
      <c r="E382" s="12"/>
      <c r="F382" s="41"/>
      <c r="G382" s="41"/>
      <c r="H382" s="41"/>
      <c r="AG382" s="19">
        <v>381</v>
      </c>
      <c r="AH382" s="20">
        <v>33.259996586640852</v>
      </c>
    </row>
    <row r="383" spans="1:34" ht="14.5" x14ac:dyDescent="0.35">
      <c r="A383" s="33"/>
      <c r="B383" s="9"/>
      <c r="C383" s="12"/>
      <c r="D383" s="24"/>
      <c r="E383" s="12"/>
      <c r="F383" s="41"/>
      <c r="G383" s="41"/>
      <c r="H383" s="41"/>
      <c r="AG383" s="19">
        <v>382</v>
      </c>
      <c r="AH383" s="20">
        <v>2602.5621629968159</v>
      </c>
    </row>
    <row r="384" spans="1:34" ht="14.5" x14ac:dyDescent="0.35">
      <c r="A384" s="33"/>
      <c r="B384" s="9"/>
      <c r="C384" s="12"/>
      <c r="D384" s="24"/>
      <c r="E384" s="12"/>
      <c r="F384" s="41"/>
      <c r="G384" s="41"/>
      <c r="H384" s="41"/>
      <c r="AG384" s="19">
        <v>383</v>
      </c>
      <c r="AH384" s="20">
        <v>-2026.5393180725475</v>
      </c>
    </row>
    <row r="385" spans="1:34" ht="14.5" x14ac:dyDescent="0.35">
      <c r="A385" s="33"/>
      <c r="B385" s="9"/>
      <c r="C385" s="12"/>
      <c r="D385" s="24"/>
      <c r="E385" s="12"/>
      <c r="F385" s="41"/>
      <c r="G385" s="41"/>
      <c r="H385" s="41"/>
      <c r="AG385" s="19">
        <v>384</v>
      </c>
      <c r="AH385" s="20">
        <v>-1581.6486500630492</v>
      </c>
    </row>
    <row r="386" spans="1:34" ht="14.5" x14ac:dyDescent="0.35">
      <c r="A386" s="33"/>
      <c r="B386" s="9"/>
      <c r="C386" s="12"/>
      <c r="D386" s="24"/>
      <c r="E386" s="12"/>
      <c r="F386" s="41"/>
      <c r="G386" s="41"/>
      <c r="H386" s="41"/>
      <c r="AG386" s="19">
        <v>385</v>
      </c>
      <c r="AH386" s="20">
        <v>818.12312098700727</v>
      </c>
    </row>
    <row r="387" spans="1:34" ht="14.5" x14ac:dyDescent="0.35">
      <c r="A387" s="33"/>
      <c r="B387" s="9"/>
      <c r="C387" s="12"/>
      <c r="D387" s="24"/>
      <c r="E387" s="12"/>
      <c r="F387" s="41"/>
      <c r="G387" s="41"/>
      <c r="H387" s="41"/>
      <c r="AG387" s="19">
        <v>386</v>
      </c>
      <c r="AH387" s="20">
        <v>3205.0230913072769</v>
      </c>
    </row>
    <row r="388" spans="1:34" ht="14.5" x14ac:dyDescent="0.35">
      <c r="A388" s="33"/>
      <c r="B388" s="9"/>
      <c r="C388" s="12"/>
      <c r="D388" s="24"/>
      <c r="E388" s="12"/>
      <c r="F388" s="41"/>
      <c r="G388" s="41"/>
      <c r="H388" s="41"/>
      <c r="AG388" s="19">
        <v>387</v>
      </c>
      <c r="AH388" s="20">
        <v>-685.34414184555635</v>
      </c>
    </row>
    <row r="389" spans="1:34" ht="14.5" x14ac:dyDescent="0.35">
      <c r="A389" s="33"/>
      <c r="B389" s="9"/>
      <c r="C389" s="12"/>
      <c r="D389" s="24"/>
      <c r="E389" s="12"/>
      <c r="F389" s="41"/>
      <c r="G389" s="41"/>
      <c r="H389" s="41"/>
      <c r="AG389" s="19">
        <v>388</v>
      </c>
      <c r="AH389" s="20">
        <v>2956.4491340764826</v>
      </c>
    </row>
    <row r="390" spans="1:34" ht="14.5" x14ac:dyDescent="0.35">
      <c r="A390" s="33"/>
      <c r="B390" s="9"/>
      <c r="C390" s="12"/>
      <c r="D390" s="24"/>
      <c r="E390" s="12"/>
      <c r="F390" s="41"/>
      <c r="G390" s="41"/>
      <c r="H390" s="41"/>
      <c r="AG390" s="19">
        <v>389</v>
      </c>
      <c r="AH390" s="20">
        <v>-495.20034858101604</v>
      </c>
    </row>
    <row r="391" spans="1:34" ht="14.5" x14ac:dyDescent="0.35">
      <c r="A391" s="33"/>
      <c r="B391" s="9"/>
      <c r="C391" s="12"/>
      <c r="D391" s="24"/>
      <c r="E391" s="12"/>
      <c r="F391" s="41"/>
      <c r="G391" s="41"/>
      <c r="H391" s="41"/>
      <c r="AG391" s="19">
        <v>390</v>
      </c>
      <c r="AH391" s="20">
        <v>-1468.7908236476601</v>
      </c>
    </row>
    <row r="392" spans="1:34" ht="14.5" x14ac:dyDescent="0.35">
      <c r="A392" s="33"/>
      <c r="B392" s="9"/>
      <c r="C392" s="12"/>
      <c r="D392" s="24"/>
      <c r="E392" s="12"/>
      <c r="F392" s="41"/>
      <c r="G392" s="41"/>
      <c r="H392" s="41"/>
      <c r="AG392" s="19">
        <v>391</v>
      </c>
      <c r="AH392" s="20">
        <v>-2815.1239464220016</v>
      </c>
    </row>
    <row r="393" spans="1:34" ht="14.5" x14ac:dyDescent="0.35">
      <c r="A393" s="33"/>
      <c r="B393" s="9"/>
      <c r="C393" s="12"/>
      <c r="D393" s="24"/>
      <c r="E393" s="12"/>
      <c r="F393" s="41"/>
      <c r="G393" s="41"/>
      <c r="H393" s="41"/>
      <c r="AG393" s="19">
        <v>392</v>
      </c>
      <c r="AH393" s="20">
        <v>1560.3157642984397</v>
      </c>
    </row>
    <row r="394" spans="1:34" ht="14.5" x14ac:dyDescent="0.35">
      <c r="A394" s="33"/>
      <c r="B394" s="9"/>
      <c r="C394" s="12"/>
      <c r="D394" s="24"/>
      <c r="E394" s="12"/>
      <c r="F394" s="41"/>
      <c r="G394" s="41"/>
      <c r="H394" s="41"/>
      <c r="AG394" s="19">
        <v>393</v>
      </c>
      <c r="AH394" s="20">
        <v>-26.264683649290816</v>
      </c>
    </row>
    <row r="395" spans="1:34" ht="14.5" x14ac:dyDescent="0.35">
      <c r="A395" s="33"/>
      <c r="B395" s="9"/>
      <c r="C395" s="12"/>
      <c r="D395" s="24"/>
      <c r="E395" s="12"/>
      <c r="F395" s="41"/>
      <c r="G395" s="41"/>
      <c r="H395" s="41"/>
      <c r="AG395" s="19">
        <v>394</v>
      </c>
      <c r="AH395" s="20">
        <v>2779.4627862268817</v>
      </c>
    </row>
    <row r="396" spans="1:34" ht="14.5" x14ac:dyDescent="0.35">
      <c r="A396" s="33"/>
      <c r="B396" s="9"/>
      <c r="C396" s="12"/>
      <c r="D396" s="24"/>
      <c r="E396" s="12"/>
      <c r="F396" s="41"/>
      <c r="G396" s="41"/>
      <c r="H396" s="41"/>
      <c r="AG396" s="19">
        <v>395</v>
      </c>
      <c r="AH396" s="20">
        <v>-865.28537546668394</v>
      </c>
    </row>
    <row r="397" spans="1:34" ht="14.5" x14ac:dyDescent="0.35">
      <c r="A397" s="33"/>
      <c r="B397" s="9"/>
      <c r="C397" s="12"/>
      <c r="D397" s="24"/>
      <c r="E397" s="12"/>
      <c r="F397" s="41"/>
      <c r="G397" s="41"/>
      <c r="H397" s="41"/>
      <c r="AG397" s="19">
        <v>396</v>
      </c>
      <c r="AH397" s="20">
        <v>-683.49396161824438</v>
      </c>
    </row>
    <row r="398" spans="1:34" ht="14.5" x14ac:dyDescent="0.35">
      <c r="A398" s="33"/>
      <c r="B398" s="9"/>
      <c r="C398" s="12"/>
      <c r="D398" s="24"/>
      <c r="E398" s="12"/>
      <c r="F398" s="41"/>
      <c r="G398" s="41"/>
      <c r="H398" s="41"/>
      <c r="AG398" s="19">
        <v>397</v>
      </c>
      <c r="AH398" s="20">
        <v>341.69624670635716</v>
      </c>
    </row>
    <row r="399" spans="1:34" ht="14.5" x14ac:dyDescent="0.35">
      <c r="A399" s="33"/>
      <c r="B399" s="9"/>
      <c r="C399" s="12"/>
      <c r="D399" s="24"/>
      <c r="E399" s="12"/>
      <c r="F399" s="41"/>
      <c r="G399" s="41"/>
      <c r="H399" s="41"/>
      <c r="AG399" s="19">
        <v>398</v>
      </c>
      <c r="AH399" s="20">
        <v>2109.319252648615</v>
      </c>
    </row>
    <row r="400" spans="1:34" ht="14.5" x14ac:dyDescent="0.35">
      <c r="A400" s="33"/>
      <c r="B400" s="9"/>
      <c r="C400" s="12"/>
      <c r="D400" s="24"/>
      <c r="E400" s="12"/>
      <c r="F400" s="41"/>
      <c r="G400" s="41"/>
      <c r="H400" s="41"/>
      <c r="AG400" s="19">
        <v>399</v>
      </c>
      <c r="AH400" s="20">
        <v>-195.04718383904009</v>
      </c>
    </row>
    <row r="401" spans="1:34" ht="14.5" x14ac:dyDescent="0.35">
      <c r="A401" s="33"/>
      <c r="B401" s="9"/>
      <c r="C401" s="12"/>
      <c r="D401" s="24"/>
      <c r="E401" s="12"/>
      <c r="F401" s="41"/>
      <c r="G401" s="41"/>
      <c r="H401" s="41"/>
      <c r="AG401" s="19">
        <v>400</v>
      </c>
      <c r="AH401" s="20">
        <v>-2227.7643637966653</v>
      </c>
    </row>
    <row r="402" spans="1:34" ht="14.5" x14ac:dyDescent="0.35">
      <c r="A402" s="33"/>
      <c r="B402" s="9"/>
      <c r="C402" s="12"/>
      <c r="D402" s="24"/>
      <c r="E402" s="12"/>
      <c r="F402" s="41"/>
      <c r="G402" s="41"/>
      <c r="H402" s="41"/>
      <c r="AG402" s="19">
        <v>401</v>
      </c>
      <c r="AH402" s="20">
        <v>1822.2975734883926</v>
      </c>
    </row>
    <row r="403" spans="1:34" ht="14.5" x14ac:dyDescent="0.35">
      <c r="A403" s="33"/>
      <c r="B403" s="9"/>
      <c r="C403" s="12"/>
      <c r="D403" s="24"/>
      <c r="E403" s="12"/>
      <c r="F403" s="41"/>
      <c r="G403" s="41"/>
      <c r="H403" s="41"/>
      <c r="AG403" s="19">
        <v>402</v>
      </c>
      <c r="AH403" s="20">
        <v>-1529.2589891498692</v>
      </c>
    </row>
    <row r="404" spans="1:34" ht="14.5" x14ac:dyDescent="0.35">
      <c r="A404" s="33"/>
      <c r="B404" s="9"/>
      <c r="C404" s="12"/>
      <c r="D404" s="24"/>
      <c r="E404" s="12"/>
      <c r="F404" s="41"/>
      <c r="G404" s="41"/>
      <c r="H404" s="41"/>
      <c r="AG404" s="19">
        <v>403</v>
      </c>
      <c r="AH404" s="20">
        <v>26.131828104113481</v>
      </c>
    </row>
    <row r="405" spans="1:34" ht="14.5" x14ac:dyDescent="0.35">
      <c r="A405" s="33"/>
      <c r="B405" s="9"/>
      <c r="C405" s="12"/>
      <c r="D405" s="24"/>
      <c r="E405" s="12"/>
      <c r="F405" s="41"/>
      <c r="G405" s="41"/>
      <c r="H405" s="41"/>
      <c r="AG405" s="19">
        <v>404</v>
      </c>
      <c r="AH405" s="20">
        <v>608.79184569708218</v>
      </c>
    </row>
    <row r="406" spans="1:34" ht="14.5" x14ac:dyDescent="0.35">
      <c r="A406" s="33"/>
      <c r="B406" s="9"/>
      <c r="C406" s="12"/>
      <c r="D406" s="24"/>
      <c r="E406" s="12"/>
      <c r="F406" s="41"/>
      <c r="G406" s="41"/>
      <c r="H406" s="41"/>
      <c r="AG406" s="19">
        <v>405</v>
      </c>
      <c r="AH406" s="20">
        <v>-1446.7747389101239</v>
      </c>
    </row>
    <row r="407" spans="1:34" ht="14.5" x14ac:dyDescent="0.35">
      <c r="A407" s="33"/>
      <c r="B407" s="9"/>
      <c r="C407" s="12"/>
      <c r="D407" s="24"/>
      <c r="E407" s="12"/>
      <c r="F407" s="41"/>
      <c r="G407" s="41"/>
      <c r="H407" s="41"/>
      <c r="AG407" s="19">
        <v>406</v>
      </c>
      <c r="AH407" s="20">
        <v>-776.08239527191608</v>
      </c>
    </row>
    <row r="408" spans="1:34" ht="14.5" x14ac:dyDescent="0.35">
      <c r="A408" s="33"/>
      <c r="B408" s="9"/>
      <c r="C408" s="12"/>
      <c r="D408" s="24"/>
      <c r="E408" s="12"/>
      <c r="F408" s="41"/>
      <c r="G408" s="41"/>
      <c r="H408" s="41"/>
      <c r="AG408" s="19">
        <v>407</v>
      </c>
      <c r="AH408" s="20">
        <v>417.12041261208549</v>
      </c>
    </row>
    <row r="409" spans="1:34" ht="14.5" x14ac:dyDescent="0.35">
      <c r="A409" s="33"/>
      <c r="B409" s="9"/>
      <c r="C409" s="12"/>
      <c r="D409" s="24"/>
      <c r="E409" s="12"/>
      <c r="F409" s="41"/>
      <c r="G409" s="41"/>
      <c r="H409" s="41"/>
      <c r="AG409" s="19">
        <v>408</v>
      </c>
      <c r="AH409" s="20">
        <v>2708.8936060699593</v>
      </c>
    </row>
    <row r="410" spans="1:34" ht="14.5" x14ac:dyDescent="0.35">
      <c r="A410" s="33"/>
      <c r="B410" s="9"/>
      <c r="C410" s="12"/>
      <c r="D410" s="24"/>
      <c r="E410" s="12"/>
      <c r="F410" s="41"/>
      <c r="G410" s="41"/>
      <c r="H410" s="41"/>
      <c r="AG410" s="19">
        <v>409</v>
      </c>
      <c r="AH410" s="20">
        <v>1761.92882927797</v>
      </c>
    </row>
    <row r="411" spans="1:34" ht="14.5" x14ac:dyDescent="0.35">
      <c r="A411" s="33"/>
      <c r="B411" s="9"/>
      <c r="C411" s="12"/>
      <c r="D411" s="24"/>
      <c r="E411" s="12"/>
      <c r="F411" s="41"/>
      <c r="G411" s="41"/>
      <c r="H411" s="41"/>
      <c r="AG411" s="19">
        <v>410</v>
      </c>
      <c r="AH411" s="20">
        <v>-427.02534957941128</v>
      </c>
    </row>
    <row r="412" spans="1:34" ht="14.5" x14ac:dyDescent="0.35">
      <c r="A412" s="33"/>
      <c r="B412" s="9"/>
      <c r="C412" s="12"/>
      <c r="D412" s="24"/>
      <c r="E412" s="12"/>
      <c r="F412" s="41"/>
      <c r="G412" s="41"/>
      <c r="H412" s="41"/>
      <c r="AG412" s="19">
        <v>411</v>
      </c>
      <c r="AH412" s="20">
        <v>-1233.5129458873773</v>
      </c>
    </row>
    <row r="413" spans="1:34" ht="14.5" x14ac:dyDescent="0.35">
      <c r="A413" s="33"/>
      <c r="B413" s="9"/>
      <c r="C413" s="12"/>
      <c r="D413" s="24"/>
      <c r="E413" s="12"/>
      <c r="F413" s="41"/>
      <c r="G413" s="41"/>
      <c r="H413" s="41"/>
      <c r="AG413" s="19">
        <v>412</v>
      </c>
      <c r="AH413" s="20">
        <v>-1031.9933669288791</v>
      </c>
    </row>
    <row r="414" spans="1:34" ht="14.5" x14ac:dyDescent="0.35">
      <c r="A414" s="33"/>
      <c r="B414" s="9"/>
      <c r="C414" s="12"/>
      <c r="D414" s="24"/>
      <c r="E414" s="12"/>
      <c r="F414" s="41"/>
      <c r="G414" s="41"/>
      <c r="H414" s="41"/>
      <c r="AG414" s="19">
        <v>413</v>
      </c>
      <c r="AH414" s="20">
        <v>1309.7489638563486</v>
      </c>
    </row>
    <row r="415" spans="1:34" ht="14.5" x14ac:dyDescent="0.35">
      <c r="A415" s="33"/>
      <c r="B415" s="9"/>
      <c r="C415" s="12"/>
      <c r="D415" s="24"/>
      <c r="E415" s="12"/>
      <c r="F415" s="41"/>
      <c r="G415" s="41"/>
      <c r="H415" s="41"/>
      <c r="AG415" s="19">
        <v>414</v>
      </c>
      <c r="AH415" s="20">
        <v>498.11041329502291</v>
      </c>
    </row>
    <row r="416" spans="1:34" ht="14.5" x14ac:dyDescent="0.35">
      <c r="A416" s="33"/>
      <c r="B416" s="9"/>
      <c r="C416" s="12"/>
      <c r="D416" s="24"/>
      <c r="E416" s="12"/>
      <c r="F416" s="41"/>
      <c r="G416" s="41"/>
      <c r="H416" s="41"/>
      <c r="AG416" s="19">
        <v>415</v>
      </c>
      <c r="AH416" s="20">
        <v>-4212.6119167860315</v>
      </c>
    </row>
    <row r="417" spans="1:34" ht="14.5" x14ac:dyDescent="0.35">
      <c r="A417" s="33"/>
      <c r="B417" s="9"/>
      <c r="C417" s="12"/>
      <c r="D417" s="24"/>
      <c r="E417" s="12"/>
      <c r="F417" s="41"/>
      <c r="G417" s="41"/>
      <c r="H417" s="41"/>
      <c r="AG417" s="19">
        <v>416</v>
      </c>
      <c r="AH417" s="20">
        <v>1514.7815515362311</v>
      </c>
    </row>
    <row r="418" spans="1:34" ht="14.5" x14ac:dyDescent="0.35">
      <c r="A418" s="33"/>
      <c r="B418" s="9"/>
      <c r="C418" s="12"/>
      <c r="D418" s="24"/>
      <c r="E418" s="12"/>
      <c r="F418" s="41"/>
      <c r="G418" s="41"/>
      <c r="H418" s="41"/>
      <c r="AG418" s="19">
        <v>417</v>
      </c>
      <c r="AH418" s="20">
        <v>-336.19587808450757</v>
      </c>
    </row>
    <row r="419" spans="1:34" ht="14.5" x14ac:dyDescent="0.35">
      <c r="A419" s="33"/>
      <c r="B419" s="9"/>
      <c r="C419" s="12"/>
      <c r="D419" s="24"/>
      <c r="E419" s="12"/>
      <c r="F419" s="41"/>
      <c r="G419" s="41"/>
      <c r="H419" s="41"/>
      <c r="AG419" s="19">
        <v>418</v>
      </c>
      <c r="AH419" s="20">
        <v>2828.1953939104301</v>
      </c>
    </row>
    <row r="420" spans="1:34" ht="14.5" x14ac:dyDescent="0.35">
      <c r="A420" s="33"/>
      <c r="B420" s="9"/>
      <c r="C420" s="12"/>
      <c r="D420" s="24"/>
      <c r="E420" s="12"/>
      <c r="F420" s="41"/>
      <c r="G420" s="41"/>
      <c r="H420" s="41"/>
      <c r="AG420" s="19">
        <v>419</v>
      </c>
      <c r="AH420" s="20">
        <v>1857.0896131745212</v>
      </c>
    </row>
    <row r="421" spans="1:34" ht="14.5" x14ac:dyDescent="0.35">
      <c r="A421" s="33"/>
      <c r="B421" s="9"/>
      <c r="C421" s="12"/>
      <c r="D421" s="24"/>
      <c r="E421" s="12"/>
      <c r="F421" s="41"/>
      <c r="G421" s="41"/>
      <c r="H421" s="41"/>
      <c r="AG421" s="19">
        <v>420</v>
      </c>
      <c r="AH421" s="20">
        <v>-2572.6072500119831</v>
      </c>
    </row>
    <row r="422" spans="1:34" ht="14.5" x14ac:dyDescent="0.35">
      <c r="A422" s="33"/>
      <c r="B422" s="9"/>
      <c r="C422" s="12"/>
      <c r="D422" s="24"/>
      <c r="E422" s="12"/>
      <c r="F422" s="41"/>
      <c r="G422" s="41"/>
      <c r="H422" s="41"/>
      <c r="AG422" s="19">
        <v>421</v>
      </c>
      <c r="AH422" s="20">
        <v>-1555.763474015655</v>
      </c>
    </row>
    <row r="423" spans="1:34" ht="14.5" x14ac:dyDescent="0.35">
      <c r="A423" s="33"/>
      <c r="B423" s="9"/>
      <c r="C423" s="12"/>
      <c r="D423" s="24"/>
      <c r="E423" s="12"/>
      <c r="F423" s="41"/>
      <c r="G423" s="41"/>
      <c r="H423" s="41"/>
      <c r="AG423" s="19">
        <v>422</v>
      </c>
      <c r="AH423" s="20">
        <v>3387.943491050366</v>
      </c>
    </row>
    <row r="424" spans="1:34" ht="14.5" x14ac:dyDescent="0.35">
      <c r="A424" s="33"/>
      <c r="B424" s="9"/>
      <c r="C424" s="12"/>
      <c r="D424" s="24"/>
      <c r="E424" s="12"/>
      <c r="F424" s="41"/>
      <c r="G424" s="41"/>
      <c r="H424" s="41"/>
      <c r="AG424" s="19">
        <v>423</v>
      </c>
      <c r="AH424" s="20">
        <v>1185.3056044089467</v>
      </c>
    </row>
    <row r="425" spans="1:34" ht="14.5" x14ac:dyDescent="0.35">
      <c r="A425" s="33"/>
      <c r="B425" s="9"/>
      <c r="C425" s="12"/>
      <c r="D425" s="24"/>
      <c r="E425" s="12"/>
      <c r="F425" s="41"/>
      <c r="G425" s="41"/>
      <c r="H425" s="41"/>
      <c r="AG425" s="19">
        <v>424</v>
      </c>
      <c r="AH425" s="20">
        <v>-1230.3038524604888</v>
      </c>
    </row>
    <row r="426" spans="1:34" ht="14.5" x14ac:dyDescent="0.35">
      <c r="A426" s="33"/>
      <c r="B426" s="9"/>
      <c r="C426" s="12"/>
      <c r="D426" s="24"/>
      <c r="E426" s="12"/>
      <c r="F426" s="41"/>
      <c r="G426" s="41"/>
      <c r="H426" s="41"/>
      <c r="AG426" s="19">
        <v>425</v>
      </c>
      <c r="AH426" s="20">
        <v>169.34720827244436</v>
      </c>
    </row>
    <row r="427" spans="1:34" ht="14.5" x14ac:dyDescent="0.35">
      <c r="A427" s="33"/>
      <c r="B427" s="9"/>
      <c r="C427" s="12"/>
      <c r="D427" s="24"/>
      <c r="E427" s="12"/>
      <c r="F427" s="41"/>
      <c r="G427" s="41"/>
      <c r="H427" s="41"/>
      <c r="AG427" s="19">
        <v>426</v>
      </c>
      <c r="AH427" s="20">
        <v>-1474.7690773700174</v>
      </c>
    </row>
    <row r="428" spans="1:34" ht="14.5" x14ac:dyDescent="0.35">
      <c r="A428" s="33"/>
      <c r="B428" s="9"/>
      <c r="C428" s="12"/>
      <c r="D428" s="24"/>
      <c r="E428" s="12"/>
      <c r="F428" s="41"/>
      <c r="G428" s="41"/>
      <c r="H428" s="41"/>
      <c r="AG428" s="19">
        <v>427</v>
      </c>
      <c r="AH428" s="20">
        <v>1766.7949357945229</v>
      </c>
    </row>
    <row r="429" spans="1:34" ht="14.5" x14ac:dyDescent="0.35">
      <c r="A429" s="33"/>
      <c r="B429" s="9"/>
      <c r="C429" s="12"/>
      <c r="D429" s="24"/>
      <c r="E429" s="12"/>
      <c r="F429" s="41"/>
      <c r="G429" s="41"/>
      <c r="H429" s="41"/>
      <c r="AG429" s="19">
        <v>428</v>
      </c>
      <c r="AH429" s="20">
        <v>2275.9418283506834</v>
      </c>
    </row>
    <row r="430" spans="1:34" ht="14.5" x14ac:dyDescent="0.35">
      <c r="A430" s="33"/>
      <c r="B430" s="9"/>
      <c r="C430" s="12"/>
      <c r="D430" s="24"/>
      <c r="E430" s="12"/>
      <c r="F430" s="41"/>
      <c r="G430" s="41"/>
      <c r="H430" s="41"/>
      <c r="AG430" s="19">
        <v>429</v>
      </c>
      <c r="AH430" s="20">
        <v>1177.5017535405154</v>
      </c>
    </row>
    <row r="431" spans="1:34" ht="14.5" x14ac:dyDescent="0.35">
      <c r="A431" s="33"/>
      <c r="B431" s="9"/>
      <c r="C431" s="12"/>
      <c r="D431" s="24"/>
      <c r="E431" s="12"/>
      <c r="F431" s="41"/>
      <c r="G431" s="41"/>
      <c r="H431" s="41"/>
      <c r="AG431" s="19">
        <v>430</v>
      </c>
      <c r="AH431" s="20">
        <v>-2744.6392551008448</v>
      </c>
    </row>
    <row r="432" spans="1:34" ht="14.5" x14ac:dyDescent="0.35">
      <c r="A432" s="33"/>
      <c r="B432" s="9"/>
      <c r="C432" s="12"/>
      <c r="D432" s="24"/>
      <c r="E432" s="12"/>
      <c r="F432" s="41"/>
      <c r="G432" s="41"/>
      <c r="H432" s="41"/>
      <c r="AG432" s="19">
        <v>431</v>
      </c>
      <c r="AH432" s="20">
        <v>-719.38117343021008</v>
      </c>
    </row>
    <row r="433" spans="1:34" ht="14.5" x14ac:dyDescent="0.35">
      <c r="A433" s="33"/>
      <c r="B433" s="9"/>
      <c r="C433" s="12"/>
      <c r="D433" s="24"/>
      <c r="E433" s="12"/>
      <c r="F433" s="41"/>
      <c r="G433" s="41"/>
      <c r="H433" s="41"/>
      <c r="AG433" s="19">
        <v>432</v>
      </c>
      <c r="AH433" s="20">
        <v>2847.5108963212201</v>
      </c>
    </row>
    <row r="434" spans="1:34" ht="14.5" x14ac:dyDescent="0.35">
      <c r="A434" s="33"/>
      <c r="B434" s="9"/>
      <c r="C434" s="12"/>
      <c r="D434" s="24"/>
      <c r="E434" s="12"/>
      <c r="F434" s="41"/>
      <c r="G434" s="41"/>
      <c r="H434" s="41"/>
      <c r="AG434" s="19">
        <v>433</v>
      </c>
      <c r="AH434" s="20">
        <v>-2061.9963030923809</v>
      </c>
    </row>
    <row r="435" spans="1:34" ht="14.5" x14ac:dyDescent="0.35">
      <c r="A435" s="33"/>
      <c r="B435" s="9"/>
      <c r="C435" s="12"/>
      <c r="D435" s="24"/>
      <c r="E435" s="12"/>
      <c r="F435" s="41"/>
      <c r="G435" s="41"/>
      <c r="H435" s="41"/>
      <c r="AG435" s="19">
        <v>434</v>
      </c>
      <c r="AH435" s="20">
        <v>-4137.3086242922673</v>
      </c>
    </row>
    <row r="436" spans="1:34" ht="14.5" x14ac:dyDescent="0.35">
      <c r="A436" s="33"/>
      <c r="B436" s="9"/>
      <c r="C436" s="12"/>
      <c r="D436" s="24"/>
      <c r="E436" s="12"/>
      <c r="F436" s="41"/>
      <c r="G436" s="41"/>
      <c r="H436" s="41"/>
      <c r="AG436" s="19">
        <v>435</v>
      </c>
      <c r="AH436" s="20">
        <v>2932.3195426554284</v>
      </c>
    </row>
    <row r="437" spans="1:34" ht="14.5" x14ac:dyDescent="0.35">
      <c r="A437" s="33"/>
      <c r="B437" s="9"/>
      <c r="C437" s="12"/>
      <c r="D437" s="24"/>
      <c r="E437" s="12"/>
      <c r="F437" s="41"/>
      <c r="G437" s="41"/>
      <c r="H437" s="41"/>
      <c r="AG437" s="19">
        <v>436</v>
      </c>
      <c r="AH437" s="20">
        <v>2962.321835384419</v>
      </c>
    </row>
    <row r="438" spans="1:34" ht="14.5" x14ac:dyDescent="0.35">
      <c r="A438" s="33"/>
      <c r="B438" s="9"/>
      <c r="C438" s="12"/>
      <c r="D438" s="24"/>
      <c r="E438" s="12"/>
      <c r="F438" s="41"/>
      <c r="G438" s="41"/>
      <c r="H438" s="41"/>
      <c r="AG438" s="19">
        <v>437</v>
      </c>
      <c r="AH438" s="20">
        <v>524.37258815842188</v>
      </c>
    </row>
    <row r="439" spans="1:34" ht="14.5" x14ac:dyDescent="0.35">
      <c r="A439" s="33"/>
      <c r="B439" s="9"/>
      <c r="C439" s="12"/>
      <c r="D439" s="24"/>
      <c r="E439" s="12"/>
      <c r="F439" s="41"/>
      <c r="G439" s="41"/>
      <c r="H439" s="41"/>
      <c r="AG439" s="19">
        <v>438</v>
      </c>
      <c r="AH439" s="20">
        <v>1139.0710530682204</v>
      </c>
    </row>
    <row r="440" spans="1:34" ht="14.5" x14ac:dyDescent="0.35">
      <c r="A440" s="33"/>
      <c r="B440" s="9"/>
      <c r="C440" s="12"/>
      <c r="D440" s="24"/>
      <c r="E440" s="12"/>
      <c r="F440" s="41"/>
      <c r="G440" s="41"/>
      <c r="H440" s="41"/>
      <c r="AG440" s="19">
        <v>439</v>
      </c>
      <c r="AH440" s="20">
        <v>-172.29982924815425</v>
      </c>
    </row>
    <row r="441" spans="1:34" ht="14.5" x14ac:dyDescent="0.35">
      <c r="A441" s="33"/>
      <c r="B441" s="9"/>
      <c r="C441" s="12"/>
      <c r="D441" s="24"/>
      <c r="E441" s="12"/>
      <c r="F441" s="41"/>
      <c r="G441" s="41"/>
      <c r="H441" s="41"/>
      <c r="AG441" s="19">
        <v>440</v>
      </c>
      <c r="AH441" s="20">
        <v>-3557.2689925235354</v>
      </c>
    </row>
    <row r="442" spans="1:34" ht="14.5" x14ac:dyDescent="0.35">
      <c r="A442" s="33"/>
      <c r="B442" s="9"/>
      <c r="C442" s="12"/>
      <c r="D442" s="24"/>
      <c r="E442" s="12"/>
      <c r="F442" s="41"/>
      <c r="G442" s="41"/>
      <c r="H442" s="41"/>
      <c r="AG442" s="19">
        <v>441</v>
      </c>
      <c r="AH442" s="20">
        <v>-1249.7967938718473</v>
      </c>
    </row>
    <row r="443" spans="1:34" ht="14.5" x14ac:dyDescent="0.35">
      <c r="A443" s="33"/>
      <c r="B443" s="9"/>
      <c r="C443" s="12"/>
      <c r="D443" s="24"/>
      <c r="E443" s="12"/>
      <c r="F443" s="41"/>
      <c r="G443" s="41"/>
      <c r="H443" s="41"/>
      <c r="AG443" s="19">
        <v>442</v>
      </c>
      <c r="AH443" s="20">
        <v>-338.39958021000388</v>
      </c>
    </row>
    <row r="444" spans="1:34" ht="14.5" x14ac:dyDescent="0.35">
      <c r="A444" s="33"/>
      <c r="B444" s="9"/>
      <c r="C444" s="12"/>
      <c r="D444" s="24"/>
      <c r="E444" s="12"/>
      <c r="F444" s="41"/>
      <c r="G444" s="41"/>
      <c r="H444" s="41"/>
      <c r="AG444" s="19">
        <v>443</v>
      </c>
      <c r="AH444" s="20">
        <v>-875.14065751633643</v>
      </c>
    </row>
    <row r="445" spans="1:34" ht="14.5" x14ac:dyDescent="0.35">
      <c r="A445" s="33"/>
      <c r="B445" s="9"/>
      <c r="C445" s="12"/>
      <c r="D445" s="24"/>
      <c r="E445" s="12"/>
      <c r="F445" s="41"/>
      <c r="G445" s="41"/>
      <c r="H445" s="41"/>
      <c r="AG445" s="19">
        <v>444</v>
      </c>
      <c r="AH445" s="20">
        <v>-322.36480801112583</v>
      </c>
    </row>
    <row r="446" spans="1:34" ht="14.5" x14ac:dyDescent="0.35">
      <c r="A446" s="33"/>
      <c r="B446" s="9"/>
      <c r="C446" s="12"/>
      <c r="D446" s="24"/>
      <c r="E446" s="12"/>
      <c r="F446" s="41"/>
      <c r="G446" s="41"/>
      <c r="H446" s="41"/>
      <c r="AG446" s="19">
        <v>445</v>
      </c>
      <c r="AH446" s="20">
        <v>1056.9279955085883</v>
      </c>
    </row>
    <row r="447" spans="1:34" ht="14.5" x14ac:dyDescent="0.35">
      <c r="A447" s="33"/>
      <c r="B447" s="9"/>
      <c r="C447" s="12"/>
      <c r="D447" s="24"/>
      <c r="E447" s="12"/>
      <c r="F447" s="41"/>
      <c r="G447" s="41"/>
      <c r="H447" s="41"/>
      <c r="AG447" s="19">
        <v>446</v>
      </c>
      <c r="AH447" s="20">
        <v>-1962.7745919704664</v>
      </c>
    </row>
    <row r="448" spans="1:34" ht="14.5" x14ac:dyDescent="0.35">
      <c r="A448" s="33"/>
      <c r="B448" s="9"/>
      <c r="C448" s="12"/>
      <c r="D448" s="24"/>
      <c r="E448" s="12"/>
      <c r="F448" s="41"/>
      <c r="G448" s="41"/>
      <c r="H448" s="41"/>
      <c r="AG448" s="19">
        <v>447</v>
      </c>
      <c r="AH448" s="20">
        <v>4289.3794433085677</v>
      </c>
    </row>
    <row r="449" spans="1:34" ht="14.5" x14ac:dyDescent="0.35">
      <c r="A449" s="33"/>
      <c r="B449" s="9"/>
      <c r="C449" s="12"/>
      <c r="D449" s="24"/>
      <c r="E449" s="12"/>
      <c r="F449" s="41"/>
      <c r="G449" s="41"/>
      <c r="H449" s="41"/>
      <c r="AG449" s="19">
        <v>448</v>
      </c>
      <c r="AH449" s="20">
        <v>-4985.0432233916426</v>
      </c>
    </row>
    <row r="450" spans="1:34" ht="14.5" x14ac:dyDescent="0.35">
      <c r="A450" s="33"/>
      <c r="B450" s="9"/>
      <c r="C450" s="12"/>
      <c r="D450" s="24"/>
      <c r="E450" s="12"/>
      <c r="F450" s="41"/>
      <c r="G450" s="41"/>
      <c r="H450" s="41"/>
      <c r="AG450" s="19">
        <v>449</v>
      </c>
      <c r="AH450" s="20">
        <v>-1618.1816969784802</v>
      </c>
    </row>
    <row r="451" spans="1:34" ht="14.5" x14ac:dyDescent="0.35">
      <c r="A451" s="33"/>
      <c r="B451" s="9"/>
      <c r="C451" s="12"/>
      <c r="D451" s="24"/>
      <c r="E451" s="12"/>
      <c r="F451" s="41"/>
      <c r="G451" s="41"/>
      <c r="H451" s="41"/>
      <c r="AG451" s="19">
        <v>450</v>
      </c>
      <c r="AH451" s="20">
        <v>379.65439327407245</v>
      </c>
    </row>
    <row r="452" spans="1:34" ht="14.5" x14ac:dyDescent="0.35">
      <c r="A452" s="33"/>
      <c r="B452" s="9"/>
      <c r="C452" s="12"/>
      <c r="D452" s="24"/>
      <c r="E452" s="12"/>
      <c r="F452" s="41"/>
      <c r="G452" s="41"/>
      <c r="H452" s="41"/>
      <c r="AG452" s="19">
        <v>451</v>
      </c>
      <c r="AH452" s="20">
        <v>892.47367020116701</v>
      </c>
    </row>
    <row r="453" spans="1:34" ht="14.5" x14ac:dyDescent="0.35">
      <c r="A453" s="33"/>
      <c r="B453" s="9"/>
      <c r="C453" s="12"/>
      <c r="D453" s="24"/>
      <c r="E453" s="12"/>
      <c r="F453" s="41"/>
      <c r="G453" s="41"/>
      <c r="H453" s="41"/>
      <c r="AG453" s="19">
        <v>452</v>
      </c>
      <c r="AH453" s="20">
        <v>-3866.187314589316</v>
      </c>
    </row>
    <row r="454" spans="1:34" ht="14.5" x14ac:dyDescent="0.35">
      <c r="A454" s="33"/>
      <c r="B454" s="9"/>
      <c r="C454" s="12"/>
      <c r="D454" s="24"/>
      <c r="E454" s="12"/>
      <c r="F454" s="41"/>
      <c r="G454" s="41"/>
      <c r="H454" s="41"/>
      <c r="AG454" s="19">
        <v>453</v>
      </c>
      <c r="AH454" s="20">
        <v>474.05756298109492</v>
      </c>
    </row>
    <row r="455" spans="1:34" ht="14.5" x14ac:dyDescent="0.35">
      <c r="A455" s="33"/>
      <c r="B455" s="9"/>
      <c r="C455" s="12"/>
      <c r="D455" s="24"/>
      <c r="E455" s="12"/>
      <c r="F455" s="41"/>
      <c r="G455" s="41"/>
      <c r="H455" s="41"/>
      <c r="AG455" s="19">
        <v>454</v>
      </c>
      <c r="AH455" s="20">
        <v>1679.3505638565925</v>
      </c>
    </row>
    <row r="456" spans="1:34" ht="14.5" x14ac:dyDescent="0.35">
      <c r="A456" s="33"/>
      <c r="B456" s="9"/>
      <c r="C456" s="12"/>
      <c r="D456" s="24"/>
      <c r="E456" s="12"/>
      <c r="F456" s="41"/>
      <c r="G456" s="41"/>
      <c r="H456" s="41"/>
      <c r="AG456" s="19">
        <v>455</v>
      </c>
      <c r="AH456" s="20">
        <v>1749.2661137434814</v>
      </c>
    </row>
    <row r="457" spans="1:34" ht="14.5" x14ac:dyDescent="0.35">
      <c r="A457" s="33"/>
      <c r="B457" s="9"/>
      <c r="C457" s="12"/>
      <c r="D457" s="24"/>
      <c r="E457" s="12"/>
      <c r="F457" s="41"/>
      <c r="G457" s="41"/>
      <c r="H457" s="41"/>
      <c r="AG457" s="19">
        <v>456</v>
      </c>
      <c r="AH457" s="20">
        <v>-1701.6063091088406</v>
      </c>
    </row>
    <row r="458" spans="1:34" ht="14.5" x14ac:dyDescent="0.35">
      <c r="A458" s="33"/>
      <c r="B458" s="9"/>
      <c r="C458" s="12"/>
      <c r="D458" s="24"/>
      <c r="E458" s="12"/>
      <c r="F458" s="41"/>
      <c r="G458" s="41"/>
      <c r="H458" s="41"/>
      <c r="AG458" s="19">
        <v>457</v>
      </c>
      <c r="AH458" s="20">
        <v>2165.3147737384525</v>
      </c>
    </row>
    <row r="459" spans="1:34" ht="14.5" x14ac:dyDescent="0.35">
      <c r="A459" s="33"/>
      <c r="B459" s="9"/>
      <c r="C459" s="12"/>
      <c r="D459" s="24"/>
      <c r="E459" s="12"/>
      <c r="F459" s="41"/>
      <c r="G459" s="41"/>
      <c r="H459" s="41"/>
      <c r="AG459" s="19">
        <v>458</v>
      </c>
      <c r="AH459" s="20">
        <v>-335.85302194626269</v>
      </c>
    </row>
    <row r="460" spans="1:34" ht="14.5" x14ac:dyDescent="0.35">
      <c r="A460" s="33"/>
      <c r="B460" s="9"/>
      <c r="C460" s="12"/>
      <c r="D460" s="24"/>
      <c r="E460" s="12"/>
      <c r="F460" s="41"/>
      <c r="G460" s="41"/>
      <c r="H460" s="41"/>
      <c r="AG460" s="19">
        <v>459</v>
      </c>
      <c r="AH460" s="20">
        <v>-1406.5342357975253</v>
      </c>
    </row>
    <row r="461" spans="1:34" ht="14.5" x14ac:dyDescent="0.35">
      <c r="A461" s="33"/>
      <c r="B461" s="9"/>
      <c r="C461" s="12"/>
      <c r="D461" s="24"/>
      <c r="E461" s="12"/>
      <c r="F461" s="41"/>
      <c r="G461" s="41"/>
      <c r="H461" s="41"/>
      <c r="AG461" s="19">
        <v>460</v>
      </c>
      <c r="AH461" s="20">
        <v>1277.1112139791001</v>
      </c>
    </row>
    <row r="462" spans="1:34" ht="14.5" x14ac:dyDescent="0.35">
      <c r="A462" s="33"/>
      <c r="B462" s="9"/>
      <c r="C462" s="12"/>
      <c r="D462" s="24"/>
      <c r="E462" s="12"/>
      <c r="F462" s="41"/>
      <c r="G462" s="41"/>
      <c r="H462" s="41"/>
      <c r="AG462" s="19">
        <v>461</v>
      </c>
      <c r="AH462" s="20">
        <v>173.59716272714462</v>
      </c>
    </row>
    <row r="463" spans="1:34" ht="14.5" x14ac:dyDescent="0.35">
      <c r="A463" s="33"/>
      <c r="B463" s="9"/>
      <c r="C463" s="12"/>
      <c r="D463" s="24"/>
      <c r="E463" s="12"/>
      <c r="F463" s="41"/>
      <c r="G463" s="41"/>
      <c r="H463" s="41"/>
      <c r="AG463" s="19">
        <v>462</v>
      </c>
      <c r="AH463" s="20">
        <v>281.7165783935651</v>
      </c>
    </row>
    <row r="464" spans="1:34" ht="14.5" x14ac:dyDescent="0.35">
      <c r="A464" s="33"/>
      <c r="B464" s="9"/>
      <c r="C464" s="12"/>
      <c r="D464" s="24"/>
      <c r="E464" s="12"/>
      <c r="F464" s="41"/>
      <c r="G464" s="41"/>
      <c r="H464" s="41"/>
      <c r="AG464" s="19">
        <v>463</v>
      </c>
      <c r="AH464" s="20">
        <v>3119.8490612312567</v>
      </c>
    </row>
    <row r="465" spans="1:34" ht="14.5" x14ac:dyDescent="0.35">
      <c r="A465" s="33"/>
      <c r="B465" s="9"/>
      <c r="C465" s="12"/>
      <c r="D465" s="24"/>
      <c r="E465" s="12"/>
      <c r="F465" s="41"/>
      <c r="G465" s="41"/>
      <c r="H465" s="41"/>
      <c r="AG465" s="19">
        <v>464</v>
      </c>
      <c r="AH465" s="20">
        <v>-1226.8245887518319</v>
      </c>
    </row>
    <row r="466" spans="1:34" ht="14.5" x14ac:dyDescent="0.35">
      <c r="A466" s="33"/>
      <c r="B466" s="9"/>
      <c r="C466" s="12"/>
      <c r="D466" s="24"/>
      <c r="E466" s="12"/>
      <c r="F466" s="41"/>
      <c r="G466" s="41"/>
      <c r="H466" s="41"/>
      <c r="AG466" s="19">
        <v>465</v>
      </c>
      <c r="AH466" s="20">
        <v>-277.29778741343199</v>
      </c>
    </row>
    <row r="467" spans="1:34" ht="14.5" x14ac:dyDescent="0.35">
      <c r="A467" s="33"/>
      <c r="B467" s="9"/>
      <c r="C467" s="12"/>
      <c r="D467" s="24"/>
      <c r="E467" s="12"/>
      <c r="F467" s="41"/>
      <c r="G467" s="41"/>
      <c r="H467" s="41"/>
      <c r="AG467" s="19">
        <v>466</v>
      </c>
      <c r="AH467" s="20">
        <v>-560.62019037721711</v>
      </c>
    </row>
    <row r="468" spans="1:34" ht="14.5" x14ac:dyDescent="0.35">
      <c r="A468" s="33"/>
      <c r="B468" s="9"/>
      <c r="C468" s="12"/>
      <c r="D468" s="24"/>
      <c r="E468" s="12"/>
      <c r="F468" s="41"/>
      <c r="G468" s="41"/>
      <c r="H468" s="41"/>
      <c r="AG468" s="19">
        <v>467</v>
      </c>
      <c r="AH468" s="20">
        <v>954.49374407300229</v>
      </c>
    </row>
    <row r="469" spans="1:34" ht="14.5" x14ac:dyDescent="0.35">
      <c r="A469" s="33"/>
      <c r="B469" s="9"/>
      <c r="C469" s="12"/>
      <c r="D469" s="24"/>
      <c r="E469" s="12"/>
      <c r="F469" s="41"/>
      <c r="G469" s="41"/>
      <c r="H469" s="41"/>
      <c r="AG469" s="19">
        <v>468</v>
      </c>
      <c r="AH469" s="20">
        <v>2844.8671786101868</v>
      </c>
    </row>
    <row r="470" spans="1:34" ht="14.5" x14ac:dyDescent="0.35">
      <c r="A470" s="33"/>
      <c r="B470" s="9"/>
      <c r="C470" s="12"/>
      <c r="D470" s="24"/>
      <c r="E470" s="12"/>
      <c r="F470" s="41"/>
      <c r="G470" s="41"/>
      <c r="H470" s="41"/>
      <c r="AG470" s="19">
        <v>469</v>
      </c>
      <c r="AH470" s="20">
        <v>1201.1971634508081</v>
      </c>
    </row>
    <row r="471" spans="1:34" ht="14.5" x14ac:dyDescent="0.35">
      <c r="A471" s="33"/>
      <c r="B471" s="9"/>
      <c r="C471" s="12"/>
      <c r="D471" s="24"/>
      <c r="E471" s="12"/>
      <c r="F471" s="41"/>
      <c r="G471" s="41"/>
      <c r="H471" s="41"/>
      <c r="AG471" s="19">
        <v>470</v>
      </c>
      <c r="AH471" s="20">
        <v>604.13204299025688</v>
      </c>
    </row>
    <row r="472" spans="1:34" ht="14.5" x14ac:dyDescent="0.35">
      <c r="A472" s="33"/>
      <c r="B472" s="9"/>
      <c r="C472" s="12"/>
      <c r="D472" s="24"/>
      <c r="E472" s="12"/>
      <c r="F472" s="41"/>
      <c r="G472" s="41"/>
      <c r="H472" s="41"/>
      <c r="AG472" s="19">
        <v>471</v>
      </c>
      <c r="AH472" s="20">
        <v>-1535.7766352313299</v>
      </c>
    </row>
    <row r="473" spans="1:34" ht="14.5" x14ac:dyDescent="0.35">
      <c r="A473" s="33"/>
      <c r="B473" s="9"/>
      <c r="C473" s="12"/>
      <c r="D473" s="24"/>
      <c r="E473" s="12"/>
      <c r="F473" s="41"/>
      <c r="G473" s="41"/>
      <c r="H473" s="41"/>
      <c r="AG473" s="19">
        <v>472</v>
      </c>
      <c r="AH473" s="20">
        <v>2038.1484849709518</v>
      </c>
    </row>
    <row r="474" spans="1:34" ht="14.5" x14ac:dyDescent="0.35">
      <c r="A474" s="33"/>
      <c r="B474" s="9"/>
      <c r="C474" s="12"/>
      <c r="D474" s="24"/>
      <c r="E474" s="12"/>
      <c r="F474" s="41"/>
      <c r="G474" s="41"/>
      <c r="H474" s="41"/>
      <c r="AG474" s="19">
        <v>473</v>
      </c>
      <c r="AH474" s="20">
        <v>-338.60284765014666</v>
      </c>
    </row>
    <row r="475" spans="1:34" ht="14.5" x14ac:dyDescent="0.35">
      <c r="A475" s="33"/>
      <c r="B475" s="9"/>
      <c r="C475" s="12"/>
      <c r="D475" s="24"/>
      <c r="E475" s="12"/>
      <c r="F475" s="41"/>
      <c r="G475" s="41"/>
      <c r="H475" s="41"/>
      <c r="AG475" s="19">
        <v>474</v>
      </c>
      <c r="AH475" s="20">
        <v>1157.8468627518725</v>
      </c>
    </row>
    <row r="476" spans="1:34" ht="14.5" x14ac:dyDescent="0.35">
      <c r="A476" s="33"/>
      <c r="B476" s="9"/>
      <c r="C476" s="12"/>
      <c r="D476" s="24"/>
      <c r="E476" s="12"/>
      <c r="F476" s="41"/>
      <c r="G476" s="41"/>
      <c r="H476" s="41"/>
      <c r="AG476" s="19">
        <v>475</v>
      </c>
      <c r="AH476" s="20">
        <v>-1050.4212685425443</v>
      </c>
    </row>
    <row r="477" spans="1:34" ht="14.5" x14ac:dyDescent="0.35">
      <c r="A477" s="33"/>
      <c r="B477" s="9"/>
      <c r="C477" s="12"/>
      <c r="D477" s="24"/>
      <c r="E477" s="12"/>
      <c r="F477" s="41"/>
      <c r="G477" s="41"/>
      <c r="H477" s="41"/>
      <c r="AG477" s="19">
        <v>476</v>
      </c>
      <c r="AH477" s="20">
        <v>3706.8619871863925</v>
      </c>
    </row>
    <row r="478" spans="1:34" ht="14.5" x14ac:dyDescent="0.35">
      <c r="A478" s="33"/>
      <c r="B478" s="9"/>
      <c r="C478" s="12"/>
      <c r="D478" s="24"/>
      <c r="E478" s="12"/>
      <c r="F478" s="41"/>
      <c r="G478" s="41"/>
      <c r="H478" s="41"/>
      <c r="AG478" s="19">
        <v>477</v>
      </c>
      <c r="AH478" s="20">
        <v>-1230.4978028850223</v>
      </c>
    </row>
    <row r="479" spans="1:34" ht="14.5" x14ac:dyDescent="0.35">
      <c r="A479" s="33"/>
      <c r="B479" s="9"/>
      <c r="C479" s="12"/>
      <c r="D479" s="24"/>
      <c r="E479" s="12"/>
      <c r="F479" s="41"/>
      <c r="G479" s="41"/>
      <c r="H479" s="41"/>
      <c r="AG479" s="19">
        <v>478</v>
      </c>
      <c r="AH479" s="20">
        <v>496.8915448630413</v>
      </c>
    </row>
    <row r="480" spans="1:34" ht="14.5" x14ac:dyDescent="0.35">
      <c r="A480" s="33"/>
      <c r="B480" s="9"/>
      <c r="C480" s="12"/>
      <c r="D480" s="24"/>
      <c r="E480" s="12"/>
      <c r="F480" s="41"/>
      <c r="G480" s="41"/>
      <c r="H480" s="41"/>
      <c r="AG480" s="19">
        <v>479</v>
      </c>
      <c r="AH480" s="20">
        <v>-1244.2008076518516</v>
      </c>
    </row>
    <row r="481" spans="1:34" ht="14.5" x14ac:dyDescent="0.35">
      <c r="A481" s="33"/>
      <c r="B481" s="9"/>
      <c r="C481" s="12"/>
      <c r="D481" s="24"/>
      <c r="E481" s="12"/>
      <c r="F481" s="41"/>
      <c r="G481" s="41"/>
      <c r="H481" s="41"/>
      <c r="AG481" s="19">
        <v>480</v>
      </c>
      <c r="AH481" s="20">
        <v>393.39608549450855</v>
      </c>
    </row>
    <row r="482" spans="1:34" ht="14.5" x14ac:dyDescent="0.35">
      <c r="A482" s="33"/>
      <c r="B482" s="9"/>
      <c r="C482" s="12"/>
      <c r="D482" s="24"/>
      <c r="E482" s="12"/>
      <c r="F482" s="41"/>
      <c r="G482" s="41"/>
      <c r="H482" s="41"/>
      <c r="AG482" s="19">
        <v>481</v>
      </c>
      <c r="AH482" s="20">
        <v>-1032.7720084277264</v>
      </c>
    </row>
    <row r="483" spans="1:34" ht="14.5" x14ac:dyDescent="0.35">
      <c r="A483" s="33"/>
      <c r="B483" s="9"/>
      <c r="C483" s="12"/>
      <c r="D483" s="24"/>
      <c r="E483" s="12"/>
      <c r="F483" s="41"/>
      <c r="G483" s="41"/>
      <c r="H483" s="41"/>
      <c r="AG483" s="19">
        <v>482</v>
      </c>
      <c r="AH483" s="20">
        <v>1888.4441044912205</v>
      </c>
    </row>
    <row r="484" spans="1:34" ht="14.5" x14ac:dyDescent="0.35">
      <c r="A484" s="33"/>
      <c r="B484" s="9"/>
      <c r="C484" s="12"/>
      <c r="D484" s="24"/>
      <c r="E484" s="12"/>
      <c r="F484" s="41"/>
      <c r="G484" s="41"/>
      <c r="H484" s="41"/>
      <c r="AG484" s="19">
        <v>483</v>
      </c>
      <c r="AH484" s="20">
        <v>-2611.358534206609</v>
      </c>
    </row>
    <row r="485" spans="1:34" ht="14.5" x14ac:dyDescent="0.35">
      <c r="A485" s="33"/>
      <c r="B485" s="9"/>
      <c r="C485" s="12"/>
      <c r="D485" s="24"/>
      <c r="E485" s="12"/>
      <c r="F485" s="41"/>
      <c r="G485" s="41"/>
      <c r="H485" s="41"/>
      <c r="AG485" s="19">
        <v>484</v>
      </c>
      <c r="AH485" s="20">
        <v>857.99507317430948</v>
      </c>
    </row>
    <row r="486" spans="1:34" ht="14.5" x14ac:dyDescent="0.35">
      <c r="A486" s="33"/>
      <c r="B486" s="9"/>
      <c r="C486" s="12"/>
      <c r="D486" s="24"/>
      <c r="E486" s="12"/>
      <c r="F486" s="41"/>
      <c r="G486" s="41"/>
      <c r="H486" s="41"/>
      <c r="AG486" s="19">
        <v>485</v>
      </c>
      <c r="AH486" s="20">
        <v>1012.8810773089474</v>
      </c>
    </row>
    <row r="487" spans="1:34" ht="14.5" x14ac:dyDescent="0.35">
      <c r="A487" s="33"/>
      <c r="B487" s="9"/>
      <c r="C487" s="12"/>
      <c r="D487" s="24"/>
      <c r="E487" s="12"/>
      <c r="F487" s="41"/>
      <c r="G487" s="41"/>
      <c r="H487" s="41"/>
      <c r="AG487" s="19">
        <v>486</v>
      </c>
      <c r="AH487" s="20">
        <v>-1241.5145338338614</v>
      </c>
    </row>
    <row r="488" spans="1:34" ht="14.5" x14ac:dyDescent="0.35">
      <c r="A488" s="33"/>
      <c r="B488" s="9"/>
      <c r="C488" s="12"/>
      <c r="D488" s="24"/>
      <c r="E488" s="12"/>
      <c r="F488" s="41"/>
      <c r="G488" s="41"/>
      <c r="H488" s="41"/>
      <c r="AG488" s="19">
        <v>487</v>
      </c>
      <c r="AH488" s="20">
        <v>-1985.6877795309149</v>
      </c>
    </row>
    <row r="489" spans="1:34" ht="14.5" x14ac:dyDescent="0.35">
      <c r="A489" s="33"/>
      <c r="B489" s="9"/>
      <c r="C489" s="12"/>
      <c r="D489" s="24"/>
      <c r="E489" s="12"/>
      <c r="F489" s="41"/>
      <c r="G489" s="41"/>
      <c r="H489" s="41"/>
      <c r="AG489" s="19">
        <v>488</v>
      </c>
      <c r="AH489" s="20">
        <v>697.2139601797885</v>
      </c>
    </row>
    <row r="490" spans="1:34" ht="14.5" x14ac:dyDescent="0.35">
      <c r="A490" s="33"/>
      <c r="B490" s="9"/>
      <c r="C490" s="12"/>
      <c r="D490" s="24"/>
      <c r="E490" s="12"/>
      <c r="F490" s="41"/>
      <c r="G490" s="41"/>
      <c r="H490" s="41"/>
      <c r="AG490" s="19">
        <v>489</v>
      </c>
      <c r="AH490" s="20">
        <v>-1189.0964750534124</v>
      </c>
    </row>
    <row r="491" spans="1:34" ht="14.5" x14ac:dyDescent="0.35">
      <c r="A491" s="33"/>
      <c r="B491" s="9"/>
      <c r="C491" s="12"/>
      <c r="D491" s="24"/>
      <c r="E491" s="12"/>
      <c r="F491" s="41"/>
      <c r="G491" s="41"/>
      <c r="H491" s="41"/>
      <c r="AG491" s="19">
        <v>490</v>
      </c>
      <c r="AH491" s="20">
        <v>-598.44739679601844</v>
      </c>
    </row>
    <row r="492" spans="1:34" ht="14.5" x14ac:dyDescent="0.35">
      <c r="A492" s="33"/>
      <c r="B492" s="9"/>
      <c r="C492" s="12"/>
      <c r="D492" s="24"/>
      <c r="E492" s="12"/>
      <c r="F492" s="41"/>
      <c r="G492" s="41"/>
      <c r="H492" s="41"/>
      <c r="AG492" s="19">
        <v>491</v>
      </c>
      <c r="AH492" s="20">
        <v>804.43869465904049</v>
      </c>
    </row>
    <row r="493" spans="1:34" ht="14.5" x14ac:dyDescent="0.35">
      <c r="A493" s="33"/>
      <c r="B493" s="9"/>
      <c r="C493" s="12"/>
      <c r="D493" s="24"/>
      <c r="E493" s="12"/>
      <c r="F493" s="41"/>
      <c r="G493" s="41"/>
      <c r="H493" s="41"/>
      <c r="AG493" s="19">
        <v>492</v>
      </c>
      <c r="AH493" s="20">
        <v>2698.9135085821658</v>
      </c>
    </row>
    <row r="494" spans="1:34" ht="14.5" x14ac:dyDescent="0.35">
      <c r="A494" s="33"/>
      <c r="B494" s="9"/>
      <c r="C494" s="12"/>
      <c r="D494" s="24"/>
      <c r="E494" s="12"/>
      <c r="F494" s="41"/>
      <c r="G494" s="41"/>
      <c r="H494" s="41"/>
      <c r="AG494" s="19">
        <v>493</v>
      </c>
      <c r="AH494" s="20">
        <v>-1053.1931830279771</v>
      </c>
    </row>
    <row r="495" spans="1:34" ht="14.5" x14ac:dyDescent="0.35">
      <c r="A495" s="33"/>
      <c r="B495" s="9"/>
      <c r="C495" s="12"/>
      <c r="D495" s="24"/>
      <c r="E495" s="12"/>
      <c r="F495" s="41"/>
      <c r="G495" s="41"/>
      <c r="H495" s="41"/>
      <c r="AG495" s="19">
        <v>494</v>
      </c>
      <c r="AH495" s="20">
        <v>-1334.2261027865557</v>
      </c>
    </row>
    <row r="496" spans="1:34" ht="14.5" x14ac:dyDescent="0.35">
      <c r="A496" s="33"/>
      <c r="B496" s="9"/>
      <c r="C496" s="12"/>
      <c r="D496" s="24"/>
      <c r="E496" s="12"/>
      <c r="F496" s="41"/>
      <c r="G496" s="41"/>
      <c r="H496" s="41"/>
      <c r="AG496" s="19">
        <v>495</v>
      </c>
      <c r="AH496" s="20">
        <v>4388.6231842608067</v>
      </c>
    </row>
    <row r="497" spans="1:34" ht="14.5" x14ac:dyDescent="0.35">
      <c r="A497" s="33"/>
      <c r="B497" s="9"/>
      <c r="C497" s="12"/>
      <c r="D497" s="24"/>
      <c r="E497" s="12"/>
      <c r="F497" s="41"/>
      <c r="G497" s="41"/>
      <c r="H497" s="41"/>
      <c r="AG497" s="19">
        <v>496</v>
      </c>
      <c r="AH497" s="20">
        <v>279.5780710384854</v>
      </c>
    </row>
    <row r="498" spans="1:34" ht="14.5" x14ac:dyDescent="0.35">
      <c r="A498" s="33"/>
      <c r="B498" s="9"/>
      <c r="C498" s="12"/>
      <c r="D498" s="24"/>
      <c r="E498" s="12"/>
      <c r="F498" s="41"/>
      <c r="G498" s="41"/>
      <c r="H498" s="41"/>
      <c r="AG498" s="19">
        <v>497</v>
      </c>
      <c r="AH498" s="20">
        <v>1052.6025791899722</v>
      </c>
    </row>
    <row r="499" spans="1:34" ht="14.5" x14ac:dyDescent="0.35">
      <c r="A499" s="33"/>
      <c r="B499" s="9"/>
      <c r="C499" s="12"/>
      <c r="D499" s="24"/>
      <c r="E499" s="12"/>
      <c r="F499" s="41"/>
      <c r="G499" s="41"/>
      <c r="H499" s="41"/>
      <c r="AG499" s="19">
        <v>498</v>
      </c>
      <c r="AH499" s="20">
        <v>-1897.4430277001322</v>
      </c>
    </row>
    <row r="500" spans="1:34" ht="14.5" x14ac:dyDescent="0.35">
      <c r="A500" s="33"/>
      <c r="B500" s="9"/>
      <c r="C500" s="12"/>
      <c r="D500" s="24"/>
      <c r="E500" s="12"/>
      <c r="F500" s="41"/>
      <c r="G500" s="41"/>
      <c r="H500" s="41"/>
      <c r="AG500" s="19">
        <v>499</v>
      </c>
      <c r="AH500" s="20">
        <v>-1281.0223925528076</v>
      </c>
    </row>
    <row r="501" spans="1:34" ht="14.5" x14ac:dyDescent="0.35">
      <c r="A501" s="33"/>
      <c r="B501" s="9"/>
      <c r="C501" s="12"/>
      <c r="D501" s="24"/>
      <c r="E501" s="12"/>
      <c r="F501" s="41"/>
      <c r="G501" s="41"/>
      <c r="H501" s="41"/>
      <c r="AG501" s="19">
        <v>500</v>
      </c>
      <c r="AH501" s="20">
        <v>-25.170133430712895</v>
      </c>
    </row>
    <row r="502" spans="1:34" ht="14.5" x14ac:dyDescent="0.35">
      <c r="A502" s="33"/>
      <c r="B502" s="9"/>
      <c r="C502" s="12"/>
      <c r="D502" s="24"/>
      <c r="E502" s="12"/>
      <c r="F502" s="41"/>
      <c r="G502" s="41"/>
      <c r="H502" s="41"/>
      <c r="AG502" s="19">
        <v>501</v>
      </c>
      <c r="AH502" s="20">
        <v>1141.2012719460349</v>
      </c>
    </row>
    <row r="503" spans="1:34" ht="14.5" x14ac:dyDescent="0.35">
      <c r="A503" s="33"/>
      <c r="B503" s="9"/>
      <c r="C503" s="12"/>
      <c r="D503" s="24"/>
      <c r="E503" s="12"/>
      <c r="F503" s="41"/>
      <c r="G503" s="41"/>
      <c r="H503" s="41"/>
      <c r="AG503" s="19">
        <v>502</v>
      </c>
      <c r="AH503" s="20">
        <v>-1124.8079210680237</v>
      </c>
    </row>
    <row r="504" spans="1:34" ht="14.5" x14ac:dyDescent="0.35">
      <c r="A504" s="33"/>
      <c r="B504" s="9"/>
      <c r="C504" s="12"/>
      <c r="D504" s="24"/>
      <c r="E504" s="12"/>
      <c r="F504" s="41"/>
      <c r="G504" s="41"/>
      <c r="H504" s="41"/>
      <c r="AG504" s="19">
        <v>503</v>
      </c>
      <c r="AH504" s="20">
        <v>-1602.8219949957418</v>
      </c>
    </row>
    <row r="505" spans="1:34" ht="14.5" x14ac:dyDescent="0.35">
      <c r="A505" s="33"/>
      <c r="B505" s="9"/>
      <c r="C505" s="12"/>
      <c r="D505" s="24"/>
      <c r="E505" s="12"/>
      <c r="F505" s="41"/>
      <c r="G505" s="41"/>
      <c r="H505" s="41"/>
      <c r="AG505" s="19">
        <v>504</v>
      </c>
      <c r="AH505" s="20">
        <v>-913.3590646961004</v>
      </c>
    </row>
    <row r="506" spans="1:34" ht="14.5" x14ac:dyDescent="0.35">
      <c r="A506" s="33"/>
      <c r="B506" s="9"/>
      <c r="C506" s="12"/>
      <c r="D506" s="24"/>
      <c r="E506" s="12"/>
      <c r="F506" s="41"/>
      <c r="G506" s="41"/>
      <c r="H506" s="41"/>
      <c r="AG506" s="19">
        <v>505</v>
      </c>
      <c r="AH506" s="20">
        <v>-647.26442378010165</v>
      </c>
    </row>
    <row r="507" spans="1:34" ht="14.5" x14ac:dyDescent="0.35">
      <c r="A507" s="33"/>
      <c r="B507" s="9"/>
      <c r="C507" s="12"/>
      <c r="D507" s="24"/>
      <c r="E507" s="12"/>
      <c r="F507" s="41"/>
      <c r="G507" s="41"/>
      <c r="H507" s="41"/>
      <c r="AG507" s="19">
        <v>506</v>
      </c>
      <c r="AH507" s="20">
        <v>-210.44689076079561</v>
      </c>
    </row>
    <row r="508" spans="1:34" ht="14.5" x14ac:dyDescent="0.35">
      <c r="A508" s="33"/>
      <c r="B508" s="9"/>
      <c r="C508" s="12"/>
      <c r="D508" s="24"/>
      <c r="E508" s="12"/>
      <c r="F508" s="41"/>
      <c r="G508" s="41"/>
      <c r="H508" s="41"/>
      <c r="AG508" s="19">
        <v>507</v>
      </c>
      <c r="AH508" s="20">
        <v>1168.3790288259488</v>
      </c>
    </row>
    <row r="509" spans="1:34" ht="14.5" x14ac:dyDescent="0.35">
      <c r="A509" s="33"/>
      <c r="B509" s="9"/>
      <c r="C509" s="12"/>
      <c r="D509" s="24"/>
      <c r="E509" s="12"/>
      <c r="F509" s="41"/>
      <c r="G509" s="41"/>
      <c r="H509" s="41"/>
      <c r="AG509" s="19">
        <v>508</v>
      </c>
      <c r="AH509" s="20">
        <v>837.50875523108527</v>
      </c>
    </row>
    <row r="510" spans="1:34" ht="14.5" x14ac:dyDescent="0.35">
      <c r="A510" s="33"/>
      <c r="B510" s="9"/>
      <c r="C510" s="12"/>
      <c r="D510" s="24"/>
      <c r="E510" s="12"/>
      <c r="F510" s="41"/>
      <c r="G510" s="41"/>
      <c r="H510" s="41"/>
      <c r="AG510" s="19">
        <v>509</v>
      </c>
      <c r="AH510" s="20">
        <v>-642.69377664430363</v>
      </c>
    </row>
    <row r="511" spans="1:34" ht="14.5" x14ac:dyDescent="0.35">
      <c r="A511" s="33"/>
      <c r="B511" s="9"/>
      <c r="C511" s="12"/>
      <c r="D511" s="24"/>
      <c r="E511" s="12"/>
      <c r="F511" s="41"/>
      <c r="G511" s="41"/>
      <c r="H511" s="41"/>
      <c r="AG511" s="19">
        <v>510</v>
      </c>
      <c r="AH511" s="20">
        <v>2245.9940518605454</v>
      </c>
    </row>
    <row r="512" spans="1:34" ht="14.5" x14ac:dyDescent="0.35">
      <c r="A512" s="33"/>
      <c r="B512" s="9"/>
      <c r="C512" s="12"/>
      <c r="D512" s="24"/>
      <c r="E512" s="12"/>
      <c r="F512" s="41"/>
      <c r="G512" s="41"/>
      <c r="H512" s="41"/>
      <c r="AG512" s="19">
        <v>511</v>
      </c>
      <c r="AH512" s="20">
        <v>126.56379146927998</v>
      </c>
    </row>
    <row r="513" spans="1:34" ht="14.5" x14ac:dyDescent="0.35">
      <c r="A513" s="33"/>
      <c r="B513" s="9"/>
      <c r="C513" s="12"/>
      <c r="D513" s="24"/>
      <c r="E513" s="12"/>
      <c r="F513" s="41"/>
      <c r="G513" s="41"/>
      <c r="H513" s="41"/>
      <c r="AG513" s="19">
        <v>512</v>
      </c>
      <c r="AH513" s="20">
        <v>-4602.4123991294591</v>
      </c>
    </row>
    <row r="514" spans="1:34" ht="14.5" x14ac:dyDescent="0.35">
      <c r="A514" s="33"/>
      <c r="B514" s="9"/>
      <c r="C514" s="12"/>
      <c r="D514" s="24"/>
      <c r="E514" s="12"/>
      <c r="F514" s="41"/>
      <c r="G514" s="41"/>
      <c r="H514" s="41"/>
      <c r="AG514" s="19">
        <v>513</v>
      </c>
      <c r="AH514" s="20">
        <v>339.55493806012629</v>
      </c>
    </row>
    <row r="515" spans="1:34" ht="14.5" x14ac:dyDescent="0.35">
      <c r="A515" s="33"/>
      <c r="B515" s="9"/>
      <c r="C515" s="12"/>
      <c r="D515" s="24"/>
      <c r="E515" s="12"/>
      <c r="F515" s="41"/>
      <c r="G515" s="41"/>
      <c r="H515" s="41"/>
      <c r="AG515" s="19">
        <v>514</v>
      </c>
      <c r="AH515" s="20">
        <v>1675.9964001334442</v>
      </c>
    </row>
    <row r="516" spans="1:34" ht="14.5" x14ac:dyDescent="0.35">
      <c r="A516" s="33"/>
      <c r="B516" s="9"/>
      <c r="C516" s="12"/>
      <c r="D516" s="24"/>
      <c r="E516" s="12"/>
      <c r="F516" s="41"/>
      <c r="G516" s="41"/>
      <c r="H516" s="41"/>
      <c r="AG516" s="19">
        <v>515</v>
      </c>
      <c r="AH516" s="20">
        <v>1302.0350632290954</v>
      </c>
    </row>
    <row r="517" spans="1:34" ht="14.5" x14ac:dyDescent="0.35">
      <c r="A517" s="33"/>
      <c r="B517" s="9"/>
      <c r="C517" s="12"/>
      <c r="D517" s="24"/>
      <c r="E517" s="12"/>
      <c r="F517" s="41"/>
      <c r="G517" s="41"/>
      <c r="H517" s="41"/>
      <c r="AG517" s="19">
        <v>516</v>
      </c>
      <c r="AH517" s="20">
        <v>978.16569420191649</v>
      </c>
    </row>
    <row r="518" spans="1:34" ht="14.5" x14ac:dyDescent="0.35">
      <c r="A518" s="33"/>
      <c r="B518" s="9"/>
      <c r="C518" s="12"/>
      <c r="D518" s="24"/>
      <c r="E518" s="12"/>
      <c r="F518" s="41"/>
      <c r="G518" s="41"/>
      <c r="H518" s="41"/>
      <c r="AG518" s="19">
        <v>517</v>
      </c>
      <c r="AH518" s="20">
        <v>613.04796239610914</v>
      </c>
    </row>
    <row r="519" spans="1:34" ht="14.5" x14ac:dyDescent="0.35">
      <c r="A519" s="33"/>
      <c r="B519" s="9"/>
      <c r="C519" s="12"/>
      <c r="D519" s="24"/>
      <c r="E519" s="12"/>
      <c r="F519" s="41"/>
      <c r="G519" s="41"/>
      <c r="H519" s="41"/>
      <c r="AG519" s="19">
        <v>518</v>
      </c>
      <c r="AH519" s="20">
        <v>-2403.9941854232375</v>
      </c>
    </row>
    <row r="520" spans="1:34" ht="14.5" x14ac:dyDescent="0.35">
      <c r="A520" s="33"/>
      <c r="B520" s="9"/>
      <c r="C520" s="12"/>
      <c r="D520" s="24"/>
      <c r="E520" s="12"/>
      <c r="F520" s="41"/>
      <c r="G520" s="41"/>
      <c r="H520" s="41"/>
      <c r="AG520" s="19">
        <v>519</v>
      </c>
      <c r="AH520" s="20">
        <v>-869.88026333194784</v>
      </c>
    </row>
    <row r="521" spans="1:34" ht="14.5" x14ac:dyDescent="0.35">
      <c r="A521" s="33"/>
      <c r="B521" s="9"/>
      <c r="C521" s="12"/>
      <c r="D521" s="24"/>
      <c r="E521" s="12"/>
      <c r="F521" s="41"/>
      <c r="G521" s="41"/>
      <c r="H521" s="41"/>
      <c r="AG521" s="19">
        <v>520</v>
      </c>
      <c r="AH521" s="20">
        <v>654.1773245247573</v>
      </c>
    </row>
    <row r="522" spans="1:34" ht="14.5" x14ac:dyDescent="0.35">
      <c r="A522" s="33"/>
      <c r="B522" s="9"/>
      <c r="C522" s="12"/>
      <c r="D522" s="24"/>
      <c r="E522" s="12"/>
      <c r="F522" s="41"/>
      <c r="G522" s="41"/>
      <c r="H522" s="41"/>
      <c r="AG522" s="19">
        <v>521</v>
      </c>
      <c r="AH522" s="20">
        <v>1210.5777320333893</v>
      </c>
    </row>
    <row r="523" spans="1:34" ht="14.5" x14ac:dyDescent="0.35">
      <c r="A523" s="33"/>
      <c r="B523" s="9"/>
      <c r="C523" s="12"/>
      <c r="D523" s="24"/>
      <c r="E523" s="12"/>
      <c r="F523" s="41"/>
      <c r="G523" s="41"/>
      <c r="H523" s="41"/>
      <c r="AG523" s="19">
        <v>522</v>
      </c>
      <c r="AH523" s="20">
        <v>-2462.3377074783102</v>
      </c>
    </row>
    <row r="524" spans="1:34" ht="14.5" x14ac:dyDescent="0.35">
      <c r="A524" s="33"/>
      <c r="B524" s="9"/>
      <c r="C524" s="12"/>
      <c r="D524" s="24"/>
      <c r="E524" s="12"/>
      <c r="F524" s="41"/>
      <c r="G524" s="41"/>
      <c r="H524" s="41"/>
      <c r="AG524" s="19">
        <v>523</v>
      </c>
      <c r="AH524" s="20">
        <v>97.448927417827974</v>
      </c>
    </row>
    <row r="525" spans="1:34" ht="14.5" x14ac:dyDescent="0.35">
      <c r="A525" s="33"/>
      <c r="B525" s="9"/>
      <c r="C525" s="12"/>
      <c r="D525" s="24"/>
      <c r="E525" s="12"/>
      <c r="F525" s="41"/>
      <c r="G525" s="41"/>
      <c r="H525" s="41"/>
      <c r="AG525" s="19">
        <v>524</v>
      </c>
      <c r="AH525" s="20">
        <v>1136.969273647175</v>
      </c>
    </row>
    <row r="526" spans="1:34" ht="14.5" x14ac:dyDescent="0.35">
      <c r="A526" s="33"/>
      <c r="B526" s="9"/>
      <c r="C526" s="12"/>
      <c r="D526" s="24"/>
      <c r="E526" s="12"/>
      <c r="F526" s="41"/>
      <c r="G526" s="41"/>
      <c r="H526" s="41"/>
      <c r="AG526" s="19">
        <v>525</v>
      </c>
      <c r="AH526" s="20">
        <v>-3234.4111619140963</v>
      </c>
    </row>
    <row r="527" spans="1:34" ht="14.5" x14ac:dyDescent="0.35">
      <c r="A527" s="33"/>
      <c r="B527" s="9"/>
      <c r="C527" s="12"/>
      <c r="D527" s="24"/>
      <c r="E527" s="12"/>
      <c r="F527" s="41"/>
      <c r="G527" s="41"/>
      <c r="H527" s="41"/>
      <c r="AG527" s="19">
        <v>526</v>
      </c>
      <c r="AH527" s="20">
        <v>1459.0865682991828</v>
      </c>
    </row>
    <row r="528" spans="1:34" ht="14.5" x14ac:dyDescent="0.35">
      <c r="A528" s="33"/>
      <c r="B528" s="9"/>
      <c r="C528" s="12"/>
      <c r="D528" s="24"/>
      <c r="E528" s="12"/>
      <c r="F528" s="41"/>
      <c r="G528" s="41"/>
      <c r="H528" s="41"/>
      <c r="AG528" s="19">
        <v>527</v>
      </c>
      <c r="AH528" s="20">
        <v>1532.0240186217868</v>
      </c>
    </row>
    <row r="529" spans="1:34" ht="14.5" x14ac:dyDescent="0.35">
      <c r="A529" s="33"/>
      <c r="B529" s="9"/>
      <c r="C529" s="12"/>
      <c r="D529" s="24"/>
      <c r="E529" s="12"/>
      <c r="F529" s="41"/>
      <c r="G529" s="41"/>
      <c r="H529" s="41"/>
      <c r="AG529" s="19">
        <v>528</v>
      </c>
      <c r="AH529" s="20">
        <v>-104.65353026239745</v>
      </c>
    </row>
    <row r="530" spans="1:34" ht="14.5" x14ac:dyDescent="0.35">
      <c r="A530" s="33"/>
      <c r="B530" s="9"/>
      <c r="C530" s="12"/>
      <c r="D530" s="24"/>
      <c r="E530" s="12"/>
      <c r="F530" s="41"/>
      <c r="G530" s="41"/>
      <c r="H530" s="41"/>
      <c r="AG530" s="19">
        <v>529</v>
      </c>
      <c r="AH530" s="20">
        <v>2180.7028763892072</v>
      </c>
    </row>
    <row r="531" spans="1:34" ht="14.5" x14ac:dyDescent="0.35">
      <c r="A531" s="33"/>
      <c r="B531" s="9"/>
      <c r="C531" s="12"/>
      <c r="D531" s="24"/>
      <c r="E531" s="12"/>
      <c r="F531" s="41"/>
      <c r="G531" s="41"/>
      <c r="H531" s="41"/>
      <c r="AG531" s="19">
        <v>530</v>
      </c>
      <c r="AH531" s="20">
        <v>566.19285076892061</v>
      </c>
    </row>
    <row r="532" spans="1:34" ht="14.5" x14ac:dyDescent="0.35">
      <c r="A532" s="33"/>
      <c r="B532" s="9"/>
      <c r="C532" s="12"/>
      <c r="D532" s="24"/>
      <c r="E532" s="12"/>
      <c r="F532" s="41"/>
      <c r="G532" s="41"/>
      <c r="H532" s="41"/>
      <c r="AG532" s="19">
        <v>531</v>
      </c>
      <c r="AH532" s="20">
        <v>1906.028962242134</v>
      </c>
    </row>
    <row r="533" spans="1:34" ht="14.5" x14ac:dyDescent="0.35">
      <c r="A533" s="33"/>
      <c r="B533" s="9"/>
      <c r="C533" s="12"/>
      <c r="D533" s="24"/>
      <c r="E533" s="12"/>
      <c r="F533" s="41"/>
      <c r="G533" s="41"/>
      <c r="H533" s="41"/>
      <c r="AG533" s="19">
        <v>532</v>
      </c>
      <c r="AH533" s="20">
        <v>536.21569799900215</v>
      </c>
    </row>
    <row r="534" spans="1:34" ht="14.5" x14ac:dyDescent="0.35">
      <c r="A534" s="33"/>
      <c r="B534" s="9"/>
      <c r="C534" s="12"/>
      <c r="D534" s="24"/>
      <c r="E534" s="12"/>
      <c r="F534" s="41"/>
      <c r="G534" s="41"/>
      <c r="H534" s="41"/>
      <c r="AG534" s="19">
        <v>533</v>
      </c>
      <c r="AH534" s="20">
        <v>-3825.2786301944434</v>
      </c>
    </row>
    <row r="535" spans="1:34" ht="14.5" x14ac:dyDescent="0.35">
      <c r="A535" s="33"/>
      <c r="B535" s="9"/>
      <c r="C535" s="12"/>
      <c r="D535" s="24"/>
      <c r="E535" s="12"/>
      <c r="F535" s="41"/>
      <c r="G535" s="41"/>
      <c r="H535" s="41"/>
      <c r="AG535" s="19">
        <v>534</v>
      </c>
      <c r="AH535" s="20">
        <v>2040.3056853940973</v>
      </c>
    </row>
    <row r="536" spans="1:34" ht="14.5" x14ac:dyDescent="0.35">
      <c r="A536" s="33"/>
      <c r="B536" s="9"/>
      <c r="C536" s="12"/>
      <c r="D536" s="24"/>
      <c r="E536" s="12"/>
      <c r="F536" s="41"/>
      <c r="G536" s="41"/>
      <c r="H536" s="41"/>
      <c r="AG536" s="19">
        <v>535</v>
      </c>
      <c r="AH536" s="20">
        <v>1546.8432088867182</v>
      </c>
    </row>
    <row r="537" spans="1:34" ht="14.5" x14ac:dyDescent="0.35">
      <c r="A537" s="33"/>
      <c r="B537" s="9"/>
      <c r="C537" s="12"/>
      <c r="D537" s="24"/>
      <c r="E537" s="12"/>
      <c r="F537" s="41"/>
      <c r="G537" s="41"/>
      <c r="H537" s="41"/>
      <c r="AG537" s="19">
        <v>536</v>
      </c>
      <c r="AH537" s="20">
        <v>-909.73013248002826</v>
      </c>
    </row>
    <row r="538" spans="1:34" ht="14.5" x14ac:dyDescent="0.35">
      <c r="A538" s="33"/>
      <c r="B538" s="9"/>
      <c r="C538" s="12"/>
      <c r="D538" s="24"/>
      <c r="E538" s="12"/>
      <c r="F538" s="41"/>
      <c r="G538" s="41"/>
      <c r="H538" s="41"/>
      <c r="AG538" s="19">
        <v>537</v>
      </c>
      <c r="AH538" s="20">
        <v>667.03100903823929</v>
      </c>
    </row>
    <row r="539" spans="1:34" ht="14.5" x14ac:dyDescent="0.35">
      <c r="A539" s="33"/>
      <c r="B539" s="9"/>
      <c r="C539" s="12"/>
      <c r="D539" s="24"/>
      <c r="E539" s="12"/>
      <c r="F539" s="41"/>
      <c r="G539" s="41"/>
      <c r="H539" s="41"/>
      <c r="AG539" s="19">
        <v>538</v>
      </c>
      <c r="AH539" s="20">
        <v>-1547.9026078259187</v>
      </c>
    </row>
    <row r="540" spans="1:34" ht="14.5" x14ac:dyDescent="0.35">
      <c r="A540" s="33"/>
      <c r="B540" s="9"/>
      <c r="C540" s="12"/>
      <c r="D540" s="24"/>
      <c r="E540" s="12"/>
      <c r="F540" s="41"/>
      <c r="G540" s="41"/>
      <c r="H540" s="41"/>
      <c r="AG540" s="19">
        <v>539</v>
      </c>
      <c r="AH540" s="20">
        <v>245.07982171233888</v>
      </c>
    </row>
    <row r="541" spans="1:34" ht="14.5" x14ac:dyDescent="0.35">
      <c r="A541" s="33"/>
      <c r="B541" s="9"/>
      <c r="C541" s="12"/>
      <c r="D541" s="24"/>
      <c r="E541" s="12"/>
      <c r="F541" s="41"/>
      <c r="G541" s="41"/>
      <c r="H541" s="41"/>
      <c r="AG541" s="19">
        <v>540</v>
      </c>
      <c r="AH541" s="20">
        <v>-316.85878772242296</v>
      </c>
    </row>
    <row r="542" spans="1:34" ht="14.5" x14ac:dyDescent="0.35">
      <c r="A542" s="33"/>
      <c r="B542" s="9"/>
      <c r="C542" s="12"/>
      <c r="D542" s="24"/>
      <c r="E542" s="12"/>
      <c r="F542" s="41"/>
      <c r="G542" s="41"/>
      <c r="H542" s="41"/>
      <c r="AG542" s="19">
        <v>541</v>
      </c>
      <c r="AH542" s="20">
        <v>-162.84488905412337</v>
      </c>
    </row>
    <row r="543" spans="1:34" ht="14.5" x14ac:dyDescent="0.35">
      <c r="A543" s="33"/>
      <c r="B543" s="9"/>
      <c r="C543" s="12"/>
      <c r="D543" s="24"/>
      <c r="E543" s="12"/>
      <c r="F543" s="41"/>
      <c r="G543" s="41"/>
      <c r="H543" s="41"/>
      <c r="AG543" s="19">
        <v>542</v>
      </c>
      <c r="AH543" s="20">
        <v>1222.8814435863706</v>
      </c>
    </row>
    <row r="544" spans="1:34" ht="14.5" x14ac:dyDescent="0.35">
      <c r="A544" s="33"/>
      <c r="B544" s="9"/>
      <c r="C544" s="12"/>
      <c r="D544" s="24"/>
      <c r="E544" s="12"/>
      <c r="F544" s="41"/>
      <c r="G544" s="41"/>
      <c r="H544" s="41"/>
      <c r="AG544" s="19">
        <v>543</v>
      </c>
      <c r="AH544" s="20">
        <v>3018.5617164009027</v>
      </c>
    </row>
    <row r="545" spans="1:34" ht="14.5" x14ac:dyDescent="0.35">
      <c r="A545" s="33"/>
      <c r="B545" s="9"/>
      <c r="C545" s="12"/>
      <c r="D545" s="24"/>
      <c r="E545" s="12"/>
      <c r="F545" s="41"/>
      <c r="G545" s="41"/>
      <c r="H545" s="41"/>
      <c r="AG545" s="19">
        <v>544</v>
      </c>
      <c r="AH545" s="20">
        <v>4582.2444143818902</v>
      </c>
    </row>
    <row r="546" spans="1:34" ht="14.5" x14ac:dyDescent="0.35">
      <c r="A546" s="33"/>
      <c r="B546" s="9"/>
      <c r="C546" s="12"/>
      <c r="D546" s="24"/>
      <c r="E546" s="12"/>
      <c r="F546" s="41"/>
      <c r="G546" s="41"/>
      <c r="H546" s="41"/>
      <c r="AG546" s="19">
        <v>545</v>
      </c>
      <c r="AH546" s="20">
        <v>3348.7232934598796</v>
      </c>
    </row>
    <row r="547" spans="1:34" ht="14.5" x14ac:dyDescent="0.35">
      <c r="A547" s="33"/>
      <c r="B547" s="9"/>
      <c r="C547" s="12"/>
      <c r="D547" s="24"/>
      <c r="E547" s="12"/>
      <c r="F547" s="41"/>
      <c r="G547" s="41"/>
      <c r="H547" s="41"/>
      <c r="AG547" s="19">
        <v>546</v>
      </c>
      <c r="AH547" s="20">
        <v>3314.6512474998608</v>
      </c>
    </row>
    <row r="548" spans="1:34" ht="14.5" x14ac:dyDescent="0.35">
      <c r="A548" s="33"/>
      <c r="B548" s="9"/>
      <c r="C548" s="12"/>
      <c r="D548" s="24"/>
      <c r="E548" s="12"/>
      <c r="F548" s="41"/>
      <c r="G548" s="41"/>
      <c r="H548" s="41"/>
      <c r="AG548" s="19">
        <v>547</v>
      </c>
      <c r="AH548" s="20">
        <v>606.02145291268062</v>
      </c>
    </row>
    <row r="549" spans="1:34" ht="14.5" x14ac:dyDescent="0.35">
      <c r="A549" s="33"/>
      <c r="B549" s="9"/>
      <c r="C549" s="12"/>
      <c r="D549" s="24"/>
      <c r="E549" s="12"/>
      <c r="F549" s="41"/>
      <c r="G549" s="41"/>
      <c r="H549" s="41"/>
      <c r="AG549" s="19">
        <v>548</v>
      </c>
      <c r="AH549" s="20">
        <v>-495.21316565135425</v>
      </c>
    </row>
    <row r="550" spans="1:34" ht="14.5" x14ac:dyDescent="0.35">
      <c r="A550" s="33"/>
      <c r="B550" s="9"/>
      <c r="C550" s="12"/>
      <c r="D550" s="24"/>
      <c r="E550" s="12"/>
      <c r="F550" s="41"/>
      <c r="G550" s="41"/>
      <c r="H550" s="41"/>
      <c r="AG550" s="19">
        <v>549</v>
      </c>
      <c r="AH550" s="20">
        <v>1162.2327184350686</v>
      </c>
    </row>
    <row r="551" spans="1:34" ht="14.5" x14ac:dyDescent="0.35">
      <c r="A551" s="33"/>
      <c r="B551" s="9"/>
      <c r="C551" s="12"/>
      <c r="D551" s="24"/>
      <c r="E551" s="12"/>
      <c r="F551" s="41"/>
      <c r="G551" s="41"/>
      <c r="H551" s="41"/>
      <c r="AG551" s="19">
        <v>550</v>
      </c>
      <c r="AH551" s="20">
        <v>-1237.6660845853642</v>
      </c>
    </row>
    <row r="552" spans="1:34" ht="14.5" x14ac:dyDescent="0.35">
      <c r="A552" s="33"/>
      <c r="B552" s="9"/>
      <c r="C552" s="12"/>
      <c r="D552" s="24"/>
      <c r="E552" s="12"/>
      <c r="F552" s="41"/>
      <c r="G552" s="41"/>
      <c r="H552" s="41"/>
      <c r="AG552" s="19">
        <v>551</v>
      </c>
      <c r="AH552" s="20">
        <v>1705.19692964105</v>
      </c>
    </row>
    <row r="553" spans="1:34" ht="14.5" x14ac:dyDescent="0.35">
      <c r="A553" s="33"/>
      <c r="B553" s="9"/>
      <c r="C553" s="12"/>
      <c r="D553" s="24"/>
      <c r="E553" s="12"/>
      <c r="F553" s="41"/>
      <c r="G553" s="41"/>
      <c r="H553" s="41"/>
      <c r="AG553" s="19">
        <v>552</v>
      </c>
      <c r="AH553" s="20">
        <v>-469.34480351323697</v>
      </c>
    </row>
    <row r="554" spans="1:34" ht="14.5" x14ac:dyDescent="0.35">
      <c r="A554" s="33"/>
      <c r="B554" s="9"/>
      <c r="C554" s="12"/>
      <c r="D554" s="24"/>
      <c r="E554" s="12"/>
      <c r="F554" s="41"/>
      <c r="G554" s="41"/>
      <c r="H554" s="41"/>
      <c r="AG554" s="19">
        <v>553</v>
      </c>
      <c r="AH554" s="20">
        <v>1885.4124541858955</v>
      </c>
    </row>
    <row r="555" spans="1:34" ht="14.5" x14ac:dyDescent="0.35">
      <c r="A555" s="33"/>
      <c r="B555" s="9"/>
      <c r="C555" s="12"/>
      <c r="D555" s="24"/>
      <c r="E555" s="12"/>
      <c r="F555" s="41"/>
      <c r="G555" s="41"/>
      <c r="H555" s="41"/>
      <c r="AG555" s="19">
        <v>554</v>
      </c>
      <c r="AH555" s="20">
        <v>-1659.8319488164905</v>
      </c>
    </row>
    <row r="556" spans="1:34" ht="14.5" x14ac:dyDescent="0.35">
      <c r="A556" s="33"/>
      <c r="B556" s="9"/>
      <c r="C556" s="12"/>
      <c r="D556" s="24"/>
      <c r="E556" s="12"/>
      <c r="F556" s="41"/>
      <c r="G556" s="41"/>
      <c r="H556" s="41"/>
      <c r="AG556" s="19">
        <v>555</v>
      </c>
      <c r="AH556" s="20">
        <v>2262.6258690248669</v>
      </c>
    </row>
    <row r="557" spans="1:34" ht="14.5" x14ac:dyDescent="0.35">
      <c r="A557" s="33"/>
      <c r="B557" s="9"/>
      <c r="C557" s="12"/>
      <c r="D557" s="24"/>
      <c r="E557" s="12"/>
      <c r="F557" s="41"/>
      <c r="G557" s="41"/>
      <c r="H557" s="41"/>
      <c r="AG557" s="19">
        <v>556</v>
      </c>
      <c r="AH557" s="20">
        <v>750.42063168483628</v>
      </c>
    </row>
    <row r="558" spans="1:34" ht="14.5" x14ac:dyDescent="0.35">
      <c r="A558" s="33"/>
      <c r="B558" s="9"/>
      <c r="C558" s="12"/>
      <c r="D558" s="24"/>
      <c r="E558" s="12"/>
      <c r="F558" s="41"/>
      <c r="G558" s="41"/>
      <c r="H558" s="41"/>
      <c r="AG558" s="19">
        <v>557</v>
      </c>
      <c r="AH558" s="20">
        <v>1070.2655300267302</v>
      </c>
    </row>
    <row r="559" spans="1:34" ht="14.5" x14ac:dyDescent="0.35">
      <c r="A559" s="33"/>
      <c r="B559" s="9"/>
      <c r="C559" s="12"/>
      <c r="D559" s="24"/>
      <c r="E559" s="12"/>
      <c r="F559" s="41"/>
      <c r="G559" s="41"/>
      <c r="H559" s="41"/>
      <c r="AG559" s="19">
        <v>558</v>
      </c>
      <c r="AH559" s="20">
        <v>-2629.815969253706</v>
      </c>
    </row>
    <row r="560" spans="1:34" ht="14.5" x14ac:dyDescent="0.35">
      <c r="A560" s="33"/>
      <c r="B560" s="9"/>
      <c r="C560" s="12"/>
      <c r="D560" s="24"/>
      <c r="E560" s="12"/>
      <c r="F560" s="41"/>
      <c r="G560" s="41"/>
      <c r="H560" s="41"/>
      <c r="AG560" s="19">
        <v>559</v>
      </c>
      <c r="AH560" s="20">
        <v>-2836.4179171197634</v>
      </c>
    </row>
    <row r="561" spans="1:34" ht="14.5" x14ac:dyDescent="0.35">
      <c r="A561" s="33"/>
      <c r="B561" s="9"/>
      <c r="C561" s="12"/>
      <c r="D561" s="24"/>
      <c r="E561" s="12"/>
      <c r="F561" s="41"/>
      <c r="G561" s="41"/>
      <c r="H561" s="41"/>
      <c r="AG561" s="19">
        <v>560</v>
      </c>
      <c r="AH561" s="20">
        <v>1555.8738198351534</v>
      </c>
    </row>
    <row r="562" spans="1:34" ht="14.5" x14ac:dyDescent="0.35">
      <c r="A562" s="33"/>
      <c r="B562" s="9"/>
      <c r="C562" s="12"/>
      <c r="D562" s="24"/>
      <c r="E562" s="12"/>
      <c r="F562" s="41"/>
      <c r="G562" s="41"/>
      <c r="H562" s="41"/>
      <c r="AG562" s="19">
        <v>561</v>
      </c>
      <c r="AH562" s="20">
        <v>2345.0472323348499</v>
      </c>
    </row>
    <row r="563" spans="1:34" ht="14.5" x14ac:dyDescent="0.35">
      <c r="A563" s="33"/>
      <c r="B563" s="9"/>
      <c r="C563" s="12"/>
      <c r="D563" s="24"/>
      <c r="E563" s="12"/>
      <c r="F563" s="41"/>
      <c r="G563" s="41"/>
      <c r="H563" s="41"/>
      <c r="AG563" s="19">
        <v>562</v>
      </c>
      <c r="AH563" s="20">
        <v>-1002.1101180047101</v>
      </c>
    </row>
    <row r="564" spans="1:34" ht="14.5" x14ac:dyDescent="0.35">
      <c r="A564" s="33"/>
      <c r="B564" s="9"/>
      <c r="C564" s="12"/>
      <c r="D564" s="24"/>
      <c r="E564" s="12"/>
      <c r="F564" s="41"/>
      <c r="G564" s="41"/>
      <c r="H564" s="41"/>
      <c r="AG564" s="19">
        <v>563</v>
      </c>
      <c r="AH564" s="20">
        <v>1566.332157986767</v>
      </c>
    </row>
    <row r="565" spans="1:34" ht="14.5" x14ac:dyDescent="0.35">
      <c r="A565" s="33"/>
      <c r="B565" s="9"/>
      <c r="C565" s="12"/>
      <c r="D565" s="24"/>
      <c r="E565" s="12"/>
      <c r="F565" s="41"/>
      <c r="G565" s="41"/>
      <c r="H565" s="41"/>
      <c r="AG565" s="19">
        <v>564</v>
      </c>
      <c r="AH565" s="20">
        <v>-333.20328502153092</v>
      </c>
    </row>
    <row r="566" spans="1:34" ht="14.5" x14ac:dyDescent="0.35">
      <c r="A566" s="33"/>
      <c r="B566" s="9"/>
      <c r="C566" s="12"/>
      <c r="D566" s="24"/>
      <c r="E566" s="12"/>
      <c r="F566" s="41"/>
      <c r="G566" s="41"/>
      <c r="H566" s="41"/>
      <c r="AG566" s="19">
        <v>565</v>
      </c>
      <c r="AH566" s="20">
        <v>772.73500306455844</v>
      </c>
    </row>
    <row r="567" spans="1:34" ht="14.5" x14ac:dyDescent="0.35">
      <c r="A567" s="33"/>
      <c r="B567" s="9"/>
      <c r="C567" s="12"/>
      <c r="D567" s="24"/>
      <c r="E567" s="12"/>
      <c r="F567" s="41"/>
      <c r="G567" s="41"/>
      <c r="H567" s="41"/>
      <c r="AG567" s="19">
        <v>566</v>
      </c>
      <c r="AH567" s="20">
        <v>5607.9816506334519</v>
      </c>
    </row>
    <row r="568" spans="1:34" ht="14.5" x14ac:dyDescent="0.35">
      <c r="A568" s="33"/>
      <c r="B568" s="9"/>
      <c r="C568" s="12"/>
      <c r="D568" s="24"/>
      <c r="E568" s="12"/>
      <c r="F568" s="41"/>
      <c r="G568" s="41"/>
      <c r="H568" s="41"/>
      <c r="AG568" s="19">
        <v>567</v>
      </c>
      <c r="AH568" s="20">
        <v>1029.6849451529181</v>
      </c>
    </row>
    <row r="569" spans="1:34" ht="14.5" x14ac:dyDescent="0.35">
      <c r="A569" s="33"/>
      <c r="B569" s="9"/>
      <c r="C569" s="12"/>
      <c r="D569" s="24"/>
      <c r="E569" s="12"/>
      <c r="F569" s="41"/>
      <c r="G569" s="41"/>
      <c r="H569" s="41"/>
      <c r="AG569" s="19">
        <v>568</v>
      </c>
      <c r="AH569" s="20">
        <v>5133.2086221586451</v>
      </c>
    </row>
    <row r="570" spans="1:34" ht="14.5" x14ac:dyDescent="0.35">
      <c r="A570" s="33"/>
      <c r="B570" s="9"/>
      <c r="C570" s="12"/>
      <c r="D570" s="24"/>
      <c r="E570" s="12"/>
      <c r="F570" s="41"/>
      <c r="G570" s="41"/>
      <c r="H570" s="41"/>
      <c r="AG570" s="19">
        <v>569</v>
      </c>
      <c r="AH570" s="20">
        <v>-407.3552088560985</v>
      </c>
    </row>
    <row r="571" spans="1:34" ht="14.5" x14ac:dyDescent="0.35">
      <c r="A571" s="33"/>
      <c r="B571" s="9"/>
      <c r="C571" s="12"/>
      <c r="D571" s="24"/>
      <c r="E571" s="12"/>
      <c r="F571" s="41"/>
      <c r="G571" s="41"/>
      <c r="H571" s="41"/>
      <c r="AG571" s="19">
        <v>570</v>
      </c>
      <c r="AH571" s="20">
        <v>359.74377639324922</v>
      </c>
    </row>
    <row r="572" spans="1:34" ht="14.5" x14ac:dyDescent="0.35">
      <c r="A572" s="33"/>
      <c r="B572" s="9"/>
      <c r="C572" s="12"/>
      <c r="D572" s="24"/>
      <c r="E572" s="12"/>
      <c r="F572" s="41"/>
      <c r="G572" s="41"/>
      <c r="H572" s="41"/>
      <c r="AG572" s="19">
        <v>571</v>
      </c>
      <c r="AH572" s="20">
        <v>1726.590168852041</v>
      </c>
    </row>
    <row r="573" spans="1:34" ht="14.5" x14ac:dyDescent="0.35">
      <c r="A573" s="33"/>
      <c r="B573" s="9"/>
      <c r="C573" s="12"/>
      <c r="D573" s="24"/>
      <c r="E573" s="12"/>
      <c r="F573" s="41"/>
      <c r="G573" s="41"/>
      <c r="H573" s="41"/>
      <c r="AG573" s="19">
        <v>572</v>
      </c>
      <c r="AH573" s="20">
        <v>405.07995735853984</v>
      </c>
    </row>
    <row r="574" spans="1:34" ht="14.5" x14ac:dyDescent="0.35">
      <c r="A574" s="33"/>
      <c r="B574" s="9"/>
      <c r="C574" s="12"/>
      <c r="D574" s="24"/>
      <c r="E574" s="12"/>
      <c r="F574" s="41"/>
      <c r="G574" s="41"/>
      <c r="H574" s="41"/>
      <c r="AG574" s="19">
        <v>573</v>
      </c>
      <c r="AH574" s="20">
        <v>-178.22330932493679</v>
      </c>
    </row>
    <row r="575" spans="1:34" ht="14.5" x14ac:dyDescent="0.35">
      <c r="A575" s="33"/>
      <c r="B575" s="9"/>
      <c r="C575" s="12"/>
      <c r="D575" s="24"/>
      <c r="E575" s="12"/>
      <c r="F575" s="41"/>
      <c r="G575" s="41"/>
      <c r="H575" s="41"/>
      <c r="AG575" s="19">
        <v>574</v>
      </c>
      <c r="AH575" s="20">
        <v>-209.71935733405002</v>
      </c>
    </row>
    <row r="576" spans="1:34" ht="14.5" x14ac:dyDescent="0.35">
      <c r="A576" s="33"/>
      <c r="B576" s="9"/>
      <c r="C576" s="12"/>
      <c r="D576" s="24"/>
      <c r="E576" s="12"/>
      <c r="F576" s="41"/>
      <c r="G576" s="41"/>
      <c r="H576" s="41"/>
      <c r="AG576" s="19">
        <v>575</v>
      </c>
      <c r="AH576" s="20">
        <v>86.98355719568724</v>
      </c>
    </row>
    <row r="577" spans="1:34" ht="14.5" x14ac:dyDescent="0.35">
      <c r="A577" s="33"/>
      <c r="B577" s="9"/>
      <c r="C577" s="12"/>
      <c r="D577" s="24"/>
      <c r="E577" s="12"/>
      <c r="F577" s="41"/>
      <c r="G577" s="41"/>
      <c r="H577" s="41"/>
      <c r="AG577" s="19">
        <v>576</v>
      </c>
      <c r="AH577" s="20">
        <v>-1502.7105278491492</v>
      </c>
    </row>
    <row r="578" spans="1:34" ht="14.5" x14ac:dyDescent="0.35">
      <c r="A578" s="33"/>
      <c r="B578" s="9"/>
      <c r="C578" s="12"/>
      <c r="D578" s="24"/>
      <c r="E578" s="12"/>
      <c r="F578" s="41"/>
      <c r="G578" s="41"/>
      <c r="H578" s="41"/>
      <c r="AG578" s="19">
        <v>577</v>
      </c>
      <c r="AH578" s="20">
        <v>2903.6975433155171</v>
      </c>
    </row>
    <row r="579" spans="1:34" ht="14.5" x14ac:dyDescent="0.35">
      <c r="A579" s="33"/>
      <c r="B579" s="9"/>
      <c r="C579" s="12"/>
      <c r="D579" s="24"/>
      <c r="E579" s="12"/>
      <c r="F579" s="41"/>
      <c r="G579" s="41"/>
      <c r="H579" s="41"/>
      <c r="AG579" s="19">
        <v>578</v>
      </c>
      <c r="AH579" s="20">
        <v>645.81882329412576</v>
      </c>
    </row>
    <row r="580" spans="1:34" ht="14.5" x14ac:dyDescent="0.35">
      <c r="A580" s="33"/>
      <c r="B580" s="9"/>
      <c r="C580" s="12"/>
      <c r="D580" s="24"/>
      <c r="E580" s="12"/>
      <c r="F580" s="41"/>
      <c r="G580" s="41"/>
      <c r="H580" s="41"/>
      <c r="AG580" s="19">
        <v>579</v>
      </c>
      <c r="AH580" s="20">
        <v>3820.8114123037835</v>
      </c>
    </row>
    <row r="581" spans="1:34" ht="14.5" x14ac:dyDescent="0.35">
      <c r="A581" s="33"/>
      <c r="B581" s="9"/>
      <c r="C581" s="12"/>
      <c r="D581" s="24"/>
      <c r="E581" s="12"/>
      <c r="F581" s="41"/>
      <c r="G581" s="41"/>
      <c r="H581" s="41"/>
      <c r="AG581" s="19">
        <v>580</v>
      </c>
      <c r="AH581" s="20">
        <v>-135.59348035443116</v>
      </c>
    </row>
    <row r="582" spans="1:34" ht="14.5" x14ac:dyDescent="0.35">
      <c r="A582" s="33"/>
      <c r="B582" s="9"/>
      <c r="C582" s="12"/>
      <c r="D582" s="24"/>
      <c r="E582" s="12"/>
      <c r="F582" s="41"/>
      <c r="G582" s="41"/>
      <c r="H582" s="41"/>
      <c r="AG582" s="19">
        <v>581</v>
      </c>
      <c r="AH582" s="20">
        <v>596.56684341497225</v>
      </c>
    </row>
    <row r="583" spans="1:34" ht="14.5" x14ac:dyDescent="0.35">
      <c r="A583" s="33"/>
      <c r="B583" s="9"/>
      <c r="C583" s="12"/>
      <c r="D583" s="24"/>
      <c r="E583" s="12"/>
      <c r="F583" s="41"/>
      <c r="G583" s="41"/>
      <c r="H583" s="41"/>
      <c r="AG583" s="19">
        <v>582</v>
      </c>
      <c r="AH583" s="20">
        <v>914.95311621598171</v>
      </c>
    </row>
    <row r="584" spans="1:34" ht="14.5" x14ac:dyDescent="0.35">
      <c r="A584" s="33"/>
      <c r="B584" s="9"/>
      <c r="C584" s="12"/>
      <c r="D584" s="24"/>
      <c r="E584" s="12"/>
      <c r="F584" s="41"/>
      <c r="G584" s="41"/>
      <c r="H584" s="41"/>
      <c r="AG584" s="19">
        <v>583</v>
      </c>
      <c r="AH584" s="20">
        <v>1052.1908032233725</v>
      </c>
    </row>
    <row r="585" spans="1:34" ht="14.5" x14ac:dyDescent="0.35">
      <c r="A585" s="33"/>
      <c r="B585" s="9"/>
      <c r="C585" s="12"/>
      <c r="D585" s="24"/>
      <c r="E585" s="12"/>
      <c r="F585" s="41"/>
      <c r="G585" s="41"/>
      <c r="H585" s="41"/>
      <c r="AG585" s="19">
        <v>584</v>
      </c>
      <c r="AH585" s="20">
        <v>-968.08505031297477</v>
      </c>
    </row>
    <row r="586" spans="1:34" ht="14.5" x14ac:dyDescent="0.35">
      <c r="A586" s="33"/>
      <c r="B586" s="9"/>
      <c r="C586" s="12"/>
      <c r="D586" s="24"/>
      <c r="E586" s="12"/>
      <c r="F586" s="41"/>
      <c r="G586" s="41"/>
      <c r="H586" s="41"/>
      <c r="AG586" s="19">
        <v>585</v>
      </c>
      <c r="AH586" s="20">
        <v>967.03359414845727</v>
      </c>
    </row>
    <row r="587" spans="1:34" ht="14.5" x14ac:dyDescent="0.35">
      <c r="A587" s="33"/>
      <c r="B587" s="9"/>
      <c r="C587" s="12"/>
      <c r="D587" s="24"/>
      <c r="E587" s="12"/>
      <c r="F587" s="41"/>
      <c r="G587" s="41"/>
      <c r="H587" s="41"/>
      <c r="AG587" s="19">
        <v>586</v>
      </c>
      <c r="AH587" s="20">
        <v>564.77262912265223</v>
      </c>
    </row>
    <row r="588" spans="1:34" ht="14.5" x14ac:dyDescent="0.35">
      <c r="A588" s="33"/>
      <c r="B588" s="9"/>
      <c r="C588" s="12"/>
      <c r="D588" s="24"/>
      <c r="E588" s="12"/>
      <c r="F588" s="41"/>
      <c r="G588" s="41"/>
      <c r="H588" s="41"/>
      <c r="AG588" s="19">
        <v>587</v>
      </c>
      <c r="AH588" s="20">
        <v>44.151244169590996</v>
      </c>
    </row>
    <row r="589" spans="1:34" ht="14.5" x14ac:dyDescent="0.35">
      <c r="A589" s="33"/>
      <c r="B589" s="9"/>
      <c r="C589" s="12"/>
      <c r="D589" s="24"/>
      <c r="E589" s="12"/>
      <c r="F589" s="41"/>
      <c r="G589" s="41"/>
      <c r="H589" s="41"/>
      <c r="AG589" s="19">
        <v>588</v>
      </c>
      <c r="AH589" s="20">
        <v>-1525.3605377691906</v>
      </c>
    </row>
    <row r="590" spans="1:34" ht="14.5" x14ac:dyDescent="0.35">
      <c r="A590" s="33"/>
      <c r="B590" s="9"/>
      <c r="C590" s="12"/>
      <c r="D590" s="24"/>
      <c r="E590" s="12"/>
      <c r="F590" s="41"/>
      <c r="G590" s="41"/>
      <c r="H590" s="41"/>
      <c r="AG590" s="19">
        <v>589</v>
      </c>
      <c r="AH590" s="20">
        <v>-1369.2797157587161</v>
      </c>
    </row>
    <row r="591" spans="1:34" ht="14.5" x14ac:dyDescent="0.35">
      <c r="A591" s="33"/>
      <c r="B591" s="9"/>
      <c r="C591" s="12"/>
      <c r="D591" s="24"/>
      <c r="E591" s="12"/>
      <c r="F591" s="41"/>
      <c r="G591" s="41"/>
      <c r="H591" s="41"/>
      <c r="AG591" s="19">
        <v>590</v>
      </c>
      <c r="AH591" s="20">
        <v>-1362.4653186666496</v>
      </c>
    </row>
    <row r="592" spans="1:34" ht="14.5" x14ac:dyDescent="0.35">
      <c r="A592" s="33"/>
      <c r="B592" s="9"/>
      <c r="C592" s="12"/>
      <c r="D592" s="24"/>
      <c r="E592" s="12"/>
      <c r="F592" s="41"/>
      <c r="G592" s="41"/>
      <c r="H592" s="41"/>
      <c r="AG592" s="19">
        <v>591</v>
      </c>
      <c r="AH592" s="20">
        <v>597.01563444961971</v>
      </c>
    </row>
    <row r="593" spans="1:34" ht="14.5" x14ac:dyDescent="0.35">
      <c r="A593" s="33"/>
      <c r="B593" s="9"/>
      <c r="C593" s="12"/>
      <c r="D593" s="24"/>
      <c r="E593" s="12"/>
      <c r="F593" s="41"/>
      <c r="G593" s="41"/>
      <c r="H593" s="41"/>
      <c r="AG593" s="19">
        <v>592</v>
      </c>
      <c r="AH593" s="20">
        <v>-2928.1791159585605</v>
      </c>
    </row>
    <row r="594" spans="1:34" ht="14.5" x14ac:dyDescent="0.35">
      <c r="A594" s="33"/>
      <c r="B594" s="9"/>
      <c r="C594" s="12"/>
      <c r="D594" s="24"/>
      <c r="E594" s="12"/>
      <c r="F594" s="41"/>
      <c r="G594" s="41"/>
      <c r="H594" s="41"/>
      <c r="AG594" s="19">
        <v>593</v>
      </c>
      <c r="AH594" s="20">
        <v>9.463586902938971</v>
      </c>
    </row>
    <row r="595" spans="1:34" ht="14.5" x14ac:dyDescent="0.35">
      <c r="A595" s="33"/>
      <c r="B595" s="9"/>
      <c r="C595" s="12"/>
      <c r="D595" s="24"/>
      <c r="E595" s="12"/>
      <c r="F595" s="41"/>
      <c r="G595" s="41"/>
      <c r="H595" s="41"/>
      <c r="AG595" s="19">
        <v>594</v>
      </c>
      <c r="AH595" s="20">
        <v>1941.0505145790864</v>
      </c>
    </row>
    <row r="596" spans="1:34" ht="14.5" x14ac:dyDescent="0.35">
      <c r="A596" s="33"/>
      <c r="B596" s="9"/>
      <c r="C596" s="12"/>
      <c r="D596" s="24"/>
      <c r="E596" s="12"/>
      <c r="F596" s="41"/>
      <c r="G596" s="41"/>
      <c r="H596" s="41"/>
      <c r="AG596" s="19">
        <v>595</v>
      </c>
      <c r="AH596" s="20">
        <v>408.06024762343657</v>
      </c>
    </row>
    <row r="597" spans="1:34" ht="14.5" x14ac:dyDescent="0.35">
      <c r="A597" s="33"/>
      <c r="B597" s="9"/>
      <c r="C597" s="12"/>
      <c r="D597" s="24"/>
      <c r="E597" s="12"/>
      <c r="F597" s="41"/>
      <c r="G597" s="41"/>
      <c r="H597" s="41"/>
      <c r="AG597" s="19">
        <v>596</v>
      </c>
      <c r="AH597" s="20">
        <v>595.52389782976763</v>
      </c>
    </row>
    <row r="598" spans="1:34" ht="14.5" x14ac:dyDescent="0.35">
      <c r="A598" s="33"/>
      <c r="B598" s="9"/>
      <c r="C598" s="12"/>
      <c r="D598" s="24"/>
      <c r="E598" s="12"/>
      <c r="F598" s="41"/>
      <c r="G598" s="41"/>
      <c r="H598" s="41"/>
      <c r="AG598" s="19">
        <v>597</v>
      </c>
      <c r="AH598" s="20">
        <v>1689.1229696866837</v>
      </c>
    </row>
    <row r="599" spans="1:34" ht="14.5" x14ac:dyDescent="0.35">
      <c r="A599" s="33"/>
      <c r="B599" s="9"/>
      <c r="C599" s="12"/>
      <c r="D599" s="24"/>
      <c r="E599" s="12"/>
      <c r="F599" s="41"/>
      <c r="G599" s="41"/>
      <c r="H599" s="41"/>
      <c r="AG599" s="19">
        <v>598</v>
      </c>
      <c r="AH599" s="20">
        <v>657.88890184014906</v>
      </c>
    </row>
    <row r="600" spans="1:34" ht="14.5" x14ac:dyDescent="0.35">
      <c r="A600" s="33"/>
      <c r="B600" s="9"/>
      <c r="C600" s="12"/>
      <c r="D600" s="24"/>
      <c r="E600" s="12"/>
      <c r="F600" s="41"/>
      <c r="G600" s="41"/>
      <c r="H600" s="41"/>
      <c r="AG600" s="19">
        <v>599</v>
      </c>
      <c r="AH600" s="20">
        <v>-504.98470375181779</v>
      </c>
    </row>
    <row r="601" spans="1:34" ht="14.5" x14ac:dyDescent="0.35">
      <c r="A601" s="33"/>
      <c r="B601" s="9"/>
      <c r="C601" s="12"/>
      <c r="D601" s="24"/>
      <c r="E601" s="12"/>
      <c r="F601" s="41"/>
      <c r="G601" s="41"/>
      <c r="H601" s="41"/>
      <c r="AG601" s="19">
        <v>600</v>
      </c>
      <c r="AH601" s="20">
        <v>3038.5034070113006</v>
      </c>
    </row>
    <row r="602" spans="1:34" ht="14.5" x14ac:dyDescent="0.35">
      <c r="A602" s="33"/>
      <c r="B602" s="9"/>
      <c r="C602" s="12"/>
      <c r="D602" s="24"/>
      <c r="E602" s="12"/>
      <c r="F602" s="41"/>
      <c r="G602" s="41"/>
      <c r="H602" s="41"/>
      <c r="AG602" s="19">
        <v>601</v>
      </c>
      <c r="AH602" s="20">
        <v>-454.3122596018996</v>
      </c>
    </row>
    <row r="603" spans="1:34" ht="14.5" x14ac:dyDescent="0.35">
      <c r="A603" s="33"/>
      <c r="B603" s="9"/>
      <c r="C603" s="12"/>
      <c r="D603" s="24"/>
      <c r="E603" s="12"/>
      <c r="F603" s="41"/>
      <c r="G603" s="41"/>
      <c r="H603" s="41"/>
      <c r="AG603" s="19">
        <v>602</v>
      </c>
      <c r="AH603" s="20">
        <v>-218.85954621199784</v>
      </c>
    </row>
    <row r="604" spans="1:34" ht="14.5" x14ac:dyDescent="0.35">
      <c r="A604" s="33"/>
      <c r="B604" s="9"/>
      <c r="C604" s="12"/>
      <c r="D604" s="24"/>
      <c r="E604" s="12"/>
      <c r="F604" s="41"/>
      <c r="G604" s="41"/>
      <c r="H604" s="41"/>
      <c r="AG604" s="19">
        <v>603</v>
      </c>
      <c r="AH604" s="20">
        <v>2043.2276106547827</v>
      </c>
    </row>
    <row r="605" spans="1:34" ht="14.5" x14ac:dyDescent="0.35">
      <c r="A605" s="33"/>
      <c r="B605" s="9"/>
      <c r="C605" s="12"/>
      <c r="D605" s="24"/>
      <c r="E605" s="12"/>
      <c r="F605" s="41"/>
      <c r="G605" s="41"/>
      <c r="H605" s="41"/>
      <c r="AG605" s="19">
        <v>604</v>
      </c>
      <c r="AH605" s="20">
        <v>-458.99568989237429</v>
      </c>
    </row>
    <row r="606" spans="1:34" ht="14.5" x14ac:dyDescent="0.35">
      <c r="A606" s="33"/>
      <c r="B606" s="9"/>
      <c r="C606" s="12"/>
      <c r="D606" s="24"/>
      <c r="E606" s="12"/>
      <c r="F606" s="41"/>
      <c r="G606" s="41"/>
      <c r="H606" s="41"/>
      <c r="AG606" s="19">
        <v>605</v>
      </c>
      <c r="AH606" s="20">
        <v>482.25518946930174</v>
      </c>
    </row>
    <row r="607" spans="1:34" ht="14.5" x14ac:dyDescent="0.35">
      <c r="A607" s="33"/>
      <c r="B607" s="9"/>
      <c r="C607" s="12"/>
      <c r="D607" s="24"/>
      <c r="E607" s="12"/>
      <c r="F607" s="41"/>
      <c r="G607" s="41"/>
      <c r="H607" s="41"/>
      <c r="AG607" s="19">
        <v>606</v>
      </c>
      <c r="AH607" s="20">
        <v>854.07088166935102</v>
      </c>
    </row>
    <row r="608" spans="1:34" ht="14.5" x14ac:dyDescent="0.35">
      <c r="A608" s="33"/>
      <c r="B608" s="9"/>
      <c r="C608" s="12"/>
      <c r="D608" s="24"/>
      <c r="E608" s="12"/>
      <c r="F608" s="41"/>
      <c r="G608" s="41"/>
      <c r="H608" s="41"/>
      <c r="AG608" s="19">
        <v>607</v>
      </c>
      <c r="AH608" s="20">
        <v>-1249.5834365128374</v>
      </c>
    </row>
    <row r="609" spans="1:34" ht="14.5" x14ac:dyDescent="0.35">
      <c r="A609" s="33"/>
      <c r="B609" s="9"/>
      <c r="C609" s="12"/>
      <c r="D609" s="24"/>
      <c r="E609" s="12"/>
      <c r="F609" s="41"/>
      <c r="G609" s="41"/>
      <c r="H609" s="41"/>
      <c r="AG609" s="19">
        <v>608</v>
      </c>
      <c r="AH609" s="20">
        <v>-3205.6187237572408</v>
      </c>
    </row>
    <row r="610" spans="1:34" ht="14.5" x14ac:dyDescent="0.35">
      <c r="A610" s="33"/>
      <c r="B610" s="9"/>
      <c r="C610" s="12"/>
      <c r="D610" s="24"/>
      <c r="E610" s="12"/>
      <c r="F610" s="41"/>
      <c r="G610" s="41"/>
      <c r="H610" s="41"/>
      <c r="AG610" s="19">
        <v>609</v>
      </c>
      <c r="AH610" s="20">
        <v>552.08229558721064</v>
      </c>
    </row>
    <row r="611" spans="1:34" ht="14.5" x14ac:dyDescent="0.35">
      <c r="A611" s="33"/>
      <c r="B611" s="9"/>
      <c r="C611" s="12"/>
      <c r="D611" s="24"/>
      <c r="E611" s="12"/>
      <c r="F611" s="41"/>
      <c r="G611" s="41"/>
      <c r="H611" s="41"/>
      <c r="AG611" s="19">
        <v>610</v>
      </c>
      <c r="AH611" s="20">
        <v>2460.0995390766593</v>
      </c>
    </row>
    <row r="612" spans="1:34" ht="14.5" x14ac:dyDescent="0.35">
      <c r="A612" s="33"/>
      <c r="B612" s="9"/>
      <c r="C612" s="12"/>
      <c r="D612" s="24"/>
      <c r="E612" s="12"/>
      <c r="F612" s="41"/>
      <c r="G612" s="41"/>
      <c r="H612" s="41"/>
      <c r="AG612" s="19">
        <v>611</v>
      </c>
      <c r="AH612" s="20">
        <v>1505.5584088509565</v>
      </c>
    </row>
    <row r="613" spans="1:34" ht="14.5" x14ac:dyDescent="0.35">
      <c r="A613" s="33"/>
      <c r="B613" s="9"/>
      <c r="C613" s="12"/>
      <c r="D613" s="24"/>
      <c r="E613" s="12"/>
      <c r="F613" s="41"/>
      <c r="G613" s="41"/>
      <c r="H613" s="41"/>
      <c r="AG613" s="19">
        <v>612</v>
      </c>
      <c r="AH613" s="20">
        <v>1327.565131984808</v>
      </c>
    </row>
    <row r="614" spans="1:34" ht="14.5" x14ac:dyDescent="0.35">
      <c r="A614" s="33"/>
      <c r="B614" s="9"/>
      <c r="C614" s="12"/>
      <c r="D614" s="24"/>
      <c r="E614" s="12"/>
      <c r="F614" s="41"/>
      <c r="G614" s="41"/>
      <c r="H614" s="41"/>
      <c r="AG614" s="19">
        <v>613</v>
      </c>
      <c r="AH614" s="20">
        <v>1340.8963202858188</v>
      </c>
    </row>
    <row r="615" spans="1:34" ht="14.5" x14ac:dyDescent="0.35">
      <c r="A615" s="33"/>
      <c r="B615" s="9"/>
      <c r="C615" s="12"/>
      <c r="D615" s="24"/>
      <c r="E615" s="12"/>
      <c r="F615" s="41"/>
      <c r="G615" s="41"/>
      <c r="H615" s="41"/>
      <c r="AG615" s="19">
        <v>614</v>
      </c>
      <c r="AH615" s="20">
        <v>660.72855103823042</v>
      </c>
    </row>
    <row r="616" spans="1:34" ht="14.5" x14ac:dyDescent="0.35">
      <c r="A616" s="33"/>
      <c r="B616" s="9"/>
      <c r="C616" s="12"/>
      <c r="D616" s="24"/>
      <c r="E616" s="12"/>
      <c r="F616" s="41"/>
      <c r="G616" s="41"/>
      <c r="H616" s="41"/>
      <c r="AG616" s="19">
        <v>615</v>
      </c>
      <c r="AH616" s="20">
        <v>-3617.7991186454105</v>
      </c>
    </row>
    <row r="617" spans="1:34" ht="14.5" x14ac:dyDescent="0.35">
      <c r="A617" s="33"/>
      <c r="B617" s="9"/>
      <c r="C617" s="12"/>
      <c r="D617" s="24"/>
      <c r="E617" s="12"/>
      <c r="F617" s="41"/>
      <c r="G617" s="41"/>
      <c r="H617" s="41"/>
      <c r="AG617" s="19">
        <v>616</v>
      </c>
      <c r="AH617" s="20">
        <v>1485.2775181138625</v>
      </c>
    </row>
    <row r="618" spans="1:34" ht="14.5" x14ac:dyDescent="0.35">
      <c r="A618" s="33"/>
      <c r="B618" s="9"/>
      <c r="C618" s="12"/>
      <c r="D618" s="24"/>
      <c r="E618" s="12"/>
      <c r="F618" s="41"/>
      <c r="G618" s="41"/>
      <c r="H618" s="41"/>
      <c r="AG618" s="19">
        <v>617</v>
      </c>
      <c r="AH618" s="20">
        <v>1974.2251639646531</v>
      </c>
    </row>
    <row r="619" spans="1:34" ht="14.5" x14ac:dyDescent="0.35">
      <c r="A619" s="33"/>
      <c r="B619" s="9"/>
      <c r="C619" s="12"/>
      <c r="D619" s="24"/>
      <c r="E619" s="12"/>
      <c r="F619" s="41"/>
      <c r="G619" s="41"/>
      <c r="H619" s="41"/>
      <c r="AG619" s="19">
        <v>618</v>
      </c>
      <c r="AH619" s="20">
        <v>1669.9419413603493</v>
      </c>
    </row>
    <row r="620" spans="1:34" ht="14.5" x14ac:dyDescent="0.35">
      <c r="A620" s="33"/>
      <c r="B620" s="9"/>
      <c r="C620" s="12"/>
      <c r="D620" s="24"/>
      <c r="E620" s="12"/>
      <c r="F620" s="41"/>
      <c r="G620" s="41"/>
      <c r="H620" s="41"/>
      <c r="AG620" s="19">
        <v>619</v>
      </c>
      <c r="AH620" s="20">
        <v>813.05271949751898</v>
      </c>
    </row>
    <row r="621" spans="1:34" ht="14.5" x14ac:dyDescent="0.35">
      <c r="A621" s="33"/>
      <c r="B621" s="9"/>
      <c r="C621" s="12"/>
      <c r="D621" s="24"/>
      <c r="E621" s="12"/>
      <c r="F621" s="41"/>
      <c r="G621" s="41"/>
      <c r="H621" s="41"/>
      <c r="AG621" s="19">
        <v>620</v>
      </c>
      <c r="AH621" s="20">
        <v>-699.4839801350106</v>
      </c>
    </row>
    <row r="622" spans="1:34" ht="14.5" x14ac:dyDescent="0.35">
      <c r="A622" s="33"/>
      <c r="B622" s="9"/>
      <c r="C622" s="12"/>
      <c r="D622" s="24"/>
      <c r="E622" s="12"/>
      <c r="F622" s="41"/>
      <c r="G622" s="41"/>
      <c r="H622" s="41"/>
      <c r="AG622" s="19">
        <v>621</v>
      </c>
      <c r="AH622" s="20">
        <v>-532.71221025499653</v>
      </c>
    </row>
    <row r="623" spans="1:34" ht="14.5" x14ac:dyDescent="0.35">
      <c r="A623" s="33"/>
      <c r="B623" s="9"/>
      <c r="C623" s="12"/>
      <c r="D623" s="24"/>
      <c r="E623" s="12"/>
      <c r="F623" s="41"/>
      <c r="G623" s="41"/>
      <c r="H623" s="41"/>
      <c r="AG623" s="19">
        <v>622</v>
      </c>
      <c r="AH623" s="20">
        <v>-930.38491295903168</v>
      </c>
    </row>
    <row r="624" spans="1:34" ht="14.5" x14ac:dyDescent="0.35">
      <c r="A624" s="33"/>
      <c r="B624" s="9"/>
      <c r="C624" s="12"/>
      <c r="D624" s="24"/>
      <c r="E624" s="12"/>
      <c r="F624" s="41"/>
      <c r="G624" s="41"/>
      <c r="H624" s="41"/>
      <c r="AG624" s="19">
        <v>623</v>
      </c>
      <c r="AH624" s="20">
        <v>2130.7364321736745</v>
      </c>
    </row>
    <row r="625" spans="1:34" ht="14.5" x14ac:dyDescent="0.35">
      <c r="A625" s="33"/>
      <c r="B625" s="9"/>
      <c r="C625" s="12"/>
      <c r="D625" s="24"/>
      <c r="E625" s="12"/>
      <c r="F625" s="41"/>
      <c r="G625" s="41"/>
      <c r="H625" s="41"/>
      <c r="AG625" s="19">
        <v>624</v>
      </c>
      <c r="AH625" s="20">
        <v>-2305.0394021460393</v>
      </c>
    </row>
    <row r="626" spans="1:34" ht="14.5" x14ac:dyDescent="0.35">
      <c r="A626" s="33"/>
      <c r="B626" s="9"/>
      <c r="C626" s="12"/>
      <c r="D626" s="24"/>
      <c r="E626" s="12"/>
      <c r="F626" s="41"/>
      <c r="G626" s="41"/>
      <c r="H626" s="41"/>
      <c r="AG626" s="19">
        <v>625</v>
      </c>
      <c r="AH626" s="20">
        <v>-2133.2964274392307</v>
      </c>
    </row>
    <row r="627" spans="1:34" ht="14.5" x14ac:dyDescent="0.35">
      <c r="A627" s="33"/>
      <c r="B627" s="9"/>
      <c r="C627" s="12"/>
      <c r="D627" s="24"/>
      <c r="E627" s="12"/>
      <c r="F627" s="41"/>
      <c r="G627" s="41"/>
      <c r="H627" s="41"/>
      <c r="AG627" s="19">
        <v>626</v>
      </c>
      <c r="AH627" s="20">
        <v>1755.3040170372617</v>
      </c>
    </row>
    <row r="628" spans="1:34" ht="14.5" x14ac:dyDescent="0.35">
      <c r="A628" s="33"/>
      <c r="B628" s="9"/>
      <c r="C628" s="12"/>
      <c r="D628" s="24"/>
      <c r="E628" s="12"/>
      <c r="F628" s="41"/>
      <c r="G628" s="41"/>
      <c r="H628" s="41"/>
      <c r="AG628" s="19">
        <v>627</v>
      </c>
      <c r="AH628" s="20">
        <v>-5090.364640783192</v>
      </c>
    </row>
    <row r="629" spans="1:34" ht="14.5" x14ac:dyDescent="0.35">
      <c r="A629" s="33"/>
      <c r="B629" s="9"/>
      <c r="C629" s="12"/>
      <c r="D629" s="24"/>
      <c r="E629" s="12"/>
      <c r="F629" s="41"/>
      <c r="G629" s="41"/>
      <c r="H629" s="41"/>
      <c r="AG629" s="19">
        <v>628</v>
      </c>
      <c r="AH629" s="20">
        <v>1985.8272651837754</v>
      </c>
    </row>
    <row r="630" spans="1:34" ht="14.5" x14ac:dyDescent="0.35">
      <c r="A630" s="33"/>
      <c r="B630" s="9"/>
      <c r="C630" s="12"/>
      <c r="D630" s="24"/>
      <c r="E630" s="12"/>
      <c r="F630" s="41"/>
      <c r="G630" s="41"/>
      <c r="H630" s="41"/>
      <c r="AG630" s="19">
        <v>629</v>
      </c>
      <c r="AH630" s="20">
        <v>1507.7476758914156</v>
      </c>
    </row>
    <row r="631" spans="1:34" ht="14.5" x14ac:dyDescent="0.35">
      <c r="A631" s="33"/>
      <c r="B631" s="9"/>
      <c r="C631" s="12"/>
      <c r="D631" s="24"/>
      <c r="E631" s="12"/>
      <c r="F631" s="41"/>
      <c r="G631" s="41"/>
      <c r="H631" s="41"/>
      <c r="AG631" s="19">
        <v>630</v>
      </c>
      <c r="AH631" s="20">
        <v>4299.8536386370915</v>
      </c>
    </row>
    <row r="632" spans="1:34" ht="14.5" x14ac:dyDescent="0.35">
      <c r="A632" s="33"/>
      <c r="B632" s="9"/>
      <c r="C632" s="12"/>
      <c r="D632" s="24"/>
      <c r="E632" s="12"/>
      <c r="F632" s="41"/>
      <c r="G632" s="41"/>
      <c r="H632" s="41"/>
      <c r="AG632" s="19">
        <v>631</v>
      </c>
      <c r="AH632" s="20">
        <v>2045.9648859484687</v>
      </c>
    </row>
    <row r="633" spans="1:34" ht="14.5" x14ac:dyDescent="0.35">
      <c r="A633" s="33"/>
      <c r="B633" s="9"/>
      <c r="C633" s="12"/>
      <c r="D633" s="24"/>
      <c r="E633" s="12"/>
      <c r="F633" s="41"/>
      <c r="G633" s="41"/>
      <c r="H633" s="41"/>
      <c r="AG633" s="19">
        <v>632</v>
      </c>
      <c r="AH633" s="20">
        <v>311.83641429495549</v>
      </c>
    </row>
    <row r="634" spans="1:34" ht="14.5" x14ac:dyDescent="0.35">
      <c r="A634" s="33"/>
      <c r="B634" s="9"/>
      <c r="C634" s="12"/>
      <c r="D634" s="24"/>
      <c r="E634" s="12"/>
      <c r="F634" s="41"/>
      <c r="G634" s="41"/>
      <c r="H634" s="41"/>
      <c r="AG634" s="19">
        <v>633</v>
      </c>
      <c r="AH634" s="20">
        <v>531.29182119866471</v>
      </c>
    </row>
    <row r="635" spans="1:34" ht="14.5" x14ac:dyDescent="0.35">
      <c r="A635" s="33"/>
      <c r="B635" s="9"/>
      <c r="C635" s="12"/>
      <c r="D635" s="24"/>
      <c r="E635" s="12"/>
      <c r="F635" s="41"/>
      <c r="G635" s="41"/>
      <c r="H635" s="41"/>
      <c r="AG635" s="19">
        <v>634</v>
      </c>
      <c r="AH635" s="20">
        <v>1262.2408177142663</v>
      </c>
    </row>
    <row r="636" spans="1:34" ht="14.5" x14ac:dyDescent="0.35">
      <c r="A636" s="33"/>
      <c r="B636" s="9"/>
      <c r="C636" s="12"/>
      <c r="D636" s="24"/>
      <c r="E636" s="12"/>
      <c r="F636" s="41"/>
      <c r="G636" s="41"/>
      <c r="H636" s="41"/>
      <c r="AG636" s="19">
        <v>635</v>
      </c>
      <c r="AH636" s="20">
        <v>-71.53752994770872</v>
      </c>
    </row>
    <row r="637" spans="1:34" ht="14.5" x14ac:dyDescent="0.35">
      <c r="A637" s="33"/>
      <c r="B637" s="9"/>
      <c r="C637" s="12"/>
      <c r="D637" s="24"/>
      <c r="E637" s="12"/>
      <c r="F637" s="41"/>
      <c r="G637" s="41"/>
      <c r="H637" s="41"/>
      <c r="AG637" s="19">
        <v>636</v>
      </c>
      <c r="AH637" s="20">
        <v>-1025.9307334645339</v>
      </c>
    </row>
    <row r="638" spans="1:34" ht="14.5" x14ac:dyDescent="0.35">
      <c r="A638" s="33"/>
      <c r="B638" s="9"/>
      <c r="C638" s="12"/>
      <c r="D638" s="24"/>
      <c r="E638" s="12"/>
      <c r="F638" s="41"/>
      <c r="G638" s="41"/>
      <c r="H638" s="41"/>
      <c r="AG638" s="19">
        <v>637</v>
      </c>
      <c r="AH638" s="20">
        <v>-623.7518093848837</v>
      </c>
    </row>
    <row r="639" spans="1:34" ht="14.5" x14ac:dyDescent="0.35">
      <c r="A639" s="33"/>
      <c r="B639" s="9"/>
      <c r="C639" s="12"/>
      <c r="D639" s="24"/>
      <c r="E639" s="12"/>
      <c r="F639" s="41"/>
      <c r="G639" s="41"/>
      <c r="H639" s="41"/>
      <c r="AG639" s="19">
        <v>638</v>
      </c>
      <c r="AH639" s="20">
        <v>1916.2007317023536</v>
      </c>
    </row>
    <row r="640" spans="1:34" ht="14.5" x14ac:dyDescent="0.35">
      <c r="A640" s="33"/>
      <c r="B640" s="9"/>
      <c r="C640" s="12"/>
      <c r="D640" s="24"/>
      <c r="E640" s="12"/>
      <c r="F640" s="41"/>
      <c r="G640" s="41"/>
      <c r="H640" s="41"/>
      <c r="AG640" s="19">
        <v>639</v>
      </c>
      <c r="AH640" s="20">
        <v>3006.3990974480416</v>
      </c>
    </row>
    <row r="641" spans="1:34" ht="14.5" x14ac:dyDescent="0.35">
      <c r="A641" s="33"/>
      <c r="B641" s="9"/>
      <c r="C641" s="12"/>
      <c r="D641" s="24"/>
      <c r="E641" s="12"/>
      <c r="F641" s="41"/>
      <c r="G641" s="41"/>
      <c r="H641" s="41"/>
      <c r="AG641" s="19">
        <v>640</v>
      </c>
      <c r="AH641" s="20">
        <v>-1379.604849764482</v>
      </c>
    </row>
    <row r="642" spans="1:34" ht="14.5" x14ac:dyDescent="0.35">
      <c r="A642" s="33"/>
      <c r="B642" s="9"/>
      <c r="C642" s="12"/>
      <c r="D642" s="24"/>
      <c r="E642" s="12"/>
      <c r="F642" s="41"/>
      <c r="G642" s="41"/>
      <c r="H642" s="41"/>
      <c r="AG642" s="19">
        <v>641</v>
      </c>
      <c r="AH642" s="20">
        <v>-3729.5425074730083</v>
      </c>
    </row>
    <row r="643" spans="1:34" ht="14.5" x14ac:dyDescent="0.35">
      <c r="A643" s="33"/>
      <c r="B643" s="9"/>
      <c r="C643" s="12"/>
      <c r="D643" s="24"/>
      <c r="E643" s="12"/>
      <c r="F643" s="41"/>
      <c r="G643" s="41"/>
      <c r="H643" s="41"/>
      <c r="AG643" s="19">
        <v>642</v>
      </c>
      <c r="AH643" s="20">
        <v>58.914515404868098</v>
      </c>
    </row>
    <row r="644" spans="1:34" ht="14.5" x14ac:dyDescent="0.35">
      <c r="A644" s="33"/>
      <c r="B644" s="9"/>
      <c r="C644" s="12"/>
      <c r="D644" s="24"/>
      <c r="E644" s="12"/>
      <c r="F644" s="41"/>
      <c r="G644" s="41"/>
      <c r="H644" s="41"/>
      <c r="AG644" s="19">
        <v>643</v>
      </c>
      <c r="AH644" s="20">
        <v>407.84783031402424</v>
      </c>
    </row>
    <row r="645" spans="1:34" ht="14.5" x14ac:dyDescent="0.35">
      <c r="A645" s="33"/>
      <c r="B645" s="9"/>
      <c r="C645" s="12"/>
      <c r="D645" s="24"/>
      <c r="E645" s="12"/>
      <c r="F645" s="41"/>
      <c r="G645" s="41"/>
      <c r="H645" s="41"/>
      <c r="AG645" s="19">
        <v>644</v>
      </c>
      <c r="AH645" s="20">
        <v>-2322.251805812723</v>
      </c>
    </row>
    <row r="646" spans="1:34" ht="14.5" x14ac:dyDescent="0.35">
      <c r="A646" s="33"/>
      <c r="B646" s="9"/>
      <c r="C646" s="12"/>
      <c r="D646" s="24"/>
      <c r="E646" s="12"/>
      <c r="F646" s="41"/>
      <c r="G646" s="41"/>
      <c r="H646" s="41"/>
      <c r="AG646" s="19">
        <v>645</v>
      </c>
      <c r="AH646" s="20">
        <v>-1683.6114214151596</v>
      </c>
    </row>
    <row r="647" spans="1:34" ht="14.5" x14ac:dyDescent="0.35">
      <c r="A647" s="33"/>
      <c r="B647" s="9"/>
      <c r="C647" s="12"/>
      <c r="D647" s="24"/>
      <c r="E647" s="12"/>
      <c r="F647" s="41"/>
      <c r="G647" s="41"/>
      <c r="H647" s="41"/>
      <c r="AG647" s="19">
        <v>646</v>
      </c>
      <c r="AH647" s="20">
        <v>619.25326074152645</v>
      </c>
    </row>
    <row r="648" spans="1:34" ht="14.5" x14ac:dyDescent="0.35">
      <c r="A648" s="33"/>
      <c r="B648" s="9"/>
      <c r="C648" s="12"/>
      <c r="D648" s="24"/>
      <c r="E648" s="12"/>
      <c r="F648" s="41"/>
      <c r="G648" s="41"/>
      <c r="H648" s="41"/>
      <c r="AG648" s="19">
        <v>647</v>
      </c>
      <c r="AH648" s="20">
        <v>-1316.5226508746803</v>
      </c>
    </row>
    <row r="649" spans="1:34" ht="14.5" x14ac:dyDescent="0.35">
      <c r="A649" s="33"/>
      <c r="B649" s="9"/>
      <c r="C649" s="12"/>
      <c r="D649" s="24"/>
      <c r="E649" s="12"/>
      <c r="F649" s="41"/>
      <c r="G649" s="41"/>
      <c r="H649" s="41"/>
      <c r="AG649" s="19">
        <v>648</v>
      </c>
      <c r="AH649" s="20">
        <v>2117.1389041686052</v>
      </c>
    </row>
    <row r="650" spans="1:34" ht="14.5" x14ac:dyDescent="0.35">
      <c r="A650" s="33"/>
      <c r="B650" s="9"/>
      <c r="C650" s="12"/>
      <c r="D650" s="24"/>
      <c r="E650" s="12"/>
      <c r="F650" s="41"/>
      <c r="G650" s="41"/>
      <c r="H650" s="41"/>
      <c r="AG650" s="19">
        <v>649</v>
      </c>
      <c r="AH650" s="20">
        <v>1522.3951268446701</v>
      </c>
    </row>
    <row r="651" spans="1:34" ht="14.5" x14ac:dyDescent="0.35">
      <c r="A651" s="33"/>
      <c r="B651" s="9"/>
      <c r="C651" s="12"/>
      <c r="D651" s="24"/>
      <c r="E651" s="12"/>
      <c r="F651" s="41"/>
      <c r="G651" s="41"/>
      <c r="H651" s="41"/>
      <c r="AG651" s="19">
        <v>650</v>
      </c>
      <c r="AH651" s="20">
        <v>-3589.9301459637777</v>
      </c>
    </row>
    <row r="652" spans="1:34" ht="14.5" x14ac:dyDescent="0.35">
      <c r="A652" s="33"/>
      <c r="B652" s="9"/>
      <c r="C652" s="12"/>
      <c r="D652" s="24"/>
      <c r="E652" s="12"/>
      <c r="F652" s="41"/>
      <c r="G652" s="41"/>
      <c r="H652" s="41"/>
      <c r="AG652" s="19">
        <v>651</v>
      </c>
      <c r="AH652" s="20">
        <v>945.88402206873502</v>
      </c>
    </row>
    <row r="653" spans="1:34" ht="14.5" x14ac:dyDescent="0.35">
      <c r="A653" s="33"/>
      <c r="B653" s="9"/>
      <c r="C653" s="12"/>
      <c r="D653" s="24"/>
      <c r="E653" s="12"/>
      <c r="F653" s="41"/>
      <c r="G653" s="41"/>
      <c r="H653" s="41"/>
      <c r="AG653" s="19">
        <v>652</v>
      </c>
      <c r="AH653" s="20">
        <v>-444.10468249591059</v>
      </c>
    </row>
    <row r="654" spans="1:34" ht="14.5" x14ac:dyDescent="0.35">
      <c r="A654" s="33"/>
      <c r="B654" s="9"/>
      <c r="C654" s="12"/>
      <c r="D654" s="24"/>
      <c r="E654" s="12"/>
      <c r="F654" s="41"/>
      <c r="G654" s="41"/>
      <c r="H654" s="41"/>
      <c r="AG654" s="19">
        <v>653</v>
      </c>
      <c r="AH654" s="20">
        <v>-41.020753913865576</v>
      </c>
    </row>
    <row r="655" spans="1:34" ht="14.5" x14ac:dyDescent="0.35">
      <c r="A655" s="33"/>
      <c r="B655" s="9"/>
      <c r="C655" s="12"/>
      <c r="D655" s="24"/>
      <c r="E655" s="12"/>
      <c r="F655" s="41"/>
      <c r="G655" s="41"/>
      <c r="H655" s="41"/>
      <c r="AG655" s="19">
        <v>654</v>
      </c>
      <c r="AH655" s="20">
        <v>2521.9638090928479</v>
      </c>
    </row>
    <row r="656" spans="1:34" ht="14.5" x14ac:dyDescent="0.35">
      <c r="A656" s="33"/>
      <c r="B656" s="9"/>
      <c r="C656" s="12"/>
      <c r="D656" s="24"/>
      <c r="E656" s="12"/>
      <c r="F656" s="41"/>
      <c r="G656" s="41"/>
      <c r="H656" s="41"/>
      <c r="AG656" s="19">
        <v>655</v>
      </c>
      <c r="AH656" s="20">
        <v>2901.5793729292236</v>
      </c>
    </row>
    <row r="657" spans="1:34" ht="14.5" x14ac:dyDescent="0.35">
      <c r="A657" s="33"/>
      <c r="B657" s="9"/>
      <c r="C657" s="12"/>
      <c r="D657" s="24"/>
      <c r="E657" s="12"/>
      <c r="F657" s="41"/>
      <c r="G657" s="41"/>
      <c r="H657" s="41"/>
      <c r="AG657" s="19">
        <v>656</v>
      </c>
      <c r="AH657" s="20">
        <v>5118.1218124948255</v>
      </c>
    </row>
    <row r="658" spans="1:34" ht="14.5" x14ac:dyDescent="0.35">
      <c r="A658" s="33"/>
      <c r="B658" s="9"/>
      <c r="C658" s="12"/>
      <c r="D658" s="24"/>
      <c r="E658" s="12"/>
      <c r="F658" s="41"/>
      <c r="G658" s="41"/>
      <c r="H658" s="41"/>
      <c r="AG658" s="19">
        <v>657</v>
      </c>
      <c r="AH658" s="20">
        <v>-754.1294112275632</v>
      </c>
    </row>
    <row r="659" spans="1:34" ht="14.5" x14ac:dyDescent="0.35">
      <c r="A659" s="33"/>
      <c r="B659" s="9"/>
      <c r="C659" s="12"/>
      <c r="D659" s="24"/>
      <c r="E659" s="12"/>
      <c r="F659" s="41"/>
      <c r="G659" s="41"/>
      <c r="H659" s="41"/>
      <c r="AG659" s="19">
        <v>658</v>
      </c>
      <c r="AH659" s="20">
        <v>1551.9901728693615</v>
      </c>
    </row>
    <row r="660" spans="1:34" ht="14.5" x14ac:dyDescent="0.35">
      <c r="A660" s="33"/>
      <c r="B660" s="9"/>
      <c r="C660" s="12"/>
      <c r="D660" s="24"/>
      <c r="E660" s="12"/>
      <c r="F660" s="41"/>
      <c r="G660" s="41"/>
      <c r="H660" s="41"/>
      <c r="AG660" s="19">
        <v>659</v>
      </c>
      <c r="AH660" s="20">
        <v>-2024.3124216091126</v>
      </c>
    </row>
    <row r="661" spans="1:34" ht="14.5" x14ac:dyDescent="0.35">
      <c r="A661" s="33"/>
      <c r="B661" s="9"/>
      <c r="C661" s="12"/>
      <c r="D661" s="24"/>
      <c r="E661" s="12"/>
      <c r="F661" s="41"/>
      <c r="G661" s="41"/>
      <c r="H661" s="41"/>
      <c r="AG661" s="19">
        <v>660</v>
      </c>
      <c r="AH661" s="20">
        <v>3739.8403620917875</v>
      </c>
    </row>
    <row r="662" spans="1:34" ht="14.5" x14ac:dyDescent="0.35">
      <c r="A662" s="33"/>
      <c r="B662" s="9"/>
      <c r="C662" s="12"/>
      <c r="D662" s="24"/>
      <c r="E662" s="12"/>
      <c r="F662" s="41"/>
      <c r="G662" s="41"/>
      <c r="H662" s="41"/>
      <c r="AG662" s="19">
        <v>661</v>
      </c>
      <c r="AH662" s="20">
        <v>-194.85512296851977</v>
      </c>
    </row>
    <row r="663" spans="1:34" ht="14.5" x14ac:dyDescent="0.35">
      <c r="A663" s="33"/>
      <c r="B663" s="9"/>
      <c r="C663" s="12"/>
      <c r="D663" s="24"/>
      <c r="E663" s="12"/>
      <c r="F663" s="41"/>
      <c r="G663" s="41"/>
      <c r="H663" s="41"/>
      <c r="AG663" s="19">
        <v>662</v>
      </c>
      <c r="AH663" s="20">
        <v>-47.182094381532295</v>
      </c>
    </row>
    <row r="664" spans="1:34" ht="14.5" x14ac:dyDescent="0.35">
      <c r="A664" s="33"/>
      <c r="B664" s="9"/>
      <c r="C664" s="12"/>
      <c r="D664" s="24"/>
      <c r="E664" s="12"/>
      <c r="F664" s="41"/>
      <c r="G664" s="41"/>
      <c r="H664" s="41"/>
      <c r="AG664" s="19">
        <v>663</v>
      </c>
      <c r="AH664" s="20">
        <v>-1295.5294424017081</v>
      </c>
    </row>
    <row r="665" spans="1:34" ht="14.5" x14ac:dyDescent="0.35">
      <c r="A665" s="33"/>
      <c r="B665" s="9"/>
      <c r="C665" s="12"/>
      <c r="D665" s="24"/>
      <c r="E665" s="12"/>
      <c r="F665" s="41"/>
      <c r="G665" s="41"/>
      <c r="H665" s="41"/>
      <c r="AG665" s="19">
        <v>664</v>
      </c>
      <c r="AH665" s="20">
        <v>-158.52798703419177</v>
      </c>
    </row>
    <row r="666" spans="1:34" ht="14.5" x14ac:dyDescent="0.35">
      <c r="A666" s="33"/>
      <c r="B666" s="9"/>
      <c r="C666" s="12"/>
      <c r="D666" s="24"/>
      <c r="E666" s="12"/>
      <c r="F666" s="41"/>
      <c r="G666" s="41"/>
      <c r="H666" s="41"/>
      <c r="AG666" s="19">
        <v>665</v>
      </c>
      <c r="AH666" s="20">
        <v>2289.2196173055568</v>
      </c>
    </row>
    <row r="667" spans="1:34" ht="14.5" x14ac:dyDescent="0.35">
      <c r="A667" s="33"/>
      <c r="B667" s="9"/>
      <c r="C667" s="12"/>
      <c r="D667" s="24"/>
      <c r="E667" s="12"/>
      <c r="F667" s="41"/>
      <c r="G667" s="41"/>
      <c r="H667" s="41"/>
      <c r="AG667" s="19">
        <v>666</v>
      </c>
      <c r="AH667" s="20">
        <v>756.10240329383828</v>
      </c>
    </row>
    <row r="668" spans="1:34" ht="14.5" x14ac:dyDescent="0.35">
      <c r="A668" s="33"/>
      <c r="B668" s="9"/>
      <c r="C668" s="12"/>
      <c r="D668" s="24"/>
      <c r="E668" s="12"/>
      <c r="F668" s="41"/>
      <c r="G668" s="41"/>
      <c r="H668" s="41"/>
      <c r="AG668" s="19">
        <v>667</v>
      </c>
      <c r="AH668" s="20">
        <v>-2305.9972187351163</v>
      </c>
    </row>
    <row r="669" spans="1:34" ht="14.5" x14ac:dyDescent="0.35">
      <c r="A669" s="33"/>
      <c r="B669" s="9"/>
      <c r="C669" s="12"/>
      <c r="D669" s="24"/>
      <c r="E669" s="12"/>
      <c r="F669" s="41"/>
      <c r="G669" s="41"/>
      <c r="H669" s="41"/>
      <c r="AG669" s="19">
        <v>668</v>
      </c>
      <c r="AH669" s="20">
        <v>2550.9890899309039</v>
      </c>
    </row>
    <row r="670" spans="1:34" ht="14.5" x14ac:dyDescent="0.35">
      <c r="A670" s="33"/>
      <c r="B670" s="9"/>
      <c r="C670" s="12"/>
      <c r="D670" s="24"/>
      <c r="E670" s="12"/>
      <c r="F670" s="41"/>
      <c r="G670" s="41"/>
      <c r="H670" s="41"/>
      <c r="AG670" s="19">
        <v>669</v>
      </c>
      <c r="AH670" s="20">
        <v>1383.9667720989796</v>
      </c>
    </row>
    <row r="671" spans="1:34" ht="14.5" x14ac:dyDescent="0.35">
      <c r="A671" s="33"/>
      <c r="B671" s="9"/>
      <c r="C671" s="12"/>
      <c r="D671" s="24"/>
      <c r="E671" s="12"/>
      <c r="F671" s="41"/>
      <c r="G671" s="41"/>
      <c r="H671" s="41"/>
      <c r="AG671" s="19">
        <v>670</v>
      </c>
      <c r="AH671" s="20">
        <v>-4312.279639015791</v>
      </c>
    </row>
    <row r="672" spans="1:34" ht="14.5" x14ac:dyDescent="0.35">
      <c r="A672" s="33"/>
      <c r="B672" s="9"/>
      <c r="C672" s="12"/>
      <c r="D672" s="24"/>
      <c r="E672" s="12"/>
      <c r="F672" s="41"/>
      <c r="G672" s="41"/>
      <c r="H672" s="41"/>
      <c r="AG672" s="19">
        <v>671</v>
      </c>
      <c r="AH672" s="20">
        <v>-36.55234633967774</v>
      </c>
    </row>
    <row r="673" spans="1:34" ht="14.5" x14ac:dyDescent="0.35">
      <c r="A673" s="33"/>
      <c r="B673" s="9"/>
      <c r="C673" s="12"/>
      <c r="D673" s="24"/>
      <c r="E673" s="12"/>
      <c r="F673" s="41"/>
      <c r="G673" s="41"/>
      <c r="H673" s="41"/>
      <c r="AG673" s="19">
        <v>672</v>
      </c>
      <c r="AH673" s="20">
        <v>-664.87805084012348</v>
      </c>
    </row>
    <row r="674" spans="1:34" ht="14.5" x14ac:dyDescent="0.35">
      <c r="A674" s="33"/>
      <c r="B674" s="9"/>
      <c r="C674" s="12"/>
      <c r="D674" s="24"/>
      <c r="E674" s="12"/>
      <c r="F674" s="41"/>
      <c r="G674" s="41"/>
      <c r="H674" s="41"/>
      <c r="AG674" s="19">
        <v>673</v>
      </c>
      <c r="AH674" s="20">
        <v>-2182.6047764517466</v>
      </c>
    </row>
    <row r="675" spans="1:34" ht="14.5" x14ac:dyDescent="0.35">
      <c r="A675" s="33"/>
      <c r="B675" s="9"/>
      <c r="C675" s="12"/>
      <c r="D675" s="24"/>
      <c r="E675" s="12"/>
      <c r="F675" s="41"/>
      <c r="G675" s="41"/>
      <c r="H675" s="41"/>
      <c r="AG675" s="19">
        <v>674</v>
      </c>
      <c r="AH675" s="20">
        <v>897.49244838258619</v>
      </c>
    </row>
    <row r="676" spans="1:34" ht="14.5" x14ac:dyDescent="0.35">
      <c r="A676" s="33"/>
      <c r="B676" s="9"/>
      <c r="C676" s="12"/>
      <c r="D676" s="24"/>
      <c r="E676" s="12"/>
      <c r="F676" s="41"/>
      <c r="G676" s="41"/>
      <c r="H676" s="41"/>
      <c r="AG676" s="19">
        <v>675</v>
      </c>
      <c r="AH676" s="20">
        <v>237.48918337828655</v>
      </c>
    </row>
    <row r="677" spans="1:34" ht="14.5" x14ac:dyDescent="0.35">
      <c r="A677" s="33"/>
      <c r="B677" s="9"/>
      <c r="C677" s="12"/>
      <c r="D677" s="24"/>
      <c r="E677" s="12"/>
      <c r="F677" s="41"/>
      <c r="G677" s="41"/>
      <c r="H677" s="41"/>
      <c r="AG677" s="19">
        <v>676</v>
      </c>
      <c r="AH677" s="20">
        <v>-673.88867441600996</v>
      </c>
    </row>
    <row r="678" spans="1:34" ht="14.5" x14ac:dyDescent="0.35">
      <c r="A678" s="33"/>
      <c r="B678" s="9"/>
      <c r="C678" s="12"/>
      <c r="D678" s="24"/>
      <c r="E678" s="12"/>
      <c r="F678" s="41"/>
      <c r="G678" s="41"/>
      <c r="H678" s="41"/>
      <c r="AG678" s="19">
        <v>677</v>
      </c>
      <c r="AH678" s="20">
        <v>339.16152932693137</v>
      </c>
    </row>
    <row r="679" spans="1:34" ht="14.5" x14ac:dyDescent="0.35">
      <c r="A679" s="33"/>
      <c r="B679" s="9"/>
      <c r="C679" s="12"/>
      <c r="D679" s="24"/>
      <c r="E679" s="12"/>
      <c r="F679" s="41"/>
      <c r="G679" s="41"/>
      <c r="H679" s="41"/>
      <c r="AG679" s="19">
        <v>678</v>
      </c>
      <c r="AH679" s="20">
        <v>2088.3292467721885</v>
      </c>
    </row>
    <row r="680" spans="1:34" ht="14.5" x14ac:dyDescent="0.35">
      <c r="A680" s="33"/>
      <c r="B680" s="9"/>
      <c r="C680" s="12"/>
      <c r="D680" s="24"/>
      <c r="E680" s="12"/>
      <c r="F680" s="41"/>
      <c r="G680" s="41"/>
      <c r="H680" s="41"/>
      <c r="AG680" s="19">
        <v>679</v>
      </c>
      <c r="AH680" s="20">
        <v>-678.87295874026381</v>
      </c>
    </row>
    <row r="681" spans="1:34" ht="14.5" x14ac:dyDescent="0.35">
      <c r="A681" s="33"/>
      <c r="B681" s="9"/>
      <c r="C681" s="12"/>
      <c r="D681" s="24"/>
      <c r="E681" s="12"/>
      <c r="F681" s="41"/>
      <c r="G681" s="41"/>
      <c r="H681" s="41"/>
      <c r="AG681" s="19">
        <v>680</v>
      </c>
      <c r="AH681" s="20">
        <v>1987.6978962793826</v>
      </c>
    </row>
    <row r="682" spans="1:34" ht="14.5" x14ac:dyDescent="0.35">
      <c r="A682" s="33"/>
      <c r="B682" s="9"/>
      <c r="C682" s="12"/>
      <c r="D682" s="24"/>
      <c r="E682" s="12"/>
      <c r="F682" s="41"/>
      <c r="G682" s="41"/>
      <c r="H682" s="41"/>
      <c r="AG682" s="19">
        <v>681</v>
      </c>
      <c r="AH682" s="20">
        <v>-1107.8617436328943</v>
      </c>
    </row>
    <row r="683" spans="1:34" ht="14.5" x14ac:dyDescent="0.35">
      <c r="A683" s="33"/>
      <c r="B683" s="9"/>
      <c r="C683" s="12"/>
      <c r="D683" s="24"/>
      <c r="E683" s="12"/>
      <c r="F683" s="41"/>
      <c r="G683" s="41"/>
      <c r="H683" s="41"/>
      <c r="AG683" s="19">
        <v>682</v>
      </c>
      <c r="AH683" s="20">
        <v>2718.3824131702481</v>
      </c>
    </row>
    <row r="684" spans="1:34" ht="14.5" x14ac:dyDescent="0.35">
      <c r="A684" s="33"/>
      <c r="B684" s="9"/>
      <c r="C684" s="12"/>
      <c r="D684" s="24"/>
      <c r="E684" s="12"/>
      <c r="F684" s="41"/>
      <c r="G684" s="41"/>
      <c r="H684" s="41"/>
      <c r="AG684" s="19">
        <v>683</v>
      </c>
      <c r="AH684" s="20">
        <v>355.03734232051738</v>
      </c>
    </row>
    <row r="685" spans="1:34" ht="14.5" x14ac:dyDescent="0.35">
      <c r="A685" s="33"/>
      <c r="B685" s="9"/>
      <c r="C685" s="12"/>
      <c r="D685" s="24"/>
      <c r="E685" s="12"/>
      <c r="F685" s="41"/>
      <c r="G685" s="41"/>
      <c r="H685" s="41"/>
      <c r="AG685" s="19">
        <v>684</v>
      </c>
      <c r="AH685" s="20">
        <v>2004.2814789535616</v>
      </c>
    </row>
    <row r="686" spans="1:34" ht="14.5" x14ac:dyDescent="0.35">
      <c r="A686" s="33"/>
      <c r="B686" s="9"/>
      <c r="C686" s="12"/>
      <c r="D686" s="24"/>
      <c r="E686" s="12"/>
      <c r="F686" s="41"/>
      <c r="G686" s="41"/>
      <c r="H686" s="41"/>
      <c r="AG686" s="19">
        <v>685</v>
      </c>
      <c r="AH686" s="20">
        <v>1126.7830228845653</v>
      </c>
    </row>
    <row r="687" spans="1:34" ht="14.5" x14ac:dyDescent="0.35">
      <c r="A687" s="33"/>
      <c r="B687" s="9"/>
      <c r="C687" s="12"/>
      <c r="D687" s="24"/>
      <c r="E687" s="12"/>
      <c r="F687" s="41"/>
      <c r="G687" s="41"/>
      <c r="H687" s="41"/>
      <c r="AG687" s="19">
        <v>686</v>
      </c>
      <c r="AH687" s="20">
        <v>-2987.6142806891216</v>
      </c>
    </row>
    <row r="688" spans="1:34" ht="14.5" x14ac:dyDescent="0.35">
      <c r="A688" s="33"/>
      <c r="B688" s="9"/>
      <c r="C688" s="12"/>
      <c r="D688" s="24"/>
      <c r="E688" s="12"/>
      <c r="F688" s="41"/>
      <c r="G688" s="41"/>
      <c r="H688" s="41"/>
      <c r="AG688" s="19">
        <v>687</v>
      </c>
      <c r="AH688" s="20">
        <v>-1204.0333744752459</v>
      </c>
    </row>
    <row r="689" spans="1:34" ht="14.5" x14ac:dyDescent="0.35">
      <c r="A689" s="33"/>
      <c r="B689" s="9"/>
      <c r="C689" s="12"/>
      <c r="D689" s="24"/>
      <c r="E689" s="12"/>
      <c r="F689" s="41"/>
      <c r="G689" s="41"/>
      <c r="H689" s="41"/>
      <c r="AG689" s="19">
        <v>688</v>
      </c>
      <c r="AH689" s="20">
        <v>-2882.2514145153818</v>
      </c>
    </row>
    <row r="690" spans="1:34" ht="14.5" x14ac:dyDescent="0.35">
      <c r="A690" s="33"/>
      <c r="B690" s="9"/>
      <c r="C690" s="12"/>
      <c r="D690" s="24"/>
      <c r="E690" s="12"/>
      <c r="F690" s="41"/>
      <c r="G690" s="41"/>
      <c r="H690" s="41"/>
      <c r="AG690" s="19">
        <v>689</v>
      </c>
      <c r="AH690" s="20">
        <v>-883.79955872286087</v>
      </c>
    </row>
    <row r="691" spans="1:34" ht="14.5" x14ac:dyDescent="0.35">
      <c r="A691" s="33"/>
      <c r="B691" s="9"/>
      <c r="C691" s="12"/>
      <c r="D691" s="24"/>
      <c r="E691" s="12"/>
      <c r="F691" s="41"/>
      <c r="G691" s="41"/>
      <c r="H691" s="41"/>
      <c r="AG691" s="19">
        <v>690</v>
      </c>
      <c r="AH691" s="20">
        <v>351.30693140147253</v>
      </c>
    </row>
    <row r="692" spans="1:34" ht="14.5" x14ac:dyDescent="0.35">
      <c r="A692" s="33"/>
      <c r="B692" s="9"/>
      <c r="C692" s="12"/>
      <c r="D692" s="24"/>
      <c r="E692" s="12"/>
      <c r="F692" s="41"/>
      <c r="G692" s="41"/>
      <c r="H692" s="41"/>
      <c r="AG692" s="19">
        <v>691</v>
      </c>
      <c r="AH692" s="20">
        <v>-128.29257135813731</v>
      </c>
    </row>
    <row r="693" spans="1:34" ht="14.5" x14ac:dyDescent="0.35">
      <c r="A693" s="33"/>
      <c r="B693" s="9"/>
      <c r="C693" s="12"/>
      <c r="D693" s="24"/>
      <c r="E693" s="12"/>
      <c r="F693" s="41"/>
      <c r="G693" s="41"/>
      <c r="H693" s="41"/>
      <c r="AG693" s="19">
        <v>692</v>
      </c>
      <c r="AH693" s="20">
        <v>2593.0967956804884</v>
      </c>
    </row>
    <row r="694" spans="1:34" ht="14.5" x14ac:dyDescent="0.35">
      <c r="A694" s="33"/>
      <c r="B694" s="9"/>
      <c r="C694" s="12"/>
      <c r="D694" s="24"/>
      <c r="E694" s="12"/>
      <c r="F694" s="41"/>
      <c r="G694" s="41"/>
      <c r="H694" s="41"/>
      <c r="AG694" s="19">
        <v>693</v>
      </c>
      <c r="AH694" s="20">
        <v>758.7698313129149</v>
      </c>
    </row>
    <row r="695" spans="1:34" ht="14.5" x14ac:dyDescent="0.35">
      <c r="A695" s="33"/>
      <c r="B695" s="9"/>
      <c r="C695" s="12"/>
      <c r="D695" s="24"/>
      <c r="E695" s="12"/>
      <c r="F695" s="41"/>
      <c r="G695" s="41"/>
      <c r="H695" s="41"/>
      <c r="AG695" s="19">
        <v>694</v>
      </c>
      <c r="AH695" s="20">
        <v>-1045.782769083492</v>
      </c>
    </row>
    <row r="696" spans="1:34" ht="14.5" x14ac:dyDescent="0.35">
      <c r="A696" s="33"/>
      <c r="B696" s="9"/>
      <c r="C696" s="12"/>
      <c r="D696" s="24"/>
      <c r="E696" s="12"/>
      <c r="F696" s="41"/>
      <c r="G696" s="41"/>
      <c r="H696" s="41"/>
      <c r="AG696" s="19">
        <v>695</v>
      </c>
      <c r="AH696" s="20">
        <v>1671.0036673699451</v>
      </c>
    </row>
    <row r="697" spans="1:34" ht="14.5" x14ac:dyDescent="0.35">
      <c r="A697" s="33"/>
      <c r="B697" s="9"/>
      <c r="C697" s="12"/>
      <c r="D697" s="24"/>
      <c r="E697" s="12"/>
      <c r="F697" s="41"/>
      <c r="G697" s="41"/>
      <c r="H697" s="41"/>
      <c r="AG697" s="19">
        <v>696</v>
      </c>
      <c r="AH697" s="20">
        <v>-2036.0433255482292</v>
      </c>
    </row>
    <row r="698" spans="1:34" ht="14.5" x14ac:dyDescent="0.35">
      <c r="A698" s="33"/>
      <c r="B698" s="9"/>
      <c r="C698" s="12"/>
      <c r="D698" s="24"/>
      <c r="E698" s="12"/>
      <c r="F698" s="41"/>
      <c r="G698" s="41"/>
      <c r="H698" s="41"/>
      <c r="AG698" s="19">
        <v>697</v>
      </c>
      <c r="AH698" s="20">
        <v>1312.3311038877757</v>
      </c>
    </row>
    <row r="699" spans="1:34" ht="14.5" x14ac:dyDescent="0.35">
      <c r="A699" s="33"/>
      <c r="B699" s="9"/>
      <c r="C699" s="12"/>
      <c r="D699" s="24"/>
      <c r="E699" s="12"/>
      <c r="F699" s="41"/>
      <c r="G699" s="41"/>
      <c r="H699" s="41"/>
      <c r="AG699" s="19">
        <v>698</v>
      </c>
      <c r="AH699" s="20">
        <v>-1088.3001105387871</v>
      </c>
    </row>
    <row r="700" spans="1:34" ht="14.5" x14ac:dyDescent="0.35">
      <c r="A700" s="33"/>
      <c r="B700" s="9"/>
      <c r="C700" s="12"/>
      <c r="D700" s="24"/>
      <c r="E700" s="12"/>
      <c r="F700" s="41"/>
      <c r="G700" s="41"/>
      <c r="H700" s="41"/>
      <c r="AG700" s="19">
        <v>699</v>
      </c>
      <c r="AH700" s="20">
        <v>2796.7954757199254</v>
      </c>
    </row>
    <row r="701" spans="1:34" ht="14.5" x14ac:dyDescent="0.35">
      <c r="A701" s="33"/>
      <c r="B701" s="9"/>
      <c r="C701" s="12"/>
      <c r="D701" s="24"/>
      <c r="E701" s="12"/>
      <c r="F701" s="41"/>
      <c r="G701" s="41"/>
      <c r="H701" s="41"/>
      <c r="AG701" s="19">
        <v>700</v>
      </c>
      <c r="AH701" s="20">
        <v>213.80993501903498</v>
      </c>
    </row>
    <row r="702" spans="1:34" ht="14.5" x14ac:dyDescent="0.35">
      <c r="A702" s="33"/>
      <c r="B702" s="9"/>
      <c r="C702" s="12"/>
      <c r="D702" s="24"/>
      <c r="E702" s="12"/>
      <c r="F702" s="41"/>
      <c r="G702" s="41"/>
      <c r="H702" s="41"/>
      <c r="AG702" s="19">
        <v>701</v>
      </c>
      <c r="AH702" s="20">
        <v>2505.5978270198893</v>
      </c>
    </row>
    <row r="703" spans="1:34" ht="14.5" x14ac:dyDescent="0.35">
      <c r="A703" s="33"/>
      <c r="B703" s="9"/>
      <c r="C703" s="12"/>
      <c r="D703" s="24"/>
      <c r="E703" s="12"/>
      <c r="F703" s="41"/>
      <c r="G703" s="41"/>
      <c r="H703" s="41"/>
      <c r="AG703" s="19">
        <v>702</v>
      </c>
      <c r="AH703" s="20">
        <v>-2593.400792120563</v>
      </c>
    </row>
    <row r="704" spans="1:34" ht="14.5" x14ac:dyDescent="0.35">
      <c r="A704" s="33"/>
      <c r="B704" s="9"/>
      <c r="C704" s="12"/>
      <c r="D704" s="24"/>
      <c r="E704" s="12"/>
      <c r="F704" s="41"/>
      <c r="G704" s="41"/>
      <c r="H704" s="41"/>
      <c r="AG704" s="19">
        <v>703</v>
      </c>
      <c r="AH704" s="20">
        <v>1960.3484729067445</v>
      </c>
    </row>
    <row r="705" spans="1:34" ht="14.5" x14ac:dyDescent="0.35">
      <c r="A705" s="33"/>
      <c r="B705" s="9"/>
      <c r="C705" s="12"/>
      <c r="D705" s="24"/>
      <c r="E705" s="12"/>
      <c r="F705" s="41"/>
      <c r="G705" s="41"/>
      <c r="H705" s="41"/>
      <c r="AG705" s="19">
        <v>704</v>
      </c>
      <c r="AH705" s="20">
        <v>2725.3721623684264</v>
      </c>
    </row>
    <row r="706" spans="1:34" ht="14.5" x14ac:dyDescent="0.35">
      <c r="A706" s="33"/>
      <c r="B706" s="9"/>
      <c r="C706" s="12"/>
      <c r="D706" s="24"/>
      <c r="E706" s="12"/>
      <c r="F706" s="41"/>
      <c r="G706" s="41"/>
      <c r="H706" s="41"/>
      <c r="AG706" s="19">
        <v>705</v>
      </c>
      <c r="AH706" s="20">
        <v>-766.88456035459831</v>
      </c>
    </row>
    <row r="707" spans="1:34" ht="14.5" x14ac:dyDescent="0.35">
      <c r="A707" s="33"/>
      <c r="B707" s="9"/>
      <c r="C707" s="12"/>
      <c r="D707" s="24"/>
      <c r="E707" s="12"/>
      <c r="F707" s="41"/>
      <c r="G707" s="41"/>
      <c r="H707" s="41"/>
      <c r="AG707" s="19">
        <v>706</v>
      </c>
      <c r="AH707" s="20">
        <v>-719.05295315681337</v>
      </c>
    </row>
    <row r="708" spans="1:34" ht="14.5" x14ac:dyDescent="0.35">
      <c r="A708" s="33"/>
      <c r="B708" s="9"/>
      <c r="C708" s="12"/>
      <c r="D708" s="24"/>
      <c r="E708" s="12"/>
      <c r="F708" s="41"/>
      <c r="G708" s="41"/>
      <c r="H708" s="41"/>
      <c r="AG708" s="19">
        <v>707</v>
      </c>
      <c r="AH708" s="20">
        <v>1460.3880079903031</v>
      </c>
    </row>
    <row r="709" spans="1:34" ht="14.5" x14ac:dyDescent="0.35">
      <c r="A709" s="33"/>
      <c r="B709" s="9"/>
      <c r="C709" s="12"/>
      <c r="D709" s="24"/>
      <c r="E709" s="12"/>
      <c r="F709" s="41"/>
      <c r="G709" s="41"/>
      <c r="H709" s="41"/>
      <c r="AG709" s="19">
        <v>708</v>
      </c>
      <c r="AH709" s="20">
        <v>-2024.1009208697571</v>
      </c>
    </row>
    <row r="710" spans="1:34" ht="14.5" x14ac:dyDescent="0.35">
      <c r="A710" s="33"/>
      <c r="B710" s="9"/>
      <c r="C710" s="12"/>
      <c r="D710" s="24"/>
      <c r="E710" s="12"/>
      <c r="F710" s="41"/>
      <c r="G710" s="41"/>
      <c r="H710" s="41"/>
      <c r="AG710" s="19">
        <v>709</v>
      </c>
      <c r="AH710" s="20">
        <v>-4388.8942499057302</v>
      </c>
    </row>
    <row r="711" spans="1:34" ht="14.5" x14ac:dyDescent="0.35">
      <c r="A711" s="33"/>
      <c r="B711" s="9"/>
      <c r="C711" s="12"/>
      <c r="D711" s="24"/>
      <c r="E711" s="12"/>
      <c r="F711" s="41"/>
      <c r="G711" s="41"/>
      <c r="H711" s="41"/>
      <c r="AG711" s="19">
        <v>710</v>
      </c>
      <c r="AH711" s="20">
        <v>1020.0325421272803</v>
      </c>
    </row>
    <row r="712" spans="1:34" ht="14.5" x14ac:dyDescent="0.35">
      <c r="A712" s="33"/>
      <c r="B712" s="9"/>
      <c r="C712" s="12"/>
      <c r="D712" s="24"/>
      <c r="E712" s="12"/>
      <c r="F712" s="41"/>
      <c r="G712" s="41"/>
      <c r="H712" s="41"/>
      <c r="AG712" s="19">
        <v>711</v>
      </c>
      <c r="AH712" s="20">
        <v>2.3121040607853161</v>
      </c>
    </row>
    <row r="713" spans="1:34" ht="14.5" x14ac:dyDescent="0.35">
      <c r="A713" s="33"/>
      <c r="B713" s="9"/>
      <c r="C713" s="12"/>
      <c r="D713" s="24"/>
      <c r="E713" s="12"/>
      <c r="F713" s="41"/>
      <c r="G713" s="41"/>
      <c r="H713" s="41"/>
      <c r="AG713" s="19">
        <v>712</v>
      </c>
      <c r="AH713" s="20">
        <v>872.28827335942503</v>
      </c>
    </row>
    <row r="714" spans="1:34" ht="14.5" x14ac:dyDescent="0.35">
      <c r="A714" s="33"/>
      <c r="B714" s="9"/>
      <c r="C714" s="12"/>
      <c r="D714" s="24"/>
      <c r="E714" s="12"/>
      <c r="F714" s="41"/>
      <c r="G714" s="41"/>
      <c r="H714" s="41"/>
      <c r="AG714" s="19">
        <v>713</v>
      </c>
      <c r="AH714" s="20">
        <v>-973.35838480186976</v>
      </c>
    </row>
    <row r="715" spans="1:34" ht="14.5" x14ac:dyDescent="0.35">
      <c r="A715" s="33"/>
      <c r="B715" s="9"/>
      <c r="C715" s="12"/>
      <c r="D715" s="24"/>
      <c r="E715" s="12"/>
      <c r="F715" s="41"/>
      <c r="G715" s="41"/>
      <c r="H715" s="41"/>
      <c r="AG715" s="19">
        <v>714</v>
      </c>
      <c r="AH715" s="20">
        <v>770.08160655934876</v>
      </c>
    </row>
    <row r="716" spans="1:34" ht="14.5" x14ac:dyDescent="0.35">
      <c r="A716" s="33"/>
      <c r="B716" s="9"/>
      <c r="C716" s="12"/>
      <c r="D716" s="24"/>
      <c r="E716" s="12"/>
      <c r="F716" s="41"/>
      <c r="G716" s="41"/>
      <c r="H716" s="41"/>
      <c r="AG716" s="19">
        <v>715</v>
      </c>
      <c r="AH716" s="20">
        <v>-1047.5808644995461</v>
      </c>
    </row>
    <row r="717" spans="1:34" ht="14.5" x14ac:dyDescent="0.35">
      <c r="A717" s="33"/>
      <c r="B717" s="9"/>
      <c r="C717" s="12"/>
      <c r="D717" s="24"/>
      <c r="E717" s="12"/>
      <c r="F717" s="41"/>
      <c r="G717" s="41"/>
      <c r="H717" s="41"/>
      <c r="AG717" s="19">
        <v>716</v>
      </c>
      <c r="AH717" s="20">
        <v>116.07211287843381</v>
      </c>
    </row>
    <row r="718" spans="1:34" ht="14.5" x14ac:dyDescent="0.35">
      <c r="A718" s="33"/>
      <c r="B718" s="9"/>
      <c r="C718" s="12"/>
      <c r="D718" s="24"/>
      <c r="E718" s="12"/>
      <c r="F718" s="41"/>
      <c r="G718" s="41"/>
      <c r="H718" s="41"/>
      <c r="AG718" s="19">
        <v>717</v>
      </c>
      <c r="AH718" s="20">
        <v>2237.9016795605767</v>
      </c>
    </row>
    <row r="719" spans="1:34" ht="14.5" x14ac:dyDescent="0.35">
      <c r="A719" s="33"/>
      <c r="B719" s="9"/>
      <c r="C719" s="12"/>
      <c r="D719" s="24"/>
      <c r="E719" s="12"/>
      <c r="F719" s="41"/>
      <c r="G719" s="41"/>
      <c r="H719" s="41"/>
      <c r="AG719" s="19">
        <v>718</v>
      </c>
      <c r="AH719" s="20">
        <v>-2379.9330040489126</v>
      </c>
    </row>
    <row r="720" spans="1:34" ht="14.5" x14ac:dyDescent="0.35">
      <c r="A720" s="33"/>
      <c r="B720" s="9"/>
      <c r="C720" s="12"/>
      <c r="D720" s="24"/>
      <c r="E720" s="12"/>
      <c r="F720" s="41"/>
      <c r="G720" s="41"/>
      <c r="H720" s="41"/>
      <c r="AG720" s="19">
        <v>719</v>
      </c>
      <c r="AH720" s="20">
        <v>-685.44015160136951</v>
      </c>
    </row>
    <row r="721" spans="1:34" ht="14.5" x14ac:dyDescent="0.35">
      <c r="A721" s="33"/>
      <c r="B721" s="9"/>
      <c r="C721" s="12"/>
      <c r="D721" s="24"/>
      <c r="E721" s="12"/>
      <c r="F721" s="41"/>
      <c r="G721" s="41"/>
      <c r="H721" s="41"/>
      <c r="AG721" s="19">
        <v>720</v>
      </c>
      <c r="AH721" s="20">
        <v>736.6453056027417</v>
      </c>
    </row>
    <row r="722" spans="1:34" ht="14.5" x14ac:dyDescent="0.35">
      <c r="A722" s="33"/>
      <c r="B722" s="9"/>
      <c r="C722" s="12"/>
      <c r="D722" s="24"/>
      <c r="E722" s="12"/>
      <c r="F722" s="41"/>
      <c r="G722" s="41"/>
      <c r="H722" s="41"/>
      <c r="AG722" s="19">
        <v>721</v>
      </c>
      <c r="AH722" s="20">
        <v>-213.49432119976888</v>
      </c>
    </row>
    <row r="723" spans="1:34" ht="14.5" x14ac:dyDescent="0.35">
      <c r="A723" s="33"/>
      <c r="B723" s="9"/>
      <c r="C723" s="12"/>
      <c r="D723" s="24"/>
      <c r="E723" s="12"/>
      <c r="F723" s="41"/>
      <c r="G723" s="41"/>
      <c r="H723" s="41"/>
      <c r="AG723" s="19">
        <v>722</v>
      </c>
      <c r="AH723" s="20">
        <v>-2708.0658635214413</v>
      </c>
    </row>
    <row r="724" spans="1:34" ht="14.5" x14ac:dyDescent="0.35">
      <c r="A724" s="33"/>
      <c r="B724" s="9"/>
      <c r="C724" s="12"/>
      <c r="D724" s="24"/>
      <c r="E724" s="12"/>
      <c r="F724" s="41"/>
      <c r="G724" s="41"/>
      <c r="H724" s="41"/>
      <c r="AG724" s="19">
        <v>723</v>
      </c>
      <c r="AH724" s="20">
        <v>-1806.2158623191037</v>
      </c>
    </row>
    <row r="725" spans="1:34" ht="14.5" x14ac:dyDescent="0.35">
      <c r="A725" s="33"/>
      <c r="B725" s="9"/>
      <c r="C725" s="12"/>
      <c r="D725" s="24"/>
      <c r="E725" s="12"/>
      <c r="F725" s="41"/>
      <c r="G725" s="41"/>
      <c r="H725" s="41"/>
      <c r="AG725" s="19">
        <v>724</v>
      </c>
      <c r="AH725" s="20">
        <v>900.30813806826211</v>
      </c>
    </row>
    <row r="726" spans="1:34" ht="14.5" x14ac:dyDescent="0.35">
      <c r="A726" s="33"/>
      <c r="B726" s="9"/>
      <c r="C726" s="12"/>
      <c r="D726" s="24"/>
      <c r="E726" s="12"/>
      <c r="F726" s="41"/>
      <c r="G726" s="41"/>
      <c r="H726" s="41"/>
      <c r="AG726" s="19">
        <v>725</v>
      </c>
      <c r="AH726" s="20">
        <v>1706.6265342225299</v>
      </c>
    </row>
    <row r="727" spans="1:34" ht="14.5" x14ac:dyDescent="0.35">
      <c r="A727" s="33"/>
      <c r="B727" s="9"/>
      <c r="C727" s="12"/>
      <c r="D727" s="24"/>
      <c r="E727" s="12"/>
      <c r="F727" s="41"/>
      <c r="G727" s="41"/>
      <c r="H727" s="41"/>
      <c r="AG727" s="19">
        <v>726</v>
      </c>
      <c r="AH727" s="20">
        <v>-172.12505120268082</v>
      </c>
    </row>
    <row r="728" spans="1:34" ht="14.5" x14ac:dyDescent="0.35">
      <c r="A728" s="33"/>
      <c r="B728" s="9"/>
      <c r="C728" s="12"/>
      <c r="D728" s="24"/>
      <c r="E728" s="12"/>
      <c r="F728" s="41"/>
      <c r="G728" s="41"/>
      <c r="H728" s="41"/>
      <c r="AG728" s="19">
        <v>727</v>
      </c>
      <c r="AH728" s="20">
        <v>3664.0370485951526</v>
      </c>
    </row>
    <row r="729" spans="1:34" ht="14.5" x14ac:dyDescent="0.35">
      <c r="A729" s="33"/>
      <c r="B729" s="9"/>
      <c r="C729" s="12"/>
      <c r="D729" s="24"/>
      <c r="E729" s="12"/>
      <c r="F729" s="41"/>
      <c r="G729" s="41"/>
      <c r="H729" s="41"/>
      <c r="AG729" s="19">
        <v>728</v>
      </c>
      <c r="AH729" s="20">
        <v>3029.9234070387683</v>
      </c>
    </row>
    <row r="730" spans="1:34" ht="14.5" x14ac:dyDescent="0.35">
      <c r="A730" s="33"/>
      <c r="B730" s="9"/>
      <c r="C730" s="12"/>
      <c r="D730" s="24"/>
      <c r="E730" s="12"/>
      <c r="F730" s="41"/>
      <c r="G730" s="41"/>
      <c r="H730" s="41"/>
      <c r="AG730" s="19">
        <v>729</v>
      </c>
      <c r="AH730" s="20">
        <v>-1348.2349226665708</v>
      </c>
    </row>
    <row r="731" spans="1:34" ht="14.5" x14ac:dyDescent="0.35">
      <c r="A731" s="33"/>
      <c r="B731" s="9"/>
      <c r="C731" s="12"/>
      <c r="D731" s="24"/>
      <c r="E731" s="12"/>
      <c r="F731" s="41"/>
      <c r="G731" s="41"/>
      <c r="H731" s="41"/>
      <c r="AG731" s="19">
        <v>730</v>
      </c>
      <c r="AH731" s="20">
        <v>2182.8275534809904</v>
      </c>
    </row>
    <row r="732" spans="1:34" ht="14.5" x14ac:dyDescent="0.35">
      <c r="A732" s="33"/>
      <c r="B732" s="9"/>
      <c r="C732" s="12"/>
      <c r="D732" s="24"/>
      <c r="E732" s="12"/>
      <c r="F732" s="41"/>
      <c r="G732" s="41"/>
      <c r="H732" s="41"/>
      <c r="AG732" s="19">
        <v>731</v>
      </c>
      <c r="AH732" s="20">
        <v>-2047.0426401122611</v>
      </c>
    </row>
    <row r="733" spans="1:34" ht="14.5" x14ac:dyDescent="0.35">
      <c r="A733" s="33"/>
      <c r="B733" s="9"/>
      <c r="C733" s="12"/>
      <c r="D733" s="24"/>
      <c r="E733" s="12"/>
      <c r="F733" s="41"/>
      <c r="G733" s="41"/>
      <c r="H733" s="41"/>
      <c r="AG733" s="19">
        <v>732</v>
      </c>
      <c r="AH733" s="20">
        <v>-1284.055530747745</v>
      </c>
    </row>
    <row r="734" spans="1:34" ht="14.5" x14ac:dyDescent="0.35">
      <c r="A734" s="33"/>
      <c r="B734" s="9"/>
      <c r="C734" s="12"/>
      <c r="D734" s="24"/>
      <c r="E734" s="12"/>
      <c r="F734" s="41"/>
      <c r="G734" s="41"/>
      <c r="H734" s="41"/>
      <c r="AG734" s="19">
        <v>733</v>
      </c>
      <c r="AH734" s="20">
        <v>-1094.2747376907944</v>
      </c>
    </row>
    <row r="735" spans="1:34" ht="14.5" x14ac:dyDescent="0.35">
      <c r="A735" s="33"/>
      <c r="B735" s="9"/>
      <c r="C735" s="12"/>
      <c r="D735" s="24"/>
      <c r="E735" s="12"/>
      <c r="F735" s="41"/>
      <c r="G735" s="41"/>
      <c r="H735" s="41"/>
      <c r="AG735" s="19">
        <v>734</v>
      </c>
      <c r="AH735" s="20">
        <v>886.70219410347113</v>
      </c>
    </row>
    <row r="736" spans="1:34" ht="14.5" x14ac:dyDescent="0.35">
      <c r="A736" s="33"/>
      <c r="B736" s="9"/>
      <c r="C736" s="12"/>
      <c r="D736" s="24"/>
      <c r="E736" s="12"/>
      <c r="F736" s="41"/>
      <c r="G736" s="41"/>
      <c r="H736" s="41"/>
      <c r="AG736" s="19">
        <v>735</v>
      </c>
      <c r="AH736" s="20">
        <v>-1366.4628923632438</v>
      </c>
    </row>
    <row r="737" spans="1:34" ht="14.5" x14ac:dyDescent="0.35">
      <c r="A737" s="33"/>
      <c r="B737" s="9"/>
      <c r="C737" s="12"/>
      <c r="D737" s="24"/>
      <c r="E737" s="12"/>
      <c r="F737" s="41"/>
      <c r="G737" s="41"/>
      <c r="H737" s="41"/>
      <c r="AG737" s="19">
        <v>736</v>
      </c>
      <c r="AH737" s="20">
        <v>-2603.3995734135592</v>
      </c>
    </row>
    <row r="738" spans="1:34" ht="14.5" x14ac:dyDescent="0.35">
      <c r="A738" s="33"/>
      <c r="B738" s="9"/>
      <c r="C738" s="12"/>
      <c r="D738" s="24"/>
      <c r="E738" s="12"/>
      <c r="F738" s="41"/>
      <c r="G738" s="41"/>
      <c r="H738" s="41"/>
      <c r="AG738" s="19">
        <v>737</v>
      </c>
      <c r="AH738" s="20">
        <v>-6942.3957455918107</v>
      </c>
    </row>
    <row r="739" spans="1:34" ht="14.5" x14ac:dyDescent="0.35">
      <c r="A739" s="33"/>
      <c r="B739" s="9"/>
      <c r="C739" s="12"/>
      <c r="D739" s="24"/>
      <c r="E739" s="12"/>
      <c r="F739" s="41"/>
      <c r="G739" s="41"/>
      <c r="H739" s="41"/>
      <c r="AG739" s="19">
        <v>738</v>
      </c>
      <c r="AH739" s="20">
        <v>-2008.9461932754582</v>
      </c>
    </row>
    <row r="740" spans="1:34" ht="14.5" x14ac:dyDescent="0.35">
      <c r="A740" s="33"/>
      <c r="B740" s="9"/>
      <c r="C740" s="12"/>
      <c r="D740" s="24"/>
      <c r="E740" s="12"/>
      <c r="F740" s="41"/>
      <c r="G740" s="41"/>
      <c r="H740" s="41"/>
      <c r="AG740" s="19">
        <v>739</v>
      </c>
      <c r="AH740" s="20">
        <v>-9.348432411572162</v>
      </c>
    </row>
    <row r="741" spans="1:34" ht="14.5" x14ac:dyDescent="0.35">
      <c r="A741" s="33"/>
      <c r="B741" s="9"/>
      <c r="C741" s="12"/>
      <c r="D741" s="24"/>
      <c r="E741" s="12"/>
      <c r="F741" s="41"/>
      <c r="G741" s="41"/>
      <c r="H741" s="41"/>
      <c r="AG741" s="19">
        <v>740</v>
      </c>
      <c r="AH741" s="20">
        <v>1681.33519357091</v>
      </c>
    </row>
    <row r="742" spans="1:34" ht="14.5" x14ac:dyDescent="0.35">
      <c r="A742" s="33"/>
      <c r="B742" s="9"/>
      <c r="C742" s="12"/>
      <c r="D742" s="24"/>
      <c r="E742" s="12"/>
      <c r="F742" s="41"/>
      <c r="G742" s="41"/>
      <c r="H742" s="41"/>
      <c r="AG742" s="19">
        <v>741</v>
      </c>
      <c r="AH742" s="20">
        <v>3144.8121547744868</v>
      </c>
    </row>
    <row r="743" spans="1:34" ht="14.5" x14ac:dyDescent="0.35">
      <c r="A743" s="33"/>
      <c r="B743" s="9"/>
      <c r="C743" s="12"/>
      <c r="D743" s="24"/>
      <c r="E743" s="12"/>
      <c r="F743" s="41"/>
      <c r="G743" s="41"/>
      <c r="H743" s="41"/>
      <c r="AG743" s="19">
        <v>742</v>
      </c>
      <c r="AH743" s="20">
        <v>1133.3243723484329</v>
      </c>
    </row>
    <row r="744" spans="1:34" ht="14.5" x14ac:dyDescent="0.35">
      <c r="A744" s="33"/>
      <c r="B744" s="9"/>
      <c r="C744" s="12"/>
      <c r="D744" s="24"/>
      <c r="E744" s="12"/>
      <c r="F744" s="41"/>
      <c r="G744" s="41"/>
      <c r="H744" s="41"/>
      <c r="AG744" s="19">
        <v>743</v>
      </c>
      <c r="AH744" s="20">
        <v>881.48834040700558</v>
      </c>
    </row>
    <row r="745" spans="1:34" ht="14.5" x14ac:dyDescent="0.35">
      <c r="A745" s="33"/>
      <c r="B745" s="9"/>
      <c r="C745" s="12"/>
      <c r="D745" s="24"/>
      <c r="E745" s="12"/>
      <c r="F745" s="41"/>
      <c r="G745" s="41"/>
      <c r="H745" s="41"/>
      <c r="AG745" s="19">
        <v>744</v>
      </c>
      <c r="AH745" s="20">
        <v>-6552.2579840423396</v>
      </c>
    </row>
    <row r="746" spans="1:34" ht="14.5" x14ac:dyDescent="0.35">
      <c r="A746" s="33"/>
      <c r="B746" s="9"/>
      <c r="C746" s="12"/>
      <c r="D746" s="24"/>
      <c r="E746" s="12"/>
      <c r="F746" s="41"/>
      <c r="G746" s="41"/>
      <c r="H746" s="41"/>
      <c r="AG746" s="19">
        <v>745</v>
      </c>
      <c r="AH746" s="20">
        <v>3515.5464721279532</v>
      </c>
    </row>
    <row r="747" spans="1:34" ht="14.5" x14ac:dyDescent="0.35">
      <c r="A747" s="33"/>
      <c r="B747" s="9"/>
      <c r="C747" s="12"/>
      <c r="D747" s="24"/>
      <c r="E747" s="12"/>
      <c r="F747" s="41"/>
      <c r="G747" s="41"/>
      <c r="H747" s="41"/>
      <c r="AG747" s="19">
        <v>746</v>
      </c>
      <c r="AH747" s="20">
        <v>28.922485569830371</v>
      </c>
    </row>
    <row r="748" spans="1:34" ht="14.5" x14ac:dyDescent="0.35">
      <c r="A748" s="33"/>
      <c r="B748" s="9"/>
      <c r="C748" s="12"/>
      <c r="D748" s="24"/>
      <c r="E748" s="12"/>
      <c r="F748" s="41"/>
      <c r="G748" s="41"/>
      <c r="H748" s="41"/>
      <c r="AG748" s="19">
        <v>747</v>
      </c>
      <c r="AH748" s="20">
        <v>3233.4320937022212</v>
      </c>
    </row>
    <row r="749" spans="1:34" ht="14.5" x14ac:dyDescent="0.35">
      <c r="A749" s="33"/>
      <c r="B749" s="9"/>
      <c r="C749" s="12"/>
      <c r="D749" s="24"/>
      <c r="E749" s="12"/>
      <c r="F749" s="41"/>
      <c r="G749" s="41"/>
      <c r="H749" s="41"/>
      <c r="AG749" s="19">
        <v>748</v>
      </c>
      <c r="AH749" s="20">
        <v>-1971.3929789328438</v>
      </c>
    </row>
    <row r="750" spans="1:34" ht="14.5" x14ac:dyDescent="0.35">
      <c r="A750" s="33"/>
      <c r="B750" s="9"/>
      <c r="C750" s="12"/>
      <c r="D750" s="24"/>
      <c r="E750" s="12"/>
      <c r="F750" s="41"/>
      <c r="G750" s="41"/>
      <c r="H750" s="41"/>
      <c r="AG750" s="19">
        <v>749</v>
      </c>
      <c r="AH750" s="20">
        <v>184.32680885648924</v>
      </c>
    </row>
    <row r="751" spans="1:34" ht="14.5" x14ac:dyDescent="0.35">
      <c r="A751" s="33"/>
      <c r="B751" s="9"/>
      <c r="C751" s="12"/>
      <c r="D751" s="24"/>
      <c r="E751" s="12"/>
      <c r="F751" s="41"/>
      <c r="G751" s="41"/>
      <c r="H751" s="41"/>
      <c r="AG751" s="19">
        <v>750</v>
      </c>
      <c r="AH751" s="20">
        <v>65.207977643386357</v>
      </c>
    </row>
    <row r="752" spans="1:34" ht="14.5" x14ac:dyDescent="0.35">
      <c r="A752" s="33"/>
      <c r="B752" s="9"/>
      <c r="C752" s="12"/>
      <c r="D752" s="24"/>
      <c r="E752" s="12"/>
      <c r="F752" s="41"/>
      <c r="G752" s="41"/>
      <c r="H752" s="41"/>
      <c r="AG752" s="19">
        <v>751</v>
      </c>
      <c r="AH752" s="20">
        <v>-1666.597325209623</v>
      </c>
    </row>
    <row r="753" spans="1:34" ht="14.5" x14ac:dyDescent="0.35">
      <c r="A753" s="33"/>
      <c r="B753" s="9"/>
      <c r="C753" s="12"/>
      <c r="D753" s="24"/>
      <c r="E753" s="12"/>
      <c r="F753" s="41"/>
      <c r="G753" s="41"/>
      <c r="H753" s="41"/>
      <c r="AG753" s="19">
        <v>752</v>
      </c>
      <c r="AH753" s="20">
        <v>-2287.5724840990842</v>
      </c>
    </row>
    <row r="754" spans="1:34" ht="14.5" x14ac:dyDescent="0.35">
      <c r="A754" s="33"/>
      <c r="B754" s="9"/>
      <c r="C754" s="12"/>
      <c r="D754" s="24"/>
      <c r="E754" s="12"/>
      <c r="F754" s="41"/>
      <c r="G754" s="41"/>
      <c r="H754" s="41"/>
      <c r="AG754" s="19">
        <v>753</v>
      </c>
      <c r="AH754" s="20">
        <v>-277.00875415363402</v>
      </c>
    </row>
    <row r="755" spans="1:34" ht="14.5" x14ac:dyDescent="0.35">
      <c r="A755" s="33"/>
      <c r="B755" s="9"/>
      <c r="C755" s="12"/>
      <c r="D755" s="24"/>
      <c r="E755" s="12"/>
      <c r="F755" s="41"/>
      <c r="G755" s="41"/>
      <c r="H755" s="41"/>
      <c r="AG755" s="19">
        <v>754</v>
      </c>
      <c r="AH755" s="20">
        <v>1443.80527292698</v>
      </c>
    </row>
    <row r="756" spans="1:34" ht="14.5" x14ac:dyDescent="0.35">
      <c r="A756" s="33"/>
      <c r="B756" s="9"/>
      <c r="C756" s="12"/>
      <c r="D756" s="24"/>
      <c r="E756" s="12"/>
      <c r="F756" s="41"/>
      <c r="G756" s="41"/>
      <c r="H756" s="41"/>
      <c r="AG756" s="19">
        <v>755</v>
      </c>
      <c r="AH756" s="20">
        <v>3295.6492609507291</v>
      </c>
    </row>
    <row r="757" spans="1:34" ht="14.5" x14ac:dyDescent="0.35">
      <c r="A757" s="33"/>
      <c r="B757" s="9"/>
      <c r="C757" s="12"/>
      <c r="D757" s="24"/>
      <c r="E757" s="12"/>
      <c r="F757" s="41"/>
      <c r="G757" s="41"/>
      <c r="H757" s="41"/>
      <c r="AG757" s="19">
        <v>756</v>
      </c>
      <c r="AH757" s="20">
        <v>-3956.591484653829</v>
      </c>
    </row>
    <row r="758" spans="1:34" ht="14.5" x14ac:dyDescent="0.35">
      <c r="A758" s="33"/>
      <c r="B758" s="9"/>
      <c r="C758" s="12"/>
      <c r="D758" s="24"/>
      <c r="E758" s="12"/>
      <c r="F758" s="41"/>
      <c r="G758" s="41"/>
      <c r="H758" s="41"/>
      <c r="AG758" s="19">
        <v>757</v>
      </c>
      <c r="AH758" s="20">
        <v>2356.8929378975158</v>
      </c>
    </row>
    <row r="759" spans="1:34" ht="14.5" x14ac:dyDescent="0.35">
      <c r="A759" s="33"/>
      <c r="B759" s="9"/>
      <c r="C759" s="12"/>
      <c r="D759" s="24"/>
      <c r="E759" s="12"/>
      <c r="F759" s="41"/>
      <c r="G759" s="41"/>
      <c r="H759" s="41"/>
      <c r="AG759" s="19">
        <v>758</v>
      </c>
      <c r="AH759" s="20">
        <v>-1735.4076036611466</v>
      </c>
    </row>
    <row r="760" spans="1:34" ht="14.5" x14ac:dyDescent="0.35">
      <c r="A760" s="33"/>
      <c r="B760" s="9"/>
      <c r="C760" s="12"/>
      <c r="D760" s="24"/>
      <c r="E760" s="12"/>
      <c r="F760" s="41"/>
      <c r="G760" s="41"/>
      <c r="H760" s="41"/>
      <c r="AG760" s="19">
        <v>759</v>
      </c>
      <c r="AH760" s="20">
        <v>-1958.2304459086115</v>
      </c>
    </row>
    <row r="761" spans="1:34" ht="14.5" x14ac:dyDescent="0.35">
      <c r="A761" s="33"/>
      <c r="B761" s="9"/>
      <c r="C761" s="12"/>
      <c r="D761" s="24"/>
      <c r="E761" s="12"/>
      <c r="F761" s="41"/>
      <c r="G761" s="41"/>
      <c r="H761" s="41"/>
      <c r="AG761" s="19">
        <v>760</v>
      </c>
      <c r="AH761" s="20">
        <v>2537.9312210391836</v>
      </c>
    </row>
    <row r="762" spans="1:34" ht="14.5" x14ac:dyDescent="0.35">
      <c r="A762" s="33"/>
      <c r="B762" s="9"/>
      <c r="C762" s="12"/>
      <c r="D762" s="24"/>
      <c r="E762" s="12"/>
      <c r="F762" s="41"/>
      <c r="G762" s="41"/>
      <c r="H762" s="41"/>
      <c r="AG762" s="19">
        <v>761</v>
      </c>
      <c r="AH762" s="20">
        <v>-1111.8144644336764</v>
      </c>
    </row>
    <row r="763" spans="1:34" ht="14.5" x14ac:dyDescent="0.35">
      <c r="A763" s="33"/>
      <c r="B763" s="9"/>
      <c r="C763" s="12"/>
      <c r="D763" s="24"/>
      <c r="E763" s="12"/>
      <c r="F763" s="41"/>
      <c r="G763" s="41"/>
      <c r="H763" s="41"/>
      <c r="AG763" s="19">
        <v>762</v>
      </c>
      <c r="AH763" s="20">
        <v>1868.6997043321196</v>
      </c>
    </row>
    <row r="764" spans="1:34" ht="14.5" x14ac:dyDescent="0.35">
      <c r="A764" s="33"/>
      <c r="B764" s="9"/>
      <c r="C764" s="12"/>
      <c r="D764" s="24"/>
      <c r="E764" s="12"/>
      <c r="F764" s="41"/>
      <c r="G764" s="41"/>
      <c r="H764" s="41"/>
      <c r="AG764" s="19">
        <v>763</v>
      </c>
      <c r="AH764" s="20">
        <v>2651.0558134032144</v>
      </c>
    </row>
    <row r="765" spans="1:34" ht="14.5" x14ac:dyDescent="0.35">
      <c r="A765" s="33"/>
      <c r="B765" s="9"/>
      <c r="C765" s="12"/>
      <c r="D765" s="24"/>
      <c r="E765" s="12"/>
      <c r="F765" s="41"/>
      <c r="G765" s="41"/>
      <c r="H765" s="41"/>
      <c r="AG765" s="19">
        <v>764</v>
      </c>
      <c r="AH765" s="20">
        <v>-827.56760993280727</v>
      </c>
    </row>
    <row r="766" spans="1:34" ht="14.5" x14ac:dyDescent="0.35">
      <c r="A766" s="33"/>
      <c r="B766" s="9"/>
      <c r="C766" s="12"/>
      <c r="D766" s="24"/>
      <c r="E766" s="12"/>
      <c r="F766" s="41"/>
      <c r="G766" s="41"/>
      <c r="H766" s="41"/>
      <c r="AG766" s="19">
        <v>765</v>
      </c>
      <c r="AH766" s="20">
        <v>2616.6052555540709</v>
      </c>
    </row>
    <row r="767" spans="1:34" ht="14.5" x14ac:dyDescent="0.35">
      <c r="A767" s="33"/>
      <c r="B767" s="9"/>
      <c r="C767" s="12"/>
      <c r="D767" s="24"/>
      <c r="E767" s="12"/>
      <c r="F767" s="41"/>
      <c r="G767" s="41"/>
      <c r="H767" s="41"/>
      <c r="AG767" s="19">
        <v>766</v>
      </c>
      <c r="AH767" s="20">
        <v>593.38867973197466</v>
      </c>
    </row>
    <row r="768" spans="1:34" ht="14.5" x14ac:dyDescent="0.35">
      <c r="A768" s="33"/>
      <c r="B768" s="9"/>
      <c r="C768" s="12"/>
      <c r="D768" s="24"/>
      <c r="E768" s="12"/>
      <c r="F768" s="41"/>
      <c r="G768" s="41"/>
      <c r="H768" s="41"/>
      <c r="AG768" s="19">
        <v>767</v>
      </c>
      <c r="AH768" s="20">
        <v>-4182.1004576581627</v>
      </c>
    </row>
    <row r="769" spans="1:34" ht="14.5" x14ac:dyDescent="0.35">
      <c r="A769" s="33"/>
      <c r="B769" s="9"/>
      <c r="C769" s="12"/>
      <c r="D769" s="24"/>
      <c r="E769" s="12"/>
      <c r="F769" s="41"/>
      <c r="G769" s="41"/>
      <c r="H769" s="41"/>
      <c r="AG769" s="19">
        <v>768</v>
      </c>
      <c r="AH769" s="20">
        <v>-2688.6357019120751</v>
      </c>
    </row>
    <row r="770" spans="1:34" ht="14.5" x14ac:dyDescent="0.35">
      <c r="A770" s="33"/>
      <c r="B770" s="9"/>
      <c r="C770" s="12"/>
      <c r="D770" s="24"/>
      <c r="E770" s="12"/>
      <c r="F770" s="41"/>
      <c r="G770" s="41"/>
      <c r="H770" s="41"/>
      <c r="AG770" s="19">
        <v>769</v>
      </c>
      <c r="AH770" s="20">
        <v>-2632.4738297052168</v>
      </c>
    </row>
    <row r="771" spans="1:34" ht="14.5" x14ac:dyDescent="0.35">
      <c r="A771" s="33"/>
      <c r="B771" s="9"/>
      <c r="C771" s="12"/>
      <c r="D771" s="24"/>
      <c r="E771" s="12"/>
      <c r="F771" s="41"/>
      <c r="G771" s="41"/>
      <c r="H771" s="41"/>
      <c r="AG771" s="19">
        <v>770</v>
      </c>
      <c r="AH771" s="20">
        <v>2430.7542377991945</v>
      </c>
    </row>
    <row r="772" spans="1:34" ht="14.5" x14ac:dyDescent="0.35">
      <c r="A772" s="33"/>
      <c r="B772" s="9"/>
      <c r="C772" s="12"/>
      <c r="D772" s="24"/>
      <c r="E772" s="12"/>
      <c r="F772" s="41"/>
      <c r="G772" s="41"/>
      <c r="H772" s="41"/>
      <c r="AG772" s="19">
        <v>771</v>
      </c>
      <c r="AH772" s="20">
        <v>-2767.6550664770411</v>
      </c>
    </row>
    <row r="773" spans="1:34" ht="14.5" x14ac:dyDescent="0.35">
      <c r="A773" s="33"/>
      <c r="B773" s="9"/>
      <c r="C773" s="12"/>
      <c r="D773" s="24"/>
      <c r="E773" s="12"/>
      <c r="F773" s="41"/>
      <c r="G773" s="41"/>
      <c r="H773" s="41"/>
      <c r="AG773" s="19">
        <v>772</v>
      </c>
      <c r="AH773" s="20">
        <v>3280.0484050833861</v>
      </c>
    </row>
    <row r="774" spans="1:34" ht="14.5" x14ac:dyDescent="0.35">
      <c r="A774" s="33"/>
      <c r="B774" s="9"/>
      <c r="C774" s="12"/>
      <c r="D774" s="24"/>
      <c r="E774" s="12"/>
      <c r="F774" s="41"/>
      <c r="G774" s="41"/>
      <c r="H774" s="41"/>
      <c r="AG774" s="19">
        <v>773</v>
      </c>
      <c r="AH774" s="20">
        <v>2099.5247089035588</v>
      </c>
    </row>
    <row r="775" spans="1:34" ht="14.5" x14ac:dyDescent="0.35">
      <c r="A775" s="33"/>
      <c r="B775" s="9"/>
      <c r="C775" s="12"/>
      <c r="D775" s="24"/>
      <c r="E775" s="12"/>
      <c r="F775" s="41"/>
      <c r="G775" s="41"/>
      <c r="H775" s="41"/>
      <c r="AG775" s="19">
        <v>774</v>
      </c>
      <c r="AH775" s="20">
        <v>2254.7634958826907</v>
      </c>
    </row>
    <row r="776" spans="1:34" ht="14.5" x14ac:dyDescent="0.35">
      <c r="A776" s="33"/>
      <c r="B776" s="9"/>
      <c r="C776" s="12"/>
      <c r="D776" s="24"/>
      <c r="E776" s="12"/>
      <c r="F776" s="41"/>
      <c r="G776" s="41"/>
      <c r="H776" s="41"/>
      <c r="AG776" s="19">
        <v>775</v>
      </c>
      <c r="AH776" s="20">
        <v>-2058.203024002732</v>
      </c>
    </row>
    <row r="777" spans="1:34" ht="14.5" x14ac:dyDescent="0.35">
      <c r="A777" s="33"/>
      <c r="B777" s="9"/>
      <c r="C777" s="12"/>
      <c r="D777" s="24"/>
      <c r="E777" s="12"/>
      <c r="F777" s="41"/>
      <c r="G777" s="41"/>
      <c r="H777" s="41"/>
      <c r="AG777" s="19">
        <v>776</v>
      </c>
      <c r="AH777" s="20">
        <v>-418.54491419103528</v>
      </c>
    </row>
    <row r="778" spans="1:34" ht="14.5" x14ac:dyDescent="0.35">
      <c r="A778" s="33"/>
      <c r="B778" s="9"/>
      <c r="C778" s="12"/>
      <c r="D778" s="24"/>
      <c r="E778" s="12"/>
      <c r="F778" s="41"/>
      <c r="G778" s="41"/>
      <c r="H778" s="41"/>
      <c r="AG778" s="19">
        <v>777</v>
      </c>
      <c r="AH778" s="20">
        <v>1597.3354081459245</v>
      </c>
    </row>
    <row r="779" spans="1:34" ht="14.5" x14ac:dyDescent="0.35">
      <c r="A779" s="33"/>
      <c r="B779" s="9"/>
      <c r="C779" s="12"/>
      <c r="D779" s="24"/>
      <c r="E779" s="12"/>
      <c r="F779" s="41"/>
      <c r="G779" s="41"/>
      <c r="H779" s="41"/>
      <c r="AG779" s="19">
        <v>778</v>
      </c>
      <c r="AH779" s="20">
        <v>370.39959013269674</v>
      </c>
    </row>
    <row r="780" spans="1:34" ht="14.5" x14ac:dyDescent="0.35">
      <c r="A780" s="33"/>
      <c r="B780" s="9"/>
      <c r="C780" s="12"/>
      <c r="D780" s="24"/>
      <c r="E780" s="12"/>
      <c r="F780" s="41"/>
      <c r="G780" s="41"/>
      <c r="H780" s="41"/>
      <c r="AG780" s="19">
        <v>779</v>
      </c>
      <c r="AH780" s="20">
        <v>1372.8336471988605</v>
      </c>
    </row>
    <row r="781" spans="1:34" ht="14.5" x14ac:dyDescent="0.35">
      <c r="A781" s="33"/>
      <c r="B781" s="9"/>
      <c r="C781" s="12"/>
      <c r="D781" s="24"/>
      <c r="E781" s="12"/>
      <c r="F781" s="41"/>
      <c r="G781" s="41"/>
      <c r="H781" s="41"/>
      <c r="AG781" s="19">
        <v>780</v>
      </c>
      <c r="AH781" s="20">
        <v>285.64681833944326</v>
      </c>
    </row>
    <row r="782" spans="1:34" ht="14.5" x14ac:dyDescent="0.35">
      <c r="A782" s="33"/>
      <c r="B782" s="9"/>
      <c r="C782" s="12"/>
      <c r="D782" s="24"/>
      <c r="E782" s="12"/>
      <c r="F782" s="41"/>
      <c r="G782" s="41"/>
      <c r="H782" s="41"/>
      <c r="AG782" s="19">
        <v>781</v>
      </c>
      <c r="AH782" s="20">
        <v>2256.5941058328176</v>
      </c>
    </row>
    <row r="783" spans="1:34" ht="14.5" x14ac:dyDescent="0.35">
      <c r="A783" s="33"/>
      <c r="B783" s="9"/>
      <c r="C783" s="12"/>
      <c r="D783" s="24"/>
      <c r="E783" s="12"/>
      <c r="F783" s="41"/>
      <c r="G783" s="41"/>
      <c r="H783" s="41"/>
      <c r="AG783" s="19">
        <v>782</v>
      </c>
      <c r="AH783" s="20">
        <v>2029.6508855383204</v>
      </c>
    </row>
    <row r="784" spans="1:34" ht="14.5" x14ac:dyDescent="0.35">
      <c r="A784" s="33"/>
      <c r="B784" s="9"/>
      <c r="C784" s="12"/>
      <c r="D784" s="24"/>
      <c r="E784" s="12"/>
      <c r="F784" s="41"/>
      <c r="G784" s="41"/>
      <c r="H784" s="41"/>
      <c r="AG784" s="19">
        <v>783</v>
      </c>
      <c r="AH784" s="20">
        <v>-3410.4391122786747</v>
      </c>
    </row>
    <row r="785" spans="1:34" ht="14.5" x14ac:dyDescent="0.35">
      <c r="A785" s="33"/>
      <c r="B785" s="9"/>
      <c r="C785" s="12"/>
      <c r="D785" s="24"/>
      <c r="E785" s="12"/>
      <c r="F785" s="41"/>
      <c r="G785" s="41"/>
      <c r="H785" s="41"/>
      <c r="AG785" s="19">
        <v>784</v>
      </c>
      <c r="AH785" s="20">
        <v>-1367.4332631623565</v>
      </c>
    </row>
    <row r="786" spans="1:34" ht="14.5" x14ac:dyDescent="0.35">
      <c r="A786" s="33"/>
      <c r="B786" s="9"/>
      <c r="C786" s="12"/>
      <c r="D786" s="24"/>
      <c r="E786" s="12"/>
      <c r="F786" s="41"/>
      <c r="G786" s="41"/>
      <c r="H786" s="41"/>
      <c r="AG786" s="19">
        <v>785</v>
      </c>
      <c r="AH786" s="20">
        <v>-2498.2110712028725</v>
      </c>
    </row>
    <row r="787" spans="1:34" ht="14.5" x14ac:dyDescent="0.35">
      <c r="A787" s="33"/>
      <c r="B787" s="9"/>
      <c r="C787" s="12"/>
      <c r="D787" s="24"/>
      <c r="E787" s="12"/>
      <c r="F787" s="41"/>
      <c r="G787" s="41"/>
      <c r="H787" s="41"/>
      <c r="AG787" s="19">
        <v>786</v>
      </c>
      <c r="AH787" s="20">
        <v>-1108.9516543478619</v>
      </c>
    </row>
    <row r="788" spans="1:34" ht="14.5" x14ac:dyDescent="0.35">
      <c r="A788" s="33"/>
      <c r="B788" s="9"/>
      <c r="C788" s="12"/>
      <c r="D788" s="24"/>
      <c r="E788" s="12"/>
      <c r="F788" s="41"/>
      <c r="G788" s="41"/>
      <c r="H788" s="41"/>
      <c r="AG788" s="19">
        <v>787</v>
      </c>
      <c r="AH788" s="20">
        <v>-748.30599614107268</v>
      </c>
    </row>
    <row r="789" spans="1:34" ht="14.5" x14ac:dyDescent="0.35">
      <c r="A789" s="33"/>
      <c r="B789" s="9"/>
      <c r="C789" s="12"/>
      <c r="D789" s="24"/>
      <c r="E789" s="12"/>
      <c r="F789" s="41"/>
      <c r="G789" s="41"/>
      <c r="H789" s="41"/>
      <c r="AG789" s="19">
        <v>788</v>
      </c>
      <c r="AH789" s="20">
        <v>2765.0034418617302</v>
      </c>
    </row>
    <row r="790" spans="1:34" ht="14.5" x14ac:dyDescent="0.35">
      <c r="A790" s="33"/>
      <c r="B790" s="9"/>
      <c r="C790" s="12"/>
      <c r="D790" s="24"/>
      <c r="E790" s="12"/>
      <c r="F790" s="41"/>
      <c r="G790" s="41"/>
      <c r="H790" s="41"/>
      <c r="AG790" s="19">
        <v>789</v>
      </c>
      <c r="AH790" s="20">
        <v>-4252.7199375902155</v>
      </c>
    </row>
    <row r="791" spans="1:34" ht="14.5" x14ac:dyDescent="0.35">
      <c r="A791" s="33"/>
      <c r="B791" s="9"/>
      <c r="C791" s="12"/>
      <c r="D791" s="24"/>
      <c r="E791" s="12"/>
      <c r="F791" s="41"/>
      <c r="G791" s="41"/>
      <c r="H791" s="41"/>
      <c r="AG791" s="19">
        <v>790</v>
      </c>
      <c r="AH791" s="20">
        <v>1952.5475001430757</v>
      </c>
    </row>
    <row r="792" spans="1:34" ht="14.5" x14ac:dyDescent="0.35">
      <c r="A792" s="33"/>
      <c r="B792" s="9"/>
      <c r="C792" s="12"/>
      <c r="D792" s="24"/>
      <c r="E792" s="12"/>
      <c r="F792" s="41"/>
      <c r="G792" s="41"/>
      <c r="H792" s="41"/>
      <c r="AG792" s="19">
        <v>791</v>
      </c>
      <c r="AH792" s="20">
        <v>3878.1480854811184</v>
      </c>
    </row>
    <row r="793" spans="1:34" ht="14.5" x14ac:dyDescent="0.35">
      <c r="A793" s="33"/>
      <c r="B793" s="9"/>
      <c r="C793" s="12"/>
      <c r="D793" s="24"/>
      <c r="E793" s="12"/>
      <c r="F793" s="41"/>
      <c r="G793" s="41"/>
      <c r="H793" s="41"/>
      <c r="AG793" s="19">
        <v>792</v>
      </c>
      <c r="AH793" s="20">
        <v>3467.6173098421891</v>
      </c>
    </row>
    <row r="794" spans="1:34" ht="14.5" x14ac:dyDescent="0.35">
      <c r="A794" s="33"/>
      <c r="B794" s="9"/>
      <c r="C794" s="12"/>
      <c r="D794" s="24"/>
      <c r="E794" s="12"/>
      <c r="F794" s="41"/>
      <c r="G794" s="41"/>
      <c r="H794" s="41"/>
      <c r="AG794" s="19">
        <v>793</v>
      </c>
      <c r="AH794" s="20">
        <v>-116.31004585687475</v>
      </c>
    </row>
    <row r="795" spans="1:34" ht="14.5" x14ac:dyDescent="0.35">
      <c r="A795" s="33"/>
      <c r="B795" s="9"/>
      <c r="C795" s="12"/>
      <c r="D795" s="24"/>
      <c r="E795" s="12"/>
      <c r="F795" s="41"/>
      <c r="G795" s="41"/>
      <c r="H795" s="41"/>
      <c r="AG795" s="19">
        <v>794</v>
      </c>
      <c r="AH795" s="20">
        <v>899.88722482083517</v>
      </c>
    </row>
    <row r="796" spans="1:34" ht="14.5" x14ac:dyDescent="0.35">
      <c r="A796" s="33"/>
      <c r="B796" s="9"/>
      <c r="C796" s="12"/>
      <c r="D796" s="24"/>
      <c r="E796" s="12"/>
      <c r="F796" s="41"/>
      <c r="G796" s="41"/>
      <c r="H796" s="41"/>
      <c r="AG796" s="19">
        <v>795</v>
      </c>
      <c r="AH796" s="20">
        <v>-88.058211845349149</v>
      </c>
    </row>
    <row r="797" spans="1:34" ht="14.5" x14ac:dyDescent="0.35">
      <c r="A797" s="33"/>
      <c r="B797" s="9"/>
      <c r="C797" s="12"/>
      <c r="D797" s="24"/>
      <c r="E797" s="12"/>
      <c r="F797" s="41"/>
      <c r="G797" s="41"/>
      <c r="H797" s="41"/>
      <c r="AG797" s="19">
        <v>796</v>
      </c>
      <c r="AH797" s="20">
        <v>1782.9439007374961</v>
      </c>
    </row>
    <row r="798" spans="1:34" ht="14.5" x14ac:dyDescent="0.35">
      <c r="A798" s="33"/>
      <c r="B798" s="9"/>
      <c r="C798" s="12"/>
      <c r="D798" s="24"/>
      <c r="E798" s="12"/>
      <c r="F798" s="41"/>
      <c r="G798" s="41"/>
      <c r="H798" s="41"/>
      <c r="AG798" s="19">
        <v>797</v>
      </c>
      <c r="AH798" s="20">
        <v>84.641859337327105</v>
      </c>
    </row>
    <row r="799" spans="1:34" ht="14.5" x14ac:dyDescent="0.35">
      <c r="A799" s="33"/>
      <c r="B799" s="9"/>
      <c r="C799" s="12"/>
      <c r="D799" s="24"/>
      <c r="E799" s="12"/>
      <c r="F799" s="41"/>
      <c r="G799" s="41"/>
      <c r="H799" s="41"/>
      <c r="AG799" s="19">
        <v>798</v>
      </c>
      <c r="AH799" s="20">
        <v>4651.6601283604532</v>
      </c>
    </row>
    <row r="800" spans="1:34" ht="14.5" x14ac:dyDescent="0.35">
      <c r="A800" s="33"/>
      <c r="B800" s="9"/>
      <c r="C800" s="12"/>
      <c r="D800" s="24"/>
      <c r="E800" s="12"/>
      <c r="F800" s="41"/>
      <c r="G800" s="41"/>
      <c r="H800" s="41"/>
      <c r="AG800" s="19">
        <v>799</v>
      </c>
      <c r="AH800" s="20">
        <v>446.00217528635761</v>
      </c>
    </row>
    <row r="801" spans="1:34" ht="14.5" x14ac:dyDescent="0.35">
      <c r="A801" s="33"/>
      <c r="B801" s="9"/>
      <c r="C801" s="12"/>
      <c r="D801" s="24"/>
      <c r="E801" s="12"/>
      <c r="F801" s="41"/>
      <c r="G801" s="41"/>
      <c r="H801" s="41"/>
      <c r="AG801" s="19">
        <v>800</v>
      </c>
      <c r="AH801" s="20">
        <v>-310.16770482500414</v>
      </c>
    </row>
    <row r="802" spans="1:34" ht="14.5" x14ac:dyDescent="0.35">
      <c r="A802" s="33"/>
      <c r="B802" s="9"/>
      <c r="C802" s="12"/>
      <c r="D802" s="24"/>
      <c r="E802" s="12"/>
      <c r="F802" s="41"/>
      <c r="G802" s="41"/>
      <c r="H802" s="41"/>
      <c r="AG802" s="19">
        <v>801</v>
      </c>
      <c r="AH802" s="20">
        <v>-1062.9135507393166</v>
      </c>
    </row>
    <row r="803" spans="1:34" ht="14.5" x14ac:dyDescent="0.35">
      <c r="A803" s="33"/>
      <c r="B803" s="9"/>
      <c r="C803" s="12"/>
      <c r="D803" s="24"/>
      <c r="E803" s="12"/>
      <c r="F803" s="41"/>
      <c r="G803" s="41"/>
      <c r="H803" s="41"/>
      <c r="AG803" s="19">
        <v>802</v>
      </c>
      <c r="AH803" s="20">
        <v>2772.432827791316</v>
      </c>
    </row>
    <row r="804" spans="1:34" ht="14.5" x14ac:dyDescent="0.35">
      <c r="A804" s="33"/>
      <c r="B804" s="9"/>
      <c r="C804" s="12"/>
      <c r="D804" s="24"/>
      <c r="E804" s="12"/>
      <c r="F804" s="41"/>
      <c r="G804" s="41"/>
      <c r="H804" s="41"/>
      <c r="AG804" s="19">
        <v>803</v>
      </c>
      <c r="AH804" s="20">
        <v>2722.9409744743698</v>
      </c>
    </row>
    <row r="805" spans="1:34" ht="14.5" x14ac:dyDescent="0.35">
      <c r="A805" s="33"/>
      <c r="B805" s="9"/>
      <c r="C805" s="12"/>
      <c r="D805" s="24"/>
      <c r="E805" s="12"/>
      <c r="F805" s="41"/>
      <c r="G805" s="41"/>
      <c r="H805" s="41"/>
      <c r="AG805" s="19">
        <v>804</v>
      </c>
      <c r="AH805" s="20">
        <v>-1655.1792469630443</v>
      </c>
    </row>
    <row r="806" spans="1:34" ht="14.5" x14ac:dyDescent="0.35">
      <c r="A806" s="33"/>
      <c r="B806" s="9"/>
      <c r="C806" s="12"/>
      <c r="D806" s="24"/>
      <c r="E806" s="12"/>
      <c r="F806" s="41"/>
      <c r="G806" s="41"/>
      <c r="H806" s="41"/>
      <c r="AG806" s="19">
        <v>805</v>
      </c>
      <c r="AH806" s="20">
        <v>-3073.7580549729651</v>
      </c>
    </row>
    <row r="807" spans="1:34" ht="14.5" x14ac:dyDescent="0.35">
      <c r="A807" s="33"/>
      <c r="B807" s="9"/>
      <c r="C807" s="12"/>
      <c r="D807" s="24"/>
      <c r="E807" s="12"/>
      <c r="F807" s="41"/>
      <c r="G807" s="41"/>
      <c r="H807" s="41"/>
      <c r="AG807" s="19">
        <v>806</v>
      </c>
      <c r="AH807" s="20">
        <v>1737.9240589619405</v>
      </c>
    </row>
    <row r="808" spans="1:34" ht="14.5" x14ac:dyDescent="0.35">
      <c r="A808" s="33"/>
      <c r="B808" s="9"/>
      <c r="C808" s="12"/>
      <c r="D808" s="24"/>
      <c r="E808" s="12"/>
      <c r="F808" s="41"/>
      <c r="G808" s="41"/>
      <c r="H808" s="41"/>
      <c r="AG808" s="19">
        <v>807</v>
      </c>
      <c r="AH808" s="20">
        <v>-1003.6626110428247</v>
      </c>
    </row>
    <row r="809" spans="1:34" ht="14.5" x14ac:dyDescent="0.35">
      <c r="A809" s="33"/>
      <c r="B809" s="9"/>
      <c r="C809" s="12"/>
      <c r="D809" s="24"/>
      <c r="E809" s="12"/>
      <c r="F809" s="41"/>
      <c r="G809" s="41"/>
      <c r="H809" s="41"/>
      <c r="AG809" s="19">
        <v>808</v>
      </c>
      <c r="AH809" s="20">
        <v>2473.2038606509627</v>
      </c>
    </row>
    <row r="810" spans="1:34" ht="14.5" x14ac:dyDescent="0.35">
      <c r="A810" s="33"/>
      <c r="B810" s="9"/>
      <c r="C810" s="12"/>
      <c r="D810" s="24"/>
      <c r="E810" s="12"/>
      <c r="F810" s="41"/>
      <c r="G810" s="41"/>
      <c r="H810" s="41"/>
      <c r="AG810" s="19">
        <v>809</v>
      </c>
      <c r="AH810" s="20">
        <v>-1990.9564745136338</v>
      </c>
    </row>
    <row r="811" spans="1:34" ht="14.5" x14ac:dyDescent="0.35">
      <c r="A811" s="33"/>
      <c r="B811" s="9"/>
      <c r="C811" s="12"/>
      <c r="D811" s="24"/>
      <c r="E811" s="12"/>
      <c r="F811" s="41"/>
      <c r="G811" s="41"/>
      <c r="H811" s="41"/>
      <c r="AG811" s="19">
        <v>810</v>
      </c>
      <c r="AH811" s="20">
        <v>2014.8062344849177</v>
      </c>
    </row>
    <row r="812" spans="1:34" ht="14.5" x14ac:dyDescent="0.35">
      <c r="A812" s="33"/>
      <c r="B812" s="9"/>
      <c r="C812" s="12"/>
      <c r="D812" s="24"/>
      <c r="E812" s="12"/>
      <c r="F812" s="41"/>
      <c r="G812" s="41"/>
      <c r="H812" s="41"/>
      <c r="AG812" s="19">
        <v>811</v>
      </c>
      <c r="AH812" s="20">
        <v>2053.3289492404219</v>
      </c>
    </row>
    <row r="813" spans="1:34" ht="14.5" x14ac:dyDescent="0.35">
      <c r="A813" s="33"/>
      <c r="B813" s="9"/>
      <c r="C813" s="12"/>
      <c r="D813" s="24"/>
      <c r="E813" s="12"/>
      <c r="F813" s="41"/>
      <c r="G813" s="41"/>
      <c r="H813" s="41"/>
      <c r="AG813" s="19">
        <v>812</v>
      </c>
      <c r="AH813" s="20">
        <v>582.73322762020382</v>
      </c>
    </row>
    <row r="814" spans="1:34" ht="14.5" x14ac:dyDescent="0.35">
      <c r="A814" s="33"/>
      <c r="B814" s="9"/>
      <c r="C814" s="12"/>
      <c r="D814" s="24"/>
      <c r="E814" s="12"/>
      <c r="F814" s="41"/>
      <c r="G814" s="41"/>
      <c r="H814" s="41"/>
      <c r="AG814" s="19">
        <v>813</v>
      </c>
      <c r="AH814" s="20">
        <v>789.85441834984078</v>
      </c>
    </row>
    <row r="815" spans="1:34" ht="14.5" x14ac:dyDescent="0.35">
      <c r="A815" s="33"/>
      <c r="B815" s="9"/>
      <c r="C815" s="12"/>
      <c r="D815" s="24"/>
      <c r="E815" s="12"/>
      <c r="F815" s="41"/>
      <c r="G815" s="41"/>
      <c r="H815" s="41"/>
      <c r="AG815" s="19">
        <v>814</v>
      </c>
      <c r="AH815" s="20">
        <v>2641.735455930545</v>
      </c>
    </row>
    <row r="816" spans="1:34" ht="14.5" x14ac:dyDescent="0.35">
      <c r="A816" s="33"/>
      <c r="B816" s="9"/>
      <c r="C816" s="12"/>
      <c r="D816" s="24"/>
      <c r="E816" s="12"/>
      <c r="F816" s="41"/>
      <c r="G816" s="41"/>
      <c r="H816" s="41"/>
      <c r="AG816" s="19">
        <v>815</v>
      </c>
      <c r="AH816" s="20">
        <v>-2275.4911066850977</v>
      </c>
    </row>
    <row r="817" spans="1:34" ht="14.5" x14ac:dyDescent="0.35">
      <c r="A817" s="33"/>
      <c r="B817" s="9"/>
      <c r="C817" s="12"/>
      <c r="D817" s="24"/>
      <c r="E817" s="12"/>
      <c r="F817" s="41"/>
      <c r="G817" s="41"/>
      <c r="H817" s="41"/>
      <c r="AG817" s="19">
        <v>816</v>
      </c>
      <c r="AH817" s="20">
        <v>2016.0032855823092</v>
      </c>
    </row>
    <row r="818" spans="1:34" ht="14.5" x14ac:dyDescent="0.35">
      <c r="A818" s="33"/>
      <c r="B818" s="9"/>
      <c r="C818" s="12"/>
      <c r="D818" s="24"/>
      <c r="E818" s="12"/>
      <c r="F818" s="41"/>
      <c r="G818" s="41"/>
      <c r="H818" s="41"/>
      <c r="AG818" s="19">
        <v>817</v>
      </c>
      <c r="AH818" s="20">
        <v>-4452.3068637187607</v>
      </c>
    </row>
    <row r="819" spans="1:34" ht="14.5" x14ac:dyDescent="0.35">
      <c r="A819" s="33"/>
      <c r="B819" s="9"/>
      <c r="C819" s="12"/>
      <c r="D819" s="24"/>
      <c r="E819" s="12"/>
      <c r="F819" s="41"/>
      <c r="G819" s="41"/>
      <c r="H819" s="41"/>
      <c r="AG819" s="19">
        <v>818</v>
      </c>
      <c r="AH819" s="20">
        <v>1846.6151408844935</v>
      </c>
    </row>
    <row r="820" spans="1:34" ht="14.5" x14ac:dyDescent="0.35">
      <c r="A820" s="33"/>
      <c r="B820" s="9"/>
      <c r="C820" s="12"/>
      <c r="D820" s="24"/>
      <c r="E820" s="12"/>
      <c r="F820" s="41"/>
      <c r="G820" s="41"/>
      <c r="H820" s="41"/>
      <c r="AG820" s="19">
        <v>819</v>
      </c>
      <c r="AH820" s="20">
        <v>-665.63037510994468</v>
      </c>
    </row>
    <row r="821" spans="1:34" ht="14.5" x14ac:dyDescent="0.35">
      <c r="A821" s="33"/>
      <c r="B821" s="9"/>
      <c r="C821" s="12"/>
      <c r="D821" s="24"/>
      <c r="E821" s="12"/>
      <c r="F821" s="41"/>
      <c r="G821" s="41"/>
      <c r="H821" s="41"/>
      <c r="AG821" s="19">
        <v>820</v>
      </c>
      <c r="AH821" s="20">
        <v>885.7899941557788</v>
      </c>
    </row>
    <row r="822" spans="1:34" ht="14.5" x14ac:dyDescent="0.35">
      <c r="A822" s="33"/>
      <c r="B822" s="9"/>
      <c r="C822" s="12"/>
      <c r="D822" s="24"/>
      <c r="E822" s="12"/>
      <c r="F822" s="41"/>
      <c r="G822" s="41"/>
      <c r="H822" s="41"/>
      <c r="AG822" s="19">
        <v>821</v>
      </c>
      <c r="AH822" s="20">
        <v>1168.2424151379398</v>
      </c>
    </row>
    <row r="823" spans="1:34" ht="14.5" x14ac:dyDescent="0.35">
      <c r="A823" s="33"/>
      <c r="B823" s="9"/>
      <c r="C823" s="12"/>
      <c r="D823" s="24"/>
      <c r="E823" s="12"/>
      <c r="F823" s="41"/>
      <c r="G823" s="41"/>
      <c r="H823" s="41"/>
      <c r="AG823" s="19">
        <v>822</v>
      </c>
      <c r="AH823" s="20">
        <v>-2139.4896004265597</v>
      </c>
    </row>
    <row r="824" spans="1:34" ht="14.5" x14ac:dyDescent="0.35">
      <c r="A824" s="33"/>
      <c r="B824" s="9"/>
      <c r="C824" s="12"/>
      <c r="D824" s="24"/>
      <c r="E824" s="12"/>
      <c r="F824" s="41"/>
      <c r="G824" s="41"/>
      <c r="H824" s="41"/>
      <c r="AG824" s="19">
        <v>823</v>
      </c>
      <c r="AH824" s="20">
        <v>1249.5049930273456</v>
      </c>
    </row>
    <row r="825" spans="1:34" ht="14.5" x14ac:dyDescent="0.35">
      <c r="A825" s="33"/>
      <c r="B825" s="9"/>
      <c r="C825" s="12"/>
      <c r="D825" s="24"/>
      <c r="E825" s="12"/>
      <c r="F825" s="41"/>
      <c r="G825" s="41"/>
      <c r="H825" s="41"/>
      <c r="AG825" s="19">
        <v>824</v>
      </c>
      <c r="AH825" s="20">
        <v>-2889.474466666391</v>
      </c>
    </row>
    <row r="826" spans="1:34" ht="14.5" x14ac:dyDescent="0.35">
      <c r="A826" s="33"/>
      <c r="B826" s="9"/>
      <c r="C826" s="12"/>
      <c r="D826" s="24"/>
      <c r="E826" s="12"/>
      <c r="F826" s="41"/>
      <c r="G826" s="41"/>
      <c r="H826" s="41"/>
      <c r="AG826" s="19">
        <v>825</v>
      </c>
      <c r="AH826" s="20">
        <v>1303.305006262209</v>
      </c>
    </row>
    <row r="827" spans="1:34" ht="14.5" x14ac:dyDescent="0.35">
      <c r="A827" s="33"/>
      <c r="B827" s="9"/>
      <c r="C827" s="12"/>
      <c r="D827" s="24"/>
      <c r="E827" s="12"/>
      <c r="F827" s="41"/>
      <c r="G827" s="41"/>
      <c r="H827" s="41"/>
      <c r="AG827" s="19">
        <v>826</v>
      </c>
      <c r="AH827" s="20">
        <v>-562.14158165733375</v>
      </c>
    </row>
    <row r="828" spans="1:34" ht="14.5" x14ac:dyDescent="0.35">
      <c r="A828" s="33"/>
      <c r="B828" s="9"/>
      <c r="C828" s="12"/>
      <c r="D828" s="24"/>
      <c r="E828" s="12"/>
      <c r="F828" s="41"/>
      <c r="G828" s="41"/>
      <c r="H828" s="41"/>
      <c r="AG828" s="19">
        <v>827</v>
      </c>
      <c r="AH828" s="20">
        <v>347.38941268982063</v>
      </c>
    </row>
    <row r="829" spans="1:34" ht="14.5" x14ac:dyDescent="0.35">
      <c r="A829" s="33"/>
      <c r="B829" s="9"/>
      <c r="C829" s="12"/>
      <c r="D829" s="24"/>
      <c r="E829" s="12"/>
      <c r="F829" s="41"/>
      <c r="G829" s="41"/>
      <c r="H829" s="41"/>
      <c r="AG829" s="19">
        <v>828</v>
      </c>
      <c r="AH829" s="20">
        <v>-525.87188982429484</v>
      </c>
    </row>
    <row r="830" spans="1:34" ht="14.5" x14ac:dyDescent="0.35">
      <c r="A830" s="33"/>
      <c r="B830" s="9"/>
      <c r="C830" s="12"/>
      <c r="D830" s="24"/>
      <c r="E830" s="12"/>
      <c r="F830" s="41"/>
      <c r="G830" s="41"/>
      <c r="H830" s="41"/>
      <c r="AG830" s="19">
        <v>829</v>
      </c>
      <c r="AH830" s="20">
        <v>2994.3583014891728</v>
      </c>
    </row>
    <row r="831" spans="1:34" ht="14.5" x14ac:dyDescent="0.35">
      <c r="A831" s="33"/>
      <c r="B831" s="9"/>
      <c r="C831" s="12"/>
      <c r="D831" s="24"/>
      <c r="E831" s="12"/>
      <c r="F831" s="41"/>
      <c r="G831" s="41"/>
      <c r="H831" s="41"/>
      <c r="AG831" s="19">
        <v>830</v>
      </c>
      <c r="AH831" s="20">
        <v>-816.75808998668413</v>
      </c>
    </row>
    <row r="832" spans="1:34" ht="14.5" x14ac:dyDescent="0.35">
      <c r="A832" s="33"/>
      <c r="B832" s="9"/>
      <c r="C832" s="12"/>
      <c r="D832" s="24"/>
      <c r="E832" s="12"/>
      <c r="F832" s="41"/>
      <c r="G832" s="41"/>
      <c r="H832" s="41"/>
      <c r="AG832" s="19">
        <v>831</v>
      </c>
      <c r="AH832" s="20">
        <v>294.38340310712186</v>
      </c>
    </row>
    <row r="833" spans="1:34" ht="14.5" x14ac:dyDescent="0.35">
      <c r="A833" s="33"/>
      <c r="B833" s="9"/>
      <c r="C833" s="12"/>
      <c r="D833" s="24"/>
      <c r="E833" s="12"/>
      <c r="F833" s="41"/>
      <c r="G833" s="41"/>
      <c r="H833" s="41"/>
      <c r="AG833" s="19">
        <v>832</v>
      </c>
      <c r="AH833" s="20">
        <v>806.30555265178623</v>
      </c>
    </row>
    <row r="834" spans="1:34" ht="14.5" x14ac:dyDescent="0.35">
      <c r="A834" s="33"/>
      <c r="B834" s="9"/>
      <c r="C834" s="12"/>
      <c r="D834" s="24"/>
      <c r="E834" s="12"/>
      <c r="F834" s="41"/>
      <c r="G834" s="41"/>
      <c r="H834" s="41"/>
      <c r="AG834" s="19">
        <v>833</v>
      </c>
      <c r="AH834" s="20">
        <v>2373.8014544487919</v>
      </c>
    </row>
    <row r="835" spans="1:34" ht="14.5" x14ac:dyDescent="0.35">
      <c r="A835" s="33"/>
      <c r="B835" s="9"/>
      <c r="C835" s="12"/>
      <c r="D835" s="24"/>
      <c r="E835" s="12"/>
      <c r="F835" s="41"/>
      <c r="G835" s="41"/>
      <c r="H835" s="41"/>
      <c r="AG835" s="19">
        <v>834</v>
      </c>
      <c r="AH835" s="20">
        <v>-2111.1408656189665</v>
      </c>
    </row>
    <row r="836" spans="1:34" ht="14.5" x14ac:dyDescent="0.35">
      <c r="A836" s="33"/>
      <c r="B836" s="9"/>
      <c r="C836" s="12"/>
      <c r="D836" s="24"/>
      <c r="E836" s="12"/>
      <c r="F836" s="41"/>
      <c r="G836" s="41"/>
      <c r="H836" s="41"/>
      <c r="AG836" s="19">
        <v>835</v>
      </c>
      <c r="AH836" s="20">
        <v>4932.3441368786771</v>
      </c>
    </row>
    <row r="837" spans="1:34" ht="14.5" x14ac:dyDescent="0.35">
      <c r="A837" s="33"/>
      <c r="B837" s="9"/>
      <c r="C837" s="12"/>
      <c r="D837" s="24"/>
      <c r="E837" s="12"/>
      <c r="F837" s="41"/>
      <c r="G837" s="41"/>
      <c r="H837" s="41"/>
      <c r="AG837" s="19">
        <v>836</v>
      </c>
      <c r="AH837" s="20">
        <v>-3779.7209547167959</v>
      </c>
    </row>
    <row r="838" spans="1:34" ht="14.5" x14ac:dyDescent="0.35">
      <c r="A838" s="33"/>
      <c r="B838" s="9"/>
      <c r="C838" s="12"/>
      <c r="D838" s="24"/>
      <c r="E838" s="12"/>
      <c r="F838" s="41"/>
      <c r="G838" s="41"/>
      <c r="H838" s="41"/>
      <c r="AG838" s="19">
        <v>837</v>
      </c>
      <c r="AH838" s="20">
        <v>-68.575024736061152</v>
      </c>
    </row>
    <row r="839" spans="1:34" ht="14.5" x14ac:dyDescent="0.35">
      <c r="A839" s="33"/>
      <c r="B839" s="9"/>
      <c r="C839" s="12"/>
      <c r="D839" s="24"/>
      <c r="E839" s="12"/>
      <c r="F839" s="41"/>
      <c r="G839" s="41"/>
      <c r="H839" s="41"/>
      <c r="AG839" s="19">
        <v>838</v>
      </c>
      <c r="AH839" s="20">
        <v>-1751.105903058786</v>
      </c>
    </row>
    <row r="840" spans="1:34" ht="14.5" x14ac:dyDescent="0.35">
      <c r="A840" s="33"/>
      <c r="B840" s="9"/>
      <c r="C840" s="12"/>
      <c r="D840" s="24"/>
      <c r="E840" s="12"/>
      <c r="F840" s="41"/>
      <c r="G840" s="41"/>
      <c r="H840" s="41"/>
      <c r="AG840" s="19">
        <v>839</v>
      </c>
      <c r="AH840" s="20">
        <v>-615.35391512870183</v>
      </c>
    </row>
    <row r="841" spans="1:34" ht="14.5" x14ac:dyDescent="0.35">
      <c r="A841" s="33"/>
      <c r="B841" s="9"/>
      <c r="C841" s="12"/>
      <c r="D841" s="24"/>
      <c r="E841" s="12"/>
      <c r="F841" s="41"/>
      <c r="G841" s="41"/>
      <c r="H841" s="41"/>
      <c r="AG841" s="19">
        <v>840</v>
      </c>
      <c r="AH841" s="20">
        <v>-410.87802815569995</v>
      </c>
    </row>
    <row r="842" spans="1:34" ht="14.5" x14ac:dyDescent="0.35">
      <c r="A842" s="33"/>
      <c r="B842" s="9"/>
      <c r="C842" s="12"/>
      <c r="D842" s="24"/>
      <c r="E842" s="12"/>
      <c r="F842" s="41"/>
      <c r="G842" s="41"/>
      <c r="H842" s="41"/>
      <c r="AG842" s="19">
        <v>841</v>
      </c>
      <c r="AH842" s="20">
        <v>563.40608985128858</v>
      </c>
    </row>
    <row r="843" spans="1:34" ht="14.5" x14ac:dyDescent="0.35">
      <c r="A843" s="33"/>
      <c r="B843" s="9"/>
      <c r="C843" s="12"/>
      <c r="D843" s="24"/>
      <c r="E843" s="12"/>
      <c r="F843" s="41"/>
      <c r="G843" s="41"/>
      <c r="H843" s="41"/>
      <c r="AG843" s="19">
        <v>842</v>
      </c>
      <c r="AH843" s="20">
        <v>418.10446790772949</v>
      </c>
    </row>
    <row r="844" spans="1:34" ht="14.5" x14ac:dyDescent="0.35">
      <c r="A844" s="33"/>
      <c r="B844" s="9"/>
      <c r="C844" s="12"/>
      <c r="D844" s="24"/>
      <c r="E844" s="12"/>
      <c r="F844" s="41"/>
      <c r="G844" s="41"/>
      <c r="H844" s="41"/>
      <c r="AG844" s="19">
        <v>843</v>
      </c>
      <c r="AH844" s="20">
        <v>238.24928250741712</v>
      </c>
    </row>
    <row r="845" spans="1:34" ht="14.5" x14ac:dyDescent="0.35">
      <c r="A845" s="33"/>
      <c r="B845" s="9"/>
      <c r="C845" s="12"/>
      <c r="D845" s="24"/>
      <c r="E845" s="12"/>
      <c r="F845" s="41"/>
      <c r="G845" s="41"/>
      <c r="H845" s="41"/>
      <c r="AG845" s="19">
        <v>844</v>
      </c>
      <c r="AH845" s="20">
        <v>-1033.013741245031</v>
      </c>
    </row>
    <row r="846" spans="1:34" ht="14.5" x14ac:dyDescent="0.35">
      <c r="A846" s="33"/>
      <c r="B846" s="9"/>
      <c r="C846" s="12"/>
      <c r="D846" s="24"/>
      <c r="E846" s="12"/>
      <c r="F846" s="41"/>
      <c r="G846" s="41"/>
      <c r="H846" s="41"/>
      <c r="AG846" s="19">
        <v>845</v>
      </c>
      <c r="AH846" s="20">
        <v>5645.9040134768393</v>
      </c>
    </row>
    <row r="847" spans="1:34" ht="14.5" x14ac:dyDescent="0.35">
      <c r="A847" s="33"/>
      <c r="B847" s="9"/>
      <c r="C847" s="12"/>
      <c r="D847" s="24"/>
      <c r="E847" s="12"/>
      <c r="F847" s="41"/>
      <c r="G847" s="41"/>
      <c r="H847" s="41"/>
      <c r="AG847" s="19">
        <v>846</v>
      </c>
      <c r="AH847" s="20">
        <v>-4516.8652024252078</v>
      </c>
    </row>
    <row r="848" spans="1:34" ht="14.5" x14ac:dyDescent="0.35">
      <c r="A848" s="33"/>
      <c r="B848" s="9"/>
      <c r="C848" s="12"/>
      <c r="D848" s="24"/>
      <c r="E848" s="12"/>
      <c r="F848" s="41"/>
      <c r="G848" s="41"/>
      <c r="H848" s="41"/>
      <c r="AG848" s="19">
        <v>847</v>
      </c>
      <c r="AH848" s="20">
        <v>-778.08128734637762</v>
      </c>
    </row>
    <row r="849" spans="1:34" ht="14.5" x14ac:dyDescent="0.35">
      <c r="A849" s="33"/>
      <c r="B849" s="9"/>
      <c r="C849" s="12"/>
      <c r="D849" s="24"/>
      <c r="E849" s="12"/>
      <c r="F849" s="41"/>
      <c r="G849" s="41"/>
      <c r="H849" s="41"/>
      <c r="AG849" s="19">
        <v>848</v>
      </c>
      <c r="AH849" s="20">
        <v>-420.89012059564374</v>
      </c>
    </row>
    <row r="850" spans="1:34" ht="14.5" x14ac:dyDescent="0.35">
      <c r="A850" s="33"/>
      <c r="B850" s="9"/>
      <c r="C850" s="12"/>
      <c r="D850" s="24"/>
      <c r="E850" s="12"/>
      <c r="F850" s="41"/>
      <c r="G850" s="41"/>
      <c r="H850" s="41"/>
      <c r="AG850" s="19">
        <v>849</v>
      </c>
      <c r="AH850" s="20">
        <v>-2465.5631787541574</v>
      </c>
    </row>
    <row r="851" spans="1:34" ht="14.5" x14ac:dyDescent="0.35">
      <c r="A851" s="33"/>
      <c r="B851" s="9"/>
      <c r="C851" s="12"/>
      <c r="D851" s="24"/>
      <c r="E851" s="12"/>
      <c r="F851" s="41"/>
      <c r="G851" s="41"/>
      <c r="H851" s="41"/>
      <c r="AG851" s="19">
        <v>850</v>
      </c>
      <c r="AH851" s="20">
        <v>-454.85600203465589</v>
      </c>
    </row>
    <row r="852" spans="1:34" ht="14.5" x14ac:dyDescent="0.35">
      <c r="A852" s="33"/>
      <c r="B852" s="9"/>
      <c r="C852" s="12"/>
      <c r="D852" s="24"/>
      <c r="E852" s="12"/>
      <c r="F852" s="41"/>
      <c r="G852" s="41"/>
      <c r="H852" s="41"/>
      <c r="AG852" s="19">
        <v>851</v>
      </c>
      <c r="AH852" s="20">
        <v>1142.6872376826022</v>
      </c>
    </row>
    <row r="853" spans="1:34" ht="14.5" x14ac:dyDescent="0.35">
      <c r="A853" s="33"/>
      <c r="B853" s="9"/>
      <c r="C853" s="12"/>
      <c r="D853" s="24"/>
      <c r="E853" s="12"/>
      <c r="F853" s="41"/>
      <c r="G853" s="41"/>
      <c r="H853" s="41"/>
      <c r="AG853" s="19">
        <v>852</v>
      </c>
      <c r="AH853" s="20">
        <v>1654.107767519863</v>
      </c>
    </row>
    <row r="854" spans="1:34" ht="14.5" x14ac:dyDescent="0.35">
      <c r="A854" s="33"/>
      <c r="B854" s="9"/>
      <c r="C854" s="12"/>
      <c r="D854" s="24"/>
      <c r="E854" s="12"/>
      <c r="F854" s="41"/>
      <c r="G854" s="41"/>
      <c r="H854" s="41"/>
      <c r="AG854" s="19">
        <v>853</v>
      </c>
      <c r="AH854" s="20">
        <v>-78.374372757541664</v>
      </c>
    </row>
    <row r="855" spans="1:34" ht="14.5" x14ac:dyDescent="0.35">
      <c r="A855" s="33"/>
      <c r="B855" s="9"/>
      <c r="C855" s="12"/>
      <c r="D855" s="24"/>
      <c r="E855" s="12"/>
      <c r="F855" s="41"/>
      <c r="G855" s="41"/>
      <c r="H855" s="41"/>
      <c r="AG855" s="19">
        <v>854</v>
      </c>
      <c r="AH855" s="20">
        <v>-4020.6490087541815</v>
      </c>
    </row>
    <row r="856" spans="1:34" ht="14.5" x14ac:dyDescent="0.35">
      <c r="A856" s="33"/>
      <c r="B856" s="9"/>
      <c r="C856" s="12"/>
      <c r="D856" s="24"/>
      <c r="E856" s="12"/>
      <c r="F856" s="41"/>
      <c r="G856" s="41"/>
      <c r="H856" s="41"/>
      <c r="AG856" s="19">
        <v>855</v>
      </c>
      <c r="AH856" s="20">
        <v>647.59371644859459</v>
      </c>
    </row>
    <row r="857" spans="1:34" ht="14.5" x14ac:dyDescent="0.35">
      <c r="A857" s="33"/>
      <c r="B857" s="9"/>
      <c r="C857" s="12"/>
      <c r="D857" s="24"/>
      <c r="E857" s="12"/>
      <c r="F857" s="41"/>
      <c r="G857" s="41"/>
      <c r="H857" s="41"/>
      <c r="AG857" s="19">
        <v>856</v>
      </c>
      <c r="AH857" s="20">
        <v>-823.64075976781692</v>
      </c>
    </row>
    <row r="858" spans="1:34" ht="14.5" x14ac:dyDescent="0.35">
      <c r="A858" s="33"/>
      <c r="B858" s="9"/>
      <c r="C858" s="12"/>
      <c r="D858" s="24"/>
      <c r="E858" s="12"/>
      <c r="F858" s="41"/>
      <c r="G858" s="41"/>
      <c r="H858" s="41"/>
      <c r="AG858" s="19">
        <v>857</v>
      </c>
      <c r="AH858" s="20">
        <v>-3408.432177924492</v>
      </c>
    </row>
    <row r="859" spans="1:34" ht="14.5" x14ac:dyDescent="0.35">
      <c r="A859" s="33"/>
      <c r="B859" s="9"/>
      <c r="C859" s="12"/>
      <c r="D859" s="24"/>
      <c r="E859" s="12"/>
      <c r="F859" s="41"/>
      <c r="G859" s="41"/>
      <c r="H859" s="41"/>
      <c r="AG859" s="19">
        <v>858</v>
      </c>
      <c r="AH859" s="20">
        <v>2246.9674426415831</v>
      </c>
    </row>
    <row r="860" spans="1:34" ht="14.5" x14ac:dyDescent="0.35">
      <c r="A860" s="33"/>
      <c r="B860" s="9"/>
      <c r="C860" s="12"/>
      <c r="D860" s="24"/>
      <c r="E860" s="12"/>
      <c r="F860" s="41"/>
      <c r="G860" s="41"/>
      <c r="H860" s="41"/>
      <c r="AG860" s="19">
        <v>859</v>
      </c>
      <c r="AH860" s="20">
        <v>3258.8141850467223</v>
      </c>
    </row>
    <row r="861" spans="1:34" ht="14.5" x14ac:dyDescent="0.35">
      <c r="A861" s="33"/>
      <c r="B861" s="9"/>
      <c r="C861" s="12"/>
      <c r="D861" s="24"/>
      <c r="E861" s="12"/>
      <c r="F861" s="41"/>
      <c r="G861" s="41"/>
      <c r="H861" s="41"/>
      <c r="AG861" s="19">
        <v>860</v>
      </c>
      <c r="AH861" s="20">
        <v>5408.4313851059878</v>
      </c>
    </row>
    <row r="862" spans="1:34" ht="14.5" x14ac:dyDescent="0.35">
      <c r="A862" s="33"/>
      <c r="B862" s="9"/>
      <c r="C862" s="12"/>
      <c r="D862" s="24"/>
      <c r="E862" s="12"/>
      <c r="F862" s="41"/>
      <c r="G862" s="41"/>
      <c r="H862" s="41"/>
      <c r="AG862" s="19">
        <v>861</v>
      </c>
      <c r="AH862" s="20">
        <v>4111.4689281250621</v>
      </c>
    </row>
    <row r="863" spans="1:34" ht="14.5" x14ac:dyDescent="0.35">
      <c r="A863" s="33"/>
      <c r="B863" s="9"/>
      <c r="C863" s="12"/>
      <c r="D863" s="24"/>
      <c r="E863" s="12"/>
      <c r="F863" s="41"/>
      <c r="G863" s="41"/>
      <c r="H863" s="41"/>
      <c r="AG863" s="19">
        <v>862</v>
      </c>
      <c r="AH863" s="20">
        <v>2101.9508198900235</v>
      </c>
    </row>
    <row r="864" spans="1:34" ht="14.5" x14ac:dyDescent="0.35">
      <c r="A864" s="33"/>
      <c r="B864" s="9"/>
      <c r="C864" s="12"/>
      <c r="D864" s="24"/>
      <c r="E864" s="12"/>
      <c r="F864" s="41"/>
      <c r="G864" s="41"/>
      <c r="H864" s="41"/>
      <c r="AG864" s="19">
        <v>863</v>
      </c>
      <c r="AH864" s="20">
        <v>-3906.3512055616338</v>
      </c>
    </row>
    <row r="865" spans="1:34" ht="14.5" x14ac:dyDescent="0.35">
      <c r="A865" s="33"/>
      <c r="B865" s="9"/>
      <c r="C865" s="12"/>
      <c r="D865" s="24"/>
      <c r="E865" s="12"/>
      <c r="F865" s="41"/>
      <c r="G865" s="41"/>
      <c r="H865" s="41"/>
      <c r="AG865" s="19">
        <v>864</v>
      </c>
      <c r="AH865" s="20">
        <v>-2460.113435403925</v>
      </c>
    </row>
    <row r="866" spans="1:34" ht="14.5" x14ac:dyDescent="0.35">
      <c r="A866" s="33"/>
      <c r="B866" s="9"/>
      <c r="C866" s="12"/>
      <c r="D866" s="24"/>
      <c r="E866" s="12"/>
      <c r="F866" s="41"/>
      <c r="G866" s="41"/>
      <c r="H866" s="41"/>
      <c r="AG866" s="19">
        <v>865</v>
      </c>
      <c r="AH866" s="20">
        <v>-606.47854621345436</v>
      </c>
    </row>
    <row r="867" spans="1:34" ht="14.5" x14ac:dyDescent="0.35">
      <c r="A867" s="33"/>
      <c r="B867" s="9"/>
      <c r="C867" s="12"/>
      <c r="D867" s="24"/>
      <c r="E867" s="12"/>
      <c r="F867" s="41"/>
      <c r="G867" s="41"/>
      <c r="H867" s="41"/>
      <c r="AG867" s="19">
        <v>866</v>
      </c>
      <c r="AH867" s="20">
        <v>-3001.7304062011381</v>
      </c>
    </row>
    <row r="868" spans="1:34" ht="14.5" x14ac:dyDescent="0.35">
      <c r="A868" s="33"/>
      <c r="B868" s="9"/>
      <c r="C868" s="12"/>
      <c r="D868" s="24"/>
      <c r="E868" s="12"/>
      <c r="F868" s="41"/>
      <c r="G868" s="41"/>
      <c r="H868" s="41"/>
      <c r="AG868" s="19">
        <v>867</v>
      </c>
      <c r="AH868" s="20">
        <v>1483.4162875793456</v>
      </c>
    </row>
    <row r="869" spans="1:34" ht="14.5" x14ac:dyDescent="0.35">
      <c r="A869" s="33"/>
      <c r="B869" s="9"/>
      <c r="C869" s="12"/>
      <c r="D869" s="24"/>
      <c r="E869" s="12"/>
      <c r="F869" s="41"/>
      <c r="G869" s="41"/>
      <c r="H869" s="41"/>
      <c r="AG869" s="19">
        <v>868</v>
      </c>
      <c r="AH869" s="20">
        <v>1039.1651981312334</v>
      </c>
    </row>
    <row r="870" spans="1:34" ht="14.5" x14ac:dyDescent="0.35">
      <c r="A870" s="33"/>
      <c r="B870" s="9"/>
      <c r="C870" s="12"/>
      <c r="D870" s="24"/>
      <c r="E870" s="12"/>
      <c r="F870" s="41"/>
      <c r="G870" s="41"/>
      <c r="H870" s="41"/>
      <c r="AG870" s="19">
        <v>869</v>
      </c>
      <c r="AH870" s="20">
        <v>1079.119329321949</v>
      </c>
    </row>
    <row r="871" spans="1:34" ht="14.5" x14ac:dyDescent="0.35">
      <c r="A871" s="33"/>
      <c r="B871" s="9"/>
      <c r="C871" s="12"/>
      <c r="D871" s="24"/>
      <c r="E871" s="12"/>
      <c r="F871" s="41"/>
      <c r="G871" s="41"/>
      <c r="H871" s="41"/>
      <c r="AG871" s="19">
        <v>870</v>
      </c>
      <c r="AH871" s="20">
        <v>-694.8636260483629</v>
      </c>
    </row>
    <row r="872" spans="1:34" ht="14.5" x14ac:dyDescent="0.35">
      <c r="A872" s="33"/>
      <c r="B872" s="9"/>
      <c r="C872" s="12"/>
      <c r="D872" s="24"/>
      <c r="E872" s="12"/>
      <c r="F872" s="41"/>
      <c r="G872" s="41"/>
      <c r="H872" s="41"/>
      <c r="AG872" s="19">
        <v>871</v>
      </c>
      <c r="AH872" s="20">
        <v>4315.3123927538618</v>
      </c>
    </row>
    <row r="873" spans="1:34" ht="14.5" x14ac:dyDescent="0.35">
      <c r="A873" s="33"/>
      <c r="B873" s="9"/>
      <c r="C873" s="12"/>
      <c r="D873" s="24"/>
      <c r="E873" s="12"/>
      <c r="F873" s="41"/>
      <c r="G873" s="41"/>
      <c r="H873" s="41"/>
      <c r="AG873" s="19">
        <v>872</v>
      </c>
      <c r="AH873" s="20">
        <v>2143.8032733851751</v>
      </c>
    </row>
    <row r="874" spans="1:34" ht="14.5" x14ac:dyDescent="0.35">
      <c r="A874" s="33"/>
      <c r="B874" s="9"/>
      <c r="C874" s="12"/>
      <c r="D874" s="24"/>
      <c r="E874" s="12"/>
      <c r="F874" s="41"/>
      <c r="G874" s="41"/>
      <c r="H874" s="41"/>
      <c r="AG874" s="19">
        <v>873</v>
      </c>
      <c r="AH874" s="20">
        <v>2409.695780999351</v>
      </c>
    </row>
    <row r="875" spans="1:34" ht="14.5" x14ac:dyDescent="0.35">
      <c r="A875" s="33"/>
      <c r="B875" s="9"/>
      <c r="C875" s="12"/>
      <c r="D875" s="24"/>
      <c r="E875" s="12"/>
      <c r="F875" s="41"/>
      <c r="G875" s="41"/>
      <c r="H875" s="41"/>
      <c r="AG875" s="19">
        <v>874</v>
      </c>
      <c r="AH875" s="20">
        <v>2114.0412817975216</v>
      </c>
    </row>
    <row r="876" spans="1:34" ht="14.5" x14ac:dyDescent="0.35">
      <c r="A876" s="33"/>
      <c r="B876" s="9"/>
      <c r="C876" s="12"/>
      <c r="D876" s="24"/>
      <c r="E876" s="12"/>
      <c r="F876" s="41"/>
      <c r="G876" s="41"/>
      <c r="H876" s="41"/>
      <c r="AG876" s="19">
        <v>875</v>
      </c>
      <c r="AH876" s="20">
        <v>-1579.1040795735557</v>
      </c>
    </row>
    <row r="877" spans="1:34" ht="14.5" x14ac:dyDescent="0.35">
      <c r="A877" s="33"/>
      <c r="B877" s="9"/>
      <c r="C877" s="12"/>
      <c r="D877" s="24"/>
      <c r="E877" s="12"/>
      <c r="F877" s="41"/>
      <c r="G877" s="41"/>
      <c r="H877" s="41"/>
      <c r="AG877" s="19">
        <v>876</v>
      </c>
      <c r="AH877" s="20">
        <v>-237.85945839355833</v>
      </c>
    </row>
    <row r="878" spans="1:34" ht="14.5" x14ac:dyDescent="0.35">
      <c r="A878" s="33"/>
      <c r="B878" s="9"/>
      <c r="C878" s="12"/>
      <c r="D878" s="24"/>
      <c r="E878" s="12"/>
      <c r="F878" s="41"/>
      <c r="G878" s="41"/>
      <c r="H878" s="41"/>
      <c r="AG878" s="19">
        <v>877</v>
      </c>
      <c r="AH878" s="20">
        <v>-2115.7290244143783</v>
      </c>
    </row>
    <row r="879" spans="1:34" ht="14.5" x14ac:dyDescent="0.35">
      <c r="A879" s="33"/>
      <c r="B879" s="9"/>
      <c r="C879" s="12"/>
      <c r="D879" s="24"/>
      <c r="E879" s="12"/>
      <c r="F879" s="41"/>
      <c r="G879" s="41"/>
      <c r="H879" s="41"/>
      <c r="AG879" s="19">
        <v>878</v>
      </c>
      <c r="AH879" s="20">
        <v>1152.0279497748015</v>
      </c>
    </row>
    <row r="880" spans="1:34" ht="14.5" x14ac:dyDescent="0.35">
      <c r="A880" s="33"/>
      <c r="B880" s="9"/>
      <c r="C880" s="12"/>
      <c r="D880" s="24"/>
      <c r="E880" s="12"/>
      <c r="F880" s="41"/>
      <c r="G880" s="41"/>
      <c r="H880" s="41"/>
      <c r="AG880" s="19">
        <v>879</v>
      </c>
      <c r="AH880" s="20">
        <v>-390.85073543801974</v>
      </c>
    </row>
    <row r="881" spans="1:34" ht="14.5" x14ac:dyDescent="0.35">
      <c r="A881" s="33"/>
      <c r="B881" s="9"/>
      <c r="C881" s="12"/>
      <c r="D881" s="24"/>
      <c r="E881" s="12"/>
      <c r="F881" s="41"/>
      <c r="G881" s="41"/>
      <c r="H881" s="41"/>
      <c r="AG881" s="19">
        <v>880</v>
      </c>
      <c r="AH881" s="20">
        <v>2206.7993088924181</v>
      </c>
    </row>
    <row r="882" spans="1:34" ht="14.5" x14ac:dyDescent="0.35">
      <c r="A882" s="33"/>
      <c r="B882" s="9"/>
      <c r="C882" s="12"/>
      <c r="D882" s="24"/>
      <c r="E882" s="12"/>
      <c r="F882" s="41"/>
      <c r="G882" s="41"/>
      <c r="H882" s="41"/>
      <c r="AG882" s="19">
        <v>881</v>
      </c>
      <c r="AH882" s="20">
        <v>859.73569099889801</v>
      </c>
    </row>
    <row r="883" spans="1:34" ht="14.5" x14ac:dyDescent="0.35">
      <c r="A883" s="33"/>
      <c r="B883" s="9"/>
      <c r="C883" s="12"/>
      <c r="D883" s="24"/>
      <c r="E883" s="12"/>
      <c r="F883" s="41"/>
      <c r="G883" s="41"/>
      <c r="H883" s="41"/>
      <c r="AG883" s="19">
        <v>882</v>
      </c>
      <c r="AH883" s="20">
        <v>-638.83052766583296</v>
      </c>
    </row>
    <row r="884" spans="1:34" ht="14.5" x14ac:dyDescent="0.35">
      <c r="A884" s="33"/>
      <c r="B884" s="9"/>
      <c r="C884" s="12"/>
      <c r="D884" s="24"/>
      <c r="E884" s="12"/>
      <c r="F884" s="41"/>
      <c r="G884" s="41"/>
      <c r="H884" s="41"/>
      <c r="AG884" s="19">
        <v>883</v>
      </c>
      <c r="AH884" s="20">
        <v>-43.931722294805525</v>
      </c>
    </row>
    <row r="885" spans="1:34" ht="14.5" x14ac:dyDescent="0.35">
      <c r="A885" s="33"/>
      <c r="B885" s="9"/>
      <c r="C885" s="12"/>
      <c r="D885" s="24"/>
      <c r="E885" s="12"/>
      <c r="F885" s="41"/>
      <c r="G885" s="41"/>
      <c r="H885" s="41"/>
      <c r="AG885" s="19">
        <v>884</v>
      </c>
      <c r="AH885" s="20">
        <v>-1009.8135750996423</v>
      </c>
    </row>
    <row r="886" spans="1:34" ht="14.5" x14ac:dyDescent="0.35">
      <c r="A886" s="33"/>
      <c r="B886" s="9"/>
      <c r="C886" s="12"/>
      <c r="D886" s="24"/>
      <c r="E886" s="12"/>
      <c r="F886" s="41"/>
      <c r="G886" s="41"/>
      <c r="H886" s="41"/>
      <c r="AG886" s="19">
        <v>885</v>
      </c>
      <c r="AH886" s="20">
        <v>-1108.7957672503373</v>
      </c>
    </row>
    <row r="887" spans="1:34" ht="14.5" x14ac:dyDescent="0.35">
      <c r="A887" s="33"/>
      <c r="B887" s="9"/>
      <c r="C887" s="12"/>
      <c r="D887" s="24"/>
      <c r="E887" s="12"/>
      <c r="F887" s="41"/>
      <c r="G887" s="41"/>
      <c r="H887" s="41"/>
      <c r="AG887" s="19">
        <v>886</v>
      </c>
      <c r="AH887" s="20">
        <v>-1723.5555577525136</v>
      </c>
    </row>
    <row r="888" spans="1:34" ht="14.5" x14ac:dyDescent="0.35">
      <c r="A888" s="33"/>
      <c r="B888" s="9"/>
      <c r="C888" s="12"/>
      <c r="D888" s="24"/>
      <c r="E888" s="12"/>
      <c r="F888" s="41"/>
      <c r="G888" s="41"/>
      <c r="H888" s="41"/>
      <c r="AG888" s="19">
        <v>887</v>
      </c>
      <c r="AH888" s="20">
        <v>-4151.7375643094492</v>
      </c>
    </row>
    <row r="889" spans="1:34" ht="14.5" x14ac:dyDescent="0.35">
      <c r="A889" s="33"/>
      <c r="B889" s="9"/>
      <c r="C889" s="12"/>
      <c r="D889" s="24"/>
      <c r="E889" s="12"/>
      <c r="F889" s="41"/>
      <c r="G889" s="41"/>
      <c r="H889" s="41"/>
      <c r="AG889" s="19">
        <v>888</v>
      </c>
      <c r="AH889" s="20">
        <v>-774.96835861419504</v>
      </c>
    </row>
    <row r="890" spans="1:34" ht="14.5" x14ac:dyDescent="0.35">
      <c r="A890" s="33"/>
      <c r="B890" s="9"/>
      <c r="C890" s="12"/>
      <c r="D890" s="24"/>
      <c r="E890" s="12"/>
      <c r="F890" s="41"/>
      <c r="G890" s="41"/>
      <c r="H890" s="41"/>
      <c r="AG890" s="19">
        <v>889</v>
      </c>
      <c r="AH890" s="20">
        <v>-3627.0010969597015</v>
      </c>
    </row>
    <row r="891" spans="1:34" ht="14.5" x14ac:dyDescent="0.35">
      <c r="A891" s="33"/>
      <c r="B891" s="9"/>
      <c r="C891" s="12"/>
      <c r="D891" s="24"/>
      <c r="E891" s="12"/>
      <c r="F891" s="41"/>
      <c r="G891" s="41"/>
      <c r="H891" s="41"/>
      <c r="AG891" s="19">
        <v>890</v>
      </c>
      <c r="AH891" s="20">
        <v>6701.4534399858348</v>
      </c>
    </row>
    <row r="892" spans="1:34" ht="14.5" x14ac:dyDescent="0.35">
      <c r="A892" s="33"/>
      <c r="B892" s="9"/>
      <c r="C892" s="12"/>
      <c r="D892" s="24"/>
      <c r="E892" s="12"/>
      <c r="F892" s="41"/>
      <c r="G892" s="41"/>
      <c r="H892" s="41"/>
      <c r="AG892" s="19">
        <v>891</v>
      </c>
      <c r="AH892" s="20">
        <v>-3596.4854294599727</v>
      </c>
    </row>
    <row r="893" spans="1:34" ht="14.5" x14ac:dyDescent="0.35">
      <c r="A893" s="33"/>
      <c r="B893" s="9"/>
      <c r="C893" s="12"/>
      <c r="D893" s="24"/>
      <c r="E893" s="12"/>
      <c r="F893" s="41"/>
      <c r="G893" s="41"/>
      <c r="H893" s="41"/>
      <c r="AG893" s="19">
        <v>892</v>
      </c>
      <c r="AH893" s="20">
        <v>768.98303984449001</v>
      </c>
    </row>
    <row r="894" spans="1:34" ht="14.5" x14ac:dyDescent="0.35">
      <c r="A894" s="33"/>
      <c r="B894" s="9"/>
      <c r="C894" s="12"/>
      <c r="D894" s="24"/>
      <c r="E894" s="12"/>
      <c r="F894" s="41"/>
      <c r="G894" s="41"/>
      <c r="H894" s="41"/>
      <c r="AG894" s="19">
        <v>893</v>
      </c>
      <c r="AH894" s="20">
        <v>2900.5903307730773</v>
      </c>
    </row>
    <row r="895" spans="1:34" ht="14.5" x14ac:dyDescent="0.35">
      <c r="A895" s="33"/>
      <c r="B895" s="9"/>
      <c r="C895" s="12"/>
      <c r="D895" s="24"/>
      <c r="E895" s="12"/>
      <c r="F895" s="41"/>
      <c r="G895" s="41"/>
      <c r="H895" s="41"/>
      <c r="AG895" s="19">
        <v>894</v>
      </c>
      <c r="AH895" s="20">
        <v>-2417.7564338067209</v>
      </c>
    </row>
    <row r="896" spans="1:34" ht="14.5" x14ac:dyDescent="0.35">
      <c r="A896" s="33"/>
      <c r="B896" s="9"/>
      <c r="C896" s="12"/>
      <c r="D896" s="24"/>
      <c r="E896" s="12"/>
      <c r="F896" s="41"/>
      <c r="G896" s="41"/>
      <c r="H896" s="41"/>
      <c r="AG896" s="19">
        <v>895</v>
      </c>
      <c r="AH896" s="20">
        <v>2352.4062353749396</v>
      </c>
    </row>
    <row r="897" spans="1:34" ht="14.5" x14ac:dyDescent="0.35">
      <c r="A897" s="33"/>
      <c r="B897" s="9"/>
      <c r="C897" s="12"/>
      <c r="D897" s="24"/>
      <c r="E897" s="12"/>
      <c r="F897" s="41"/>
      <c r="G897" s="41"/>
      <c r="H897" s="41"/>
      <c r="AG897" s="19">
        <v>896</v>
      </c>
      <c r="AH897" s="20">
        <v>1293.0881279777172</v>
      </c>
    </row>
    <row r="898" spans="1:34" ht="14.5" x14ac:dyDescent="0.35">
      <c r="A898" s="33"/>
      <c r="B898" s="9"/>
      <c r="C898" s="12"/>
      <c r="D898" s="24"/>
      <c r="E898" s="12"/>
      <c r="F898" s="41"/>
      <c r="G898" s="41"/>
      <c r="H898" s="41"/>
      <c r="AG898" s="19">
        <v>897</v>
      </c>
      <c r="AH898" s="20">
        <v>-746.36071291922553</v>
      </c>
    </row>
    <row r="899" spans="1:34" ht="14.5" x14ac:dyDescent="0.35">
      <c r="A899" s="33"/>
      <c r="B899" s="9"/>
      <c r="C899" s="12"/>
      <c r="D899" s="24"/>
      <c r="E899" s="12"/>
      <c r="F899" s="41"/>
      <c r="G899" s="41"/>
      <c r="H899" s="41"/>
      <c r="AG899" s="19">
        <v>898</v>
      </c>
      <c r="AH899" s="20">
        <v>176.65606844126927</v>
      </c>
    </row>
    <row r="900" spans="1:34" ht="14.5" x14ac:dyDescent="0.35">
      <c r="A900" s="33"/>
      <c r="B900" s="9"/>
      <c r="C900" s="12"/>
      <c r="D900" s="24"/>
      <c r="E900" s="12"/>
      <c r="F900" s="41"/>
      <c r="G900" s="41"/>
      <c r="H900" s="41"/>
      <c r="AG900" s="19">
        <v>899</v>
      </c>
      <c r="AH900" s="20">
        <v>1643.3667049682761</v>
      </c>
    </row>
    <row r="901" spans="1:34" ht="14.5" x14ac:dyDescent="0.35">
      <c r="A901" s="33"/>
      <c r="B901" s="9"/>
      <c r="C901" s="12"/>
      <c r="D901" s="24"/>
      <c r="E901" s="12"/>
      <c r="F901" s="41"/>
      <c r="G901" s="41"/>
      <c r="H901" s="41"/>
      <c r="AG901" s="19">
        <v>900</v>
      </c>
      <c r="AH901" s="20">
        <v>4538.2265292387274</v>
      </c>
    </row>
    <row r="902" spans="1:34" ht="14.5" x14ac:dyDescent="0.35">
      <c r="A902" s="33"/>
      <c r="B902" s="9"/>
      <c r="C902" s="12"/>
      <c r="D902" s="24"/>
      <c r="E902" s="12"/>
      <c r="F902" s="41"/>
      <c r="G902" s="41"/>
      <c r="H902" s="41"/>
      <c r="AG902" s="19">
        <v>901</v>
      </c>
      <c r="AH902" s="20">
        <v>340.98390763564686</v>
      </c>
    </row>
    <row r="903" spans="1:34" ht="14.5" x14ac:dyDescent="0.35">
      <c r="A903" s="33"/>
      <c r="B903" s="9"/>
      <c r="C903" s="12"/>
      <c r="D903" s="24"/>
      <c r="E903" s="12"/>
      <c r="F903" s="41"/>
      <c r="G903" s="41"/>
      <c r="H903" s="41"/>
      <c r="AG903" s="19">
        <v>902</v>
      </c>
      <c r="AH903" s="20">
        <v>-1962.2543437116462</v>
      </c>
    </row>
    <row r="904" spans="1:34" ht="14.5" x14ac:dyDescent="0.35">
      <c r="A904" s="33"/>
      <c r="B904" s="9"/>
      <c r="C904" s="12"/>
      <c r="D904" s="24"/>
      <c r="E904" s="12"/>
      <c r="F904" s="41"/>
      <c r="G904" s="41"/>
      <c r="H904" s="41"/>
      <c r="AG904" s="19">
        <v>903</v>
      </c>
      <c r="AH904" s="20">
        <v>5640.8265049618949</v>
      </c>
    </row>
    <row r="905" spans="1:34" ht="14.5" x14ac:dyDescent="0.35">
      <c r="A905" s="33"/>
      <c r="B905" s="9"/>
      <c r="C905" s="12"/>
      <c r="D905" s="24"/>
      <c r="E905" s="12"/>
      <c r="F905" s="41"/>
      <c r="G905" s="41"/>
      <c r="H905" s="41"/>
      <c r="AG905" s="19">
        <v>904</v>
      </c>
      <c r="AH905" s="20">
        <v>4752.3290617804651</v>
      </c>
    </row>
    <row r="906" spans="1:34" ht="14.5" x14ac:dyDescent="0.35">
      <c r="A906" s="33"/>
      <c r="B906" s="9"/>
      <c r="C906" s="12"/>
      <c r="D906" s="24"/>
      <c r="E906" s="12"/>
      <c r="F906" s="41"/>
      <c r="G906" s="41"/>
      <c r="H906" s="41"/>
      <c r="AG906" s="19">
        <v>905</v>
      </c>
      <c r="AH906" s="20">
        <v>5107.1177424547932</v>
      </c>
    </row>
    <row r="907" spans="1:34" ht="14.5" x14ac:dyDescent="0.35">
      <c r="A907" s="33"/>
      <c r="B907" s="9"/>
      <c r="C907" s="12"/>
      <c r="D907" s="24"/>
      <c r="E907" s="12"/>
      <c r="F907" s="41"/>
      <c r="G907" s="41"/>
      <c r="H907" s="41"/>
      <c r="AG907" s="19">
        <v>906</v>
      </c>
      <c r="AH907" s="20">
        <v>-29.913534919724327</v>
      </c>
    </row>
    <row r="908" spans="1:34" ht="14.5" x14ac:dyDescent="0.35">
      <c r="A908" s="33"/>
      <c r="B908" s="9"/>
      <c r="C908" s="12"/>
      <c r="D908" s="24"/>
      <c r="E908" s="12"/>
      <c r="F908" s="41"/>
      <c r="G908" s="41"/>
      <c r="H908" s="41"/>
      <c r="AG908" s="19">
        <v>907</v>
      </c>
      <c r="AH908" s="20">
        <v>1286.9983704926292</v>
      </c>
    </row>
    <row r="909" spans="1:34" ht="14.5" x14ac:dyDescent="0.35">
      <c r="A909" s="33"/>
      <c r="B909" s="9"/>
      <c r="C909" s="12"/>
      <c r="D909" s="24"/>
      <c r="E909" s="12"/>
      <c r="F909" s="41"/>
      <c r="G909" s="41"/>
      <c r="H909" s="41"/>
      <c r="AG909" s="19">
        <v>908</v>
      </c>
      <c r="AH909" s="20">
        <v>1275.1858984086386</v>
      </c>
    </row>
    <row r="910" spans="1:34" ht="14.5" x14ac:dyDescent="0.35">
      <c r="A910" s="33"/>
      <c r="B910" s="9"/>
      <c r="C910" s="12"/>
      <c r="D910" s="24"/>
      <c r="E910" s="12"/>
      <c r="F910" s="41"/>
      <c r="G910" s="41"/>
      <c r="H910" s="41"/>
      <c r="AG910" s="19">
        <v>909</v>
      </c>
      <c r="AH910" s="20">
        <v>2802.9184223446355</v>
      </c>
    </row>
    <row r="911" spans="1:34" ht="14.5" x14ac:dyDescent="0.35">
      <c r="A911" s="33"/>
      <c r="B911" s="9"/>
      <c r="C911" s="12"/>
      <c r="D911" s="24"/>
      <c r="E911" s="12"/>
      <c r="F911" s="41"/>
      <c r="G911" s="41"/>
      <c r="H911" s="41"/>
      <c r="AG911" s="19">
        <v>910</v>
      </c>
      <c r="AH911" s="20">
        <v>-5561.5820278547417</v>
      </c>
    </row>
    <row r="912" spans="1:34" ht="14.5" x14ac:dyDescent="0.35">
      <c r="A912" s="33"/>
      <c r="B912" s="9"/>
      <c r="C912" s="12"/>
      <c r="D912" s="24"/>
      <c r="E912" s="12"/>
      <c r="F912" s="41"/>
      <c r="G912" s="41"/>
      <c r="H912" s="41"/>
      <c r="AG912" s="19">
        <v>911</v>
      </c>
      <c r="AH912" s="20">
        <v>-4489.5267499061792</v>
      </c>
    </row>
    <row r="913" spans="1:34" ht="14.5" x14ac:dyDescent="0.35">
      <c r="A913" s="33"/>
      <c r="B913" s="9"/>
      <c r="C913" s="12"/>
      <c r="D913" s="24"/>
      <c r="E913" s="12"/>
      <c r="F913" s="41"/>
      <c r="G913" s="41"/>
      <c r="H913" s="41"/>
      <c r="AG913" s="19">
        <v>912</v>
      </c>
      <c r="AH913" s="20">
        <v>3830.7125305049699</v>
      </c>
    </row>
    <row r="914" spans="1:34" ht="14.5" x14ac:dyDescent="0.35">
      <c r="A914" s="33"/>
      <c r="B914" s="9"/>
      <c r="C914" s="12"/>
      <c r="D914" s="24"/>
      <c r="E914" s="12"/>
      <c r="F914" s="41"/>
      <c r="G914" s="41"/>
      <c r="H914" s="41"/>
      <c r="AG914" s="19">
        <v>913</v>
      </c>
      <c r="AH914" s="20">
        <v>3101.3712358179509</v>
      </c>
    </row>
    <row r="915" spans="1:34" ht="14.5" x14ac:dyDescent="0.35">
      <c r="A915" s="33"/>
      <c r="B915" s="9"/>
      <c r="C915" s="12"/>
      <c r="D915" s="24"/>
      <c r="E915" s="12"/>
      <c r="F915" s="41"/>
      <c r="G915" s="41"/>
      <c r="H915" s="41"/>
      <c r="AG915" s="19">
        <v>914</v>
      </c>
      <c r="AH915" s="20">
        <v>632.4911254431189</v>
      </c>
    </row>
    <row r="916" spans="1:34" ht="14.5" x14ac:dyDescent="0.35">
      <c r="A916" s="33"/>
      <c r="B916" s="9"/>
      <c r="C916" s="12"/>
      <c r="D916" s="24"/>
      <c r="E916" s="12"/>
      <c r="F916" s="41"/>
      <c r="G916" s="41"/>
      <c r="H916" s="41"/>
      <c r="AG916" s="19">
        <v>915</v>
      </c>
      <c r="AH916" s="20">
        <v>-3145.8581430003978</v>
      </c>
    </row>
    <row r="917" spans="1:34" ht="14.5" x14ac:dyDescent="0.35">
      <c r="A917" s="33"/>
      <c r="B917" s="9"/>
      <c r="C917" s="12"/>
      <c r="D917" s="24"/>
      <c r="E917" s="12"/>
      <c r="F917" s="41"/>
      <c r="G917" s="41"/>
      <c r="H917" s="41"/>
      <c r="AG917" s="19">
        <v>916</v>
      </c>
      <c r="AH917" s="20">
        <v>306.26856986386622</v>
      </c>
    </row>
    <row r="918" spans="1:34" ht="14.5" x14ac:dyDescent="0.35">
      <c r="A918" s="33"/>
      <c r="B918" s="9"/>
      <c r="C918" s="12"/>
      <c r="D918" s="24"/>
      <c r="E918" s="12"/>
      <c r="F918" s="41"/>
      <c r="G918" s="41"/>
      <c r="H918" s="41"/>
      <c r="AG918" s="19">
        <v>917</v>
      </c>
      <c r="AH918" s="20">
        <v>-1301.5409917452334</v>
      </c>
    </row>
    <row r="919" spans="1:34" ht="14.5" x14ac:dyDescent="0.35">
      <c r="A919" s="33"/>
      <c r="B919" s="9"/>
      <c r="C919" s="12"/>
      <c r="D919" s="24"/>
      <c r="E919" s="12"/>
      <c r="F919" s="41"/>
      <c r="G919" s="41"/>
      <c r="H919" s="41"/>
      <c r="AG919" s="19">
        <v>918</v>
      </c>
      <c r="AH919" s="20">
        <v>-97.951944614352499</v>
      </c>
    </row>
    <row r="920" spans="1:34" ht="14.5" x14ac:dyDescent="0.35">
      <c r="A920" s="33"/>
      <c r="B920" s="9"/>
      <c r="C920" s="12"/>
      <c r="D920" s="24"/>
      <c r="E920" s="12"/>
      <c r="F920" s="41"/>
      <c r="G920" s="41"/>
      <c r="H920" s="41"/>
      <c r="AG920" s="19">
        <v>919</v>
      </c>
      <c r="AH920" s="20">
        <v>468.851030747739</v>
      </c>
    </row>
    <row r="921" spans="1:34" ht="14.5" x14ac:dyDescent="0.35">
      <c r="A921" s="33"/>
      <c r="B921" s="9"/>
      <c r="C921" s="12"/>
      <c r="D921" s="24"/>
      <c r="E921" s="12"/>
      <c r="F921" s="41"/>
      <c r="G921" s="41"/>
      <c r="H921" s="41"/>
      <c r="AG921" s="19">
        <v>920</v>
      </c>
      <c r="AH921" s="20">
        <v>-2562.6730630943443</v>
      </c>
    </row>
    <row r="922" spans="1:34" ht="14.5" x14ac:dyDescent="0.35">
      <c r="A922" s="33"/>
      <c r="B922" s="9"/>
      <c r="C922" s="12"/>
      <c r="D922" s="24"/>
      <c r="E922" s="12"/>
      <c r="F922" s="41"/>
      <c r="G922" s="41"/>
      <c r="H922" s="41"/>
      <c r="AG922" s="19">
        <v>921</v>
      </c>
      <c r="AH922" s="20">
        <v>1861.2295211579533</v>
      </c>
    </row>
    <row r="923" spans="1:34" ht="14.5" x14ac:dyDescent="0.35">
      <c r="A923" s="33"/>
      <c r="B923" s="9"/>
      <c r="C923" s="12"/>
      <c r="D923" s="24"/>
      <c r="E923" s="12"/>
      <c r="F923" s="41"/>
      <c r="G923" s="41"/>
      <c r="H923" s="41"/>
      <c r="AG923" s="19">
        <v>922</v>
      </c>
      <c r="AH923" s="20">
        <v>4127.4368073095748</v>
      </c>
    </row>
    <row r="924" spans="1:34" ht="14.5" x14ac:dyDescent="0.35">
      <c r="A924" s="33"/>
      <c r="B924" s="9"/>
      <c r="C924" s="12"/>
      <c r="D924" s="24"/>
      <c r="E924" s="12"/>
      <c r="F924" s="41"/>
      <c r="G924" s="41"/>
      <c r="H924" s="41"/>
      <c r="AG924" s="19">
        <v>923</v>
      </c>
      <c r="AH924" s="20">
        <v>2842.7551696516102</v>
      </c>
    </row>
    <row r="925" spans="1:34" ht="14.5" x14ac:dyDescent="0.35">
      <c r="A925" s="33"/>
      <c r="B925" s="9"/>
      <c r="C925" s="12"/>
      <c r="D925" s="24"/>
      <c r="E925" s="12"/>
      <c r="F925" s="41"/>
      <c r="G925" s="41"/>
      <c r="H925" s="41"/>
      <c r="AG925" s="19">
        <v>924</v>
      </c>
      <c r="AH925" s="20">
        <v>587.52373382634391</v>
      </c>
    </row>
    <row r="926" spans="1:34" ht="14.5" x14ac:dyDescent="0.35">
      <c r="A926" s="33"/>
      <c r="B926" s="9"/>
      <c r="C926" s="12"/>
      <c r="D926" s="24"/>
      <c r="E926" s="12"/>
      <c r="F926" s="41"/>
      <c r="G926" s="41"/>
      <c r="H926" s="41"/>
      <c r="AG926" s="19">
        <v>925</v>
      </c>
      <c r="AH926" s="20">
        <v>-2919.4896880894321</v>
      </c>
    </row>
    <row r="927" spans="1:34" ht="14.5" x14ac:dyDescent="0.35">
      <c r="A927" s="33"/>
      <c r="B927" s="9"/>
      <c r="C927" s="12"/>
      <c r="D927" s="24"/>
      <c r="E927" s="12"/>
      <c r="F927" s="41"/>
      <c r="G927" s="41"/>
      <c r="H927" s="41"/>
      <c r="AG927" s="19">
        <v>926</v>
      </c>
      <c r="AH927" s="20">
        <v>2491.4046715073914</v>
      </c>
    </row>
    <row r="928" spans="1:34" ht="14.5" x14ac:dyDescent="0.35">
      <c r="A928" s="33"/>
      <c r="B928" s="9"/>
      <c r="C928" s="12"/>
      <c r="D928" s="24"/>
      <c r="E928" s="12"/>
      <c r="F928" s="41"/>
      <c r="G928" s="41"/>
      <c r="H928" s="41"/>
      <c r="AG928" s="19">
        <v>927</v>
      </c>
      <c r="AH928" s="20">
        <v>4456.3069595262486</v>
      </c>
    </row>
    <row r="929" spans="1:34" ht="14.5" x14ac:dyDescent="0.35">
      <c r="A929" s="33"/>
      <c r="B929" s="9"/>
      <c r="C929" s="12"/>
      <c r="D929" s="24"/>
      <c r="E929" s="12"/>
      <c r="F929" s="41"/>
      <c r="G929" s="41"/>
      <c r="H929" s="41"/>
      <c r="AG929" s="19">
        <v>928</v>
      </c>
      <c r="AH929" s="20">
        <v>913.19538065347501</v>
      </c>
    </row>
    <row r="930" spans="1:34" ht="14.5" x14ac:dyDescent="0.35">
      <c r="A930" s="33"/>
      <c r="B930" s="9"/>
      <c r="C930" s="12"/>
      <c r="D930" s="24"/>
      <c r="E930" s="12"/>
      <c r="F930" s="41"/>
      <c r="G930" s="41"/>
      <c r="H930" s="41"/>
      <c r="AG930" s="19">
        <v>929</v>
      </c>
      <c r="AH930" s="20">
        <v>-16.803948264474968</v>
      </c>
    </row>
    <row r="931" spans="1:34" ht="14.5" x14ac:dyDescent="0.35">
      <c r="A931" s="33"/>
      <c r="B931" s="9"/>
      <c r="C931" s="12"/>
      <c r="D931" s="24"/>
      <c r="E931" s="12"/>
      <c r="F931" s="41"/>
      <c r="G931" s="41"/>
      <c r="H931" s="41"/>
      <c r="AG931" s="19">
        <v>930</v>
      </c>
      <c r="AH931" s="20">
        <v>985.9187627886879</v>
      </c>
    </row>
    <row r="932" spans="1:34" ht="14.5" x14ac:dyDescent="0.35">
      <c r="A932" s="33"/>
      <c r="B932" s="9"/>
      <c r="C932" s="12"/>
      <c r="D932" s="24"/>
      <c r="E932" s="12"/>
      <c r="F932" s="41"/>
      <c r="G932" s="41"/>
      <c r="H932" s="41"/>
      <c r="AG932" s="19">
        <v>931</v>
      </c>
      <c r="AH932" s="20">
        <v>1699.8063897942191</v>
      </c>
    </row>
    <row r="933" spans="1:34" ht="14.5" x14ac:dyDescent="0.35">
      <c r="A933" s="33"/>
      <c r="B933" s="9"/>
      <c r="C933" s="12"/>
      <c r="D933" s="24"/>
      <c r="E933" s="12"/>
      <c r="F933" s="41"/>
      <c r="G933" s="41"/>
      <c r="H933" s="41"/>
      <c r="AG933" s="19">
        <v>932</v>
      </c>
      <c r="AH933" s="20">
        <v>3083.6352641625567</v>
      </c>
    </row>
    <row r="934" spans="1:34" ht="14.5" x14ac:dyDescent="0.35">
      <c r="A934" s="33"/>
      <c r="B934" s="9"/>
      <c r="C934" s="12"/>
      <c r="D934" s="24"/>
      <c r="E934" s="12"/>
      <c r="F934" s="41"/>
      <c r="G934" s="41"/>
      <c r="H934" s="41"/>
      <c r="AG934" s="19">
        <v>933</v>
      </c>
      <c r="AH934" s="20">
        <v>-2438.4788806939341</v>
      </c>
    </row>
    <row r="935" spans="1:34" ht="14.5" x14ac:dyDescent="0.35">
      <c r="A935" s="33"/>
      <c r="B935" s="9"/>
      <c r="C935" s="12"/>
      <c r="D935" s="24"/>
      <c r="E935" s="12"/>
      <c r="F935" s="41"/>
      <c r="G935" s="41"/>
      <c r="H935" s="41"/>
      <c r="AG935" s="19">
        <v>934</v>
      </c>
      <c r="AH935" s="20">
        <v>1632.0380376771932</v>
      </c>
    </row>
    <row r="936" spans="1:34" ht="14.5" x14ac:dyDescent="0.35">
      <c r="A936" s="33"/>
      <c r="B936" s="9"/>
      <c r="C936" s="12"/>
      <c r="D936" s="24"/>
      <c r="E936" s="12"/>
      <c r="F936" s="41"/>
      <c r="G936" s="41"/>
      <c r="H936" s="41"/>
      <c r="AG936" s="19">
        <v>935</v>
      </c>
      <c r="AH936" s="20">
        <v>190.01099689425743</v>
      </c>
    </row>
    <row r="937" spans="1:34" ht="14.5" x14ac:dyDescent="0.35">
      <c r="A937" s="33"/>
      <c r="B937" s="9"/>
      <c r="C937" s="12"/>
      <c r="D937" s="24"/>
      <c r="E937" s="12"/>
      <c r="F937" s="41"/>
      <c r="G937" s="41"/>
      <c r="H937" s="41"/>
      <c r="AG937" s="19">
        <v>936</v>
      </c>
      <c r="AH937" s="20">
        <v>1464.1428975808731</v>
      </c>
    </row>
    <row r="938" spans="1:34" ht="14.5" x14ac:dyDescent="0.35">
      <c r="A938" s="33"/>
      <c r="B938" s="9"/>
      <c r="C938" s="12"/>
      <c r="D938" s="24"/>
      <c r="E938" s="12"/>
      <c r="F938" s="41"/>
      <c r="G938" s="41"/>
      <c r="H938" s="41"/>
      <c r="AG938" s="19">
        <v>937</v>
      </c>
      <c r="AH938" s="20">
        <v>-2928.1533852336329</v>
      </c>
    </row>
    <row r="939" spans="1:34" ht="14.5" x14ac:dyDescent="0.35">
      <c r="A939" s="33"/>
      <c r="B939" s="9"/>
      <c r="C939" s="12"/>
      <c r="D939" s="24"/>
      <c r="E939" s="12"/>
      <c r="F939" s="41"/>
      <c r="G939" s="41"/>
      <c r="H939" s="41"/>
      <c r="AG939" s="19">
        <v>938</v>
      </c>
      <c r="AH939" s="20">
        <v>-65.704389655545015</v>
      </c>
    </row>
    <row r="940" spans="1:34" ht="14.5" x14ac:dyDescent="0.35">
      <c r="A940" s="33"/>
      <c r="B940" s="9"/>
      <c r="C940" s="12"/>
      <c r="D940" s="24"/>
      <c r="E940" s="12"/>
      <c r="F940" s="41"/>
      <c r="G940" s="41"/>
      <c r="H940" s="41"/>
      <c r="AG940" s="19">
        <v>939</v>
      </c>
      <c r="AH940" s="20">
        <v>1486.1102580751701</v>
      </c>
    </row>
    <row r="941" spans="1:34" ht="14.5" x14ac:dyDescent="0.35">
      <c r="A941" s="33"/>
      <c r="B941" s="9"/>
      <c r="C941" s="12"/>
      <c r="D941" s="24"/>
      <c r="E941" s="12"/>
      <c r="F941" s="41"/>
      <c r="G941" s="41"/>
      <c r="H941" s="41"/>
      <c r="AG941" s="19">
        <v>940</v>
      </c>
      <c r="AH941" s="20">
        <v>3212.6759691728926</v>
      </c>
    </row>
    <row r="942" spans="1:34" ht="14.5" x14ac:dyDescent="0.35">
      <c r="A942" s="33"/>
      <c r="B942" s="9"/>
      <c r="C942" s="12"/>
      <c r="D942" s="24"/>
      <c r="E942" s="12"/>
      <c r="F942" s="41"/>
      <c r="G942" s="41"/>
      <c r="H942" s="41"/>
      <c r="AG942" s="19">
        <v>941</v>
      </c>
      <c r="AH942" s="20">
        <v>-397.81538943893651</v>
      </c>
    </row>
    <row r="943" spans="1:34" ht="14.5" x14ac:dyDescent="0.35">
      <c r="A943" s="33"/>
      <c r="B943" s="9"/>
      <c r="C943" s="12"/>
      <c r="D943" s="24"/>
      <c r="E943" s="12"/>
      <c r="F943" s="41"/>
      <c r="G943" s="41"/>
      <c r="H943" s="41"/>
      <c r="AG943" s="19">
        <v>942</v>
      </c>
      <c r="AH943" s="20">
        <v>-950.77467274594028</v>
      </c>
    </row>
    <row r="944" spans="1:34" ht="14.5" x14ac:dyDescent="0.35">
      <c r="A944" s="33"/>
      <c r="B944" s="9"/>
      <c r="C944" s="12"/>
      <c r="D944" s="24"/>
      <c r="E944" s="12"/>
      <c r="F944" s="41"/>
      <c r="G944" s="41"/>
      <c r="H944" s="41"/>
      <c r="AG944" s="19">
        <v>943</v>
      </c>
      <c r="AH944" s="20">
        <v>2847.6391710925805</v>
      </c>
    </row>
    <row r="945" spans="1:34" ht="14.5" x14ac:dyDescent="0.35">
      <c r="A945" s="33"/>
      <c r="B945" s="9"/>
      <c r="C945" s="12"/>
      <c r="D945" s="24"/>
      <c r="E945" s="12"/>
      <c r="F945" s="41"/>
      <c r="G945" s="41"/>
      <c r="H945" s="41"/>
      <c r="AG945" s="19">
        <v>944</v>
      </c>
      <c r="AH945" s="20">
        <v>-481.77239937158157</v>
      </c>
    </row>
    <row r="946" spans="1:34" ht="14.5" x14ac:dyDescent="0.35">
      <c r="A946" s="33"/>
      <c r="B946" s="9"/>
      <c r="C946" s="12"/>
      <c r="D946" s="24"/>
      <c r="E946" s="12"/>
      <c r="F946" s="41"/>
      <c r="G946" s="41"/>
      <c r="H946" s="41"/>
      <c r="AG946" s="19">
        <v>945</v>
      </c>
      <c r="AH946" s="20">
        <v>5945.8613023205362</v>
      </c>
    </row>
    <row r="947" spans="1:34" ht="14.5" x14ac:dyDescent="0.35">
      <c r="A947" s="33"/>
      <c r="B947" s="9"/>
      <c r="C947" s="12"/>
      <c r="D947" s="24"/>
      <c r="E947" s="12"/>
      <c r="F947" s="41"/>
      <c r="G947" s="41"/>
      <c r="H947" s="41"/>
      <c r="AG947" s="19">
        <v>946</v>
      </c>
      <c r="AH947" s="20">
        <v>512.55532163216526</v>
      </c>
    </row>
    <row r="948" spans="1:34" ht="14.5" x14ac:dyDescent="0.35">
      <c r="A948" s="33"/>
      <c r="B948" s="9"/>
      <c r="C948" s="12"/>
      <c r="D948" s="24"/>
      <c r="E948" s="12"/>
      <c r="F948" s="41"/>
      <c r="G948" s="41"/>
      <c r="H948" s="41"/>
      <c r="AG948" s="19">
        <v>947</v>
      </c>
      <c r="AH948" s="20">
        <v>3841.8451602868272</v>
      </c>
    </row>
    <row r="949" spans="1:34" ht="14.5" x14ac:dyDescent="0.35">
      <c r="A949" s="33"/>
      <c r="B949" s="9"/>
      <c r="C949" s="12"/>
      <c r="D949" s="24"/>
      <c r="E949" s="12"/>
      <c r="F949" s="41"/>
      <c r="G949" s="41"/>
      <c r="H949" s="41"/>
      <c r="AG949" s="19">
        <v>948</v>
      </c>
      <c r="AH949" s="20">
        <v>2441.4296226709162</v>
      </c>
    </row>
    <row r="950" spans="1:34" ht="14.5" x14ac:dyDescent="0.35">
      <c r="A950" s="33"/>
      <c r="B950" s="9"/>
      <c r="C950" s="12"/>
      <c r="D950" s="24"/>
      <c r="E950" s="12"/>
      <c r="F950" s="41"/>
      <c r="G950" s="41"/>
      <c r="H950" s="41"/>
      <c r="AG950" s="19">
        <v>949</v>
      </c>
      <c r="AH950" s="20">
        <v>2840.2100821190502</v>
      </c>
    </row>
    <row r="951" spans="1:34" ht="14.5" x14ac:dyDescent="0.35">
      <c r="A951" s="33"/>
      <c r="B951" s="9"/>
      <c r="C951" s="12"/>
      <c r="D951" s="24"/>
      <c r="E951" s="12"/>
      <c r="F951" s="41"/>
      <c r="G951" s="41"/>
      <c r="H951" s="41"/>
      <c r="AG951" s="19">
        <v>950</v>
      </c>
      <c r="AH951" s="20">
        <v>1091.4400241604458</v>
      </c>
    </row>
    <row r="952" spans="1:34" ht="14.5" x14ac:dyDescent="0.35">
      <c r="A952" s="33"/>
      <c r="B952" s="9"/>
      <c r="C952" s="12"/>
      <c r="D952" s="24"/>
      <c r="E952" s="12"/>
      <c r="F952" s="41"/>
      <c r="G952" s="41"/>
      <c r="H952" s="41"/>
      <c r="AG952" s="19">
        <v>951</v>
      </c>
      <c r="AH952" s="20">
        <v>2448.7855018325063</v>
      </c>
    </row>
    <row r="953" spans="1:34" ht="14.5" x14ac:dyDescent="0.35">
      <c r="A953" s="33"/>
      <c r="B953" s="9"/>
      <c r="C953" s="12"/>
      <c r="D953" s="24"/>
      <c r="E953" s="12"/>
      <c r="F953" s="41"/>
      <c r="G953" s="41"/>
      <c r="H953" s="41"/>
      <c r="AG953" s="19">
        <v>952</v>
      </c>
      <c r="AH953" s="20">
        <v>-415.96000396273615</v>
      </c>
    </row>
    <row r="954" spans="1:34" ht="14.5" x14ac:dyDescent="0.35">
      <c r="A954" s="33"/>
      <c r="B954" s="9"/>
      <c r="C954" s="12"/>
      <c r="D954" s="24"/>
      <c r="E954" s="12"/>
      <c r="F954" s="41"/>
      <c r="G954" s="41"/>
      <c r="H954" s="41"/>
      <c r="AG954" s="19">
        <v>953</v>
      </c>
      <c r="AH954" s="20">
        <v>-10.101498047679456</v>
      </c>
    </row>
    <row r="955" spans="1:34" ht="14.5" x14ac:dyDescent="0.35">
      <c r="A955" s="33"/>
      <c r="B955" s="9"/>
      <c r="C955" s="12"/>
      <c r="D955" s="24"/>
      <c r="E955" s="12"/>
      <c r="F955" s="41"/>
      <c r="G955" s="41"/>
      <c r="H955" s="41"/>
      <c r="AG955" s="19">
        <v>954</v>
      </c>
      <c r="AH955" s="20">
        <v>-1273.9006191588303</v>
      </c>
    </row>
    <row r="956" spans="1:34" ht="14.5" x14ac:dyDescent="0.35">
      <c r="A956" s="33"/>
      <c r="B956" s="9"/>
      <c r="C956" s="12"/>
      <c r="D956" s="24"/>
      <c r="E956" s="12"/>
      <c r="F956" s="41"/>
      <c r="G956" s="41"/>
      <c r="H956" s="41"/>
      <c r="AG956" s="19">
        <v>955</v>
      </c>
      <c r="AH956" s="20">
        <v>-1051.2488205759846</v>
      </c>
    </row>
    <row r="957" spans="1:34" ht="14.5" x14ac:dyDescent="0.35">
      <c r="A957" s="33"/>
      <c r="B957" s="9"/>
      <c r="C957" s="12"/>
      <c r="D957" s="24"/>
      <c r="E957" s="12"/>
      <c r="F957" s="41"/>
      <c r="G957" s="41"/>
      <c r="H957" s="41"/>
      <c r="AG957" s="19">
        <v>956</v>
      </c>
      <c r="AH957" s="20">
        <v>718.53618789376492</v>
      </c>
    </row>
    <row r="958" spans="1:34" ht="14.5" x14ac:dyDescent="0.35">
      <c r="A958" s="33"/>
      <c r="B958" s="9"/>
      <c r="C958" s="12"/>
      <c r="D958" s="24"/>
      <c r="E958" s="12"/>
      <c r="F958" s="41"/>
      <c r="G958" s="41"/>
      <c r="H958" s="41"/>
      <c r="AG958" s="19">
        <v>957</v>
      </c>
      <c r="AH958" s="20">
        <v>1529.4716472801204</v>
      </c>
    </row>
    <row r="959" spans="1:34" ht="14.5" x14ac:dyDescent="0.35">
      <c r="A959" s="33"/>
      <c r="B959" s="9"/>
      <c r="C959" s="12"/>
      <c r="D959" s="24"/>
      <c r="E959" s="12"/>
      <c r="F959" s="41"/>
      <c r="G959" s="41"/>
      <c r="H959" s="41"/>
      <c r="AG959" s="19">
        <v>958</v>
      </c>
      <c r="AH959" s="20">
        <v>-2710.6886958421146</v>
      </c>
    </row>
    <row r="960" spans="1:34" ht="14.5" x14ac:dyDescent="0.35">
      <c r="A960" s="33"/>
      <c r="B960" s="9"/>
      <c r="C960" s="12"/>
      <c r="D960" s="24"/>
      <c r="E960" s="12"/>
      <c r="F960" s="41"/>
      <c r="G960" s="41"/>
      <c r="H960" s="41"/>
      <c r="AG960" s="19">
        <v>959</v>
      </c>
      <c r="AH960" s="20">
        <v>-3027.7192547679256</v>
      </c>
    </row>
    <row r="961" spans="1:34" ht="14.5" x14ac:dyDescent="0.35">
      <c r="A961" s="33"/>
      <c r="B961" s="9"/>
      <c r="C961" s="12"/>
      <c r="D961" s="24"/>
      <c r="E961" s="12"/>
      <c r="F961" s="41"/>
      <c r="G961" s="41"/>
      <c r="H961" s="41"/>
      <c r="AG961" s="19">
        <v>960</v>
      </c>
      <c r="AH961" s="20">
        <v>727.79137021110751</v>
      </c>
    </row>
    <row r="962" spans="1:34" ht="14.5" x14ac:dyDescent="0.35">
      <c r="A962" s="33"/>
      <c r="B962" s="9"/>
      <c r="C962" s="12"/>
      <c r="D962" s="24"/>
      <c r="E962" s="12"/>
      <c r="F962" s="41"/>
      <c r="G962" s="41"/>
      <c r="H962" s="41"/>
      <c r="AG962" s="19">
        <v>961</v>
      </c>
      <c r="AH962" s="20">
        <v>1349.4071923868066</v>
      </c>
    </row>
    <row r="963" spans="1:34" ht="14.5" x14ac:dyDescent="0.35">
      <c r="A963" s="33"/>
      <c r="B963" s="9"/>
      <c r="C963" s="12"/>
      <c r="D963" s="24"/>
      <c r="E963" s="12"/>
      <c r="F963" s="41"/>
      <c r="G963" s="41"/>
      <c r="H963" s="41"/>
      <c r="AG963" s="19">
        <v>962</v>
      </c>
      <c r="AH963" s="20">
        <v>1555.258018728885</v>
      </c>
    </row>
    <row r="964" spans="1:34" ht="14.5" x14ac:dyDescent="0.35">
      <c r="A964" s="33"/>
      <c r="B964" s="9"/>
      <c r="C964" s="12"/>
      <c r="D964" s="24"/>
      <c r="E964" s="12"/>
      <c r="F964" s="41"/>
      <c r="G964" s="41"/>
      <c r="H964" s="41"/>
      <c r="AG964" s="19">
        <v>963</v>
      </c>
      <c r="AH964" s="20">
        <v>3602.6849243620204</v>
      </c>
    </row>
    <row r="965" spans="1:34" ht="14.5" x14ac:dyDescent="0.35">
      <c r="A965" s="33"/>
      <c r="B965" s="9"/>
      <c r="C965" s="12"/>
      <c r="D965" s="24"/>
      <c r="E965" s="12"/>
      <c r="F965" s="41"/>
      <c r="G965" s="41"/>
      <c r="H965" s="41"/>
      <c r="AG965" s="19">
        <v>964</v>
      </c>
      <c r="AH965" s="20">
        <v>-475.59192510406859</v>
      </c>
    </row>
    <row r="966" spans="1:34" ht="14.5" x14ac:dyDescent="0.35">
      <c r="A966" s="33"/>
      <c r="B966" s="9"/>
      <c r="C966" s="12"/>
      <c r="D966" s="24"/>
      <c r="E966" s="12"/>
      <c r="F966" s="41"/>
      <c r="G966" s="41"/>
      <c r="H966" s="41"/>
      <c r="AG966" s="19">
        <v>965</v>
      </c>
      <c r="AH966" s="20">
        <v>1850.1623194425342</v>
      </c>
    </row>
    <row r="967" spans="1:34" ht="14.5" x14ac:dyDescent="0.35">
      <c r="A967" s="33"/>
      <c r="B967" s="9"/>
      <c r="C967" s="12"/>
      <c r="D967" s="24"/>
      <c r="E967" s="12"/>
      <c r="F967" s="41"/>
      <c r="G967" s="41"/>
      <c r="H967" s="41"/>
      <c r="AG967" s="19">
        <v>966</v>
      </c>
      <c r="AH967" s="20">
        <v>1422.0588871123275</v>
      </c>
    </row>
    <row r="968" spans="1:34" ht="14.5" x14ac:dyDescent="0.35">
      <c r="A968" s="33"/>
      <c r="B968" s="9"/>
      <c r="C968" s="12"/>
      <c r="D968" s="24"/>
      <c r="E968" s="12"/>
      <c r="F968" s="41"/>
      <c r="G968" s="41"/>
      <c r="H968" s="41"/>
      <c r="AG968" s="19">
        <v>967</v>
      </c>
      <c r="AH968" s="20">
        <v>-138.93467460541302</v>
      </c>
    </row>
    <row r="969" spans="1:34" ht="14.5" x14ac:dyDescent="0.35">
      <c r="A969" s="33"/>
      <c r="B969" s="9"/>
      <c r="C969" s="12"/>
      <c r="D969" s="24"/>
      <c r="E969" s="12"/>
      <c r="F969" s="41"/>
      <c r="G969" s="41"/>
      <c r="H969" s="41"/>
      <c r="AG969" s="19">
        <v>968</v>
      </c>
      <c r="AH969" s="20">
        <v>581.49169629254652</v>
      </c>
    </row>
    <row r="970" spans="1:34" ht="14.5" x14ac:dyDescent="0.35">
      <c r="A970" s="33"/>
      <c r="B970" s="9"/>
      <c r="C970" s="12"/>
      <c r="D970" s="24"/>
      <c r="E970" s="12"/>
      <c r="F970" s="41"/>
      <c r="G970" s="41"/>
      <c r="H970" s="41"/>
      <c r="AG970" s="19">
        <v>969</v>
      </c>
      <c r="AH970" s="20">
        <v>673.99649630927343</v>
      </c>
    </row>
    <row r="971" spans="1:34" ht="14.5" x14ac:dyDescent="0.35">
      <c r="A971" s="33"/>
      <c r="B971" s="9"/>
      <c r="C971" s="12"/>
      <c r="D971" s="24"/>
      <c r="E971" s="12"/>
      <c r="F971" s="41"/>
      <c r="G971" s="41"/>
      <c r="H971" s="41"/>
      <c r="AG971" s="19">
        <v>970</v>
      </c>
      <c r="AH971" s="20">
        <v>400.423861560462</v>
      </c>
    </row>
    <row r="972" spans="1:34" ht="14.5" x14ac:dyDescent="0.35">
      <c r="A972" s="33"/>
      <c r="B972" s="9"/>
      <c r="C972" s="12"/>
      <c r="D972" s="24"/>
      <c r="E972" s="12"/>
      <c r="F972" s="41"/>
      <c r="G972" s="41"/>
      <c r="H972" s="41"/>
      <c r="AG972" s="19">
        <v>971</v>
      </c>
      <c r="AH972" s="20">
        <v>-458.58218845626396</v>
      </c>
    </row>
    <row r="973" spans="1:34" ht="14.5" x14ac:dyDescent="0.35">
      <c r="A973" s="33"/>
      <c r="B973" s="9"/>
      <c r="C973" s="12"/>
      <c r="D973" s="24"/>
      <c r="E973" s="12"/>
      <c r="F973" s="41"/>
      <c r="G973" s="41"/>
      <c r="H973" s="41"/>
      <c r="AG973" s="19">
        <v>972</v>
      </c>
      <c r="AH973" s="20">
        <v>-4425.0574992876773</v>
      </c>
    </row>
    <row r="974" spans="1:34" ht="14.5" x14ac:dyDescent="0.35">
      <c r="A974" s="33"/>
      <c r="B974" s="9"/>
      <c r="C974" s="12"/>
      <c r="D974" s="24"/>
      <c r="E974" s="12"/>
      <c r="F974" s="41"/>
      <c r="G974" s="41"/>
      <c r="H974" s="41"/>
      <c r="AG974" s="19">
        <v>973</v>
      </c>
      <c r="AH974" s="20">
        <v>-2116.6939444900677</v>
      </c>
    </row>
    <row r="975" spans="1:34" ht="14.5" x14ac:dyDescent="0.35">
      <c r="A975" s="33"/>
      <c r="B975" s="9"/>
      <c r="C975" s="12"/>
      <c r="D975" s="24"/>
      <c r="E975" s="12"/>
      <c r="F975" s="41"/>
      <c r="G975" s="41"/>
      <c r="H975" s="41"/>
      <c r="AG975" s="19">
        <v>974</v>
      </c>
      <c r="AH975" s="20">
        <v>3271.889712413973</v>
      </c>
    </row>
    <row r="976" spans="1:34" ht="14.5" x14ac:dyDescent="0.35">
      <c r="A976" s="33"/>
      <c r="B976" s="9"/>
      <c r="C976" s="12"/>
      <c r="D976" s="24"/>
      <c r="E976" s="12"/>
      <c r="F976" s="41"/>
      <c r="G976" s="41"/>
      <c r="H976" s="41"/>
      <c r="AG976" s="19">
        <v>975</v>
      </c>
      <c r="AH976" s="20">
        <v>-341.29340608210163</v>
      </c>
    </row>
    <row r="977" spans="1:34" ht="14.5" x14ac:dyDescent="0.35">
      <c r="A977" s="33"/>
      <c r="B977" s="9"/>
      <c r="C977" s="12"/>
      <c r="D977" s="24"/>
      <c r="E977" s="12"/>
      <c r="F977" s="41"/>
      <c r="G977" s="41"/>
      <c r="H977" s="41"/>
      <c r="AG977" s="19">
        <v>976</v>
      </c>
      <c r="AH977" s="20">
        <v>-161.48276593774841</v>
      </c>
    </row>
    <row r="978" spans="1:34" ht="14.5" x14ac:dyDescent="0.35">
      <c r="A978" s="33"/>
      <c r="B978" s="9"/>
      <c r="C978" s="12"/>
      <c r="D978" s="24"/>
      <c r="E978" s="12"/>
      <c r="F978" s="41"/>
      <c r="G978" s="41"/>
      <c r="H978" s="41"/>
      <c r="AG978" s="19">
        <v>977</v>
      </c>
      <c r="AH978" s="20">
        <v>677.86967875746871</v>
      </c>
    </row>
    <row r="979" spans="1:34" ht="14.5" x14ac:dyDescent="0.35">
      <c r="A979" s="33"/>
      <c r="B979" s="9"/>
      <c r="C979" s="12"/>
      <c r="D979" s="24"/>
      <c r="E979" s="12"/>
      <c r="F979" s="41"/>
      <c r="G979" s="41"/>
      <c r="H979" s="41"/>
      <c r="AG979" s="19">
        <v>978</v>
      </c>
      <c r="AH979" s="20">
        <v>-121.23499510088965</v>
      </c>
    </row>
    <row r="980" spans="1:34" ht="14.5" x14ac:dyDescent="0.35">
      <c r="A980" s="33"/>
      <c r="B980" s="9"/>
      <c r="C980" s="12"/>
      <c r="D980" s="24"/>
      <c r="E980" s="12"/>
      <c r="F980" s="41"/>
      <c r="G980" s="41"/>
      <c r="H980" s="41"/>
      <c r="AG980" s="19">
        <v>979</v>
      </c>
      <c r="AH980" s="20">
        <v>619.77815323105904</v>
      </c>
    </row>
    <row r="981" spans="1:34" ht="14.5" x14ac:dyDescent="0.35">
      <c r="A981" s="33"/>
      <c r="B981" s="9"/>
      <c r="C981" s="12"/>
      <c r="D981" s="24"/>
      <c r="E981" s="12"/>
      <c r="F981" s="41"/>
      <c r="G981" s="41"/>
      <c r="H981" s="41"/>
      <c r="AG981" s="19">
        <v>980</v>
      </c>
      <c r="AH981" s="20">
        <v>2013.7926162626006</v>
      </c>
    </row>
    <row r="982" spans="1:34" ht="14.5" x14ac:dyDescent="0.35">
      <c r="A982" s="33"/>
      <c r="B982" s="9"/>
      <c r="C982" s="12"/>
      <c r="D982" s="24"/>
      <c r="E982" s="12"/>
      <c r="F982" s="41"/>
      <c r="G982" s="41"/>
      <c r="H982" s="41"/>
      <c r="AG982" s="19">
        <v>981</v>
      </c>
      <c r="AH982" s="20">
        <v>-134.65757082705096</v>
      </c>
    </row>
    <row r="983" spans="1:34" ht="14.5" x14ac:dyDescent="0.35">
      <c r="A983" s="33"/>
      <c r="B983" s="9"/>
      <c r="C983" s="12"/>
      <c r="D983" s="24"/>
      <c r="E983" s="12"/>
      <c r="F983" s="41"/>
      <c r="G983" s="41"/>
      <c r="H983" s="41"/>
      <c r="AG983" s="19">
        <v>982</v>
      </c>
      <c r="AH983" s="20">
        <v>-456.44186745307474</v>
      </c>
    </row>
    <row r="984" spans="1:34" ht="14.5" x14ac:dyDescent="0.35">
      <c r="A984" s="33"/>
      <c r="B984" s="9"/>
      <c r="C984" s="12"/>
      <c r="D984" s="24"/>
      <c r="E984" s="12"/>
      <c r="F984" s="41"/>
      <c r="G984" s="41"/>
      <c r="H984" s="41"/>
      <c r="AG984" s="19">
        <v>983</v>
      </c>
      <c r="AH984" s="20">
        <v>2012.5710238804986</v>
      </c>
    </row>
    <row r="985" spans="1:34" ht="14.5" x14ac:dyDescent="0.35">
      <c r="A985" s="33"/>
      <c r="B985" s="9"/>
      <c r="C985" s="12"/>
      <c r="D985" s="24"/>
      <c r="E985" s="12"/>
      <c r="F985" s="41"/>
      <c r="G985" s="41"/>
      <c r="H985" s="41"/>
      <c r="AG985" s="19">
        <v>984</v>
      </c>
      <c r="AH985" s="20">
        <v>3506.3845108353071</v>
      </c>
    </row>
    <row r="986" spans="1:34" ht="14.5" x14ac:dyDescent="0.35">
      <c r="A986" s="33"/>
      <c r="B986" s="9"/>
      <c r="C986" s="12"/>
      <c r="D986" s="24"/>
      <c r="E986" s="12"/>
      <c r="F986" s="41"/>
      <c r="G986" s="41"/>
      <c r="H986" s="41"/>
      <c r="AG986" s="19">
        <v>985</v>
      </c>
      <c r="AH986" s="20">
        <v>-842.2056854817406</v>
      </c>
    </row>
    <row r="987" spans="1:34" ht="14.5" x14ac:dyDescent="0.35">
      <c r="A987" s="33"/>
      <c r="B987" s="9"/>
      <c r="C987" s="12"/>
      <c r="D987" s="24"/>
      <c r="E987" s="12"/>
      <c r="F987" s="41"/>
      <c r="G987" s="41"/>
      <c r="H987" s="41"/>
      <c r="AG987" s="19">
        <v>986</v>
      </c>
      <c r="AH987" s="20">
        <v>1414.9963790792162</v>
      </c>
    </row>
    <row r="988" spans="1:34" ht="14.5" x14ac:dyDescent="0.35">
      <c r="A988" s="33"/>
      <c r="B988" s="9"/>
      <c r="C988" s="12"/>
      <c r="D988" s="24"/>
      <c r="E988" s="12"/>
      <c r="F988" s="41"/>
      <c r="G988" s="41"/>
      <c r="H988" s="41"/>
      <c r="AG988" s="19">
        <v>987</v>
      </c>
      <c r="AH988" s="20">
        <v>699.07366733050503</v>
      </c>
    </row>
    <row r="989" spans="1:34" ht="14.5" x14ac:dyDescent="0.35">
      <c r="A989" s="33"/>
      <c r="B989" s="9"/>
      <c r="C989" s="12"/>
      <c r="D989" s="24"/>
      <c r="E989" s="12"/>
      <c r="F989" s="41"/>
      <c r="G989" s="41"/>
      <c r="H989" s="41"/>
      <c r="AG989" s="19">
        <v>988</v>
      </c>
      <c r="AH989" s="20">
        <v>-272.50522699723098</v>
      </c>
    </row>
    <row r="990" spans="1:34" ht="14.5" x14ac:dyDescent="0.35">
      <c r="A990" s="33"/>
      <c r="B990" s="9"/>
      <c r="C990" s="12"/>
      <c r="D990" s="24"/>
      <c r="E990" s="12"/>
      <c r="F990" s="41"/>
      <c r="G990" s="41"/>
      <c r="H990" s="41"/>
      <c r="AG990" s="19">
        <v>989</v>
      </c>
      <c r="AH990" s="20">
        <v>181.76728740616772</v>
      </c>
    </row>
    <row r="991" spans="1:34" ht="14.5" x14ac:dyDescent="0.35">
      <c r="A991" s="33"/>
      <c r="B991" s="9"/>
      <c r="C991" s="12"/>
      <c r="D991" s="24"/>
      <c r="E991" s="12"/>
      <c r="F991" s="41"/>
      <c r="G991" s="41"/>
      <c r="H991" s="41"/>
      <c r="AG991" s="19">
        <v>990</v>
      </c>
      <c r="AH991" s="20">
        <v>2924.0458261110016</v>
      </c>
    </row>
    <row r="992" spans="1:34" ht="14.5" x14ac:dyDescent="0.35">
      <c r="A992" s="33"/>
      <c r="B992" s="9"/>
      <c r="C992" s="12"/>
      <c r="D992" s="24"/>
      <c r="E992" s="12"/>
      <c r="F992" s="41"/>
      <c r="G992" s="41"/>
      <c r="H992" s="41"/>
      <c r="AG992" s="19">
        <v>991</v>
      </c>
      <c r="AH992" s="20">
        <v>-2358.6723567293352</v>
      </c>
    </row>
    <row r="993" spans="1:34" ht="14.5" x14ac:dyDescent="0.35">
      <c r="A993" s="33"/>
      <c r="B993" s="9"/>
      <c r="C993" s="12"/>
      <c r="D993" s="24"/>
      <c r="E993" s="12"/>
      <c r="F993" s="41"/>
      <c r="G993" s="41"/>
      <c r="H993" s="41"/>
      <c r="AG993" s="19">
        <v>992</v>
      </c>
      <c r="AH993" s="20">
        <v>245.43327903122457</v>
      </c>
    </row>
    <row r="994" spans="1:34" ht="14.5" x14ac:dyDescent="0.35">
      <c r="A994" s="33"/>
      <c r="B994" s="9"/>
      <c r="C994" s="12"/>
      <c r="D994" s="24"/>
      <c r="E994" s="12"/>
      <c r="F994" s="41"/>
      <c r="G994" s="41"/>
      <c r="H994" s="41"/>
      <c r="AG994" s="19">
        <v>993</v>
      </c>
      <c r="AH994" s="20">
        <v>-2202.310397522223</v>
      </c>
    </row>
    <row r="995" spans="1:34" ht="14.5" x14ac:dyDescent="0.35">
      <c r="A995" s="33"/>
      <c r="B995" s="9"/>
      <c r="C995" s="12"/>
      <c r="D995" s="24"/>
      <c r="E995" s="12"/>
      <c r="F995" s="41"/>
      <c r="G995" s="41"/>
      <c r="H995" s="41"/>
      <c r="AG995" s="19">
        <v>994</v>
      </c>
      <c r="AH995" s="20">
        <v>3932.3724523869682</v>
      </c>
    </row>
    <row r="996" spans="1:34" ht="14.5" x14ac:dyDescent="0.35">
      <c r="A996" s="33"/>
      <c r="B996" s="9"/>
      <c r="C996" s="12"/>
      <c r="D996" s="24"/>
      <c r="E996" s="12"/>
      <c r="F996" s="41"/>
      <c r="G996" s="41"/>
      <c r="H996" s="41"/>
      <c r="AG996" s="19">
        <v>995</v>
      </c>
      <c r="AH996" s="20">
        <v>-2935.4064814703793</v>
      </c>
    </row>
    <row r="997" spans="1:34" ht="14.5" x14ac:dyDescent="0.35">
      <c r="A997" s="33"/>
      <c r="B997" s="9"/>
      <c r="C997" s="12"/>
      <c r="D997" s="24"/>
      <c r="E997" s="12"/>
      <c r="F997" s="41"/>
      <c r="G997" s="41"/>
      <c r="H997" s="41"/>
      <c r="AG997" s="19">
        <v>996</v>
      </c>
      <c r="AH997" s="20">
        <v>-2081.9616353259066</v>
      </c>
    </row>
    <row r="998" spans="1:34" ht="14.5" x14ac:dyDescent="0.35">
      <c r="A998" s="33"/>
      <c r="B998" s="9"/>
      <c r="C998" s="12"/>
      <c r="D998" s="24"/>
      <c r="E998" s="12"/>
      <c r="F998" s="41"/>
      <c r="G998" s="41"/>
      <c r="H998" s="41"/>
      <c r="AG998" s="19">
        <v>997</v>
      </c>
      <c r="AH998" s="20">
        <v>-8.7750806081352835</v>
      </c>
    </row>
    <row r="999" spans="1:34" ht="14.5" x14ac:dyDescent="0.35">
      <c r="A999" s="33"/>
      <c r="B999" s="9"/>
      <c r="C999" s="12"/>
      <c r="D999" s="24"/>
      <c r="E999" s="12"/>
      <c r="F999" s="41"/>
      <c r="G999" s="41"/>
      <c r="H999" s="41"/>
      <c r="AG999" s="19">
        <v>998</v>
      </c>
      <c r="AH999" s="20">
        <v>-3375.4134175241238</v>
      </c>
    </row>
    <row r="1000" spans="1:34" ht="14.5" x14ac:dyDescent="0.35">
      <c r="A1000" s="33"/>
      <c r="B1000" s="9"/>
      <c r="C1000" s="12"/>
      <c r="D1000" s="24"/>
      <c r="E1000" s="12"/>
      <c r="F1000" s="41"/>
      <c r="G1000" s="41"/>
      <c r="H1000" s="41"/>
      <c r="AG1000" s="19">
        <v>999</v>
      </c>
      <c r="AH1000" s="20">
        <v>100.81540576508536</v>
      </c>
    </row>
    <row r="1001" spans="1:34" ht="14.5" x14ac:dyDescent="0.35">
      <c r="A1001" s="34"/>
      <c r="B1001" s="35"/>
      <c r="C1001" s="36"/>
      <c r="D1001" s="37"/>
      <c r="E1001" s="36"/>
      <c r="F1001" s="42"/>
      <c r="G1001" s="42"/>
      <c r="H1001" s="42"/>
      <c r="AG1001" s="19">
        <v>1000</v>
      </c>
      <c r="AH1001" s="20">
        <v>-2301.7459478597489</v>
      </c>
    </row>
    <row r="1002" spans="1:34" ht="14.5" x14ac:dyDescent="0.35">
      <c r="A1002" s="34"/>
      <c r="B1002" s="35"/>
      <c r="C1002" s="36"/>
      <c r="D1002" s="37"/>
      <c r="E1002" s="36"/>
      <c r="F1002" s="42"/>
      <c r="G1002" s="42"/>
      <c r="H1002" s="42"/>
      <c r="AG1002" s="19">
        <v>1001</v>
      </c>
      <c r="AH1002" s="20">
        <v>789.64287697461077</v>
      </c>
    </row>
    <row r="1003" spans="1:34" ht="14.5" x14ac:dyDescent="0.35">
      <c r="A1003" s="34"/>
      <c r="B1003" s="35"/>
      <c r="C1003" s="36"/>
      <c r="D1003" s="37"/>
      <c r="E1003" s="36"/>
      <c r="F1003" s="42"/>
      <c r="G1003" s="42"/>
      <c r="H1003" s="42"/>
      <c r="AG1003" s="19">
        <v>1002</v>
      </c>
      <c r="AH1003" s="20">
        <v>1065.4087701415042</v>
      </c>
    </row>
    <row r="1004" spans="1:34" ht="14.5" x14ac:dyDescent="0.35">
      <c r="A1004" s="34"/>
      <c r="B1004" s="35"/>
      <c r="C1004" s="36"/>
      <c r="D1004" s="37"/>
      <c r="E1004" s="36"/>
      <c r="F1004" s="42"/>
      <c r="G1004" s="42"/>
      <c r="H1004" s="42"/>
      <c r="AG1004" s="19">
        <v>1003</v>
      </c>
      <c r="AH1004" s="20">
        <v>1083.719697911808</v>
      </c>
    </row>
    <row r="1005" spans="1:34" ht="14.5" x14ac:dyDescent="0.35">
      <c r="A1005" s="34"/>
      <c r="B1005" s="35"/>
      <c r="C1005" s="36"/>
      <c r="D1005" s="37"/>
      <c r="E1005" s="36"/>
      <c r="F1005" s="42"/>
      <c r="G1005" s="42"/>
      <c r="H1005" s="42"/>
      <c r="AG1005" s="19">
        <v>1004</v>
      </c>
      <c r="AH1005" s="20">
        <v>1708.3013869728438</v>
      </c>
    </row>
    <row r="1006" spans="1:34" ht="14.5" x14ac:dyDescent="0.35">
      <c r="A1006" s="34"/>
      <c r="B1006" s="35"/>
      <c r="C1006" s="36"/>
      <c r="D1006" s="37"/>
      <c r="E1006" s="36"/>
      <c r="F1006" s="42"/>
      <c r="G1006" s="42"/>
      <c r="H1006" s="42"/>
      <c r="AG1006" s="19">
        <v>1005</v>
      </c>
      <c r="AH1006" s="20">
        <v>2518.0381662879513</v>
      </c>
    </row>
    <row r="1007" spans="1:34" ht="14.5" x14ac:dyDescent="0.35">
      <c r="A1007" s="34"/>
      <c r="B1007" s="35"/>
      <c r="C1007" s="36"/>
      <c r="D1007" s="37"/>
      <c r="E1007" s="36"/>
      <c r="F1007" s="42"/>
      <c r="G1007" s="42"/>
      <c r="H1007" s="42"/>
      <c r="AG1007" s="19">
        <v>1006</v>
      </c>
      <c r="AH1007" s="20">
        <v>2905.3531099269226</v>
      </c>
    </row>
    <row r="1008" spans="1:34" ht="14.5" x14ac:dyDescent="0.35">
      <c r="A1008" s="34"/>
      <c r="B1008" s="35"/>
      <c r="C1008" s="36"/>
      <c r="D1008" s="37"/>
      <c r="E1008" s="36"/>
      <c r="F1008" s="42"/>
      <c r="G1008" s="42"/>
      <c r="H1008" s="42"/>
      <c r="AG1008" s="19">
        <v>1007</v>
      </c>
      <c r="AH1008" s="20">
        <v>-1683.0544637599403</v>
      </c>
    </row>
    <row r="1009" spans="1:34" ht="14.5" x14ac:dyDescent="0.35">
      <c r="A1009" s="34"/>
      <c r="B1009" s="35"/>
      <c r="C1009" s="36"/>
      <c r="D1009" s="37"/>
      <c r="E1009" s="36"/>
      <c r="F1009" s="42"/>
      <c r="G1009" s="42"/>
      <c r="H1009" s="42"/>
      <c r="AG1009" s="19">
        <v>1008</v>
      </c>
      <c r="AH1009" s="20">
        <v>476.69283660379813</v>
      </c>
    </row>
    <row r="1010" spans="1:34" ht="14.5" x14ac:dyDescent="0.35">
      <c r="A1010" s="34"/>
      <c r="B1010" s="35"/>
      <c r="C1010" s="36"/>
      <c r="D1010" s="37"/>
      <c r="E1010" s="36"/>
      <c r="F1010" s="42"/>
      <c r="G1010" s="42"/>
      <c r="H1010" s="42"/>
      <c r="AG1010" s="19">
        <v>1009</v>
      </c>
      <c r="AH1010" s="20">
        <v>-3393.0031741171033</v>
      </c>
    </row>
    <row r="1011" spans="1:34" ht="14.5" x14ac:dyDescent="0.35">
      <c r="A1011" s="34"/>
      <c r="B1011" s="35"/>
      <c r="C1011" s="36"/>
      <c r="D1011" s="37"/>
      <c r="E1011" s="36"/>
      <c r="F1011" s="42"/>
      <c r="G1011" s="42"/>
      <c r="H1011" s="42"/>
      <c r="AG1011" s="19">
        <v>1010</v>
      </c>
      <c r="AH1011" s="20">
        <v>3008.8777382023522</v>
      </c>
    </row>
    <row r="1012" spans="1:34" ht="14.5" x14ac:dyDescent="0.35">
      <c r="A1012" s="34"/>
      <c r="B1012" s="35"/>
      <c r="C1012" s="36"/>
      <c r="D1012" s="37"/>
      <c r="E1012" s="36"/>
      <c r="F1012" s="42"/>
      <c r="G1012" s="42"/>
      <c r="H1012" s="42"/>
      <c r="AG1012" s="19">
        <v>1011</v>
      </c>
      <c r="AH1012" s="20">
        <v>2625.6338064815518</v>
      </c>
    </row>
    <row r="1013" spans="1:34" ht="14.5" x14ac:dyDescent="0.35">
      <c r="A1013" s="34"/>
      <c r="B1013" s="35"/>
      <c r="C1013" s="36"/>
      <c r="D1013" s="37"/>
      <c r="E1013" s="36"/>
      <c r="F1013" s="42"/>
      <c r="G1013" s="42"/>
      <c r="H1013" s="42"/>
      <c r="AG1013" s="19">
        <v>1012</v>
      </c>
      <c r="AH1013" s="20">
        <v>-1024.6299525579793</v>
      </c>
    </row>
    <row r="1014" spans="1:34" ht="14.5" x14ac:dyDescent="0.35">
      <c r="A1014" s="34"/>
      <c r="B1014" s="35"/>
      <c r="C1014" s="36"/>
      <c r="D1014" s="37"/>
      <c r="E1014" s="36"/>
      <c r="F1014" s="42"/>
      <c r="G1014" s="42"/>
      <c r="H1014" s="42"/>
      <c r="AG1014" s="19">
        <v>1013</v>
      </c>
      <c r="AH1014" s="20">
        <v>788.62185494935454</v>
      </c>
    </row>
    <row r="1015" spans="1:34" ht="14.5" x14ac:dyDescent="0.35">
      <c r="A1015" s="34"/>
      <c r="B1015" s="35"/>
      <c r="C1015" s="36"/>
      <c r="D1015" s="37"/>
      <c r="E1015" s="36"/>
      <c r="F1015" s="42"/>
      <c r="G1015" s="42"/>
      <c r="H1015" s="42"/>
      <c r="AG1015" s="19">
        <v>1014</v>
      </c>
      <c r="AH1015" s="20">
        <v>5647.9958554041723</v>
      </c>
    </row>
    <row r="1016" spans="1:34" ht="14.5" x14ac:dyDescent="0.35">
      <c r="A1016" s="34"/>
      <c r="B1016" s="35"/>
      <c r="C1016" s="36"/>
      <c r="D1016" s="37"/>
      <c r="E1016" s="36"/>
      <c r="F1016" s="42"/>
      <c r="G1016" s="42"/>
      <c r="H1016" s="42"/>
      <c r="AG1016" s="19">
        <v>1015</v>
      </c>
      <c r="AH1016" s="20">
        <v>2763.0233630192347</v>
      </c>
    </row>
    <row r="1017" spans="1:34" ht="14.5" x14ac:dyDescent="0.35">
      <c r="A1017" s="34"/>
      <c r="B1017" s="35"/>
      <c r="C1017" s="36"/>
      <c r="D1017" s="37"/>
      <c r="E1017" s="36"/>
      <c r="F1017" s="42"/>
      <c r="G1017" s="42"/>
      <c r="H1017" s="42"/>
      <c r="AG1017" s="19">
        <v>1016</v>
      </c>
      <c r="AH1017" s="20">
        <v>-1452.9594285742567</v>
      </c>
    </row>
    <row r="1018" spans="1:34" ht="14.5" x14ac:dyDescent="0.35">
      <c r="A1018" s="34"/>
      <c r="B1018" s="35"/>
      <c r="C1018" s="36"/>
      <c r="D1018" s="37"/>
      <c r="E1018" s="36"/>
      <c r="F1018" s="42"/>
      <c r="G1018" s="42"/>
      <c r="H1018" s="42"/>
      <c r="AG1018" s="19">
        <v>1017</v>
      </c>
      <c r="AH1018" s="20">
        <v>609.31167530224843</v>
      </c>
    </row>
    <row r="1019" spans="1:34" ht="14.5" x14ac:dyDescent="0.35">
      <c r="A1019" s="34"/>
      <c r="B1019" s="35"/>
      <c r="C1019" s="36"/>
      <c r="D1019" s="37"/>
      <c r="E1019" s="36"/>
      <c r="F1019" s="42"/>
      <c r="G1019" s="42"/>
      <c r="H1019" s="42"/>
      <c r="AG1019" s="19">
        <v>1018</v>
      </c>
      <c r="AH1019" s="20">
        <v>-3154.7213572658488</v>
      </c>
    </row>
    <row r="1020" spans="1:34" ht="14.5" x14ac:dyDescent="0.35">
      <c r="A1020" s="34"/>
      <c r="B1020" s="35"/>
      <c r="C1020" s="36"/>
      <c r="D1020" s="37"/>
      <c r="E1020" s="36"/>
      <c r="F1020" s="42"/>
      <c r="G1020" s="42"/>
      <c r="H1020" s="42"/>
      <c r="AG1020" s="19">
        <v>1019</v>
      </c>
      <c r="AH1020" s="20">
        <v>-316.17403073034626</v>
      </c>
    </row>
    <row r="1021" spans="1:34" ht="14.5" x14ac:dyDescent="0.35">
      <c r="A1021" s="34"/>
      <c r="B1021" s="35"/>
      <c r="C1021" s="36"/>
      <c r="D1021" s="37"/>
      <c r="E1021" s="36"/>
      <c r="F1021" s="42"/>
      <c r="G1021" s="42"/>
      <c r="H1021" s="42"/>
      <c r="AG1021" s="19">
        <v>1020</v>
      </c>
      <c r="AH1021" s="20">
        <v>-531.46079764843239</v>
      </c>
    </row>
    <row r="1022" spans="1:34" ht="14.5" x14ac:dyDescent="0.35">
      <c r="A1022" s="34"/>
      <c r="B1022" s="35"/>
      <c r="C1022" s="36"/>
      <c r="D1022" s="37"/>
      <c r="E1022" s="36"/>
      <c r="F1022" s="42"/>
      <c r="G1022" s="42"/>
      <c r="H1022" s="42"/>
      <c r="AG1022" s="19">
        <v>1021</v>
      </c>
      <c r="AH1022" s="20">
        <v>-2823.9321591065709</v>
      </c>
    </row>
    <row r="1023" spans="1:34" ht="14.5" x14ac:dyDescent="0.35">
      <c r="A1023" s="34"/>
      <c r="B1023" s="35"/>
      <c r="C1023" s="36"/>
      <c r="D1023" s="37"/>
      <c r="E1023" s="36"/>
      <c r="F1023" s="42"/>
      <c r="G1023" s="42"/>
      <c r="H1023" s="42"/>
      <c r="AG1023" s="19">
        <v>1022</v>
      </c>
      <c r="AH1023" s="20">
        <v>1262.7987155640021</v>
      </c>
    </row>
    <row r="1024" spans="1:34" ht="14.5" x14ac:dyDescent="0.35">
      <c r="A1024" s="34"/>
      <c r="B1024" s="35"/>
      <c r="C1024" s="36"/>
      <c r="D1024" s="37"/>
      <c r="E1024" s="36"/>
      <c r="F1024" s="42"/>
      <c r="G1024" s="42"/>
      <c r="H1024" s="42"/>
      <c r="AG1024" s="19">
        <v>1023</v>
      </c>
      <c r="AH1024" s="20">
        <v>1642.6647978574158</v>
      </c>
    </row>
    <row r="1025" spans="1:34" ht="14.5" x14ac:dyDescent="0.35">
      <c r="A1025" s="34"/>
      <c r="B1025" s="35"/>
      <c r="C1025" s="36"/>
      <c r="D1025" s="37"/>
      <c r="E1025" s="36"/>
      <c r="F1025" s="42"/>
      <c r="G1025" s="42"/>
      <c r="H1025" s="42"/>
      <c r="AG1025" s="19">
        <v>1024</v>
      </c>
      <c r="AH1025" s="20">
        <v>1009.94246049495</v>
      </c>
    </row>
    <row r="1026" spans="1:34" ht="14.5" x14ac:dyDescent="0.35">
      <c r="A1026" s="34"/>
      <c r="B1026" s="35"/>
      <c r="C1026" s="36"/>
      <c r="D1026" s="37"/>
      <c r="E1026" s="36"/>
      <c r="F1026" s="42"/>
      <c r="G1026" s="42"/>
      <c r="H1026" s="42"/>
      <c r="AG1026" s="19">
        <v>1025</v>
      </c>
      <c r="AH1026" s="20">
        <v>-420.17682300114092</v>
      </c>
    </row>
    <row r="1027" spans="1:34" ht="14.5" x14ac:dyDescent="0.35">
      <c r="A1027" s="34"/>
      <c r="B1027" s="35"/>
      <c r="C1027" s="36"/>
      <c r="D1027" s="37"/>
      <c r="E1027" s="36"/>
      <c r="F1027" s="42"/>
      <c r="G1027" s="42"/>
      <c r="H1027" s="42"/>
      <c r="AG1027" s="19">
        <v>1026</v>
      </c>
      <c r="AH1027" s="20">
        <v>-3937.5708055933474</v>
      </c>
    </row>
    <row r="1028" spans="1:34" ht="14.5" x14ac:dyDescent="0.35">
      <c r="A1028" s="34"/>
      <c r="B1028" s="35"/>
      <c r="C1028" s="36"/>
      <c r="D1028" s="37"/>
      <c r="E1028" s="36"/>
      <c r="F1028" s="42"/>
      <c r="G1028" s="42"/>
      <c r="H1028" s="42"/>
      <c r="AG1028" s="19">
        <v>1027</v>
      </c>
      <c r="AH1028" s="20">
        <v>3628.9956541992897</v>
      </c>
    </row>
    <row r="1029" spans="1:34" ht="14.5" x14ac:dyDescent="0.35">
      <c r="A1029" s="34"/>
      <c r="B1029" s="35"/>
      <c r="C1029" s="36"/>
      <c r="D1029" s="37"/>
      <c r="E1029" s="36"/>
      <c r="F1029" s="42"/>
      <c r="G1029" s="42"/>
      <c r="H1029" s="42"/>
      <c r="AG1029" s="19">
        <v>1028</v>
      </c>
      <c r="AH1029" s="20">
        <v>1973.9974599672014</v>
      </c>
    </row>
    <row r="1030" spans="1:34" ht="14.5" x14ac:dyDescent="0.35">
      <c r="A1030" s="34"/>
      <c r="B1030" s="35"/>
      <c r="C1030" s="36"/>
      <c r="D1030" s="37"/>
      <c r="E1030" s="36"/>
      <c r="F1030" s="42"/>
      <c r="G1030" s="42"/>
      <c r="H1030" s="42"/>
      <c r="AG1030" s="19">
        <v>1029</v>
      </c>
      <c r="AH1030" s="20">
        <v>-1020.9795393449613</v>
      </c>
    </row>
    <row r="1031" spans="1:34" ht="14.5" x14ac:dyDescent="0.35">
      <c r="A1031" s="34"/>
      <c r="B1031" s="35"/>
      <c r="C1031" s="36"/>
      <c r="D1031" s="37"/>
      <c r="E1031" s="36"/>
      <c r="F1031" s="42"/>
      <c r="G1031" s="42"/>
      <c r="H1031" s="42"/>
      <c r="AG1031" s="19">
        <v>1030</v>
      </c>
      <c r="AH1031" s="20">
        <v>-2866.1801983812607</v>
      </c>
    </row>
    <row r="1032" spans="1:34" ht="14.5" x14ac:dyDescent="0.35">
      <c r="A1032" s="34"/>
      <c r="B1032" s="35"/>
      <c r="C1032" s="36"/>
      <c r="D1032" s="37"/>
      <c r="E1032" s="36"/>
      <c r="F1032" s="42"/>
      <c r="G1032" s="42"/>
      <c r="H1032" s="42"/>
      <c r="AG1032" s="19">
        <v>1031</v>
      </c>
      <c r="AH1032" s="20">
        <v>2457.0449902131109</v>
      </c>
    </row>
    <row r="1033" spans="1:34" ht="14.5" x14ac:dyDescent="0.35">
      <c r="A1033" s="34"/>
      <c r="B1033" s="35"/>
      <c r="C1033" s="36"/>
      <c r="D1033" s="37"/>
      <c r="E1033" s="36"/>
      <c r="F1033" s="42"/>
      <c r="G1033" s="42"/>
      <c r="H1033" s="42"/>
      <c r="AG1033" s="19">
        <v>1032</v>
      </c>
      <c r="AH1033" s="20">
        <v>1174.456426108799</v>
      </c>
    </row>
    <row r="1034" spans="1:34" ht="14.5" x14ac:dyDescent="0.35">
      <c r="A1034" s="34"/>
      <c r="B1034" s="35"/>
      <c r="C1034" s="36"/>
      <c r="D1034" s="37"/>
      <c r="E1034" s="36"/>
      <c r="F1034" s="42"/>
      <c r="G1034" s="42"/>
      <c r="H1034" s="42"/>
      <c r="AG1034" s="19">
        <v>1033</v>
      </c>
      <c r="AH1034" s="20">
        <v>-1369.0186697461825</v>
      </c>
    </row>
    <row r="1035" spans="1:34" ht="14.5" x14ac:dyDescent="0.35">
      <c r="A1035" s="34"/>
      <c r="B1035" s="35"/>
      <c r="C1035" s="36"/>
      <c r="D1035" s="37"/>
      <c r="E1035" s="36"/>
      <c r="F1035" s="42"/>
      <c r="G1035" s="42"/>
      <c r="H1035" s="42"/>
      <c r="AG1035" s="19">
        <v>1034</v>
      </c>
      <c r="AH1035" s="20">
        <v>-381.43769238063584</v>
      </c>
    </row>
    <row r="1036" spans="1:34" ht="14.5" x14ac:dyDescent="0.35">
      <c r="A1036" s="34"/>
      <c r="B1036" s="35"/>
      <c r="C1036" s="36"/>
      <c r="D1036" s="37"/>
      <c r="E1036" s="36"/>
      <c r="F1036" s="42"/>
      <c r="G1036" s="42"/>
      <c r="H1036" s="42"/>
      <c r="AG1036" s="19">
        <v>1035</v>
      </c>
      <c r="AH1036" s="20">
        <v>-480.62090533540623</v>
      </c>
    </row>
    <row r="1037" spans="1:34" ht="14.5" x14ac:dyDescent="0.35">
      <c r="A1037" s="34"/>
      <c r="B1037" s="35"/>
      <c r="C1037" s="36"/>
      <c r="D1037" s="37"/>
      <c r="E1037" s="36"/>
      <c r="F1037" s="42"/>
      <c r="G1037" s="42"/>
      <c r="H1037" s="42"/>
      <c r="AG1037" s="19">
        <v>1036</v>
      </c>
      <c r="AH1037" s="20">
        <v>2167.9714593497097</v>
      </c>
    </row>
    <row r="1038" spans="1:34" ht="14.5" x14ac:dyDescent="0.35">
      <c r="A1038" s="34"/>
      <c r="B1038" s="35"/>
      <c r="C1038" s="36"/>
      <c r="D1038" s="37"/>
      <c r="E1038" s="36"/>
      <c r="F1038" s="42"/>
      <c r="G1038" s="42"/>
      <c r="H1038" s="42"/>
      <c r="AG1038" s="19">
        <v>1037</v>
      </c>
      <c r="AH1038" s="20">
        <v>1667.2128742230461</v>
      </c>
    </row>
    <row r="1039" spans="1:34" ht="14.5" x14ac:dyDescent="0.35">
      <c r="A1039" s="34"/>
      <c r="B1039" s="35"/>
      <c r="C1039" s="36"/>
      <c r="D1039" s="37"/>
      <c r="E1039" s="36"/>
      <c r="F1039" s="42"/>
      <c r="G1039" s="42"/>
      <c r="H1039" s="42"/>
      <c r="AG1039" s="19">
        <v>1038</v>
      </c>
      <c r="AH1039" s="20">
        <v>-81.666507989467675</v>
      </c>
    </row>
    <row r="1040" spans="1:34" ht="14.5" x14ac:dyDescent="0.35">
      <c r="A1040" s="34"/>
      <c r="B1040" s="35"/>
      <c r="C1040" s="36"/>
      <c r="D1040" s="37"/>
      <c r="E1040" s="36"/>
      <c r="F1040" s="42"/>
      <c r="G1040" s="42"/>
      <c r="H1040" s="42"/>
      <c r="AG1040" s="19">
        <v>1039</v>
      </c>
      <c r="AH1040" s="20">
        <v>-386.83465478145814</v>
      </c>
    </row>
    <row r="1041" spans="1:34" ht="14.5" x14ac:dyDescent="0.35">
      <c r="A1041" s="34"/>
      <c r="B1041" s="35"/>
      <c r="C1041" s="36"/>
      <c r="D1041" s="37"/>
      <c r="E1041" s="36"/>
      <c r="F1041" s="42"/>
      <c r="G1041" s="42"/>
      <c r="H1041" s="42"/>
      <c r="AG1041" s="19">
        <v>1040</v>
      </c>
      <c r="AH1041" s="20">
        <v>-2074.2247083965653</v>
      </c>
    </row>
    <row r="1042" spans="1:34" ht="14.5" x14ac:dyDescent="0.35">
      <c r="A1042" s="34"/>
      <c r="B1042" s="35"/>
      <c r="C1042" s="36"/>
      <c r="D1042" s="37"/>
      <c r="E1042" s="36"/>
      <c r="F1042" s="42"/>
      <c r="G1042" s="42"/>
      <c r="H1042" s="42"/>
      <c r="AG1042" s="19">
        <v>1041</v>
      </c>
      <c r="AH1042" s="20">
        <v>648.02200928150751</v>
      </c>
    </row>
    <row r="1043" spans="1:34" ht="14.5" x14ac:dyDescent="0.35">
      <c r="A1043" s="34"/>
      <c r="B1043" s="35"/>
      <c r="C1043" s="36"/>
      <c r="D1043" s="37"/>
      <c r="E1043" s="36"/>
      <c r="F1043" s="42"/>
      <c r="G1043" s="42"/>
      <c r="H1043" s="42"/>
      <c r="AG1043" s="19">
        <v>1042</v>
      </c>
      <c r="AH1043" s="20">
        <v>89.336784373506248</v>
      </c>
    </row>
    <row r="1044" spans="1:34" ht="14.5" x14ac:dyDescent="0.35">
      <c r="A1044" s="34"/>
      <c r="B1044" s="35"/>
      <c r="C1044" s="36"/>
      <c r="D1044" s="37"/>
      <c r="E1044" s="36"/>
      <c r="F1044" s="42"/>
      <c r="G1044" s="42"/>
      <c r="H1044" s="42"/>
      <c r="AG1044" s="19">
        <v>1043</v>
      </c>
      <c r="AH1044" s="20">
        <v>2157.6280399467964</v>
      </c>
    </row>
    <row r="1045" spans="1:34" ht="14.5" x14ac:dyDescent="0.35">
      <c r="A1045" s="34"/>
      <c r="B1045" s="35"/>
      <c r="C1045" s="36"/>
      <c r="D1045" s="37"/>
      <c r="E1045" s="36"/>
      <c r="F1045" s="42"/>
      <c r="G1045" s="42"/>
      <c r="H1045" s="42"/>
      <c r="AG1045" s="19">
        <v>1044</v>
      </c>
      <c r="AH1045" s="20">
        <v>-1794.148744403157</v>
      </c>
    </row>
    <row r="1046" spans="1:34" ht="14.5" x14ac:dyDescent="0.35">
      <c r="A1046" s="34"/>
      <c r="B1046" s="35"/>
      <c r="C1046" s="36"/>
      <c r="D1046" s="37"/>
      <c r="E1046" s="36"/>
      <c r="F1046" s="42"/>
      <c r="G1046" s="42"/>
      <c r="H1046" s="42"/>
      <c r="AG1046" s="19">
        <v>1045</v>
      </c>
      <c r="AH1046" s="20">
        <v>-1736.4056759950874</v>
      </c>
    </row>
    <row r="1047" spans="1:34" ht="14.5" x14ac:dyDescent="0.35">
      <c r="A1047" s="34"/>
      <c r="B1047" s="35"/>
      <c r="C1047" s="36"/>
      <c r="D1047" s="37"/>
      <c r="E1047" s="36"/>
      <c r="F1047" s="42"/>
      <c r="G1047" s="42"/>
      <c r="H1047" s="42"/>
      <c r="AG1047" s="19">
        <v>1046</v>
      </c>
      <c r="AH1047" s="20">
        <v>-462.01506092133644</v>
      </c>
    </row>
    <row r="1048" spans="1:34" ht="14.5" x14ac:dyDescent="0.35">
      <c r="A1048" s="34"/>
      <c r="B1048" s="35"/>
      <c r="C1048" s="36"/>
      <c r="D1048" s="37"/>
      <c r="E1048" s="36"/>
      <c r="F1048" s="42"/>
      <c r="G1048" s="42"/>
      <c r="H1048" s="42"/>
      <c r="AG1048" s="19">
        <v>1047</v>
      </c>
      <c r="AH1048" s="20">
        <v>2211.5792657467546</v>
      </c>
    </row>
    <row r="1049" spans="1:34" ht="14.5" x14ac:dyDescent="0.35">
      <c r="A1049" s="34"/>
      <c r="B1049" s="35"/>
      <c r="C1049" s="36"/>
      <c r="D1049" s="37"/>
      <c r="E1049" s="36"/>
      <c r="F1049" s="42"/>
      <c r="G1049" s="42"/>
      <c r="H1049" s="42"/>
      <c r="AG1049" s="19">
        <v>1048</v>
      </c>
      <c r="AH1049" s="20">
        <v>-1172.3307160693107</v>
      </c>
    </row>
    <row r="1050" spans="1:34" ht="14.5" x14ac:dyDescent="0.35">
      <c r="A1050" s="34"/>
      <c r="B1050" s="35"/>
      <c r="C1050" s="36"/>
      <c r="D1050" s="37"/>
      <c r="E1050" s="36"/>
      <c r="F1050" s="42"/>
      <c r="G1050" s="42"/>
      <c r="H1050" s="42"/>
      <c r="AG1050" s="19">
        <v>1049</v>
      </c>
      <c r="AH1050" s="20">
        <v>-3346.9239289477114</v>
      </c>
    </row>
    <row r="1051" spans="1:34" ht="14.5" x14ac:dyDescent="0.35">
      <c r="A1051" s="34"/>
      <c r="B1051" s="35"/>
      <c r="C1051" s="36"/>
      <c r="D1051" s="37"/>
      <c r="E1051" s="36"/>
      <c r="F1051" s="42"/>
      <c r="G1051" s="42"/>
      <c r="H1051" s="42"/>
      <c r="AG1051" s="19">
        <v>1050</v>
      </c>
      <c r="AH1051" s="20">
        <v>2117.77224402805</v>
      </c>
    </row>
    <row r="1052" spans="1:34" ht="14.5" x14ac:dyDescent="0.35">
      <c r="A1052" s="34"/>
      <c r="B1052" s="35"/>
      <c r="C1052" s="36"/>
      <c r="D1052" s="37"/>
      <c r="E1052" s="36"/>
      <c r="F1052" s="42"/>
      <c r="G1052" s="42"/>
      <c r="H1052" s="42"/>
      <c r="AG1052" s="19">
        <v>1051</v>
      </c>
      <c r="AH1052" s="20">
        <v>-1655.1542248495805</v>
      </c>
    </row>
    <row r="1053" spans="1:34" ht="14.5" x14ac:dyDescent="0.35">
      <c r="A1053" s="34"/>
      <c r="B1053" s="35"/>
      <c r="C1053" s="36"/>
      <c r="D1053" s="37"/>
      <c r="E1053" s="36"/>
      <c r="F1053" s="42"/>
      <c r="G1053" s="42"/>
      <c r="H1053" s="42"/>
      <c r="AG1053" s="19">
        <v>1052</v>
      </c>
      <c r="AH1053" s="20">
        <v>-1285.5526509782287</v>
      </c>
    </row>
    <row r="1054" spans="1:34" ht="14.5" x14ac:dyDescent="0.35">
      <c r="A1054" s="34"/>
      <c r="B1054" s="35"/>
      <c r="C1054" s="36"/>
      <c r="D1054" s="37"/>
      <c r="E1054" s="36"/>
      <c r="F1054" s="42"/>
      <c r="G1054" s="42"/>
      <c r="H1054" s="42"/>
      <c r="AG1054" s="19">
        <v>1053</v>
      </c>
      <c r="AH1054" s="20">
        <v>1167.2747734145594</v>
      </c>
    </row>
    <row r="1055" spans="1:34" ht="14.5" x14ac:dyDescent="0.35">
      <c r="A1055" s="34"/>
      <c r="B1055" s="35"/>
      <c r="C1055" s="36"/>
      <c r="D1055" s="37"/>
      <c r="E1055" s="36"/>
      <c r="F1055" s="42"/>
      <c r="G1055" s="42"/>
      <c r="H1055" s="42"/>
      <c r="AG1055" s="19">
        <v>1054</v>
      </c>
      <c r="AH1055" s="20">
        <v>-1213.8564374054201</v>
      </c>
    </row>
    <row r="1056" spans="1:34" ht="14.5" x14ac:dyDescent="0.35">
      <c r="A1056" s="34"/>
      <c r="B1056" s="35"/>
      <c r="C1056" s="36"/>
      <c r="D1056" s="37"/>
      <c r="E1056" s="36"/>
      <c r="F1056" s="42"/>
      <c r="G1056" s="42"/>
      <c r="H1056" s="42"/>
      <c r="AG1056" s="19">
        <v>1055</v>
      </c>
      <c r="AH1056" s="20">
        <v>-3392.8377683081039</v>
      </c>
    </row>
    <row r="1057" spans="1:34" ht="14.5" x14ac:dyDescent="0.35">
      <c r="A1057" s="34"/>
      <c r="B1057" s="35"/>
      <c r="C1057" s="36"/>
      <c r="D1057" s="37"/>
      <c r="E1057" s="36"/>
      <c r="F1057" s="42"/>
      <c r="G1057" s="42"/>
      <c r="H1057" s="42"/>
      <c r="AG1057" s="19">
        <v>1056</v>
      </c>
      <c r="AH1057" s="20">
        <v>-479.39448418047954</v>
      </c>
    </row>
    <row r="1058" spans="1:34" ht="14.5" x14ac:dyDescent="0.35">
      <c r="A1058" s="34"/>
      <c r="B1058" s="35"/>
      <c r="C1058" s="36"/>
      <c r="D1058" s="37"/>
      <c r="E1058" s="36"/>
      <c r="F1058" s="42"/>
      <c r="G1058" s="42"/>
      <c r="H1058" s="42"/>
      <c r="AG1058" s="19">
        <v>1057</v>
      </c>
      <c r="AH1058" s="20">
        <v>2457.4667353555869</v>
      </c>
    </row>
    <row r="1059" spans="1:34" ht="14.5" x14ac:dyDescent="0.35">
      <c r="A1059" s="34"/>
      <c r="B1059" s="35"/>
      <c r="C1059" s="36"/>
      <c r="D1059" s="37"/>
      <c r="E1059" s="36"/>
      <c r="F1059" s="42"/>
      <c r="G1059" s="42"/>
      <c r="H1059" s="42"/>
      <c r="AG1059" s="19">
        <v>1058</v>
      </c>
      <c r="AH1059" s="20">
        <v>4095.3853235429001</v>
      </c>
    </row>
    <row r="1060" spans="1:34" ht="14.5" x14ac:dyDescent="0.35">
      <c r="A1060" s="34"/>
      <c r="B1060" s="35"/>
      <c r="C1060" s="36"/>
      <c r="D1060" s="37"/>
      <c r="E1060" s="36"/>
      <c r="F1060" s="42"/>
      <c r="G1060" s="42"/>
      <c r="H1060" s="42"/>
      <c r="AG1060" s="19">
        <v>1059</v>
      </c>
      <c r="AH1060" s="20">
        <v>2935.9032388715768</v>
      </c>
    </row>
    <row r="1061" spans="1:34" ht="14.5" x14ac:dyDescent="0.35">
      <c r="A1061" s="34"/>
      <c r="B1061" s="35"/>
      <c r="C1061" s="36"/>
      <c r="D1061" s="37"/>
      <c r="E1061" s="36"/>
      <c r="F1061" s="42"/>
      <c r="G1061" s="42"/>
      <c r="H1061" s="42"/>
      <c r="AG1061" s="19">
        <v>1060</v>
      </c>
      <c r="AH1061" s="20">
        <v>2278.8269924393871</v>
      </c>
    </row>
    <row r="1062" spans="1:34" ht="14.5" x14ac:dyDescent="0.35">
      <c r="A1062" s="34"/>
      <c r="B1062" s="35"/>
      <c r="C1062" s="36"/>
      <c r="D1062" s="37"/>
      <c r="E1062" s="36"/>
      <c r="F1062" s="42"/>
      <c r="G1062" s="42"/>
      <c r="H1062" s="42"/>
      <c r="AG1062" s="19">
        <v>1061</v>
      </c>
      <c r="AH1062" s="20">
        <v>2191.1618844552709</v>
      </c>
    </row>
    <row r="1063" spans="1:34" ht="14.5" x14ac:dyDescent="0.35">
      <c r="A1063" s="34"/>
      <c r="B1063" s="35"/>
      <c r="C1063" s="36"/>
      <c r="D1063" s="37"/>
      <c r="E1063" s="36"/>
      <c r="F1063" s="42"/>
      <c r="G1063" s="42"/>
      <c r="H1063" s="42"/>
      <c r="AG1063" s="19">
        <v>1062</v>
      </c>
      <c r="AH1063" s="20">
        <v>-2812.1213768077564</v>
      </c>
    </row>
    <row r="1064" spans="1:34" ht="14.5" x14ac:dyDescent="0.35">
      <c r="A1064" s="34"/>
      <c r="B1064" s="35"/>
      <c r="C1064" s="36"/>
      <c r="D1064" s="37"/>
      <c r="E1064" s="36"/>
      <c r="F1064" s="42"/>
      <c r="G1064" s="42"/>
      <c r="H1064" s="42"/>
      <c r="AG1064" s="19">
        <v>1063</v>
      </c>
      <c r="AH1064" s="20">
        <v>491.55171312876018</v>
      </c>
    </row>
    <row r="1065" spans="1:34" ht="14.5" x14ac:dyDescent="0.35">
      <c r="A1065" s="34"/>
      <c r="B1065" s="35"/>
      <c r="C1065" s="36"/>
      <c r="D1065" s="37"/>
      <c r="E1065" s="36"/>
      <c r="F1065" s="42"/>
      <c r="G1065" s="42"/>
      <c r="H1065" s="42"/>
      <c r="AG1065" s="19">
        <v>1064</v>
      </c>
      <c r="AH1065" s="20">
        <v>2614.0649289293028</v>
      </c>
    </row>
    <row r="1066" spans="1:34" ht="14.5" x14ac:dyDescent="0.35">
      <c r="A1066" s="34"/>
      <c r="B1066" s="35"/>
      <c r="C1066" s="36"/>
      <c r="D1066" s="37"/>
      <c r="E1066" s="36"/>
      <c r="F1066" s="42"/>
      <c r="G1066" s="42"/>
      <c r="H1066" s="42"/>
      <c r="AG1066" s="19">
        <v>1065</v>
      </c>
      <c r="AH1066" s="20">
        <v>-1588.915569753761</v>
      </c>
    </row>
    <row r="1067" spans="1:34" ht="14.5" x14ac:dyDescent="0.35">
      <c r="A1067" s="34"/>
      <c r="B1067" s="35"/>
      <c r="C1067" s="36"/>
      <c r="D1067" s="37"/>
      <c r="E1067" s="36"/>
      <c r="F1067" s="42"/>
      <c r="G1067" s="42"/>
      <c r="H1067" s="42"/>
      <c r="AG1067" s="19">
        <v>1066</v>
      </c>
      <c r="AH1067" s="20">
        <v>-3213.8702658331536</v>
      </c>
    </row>
    <row r="1068" spans="1:34" ht="14.5" x14ac:dyDescent="0.35">
      <c r="A1068" s="34"/>
      <c r="B1068" s="35"/>
      <c r="C1068" s="36"/>
      <c r="D1068" s="37"/>
      <c r="E1068" s="36"/>
      <c r="F1068" s="42"/>
      <c r="G1068" s="42"/>
      <c r="H1068" s="42"/>
      <c r="AG1068" s="19">
        <v>1067</v>
      </c>
      <c r="AH1068" s="20">
        <v>1242.4900458839538</v>
      </c>
    </row>
    <row r="1069" spans="1:34" ht="14.5" x14ac:dyDescent="0.35">
      <c r="A1069" s="34"/>
      <c r="B1069" s="35"/>
      <c r="C1069" s="36"/>
      <c r="D1069" s="37"/>
      <c r="E1069" s="36"/>
      <c r="F1069" s="42"/>
      <c r="G1069" s="42"/>
      <c r="H1069" s="42"/>
      <c r="AG1069" s="19">
        <v>1068</v>
      </c>
      <c r="AH1069" s="20">
        <v>1571.3558284156186</v>
      </c>
    </row>
    <row r="1070" spans="1:34" ht="14.5" x14ac:dyDescent="0.35">
      <c r="A1070" s="34"/>
      <c r="B1070" s="35"/>
      <c r="C1070" s="36"/>
      <c r="D1070" s="37"/>
      <c r="E1070" s="36"/>
      <c r="F1070" s="42"/>
      <c r="G1070" s="42"/>
      <c r="H1070" s="42"/>
      <c r="AG1070" s="19">
        <v>1069</v>
      </c>
      <c r="AH1070" s="20">
        <v>529.93765443368966</v>
      </c>
    </row>
    <row r="1071" spans="1:34" ht="14.5" x14ac:dyDescent="0.35">
      <c r="A1071" s="34"/>
      <c r="B1071" s="35"/>
      <c r="C1071" s="36"/>
      <c r="D1071" s="37"/>
      <c r="E1071" s="36"/>
      <c r="F1071" s="42"/>
      <c r="G1071" s="42"/>
      <c r="H1071" s="42"/>
      <c r="AG1071" s="19">
        <v>1070</v>
      </c>
      <c r="AH1071" s="20">
        <v>-3567.2407764088111</v>
      </c>
    </row>
    <row r="1072" spans="1:34" ht="14.5" x14ac:dyDescent="0.35">
      <c r="A1072" s="34"/>
      <c r="B1072" s="35"/>
      <c r="C1072" s="36"/>
      <c r="D1072" s="37"/>
      <c r="E1072" s="36"/>
      <c r="F1072" s="42"/>
      <c r="G1072" s="42"/>
      <c r="H1072" s="42"/>
      <c r="AG1072" s="19">
        <v>1071</v>
      </c>
      <c r="AH1072" s="20">
        <v>3062.1137371573604</v>
      </c>
    </row>
    <row r="1073" spans="1:34" ht="14.5" x14ac:dyDescent="0.35">
      <c r="A1073" s="34"/>
      <c r="B1073" s="35"/>
      <c r="C1073" s="36"/>
      <c r="D1073" s="37"/>
      <c r="E1073" s="36"/>
      <c r="F1073" s="42"/>
      <c r="G1073" s="42"/>
      <c r="H1073" s="42"/>
      <c r="AG1073" s="19">
        <v>1072</v>
      </c>
      <c r="AH1073" s="20">
        <v>-773.0675185604257</v>
      </c>
    </row>
    <row r="1074" spans="1:34" ht="14.5" x14ac:dyDescent="0.35">
      <c r="A1074" s="34"/>
      <c r="B1074" s="35"/>
      <c r="C1074" s="36"/>
      <c r="D1074" s="37"/>
      <c r="E1074" s="36"/>
      <c r="F1074" s="42"/>
      <c r="G1074" s="42"/>
      <c r="H1074" s="42"/>
      <c r="AG1074" s="19">
        <v>1073</v>
      </c>
      <c r="AH1074" s="20">
        <v>2382.9385080947877</v>
      </c>
    </row>
    <row r="1075" spans="1:34" ht="14.5" x14ac:dyDescent="0.35">
      <c r="A1075" s="34"/>
      <c r="B1075" s="35"/>
      <c r="C1075" s="36"/>
      <c r="D1075" s="37"/>
      <c r="E1075" s="36"/>
      <c r="F1075" s="42"/>
      <c r="G1075" s="42"/>
      <c r="H1075" s="42"/>
      <c r="AG1075" s="19">
        <v>1074</v>
      </c>
      <c r="AH1075" s="20">
        <v>-2307.6756795281708</v>
      </c>
    </row>
    <row r="1076" spans="1:34" ht="14.5" x14ac:dyDescent="0.35">
      <c r="A1076" s="34"/>
      <c r="B1076" s="35"/>
      <c r="C1076" s="36"/>
      <c r="D1076" s="37"/>
      <c r="E1076" s="36"/>
      <c r="F1076" s="42"/>
      <c r="G1076" s="42"/>
      <c r="H1076" s="42"/>
      <c r="AG1076" s="19">
        <v>1075</v>
      </c>
      <c r="AH1076" s="20">
        <v>-592.7707240832151</v>
      </c>
    </row>
    <row r="1077" spans="1:34" ht="14.5" x14ac:dyDescent="0.35">
      <c r="A1077" s="34"/>
      <c r="B1077" s="35"/>
      <c r="C1077" s="36"/>
      <c r="D1077" s="37"/>
      <c r="E1077" s="36"/>
      <c r="F1077" s="42"/>
      <c r="G1077" s="42"/>
      <c r="H1077" s="42"/>
      <c r="AG1077" s="19">
        <v>1076</v>
      </c>
      <c r="AH1077" s="20">
        <v>-161.41090968603788</v>
      </c>
    </row>
    <row r="1078" spans="1:34" ht="14.5" x14ac:dyDescent="0.35">
      <c r="A1078" s="34"/>
      <c r="B1078" s="35"/>
      <c r="C1078" s="36"/>
      <c r="D1078" s="37"/>
      <c r="E1078" s="36"/>
      <c r="F1078" s="42"/>
      <c r="G1078" s="42"/>
      <c r="H1078" s="42"/>
      <c r="AG1078" s="19">
        <v>1077</v>
      </c>
      <c r="AH1078" s="20">
        <v>869.18060301865376</v>
      </c>
    </row>
    <row r="1079" spans="1:34" ht="14.5" x14ac:dyDescent="0.35">
      <c r="A1079" s="34"/>
      <c r="B1079" s="35"/>
      <c r="C1079" s="36"/>
      <c r="D1079" s="37"/>
      <c r="E1079" s="36"/>
      <c r="F1079" s="42"/>
      <c r="G1079" s="42"/>
      <c r="H1079" s="42"/>
      <c r="AG1079" s="19">
        <v>1078</v>
      </c>
      <c r="AH1079" s="20">
        <v>-2353.2919939486264</v>
      </c>
    </row>
    <row r="1080" spans="1:34" ht="14.5" x14ac:dyDescent="0.35">
      <c r="A1080" s="34"/>
      <c r="B1080" s="35"/>
      <c r="C1080" s="36"/>
      <c r="D1080" s="37"/>
      <c r="E1080" s="36"/>
      <c r="F1080" s="42"/>
      <c r="G1080" s="42"/>
      <c r="H1080" s="42"/>
      <c r="AG1080" s="19">
        <v>1079</v>
      </c>
      <c r="AH1080" s="20">
        <v>-1784.1728621729537</v>
      </c>
    </row>
    <row r="1081" spans="1:34" ht="14.5" x14ac:dyDescent="0.35">
      <c r="A1081" s="34"/>
      <c r="B1081" s="35"/>
      <c r="C1081" s="36"/>
      <c r="D1081" s="37"/>
      <c r="E1081" s="36"/>
      <c r="F1081" s="42"/>
      <c r="G1081" s="42"/>
      <c r="H1081" s="42"/>
      <c r="AG1081" s="19">
        <v>1080</v>
      </c>
      <c r="AH1081" s="20">
        <v>-4801.1871837931067</v>
      </c>
    </row>
    <row r="1082" spans="1:34" ht="14.5" x14ac:dyDescent="0.35">
      <c r="A1082" s="34"/>
      <c r="B1082" s="35"/>
      <c r="C1082" s="36"/>
      <c r="D1082" s="37"/>
      <c r="E1082" s="36"/>
      <c r="F1082" s="42"/>
      <c r="G1082" s="42"/>
      <c r="H1082" s="42"/>
      <c r="AG1082" s="19">
        <v>1081</v>
      </c>
      <c r="AH1082" s="20">
        <v>1306.7623601773205</v>
      </c>
    </row>
    <row r="1083" spans="1:34" ht="14.5" x14ac:dyDescent="0.35">
      <c r="A1083" s="34"/>
      <c r="B1083" s="35"/>
      <c r="C1083" s="36"/>
      <c r="D1083" s="37"/>
      <c r="E1083" s="36"/>
      <c r="F1083" s="42"/>
      <c r="G1083" s="42"/>
      <c r="H1083" s="42"/>
      <c r="AG1083" s="19">
        <v>1082</v>
      </c>
      <c r="AH1083" s="20">
        <v>-536.79585032090949</v>
      </c>
    </row>
    <row r="1084" spans="1:34" ht="14.5" x14ac:dyDescent="0.35">
      <c r="A1084" s="34"/>
      <c r="B1084" s="35"/>
      <c r="C1084" s="36"/>
      <c r="D1084" s="37"/>
      <c r="E1084" s="36"/>
      <c r="F1084" s="42"/>
      <c r="G1084" s="42"/>
      <c r="H1084" s="42"/>
      <c r="AG1084" s="19">
        <v>1083</v>
      </c>
      <c r="AH1084" s="20">
        <v>2181.7906411104955</v>
      </c>
    </row>
    <row r="1085" spans="1:34" ht="14.5" x14ac:dyDescent="0.35">
      <c r="A1085" s="34"/>
      <c r="B1085" s="35"/>
      <c r="C1085" s="36"/>
      <c r="D1085" s="37"/>
      <c r="E1085" s="36"/>
      <c r="F1085" s="42"/>
      <c r="G1085" s="42"/>
      <c r="H1085" s="42"/>
      <c r="AG1085" s="19">
        <v>1084</v>
      </c>
      <c r="AH1085" s="20">
        <v>6783.6840448091407</v>
      </c>
    </row>
    <row r="1086" spans="1:34" ht="14.5" x14ac:dyDescent="0.35">
      <c r="A1086" s="34"/>
      <c r="B1086" s="35"/>
      <c r="C1086" s="36"/>
      <c r="D1086" s="37"/>
      <c r="E1086" s="36"/>
      <c r="F1086" s="42"/>
      <c r="G1086" s="42"/>
      <c r="H1086" s="42"/>
      <c r="AG1086" s="19">
        <v>1085</v>
      </c>
      <c r="AH1086" s="20">
        <v>333.52718119438629</v>
      </c>
    </row>
    <row r="1087" spans="1:34" ht="14.5" x14ac:dyDescent="0.35">
      <c r="A1087" s="34"/>
      <c r="B1087" s="35"/>
      <c r="C1087" s="36"/>
      <c r="D1087" s="37"/>
      <c r="E1087" s="36"/>
      <c r="F1087" s="42"/>
      <c r="G1087" s="42"/>
      <c r="H1087" s="42"/>
      <c r="AG1087" s="19">
        <v>1086</v>
      </c>
      <c r="AH1087" s="20">
        <v>-2946.4778671476147</v>
      </c>
    </row>
    <row r="1088" spans="1:34" ht="14.5" x14ac:dyDescent="0.35">
      <c r="A1088" s="34"/>
      <c r="B1088" s="35"/>
      <c r="C1088" s="36"/>
      <c r="D1088" s="37"/>
      <c r="E1088" s="36"/>
      <c r="F1088" s="42"/>
      <c r="G1088" s="42"/>
      <c r="H1088" s="42"/>
      <c r="AG1088" s="19">
        <v>1087</v>
      </c>
      <c r="AH1088" s="20">
        <v>-4712.8100669927426</v>
      </c>
    </row>
    <row r="1089" spans="1:34" ht="14.5" x14ac:dyDescent="0.35">
      <c r="A1089" s="34"/>
      <c r="B1089" s="35"/>
      <c r="C1089" s="36"/>
      <c r="D1089" s="37"/>
      <c r="E1089" s="36"/>
      <c r="F1089" s="42"/>
      <c r="G1089" s="42"/>
      <c r="H1089" s="42"/>
      <c r="AG1089" s="19">
        <v>1088</v>
      </c>
      <c r="AH1089" s="20">
        <v>-657.20062006575222</v>
      </c>
    </row>
    <row r="1090" spans="1:34" ht="14.5" x14ac:dyDescent="0.35">
      <c r="A1090" s="34"/>
      <c r="B1090" s="35"/>
      <c r="C1090" s="36"/>
      <c r="D1090" s="37"/>
      <c r="E1090" s="36"/>
      <c r="F1090" s="42"/>
      <c r="G1090" s="42"/>
      <c r="H1090" s="42"/>
      <c r="AG1090" s="19">
        <v>1089</v>
      </c>
      <c r="AH1090" s="20">
        <v>3819.9090507505603</v>
      </c>
    </row>
    <row r="1091" spans="1:34" ht="14.5" x14ac:dyDescent="0.35">
      <c r="A1091" s="34"/>
      <c r="B1091" s="35"/>
      <c r="C1091" s="36"/>
      <c r="D1091" s="37"/>
      <c r="E1091" s="36"/>
      <c r="F1091" s="42"/>
      <c r="G1091" s="42"/>
      <c r="H1091" s="42"/>
      <c r="AG1091" s="19">
        <v>1090</v>
      </c>
      <c r="AH1091" s="20">
        <v>-532.0011653121685</v>
      </c>
    </row>
    <row r="1092" spans="1:34" ht="14.5" x14ac:dyDescent="0.35">
      <c r="A1092" s="34"/>
      <c r="B1092" s="35"/>
      <c r="C1092" s="36"/>
      <c r="D1092" s="37"/>
      <c r="E1092" s="36"/>
      <c r="F1092" s="42"/>
      <c r="G1092" s="42"/>
      <c r="H1092" s="42"/>
      <c r="AG1092" s="19">
        <v>1091</v>
      </c>
      <c r="AH1092" s="20">
        <v>-169.5954294413927</v>
      </c>
    </row>
    <row r="1093" spans="1:34" ht="14.5" x14ac:dyDescent="0.35">
      <c r="A1093" s="34"/>
      <c r="B1093" s="35"/>
      <c r="C1093" s="36"/>
      <c r="D1093" s="37"/>
      <c r="E1093" s="36"/>
      <c r="F1093" s="42"/>
      <c r="G1093" s="42"/>
      <c r="H1093" s="42"/>
      <c r="AG1093" s="19">
        <v>1092</v>
      </c>
      <c r="AH1093" s="20">
        <v>3659.6276097601926</v>
      </c>
    </row>
    <row r="1094" spans="1:34" ht="14.5" x14ac:dyDescent="0.35">
      <c r="A1094" s="34"/>
      <c r="B1094" s="35"/>
      <c r="C1094" s="36"/>
      <c r="D1094" s="37"/>
      <c r="E1094" s="36"/>
      <c r="F1094" s="42"/>
      <c r="G1094" s="42"/>
      <c r="H1094" s="42"/>
      <c r="AG1094" s="19">
        <v>1093</v>
      </c>
      <c r="AH1094" s="20">
        <v>520.23564766940785</v>
      </c>
    </row>
    <row r="1095" spans="1:34" ht="14.5" x14ac:dyDescent="0.35">
      <c r="A1095" s="34"/>
      <c r="B1095" s="35"/>
      <c r="C1095" s="36"/>
      <c r="D1095" s="37"/>
      <c r="E1095" s="36"/>
      <c r="F1095" s="42"/>
      <c r="G1095" s="42"/>
      <c r="H1095" s="42"/>
      <c r="AG1095" s="19">
        <v>1094</v>
      </c>
      <c r="AH1095" s="20">
        <v>81.064488505012321</v>
      </c>
    </row>
    <row r="1096" spans="1:34" ht="14.5" x14ac:dyDescent="0.35">
      <c r="A1096" s="34"/>
      <c r="B1096" s="35"/>
      <c r="C1096" s="36"/>
      <c r="D1096" s="37"/>
      <c r="E1096" s="36"/>
      <c r="F1096" s="42"/>
      <c r="G1096" s="42"/>
      <c r="H1096" s="42"/>
      <c r="AG1096" s="19">
        <v>1095</v>
      </c>
      <c r="AH1096" s="20">
        <v>1899.6935397017546</v>
      </c>
    </row>
    <row r="1097" spans="1:34" ht="14.5" x14ac:dyDescent="0.35">
      <c r="A1097" s="34"/>
      <c r="B1097" s="35"/>
      <c r="C1097" s="36"/>
      <c r="D1097" s="37"/>
      <c r="E1097" s="36"/>
      <c r="F1097" s="42"/>
      <c r="G1097" s="42"/>
      <c r="H1097" s="42"/>
      <c r="AG1097" s="19">
        <v>1096</v>
      </c>
      <c r="AH1097" s="20">
        <v>2712.2799333593975</v>
      </c>
    </row>
    <row r="1098" spans="1:34" ht="14.5" x14ac:dyDescent="0.35">
      <c r="A1098" s="34"/>
      <c r="B1098" s="35"/>
      <c r="C1098" s="36"/>
      <c r="D1098" s="37"/>
      <c r="E1098" s="36"/>
      <c r="F1098" s="42"/>
      <c r="G1098" s="42"/>
      <c r="H1098" s="42"/>
      <c r="AG1098" s="19">
        <v>1097</v>
      </c>
      <c r="AH1098" s="20">
        <v>1476.5642533661007</v>
      </c>
    </row>
    <row r="1099" spans="1:34" ht="14.5" x14ac:dyDescent="0.35">
      <c r="A1099" s="34"/>
      <c r="B1099" s="35"/>
      <c r="C1099" s="36"/>
      <c r="D1099" s="37"/>
      <c r="E1099" s="36"/>
      <c r="F1099" s="42"/>
      <c r="G1099" s="42"/>
      <c r="H1099" s="42"/>
      <c r="AG1099" s="19">
        <v>1098</v>
      </c>
      <c r="AH1099" s="20">
        <v>273.76105452411798</v>
      </c>
    </row>
    <row r="1100" spans="1:34" ht="14.5" x14ac:dyDescent="0.35">
      <c r="A1100" s="34"/>
      <c r="B1100" s="35"/>
      <c r="C1100" s="36"/>
      <c r="D1100" s="37"/>
      <c r="E1100" s="36"/>
      <c r="F1100" s="42"/>
      <c r="G1100" s="42"/>
      <c r="H1100" s="42"/>
      <c r="AG1100" s="19">
        <v>1099</v>
      </c>
      <c r="AH1100" s="20">
        <v>1502.1791003161932</v>
      </c>
    </row>
    <row r="1101" spans="1:34" ht="14.5" x14ac:dyDescent="0.35">
      <c r="A1101" s="34"/>
      <c r="B1101" s="35"/>
      <c r="C1101" s="36"/>
      <c r="D1101" s="37"/>
      <c r="E1101" s="36"/>
      <c r="F1101" s="42"/>
      <c r="G1101" s="42"/>
      <c r="H1101" s="42"/>
      <c r="AG1101" s="19">
        <v>1100</v>
      </c>
      <c r="AH1101" s="20">
        <v>4227.9407379871345</v>
      </c>
    </row>
    <row r="1102" spans="1:34" ht="14.5" x14ac:dyDescent="0.35">
      <c r="A1102" s="34"/>
      <c r="B1102" s="35"/>
      <c r="C1102" s="36"/>
      <c r="D1102" s="37"/>
      <c r="E1102" s="36"/>
      <c r="F1102" s="42"/>
      <c r="G1102" s="42"/>
      <c r="H1102" s="42"/>
      <c r="AG1102" s="19">
        <v>1101</v>
      </c>
      <c r="AH1102" s="20">
        <v>285.25366440580945</v>
      </c>
    </row>
    <row r="1103" spans="1:34" ht="14.5" x14ac:dyDescent="0.35">
      <c r="A1103" s="34"/>
      <c r="B1103" s="35"/>
      <c r="C1103" s="36"/>
      <c r="D1103" s="37"/>
      <c r="E1103" s="36"/>
      <c r="F1103" s="42"/>
      <c r="G1103" s="42"/>
      <c r="H1103" s="42"/>
      <c r="AG1103" s="19">
        <v>1102</v>
      </c>
      <c r="AH1103" s="20">
        <v>1505.9379428187603</v>
      </c>
    </row>
    <row r="1104" spans="1:34" ht="14.5" x14ac:dyDescent="0.35">
      <c r="A1104" s="34"/>
      <c r="B1104" s="35"/>
      <c r="C1104" s="36"/>
      <c r="D1104" s="37"/>
      <c r="E1104" s="36"/>
      <c r="F1104" s="42"/>
      <c r="G1104" s="42"/>
      <c r="H1104" s="42"/>
      <c r="AG1104" s="19">
        <v>1103</v>
      </c>
      <c r="AH1104" s="20">
        <v>-987.53128305990435</v>
      </c>
    </row>
    <row r="1105" spans="1:34" ht="14.5" x14ac:dyDescent="0.35">
      <c r="A1105" s="34"/>
      <c r="B1105" s="35"/>
      <c r="C1105" s="36"/>
      <c r="D1105" s="37"/>
      <c r="E1105" s="36"/>
      <c r="F1105" s="42"/>
      <c r="G1105" s="42"/>
      <c r="H1105" s="42"/>
      <c r="AG1105" s="19">
        <v>1104</v>
      </c>
      <c r="AH1105" s="20">
        <v>-1833.1433743812829</v>
      </c>
    </row>
    <row r="1106" spans="1:34" ht="14.5" x14ac:dyDescent="0.35">
      <c r="A1106" s="34"/>
      <c r="B1106" s="35"/>
      <c r="C1106" s="36"/>
      <c r="D1106" s="37"/>
      <c r="E1106" s="36"/>
      <c r="F1106" s="42"/>
      <c r="G1106" s="42"/>
      <c r="H1106" s="42"/>
      <c r="AG1106" s="19">
        <v>1105</v>
      </c>
      <c r="AH1106" s="20">
        <v>-618.51768661791243</v>
      </c>
    </row>
    <row r="1107" spans="1:34" ht="14.5" x14ac:dyDescent="0.35">
      <c r="A1107" s="34"/>
      <c r="B1107" s="35"/>
      <c r="C1107" s="36"/>
      <c r="D1107" s="37"/>
      <c r="E1107" s="36"/>
      <c r="F1107" s="42"/>
      <c r="G1107" s="42"/>
      <c r="H1107" s="42"/>
      <c r="AG1107" s="19">
        <v>1106</v>
      </c>
      <c r="AH1107" s="20">
        <v>2059.2832245591139</v>
      </c>
    </row>
    <row r="1108" spans="1:34" ht="14.5" x14ac:dyDescent="0.35">
      <c r="A1108" s="34"/>
      <c r="B1108" s="35"/>
      <c r="C1108" s="36"/>
      <c r="D1108" s="37"/>
      <c r="E1108" s="36"/>
      <c r="F1108" s="42"/>
      <c r="G1108" s="42"/>
      <c r="H1108" s="42"/>
      <c r="AG1108" s="19">
        <v>1107</v>
      </c>
      <c r="AH1108" s="20">
        <v>2887.2310659726868</v>
      </c>
    </row>
    <row r="1109" spans="1:34" ht="14.5" x14ac:dyDescent="0.35">
      <c r="A1109" s="34"/>
      <c r="B1109" s="35"/>
      <c r="C1109" s="36"/>
      <c r="D1109" s="37"/>
      <c r="E1109" s="36"/>
      <c r="F1109" s="42"/>
      <c r="G1109" s="42"/>
      <c r="H1109" s="42"/>
      <c r="AG1109" s="19">
        <v>1108</v>
      </c>
      <c r="AH1109" s="20">
        <v>3838.3132889624017</v>
      </c>
    </row>
    <row r="1110" spans="1:34" ht="14.5" x14ac:dyDescent="0.35">
      <c r="A1110" s="34"/>
      <c r="B1110" s="35"/>
      <c r="C1110" s="36"/>
      <c r="D1110" s="37"/>
      <c r="E1110" s="36"/>
      <c r="F1110" s="42"/>
      <c r="G1110" s="42"/>
      <c r="H1110" s="42"/>
      <c r="AG1110" s="19">
        <v>1109</v>
      </c>
      <c r="AH1110" s="20">
        <v>3859.8318621794378</v>
      </c>
    </row>
    <row r="1111" spans="1:34" ht="14.5" x14ac:dyDescent="0.35">
      <c r="A1111" s="34"/>
      <c r="B1111" s="35"/>
      <c r="C1111" s="36"/>
      <c r="D1111" s="37"/>
      <c r="E1111" s="36"/>
      <c r="F1111" s="42"/>
      <c r="G1111" s="42"/>
      <c r="H1111" s="42"/>
      <c r="AG1111" s="19">
        <v>1110</v>
      </c>
      <c r="AH1111" s="20">
        <v>-2019.4581703869269</v>
      </c>
    </row>
    <row r="1112" spans="1:34" ht="14.5" x14ac:dyDescent="0.35">
      <c r="A1112" s="34"/>
      <c r="B1112" s="35"/>
      <c r="C1112" s="36"/>
      <c r="D1112" s="37"/>
      <c r="E1112" s="36"/>
      <c r="F1112" s="42"/>
      <c r="G1112" s="42"/>
      <c r="H1112" s="42"/>
      <c r="AG1112" s="19">
        <v>1111</v>
      </c>
      <c r="AH1112" s="20">
        <v>1375.7666286409597</v>
      </c>
    </row>
    <row r="1113" spans="1:34" ht="14.5" x14ac:dyDescent="0.35">
      <c r="A1113" s="34"/>
      <c r="B1113" s="35"/>
      <c r="C1113" s="36"/>
      <c r="D1113" s="37"/>
      <c r="E1113" s="36"/>
      <c r="F1113" s="42"/>
      <c r="G1113" s="42"/>
      <c r="H1113" s="42"/>
      <c r="AG1113" s="19">
        <v>1112</v>
      </c>
      <c r="AH1113" s="20">
        <v>593.01345954032831</v>
      </c>
    </row>
    <row r="1114" spans="1:34" ht="14.5" x14ac:dyDescent="0.35">
      <c r="A1114" s="34"/>
      <c r="B1114" s="35"/>
      <c r="C1114" s="36"/>
      <c r="D1114" s="37"/>
      <c r="E1114" s="36"/>
      <c r="F1114" s="42"/>
      <c r="G1114" s="42"/>
      <c r="H1114" s="42"/>
      <c r="AG1114" s="19">
        <v>1113</v>
      </c>
      <c r="AH1114" s="20">
        <v>2465.7078074302922</v>
      </c>
    </row>
    <row r="1115" spans="1:34" ht="14.5" x14ac:dyDescent="0.35">
      <c r="A1115" s="34"/>
      <c r="B1115" s="35"/>
      <c r="C1115" s="36"/>
      <c r="D1115" s="37"/>
      <c r="E1115" s="36"/>
      <c r="F1115" s="42"/>
      <c r="G1115" s="42"/>
      <c r="H1115" s="42"/>
      <c r="AG1115" s="19">
        <v>1114</v>
      </c>
      <c r="AH1115" s="20">
        <v>1861.6987343358062</v>
      </c>
    </row>
    <row r="1116" spans="1:34" ht="14.5" x14ac:dyDescent="0.35">
      <c r="A1116" s="34"/>
      <c r="B1116" s="35"/>
      <c r="C1116" s="36"/>
      <c r="D1116" s="37"/>
      <c r="E1116" s="36"/>
      <c r="F1116" s="42"/>
      <c r="G1116" s="42"/>
      <c r="H1116" s="42"/>
      <c r="AG1116" s="19">
        <v>1115</v>
      </c>
      <c r="AH1116" s="20">
        <v>-635.00424104786293</v>
      </c>
    </row>
    <row r="1117" spans="1:34" ht="14.5" x14ac:dyDescent="0.35">
      <c r="A1117" s="34"/>
      <c r="B1117" s="35"/>
      <c r="C1117" s="36"/>
      <c r="D1117" s="37"/>
      <c r="E1117" s="36"/>
      <c r="F1117" s="42"/>
      <c r="G1117" s="42"/>
      <c r="H1117" s="42"/>
      <c r="AG1117" s="19">
        <v>1116</v>
      </c>
      <c r="AH1117" s="20">
        <v>725.40227796371755</v>
      </c>
    </row>
    <row r="1118" spans="1:34" ht="14.5" x14ac:dyDescent="0.35">
      <c r="A1118" s="34"/>
      <c r="B1118" s="35"/>
      <c r="C1118" s="36"/>
      <c r="D1118" s="37"/>
      <c r="E1118" s="36"/>
      <c r="F1118" s="42"/>
      <c r="G1118" s="42"/>
      <c r="H1118" s="42"/>
      <c r="AG1118" s="19">
        <v>1117</v>
      </c>
      <c r="AH1118" s="20">
        <v>1274.475301128396</v>
      </c>
    </row>
    <row r="1119" spans="1:34" ht="14.5" x14ac:dyDescent="0.35">
      <c r="A1119" s="34"/>
      <c r="B1119" s="35"/>
      <c r="C1119" s="36"/>
      <c r="D1119" s="37"/>
      <c r="E1119" s="36"/>
      <c r="F1119" s="42"/>
      <c r="G1119" s="42"/>
      <c r="H1119" s="42"/>
      <c r="AG1119" s="19">
        <v>1118</v>
      </c>
      <c r="AH1119" s="20">
        <v>-16.859393916370777</v>
      </c>
    </row>
    <row r="1120" spans="1:34" ht="14.5" x14ac:dyDescent="0.35">
      <c r="A1120" s="34"/>
      <c r="B1120" s="35"/>
      <c r="C1120" s="36"/>
      <c r="D1120" s="37"/>
      <c r="E1120" s="36"/>
      <c r="F1120" s="42"/>
      <c r="G1120" s="42"/>
      <c r="H1120" s="42"/>
      <c r="AG1120" s="19">
        <v>1119</v>
      </c>
      <c r="AH1120" s="20">
        <v>2005.4702939743493</v>
      </c>
    </row>
    <row r="1121" spans="1:34" ht="14.5" x14ac:dyDescent="0.35">
      <c r="A1121" s="34"/>
      <c r="B1121" s="35"/>
      <c r="C1121" s="36"/>
      <c r="D1121" s="37"/>
      <c r="E1121" s="36"/>
      <c r="F1121" s="42"/>
      <c r="G1121" s="42"/>
      <c r="H1121" s="42"/>
      <c r="AG1121" s="19">
        <v>1120</v>
      </c>
      <c r="AH1121" s="20">
        <v>-1871.5196945721198</v>
      </c>
    </row>
    <row r="1122" spans="1:34" ht="14.5" x14ac:dyDescent="0.35">
      <c r="A1122" s="34"/>
      <c r="B1122" s="35"/>
      <c r="C1122" s="36"/>
      <c r="D1122" s="37"/>
      <c r="E1122" s="36"/>
      <c r="F1122" s="42"/>
      <c r="G1122" s="42"/>
      <c r="H1122" s="42"/>
      <c r="AG1122" s="19">
        <v>1121</v>
      </c>
      <c r="AH1122" s="20">
        <v>-1691.5698965077183</v>
      </c>
    </row>
    <row r="1123" spans="1:34" ht="14.5" x14ac:dyDescent="0.35">
      <c r="A1123" s="34"/>
      <c r="B1123" s="35"/>
      <c r="C1123" s="36"/>
      <c r="D1123" s="37"/>
      <c r="E1123" s="36"/>
      <c r="F1123" s="42"/>
      <c r="G1123" s="42"/>
      <c r="H1123" s="42"/>
      <c r="AG1123" s="19">
        <v>1122</v>
      </c>
      <c r="AH1123" s="20">
        <v>-1053.1485468654134</v>
      </c>
    </row>
    <row r="1124" spans="1:34" ht="14.5" x14ac:dyDescent="0.35">
      <c r="A1124" s="34"/>
      <c r="B1124" s="35"/>
      <c r="C1124" s="36"/>
      <c r="D1124" s="37"/>
      <c r="E1124" s="36"/>
      <c r="F1124" s="42"/>
      <c r="G1124" s="42"/>
      <c r="H1124" s="42"/>
      <c r="AG1124" s="19">
        <v>1123</v>
      </c>
      <c r="AH1124" s="20">
        <v>-221.10095771295681</v>
      </c>
    </row>
    <row r="1125" spans="1:34" ht="14.5" x14ac:dyDescent="0.35">
      <c r="A1125" s="34"/>
      <c r="B1125" s="35"/>
      <c r="C1125" s="36"/>
      <c r="D1125" s="37"/>
      <c r="E1125" s="36"/>
      <c r="F1125" s="42"/>
      <c r="G1125" s="42"/>
      <c r="H1125" s="42"/>
      <c r="AG1125" s="19">
        <v>1124</v>
      </c>
      <c r="AH1125" s="20">
        <v>577.77525208951556</v>
      </c>
    </row>
    <row r="1126" spans="1:34" ht="14.5" x14ac:dyDescent="0.35">
      <c r="A1126" s="34"/>
      <c r="B1126" s="35"/>
      <c r="C1126" s="36"/>
      <c r="D1126" s="37"/>
      <c r="E1126" s="36"/>
      <c r="F1126" s="42"/>
      <c r="G1126" s="42"/>
      <c r="H1126" s="42"/>
      <c r="AG1126" s="19">
        <v>1125</v>
      </c>
      <c r="AH1126" s="20">
        <v>135.91699999670442</v>
      </c>
    </row>
    <row r="1127" spans="1:34" ht="14.5" x14ac:dyDescent="0.35">
      <c r="A1127" s="34"/>
      <c r="B1127" s="35"/>
      <c r="C1127" s="36"/>
      <c r="D1127" s="37"/>
      <c r="E1127" s="36"/>
      <c r="F1127" s="42"/>
      <c r="G1127" s="42"/>
      <c r="H1127" s="42"/>
      <c r="AG1127" s="19">
        <v>1126</v>
      </c>
      <c r="AH1127" s="20">
        <v>689.72396649611608</v>
      </c>
    </row>
    <row r="1128" spans="1:34" ht="14.5" x14ac:dyDescent="0.35">
      <c r="A1128" s="34"/>
      <c r="B1128" s="35"/>
      <c r="C1128" s="36"/>
      <c r="D1128" s="37"/>
      <c r="E1128" s="36"/>
      <c r="F1128" s="42"/>
      <c r="G1128" s="42"/>
      <c r="H1128" s="42"/>
      <c r="AG1128" s="19">
        <v>1127</v>
      </c>
      <c r="AH1128" s="20">
        <v>-2093.1866159813599</v>
      </c>
    </row>
    <row r="1129" spans="1:34" ht="14.5" x14ac:dyDescent="0.35">
      <c r="A1129" s="34"/>
      <c r="B1129" s="35"/>
      <c r="C1129" s="36"/>
      <c r="D1129" s="37"/>
      <c r="E1129" s="36"/>
      <c r="F1129" s="42"/>
      <c r="G1129" s="42"/>
      <c r="H1129" s="42"/>
      <c r="AG1129" s="19">
        <v>1128</v>
      </c>
      <c r="AH1129" s="20">
        <v>-1464.6703085249817</v>
      </c>
    </row>
    <row r="1130" spans="1:34" ht="14.5" x14ac:dyDescent="0.35">
      <c r="A1130" s="34"/>
      <c r="B1130" s="35"/>
      <c r="C1130" s="36"/>
      <c r="D1130" s="37"/>
      <c r="E1130" s="36"/>
      <c r="F1130" s="42"/>
      <c r="G1130" s="42"/>
      <c r="H1130" s="42"/>
      <c r="AG1130" s="19">
        <v>1129</v>
      </c>
      <c r="AH1130" s="20">
        <v>2696.738116742958</v>
      </c>
    </row>
    <row r="1131" spans="1:34" ht="14.5" x14ac:dyDescent="0.35">
      <c r="A1131" s="34"/>
      <c r="B1131" s="35"/>
      <c r="C1131" s="36"/>
      <c r="D1131" s="37"/>
      <c r="E1131" s="36"/>
      <c r="F1131" s="42"/>
      <c r="G1131" s="42"/>
      <c r="H1131" s="42"/>
      <c r="AG1131" s="19">
        <v>1130</v>
      </c>
      <c r="AH1131" s="20">
        <v>-1487.5454204744262</v>
      </c>
    </row>
    <row r="1132" spans="1:34" ht="14.5" x14ac:dyDescent="0.35">
      <c r="A1132" s="34"/>
      <c r="B1132" s="35"/>
      <c r="C1132" s="36"/>
      <c r="D1132" s="37"/>
      <c r="E1132" s="36"/>
      <c r="F1132" s="42"/>
      <c r="G1132" s="42"/>
      <c r="H1132" s="42"/>
      <c r="AG1132" s="19">
        <v>1131</v>
      </c>
      <c r="AH1132" s="20">
        <v>-126.75037111675414</v>
      </c>
    </row>
    <row r="1133" spans="1:34" ht="14.5" x14ac:dyDescent="0.35">
      <c r="A1133" s="34"/>
      <c r="B1133" s="35"/>
      <c r="C1133" s="36"/>
      <c r="D1133" s="37"/>
      <c r="E1133" s="36"/>
      <c r="F1133" s="42"/>
      <c r="G1133" s="42"/>
      <c r="H1133" s="42"/>
      <c r="AG1133" s="19">
        <v>1132</v>
      </c>
      <c r="AH1133" s="20">
        <v>3175.8447933903553</v>
      </c>
    </row>
    <row r="1134" spans="1:34" ht="14.5" x14ac:dyDescent="0.35">
      <c r="A1134" s="34"/>
      <c r="B1134" s="35"/>
      <c r="C1134" s="36"/>
      <c r="D1134" s="37"/>
      <c r="E1134" s="36"/>
      <c r="F1134" s="42"/>
      <c r="G1134" s="42"/>
      <c r="H1134" s="42"/>
      <c r="AG1134" s="19">
        <v>1133</v>
      </c>
      <c r="AH1134" s="20">
        <v>-416.25829178765099</v>
      </c>
    </row>
    <row r="1135" spans="1:34" ht="14.5" x14ac:dyDescent="0.35">
      <c r="A1135" s="34"/>
      <c r="B1135" s="35"/>
      <c r="C1135" s="36"/>
      <c r="D1135" s="37"/>
      <c r="E1135" s="36"/>
      <c r="F1135" s="42"/>
      <c r="G1135" s="42"/>
      <c r="H1135" s="42"/>
      <c r="AG1135" s="19">
        <v>1134</v>
      </c>
      <c r="AH1135" s="20">
        <v>2566.9445035523827</v>
      </c>
    </row>
    <row r="1136" spans="1:34" ht="14.5" x14ac:dyDescent="0.35">
      <c r="A1136" s="34"/>
      <c r="B1136" s="35"/>
      <c r="C1136" s="36"/>
      <c r="D1136" s="37"/>
      <c r="E1136" s="36"/>
      <c r="F1136" s="42"/>
      <c r="G1136" s="42"/>
      <c r="H1136" s="42"/>
      <c r="AG1136" s="19">
        <v>1135</v>
      </c>
      <c r="AH1136" s="20">
        <v>-1262.6200380149942</v>
      </c>
    </row>
    <row r="1137" spans="1:34" ht="14.5" x14ac:dyDescent="0.35">
      <c r="A1137" s="34"/>
      <c r="B1137" s="35"/>
      <c r="C1137" s="36"/>
      <c r="D1137" s="37"/>
      <c r="E1137" s="36"/>
      <c r="F1137" s="42"/>
      <c r="G1137" s="42"/>
      <c r="H1137" s="42"/>
      <c r="AG1137" s="19">
        <v>1136</v>
      </c>
      <c r="AH1137" s="20">
        <v>1558.7981490582342</v>
      </c>
    </row>
    <row r="1138" spans="1:34" ht="14.5" x14ac:dyDescent="0.35">
      <c r="A1138" s="34"/>
      <c r="B1138" s="35"/>
      <c r="C1138" s="36"/>
      <c r="D1138" s="37"/>
      <c r="E1138" s="36"/>
      <c r="F1138" s="42"/>
      <c r="G1138" s="42"/>
      <c r="H1138" s="42"/>
      <c r="AG1138" s="19">
        <v>1137</v>
      </c>
      <c r="AH1138" s="20">
        <v>2409.3516061817318</v>
      </c>
    </row>
    <row r="1139" spans="1:34" ht="14.5" x14ac:dyDescent="0.35">
      <c r="A1139" s="34"/>
      <c r="B1139" s="35"/>
      <c r="C1139" s="36"/>
      <c r="D1139" s="37"/>
      <c r="E1139" s="36"/>
      <c r="F1139" s="42"/>
      <c r="G1139" s="42"/>
      <c r="H1139" s="42"/>
      <c r="AG1139" s="19">
        <v>1138</v>
      </c>
      <c r="AH1139" s="20">
        <v>-34.215858287106755</v>
      </c>
    </row>
    <row r="1140" spans="1:34" ht="14.5" x14ac:dyDescent="0.35">
      <c r="A1140" s="34"/>
      <c r="B1140" s="35"/>
      <c r="C1140" s="36"/>
      <c r="D1140" s="37"/>
      <c r="E1140" s="36"/>
      <c r="F1140" s="42"/>
      <c r="G1140" s="42"/>
      <c r="H1140" s="42"/>
      <c r="AG1140" s="19">
        <v>1139</v>
      </c>
      <c r="AH1140" s="20">
        <v>2483.1108898427001</v>
      </c>
    </row>
    <row r="1141" spans="1:34" ht="14.5" x14ac:dyDescent="0.35">
      <c r="A1141" s="34"/>
      <c r="B1141" s="35"/>
      <c r="C1141" s="36"/>
      <c r="D1141" s="37"/>
      <c r="E1141" s="36"/>
      <c r="F1141" s="42"/>
      <c r="G1141" s="42"/>
      <c r="H1141" s="42"/>
      <c r="AG1141" s="19">
        <v>1140</v>
      </c>
      <c r="AH1141" s="20">
        <v>898.06371093774158</v>
      </c>
    </row>
    <row r="1142" spans="1:34" ht="14.5" x14ac:dyDescent="0.35">
      <c r="A1142" s="34"/>
      <c r="B1142" s="35"/>
      <c r="C1142" s="36"/>
      <c r="D1142" s="37"/>
      <c r="E1142" s="36"/>
      <c r="F1142" s="42"/>
      <c r="G1142" s="42"/>
      <c r="H1142" s="42"/>
      <c r="AG1142" s="19">
        <v>1141</v>
      </c>
      <c r="AH1142" s="20">
        <v>1392.808931883282</v>
      </c>
    </row>
    <row r="1143" spans="1:34" ht="14.5" x14ac:dyDescent="0.35">
      <c r="A1143" s="34"/>
      <c r="B1143" s="35"/>
      <c r="C1143" s="36"/>
      <c r="D1143" s="37"/>
      <c r="E1143" s="36"/>
      <c r="F1143" s="42"/>
      <c r="G1143" s="42"/>
      <c r="H1143" s="42"/>
      <c r="AG1143" s="19">
        <v>1142</v>
      </c>
      <c r="AH1143" s="20">
        <v>3678.6600226795017</v>
      </c>
    </row>
    <row r="1144" spans="1:34" ht="14.5" x14ac:dyDescent="0.35">
      <c r="A1144" s="34"/>
      <c r="B1144" s="35"/>
      <c r="C1144" s="36"/>
      <c r="D1144" s="37"/>
      <c r="E1144" s="36"/>
      <c r="F1144" s="42"/>
      <c r="G1144" s="42"/>
      <c r="H1144" s="42"/>
      <c r="AG1144" s="19">
        <v>1143</v>
      </c>
      <c r="AH1144" s="20">
        <v>-1209.9671743399558</v>
      </c>
    </row>
    <row r="1145" spans="1:34" ht="14.5" x14ac:dyDescent="0.35">
      <c r="A1145" s="34"/>
      <c r="B1145" s="35"/>
      <c r="C1145" s="36"/>
      <c r="D1145" s="37"/>
      <c r="E1145" s="36"/>
      <c r="F1145" s="42"/>
      <c r="G1145" s="42"/>
      <c r="H1145" s="42"/>
      <c r="AG1145" s="19">
        <v>1144</v>
      </c>
      <c r="AH1145" s="20">
        <v>864.74014319448224</v>
      </c>
    </row>
    <row r="1146" spans="1:34" ht="14.5" x14ac:dyDescent="0.35">
      <c r="A1146" s="34"/>
      <c r="B1146" s="35"/>
      <c r="C1146" s="36"/>
      <c r="D1146" s="37"/>
      <c r="E1146" s="36"/>
      <c r="F1146" s="42"/>
      <c r="G1146" s="42"/>
      <c r="H1146" s="42"/>
      <c r="AG1146" s="19">
        <v>1145</v>
      </c>
      <c r="AH1146" s="20">
        <v>339.79635336103769</v>
      </c>
    </row>
    <row r="1147" spans="1:34" ht="14.5" x14ac:dyDescent="0.35">
      <c r="A1147" s="34"/>
      <c r="B1147" s="35"/>
      <c r="C1147" s="36"/>
      <c r="D1147" s="37"/>
      <c r="E1147" s="36"/>
      <c r="F1147" s="42"/>
      <c r="G1147" s="42"/>
      <c r="H1147" s="42"/>
      <c r="AG1147" s="19">
        <v>1146</v>
      </c>
      <c r="AH1147" s="20">
        <v>-2507.2048263546035</v>
      </c>
    </row>
    <row r="1148" spans="1:34" ht="14.5" x14ac:dyDescent="0.35">
      <c r="A1148" s="34"/>
      <c r="B1148" s="35"/>
      <c r="C1148" s="36"/>
      <c r="D1148" s="37"/>
      <c r="E1148" s="36"/>
      <c r="F1148" s="42"/>
      <c r="G1148" s="42"/>
      <c r="H1148" s="42"/>
      <c r="AG1148" s="19">
        <v>1147</v>
      </c>
      <c r="AH1148" s="20">
        <v>210.89294545655261</v>
      </c>
    </row>
    <row r="1149" spans="1:34" ht="14.5" x14ac:dyDescent="0.35">
      <c r="A1149" s="34"/>
      <c r="B1149" s="35"/>
      <c r="C1149" s="36"/>
      <c r="D1149" s="37"/>
      <c r="E1149" s="36"/>
      <c r="F1149" s="42"/>
      <c r="G1149" s="42"/>
      <c r="H1149" s="42"/>
      <c r="AG1149" s="19">
        <v>1148</v>
      </c>
      <c r="AH1149" s="20">
        <v>-200.26157063657939</v>
      </c>
    </row>
    <row r="1150" spans="1:34" ht="14.5" x14ac:dyDescent="0.35">
      <c r="A1150" s="34"/>
      <c r="B1150" s="35"/>
      <c r="C1150" s="36"/>
      <c r="D1150" s="37"/>
      <c r="E1150" s="36"/>
      <c r="F1150" s="42"/>
      <c r="G1150" s="42"/>
      <c r="H1150" s="42"/>
      <c r="AG1150" s="19">
        <v>1149</v>
      </c>
      <c r="AH1150" s="20">
        <v>-563.77271471254085</v>
      </c>
    </row>
    <row r="1151" spans="1:34" ht="14.5" x14ac:dyDescent="0.35">
      <c r="A1151" s="34"/>
      <c r="B1151" s="35"/>
      <c r="C1151" s="36"/>
      <c r="D1151" s="37"/>
      <c r="E1151" s="36"/>
      <c r="F1151" s="42"/>
      <c r="G1151" s="42"/>
      <c r="H1151" s="42"/>
      <c r="AG1151" s="19">
        <v>1150</v>
      </c>
      <c r="AH1151" s="20">
        <v>3940.7894666041184</v>
      </c>
    </row>
    <row r="1152" spans="1:34" ht="14.5" x14ac:dyDescent="0.35">
      <c r="A1152" s="34"/>
      <c r="B1152" s="35"/>
      <c r="C1152" s="36"/>
      <c r="D1152" s="37"/>
      <c r="E1152" s="36"/>
      <c r="F1152" s="42"/>
      <c r="G1152" s="42"/>
      <c r="H1152" s="42"/>
      <c r="AG1152" s="19">
        <v>1151</v>
      </c>
      <c r="AH1152" s="20">
        <v>372.26397757714756</v>
      </c>
    </row>
    <row r="1153" spans="1:34" ht="14.5" x14ac:dyDescent="0.35">
      <c r="A1153" s="34"/>
      <c r="B1153" s="35"/>
      <c r="C1153" s="36"/>
      <c r="D1153" s="37"/>
      <c r="E1153" s="36"/>
      <c r="F1153" s="42"/>
      <c r="G1153" s="42"/>
      <c r="H1153" s="42"/>
      <c r="AG1153" s="19">
        <v>1152</v>
      </c>
      <c r="AH1153" s="20">
        <v>-2929.7230234424442</v>
      </c>
    </row>
    <row r="1154" spans="1:34" ht="14.5" x14ac:dyDescent="0.35">
      <c r="A1154" s="34"/>
      <c r="B1154" s="35"/>
      <c r="C1154" s="36"/>
      <c r="D1154" s="37"/>
      <c r="E1154" s="36"/>
      <c r="F1154" s="42"/>
      <c r="G1154" s="42"/>
      <c r="H1154" s="42"/>
      <c r="AG1154" s="19">
        <v>1153</v>
      </c>
      <c r="AH1154" s="20">
        <v>562.21433539792486</v>
      </c>
    </row>
    <row r="1155" spans="1:34" ht="14.5" x14ac:dyDescent="0.35">
      <c r="A1155" s="34"/>
      <c r="B1155" s="35"/>
      <c r="C1155" s="36"/>
      <c r="D1155" s="37"/>
      <c r="E1155" s="36"/>
      <c r="F1155" s="42"/>
      <c r="G1155" s="42"/>
      <c r="H1155" s="42"/>
      <c r="AG1155" s="19">
        <v>1154</v>
      </c>
      <c r="AH1155" s="20">
        <v>2821.77934694845</v>
      </c>
    </row>
    <row r="1156" spans="1:34" ht="14.5" x14ac:dyDescent="0.35">
      <c r="A1156" s="34"/>
      <c r="B1156" s="35"/>
      <c r="C1156" s="36"/>
      <c r="D1156" s="37"/>
      <c r="E1156" s="36"/>
      <c r="F1156" s="42"/>
      <c r="G1156" s="42"/>
      <c r="H1156" s="42"/>
      <c r="AG1156" s="19">
        <v>1155</v>
      </c>
      <c r="AH1156" s="20">
        <v>-1373.8390231798371</v>
      </c>
    </row>
    <row r="1157" spans="1:34" ht="14.5" x14ac:dyDescent="0.35">
      <c r="A1157" s="34"/>
      <c r="B1157" s="35"/>
      <c r="C1157" s="36"/>
      <c r="D1157" s="37"/>
      <c r="E1157" s="36"/>
      <c r="F1157" s="42"/>
      <c r="G1157" s="42"/>
      <c r="H1157" s="42"/>
      <c r="AG1157" s="19">
        <v>1156</v>
      </c>
      <c r="AH1157" s="20">
        <v>-721.09728796653189</v>
      </c>
    </row>
    <row r="1158" spans="1:34" ht="14.5" x14ac:dyDescent="0.35">
      <c r="A1158" s="34"/>
      <c r="B1158" s="35"/>
      <c r="C1158" s="36"/>
      <c r="D1158" s="37"/>
      <c r="E1158" s="36"/>
      <c r="F1158" s="42"/>
      <c r="G1158" s="42"/>
      <c r="H1158" s="42"/>
      <c r="AG1158" s="19">
        <v>1157</v>
      </c>
      <c r="AH1158" s="20">
        <v>2405.5988320139941</v>
      </c>
    </row>
    <row r="1159" spans="1:34" ht="14.5" x14ac:dyDescent="0.35">
      <c r="A1159" s="34"/>
      <c r="B1159" s="35"/>
      <c r="C1159" s="36"/>
      <c r="D1159" s="37"/>
      <c r="E1159" s="36"/>
      <c r="F1159" s="42"/>
      <c r="G1159" s="42"/>
      <c r="H1159" s="42"/>
      <c r="AG1159" s="19">
        <v>1158</v>
      </c>
      <c r="AH1159" s="20">
        <v>-213.28897484329224</v>
      </c>
    </row>
    <row r="1160" spans="1:34" ht="14.5" x14ac:dyDescent="0.35">
      <c r="A1160" s="34"/>
      <c r="B1160" s="35"/>
      <c r="C1160" s="36"/>
      <c r="D1160" s="37"/>
      <c r="E1160" s="36"/>
      <c r="F1160" s="42"/>
      <c r="G1160" s="42"/>
      <c r="H1160" s="42"/>
      <c r="AG1160" s="19">
        <v>1159</v>
      </c>
      <c r="AH1160" s="20">
        <v>-2281.46994807286</v>
      </c>
    </row>
    <row r="1161" spans="1:34" ht="14.5" x14ac:dyDescent="0.35">
      <c r="A1161" s="34"/>
      <c r="B1161" s="35"/>
      <c r="C1161" s="36"/>
      <c r="D1161" s="37"/>
      <c r="E1161" s="36"/>
      <c r="F1161" s="42"/>
      <c r="G1161" s="42"/>
      <c r="H1161" s="42"/>
      <c r="AG1161" s="19">
        <v>1160</v>
      </c>
      <c r="AH1161" s="20">
        <v>-510.78750333915178</v>
      </c>
    </row>
    <row r="1162" spans="1:34" ht="14.5" x14ac:dyDescent="0.35">
      <c r="A1162" s="34"/>
      <c r="B1162" s="35"/>
      <c r="C1162" s="36"/>
      <c r="D1162" s="37"/>
      <c r="E1162" s="36"/>
      <c r="F1162" s="42"/>
      <c r="G1162" s="42"/>
      <c r="H1162" s="42"/>
      <c r="AG1162" s="19">
        <v>1161</v>
      </c>
      <c r="AH1162" s="20">
        <v>-1998.1194983005987</v>
      </c>
    </row>
    <row r="1163" spans="1:34" ht="14.5" x14ac:dyDescent="0.35">
      <c r="A1163" s="34"/>
      <c r="B1163" s="35"/>
      <c r="C1163" s="36"/>
      <c r="D1163" s="37"/>
      <c r="E1163" s="36"/>
      <c r="F1163" s="42"/>
      <c r="G1163" s="42"/>
      <c r="H1163" s="42"/>
      <c r="AG1163" s="19">
        <v>1162</v>
      </c>
      <c r="AH1163" s="20">
        <v>-2556.6876014020349</v>
      </c>
    </row>
    <row r="1164" spans="1:34" ht="14.5" x14ac:dyDescent="0.35">
      <c r="A1164" s="34"/>
      <c r="B1164" s="35"/>
      <c r="C1164" s="36"/>
      <c r="D1164" s="37"/>
      <c r="E1164" s="36"/>
      <c r="F1164" s="42"/>
      <c r="G1164" s="42"/>
      <c r="H1164" s="42"/>
      <c r="AG1164" s="19">
        <v>1163</v>
      </c>
      <c r="AH1164" s="20">
        <v>-2128.4417289258922</v>
      </c>
    </row>
    <row r="1165" spans="1:34" ht="14.5" x14ac:dyDescent="0.35">
      <c r="A1165" s="34"/>
      <c r="B1165" s="35"/>
      <c r="C1165" s="36"/>
      <c r="D1165" s="37"/>
      <c r="E1165" s="36"/>
      <c r="F1165" s="42"/>
      <c r="G1165" s="42"/>
      <c r="H1165" s="42"/>
      <c r="AG1165" s="19">
        <v>1164</v>
      </c>
      <c r="AH1165" s="20">
        <v>-3165.093166740679</v>
      </c>
    </row>
    <row r="1166" spans="1:34" ht="14.5" x14ac:dyDescent="0.35">
      <c r="A1166" s="34"/>
      <c r="B1166" s="35"/>
      <c r="C1166" s="36"/>
      <c r="D1166" s="37"/>
      <c r="E1166" s="36"/>
      <c r="F1166" s="42"/>
      <c r="G1166" s="42"/>
      <c r="H1166" s="42"/>
      <c r="AG1166" s="19">
        <v>1165</v>
      </c>
      <c r="AH1166" s="20">
        <v>-1168.2478815309737</v>
      </c>
    </row>
    <row r="1167" spans="1:34" ht="14.5" x14ac:dyDescent="0.35">
      <c r="A1167" s="34"/>
      <c r="B1167" s="35"/>
      <c r="C1167" s="36"/>
      <c r="D1167" s="37"/>
      <c r="E1167" s="36"/>
      <c r="F1167" s="42"/>
      <c r="G1167" s="42"/>
      <c r="H1167" s="42"/>
      <c r="AG1167" s="19">
        <v>1166</v>
      </c>
      <c r="AH1167" s="20">
        <v>5615.6380532917674</v>
      </c>
    </row>
    <row r="1168" spans="1:34" ht="14.5" x14ac:dyDescent="0.35">
      <c r="A1168" s="34"/>
      <c r="B1168" s="35"/>
      <c r="C1168" s="36"/>
      <c r="D1168" s="37"/>
      <c r="E1168" s="36"/>
      <c r="F1168" s="42"/>
      <c r="G1168" s="42"/>
      <c r="H1168" s="42"/>
      <c r="AG1168" s="19">
        <v>1167</v>
      </c>
      <c r="AH1168" s="20">
        <v>1559.3420690968089</v>
      </c>
    </row>
    <row r="1169" spans="1:34" ht="14.5" x14ac:dyDescent="0.35">
      <c r="A1169" s="34"/>
      <c r="B1169" s="35"/>
      <c r="C1169" s="36"/>
      <c r="D1169" s="37"/>
      <c r="E1169" s="36"/>
      <c r="F1169" s="42"/>
      <c r="G1169" s="42"/>
      <c r="H1169" s="42"/>
      <c r="AG1169" s="19">
        <v>1168</v>
      </c>
      <c r="AH1169" s="20">
        <v>1755.9636764653922</v>
      </c>
    </row>
    <row r="1170" spans="1:34" ht="14.5" x14ac:dyDescent="0.35">
      <c r="A1170" s="34"/>
      <c r="B1170" s="35"/>
      <c r="C1170" s="36"/>
      <c r="D1170" s="37"/>
      <c r="E1170" s="36"/>
      <c r="F1170" s="42"/>
      <c r="G1170" s="42"/>
      <c r="H1170" s="42"/>
      <c r="AG1170" s="19">
        <v>1169</v>
      </c>
      <c r="AH1170" s="20">
        <v>1511.2335196413671</v>
      </c>
    </row>
    <row r="1171" spans="1:34" ht="14.5" x14ac:dyDescent="0.35">
      <c r="A1171" s="34"/>
      <c r="B1171" s="35"/>
      <c r="C1171" s="36"/>
      <c r="D1171" s="37"/>
      <c r="E1171" s="36"/>
      <c r="F1171" s="42"/>
      <c r="G1171" s="42"/>
      <c r="H1171" s="42"/>
      <c r="AG1171" s="19">
        <v>1170</v>
      </c>
      <c r="AH1171" s="20">
        <v>-1072.4025100438778</v>
      </c>
    </row>
    <row r="1172" spans="1:34" ht="14.5" x14ac:dyDescent="0.35">
      <c r="A1172" s="34"/>
      <c r="B1172" s="35"/>
      <c r="C1172" s="36"/>
      <c r="D1172" s="37"/>
      <c r="E1172" s="36"/>
      <c r="F1172" s="42"/>
      <c r="G1172" s="42"/>
      <c r="H1172" s="42"/>
      <c r="AG1172" s="19">
        <v>1171</v>
      </c>
      <c r="AH1172" s="20">
        <v>1591.3742406791075</v>
      </c>
    </row>
    <row r="1173" spans="1:34" ht="14.5" x14ac:dyDescent="0.35">
      <c r="A1173" s="34"/>
      <c r="B1173" s="35"/>
      <c r="C1173" s="36"/>
      <c r="D1173" s="37"/>
      <c r="E1173" s="36"/>
      <c r="F1173" s="42"/>
      <c r="G1173" s="42"/>
      <c r="H1173" s="42"/>
      <c r="AG1173" s="19">
        <v>1172</v>
      </c>
      <c r="AH1173" s="20">
        <v>1977.9292741867366</v>
      </c>
    </row>
    <row r="1174" spans="1:34" ht="14.5" x14ac:dyDescent="0.35">
      <c r="A1174" s="34"/>
      <c r="B1174" s="35"/>
      <c r="C1174" s="36"/>
      <c r="D1174" s="37"/>
      <c r="E1174" s="36"/>
      <c r="F1174" s="42"/>
      <c r="G1174" s="42"/>
      <c r="H1174" s="42"/>
      <c r="AG1174" s="19">
        <v>1173</v>
      </c>
      <c r="AH1174" s="20">
        <v>2053.1059306829011</v>
      </c>
    </row>
    <row r="1175" spans="1:34" ht="14.5" x14ac:dyDescent="0.35">
      <c r="A1175" s="34"/>
      <c r="B1175" s="35"/>
      <c r="C1175" s="36"/>
      <c r="D1175" s="37"/>
      <c r="E1175" s="36"/>
      <c r="F1175" s="42"/>
      <c r="G1175" s="42"/>
      <c r="H1175" s="42"/>
      <c r="AG1175" s="19">
        <v>1174</v>
      </c>
      <c r="AH1175" s="20">
        <v>2106.5887661276442</v>
      </c>
    </row>
    <row r="1176" spans="1:34" ht="14.5" x14ac:dyDescent="0.35">
      <c r="A1176" s="34"/>
      <c r="B1176" s="35"/>
      <c r="C1176" s="36"/>
      <c r="D1176" s="37"/>
      <c r="E1176" s="36"/>
      <c r="F1176" s="42"/>
      <c r="G1176" s="42"/>
      <c r="H1176" s="42"/>
      <c r="AG1176" s="19">
        <v>1175</v>
      </c>
      <c r="AH1176" s="20">
        <v>5048.0952470116827</v>
      </c>
    </row>
    <row r="1177" spans="1:34" ht="14.5" x14ac:dyDescent="0.35">
      <c r="A1177" s="34"/>
      <c r="B1177" s="35"/>
      <c r="C1177" s="36"/>
      <c r="D1177" s="37"/>
      <c r="E1177" s="36"/>
      <c r="F1177" s="42"/>
      <c r="G1177" s="42"/>
      <c r="H1177" s="42"/>
      <c r="AG1177" s="19">
        <v>1176</v>
      </c>
      <c r="AH1177" s="20">
        <v>2479.7524347355074</v>
      </c>
    </row>
    <row r="1178" spans="1:34" ht="14.5" x14ac:dyDescent="0.35">
      <c r="A1178" s="34"/>
      <c r="B1178" s="35"/>
      <c r="C1178" s="36"/>
      <c r="D1178" s="37"/>
      <c r="E1178" s="36"/>
      <c r="F1178" s="42"/>
      <c r="G1178" s="42"/>
      <c r="H1178" s="42"/>
      <c r="AG1178" s="19">
        <v>1177</v>
      </c>
      <c r="AH1178" s="20">
        <v>2040.6951749037128</v>
      </c>
    </row>
    <row r="1179" spans="1:34" ht="14.5" x14ac:dyDescent="0.35">
      <c r="A1179" s="34"/>
      <c r="B1179" s="35"/>
      <c r="C1179" s="36"/>
      <c r="D1179" s="37"/>
      <c r="E1179" s="36"/>
      <c r="F1179" s="42"/>
      <c r="G1179" s="42"/>
      <c r="H1179" s="42"/>
      <c r="AG1179" s="19">
        <v>1178</v>
      </c>
      <c r="AH1179" s="20">
        <v>-3590.4234420537537</v>
      </c>
    </row>
    <row r="1180" spans="1:34" ht="14.5" x14ac:dyDescent="0.35">
      <c r="A1180" s="34"/>
      <c r="B1180" s="35"/>
      <c r="C1180" s="36"/>
      <c r="D1180" s="37"/>
      <c r="E1180" s="36"/>
      <c r="F1180" s="42"/>
      <c r="G1180" s="42"/>
      <c r="H1180" s="42"/>
      <c r="AG1180" s="19">
        <v>1179</v>
      </c>
      <c r="AH1180" s="20">
        <v>1335.3717605131408</v>
      </c>
    </row>
    <row r="1181" spans="1:34" ht="14.5" x14ac:dyDescent="0.35">
      <c r="A1181" s="34"/>
      <c r="B1181" s="35"/>
      <c r="C1181" s="36"/>
      <c r="D1181" s="37"/>
      <c r="E1181" s="36"/>
      <c r="F1181" s="42"/>
      <c r="G1181" s="42"/>
      <c r="H1181" s="42"/>
      <c r="AG1181" s="19">
        <v>1180</v>
      </c>
      <c r="AH1181" s="20">
        <v>4690.7332059147984</v>
      </c>
    </row>
    <row r="1182" spans="1:34" ht="14.5" x14ac:dyDescent="0.35">
      <c r="A1182" s="34"/>
      <c r="B1182" s="35"/>
      <c r="C1182" s="36"/>
      <c r="D1182" s="37"/>
      <c r="E1182" s="36"/>
      <c r="F1182" s="42"/>
      <c r="G1182" s="42"/>
      <c r="H1182" s="42"/>
      <c r="AG1182" s="19">
        <v>1181</v>
      </c>
      <c r="AH1182" s="20">
        <v>2922.4990689567558</v>
      </c>
    </row>
    <row r="1183" spans="1:34" ht="14.5" x14ac:dyDescent="0.35">
      <c r="A1183" s="34"/>
      <c r="B1183" s="35"/>
      <c r="C1183" s="36"/>
      <c r="D1183" s="37"/>
      <c r="E1183" s="36"/>
      <c r="F1183" s="42"/>
      <c r="G1183" s="42"/>
      <c r="H1183" s="42"/>
      <c r="AG1183" s="19">
        <v>1182</v>
      </c>
      <c r="AH1183" s="20">
        <v>-3529.5878525494722</v>
      </c>
    </row>
    <row r="1184" spans="1:34" ht="14.5" x14ac:dyDescent="0.35">
      <c r="A1184" s="34"/>
      <c r="B1184" s="35"/>
      <c r="C1184" s="36"/>
      <c r="D1184" s="37"/>
      <c r="E1184" s="36"/>
      <c r="F1184" s="42"/>
      <c r="G1184" s="42"/>
      <c r="H1184" s="42"/>
      <c r="AG1184" s="19">
        <v>1183</v>
      </c>
      <c r="AH1184" s="20">
        <v>1613.2501051175498</v>
      </c>
    </row>
    <row r="1185" spans="1:34" ht="14.5" x14ac:dyDescent="0.35">
      <c r="A1185" s="34"/>
      <c r="B1185" s="35"/>
      <c r="C1185" s="36"/>
      <c r="D1185" s="37"/>
      <c r="E1185" s="36"/>
      <c r="F1185" s="42"/>
      <c r="G1185" s="42"/>
      <c r="H1185" s="42"/>
      <c r="AG1185" s="19">
        <v>1184</v>
      </c>
      <c r="AH1185" s="20">
        <v>179.31217382902955</v>
      </c>
    </row>
    <row r="1186" spans="1:34" ht="14.5" x14ac:dyDescent="0.35">
      <c r="A1186" s="34"/>
      <c r="B1186" s="35"/>
      <c r="C1186" s="36"/>
      <c r="D1186" s="37"/>
      <c r="E1186" s="36"/>
      <c r="F1186" s="42"/>
      <c r="G1186" s="42"/>
      <c r="H1186" s="42"/>
      <c r="AG1186" s="19">
        <v>1185</v>
      </c>
      <c r="AH1186" s="20">
        <v>117.68323883020537</v>
      </c>
    </row>
    <row r="1187" spans="1:34" ht="14.5" x14ac:dyDescent="0.35">
      <c r="A1187" s="34"/>
      <c r="B1187" s="35"/>
      <c r="C1187" s="36"/>
      <c r="D1187" s="37"/>
      <c r="E1187" s="36"/>
      <c r="F1187" s="42"/>
      <c r="G1187" s="42"/>
      <c r="H1187" s="42"/>
      <c r="AG1187" s="19">
        <v>1186</v>
      </c>
      <c r="AH1187" s="20">
        <v>1161.7142648635688</v>
      </c>
    </row>
    <row r="1188" spans="1:34" ht="14.5" x14ac:dyDescent="0.35">
      <c r="A1188" s="34"/>
      <c r="B1188" s="35"/>
      <c r="C1188" s="36"/>
      <c r="D1188" s="37"/>
      <c r="E1188" s="36"/>
      <c r="F1188" s="42"/>
      <c r="G1188" s="42"/>
      <c r="H1188" s="42"/>
      <c r="AG1188" s="19">
        <v>1187</v>
      </c>
      <c r="AH1188" s="20">
        <v>5.9382732160664773</v>
      </c>
    </row>
    <row r="1189" spans="1:34" ht="14.5" x14ac:dyDescent="0.35">
      <c r="A1189" s="34"/>
      <c r="B1189" s="35"/>
      <c r="C1189" s="36"/>
      <c r="D1189" s="37"/>
      <c r="E1189" s="36"/>
      <c r="F1189" s="42"/>
      <c r="G1189" s="42"/>
      <c r="H1189" s="42"/>
      <c r="AG1189" s="19">
        <v>1188</v>
      </c>
      <c r="AH1189" s="20">
        <v>-3390.6086032953021</v>
      </c>
    </row>
    <row r="1190" spans="1:34" ht="14.5" x14ac:dyDescent="0.35">
      <c r="A1190" s="34"/>
      <c r="B1190" s="35"/>
      <c r="C1190" s="36"/>
      <c r="D1190" s="37"/>
      <c r="E1190" s="36"/>
      <c r="F1190" s="42"/>
      <c r="G1190" s="42"/>
      <c r="H1190" s="42"/>
      <c r="AG1190" s="19">
        <v>1189</v>
      </c>
      <c r="AH1190" s="20">
        <v>998.78450710161542</v>
      </c>
    </row>
    <row r="1191" spans="1:34" ht="14.5" x14ac:dyDescent="0.35">
      <c r="A1191" s="34"/>
      <c r="B1191" s="35"/>
      <c r="C1191" s="36"/>
      <c r="D1191" s="37"/>
      <c r="E1191" s="36"/>
      <c r="F1191" s="42"/>
      <c r="G1191" s="42"/>
      <c r="H1191" s="42"/>
      <c r="AG1191" s="19">
        <v>1190</v>
      </c>
      <c r="AH1191" s="20">
        <v>926.24845237636214</v>
      </c>
    </row>
    <row r="1192" spans="1:34" ht="14.5" x14ac:dyDescent="0.35">
      <c r="A1192" s="34"/>
      <c r="B1192" s="35"/>
      <c r="C1192" s="36"/>
      <c r="D1192" s="37"/>
      <c r="E1192" s="36"/>
      <c r="F1192" s="42"/>
      <c r="G1192" s="42"/>
      <c r="H1192" s="42"/>
      <c r="AG1192" s="19">
        <v>1191</v>
      </c>
      <c r="AH1192" s="20">
        <v>-659.82122709122336</v>
      </c>
    </row>
    <row r="1193" spans="1:34" ht="14.5" x14ac:dyDescent="0.35">
      <c r="A1193" s="34"/>
      <c r="B1193" s="35"/>
      <c r="C1193" s="36"/>
      <c r="D1193" s="37"/>
      <c r="E1193" s="36"/>
      <c r="F1193" s="42"/>
      <c r="G1193" s="42"/>
      <c r="H1193" s="42"/>
      <c r="AG1193" s="19">
        <v>1192</v>
      </c>
      <c r="AH1193" s="20">
        <v>-727.80293930737457</v>
      </c>
    </row>
    <row r="1194" spans="1:34" ht="14.5" x14ac:dyDescent="0.35">
      <c r="A1194" s="34"/>
      <c r="B1194" s="35"/>
      <c r="C1194" s="36"/>
      <c r="D1194" s="37"/>
      <c r="E1194" s="36"/>
      <c r="F1194" s="42"/>
      <c r="G1194" s="42"/>
      <c r="H1194" s="42"/>
      <c r="AG1194" s="19">
        <v>1193</v>
      </c>
      <c r="AH1194" s="20">
        <v>-2370.4296809758653</v>
      </c>
    </row>
    <row r="1195" spans="1:34" ht="14.5" x14ac:dyDescent="0.35">
      <c r="A1195" s="34"/>
      <c r="B1195" s="35"/>
      <c r="C1195" s="36"/>
      <c r="D1195" s="37"/>
      <c r="E1195" s="36"/>
      <c r="F1195" s="42"/>
      <c r="G1195" s="42"/>
      <c r="H1195" s="42"/>
      <c r="AG1195" s="19">
        <v>1194</v>
      </c>
      <c r="AH1195" s="20">
        <v>1075.3881850386551</v>
      </c>
    </row>
    <row r="1196" spans="1:34" ht="14.5" x14ac:dyDescent="0.35">
      <c r="A1196" s="34"/>
      <c r="B1196" s="35"/>
      <c r="C1196" s="36"/>
      <c r="D1196" s="37"/>
      <c r="E1196" s="36"/>
      <c r="F1196" s="42"/>
      <c r="G1196" s="42"/>
      <c r="H1196" s="42"/>
      <c r="AG1196" s="19">
        <v>1195</v>
      </c>
      <c r="AH1196" s="20">
        <v>3502.5254095432342</v>
      </c>
    </row>
    <row r="1197" spans="1:34" ht="14.5" x14ac:dyDescent="0.35">
      <c r="A1197" s="34"/>
      <c r="B1197" s="35"/>
      <c r="C1197" s="36"/>
      <c r="D1197" s="37"/>
      <c r="E1197" s="36"/>
      <c r="F1197" s="42"/>
      <c r="G1197" s="42"/>
      <c r="H1197" s="42"/>
      <c r="AG1197" s="19">
        <v>1196</v>
      </c>
      <c r="AH1197" s="20">
        <v>-2854.5130609477642</v>
      </c>
    </row>
    <row r="1198" spans="1:34" ht="14.5" x14ac:dyDescent="0.35">
      <c r="A1198" s="34"/>
      <c r="B1198" s="35"/>
      <c r="C1198" s="36"/>
      <c r="D1198" s="37"/>
      <c r="E1198" s="36"/>
      <c r="F1198" s="42"/>
      <c r="G1198" s="42"/>
      <c r="H1198" s="42"/>
      <c r="AG1198" s="19">
        <v>1197</v>
      </c>
      <c r="AH1198" s="20">
        <v>-3110.6090028385888</v>
      </c>
    </row>
    <row r="1199" spans="1:34" ht="14.5" x14ac:dyDescent="0.35">
      <c r="A1199" s="34"/>
      <c r="B1199" s="35"/>
      <c r="C1199" s="36"/>
      <c r="D1199" s="37"/>
      <c r="E1199" s="36"/>
      <c r="F1199" s="42"/>
      <c r="G1199" s="42"/>
      <c r="H1199" s="42"/>
      <c r="AG1199" s="19">
        <v>1198</v>
      </c>
      <c r="AH1199" s="20">
        <v>-6.1312285958703114</v>
      </c>
    </row>
    <row r="1200" spans="1:34" ht="14.5" x14ac:dyDescent="0.35">
      <c r="A1200" s="34"/>
      <c r="B1200" s="35"/>
      <c r="C1200" s="36"/>
      <c r="D1200" s="37"/>
      <c r="E1200" s="36"/>
      <c r="F1200" s="42"/>
      <c r="G1200" s="42"/>
      <c r="H1200" s="42"/>
      <c r="AG1200" s="19">
        <v>1199</v>
      </c>
      <c r="AH1200" s="20">
        <v>-3270.3928787207087</v>
      </c>
    </row>
    <row r="1201" spans="1:34" ht="14.5" x14ac:dyDescent="0.35">
      <c r="A1201" s="34"/>
      <c r="B1201" s="35"/>
      <c r="C1201" s="36"/>
      <c r="D1201" s="37"/>
      <c r="E1201" s="36"/>
      <c r="F1201" s="42"/>
      <c r="G1201" s="42"/>
      <c r="H1201" s="42"/>
      <c r="AG1201" s="19">
        <v>1200</v>
      </c>
      <c r="AH1201" s="20">
        <v>-4106.0828054123867</v>
      </c>
    </row>
    <row r="1202" spans="1:34" ht="14.5" x14ac:dyDescent="0.35">
      <c r="A1202" s="34"/>
      <c r="B1202" s="35"/>
      <c r="C1202" s="36"/>
      <c r="D1202" s="37"/>
      <c r="E1202" s="36"/>
      <c r="F1202" s="42"/>
      <c r="G1202" s="42"/>
      <c r="H1202" s="42"/>
      <c r="AG1202" s="19">
        <v>1201</v>
      </c>
      <c r="AH1202" s="20">
        <v>-2840.5666540993298</v>
      </c>
    </row>
    <row r="1203" spans="1:34" ht="14.5" x14ac:dyDescent="0.35">
      <c r="A1203" s="34"/>
      <c r="B1203" s="35"/>
      <c r="C1203" s="36"/>
      <c r="D1203" s="37"/>
      <c r="E1203" s="36"/>
      <c r="F1203" s="42"/>
      <c r="G1203" s="42"/>
      <c r="H1203" s="42"/>
      <c r="AG1203" s="19">
        <v>1202</v>
      </c>
      <c r="AH1203" s="20">
        <v>-1318.7078045153314</v>
      </c>
    </row>
    <row r="1204" spans="1:34" ht="14.5" x14ac:dyDescent="0.35">
      <c r="A1204" s="34"/>
      <c r="B1204" s="35"/>
      <c r="C1204" s="36"/>
      <c r="D1204" s="37"/>
      <c r="E1204" s="36"/>
      <c r="F1204" s="42"/>
      <c r="G1204" s="42"/>
      <c r="H1204" s="42"/>
      <c r="AG1204" s="19">
        <v>1203</v>
      </c>
      <c r="AH1204" s="20">
        <v>1864.3017203851489</v>
      </c>
    </row>
    <row r="1205" spans="1:34" ht="14.5" x14ac:dyDescent="0.35">
      <c r="A1205" s="34"/>
      <c r="B1205" s="35"/>
      <c r="C1205" s="36"/>
      <c r="D1205" s="37"/>
      <c r="E1205" s="36"/>
      <c r="F1205" s="42"/>
      <c r="G1205" s="42"/>
      <c r="H1205" s="42"/>
      <c r="AG1205" s="19">
        <v>1204</v>
      </c>
      <c r="AH1205" s="20">
        <v>175.47801760580873</v>
      </c>
    </row>
    <row r="1206" spans="1:34" ht="14.5" x14ac:dyDescent="0.35">
      <c r="A1206" s="34"/>
      <c r="B1206" s="35"/>
      <c r="C1206" s="36"/>
      <c r="D1206" s="37"/>
      <c r="E1206" s="36"/>
      <c r="F1206" s="42"/>
      <c r="G1206" s="42"/>
      <c r="H1206" s="42"/>
      <c r="AG1206" s="19">
        <v>1205</v>
      </c>
      <c r="AH1206" s="20">
        <v>-517.0676046502449</v>
      </c>
    </row>
    <row r="1207" spans="1:34" ht="14.5" x14ac:dyDescent="0.35">
      <c r="A1207" s="34"/>
      <c r="B1207" s="35"/>
      <c r="C1207" s="36"/>
      <c r="D1207" s="37"/>
      <c r="E1207" s="36"/>
      <c r="F1207" s="42"/>
      <c r="G1207" s="42"/>
      <c r="H1207" s="42"/>
      <c r="AG1207" s="19">
        <v>1206</v>
      </c>
      <c r="AH1207" s="20">
        <v>-2239.0202546156988</v>
      </c>
    </row>
    <row r="1208" spans="1:34" ht="14.5" x14ac:dyDescent="0.35">
      <c r="A1208" s="34"/>
      <c r="B1208" s="35"/>
      <c r="C1208" s="36"/>
      <c r="D1208" s="37"/>
      <c r="E1208" s="36"/>
      <c r="F1208" s="42"/>
      <c r="G1208" s="42"/>
      <c r="H1208" s="42"/>
      <c r="AG1208" s="19">
        <v>1207</v>
      </c>
      <c r="AH1208" s="20">
        <v>1435.6388095215846</v>
      </c>
    </row>
    <row r="1209" spans="1:34" ht="14.5" x14ac:dyDescent="0.35">
      <c r="A1209" s="34"/>
      <c r="B1209" s="35"/>
      <c r="C1209" s="36"/>
      <c r="D1209" s="37"/>
      <c r="E1209" s="36"/>
      <c r="F1209" s="42"/>
      <c r="G1209" s="42"/>
      <c r="H1209" s="42"/>
      <c r="AG1209" s="19">
        <v>1208</v>
      </c>
      <c r="AH1209" s="20">
        <v>-1953.4382181808789</v>
      </c>
    </row>
    <row r="1210" spans="1:34" ht="14.5" x14ac:dyDescent="0.35">
      <c r="A1210" s="34"/>
      <c r="B1210" s="35"/>
      <c r="C1210" s="36"/>
      <c r="D1210" s="37"/>
      <c r="E1210" s="36"/>
      <c r="F1210" s="42"/>
      <c r="G1210" s="42"/>
      <c r="H1210" s="42"/>
      <c r="AG1210" s="19">
        <v>1209</v>
      </c>
      <c r="AH1210" s="20">
        <v>1745.4749784231424</v>
      </c>
    </row>
    <row r="1211" spans="1:34" ht="14.5" x14ac:dyDescent="0.35">
      <c r="A1211" s="34"/>
      <c r="B1211" s="35"/>
      <c r="C1211" s="36"/>
      <c r="D1211" s="37"/>
      <c r="E1211" s="36"/>
      <c r="F1211" s="42"/>
      <c r="G1211" s="42"/>
      <c r="H1211" s="42"/>
      <c r="AG1211" s="19">
        <v>1210</v>
      </c>
      <c r="AH1211" s="20">
        <v>-728.41832617379782</v>
      </c>
    </row>
    <row r="1212" spans="1:34" ht="14.5" x14ac:dyDescent="0.35">
      <c r="A1212" s="34"/>
      <c r="B1212" s="35"/>
      <c r="C1212" s="36"/>
      <c r="D1212" s="37"/>
      <c r="E1212" s="36"/>
      <c r="F1212" s="42"/>
      <c r="G1212" s="42"/>
      <c r="H1212" s="42"/>
      <c r="AG1212" s="19">
        <v>1211</v>
      </c>
      <c r="AH1212" s="20">
        <v>-1414.1251247332984</v>
      </c>
    </row>
    <row r="1213" spans="1:34" ht="14.5" x14ac:dyDescent="0.35">
      <c r="A1213" s="34"/>
      <c r="B1213" s="35"/>
      <c r="C1213" s="36"/>
      <c r="D1213" s="37"/>
      <c r="E1213" s="36"/>
      <c r="F1213" s="42"/>
      <c r="G1213" s="42"/>
      <c r="H1213" s="42"/>
      <c r="AG1213" s="19">
        <v>1212</v>
      </c>
      <c r="AH1213" s="20">
        <v>-729.05228832686998</v>
      </c>
    </row>
    <row r="1214" spans="1:34" ht="14.5" x14ac:dyDescent="0.35">
      <c r="A1214" s="34"/>
      <c r="B1214" s="35"/>
      <c r="C1214" s="36"/>
      <c r="D1214" s="37"/>
      <c r="E1214" s="36"/>
      <c r="F1214" s="42"/>
      <c r="G1214" s="42"/>
      <c r="H1214" s="42"/>
      <c r="AG1214" s="19">
        <v>1213</v>
      </c>
      <c r="AH1214" s="20">
        <v>-2.6422463414670574</v>
      </c>
    </row>
    <row r="1215" spans="1:34" ht="14.5" x14ac:dyDescent="0.35">
      <c r="A1215" s="34"/>
      <c r="B1215" s="35"/>
      <c r="C1215" s="36"/>
      <c r="D1215" s="37"/>
      <c r="E1215" s="36"/>
      <c r="F1215" s="42"/>
      <c r="G1215" s="42"/>
      <c r="H1215" s="42"/>
      <c r="AG1215" s="19">
        <v>1214</v>
      </c>
      <c r="AH1215" s="20">
        <v>-3338.8321921081365</v>
      </c>
    </row>
    <row r="1216" spans="1:34" ht="14.5" x14ac:dyDescent="0.35">
      <c r="A1216" s="34"/>
      <c r="B1216" s="35"/>
      <c r="C1216" s="36"/>
      <c r="D1216" s="37"/>
      <c r="E1216" s="36"/>
      <c r="F1216" s="42"/>
      <c r="G1216" s="42"/>
      <c r="H1216" s="42"/>
      <c r="AG1216" s="19">
        <v>1215</v>
      </c>
      <c r="AH1216" s="20">
        <v>380.02268781786336</v>
      </c>
    </row>
    <row r="1217" spans="1:34" ht="14.5" x14ac:dyDescent="0.35">
      <c r="A1217" s="34"/>
      <c r="B1217" s="35"/>
      <c r="C1217" s="36"/>
      <c r="D1217" s="37"/>
      <c r="E1217" s="36"/>
      <c r="F1217" s="42"/>
      <c r="G1217" s="42"/>
      <c r="H1217" s="42"/>
      <c r="AG1217" s="19">
        <v>1216</v>
      </c>
      <c r="AH1217" s="20">
        <v>3025.5726489302565</v>
      </c>
    </row>
    <row r="1218" spans="1:34" ht="14.5" x14ac:dyDescent="0.35">
      <c r="A1218" s="34"/>
      <c r="B1218" s="35"/>
      <c r="C1218" s="36"/>
      <c r="D1218" s="37"/>
      <c r="E1218" s="36"/>
      <c r="F1218" s="42"/>
      <c r="G1218" s="42"/>
      <c r="H1218" s="42"/>
      <c r="AG1218" s="19">
        <v>1217</v>
      </c>
      <c r="AH1218" s="20">
        <v>2686.5214304681735</v>
      </c>
    </row>
    <row r="1219" spans="1:34" ht="14.5" x14ac:dyDescent="0.35">
      <c r="A1219" s="34"/>
      <c r="B1219" s="35"/>
      <c r="C1219" s="36"/>
      <c r="D1219" s="37"/>
      <c r="E1219" s="36"/>
      <c r="F1219" s="42"/>
      <c r="G1219" s="42"/>
      <c r="H1219" s="42"/>
      <c r="AG1219" s="19">
        <v>1218</v>
      </c>
      <c r="AH1219" s="20">
        <v>-1429.8219986433007</v>
      </c>
    </row>
    <row r="1220" spans="1:34" ht="14.5" x14ac:dyDescent="0.35">
      <c r="A1220" s="34"/>
      <c r="B1220" s="35"/>
      <c r="C1220" s="36"/>
      <c r="D1220" s="37"/>
      <c r="E1220" s="36"/>
      <c r="F1220" s="42"/>
      <c r="G1220" s="42"/>
      <c r="H1220" s="42"/>
      <c r="AG1220" s="19">
        <v>1219</v>
      </c>
      <c r="AH1220" s="20">
        <v>597.26868384730255</v>
      </c>
    </row>
    <row r="1221" spans="1:34" ht="14.5" x14ac:dyDescent="0.35">
      <c r="A1221" s="34"/>
      <c r="B1221" s="35"/>
      <c r="C1221" s="36"/>
      <c r="D1221" s="37"/>
      <c r="E1221" s="36"/>
      <c r="F1221" s="42"/>
      <c r="G1221" s="42"/>
      <c r="H1221" s="42"/>
      <c r="AG1221" s="19">
        <v>1220</v>
      </c>
      <c r="AH1221" s="20">
        <v>1426.8048225451612</v>
      </c>
    </row>
    <row r="1222" spans="1:34" ht="14.5" x14ac:dyDescent="0.35">
      <c r="A1222" s="34"/>
      <c r="B1222" s="35"/>
      <c r="C1222" s="36"/>
      <c r="D1222" s="37"/>
      <c r="E1222" s="36"/>
      <c r="F1222" s="42"/>
      <c r="G1222" s="42"/>
      <c r="H1222" s="42"/>
      <c r="AG1222" s="19">
        <v>1221</v>
      </c>
      <c r="AH1222" s="20">
        <v>-3624.8769355842242</v>
      </c>
    </row>
    <row r="1223" spans="1:34" ht="14.5" x14ac:dyDescent="0.35">
      <c r="A1223" s="34"/>
      <c r="B1223" s="35"/>
      <c r="C1223" s="36"/>
      <c r="D1223" s="37"/>
      <c r="E1223" s="36"/>
      <c r="F1223" s="42"/>
      <c r="G1223" s="42"/>
      <c r="H1223" s="42"/>
      <c r="AG1223" s="19">
        <v>1222</v>
      </c>
      <c r="AH1223" s="20">
        <v>-1554.2785421874019</v>
      </c>
    </row>
    <row r="1224" spans="1:34" ht="14.5" x14ac:dyDescent="0.35">
      <c r="A1224" s="34"/>
      <c r="B1224" s="35"/>
      <c r="C1224" s="36"/>
      <c r="D1224" s="37"/>
      <c r="E1224" s="36"/>
      <c r="F1224" s="42"/>
      <c r="G1224" s="42"/>
      <c r="H1224" s="42"/>
      <c r="AG1224" s="19">
        <v>1223</v>
      </c>
      <c r="AH1224" s="20">
        <v>-1756.7733257987154</v>
      </c>
    </row>
    <row r="1225" spans="1:34" ht="14.5" x14ac:dyDescent="0.35">
      <c r="A1225" s="34"/>
      <c r="B1225" s="35"/>
      <c r="C1225" s="36"/>
      <c r="D1225" s="37"/>
      <c r="E1225" s="36"/>
      <c r="F1225" s="42"/>
      <c r="G1225" s="42"/>
      <c r="H1225" s="42"/>
      <c r="AG1225" s="19">
        <v>1224</v>
      </c>
      <c r="AH1225" s="20">
        <v>648.0250320636203</v>
      </c>
    </row>
    <row r="1226" spans="1:34" ht="14.5" x14ac:dyDescent="0.35">
      <c r="A1226" s="34"/>
      <c r="B1226" s="35"/>
      <c r="C1226" s="36"/>
      <c r="D1226" s="37"/>
      <c r="E1226" s="36"/>
      <c r="F1226" s="42"/>
      <c r="G1226" s="42"/>
      <c r="H1226" s="42"/>
      <c r="AG1226" s="19">
        <v>1225</v>
      </c>
      <c r="AH1226" s="20">
        <v>-4368.474324120144</v>
      </c>
    </row>
    <row r="1227" spans="1:34" ht="14.5" x14ac:dyDescent="0.35">
      <c r="A1227" s="34"/>
      <c r="B1227" s="35"/>
      <c r="C1227" s="36"/>
      <c r="D1227" s="37"/>
      <c r="E1227" s="36"/>
      <c r="F1227" s="42"/>
      <c r="G1227" s="42"/>
      <c r="H1227" s="42"/>
      <c r="AG1227" s="19">
        <v>1226</v>
      </c>
      <c r="AH1227" s="20">
        <v>2080.2948685503857</v>
      </c>
    </row>
    <row r="1228" spans="1:34" ht="14.5" x14ac:dyDescent="0.35">
      <c r="A1228" s="34"/>
      <c r="B1228" s="35"/>
      <c r="C1228" s="36"/>
      <c r="D1228" s="37"/>
      <c r="E1228" s="36"/>
      <c r="F1228" s="42"/>
      <c r="G1228" s="42"/>
      <c r="H1228" s="42"/>
      <c r="AG1228" s="19">
        <v>1227</v>
      </c>
      <c r="AH1228" s="20">
        <v>382.34517169728434</v>
      </c>
    </row>
    <row r="1229" spans="1:34" ht="14.5" x14ac:dyDescent="0.35">
      <c r="A1229" s="34"/>
      <c r="B1229" s="35"/>
      <c r="C1229" s="36"/>
      <c r="D1229" s="37"/>
      <c r="E1229" s="36"/>
      <c r="F1229" s="42"/>
      <c r="G1229" s="42"/>
      <c r="H1229" s="42"/>
      <c r="AG1229" s="19">
        <v>1228</v>
      </c>
      <c r="AH1229" s="20">
        <v>4946.8489186043926</v>
      </c>
    </row>
    <row r="1230" spans="1:34" ht="14.5" x14ac:dyDescent="0.35">
      <c r="A1230" s="34"/>
      <c r="B1230" s="35"/>
      <c r="C1230" s="36"/>
      <c r="D1230" s="37"/>
      <c r="E1230" s="36"/>
      <c r="F1230" s="42"/>
      <c r="G1230" s="42"/>
      <c r="H1230" s="42"/>
      <c r="AG1230" s="19">
        <v>1229</v>
      </c>
      <c r="AH1230" s="20">
        <v>1914.428757377653</v>
      </c>
    </row>
    <row r="1231" spans="1:34" ht="14.5" x14ac:dyDescent="0.35">
      <c r="A1231" s="34"/>
      <c r="B1231" s="35"/>
      <c r="C1231" s="36"/>
      <c r="D1231" s="37"/>
      <c r="E1231" s="36"/>
      <c r="F1231" s="42"/>
      <c r="G1231" s="42"/>
      <c r="H1231" s="42"/>
      <c r="AG1231" s="19">
        <v>1230</v>
      </c>
      <c r="AH1231" s="20">
        <v>-1078.4048448879851</v>
      </c>
    </row>
    <row r="1232" spans="1:34" ht="14.5" x14ac:dyDescent="0.35">
      <c r="A1232" s="34"/>
      <c r="B1232" s="35"/>
      <c r="C1232" s="36"/>
      <c r="D1232" s="37"/>
      <c r="E1232" s="36"/>
      <c r="F1232" s="42"/>
      <c r="G1232" s="42"/>
      <c r="H1232" s="42"/>
      <c r="AG1232" s="19">
        <v>1231</v>
      </c>
      <c r="AH1232" s="20">
        <v>-2417.8809944693098</v>
      </c>
    </row>
    <row r="1233" spans="1:34" ht="14.5" x14ac:dyDescent="0.35">
      <c r="A1233" s="34"/>
      <c r="B1233" s="35"/>
      <c r="C1233" s="36"/>
      <c r="D1233" s="37"/>
      <c r="E1233" s="36"/>
      <c r="F1233" s="42"/>
      <c r="G1233" s="42"/>
      <c r="H1233" s="42"/>
      <c r="AG1233" s="19">
        <v>1232</v>
      </c>
      <c r="AH1233" s="20">
        <v>1421.6585985421268</v>
      </c>
    </row>
    <row r="1234" spans="1:34" ht="14.5" x14ac:dyDescent="0.35">
      <c r="A1234" s="34"/>
      <c r="B1234" s="35"/>
      <c r="C1234" s="36"/>
      <c r="D1234" s="37"/>
      <c r="E1234" s="36"/>
      <c r="F1234" s="42"/>
      <c r="G1234" s="42"/>
      <c r="H1234" s="42"/>
      <c r="AG1234" s="19">
        <v>1233</v>
      </c>
      <c r="AH1234" s="20">
        <v>-478.41531797277781</v>
      </c>
    </row>
    <row r="1235" spans="1:34" ht="14.5" x14ac:dyDescent="0.35">
      <c r="A1235" s="34"/>
      <c r="B1235" s="35"/>
      <c r="C1235" s="36"/>
      <c r="D1235" s="37"/>
      <c r="E1235" s="36"/>
      <c r="F1235" s="42"/>
      <c r="G1235" s="42"/>
      <c r="H1235" s="42"/>
      <c r="AG1235" s="19">
        <v>1234</v>
      </c>
      <c r="AH1235" s="20">
        <v>791.47885118822933</v>
      </c>
    </row>
    <row r="1236" spans="1:34" ht="14.5" x14ac:dyDescent="0.35">
      <c r="A1236" s="34"/>
      <c r="B1236" s="35"/>
      <c r="C1236" s="36"/>
      <c r="D1236" s="37"/>
      <c r="E1236" s="36"/>
      <c r="F1236" s="42"/>
      <c r="G1236" s="42"/>
      <c r="H1236" s="42"/>
      <c r="AG1236" s="19">
        <v>1235</v>
      </c>
      <c r="AH1236" s="20">
        <v>2754.9251642267882</v>
      </c>
    </row>
    <row r="1237" spans="1:34" ht="14.5" x14ac:dyDescent="0.35">
      <c r="A1237" s="34"/>
      <c r="B1237" s="35"/>
      <c r="C1237" s="36"/>
      <c r="D1237" s="37"/>
      <c r="E1237" s="36"/>
      <c r="F1237" s="42"/>
      <c r="G1237" s="42"/>
      <c r="H1237" s="42"/>
      <c r="AG1237" s="19">
        <v>1236</v>
      </c>
      <c r="AH1237" s="20">
        <v>943.04672691430869</v>
      </c>
    </row>
    <row r="1238" spans="1:34" ht="14.5" x14ac:dyDescent="0.35">
      <c r="A1238" s="34"/>
      <c r="B1238" s="35"/>
      <c r="C1238" s="36"/>
      <c r="D1238" s="37"/>
      <c r="E1238" s="36"/>
      <c r="F1238" s="42"/>
      <c r="G1238" s="42"/>
      <c r="H1238" s="42"/>
      <c r="AG1238" s="19">
        <v>1237</v>
      </c>
      <c r="AH1238" s="20">
        <v>1324.1132686221165</v>
      </c>
    </row>
    <row r="1239" spans="1:34" ht="14.5" x14ac:dyDescent="0.35">
      <c r="A1239" s="34"/>
      <c r="B1239" s="35"/>
      <c r="C1239" s="36"/>
      <c r="D1239" s="37"/>
      <c r="E1239" s="36"/>
      <c r="F1239" s="42"/>
      <c r="G1239" s="42"/>
      <c r="H1239" s="42"/>
      <c r="AG1239" s="19">
        <v>1238</v>
      </c>
      <c r="AH1239" s="20">
        <v>1069.427205510375</v>
      </c>
    </row>
    <row r="1240" spans="1:34" ht="14.5" x14ac:dyDescent="0.35">
      <c r="A1240" s="34"/>
      <c r="B1240" s="35"/>
      <c r="C1240" s="36"/>
      <c r="D1240" s="37"/>
      <c r="E1240" s="36"/>
      <c r="F1240" s="42"/>
      <c r="G1240" s="42"/>
      <c r="H1240" s="42"/>
      <c r="AG1240" s="19">
        <v>1239</v>
      </c>
      <c r="AH1240" s="20">
        <v>-933.06262247690756</v>
      </c>
    </row>
    <row r="1241" spans="1:34" ht="14.5" x14ac:dyDescent="0.35">
      <c r="A1241" s="34"/>
      <c r="B1241" s="35"/>
      <c r="C1241" s="36"/>
      <c r="D1241" s="37"/>
      <c r="E1241" s="36"/>
      <c r="F1241" s="42"/>
      <c r="G1241" s="42"/>
      <c r="H1241" s="42"/>
      <c r="AG1241" s="19">
        <v>1240</v>
      </c>
      <c r="AH1241" s="20">
        <v>192.87498991119691</v>
      </c>
    </row>
    <row r="1242" spans="1:34" ht="14.5" x14ac:dyDescent="0.35">
      <c r="A1242" s="34"/>
      <c r="B1242" s="35"/>
      <c r="C1242" s="36"/>
      <c r="D1242" s="37"/>
      <c r="E1242" s="36"/>
      <c r="F1242" s="42"/>
      <c r="G1242" s="42"/>
      <c r="H1242" s="42"/>
      <c r="AG1242" s="19">
        <v>1241</v>
      </c>
      <c r="AH1242" s="20">
        <v>-236.58706234410107</v>
      </c>
    </row>
    <row r="1243" spans="1:34" ht="14.5" x14ac:dyDescent="0.35">
      <c r="A1243" s="34"/>
      <c r="B1243" s="35"/>
      <c r="C1243" s="36"/>
      <c r="D1243" s="37"/>
      <c r="E1243" s="36"/>
      <c r="F1243" s="42"/>
      <c r="G1243" s="42"/>
      <c r="H1243" s="42"/>
      <c r="AG1243" s="19">
        <v>1242</v>
      </c>
      <c r="AH1243" s="20">
        <v>833.47147271492167</v>
      </c>
    </row>
    <row r="1244" spans="1:34" ht="14.5" x14ac:dyDescent="0.35">
      <c r="A1244" s="34"/>
      <c r="B1244" s="35"/>
      <c r="C1244" s="36"/>
      <c r="D1244" s="37"/>
      <c r="E1244" s="36"/>
      <c r="F1244" s="42"/>
      <c r="G1244" s="42"/>
      <c r="H1244" s="42"/>
      <c r="AG1244" s="19">
        <v>1243</v>
      </c>
      <c r="AH1244" s="20">
        <v>-343.31414513165925</v>
      </c>
    </row>
    <row r="1245" spans="1:34" ht="14.5" x14ac:dyDescent="0.35">
      <c r="A1245" s="34"/>
      <c r="B1245" s="35"/>
      <c r="C1245" s="36"/>
      <c r="D1245" s="37"/>
      <c r="E1245" s="36"/>
      <c r="F1245" s="42"/>
      <c r="G1245" s="42"/>
      <c r="H1245" s="42"/>
      <c r="AG1245" s="19">
        <v>1244</v>
      </c>
      <c r="AH1245" s="20">
        <v>948.70153136582644</v>
      </c>
    </row>
    <row r="1246" spans="1:34" ht="14.5" x14ac:dyDescent="0.35">
      <c r="A1246" s="34"/>
      <c r="B1246" s="35"/>
      <c r="C1246" s="36"/>
      <c r="D1246" s="37"/>
      <c r="E1246" s="36"/>
      <c r="F1246" s="42"/>
      <c r="G1246" s="42"/>
      <c r="H1246" s="42"/>
      <c r="AG1246" s="19">
        <v>1245</v>
      </c>
      <c r="AH1246" s="20">
        <v>1329.1145291716055</v>
      </c>
    </row>
    <row r="1247" spans="1:34" ht="14.5" x14ac:dyDescent="0.35">
      <c r="A1247" s="34"/>
      <c r="B1247" s="35"/>
      <c r="C1247" s="36"/>
      <c r="D1247" s="37"/>
      <c r="E1247" s="36"/>
      <c r="F1247" s="42"/>
      <c r="G1247" s="42"/>
      <c r="H1247" s="42"/>
      <c r="AG1247" s="19">
        <v>1246</v>
      </c>
      <c r="AH1247" s="20">
        <v>1335.4974411673766</v>
      </c>
    </row>
    <row r="1248" spans="1:34" ht="14.5" x14ac:dyDescent="0.35">
      <c r="A1248" s="34"/>
      <c r="B1248" s="35"/>
      <c r="C1248" s="36"/>
      <c r="D1248" s="37"/>
      <c r="E1248" s="36"/>
      <c r="F1248" s="42"/>
      <c r="G1248" s="42"/>
      <c r="H1248" s="42"/>
      <c r="AG1248" s="19">
        <v>1247</v>
      </c>
      <c r="AH1248" s="20">
        <v>-922.46497277521371</v>
      </c>
    </row>
    <row r="1249" spans="1:34" ht="14.5" x14ac:dyDescent="0.35">
      <c r="A1249" s="34"/>
      <c r="B1249" s="35"/>
      <c r="C1249" s="36"/>
      <c r="D1249" s="37"/>
      <c r="E1249" s="36"/>
      <c r="F1249" s="42"/>
      <c r="G1249" s="42"/>
      <c r="H1249" s="42"/>
      <c r="AG1249" s="19">
        <v>1248</v>
      </c>
      <c r="AH1249" s="20">
        <v>306.60312357452915</v>
      </c>
    </row>
    <row r="1250" spans="1:34" ht="14.5" x14ac:dyDescent="0.35">
      <c r="A1250" s="34"/>
      <c r="B1250" s="35"/>
      <c r="C1250" s="36"/>
      <c r="D1250" s="37"/>
      <c r="E1250" s="36"/>
      <c r="F1250" s="42"/>
      <c r="G1250" s="42"/>
      <c r="H1250" s="42"/>
      <c r="AG1250" s="19">
        <v>1249</v>
      </c>
      <c r="AH1250" s="20">
        <v>-1014.1623758218936</v>
      </c>
    </row>
    <row r="1251" spans="1:34" ht="14.5" x14ac:dyDescent="0.35">
      <c r="A1251" s="34"/>
      <c r="B1251" s="35"/>
      <c r="C1251" s="36"/>
      <c r="D1251" s="37"/>
      <c r="E1251" s="36"/>
      <c r="F1251" s="42"/>
      <c r="G1251" s="42"/>
      <c r="H1251" s="42"/>
      <c r="AG1251" s="19">
        <v>1250</v>
      </c>
      <c r="AH1251" s="20">
        <v>253.38502139720956</v>
      </c>
    </row>
    <row r="1252" spans="1:34" ht="14.5" x14ac:dyDescent="0.35">
      <c r="A1252" s="34"/>
      <c r="B1252" s="35"/>
      <c r="C1252" s="36"/>
      <c r="D1252" s="37"/>
      <c r="E1252" s="36"/>
      <c r="F1252" s="42"/>
      <c r="G1252" s="42"/>
      <c r="H1252" s="42"/>
      <c r="AG1252" s="19">
        <v>1251</v>
      </c>
      <c r="AH1252" s="20">
        <v>3487.6319977898647</v>
      </c>
    </row>
    <row r="1253" spans="1:34" ht="14.5" x14ac:dyDescent="0.35">
      <c r="A1253" s="34"/>
      <c r="B1253" s="35"/>
      <c r="C1253" s="36"/>
      <c r="D1253" s="37"/>
      <c r="E1253" s="36"/>
      <c r="F1253" s="42"/>
      <c r="G1253" s="42"/>
      <c r="H1253" s="42"/>
      <c r="AG1253" s="19">
        <v>1252</v>
      </c>
      <c r="AH1253" s="20">
        <v>-570.03484779040173</v>
      </c>
    </row>
    <row r="1254" spans="1:34" ht="14.5" x14ac:dyDescent="0.35">
      <c r="A1254" s="34"/>
      <c r="B1254" s="35"/>
      <c r="C1254" s="36"/>
      <c r="D1254" s="37"/>
      <c r="E1254" s="36"/>
      <c r="F1254" s="42"/>
      <c r="G1254" s="42"/>
      <c r="H1254" s="42"/>
      <c r="AG1254" s="19">
        <v>1253</v>
      </c>
      <c r="AH1254" s="20">
        <v>-583.1924705335723</v>
      </c>
    </row>
    <row r="1255" spans="1:34" ht="14.5" x14ac:dyDescent="0.35">
      <c r="A1255" s="34"/>
      <c r="B1255" s="35"/>
      <c r="C1255" s="36"/>
      <c r="D1255" s="37"/>
      <c r="E1255" s="36"/>
      <c r="F1255" s="42"/>
      <c r="G1255" s="42"/>
      <c r="H1255" s="42"/>
      <c r="AG1255" s="19">
        <v>1254</v>
      </c>
      <c r="AH1255" s="20">
        <v>-476.47465479244994</v>
      </c>
    </row>
    <row r="1256" spans="1:34" ht="14.5" x14ac:dyDescent="0.35">
      <c r="A1256" s="34"/>
      <c r="B1256" s="35"/>
      <c r="C1256" s="36"/>
      <c r="D1256" s="37"/>
      <c r="E1256" s="36"/>
      <c r="F1256" s="42"/>
      <c r="G1256" s="42"/>
      <c r="H1256" s="42"/>
      <c r="AG1256" s="19">
        <v>1255</v>
      </c>
      <c r="AH1256" s="20">
        <v>-2797.3190600952316</v>
      </c>
    </row>
    <row r="1257" spans="1:34" ht="14.5" x14ac:dyDescent="0.35">
      <c r="A1257" s="34"/>
      <c r="B1257" s="35"/>
      <c r="C1257" s="36"/>
      <c r="D1257" s="37"/>
      <c r="E1257" s="36"/>
      <c r="F1257" s="42"/>
      <c r="G1257" s="42"/>
      <c r="H1257" s="42"/>
      <c r="AG1257" s="19">
        <v>1256</v>
      </c>
      <c r="AH1257" s="20">
        <v>-1989.9066089680243</v>
      </c>
    </row>
    <row r="1258" spans="1:34" ht="14.5" x14ac:dyDescent="0.35">
      <c r="A1258" s="34"/>
      <c r="B1258" s="35"/>
      <c r="C1258" s="36"/>
      <c r="D1258" s="37"/>
      <c r="E1258" s="36"/>
      <c r="F1258" s="42"/>
      <c r="G1258" s="42"/>
      <c r="H1258" s="42"/>
      <c r="AG1258" s="19">
        <v>1257</v>
      </c>
      <c r="AH1258" s="20">
        <v>1104.6864522970784</v>
      </c>
    </row>
    <row r="1259" spans="1:34" ht="14.5" x14ac:dyDescent="0.35">
      <c r="A1259" s="34"/>
      <c r="B1259" s="35"/>
      <c r="C1259" s="36"/>
      <c r="D1259" s="37"/>
      <c r="E1259" s="36"/>
      <c r="F1259" s="42"/>
      <c r="G1259" s="42"/>
      <c r="H1259" s="42"/>
      <c r="AG1259" s="19">
        <v>1258</v>
      </c>
      <c r="AH1259" s="20">
        <v>941.81788452025785</v>
      </c>
    </row>
    <row r="1260" spans="1:34" ht="14.5" x14ac:dyDescent="0.35">
      <c r="A1260" s="34"/>
      <c r="B1260" s="35"/>
      <c r="C1260" s="36"/>
      <c r="D1260" s="37"/>
      <c r="E1260" s="36"/>
      <c r="F1260" s="42"/>
      <c r="G1260" s="42"/>
      <c r="H1260" s="42"/>
      <c r="AG1260" s="19">
        <v>1259</v>
      </c>
      <c r="AH1260" s="20">
        <v>-3012.4416408469606</v>
      </c>
    </row>
    <row r="1261" spans="1:34" ht="14.5" x14ac:dyDescent="0.35">
      <c r="A1261" s="34"/>
      <c r="B1261" s="35"/>
      <c r="C1261" s="36"/>
      <c r="D1261" s="37"/>
      <c r="E1261" s="36"/>
      <c r="F1261" s="42"/>
      <c r="G1261" s="42"/>
      <c r="H1261" s="42"/>
      <c r="AG1261" s="19">
        <v>1260</v>
      </c>
      <c r="AH1261" s="20">
        <v>42.833421761280306</v>
      </c>
    </row>
    <row r="1262" spans="1:34" ht="14.5" x14ac:dyDescent="0.35">
      <c r="A1262" s="34"/>
      <c r="B1262" s="35"/>
      <c r="C1262" s="36"/>
      <c r="D1262" s="37"/>
      <c r="E1262" s="36"/>
      <c r="F1262" s="42"/>
      <c r="G1262" s="42"/>
      <c r="H1262" s="42"/>
      <c r="AG1262" s="19">
        <v>1261</v>
      </c>
      <c r="AH1262" s="20">
        <v>-902.10168329150633</v>
      </c>
    </row>
    <row r="1263" spans="1:34" ht="14.5" x14ac:dyDescent="0.35">
      <c r="A1263" s="34"/>
      <c r="B1263" s="35"/>
      <c r="C1263" s="36"/>
      <c r="D1263" s="37"/>
      <c r="E1263" s="36"/>
      <c r="F1263" s="42"/>
      <c r="G1263" s="42"/>
      <c r="H1263" s="42"/>
      <c r="AG1263" s="19">
        <v>1262</v>
      </c>
      <c r="AH1263" s="20">
        <v>-416.40956472406305</v>
      </c>
    </row>
    <row r="1264" spans="1:34" ht="14.5" x14ac:dyDescent="0.35">
      <c r="A1264" s="34"/>
      <c r="B1264" s="35"/>
      <c r="C1264" s="36"/>
      <c r="D1264" s="37"/>
      <c r="E1264" s="36"/>
      <c r="F1264" s="42"/>
      <c r="G1264" s="42"/>
      <c r="H1264" s="42"/>
      <c r="AG1264" s="19">
        <v>1263</v>
      </c>
      <c r="AH1264" s="20">
        <v>-2022.6229509876564</v>
      </c>
    </row>
    <row r="1265" spans="1:34" ht="14.5" x14ac:dyDescent="0.35">
      <c r="A1265" s="34"/>
      <c r="B1265" s="35"/>
      <c r="C1265" s="36"/>
      <c r="D1265" s="37"/>
      <c r="E1265" s="36"/>
      <c r="F1265" s="42"/>
      <c r="G1265" s="42"/>
      <c r="H1265" s="42"/>
      <c r="AG1265" s="19">
        <v>1264</v>
      </c>
      <c r="AH1265" s="20">
        <v>-1153.0497211175111</v>
      </c>
    </row>
    <row r="1266" spans="1:34" ht="14.5" x14ac:dyDescent="0.35">
      <c r="A1266" s="34"/>
      <c r="B1266" s="35"/>
      <c r="C1266" s="36"/>
      <c r="D1266" s="37"/>
      <c r="E1266" s="36"/>
      <c r="F1266" s="42"/>
      <c r="G1266" s="42"/>
      <c r="H1266" s="42"/>
      <c r="AG1266" s="19">
        <v>1265</v>
      </c>
      <c r="AH1266" s="20">
        <v>143.61481823153048</v>
      </c>
    </row>
    <row r="1267" spans="1:34" ht="14.5" x14ac:dyDescent="0.35">
      <c r="A1267" s="34"/>
      <c r="B1267" s="35"/>
      <c r="C1267" s="36"/>
      <c r="D1267" s="37"/>
      <c r="E1267" s="36"/>
      <c r="F1267" s="42"/>
      <c r="G1267" s="42"/>
      <c r="H1267" s="42"/>
      <c r="AG1267" s="19">
        <v>1266</v>
      </c>
      <c r="AH1267" s="20">
        <v>4523.9480730255018</v>
      </c>
    </row>
    <row r="1268" spans="1:34" ht="14.5" x14ac:dyDescent="0.35">
      <c r="A1268" s="34"/>
      <c r="B1268" s="35"/>
      <c r="C1268" s="36"/>
      <c r="D1268" s="37"/>
      <c r="E1268" s="36"/>
      <c r="F1268" s="42"/>
      <c r="G1268" s="42"/>
      <c r="H1268" s="42"/>
      <c r="AG1268" s="19">
        <v>1267</v>
      </c>
      <c r="AH1268" s="20">
        <v>1825.3923230713497</v>
      </c>
    </row>
    <row r="1269" spans="1:34" ht="14.5" x14ac:dyDescent="0.35">
      <c r="A1269" s="34"/>
      <c r="B1269" s="35"/>
      <c r="C1269" s="36"/>
      <c r="D1269" s="37"/>
      <c r="E1269" s="36"/>
      <c r="F1269" s="42"/>
      <c r="G1269" s="42"/>
      <c r="H1269" s="42"/>
      <c r="AG1269" s="19">
        <v>1268</v>
      </c>
      <c r="AH1269" s="20">
        <v>-257.10148802624127</v>
      </c>
    </row>
    <row r="1270" spans="1:34" ht="14.5" x14ac:dyDescent="0.35">
      <c r="A1270" s="34"/>
      <c r="B1270" s="35"/>
      <c r="C1270" s="36"/>
      <c r="D1270" s="37"/>
      <c r="E1270" s="36"/>
      <c r="F1270" s="42"/>
      <c r="G1270" s="42"/>
      <c r="H1270" s="42"/>
      <c r="AG1270" s="19">
        <v>1269</v>
      </c>
      <c r="AH1270" s="20">
        <v>97.179341471106341</v>
      </c>
    </row>
    <row r="1271" spans="1:34" ht="14.5" x14ac:dyDescent="0.35">
      <c r="A1271" s="34"/>
      <c r="B1271" s="35"/>
      <c r="C1271" s="36"/>
      <c r="D1271" s="37"/>
      <c r="E1271" s="36"/>
      <c r="F1271" s="42"/>
      <c r="G1271" s="42"/>
      <c r="H1271" s="42"/>
      <c r="AG1271" s="19">
        <v>1270</v>
      </c>
      <c r="AH1271" s="20">
        <v>-1981.8307793166211</v>
      </c>
    </row>
    <row r="1272" spans="1:34" ht="14.5" x14ac:dyDescent="0.35">
      <c r="A1272" s="34"/>
      <c r="B1272" s="35"/>
      <c r="C1272" s="36"/>
      <c r="D1272" s="37"/>
      <c r="E1272" s="36"/>
      <c r="F1272" s="42"/>
      <c r="G1272" s="42"/>
      <c r="H1272" s="42"/>
      <c r="AG1272" s="19">
        <v>1271</v>
      </c>
      <c r="AH1272" s="20">
        <v>1399.8830175676344</v>
      </c>
    </row>
    <row r="1273" spans="1:34" ht="14.5" x14ac:dyDescent="0.35">
      <c r="A1273" s="34"/>
      <c r="B1273" s="35"/>
      <c r="C1273" s="36"/>
      <c r="D1273" s="37"/>
      <c r="E1273" s="36"/>
      <c r="F1273" s="42"/>
      <c r="G1273" s="42"/>
      <c r="H1273" s="42"/>
      <c r="AG1273" s="19">
        <v>1272</v>
      </c>
      <c r="AH1273" s="20">
        <v>1248.6540594382382</v>
      </c>
    </row>
    <row r="1274" spans="1:34" ht="14.5" x14ac:dyDescent="0.35">
      <c r="A1274" s="34"/>
      <c r="B1274" s="35"/>
      <c r="C1274" s="36"/>
      <c r="D1274" s="37"/>
      <c r="E1274" s="36"/>
      <c r="F1274" s="42"/>
      <c r="G1274" s="42"/>
      <c r="H1274" s="42"/>
      <c r="AG1274" s="19">
        <v>1273</v>
      </c>
      <c r="AH1274" s="20">
        <v>2226.6691896469015</v>
      </c>
    </row>
    <row r="1275" spans="1:34" ht="14.5" x14ac:dyDescent="0.35">
      <c r="A1275" s="34"/>
      <c r="B1275" s="35"/>
      <c r="C1275" s="36"/>
      <c r="D1275" s="37"/>
      <c r="E1275" s="36"/>
      <c r="F1275" s="42"/>
      <c r="G1275" s="42"/>
      <c r="H1275" s="42"/>
      <c r="AG1275" s="19">
        <v>1274</v>
      </c>
      <c r="AH1275" s="20">
        <v>-1639.3190327590694</v>
      </c>
    </row>
    <row r="1276" spans="1:34" ht="14.5" x14ac:dyDescent="0.35">
      <c r="A1276" s="34"/>
      <c r="B1276" s="35"/>
      <c r="C1276" s="36"/>
      <c r="D1276" s="37"/>
      <c r="E1276" s="36"/>
      <c r="F1276" s="42"/>
      <c r="G1276" s="42"/>
      <c r="H1276" s="42"/>
      <c r="AG1276" s="19">
        <v>1275</v>
      </c>
      <c r="AH1276" s="20">
        <v>-708.18773537814627</v>
      </c>
    </row>
    <row r="1277" spans="1:34" ht="14.5" x14ac:dyDescent="0.35">
      <c r="A1277" s="34"/>
      <c r="B1277" s="35"/>
      <c r="C1277" s="36"/>
      <c r="D1277" s="37"/>
      <c r="E1277" s="36"/>
      <c r="F1277" s="42"/>
      <c r="G1277" s="42"/>
      <c r="H1277" s="42"/>
      <c r="AG1277" s="19">
        <v>1276</v>
      </c>
      <c r="AH1277" s="20">
        <v>-753.63508997255576</v>
      </c>
    </row>
    <row r="1278" spans="1:34" ht="14.5" x14ac:dyDescent="0.35">
      <c r="A1278" s="34"/>
      <c r="B1278" s="35"/>
      <c r="C1278" s="36"/>
      <c r="D1278" s="37"/>
      <c r="E1278" s="36"/>
      <c r="F1278" s="42"/>
      <c r="G1278" s="42"/>
      <c r="H1278" s="42"/>
      <c r="AG1278" s="19">
        <v>1277</v>
      </c>
      <c r="AH1278" s="20">
        <v>-3135.5558135740762</v>
      </c>
    </row>
    <row r="1279" spans="1:34" ht="14.5" x14ac:dyDescent="0.35">
      <c r="A1279" s="34"/>
      <c r="B1279" s="35"/>
      <c r="C1279" s="36"/>
      <c r="D1279" s="37"/>
      <c r="E1279" s="36"/>
      <c r="F1279" s="42"/>
      <c r="G1279" s="42"/>
      <c r="H1279" s="42"/>
      <c r="AG1279" s="19">
        <v>1278</v>
      </c>
      <c r="AH1279" s="20">
        <v>-1147.255311202533</v>
      </c>
    </row>
    <row r="1280" spans="1:34" ht="14.5" x14ac:dyDescent="0.35">
      <c r="A1280" s="34"/>
      <c r="B1280" s="35"/>
      <c r="C1280" s="36"/>
      <c r="D1280" s="37"/>
      <c r="E1280" s="36"/>
      <c r="F1280" s="42"/>
      <c r="G1280" s="42"/>
      <c r="H1280" s="42"/>
      <c r="AG1280" s="19">
        <v>1279</v>
      </c>
      <c r="AH1280" s="20">
        <v>397.95237167287104</v>
      </c>
    </row>
    <row r="1281" spans="1:34" ht="14.5" x14ac:dyDescent="0.35">
      <c r="A1281" s="34"/>
      <c r="B1281" s="35"/>
      <c r="C1281" s="36"/>
      <c r="D1281" s="37"/>
      <c r="E1281" s="36"/>
      <c r="F1281" s="42"/>
      <c r="G1281" s="42"/>
      <c r="H1281" s="42"/>
      <c r="AG1281" s="19">
        <v>1280</v>
      </c>
      <c r="AH1281" s="20">
        <v>371.91840473284185</v>
      </c>
    </row>
    <row r="1282" spans="1:34" ht="14.5" x14ac:dyDescent="0.35">
      <c r="A1282" s="34"/>
      <c r="B1282" s="35"/>
      <c r="C1282" s="36"/>
      <c r="D1282" s="37"/>
      <c r="E1282" s="36"/>
      <c r="F1282" s="42"/>
      <c r="G1282" s="42"/>
      <c r="H1282" s="42"/>
      <c r="AG1282" s="19">
        <v>1281</v>
      </c>
      <c r="AH1282" s="20">
        <v>3587.8291327167294</v>
      </c>
    </row>
    <row r="1283" spans="1:34" ht="14.5" x14ac:dyDescent="0.35">
      <c r="A1283" s="34"/>
      <c r="B1283" s="35"/>
      <c r="C1283" s="36"/>
      <c r="D1283" s="37"/>
      <c r="E1283" s="36"/>
      <c r="F1283" s="42"/>
      <c r="G1283" s="42"/>
      <c r="H1283" s="42"/>
      <c r="AG1283" s="19">
        <v>1282</v>
      </c>
      <c r="AH1283" s="20">
        <v>-500.91559935358197</v>
      </c>
    </row>
    <row r="1284" spans="1:34" ht="14.5" x14ac:dyDescent="0.35">
      <c r="A1284" s="34"/>
      <c r="B1284" s="35"/>
      <c r="C1284" s="36"/>
      <c r="D1284" s="37"/>
      <c r="E1284" s="36"/>
      <c r="F1284" s="42"/>
      <c r="G1284" s="42"/>
      <c r="H1284" s="42"/>
      <c r="AG1284" s="19">
        <v>1283</v>
      </c>
      <c r="AH1284" s="20">
        <v>-1916.38884307894</v>
      </c>
    </row>
    <row r="1285" spans="1:34" ht="14.5" x14ac:dyDescent="0.35">
      <c r="A1285" s="34"/>
      <c r="B1285" s="35"/>
      <c r="C1285" s="36"/>
      <c r="D1285" s="37"/>
      <c r="E1285" s="36"/>
      <c r="F1285" s="42"/>
      <c r="G1285" s="42"/>
      <c r="H1285" s="42"/>
      <c r="AG1285" s="19">
        <v>1284</v>
      </c>
      <c r="AH1285" s="20">
        <v>-59.777882043923455</v>
      </c>
    </row>
    <row r="1286" spans="1:34" ht="14.5" x14ac:dyDescent="0.35">
      <c r="A1286" s="34"/>
      <c r="B1286" s="35"/>
      <c r="C1286" s="36"/>
      <c r="D1286" s="37"/>
      <c r="E1286" s="36"/>
      <c r="F1286" s="42"/>
      <c r="G1286" s="42"/>
      <c r="H1286" s="42"/>
      <c r="AG1286" s="19">
        <v>1285</v>
      </c>
      <c r="AH1286" s="20">
        <v>4892.480120981184</v>
      </c>
    </row>
    <row r="1287" spans="1:34" ht="14.5" x14ac:dyDescent="0.35">
      <c r="A1287" s="34"/>
      <c r="B1287" s="35"/>
      <c r="C1287" s="36"/>
      <c r="D1287" s="37"/>
      <c r="E1287" s="36"/>
      <c r="F1287" s="42"/>
      <c r="G1287" s="42"/>
      <c r="H1287" s="42"/>
      <c r="AG1287" s="19">
        <v>1286</v>
      </c>
      <c r="AH1287" s="20">
        <v>4181.902945107975</v>
      </c>
    </row>
    <row r="1288" spans="1:34" ht="14.5" x14ac:dyDescent="0.35">
      <c r="A1288" s="34"/>
      <c r="B1288" s="35"/>
      <c r="C1288" s="36"/>
      <c r="D1288" s="37"/>
      <c r="E1288" s="36"/>
      <c r="F1288" s="42"/>
      <c r="G1288" s="42"/>
      <c r="H1288" s="42"/>
      <c r="AG1288" s="19">
        <v>1287</v>
      </c>
      <c r="AH1288" s="20">
        <v>843.23113818566083</v>
      </c>
    </row>
    <row r="1289" spans="1:34" ht="14.5" x14ac:dyDescent="0.35">
      <c r="A1289" s="34"/>
      <c r="B1289" s="35"/>
      <c r="C1289" s="36"/>
      <c r="D1289" s="37"/>
      <c r="E1289" s="36"/>
      <c r="F1289" s="42"/>
      <c r="G1289" s="42"/>
      <c r="H1289" s="42"/>
      <c r="AG1289" s="19">
        <v>1288</v>
      </c>
      <c r="AH1289" s="20">
        <v>1542.0671384875611</v>
      </c>
    </row>
    <row r="1290" spans="1:34" ht="14.5" x14ac:dyDescent="0.35">
      <c r="A1290" s="34"/>
      <c r="B1290" s="35"/>
      <c r="C1290" s="36"/>
      <c r="D1290" s="37"/>
      <c r="E1290" s="36"/>
      <c r="F1290" s="42"/>
      <c r="G1290" s="42"/>
      <c r="H1290" s="42"/>
      <c r="AG1290" s="19">
        <v>1289</v>
      </c>
      <c r="AH1290" s="20">
        <v>-860.08377029462849</v>
      </c>
    </row>
    <row r="1291" spans="1:34" ht="14.5" x14ac:dyDescent="0.35">
      <c r="A1291" s="34"/>
      <c r="B1291" s="35"/>
      <c r="C1291" s="36"/>
      <c r="D1291" s="37"/>
      <c r="E1291" s="36"/>
      <c r="F1291" s="42"/>
      <c r="G1291" s="42"/>
      <c r="H1291" s="42"/>
      <c r="AG1291" s="19">
        <v>1290</v>
      </c>
      <c r="AH1291" s="20">
        <v>-715.45989685838981</v>
      </c>
    </row>
    <row r="1292" spans="1:34" ht="14.5" x14ac:dyDescent="0.35">
      <c r="A1292" s="34"/>
      <c r="B1292" s="35"/>
      <c r="C1292" s="36"/>
      <c r="D1292" s="37"/>
      <c r="E1292" s="36"/>
      <c r="F1292" s="42"/>
      <c r="G1292" s="42"/>
      <c r="H1292" s="42"/>
      <c r="AG1292" s="19">
        <v>1291</v>
      </c>
      <c r="AH1292" s="20">
        <v>1759.7892182974156</v>
      </c>
    </row>
    <row r="1293" spans="1:34" ht="14.5" x14ac:dyDescent="0.35">
      <c r="A1293" s="34"/>
      <c r="B1293" s="35"/>
      <c r="C1293" s="36"/>
      <c r="D1293" s="37"/>
      <c r="E1293" s="36"/>
      <c r="F1293" s="42"/>
      <c r="G1293" s="42"/>
      <c r="H1293" s="42"/>
      <c r="AG1293" s="19">
        <v>1292</v>
      </c>
      <c r="AH1293" s="20">
        <v>-616.78252682350421</v>
      </c>
    </row>
    <row r="1294" spans="1:34" ht="14.5" x14ac:dyDescent="0.35">
      <c r="A1294" s="34"/>
      <c r="B1294" s="35"/>
      <c r="C1294" s="36"/>
      <c r="D1294" s="37"/>
      <c r="E1294" s="36"/>
      <c r="F1294" s="42"/>
      <c r="G1294" s="42"/>
      <c r="H1294" s="42"/>
      <c r="AG1294" s="19">
        <v>1293</v>
      </c>
      <c r="AH1294" s="20">
        <v>-126.26552992548255</v>
      </c>
    </row>
    <row r="1295" spans="1:34" ht="14.5" x14ac:dyDescent="0.35">
      <c r="A1295" s="34"/>
      <c r="B1295" s="35"/>
      <c r="C1295" s="36"/>
      <c r="D1295" s="37"/>
      <c r="E1295" s="36"/>
      <c r="F1295" s="42"/>
      <c r="G1295" s="42"/>
      <c r="H1295" s="42"/>
      <c r="AG1295" s="19">
        <v>1294</v>
      </c>
      <c r="AH1295" s="20">
        <v>1048.3094705230872</v>
      </c>
    </row>
    <row r="1296" spans="1:34" ht="14.5" x14ac:dyDescent="0.35">
      <c r="A1296" s="34"/>
      <c r="B1296" s="35"/>
      <c r="C1296" s="36"/>
      <c r="D1296" s="37"/>
      <c r="E1296" s="36"/>
      <c r="F1296" s="42"/>
      <c r="G1296" s="42"/>
      <c r="H1296" s="42"/>
      <c r="AG1296" s="19">
        <v>1295</v>
      </c>
      <c r="AH1296" s="20">
        <v>2451.9006112901284</v>
      </c>
    </row>
    <row r="1297" spans="1:34" ht="14.5" x14ac:dyDescent="0.35">
      <c r="A1297" s="34"/>
      <c r="B1297" s="35"/>
      <c r="C1297" s="36"/>
      <c r="D1297" s="37"/>
      <c r="E1297" s="36"/>
      <c r="F1297" s="42"/>
      <c r="G1297" s="42"/>
      <c r="H1297" s="42"/>
      <c r="AG1297" s="19">
        <v>1296</v>
      </c>
      <c r="AH1297" s="20">
        <v>2828.6616698733574</v>
      </c>
    </row>
    <row r="1298" spans="1:34" ht="14.5" x14ac:dyDescent="0.35">
      <c r="A1298" s="34"/>
      <c r="B1298" s="35"/>
      <c r="C1298" s="36"/>
      <c r="D1298" s="37"/>
      <c r="E1298" s="36"/>
      <c r="F1298" s="42"/>
      <c r="G1298" s="42"/>
      <c r="H1298" s="42"/>
      <c r="AG1298" s="19">
        <v>1297</v>
      </c>
      <c r="AH1298" s="20">
        <v>-5583.0586342034703</v>
      </c>
    </row>
    <row r="1299" spans="1:34" ht="14.5" x14ac:dyDescent="0.35">
      <c r="A1299" s="34"/>
      <c r="B1299" s="35"/>
      <c r="C1299" s="36"/>
      <c r="D1299" s="37"/>
      <c r="E1299" s="36"/>
      <c r="F1299" s="42"/>
      <c r="G1299" s="42"/>
      <c r="H1299" s="42"/>
      <c r="AG1299" s="19">
        <v>1298</v>
      </c>
      <c r="AH1299" s="20">
        <v>-589.43327130923535</v>
      </c>
    </row>
    <row r="1300" spans="1:34" ht="14.5" x14ac:dyDescent="0.35">
      <c r="A1300" s="34"/>
      <c r="B1300" s="35"/>
      <c r="C1300" s="36"/>
      <c r="D1300" s="37"/>
      <c r="E1300" s="36"/>
      <c r="F1300" s="42"/>
      <c r="G1300" s="42"/>
      <c r="H1300" s="42"/>
      <c r="AG1300" s="19">
        <v>1299</v>
      </c>
      <c r="AH1300" s="20">
        <v>-221.13874049241491</v>
      </c>
    </row>
    <row r="1301" spans="1:34" ht="14.5" x14ac:dyDescent="0.35">
      <c r="A1301" s="34"/>
      <c r="B1301" s="35"/>
      <c r="C1301" s="36"/>
      <c r="D1301" s="37"/>
      <c r="E1301" s="36"/>
      <c r="F1301" s="42"/>
      <c r="G1301" s="42"/>
      <c r="H1301" s="42"/>
      <c r="AG1301" s="19">
        <v>1300</v>
      </c>
      <c r="AH1301" s="20">
        <v>1391.4044347780739</v>
      </c>
    </row>
    <row r="1302" spans="1:34" ht="14.5" x14ac:dyDescent="0.35">
      <c r="A1302" s="34"/>
      <c r="B1302" s="35"/>
      <c r="C1302" s="36"/>
      <c r="D1302" s="37"/>
      <c r="E1302" s="36"/>
      <c r="F1302" s="42"/>
      <c r="G1302" s="42"/>
      <c r="H1302" s="42"/>
      <c r="AG1302" s="19">
        <v>1301</v>
      </c>
      <c r="AH1302" s="20">
        <v>3314.6575937802513</v>
      </c>
    </row>
    <row r="1303" spans="1:34" ht="14.5" x14ac:dyDescent="0.35">
      <c r="A1303" s="34"/>
      <c r="B1303" s="35"/>
      <c r="C1303" s="36"/>
      <c r="D1303" s="37"/>
      <c r="E1303" s="36"/>
      <c r="F1303" s="42"/>
      <c r="G1303" s="42"/>
      <c r="H1303" s="42"/>
      <c r="AG1303" s="19">
        <v>1302</v>
      </c>
      <c r="AH1303" s="20">
        <v>2468.4159924470655</v>
      </c>
    </row>
    <row r="1304" spans="1:34" ht="14.5" x14ac:dyDescent="0.35">
      <c r="A1304" s="34"/>
      <c r="B1304" s="35"/>
      <c r="C1304" s="36"/>
      <c r="D1304" s="37"/>
      <c r="E1304" s="36"/>
      <c r="F1304" s="42"/>
      <c r="G1304" s="42"/>
      <c r="H1304" s="42"/>
      <c r="AG1304" s="19">
        <v>1303</v>
      </c>
      <c r="AH1304" s="20">
        <v>3152.025179615378</v>
      </c>
    </row>
    <row r="1305" spans="1:34" ht="14.5" x14ac:dyDescent="0.35">
      <c r="A1305" s="34"/>
      <c r="B1305" s="35"/>
      <c r="C1305" s="36"/>
      <c r="D1305" s="37"/>
      <c r="E1305" s="36"/>
      <c r="F1305" s="42"/>
      <c r="G1305" s="42"/>
      <c r="H1305" s="42"/>
      <c r="AG1305" s="19">
        <v>1304</v>
      </c>
      <c r="AH1305" s="20">
        <v>966.02175264746484</v>
      </c>
    </row>
    <row r="1306" spans="1:34" ht="14.5" x14ac:dyDescent="0.35">
      <c r="A1306" s="34"/>
      <c r="B1306" s="35"/>
      <c r="C1306" s="36"/>
      <c r="D1306" s="37"/>
      <c r="E1306" s="36"/>
      <c r="F1306" s="42"/>
      <c r="G1306" s="42"/>
      <c r="H1306" s="42"/>
      <c r="AG1306" s="19">
        <v>1305</v>
      </c>
      <c r="AH1306" s="20">
        <v>2620.5397377139566</v>
      </c>
    </row>
    <row r="1307" spans="1:34" ht="14.5" x14ac:dyDescent="0.35">
      <c r="A1307" s="34"/>
      <c r="B1307" s="35"/>
      <c r="C1307" s="36"/>
      <c r="D1307" s="37"/>
      <c r="E1307" s="36"/>
      <c r="F1307" s="42"/>
      <c r="G1307" s="42"/>
      <c r="H1307" s="42"/>
      <c r="AG1307" s="19">
        <v>1306</v>
      </c>
      <c r="AH1307" s="20">
        <v>1657.9720170806943</v>
      </c>
    </row>
    <row r="1308" spans="1:34" ht="14.5" x14ac:dyDescent="0.35">
      <c r="A1308" s="34"/>
      <c r="B1308" s="35"/>
      <c r="C1308" s="36"/>
      <c r="D1308" s="37"/>
      <c r="E1308" s="36"/>
      <c r="F1308" s="42"/>
      <c r="G1308" s="42"/>
      <c r="H1308" s="42"/>
      <c r="AG1308" s="19">
        <v>1307</v>
      </c>
      <c r="AH1308" s="20">
        <v>538.67145149582029</v>
      </c>
    </row>
    <row r="1309" spans="1:34" ht="14.5" x14ac:dyDescent="0.35">
      <c r="A1309" s="34"/>
      <c r="B1309" s="35"/>
      <c r="C1309" s="36"/>
      <c r="D1309" s="37"/>
      <c r="E1309" s="36"/>
      <c r="F1309" s="42"/>
      <c r="G1309" s="42"/>
      <c r="H1309" s="42"/>
      <c r="AG1309" s="19">
        <v>1308</v>
      </c>
      <c r="AH1309" s="20">
        <v>-239.11032259688051</v>
      </c>
    </row>
    <row r="1310" spans="1:34" ht="14.5" x14ac:dyDescent="0.35">
      <c r="A1310" s="34"/>
      <c r="B1310" s="35"/>
      <c r="C1310" s="36"/>
      <c r="D1310" s="37"/>
      <c r="E1310" s="36"/>
      <c r="F1310" s="42"/>
      <c r="G1310" s="42"/>
      <c r="H1310" s="42"/>
      <c r="AG1310" s="19">
        <v>1309</v>
      </c>
      <c r="AH1310" s="20">
        <v>1254.7710755604442</v>
      </c>
    </row>
    <row r="1311" spans="1:34" ht="14.5" x14ac:dyDescent="0.35">
      <c r="A1311" s="34"/>
      <c r="B1311" s="35"/>
      <c r="C1311" s="36"/>
      <c r="D1311" s="37"/>
      <c r="E1311" s="36"/>
      <c r="F1311" s="42"/>
      <c r="G1311" s="42"/>
      <c r="H1311" s="42"/>
      <c r="AG1311" s="19">
        <v>1310</v>
      </c>
      <c r="AH1311" s="20">
        <v>5526.6378543545061</v>
      </c>
    </row>
    <row r="1312" spans="1:34" ht="14.5" x14ac:dyDescent="0.35">
      <c r="A1312" s="34"/>
      <c r="B1312" s="35"/>
      <c r="C1312" s="36"/>
      <c r="D1312" s="37"/>
      <c r="E1312" s="36"/>
      <c r="F1312" s="42"/>
      <c r="G1312" s="42"/>
      <c r="H1312" s="42"/>
      <c r="AG1312" s="19">
        <v>1311</v>
      </c>
      <c r="AH1312" s="20">
        <v>-1884.7952739650834</v>
      </c>
    </row>
    <row r="1313" spans="1:34" ht="14.5" x14ac:dyDescent="0.35">
      <c r="A1313" s="34"/>
      <c r="B1313" s="35"/>
      <c r="C1313" s="36"/>
      <c r="D1313" s="37"/>
      <c r="E1313" s="36"/>
      <c r="F1313" s="42"/>
      <c r="G1313" s="42"/>
      <c r="H1313" s="42"/>
      <c r="AG1313" s="19">
        <v>1312</v>
      </c>
      <c r="AH1313" s="20">
        <v>1257.0533043995633</v>
      </c>
    </row>
    <row r="1314" spans="1:34" ht="14.5" x14ac:dyDescent="0.35">
      <c r="A1314" s="34"/>
      <c r="B1314" s="35"/>
      <c r="C1314" s="36"/>
      <c r="D1314" s="37"/>
      <c r="E1314" s="36"/>
      <c r="F1314" s="42"/>
      <c r="G1314" s="42"/>
      <c r="H1314" s="42"/>
      <c r="AG1314" s="19">
        <v>1313</v>
      </c>
      <c r="AH1314" s="20">
        <v>3969.5857133184741</v>
      </c>
    </row>
    <row r="1315" spans="1:34" ht="14.5" x14ac:dyDescent="0.35">
      <c r="A1315" s="34"/>
      <c r="B1315" s="35"/>
      <c r="C1315" s="36"/>
      <c r="D1315" s="37"/>
      <c r="E1315" s="36"/>
      <c r="F1315" s="42"/>
      <c r="G1315" s="42"/>
      <c r="H1315" s="42"/>
      <c r="AG1315" s="19">
        <v>1314</v>
      </c>
      <c r="AH1315" s="20">
        <v>337.86944933953168</v>
      </c>
    </row>
    <row r="1316" spans="1:34" ht="14.5" x14ac:dyDescent="0.35">
      <c r="A1316" s="34"/>
      <c r="B1316" s="35"/>
      <c r="C1316" s="36"/>
      <c r="D1316" s="37"/>
      <c r="E1316" s="36"/>
      <c r="F1316" s="42"/>
      <c r="G1316" s="42"/>
      <c r="H1316" s="42"/>
      <c r="AG1316" s="19">
        <v>1315</v>
      </c>
      <c r="AH1316" s="20">
        <v>-475.85778233266041</v>
      </c>
    </row>
    <row r="1317" spans="1:34" ht="14.5" x14ac:dyDescent="0.35">
      <c r="A1317" s="34"/>
      <c r="B1317" s="35"/>
      <c r="C1317" s="36"/>
      <c r="D1317" s="37"/>
      <c r="E1317" s="36"/>
      <c r="F1317" s="42"/>
      <c r="G1317" s="42"/>
      <c r="H1317" s="42"/>
      <c r="AG1317" s="19">
        <v>1316</v>
      </c>
      <c r="AH1317" s="20">
        <v>507.90696720959147</v>
      </c>
    </row>
    <row r="1318" spans="1:34" ht="14.5" x14ac:dyDescent="0.35">
      <c r="A1318" s="34"/>
      <c r="B1318" s="35"/>
      <c r="C1318" s="36"/>
      <c r="D1318" s="37"/>
      <c r="E1318" s="36"/>
      <c r="F1318" s="42"/>
      <c r="G1318" s="42"/>
      <c r="H1318" s="42"/>
      <c r="AG1318" s="19">
        <v>1317</v>
      </c>
      <c r="AH1318" s="20">
        <v>5091.9907058924391</v>
      </c>
    </row>
    <row r="1319" spans="1:34" ht="14.5" x14ac:dyDescent="0.35">
      <c r="A1319" s="34"/>
      <c r="B1319" s="35"/>
      <c r="C1319" s="36"/>
      <c r="D1319" s="37"/>
      <c r="E1319" s="36"/>
      <c r="F1319" s="42"/>
      <c r="G1319" s="42"/>
      <c r="H1319" s="42"/>
      <c r="AG1319" s="19">
        <v>1318</v>
      </c>
      <c r="AH1319" s="20">
        <v>-266.67538174146688</v>
      </c>
    </row>
    <row r="1320" spans="1:34" ht="14.5" x14ac:dyDescent="0.35">
      <c r="A1320" s="34"/>
      <c r="B1320" s="35"/>
      <c r="C1320" s="36"/>
      <c r="D1320" s="37"/>
      <c r="E1320" s="36"/>
      <c r="F1320" s="42"/>
      <c r="G1320" s="42"/>
      <c r="H1320" s="42"/>
      <c r="AG1320" s="19">
        <v>1319</v>
      </c>
      <c r="AH1320" s="20">
        <v>-1171.5713975986446</v>
      </c>
    </row>
    <row r="1321" spans="1:34" ht="14.5" x14ac:dyDescent="0.35">
      <c r="A1321" s="34"/>
      <c r="B1321" s="35"/>
      <c r="C1321" s="36"/>
      <c r="D1321" s="37"/>
      <c r="E1321" s="36"/>
      <c r="F1321" s="42"/>
      <c r="G1321" s="42"/>
      <c r="H1321" s="42"/>
      <c r="AG1321" s="19">
        <v>1320</v>
      </c>
      <c r="AH1321" s="20">
        <v>614.4651393871651</v>
      </c>
    </row>
    <row r="1322" spans="1:34" ht="14.5" x14ac:dyDescent="0.35">
      <c r="A1322" s="34"/>
      <c r="B1322" s="35"/>
      <c r="C1322" s="36"/>
      <c r="D1322" s="37"/>
      <c r="E1322" s="36"/>
      <c r="F1322" s="42"/>
      <c r="G1322" s="42"/>
      <c r="H1322" s="42"/>
      <c r="AG1322" s="19">
        <v>1321</v>
      </c>
      <c r="AH1322" s="20">
        <v>1708.3396793915756</v>
      </c>
    </row>
    <row r="1323" spans="1:34" ht="14.5" x14ac:dyDescent="0.35">
      <c r="A1323" s="34"/>
      <c r="B1323" s="35"/>
      <c r="C1323" s="36"/>
      <c r="D1323" s="37"/>
      <c r="E1323" s="36"/>
      <c r="F1323" s="42"/>
      <c r="G1323" s="42"/>
      <c r="H1323" s="42"/>
      <c r="AG1323" s="19">
        <v>1322</v>
      </c>
      <c r="AH1323" s="20">
        <v>2046.8837454006896</v>
      </c>
    </row>
    <row r="1324" spans="1:34" ht="14.5" x14ac:dyDescent="0.35">
      <c r="A1324" s="34"/>
      <c r="B1324" s="35"/>
      <c r="C1324" s="36"/>
      <c r="D1324" s="37"/>
      <c r="E1324" s="36"/>
      <c r="F1324" s="42"/>
      <c r="G1324" s="42"/>
      <c r="H1324" s="42"/>
      <c r="AG1324" s="19">
        <v>1323</v>
      </c>
      <c r="AH1324" s="20">
        <v>949.70837316606071</v>
      </c>
    </row>
    <row r="1325" spans="1:34" ht="14.5" x14ac:dyDescent="0.35">
      <c r="A1325" s="34"/>
      <c r="B1325" s="35"/>
      <c r="C1325" s="36"/>
      <c r="D1325" s="37"/>
      <c r="E1325" s="36"/>
      <c r="F1325" s="42"/>
      <c r="G1325" s="42"/>
      <c r="H1325" s="42"/>
      <c r="AG1325" s="19">
        <v>1324</v>
      </c>
      <c r="AH1325" s="20">
        <v>1593.7294029223237</v>
      </c>
    </row>
    <row r="1326" spans="1:34" ht="14.5" x14ac:dyDescent="0.35">
      <c r="A1326" s="34"/>
      <c r="B1326" s="35"/>
      <c r="C1326" s="36"/>
      <c r="D1326" s="37"/>
      <c r="E1326" s="36"/>
      <c r="F1326" s="42"/>
      <c r="G1326" s="42"/>
      <c r="H1326" s="42"/>
      <c r="AG1326" s="19">
        <v>1325</v>
      </c>
      <c r="AH1326" s="20">
        <v>-784.95276485633804</v>
      </c>
    </row>
    <row r="1327" spans="1:34" ht="14.5" x14ac:dyDescent="0.35">
      <c r="A1327" s="34"/>
      <c r="B1327" s="35"/>
      <c r="C1327" s="36"/>
      <c r="D1327" s="37"/>
      <c r="E1327" s="36"/>
      <c r="F1327" s="42"/>
      <c r="G1327" s="42"/>
      <c r="H1327" s="42"/>
      <c r="AG1327" s="19">
        <v>1326</v>
      </c>
      <c r="AH1327" s="20">
        <v>-969.83844822087894</v>
      </c>
    </row>
    <row r="1328" spans="1:34" ht="14.5" x14ac:dyDescent="0.35">
      <c r="A1328" s="34"/>
      <c r="B1328" s="35"/>
      <c r="C1328" s="36"/>
      <c r="D1328" s="37"/>
      <c r="E1328" s="36"/>
      <c r="F1328" s="42"/>
      <c r="G1328" s="42"/>
      <c r="H1328" s="42"/>
      <c r="AG1328" s="19">
        <v>1327</v>
      </c>
      <c r="AH1328" s="20">
        <v>-3321.2626637815288</v>
      </c>
    </row>
    <row r="1329" spans="1:34" ht="14.5" x14ac:dyDescent="0.35">
      <c r="A1329" s="34"/>
      <c r="B1329" s="35"/>
      <c r="C1329" s="36"/>
      <c r="D1329" s="37"/>
      <c r="E1329" s="36"/>
      <c r="F1329" s="42"/>
      <c r="G1329" s="42"/>
      <c r="H1329" s="42"/>
      <c r="AG1329" s="19">
        <v>1328</v>
      </c>
      <c r="AH1329" s="20">
        <v>4154.5600294735723</v>
      </c>
    </row>
    <row r="1330" spans="1:34" ht="14.5" x14ac:dyDescent="0.35">
      <c r="A1330" s="34"/>
      <c r="B1330" s="35"/>
      <c r="C1330" s="36"/>
      <c r="D1330" s="37"/>
      <c r="E1330" s="36"/>
      <c r="F1330" s="42"/>
      <c r="G1330" s="42"/>
      <c r="H1330" s="42"/>
      <c r="AG1330" s="19">
        <v>1329</v>
      </c>
      <c r="AH1330" s="20">
        <v>-695.4306452396263</v>
      </c>
    </row>
    <row r="1331" spans="1:34" ht="14.5" x14ac:dyDescent="0.35">
      <c r="A1331" s="34"/>
      <c r="B1331" s="35"/>
      <c r="C1331" s="36"/>
      <c r="D1331" s="37"/>
      <c r="E1331" s="36"/>
      <c r="F1331" s="42"/>
      <c r="G1331" s="42"/>
      <c r="H1331" s="42"/>
      <c r="AG1331" s="19">
        <v>1330</v>
      </c>
      <c r="AH1331" s="20">
        <v>754.23909395558235</v>
      </c>
    </row>
    <row r="1332" spans="1:34" ht="14.5" x14ac:dyDescent="0.35">
      <c r="A1332" s="34"/>
      <c r="B1332" s="35"/>
      <c r="C1332" s="36"/>
      <c r="D1332" s="37"/>
      <c r="E1332" s="36"/>
      <c r="F1332" s="42"/>
      <c r="G1332" s="42"/>
      <c r="H1332" s="42"/>
      <c r="AG1332" s="19">
        <v>1331</v>
      </c>
      <c r="AH1332" s="20">
        <v>3373.7815305908484</v>
      </c>
    </row>
    <row r="1333" spans="1:34" ht="14.5" x14ac:dyDescent="0.35">
      <c r="A1333" s="34"/>
      <c r="B1333" s="35"/>
      <c r="C1333" s="36"/>
      <c r="D1333" s="37"/>
      <c r="E1333" s="36"/>
      <c r="F1333" s="42"/>
      <c r="G1333" s="42"/>
      <c r="H1333" s="42"/>
      <c r="AG1333" s="19">
        <v>1332</v>
      </c>
      <c r="AH1333" s="20">
        <v>144.76425761814343</v>
      </c>
    </row>
    <row r="1334" spans="1:34" ht="14.5" x14ac:dyDescent="0.35">
      <c r="A1334" s="34"/>
      <c r="B1334" s="35"/>
      <c r="C1334" s="36"/>
      <c r="D1334" s="37"/>
      <c r="E1334" s="36"/>
      <c r="F1334" s="42"/>
      <c r="G1334" s="42"/>
      <c r="H1334" s="42"/>
      <c r="AG1334" s="19">
        <v>1333</v>
      </c>
      <c r="AH1334" s="20">
        <v>3367.1625111085018</v>
      </c>
    </row>
    <row r="1335" spans="1:34" ht="14.5" x14ac:dyDescent="0.35">
      <c r="A1335" s="34"/>
      <c r="B1335" s="35"/>
      <c r="C1335" s="36"/>
      <c r="D1335" s="37"/>
      <c r="E1335" s="36"/>
      <c r="F1335" s="42"/>
      <c r="G1335" s="42"/>
      <c r="H1335" s="42"/>
      <c r="AG1335" s="19">
        <v>1334</v>
      </c>
      <c r="AH1335" s="20">
        <v>-1123.3102038377672</v>
      </c>
    </row>
    <row r="1336" spans="1:34" ht="14.5" x14ac:dyDescent="0.35">
      <c r="A1336" s="34"/>
      <c r="B1336" s="35"/>
      <c r="C1336" s="36"/>
      <c r="D1336" s="37"/>
      <c r="E1336" s="36"/>
      <c r="F1336" s="42"/>
      <c r="G1336" s="42"/>
      <c r="H1336" s="42"/>
      <c r="AG1336" s="19">
        <v>1335</v>
      </c>
      <c r="AH1336" s="20">
        <v>-261.06131568324707</v>
      </c>
    </row>
    <row r="1337" spans="1:34" ht="14.5" x14ac:dyDescent="0.35">
      <c r="A1337" s="34"/>
      <c r="B1337" s="35"/>
      <c r="C1337" s="36"/>
      <c r="D1337" s="37"/>
      <c r="E1337" s="36"/>
      <c r="F1337" s="42"/>
      <c r="G1337" s="42"/>
      <c r="H1337" s="42"/>
      <c r="AG1337" s="19">
        <v>1336</v>
      </c>
      <c r="AH1337" s="20">
        <v>1666.0008346405968</v>
      </c>
    </row>
    <row r="1338" spans="1:34" ht="14.5" x14ac:dyDescent="0.35">
      <c r="A1338" s="34"/>
      <c r="B1338" s="35"/>
      <c r="C1338" s="36"/>
      <c r="D1338" s="37"/>
      <c r="E1338" s="36"/>
      <c r="F1338" s="42"/>
      <c r="G1338" s="42"/>
      <c r="H1338" s="42"/>
      <c r="AG1338" s="19">
        <v>1337</v>
      </c>
      <c r="AH1338" s="20">
        <v>968.32767062505195</v>
      </c>
    </row>
    <row r="1339" spans="1:34" ht="14.5" x14ac:dyDescent="0.35">
      <c r="A1339" s="34"/>
      <c r="B1339" s="35"/>
      <c r="C1339" s="36"/>
      <c r="D1339" s="37"/>
      <c r="E1339" s="36"/>
      <c r="F1339" s="42"/>
      <c r="G1339" s="42"/>
      <c r="H1339" s="42"/>
      <c r="AG1339" s="19">
        <v>1338</v>
      </c>
      <c r="AH1339" s="20">
        <v>-689.51800490492724</v>
      </c>
    </row>
    <row r="1340" spans="1:34" ht="14.5" x14ac:dyDescent="0.35">
      <c r="A1340" s="34"/>
      <c r="B1340" s="35"/>
      <c r="C1340" s="36"/>
      <c r="D1340" s="37"/>
      <c r="E1340" s="36"/>
      <c r="F1340" s="42"/>
      <c r="G1340" s="42"/>
      <c r="H1340" s="42"/>
      <c r="AG1340" s="19">
        <v>1339</v>
      </c>
      <c r="AH1340" s="20">
        <v>-2050.966690474284</v>
      </c>
    </row>
    <row r="1341" spans="1:34" ht="14.5" x14ac:dyDescent="0.35">
      <c r="A1341" s="34"/>
      <c r="B1341" s="35"/>
      <c r="C1341" s="36"/>
      <c r="D1341" s="37"/>
      <c r="E1341" s="36"/>
      <c r="F1341" s="42"/>
      <c r="G1341" s="42"/>
      <c r="H1341" s="42"/>
      <c r="AG1341" s="19">
        <v>1340</v>
      </c>
      <c r="AH1341" s="20">
        <v>-3167.7490588720143</v>
      </c>
    </row>
    <row r="1342" spans="1:34" ht="14.5" x14ac:dyDescent="0.35">
      <c r="A1342" s="34"/>
      <c r="B1342" s="35"/>
      <c r="C1342" s="36"/>
      <c r="D1342" s="37"/>
      <c r="E1342" s="36"/>
      <c r="F1342" s="42"/>
      <c r="G1342" s="42"/>
      <c r="H1342" s="42"/>
      <c r="AG1342" s="19">
        <v>1341</v>
      </c>
      <c r="AH1342" s="20">
        <v>1561.3008290098169</v>
      </c>
    </row>
    <row r="1343" spans="1:34" ht="14.5" x14ac:dyDescent="0.35">
      <c r="A1343" s="34"/>
      <c r="B1343" s="35"/>
      <c r="C1343" s="36"/>
      <c r="D1343" s="37"/>
      <c r="E1343" s="36"/>
      <c r="F1343" s="42"/>
      <c r="G1343" s="42"/>
      <c r="H1343" s="42"/>
      <c r="AG1343" s="19">
        <v>1342</v>
      </c>
      <c r="AH1343" s="20">
        <v>642.69982429319225</v>
      </c>
    </row>
    <row r="1344" spans="1:34" ht="14.5" x14ac:dyDescent="0.35">
      <c r="A1344" s="34"/>
      <c r="B1344" s="35"/>
      <c r="C1344" s="36"/>
      <c r="D1344" s="37"/>
      <c r="E1344" s="36"/>
      <c r="F1344" s="42"/>
      <c r="G1344" s="42"/>
      <c r="H1344" s="42"/>
      <c r="AG1344" s="19">
        <v>1343</v>
      </c>
      <c r="AH1344" s="20">
        <v>689.06016657824944</v>
      </c>
    </row>
    <row r="1345" spans="1:34" ht="14.5" x14ac:dyDescent="0.35">
      <c r="A1345" s="34"/>
      <c r="B1345" s="35"/>
      <c r="C1345" s="36"/>
      <c r="D1345" s="37"/>
      <c r="E1345" s="36"/>
      <c r="F1345" s="42"/>
      <c r="G1345" s="42"/>
      <c r="H1345" s="42"/>
      <c r="AG1345" s="19">
        <v>1344</v>
      </c>
      <c r="AH1345" s="20">
        <v>1804.8123703493618</v>
      </c>
    </row>
    <row r="1346" spans="1:34" ht="14.5" x14ac:dyDescent="0.35">
      <c r="A1346" s="34"/>
      <c r="B1346" s="35"/>
      <c r="C1346" s="36"/>
      <c r="D1346" s="37"/>
      <c r="E1346" s="36"/>
      <c r="F1346" s="42"/>
      <c r="G1346" s="42"/>
      <c r="H1346" s="42"/>
      <c r="AG1346" s="19">
        <v>1345</v>
      </c>
      <c r="AH1346" s="20">
        <v>2529.4576199046596</v>
      </c>
    </row>
    <row r="1347" spans="1:34" ht="14.5" x14ac:dyDescent="0.35">
      <c r="A1347" s="34"/>
      <c r="B1347" s="35"/>
      <c r="C1347" s="36"/>
      <c r="D1347" s="37"/>
      <c r="E1347" s="36"/>
      <c r="F1347" s="42"/>
      <c r="G1347" s="42"/>
      <c r="H1347" s="42"/>
      <c r="AG1347" s="19">
        <v>1346</v>
      </c>
      <c r="AH1347" s="20">
        <v>1006.0404782834385</v>
      </c>
    </row>
    <row r="1348" spans="1:34" ht="14.5" x14ac:dyDescent="0.35">
      <c r="A1348" s="34"/>
      <c r="B1348" s="35"/>
      <c r="C1348" s="36"/>
      <c r="D1348" s="37"/>
      <c r="E1348" s="36"/>
      <c r="F1348" s="42"/>
      <c r="G1348" s="42"/>
      <c r="H1348" s="42"/>
      <c r="AG1348" s="19">
        <v>1347</v>
      </c>
      <c r="AH1348" s="20">
        <v>-1203.80774883819</v>
      </c>
    </row>
    <row r="1349" spans="1:34" ht="14.5" x14ac:dyDescent="0.35">
      <c r="A1349" s="34"/>
      <c r="B1349" s="35"/>
      <c r="C1349" s="36"/>
      <c r="D1349" s="37"/>
      <c r="E1349" s="36"/>
      <c r="F1349" s="42"/>
      <c r="G1349" s="42"/>
      <c r="H1349" s="42"/>
      <c r="AG1349" s="19">
        <v>1348</v>
      </c>
      <c r="AH1349" s="20">
        <v>-675.15859327620342</v>
      </c>
    </row>
    <row r="1350" spans="1:34" ht="14.5" x14ac:dyDescent="0.35">
      <c r="A1350" s="34"/>
      <c r="B1350" s="35"/>
      <c r="C1350" s="36"/>
      <c r="D1350" s="37"/>
      <c r="E1350" s="36"/>
      <c r="F1350" s="42"/>
      <c r="G1350" s="42"/>
      <c r="H1350" s="42"/>
      <c r="AG1350" s="19">
        <v>1349</v>
      </c>
      <c r="AH1350" s="20">
        <v>-388.29039299875029</v>
      </c>
    </row>
    <row r="1351" spans="1:34" ht="14.5" x14ac:dyDescent="0.35">
      <c r="A1351" s="34"/>
      <c r="B1351" s="35"/>
      <c r="C1351" s="36"/>
      <c r="D1351" s="37"/>
      <c r="E1351" s="36"/>
      <c r="F1351" s="42"/>
      <c r="G1351" s="42"/>
      <c r="H1351" s="42"/>
      <c r="AG1351" s="19">
        <v>1350</v>
      </c>
      <c r="AH1351" s="20">
        <v>-1886.8383241544891</v>
      </c>
    </row>
    <row r="1352" spans="1:34" ht="14.5" x14ac:dyDescent="0.35">
      <c r="A1352" s="34"/>
      <c r="B1352" s="35"/>
      <c r="C1352" s="36"/>
      <c r="D1352" s="37"/>
      <c r="E1352" s="36"/>
      <c r="F1352" s="42"/>
      <c r="G1352" s="42"/>
      <c r="H1352" s="42"/>
      <c r="AG1352" s="19">
        <v>1351</v>
      </c>
      <c r="AH1352" s="20">
        <v>-242.3626491002355</v>
      </c>
    </row>
    <row r="1353" spans="1:34" ht="14.5" x14ac:dyDescent="0.35">
      <c r="A1353" s="34"/>
      <c r="B1353" s="35"/>
      <c r="C1353" s="36"/>
      <c r="D1353" s="37"/>
      <c r="E1353" s="36"/>
      <c r="F1353" s="42"/>
      <c r="G1353" s="42"/>
      <c r="H1353" s="42"/>
      <c r="AG1353" s="19">
        <v>1352</v>
      </c>
      <c r="AH1353" s="20">
        <v>-87.224577881721359</v>
      </c>
    </row>
    <row r="1354" spans="1:34" ht="14.5" x14ac:dyDescent="0.35">
      <c r="A1354" s="34"/>
      <c r="B1354" s="35"/>
      <c r="C1354" s="36"/>
      <c r="D1354" s="37"/>
      <c r="E1354" s="36"/>
      <c r="F1354" s="42"/>
      <c r="G1354" s="42"/>
      <c r="H1354" s="42"/>
      <c r="AG1354" s="19">
        <v>1353</v>
      </c>
      <c r="AH1354" s="20">
        <v>-1964.8179509031149</v>
      </c>
    </row>
    <row r="1355" spans="1:34" ht="14.5" x14ac:dyDescent="0.35">
      <c r="A1355" s="34"/>
      <c r="B1355" s="35"/>
      <c r="C1355" s="36"/>
      <c r="D1355" s="37"/>
      <c r="E1355" s="36"/>
      <c r="F1355" s="42"/>
      <c r="G1355" s="42"/>
      <c r="H1355" s="42"/>
      <c r="AG1355" s="19">
        <v>1354</v>
      </c>
      <c r="AH1355" s="20">
        <v>308.41820064580105</v>
      </c>
    </row>
    <row r="1356" spans="1:34" ht="14.5" x14ac:dyDescent="0.35">
      <c r="A1356" s="34"/>
      <c r="B1356" s="35"/>
      <c r="C1356" s="36"/>
      <c r="D1356" s="37"/>
      <c r="E1356" s="36"/>
      <c r="F1356" s="42"/>
      <c r="G1356" s="42"/>
      <c r="H1356" s="42"/>
      <c r="AG1356" s="19">
        <v>1355</v>
      </c>
      <c r="AH1356" s="20">
        <v>626.54709783454143</v>
      </c>
    </row>
    <row r="1357" spans="1:34" ht="14.5" x14ac:dyDescent="0.35">
      <c r="A1357" s="34"/>
      <c r="B1357" s="35"/>
      <c r="C1357" s="36"/>
      <c r="D1357" s="37"/>
      <c r="E1357" s="36"/>
      <c r="F1357" s="42"/>
      <c r="G1357" s="42"/>
      <c r="H1357" s="42"/>
      <c r="AG1357" s="19">
        <v>1356</v>
      </c>
      <c r="AH1357" s="20">
        <v>2229.5252227597812</v>
      </c>
    </row>
    <row r="1358" spans="1:34" ht="14.5" x14ac:dyDescent="0.35">
      <c r="A1358" s="34"/>
      <c r="B1358" s="35"/>
      <c r="C1358" s="36"/>
      <c r="D1358" s="37"/>
      <c r="E1358" s="36"/>
      <c r="F1358" s="42"/>
      <c r="G1358" s="42"/>
      <c r="H1358" s="42"/>
      <c r="AG1358" s="19">
        <v>1357</v>
      </c>
      <c r="AH1358" s="20">
        <v>2318.7625946371236</v>
      </c>
    </row>
    <row r="1359" spans="1:34" ht="14.5" x14ac:dyDescent="0.35">
      <c r="A1359" s="34"/>
      <c r="B1359" s="35"/>
      <c r="C1359" s="36"/>
      <c r="D1359" s="37"/>
      <c r="E1359" s="36"/>
      <c r="F1359" s="42"/>
      <c r="G1359" s="42"/>
      <c r="H1359" s="42"/>
      <c r="AG1359" s="19">
        <v>1358</v>
      </c>
      <c r="AH1359" s="20">
        <v>2044.1307493382294</v>
      </c>
    </row>
    <row r="1360" spans="1:34" ht="14.5" x14ac:dyDescent="0.35">
      <c r="A1360" s="34"/>
      <c r="B1360" s="35"/>
      <c r="C1360" s="36"/>
      <c r="D1360" s="37"/>
      <c r="E1360" s="36"/>
      <c r="F1360" s="42"/>
      <c r="G1360" s="42"/>
      <c r="H1360" s="42"/>
      <c r="AG1360" s="19">
        <v>1359</v>
      </c>
      <c r="AH1360" s="20">
        <v>1635.0078151066714</v>
      </c>
    </row>
    <row r="1361" spans="1:34" ht="14.5" x14ac:dyDescent="0.35">
      <c r="A1361" s="34"/>
      <c r="B1361" s="35"/>
      <c r="C1361" s="36"/>
      <c r="D1361" s="37"/>
      <c r="E1361" s="36"/>
      <c r="F1361" s="42"/>
      <c r="G1361" s="42"/>
      <c r="H1361" s="42"/>
      <c r="AG1361" s="19">
        <v>1360</v>
      </c>
      <c r="AH1361" s="20">
        <v>-1484.3977947737633</v>
      </c>
    </row>
    <row r="1362" spans="1:34" ht="14.5" x14ac:dyDescent="0.35">
      <c r="A1362" s="34"/>
      <c r="B1362" s="35"/>
      <c r="C1362" s="36"/>
      <c r="D1362" s="37"/>
      <c r="E1362" s="36"/>
      <c r="F1362" s="42"/>
      <c r="G1362" s="42"/>
      <c r="H1362" s="42"/>
      <c r="AG1362" s="19">
        <v>1361</v>
      </c>
      <c r="AH1362" s="20">
        <v>-521.54026098479039</v>
      </c>
    </row>
    <row r="1363" spans="1:34" ht="14.5" x14ac:dyDescent="0.35">
      <c r="A1363" s="34"/>
      <c r="B1363" s="35"/>
      <c r="C1363" s="36"/>
      <c r="D1363" s="37"/>
      <c r="E1363" s="36"/>
      <c r="F1363" s="42"/>
      <c r="G1363" s="42"/>
      <c r="H1363" s="42"/>
      <c r="AG1363" s="19">
        <v>1362</v>
      </c>
      <c r="AH1363" s="20">
        <v>-4559.3960596405313</v>
      </c>
    </row>
    <row r="1364" spans="1:34" ht="14.5" x14ac:dyDescent="0.35">
      <c r="A1364" s="34"/>
      <c r="B1364" s="35"/>
      <c r="C1364" s="36"/>
      <c r="D1364" s="37"/>
      <c r="E1364" s="36"/>
      <c r="F1364" s="42"/>
      <c r="G1364" s="42"/>
      <c r="H1364" s="42"/>
      <c r="AG1364" s="19">
        <v>1363</v>
      </c>
      <c r="AH1364" s="20">
        <v>10.105062057194289</v>
      </c>
    </row>
    <row r="1365" spans="1:34" ht="14.5" x14ac:dyDescent="0.35">
      <c r="A1365" s="34"/>
      <c r="B1365" s="35"/>
      <c r="C1365" s="36"/>
      <c r="D1365" s="37"/>
      <c r="E1365" s="36"/>
      <c r="F1365" s="42"/>
      <c r="G1365" s="42"/>
      <c r="H1365" s="42"/>
      <c r="AG1365" s="19">
        <v>1364</v>
      </c>
      <c r="AH1365" s="20">
        <v>-1058.006733080173</v>
      </c>
    </row>
    <row r="1366" spans="1:34" ht="14.5" x14ac:dyDescent="0.35">
      <c r="A1366" s="34"/>
      <c r="B1366" s="35"/>
      <c r="C1366" s="36"/>
      <c r="D1366" s="37"/>
      <c r="E1366" s="36"/>
      <c r="F1366" s="42"/>
      <c r="G1366" s="42"/>
      <c r="H1366" s="42"/>
      <c r="AG1366" s="19">
        <v>1365</v>
      </c>
      <c r="AH1366" s="20">
        <v>2714.4299072259869</v>
      </c>
    </row>
    <row r="1367" spans="1:34" ht="14.5" x14ac:dyDescent="0.35">
      <c r="A1367" s="34"/>
      <c r="B1367" s="35"/>
      <c r="C1367" s="36"/>
      <c r="D1367" s="37"/>
      <c r="E1367" s="36"/>
      <c r="F1367" s="42"/>
      <c r="G1367" s="42"/>
      <c r="H1367" s="42"/>
      <c r="AG1367" s="19">
        <v>1366</v>
      </c>
      <c r="AH1367" s="20">
        <v>415.14416281649534</v>
      </c>
    </row>
    <row r="1368" spans="1:34" ht="14.5" x14ac:dyDescent="0.35">
      <c r="A1368" s="34"/>
      <c r="B1368" s="35"/>
      <c r="C1368" s="36"/>
      <c r="D1368" s="37"/>
      <c r="E1368" s="36"/>
      <c r="F1368" s="42"/>
      <c r="G1368" s="42"/>
      <c r="H1368" s="42"/>
      <c r="AG1368" s="19">
        <v>1367</v>
      </c>
      <c r="AH1368" s="20">
        <v>-1443.2094238719521</v>
      </c>
    </row>
    <row r="1369" spans="1:34" ht="14.5" x14ac:dyDescent="0.35">
      <c r="A1369" s="34"/>
      <c r="B1369" s="35"/>
      <c r="C1369" s="36"/>
      <c r="D1369" s="37"/>
      <c r="E1369" s="36"/>
      <c r="F1369" s="42"/>
      <c r="G1369" s="42"/>
      <c r="H1369" s="42"/>
      <c r="AG1369" s="19">
        <v>1368</v>
      </c>
      <c r="AH1369" s="20">
        <v>-71.639994750547544</v>
      </c>
    </row>
    <row r="1370" spans="1:34" ht="14.5" x14ac:dyDescent="0.35">
      <c r="A1370" s="34"/>
      <c r="B1370" s="35"/>
      <c r="C1370" s="36"/>
      <c r="D1370" s="37"/>
      <c r="E1370" s="36"/>
      <c r="F1370" s="42"/>
      <c r="G1370" s="42"/>
      <c r="H1370" s="42"/>
      <c r="AG1370" s="19">
        <v>1369</v>
      </c>
      <c r="AH1370" s="20">
        <v>1792.986832633075</v>
      </c>
    </row>
    <row r="1371" spans="1:34" ht="14.5" x14ac:dyDescent="0.35">
      <c r="A1371" s="34"/>
      <c r="B1371" s="35"/>
      <c r="C1371" s="36"/>
      <c r="D1371" s="37"/>
      <c r="E1371" s="36"/>
      <c r="F1371" s="42"/>
      <c r="G1371" s="42"/>
      <c r="H1371" s="42"/>
      <c r="AG1371" s="19">
        <v>1370</v>
      </c>
      <c r="AH1371" s="20">
        <v>2367.0919663397931</v>
      </c>
    </row>
    <row r="1372" spans="1:34" ht="14.5" x14ac:dyDescent="0.35">
      <c r="A1372" s="34"/>
      <c r="B1372" s="35"/>
      <c r="C1372" s="36"/>
      <c r="D1372" s="37"/>
      <c r="E1372" s="36"/>
      <c r="F1372" s="42"/>
      <c r="G1372" s="42"/>
      <c r="H1372" s="42"/>
      <c r="AG1372" s="19">
        <v>1371</v>
      </c>
      <c r="AH1372" s="20">
        <v>514.03579810964015</v>
      </c>
    </row>
    <row r="1373" spans="1:34" ht="14.5" x14ac:dyDescent="0.35">
      <c r="A1373" s="34"/>
      <c r="B1373" s="35"/>
      <c r="C1373" s="36"/>
      <c r="D1373" s="37"/>
      <c r="E1373" s="36"/>
      <c r="F1373" s="42"/>
      <c r="G1373" s="42"/>
      <c r="H1373" s="42"/>
      <c r="AG1373" s="19">
        <v>1372</v>
      </c>
      <c r="AH1373" s="20">
        <v>94.573242568834928</v>
      </c>
    </row>
    <row r="1374" spans="1:34" ht="14.5" x14ac:dyDescent="0.35">
      <c r="A1374" s="34"/>
      <c r="B1374" s="35"/>
      <c r="C1374" s="36"/>
      <c r="D1374" s="37"/>
      <c r="E1374" s="36"/>
      <c r="F1374" s="42"/>
      <c r="G1374" s="42"/>
      <c r="H1374" s="42"/>
      <c r="AG1374" s="19">
        <v>1373</v>
      </c>
      <c r="AH1374" s="20">
        <v>1779.0194574787388</v>
      </c>
    </row>
    <row r="1375" spans="1:34" ht="14.5" x14ac:dyDescent="0.35">
      <c r="A1375" s="34"/>
      <c r="B1375" s="35"/>
      <c r="C1375" s="36"/>
      <c r="D1375" s="37"/>
      <c r="E1375" s="36"/>
      <c r="F1375" s="42"/>
      <c r="G1375" s="42"/>
      <c r="H1375" s="42"/>
      <c r="AG1375" s="19">
        <v>1374</v>
      </c>
      <c r="AH1375" s="20">
        <v>3014.1403825937155</v>
      </c>
    </row>
    <row r="1376" spans="1:34" ht="14.5" x14ac:dyDescent="0.35">
      <c r="A1376" s="34"/>
      <c r="B1376" s="35"/>
      <c r="C1376" s="36"/>
      <c r="D1376" s="37"/>
      <c r="E1376" s="36"/>
      <c r="F1376" s="42"/>
      <c r="G1376" s="42"/>
      <c r="H1376" s="42"/>
      <c r="AG1376" s="19">
        <v>1375</v>
      </c>
      <c r="AH1376" s="20">
        <v>1241.0125842210059</v>
      </c>
    </row>
    <row r="1377" spans="1:34" ht="14.5" x14ac:dyDescent="0.35">
      <c r="A1377" s="34"/>
      <c r="B1377" s="35"/>
      <c r="C1377" s="36"/>
      <c r="D1377" s="37"/>
      <c r="E1377" s="36"/>
      <c r="F1377" s="42"/>
      <c r="G1377" s="42"/>
      <c r="H1377" s="42"/>
      <c r="AG1377" s="19">
        <v>1376</v>
      </c>
      <c r="AH1377" s="20">
        <v>-472.99946462613713</v>
      </c>
    </row>
    <row r="1378" spans="1:34" ht="14.5" x14ac:dyDescent="0.35">
      <c r="A1378" s="34"/>
      <c r="B1378" s="35"/>
      <c r="C1378" s="36"/>
      <c r="D1378" s="37"/>
      <c r="E1378" s="36"/>
      <c r="F1378" s="42"/>
      <c r="G1378" s="42"/>
      <c r="H1378" s="42"/>
      <c r="AG1378" s="19">
        <v>1377</v>
      </c>
      <c r="AH1378" s="20">
        <v>-1540.7398594434251</v>
      </c>
    </row>
    <row r="1379" spans="1:34" ht="14.5" x14ac:dyDescent="0.35">
      <c r="A1379" s="34"/>
      <c r="B1379" s="35"/>
      <c r="C1379" s="36"/>
      <c r="D1379" s="37"/>
      <c r="E1379" s="36"/>
      <c r="F1379" s="42"/>
      <c r="G1379" s="42"/>
      <c r="H1379" s="42"/>
      <c r="AG1379" s="19">
        <v>1378</v>
      </c>
      <c r="AH1379" s="20">
        <v>225.02000501796664</v>
      </c>
    </row>
    <row r="1380" spans="1:34" ht="14.5" x14ac:dyDescent="0.35">
      <c r="A1380" s="34"/>
      <c r="B1380" s="35"/>
      <c r="C1380" s="36"/>
      <c r="D1380" s="37"/>
      <c r="E1380" s="36"/>
      <c r="F1380" s="42"/>
      <c r="G1380" s="42"/>
      <c r="H1380" s="42"/>
      <c r="AG1380" s="19">
        <v>1379</v>
      </c>
      <c r="AH1380" s="20">
        <v>-2798.2345022023833</v>
      </c>
    </row>
    <row r="1381" spans="1:34" ht="14.5" x14ac:dyDescent="0.35">
      <c r="A1381" s="34"/>
      <c r="B1381" s="35"/>
      <c r="C1381" s="36"/>
      <c r="D1381" s="37"/>
      <c r="E1381" s="36"/>
      <c r="F1381" s="42"/>
      <c r="G1381" s="42"/>
      <c r="H1381" s="42"/>
      <c r="AG1381" s="19">
        <v>1380</v>
      </c>
      <c r="AH1381" s="20">
        <v>-3566.4457612499964</v>
      </c>
    </row>
    <row r="1382" spans="1:34" ht="14.5" x14ac:dyDescent="0.35">
      <c r="A1382" s="34"/>
      <c r="B1382" s="35"/>
      <c r="C1382" s="36"/>
      <c r="D1382" s="37"/>
      <c r="E1382" s="36"/>
      <c r="F1382" s="42"/>
      <c r="G1382" s="42"/>
      <c r="H1382" s="42"/>
      <c r="AG1382" s="19">
        <v>1381</v>
      </c>
      <c r="AH1382" s="20">
        <v>2375.0571128240131</v>
      </c>
    </row>
    <row r="1383" spans="1:34" ht="14.5" x14ac:dyDescent="0.35">
      <c r="A1383" s="34"/>
      <c r="B1383" s="35"/>
      <c r="C1383" s="36"/>
      <c r="D1383" s="37"/>
      <c r="E1383" s="36"/>
      <c r="F1383" s="42"/>
      <c r="G1383" s="42"/>
      <c r="H1383" s="42"/>
      <c r="AG1383" s="19">
        <v>1382</v>
      </c>
      <c r="AH1383" s="20">
        <v>137.25441270744443</v>
      </c>
    </row>
    <row r="1384" spans="1:34" ht="14.5" x14ac:dyDescent="0.35">
      <c r="A1384" s="34"/>
      <c r="B1384" s="35"/>
      <c r="C1384" s="36"/>
      <c r="D1384" s="37"/>
      <c r="E1384" s="36"/>
      <c r="F1384" s="42"/>
      <c r="G1384" s="42"/>
      <c r="H1384" s="42"/>
      <c r="AG1384" s="19">
        <v>1383</v>
      </c>
      <c r="AH1384" s="20">
        <v>2532.6038384680428</v>
      </c>
    </row>
    <row r="1385" spans="1:34" ht="14.5" x14ac:dyDescent="0.35">
      <c r="A1385" s="34"/>
      <c r="B1385" s="35"/>
      <c r="C1385" s="36"/>
      <c r="D1385" s="37"/>
      <c r="E1385" s="36"/>
      <c r="F1385" s="42"/>
      <c r="G1385" s="42"/>
      <c r="H1385" s="42"/>
      <c r="AG1385" s="19">
        <v>1384</v>
      </c>
      <c r="AH1385" s="20">
        <v>645.06263040906924</v>
      </c>
    </row>
    <row r="1386" spans="1:34" ht="14.5" x14ac:dyDescent="0.35">
      <c r="A1386" s="34"/>
      <c r="B1386" s="35"/>
      <c r="C1386" s="36"/>
      <c r="D1386" s="37"/>
      <c r="E1386" s="36"/>
      <c r="F1386" s="42"/>
      <c r="G1386" s="42"/>
      <c r="H1386" s="42"/>
      <c r="AG1386" s="19">
        <v>1385</v>
      </c>
      <c r="AH1386" s="20">
        <v>-1349.2962551566916</v>
      </c>
    </row>
    <row r="1387" spans="1:34" ht="14.5" x14ac:dyDescent="0.35">
      <c r="A1387" s="34"/>
      <c r="B1387" s="35"/>
      <c r="C1387" s="36"/>
      <c r="D1387" s="37"/>
      <c r="E1387" s="36"/>
      <c r="F1387" s="42"/>
      <c r="G1387" s="42"/>
      <c r="H1387" s="42"/>
      <c r="AG1387" s="19">
        <v>1386</v>
      </c>
      <c r="AH1387" s="20">
        <v>1557.4350099840628</v>
      </c>
    </row>
    <row r="1388" spans="1:34" ht="14.5" x14ac:dyDescent="0.35">
      <c r="A1388" s="34"/>
      <c r="B1388" s="35"/>
      <c r="C1388" s="36"/>
      <c r="D1388" s="37"/>
      <c r="E1388" s="36"/>
      <c r="F1388" s="42"/>
      <c r="G1388" s="42"/>
      <c r="H1388" s="42"/>
      <c r="AG1388" s="19">
        <v>1387</v>
      </c>
      <c r="AH1388" s="20">
        <v>2825.9729528181583</v>
      </c>
    </row>
    <row r="1389" spans="1:34" ht="14.5" x14ac:dyDescent="0.35">
      <c r="A1389" s="34"/>
      <c r="B1389" s="35"/>
      <c r="C1389" s="36"/>
      <c r="D1389" s="37"/>
      <c r="E1389" s="36"/>
      <c r="F1389" s="42"/>
      <c r="G1389" s="42"/>
      <c r="H1389" s="42"/>
      <c r="AG1389" s="19">
        <v>1388</v>
      </c>
      <c r="AH1389" s="20">
        <v>279.58840081772951</v>
      </c>
    </row>
    <row r="1390" spans="1:34" ht="14.5" x14ac:dyDescent="0.35">
      <c r="A1390" s="34"/>
      <c r="B1390" s="35"/>
      <c r="C1390" s="36"/>
      <c r="D1390" s="37"/>
      <c r="E1390" s="36"/>
      <c r="F1390" s="42"/>
      <c r="G1390" s="42"/>
      <c r="H1390" s="42"/>
      <c r="AG1390" s="19">
        <v>1389</v>
      </c>
      <c r="AH1390" s="20">
        <v>402.71914138596003</v>
      </c>
    </row>
    <row r="1391" spans="1:34" ht="14.5" x14ac:dyDescent="0.35">
      <c r="A1391" s="34"/>
      <c r="B1391" s="35"/>
      <c r="C1391" s="36"/>
      <c r="D1391" s="37"/>
      <c r="E1391" s="36"/>
      <c r="F1391" s="42"/>
      <c r="G1391" s="42"/>
      <c r="H1391" s="42"/>
      <c r="AG1391" s="19">
        <v>1390</v>
      </c>
      <c r="AH1391" s="20">
        <v>1526.7722785814351</v>
      </c>
    </row>
    <row r="1392" spans="1:34" ht="14.5" x14ac:dyDescent="0.35">
      <c r="A1392" s="34"/>
      <c r="B1392" s="35"/>
      <c r="C1392" s="36"/>
      <c r="D1392" s="37"/>
      <c r="E1392" s="36"/>
      <c r="F1392" s="42"/>
      <c r="G1392" s="42"/>
      <c r="H1392" s="42"/>
      <c r="AG1392" s="19">
        <v>1391</v>
      </c>
      <c r="AH1392" s="20">
        <v>-1614.6171341185438</v>
      </c>
    </row>
    <row r="1393" spans="1:34" ht="14.5" x14ac:dyDescent="0.35">
      <c r="A1393" s="34"/>
      <c r="B1393" s="35"/>
      <c r="C1393" s="36"/>
      <c r="D1393" s="37"/>
      <c r="E1393" s="36"/>
      <c r="F1393" s="42"/>
      <c r="G1393" s="42"/>
      <c r="H1393" s="42"/>
      <c r="AG1393" s="19">
        <v>1392</v>
      </c>
      <c r="AH1393" s="20">
        <v>1852.1035580376233</v>
      </c>
    </row>
    <row r="1394" spans="1:34" ht="14.5" x14ac:dyDescent="0.35">
      <c r="A1394" s="34"/>
      <c r="B1394" s="35"/>
      <c r="C1394" s="36"/>
      <c r="D1394" s="37"/>
      <c r="E1394" s="36"/>
      <c r="F1394" s="42"/>
      <c r="G1394" s="42"/>
      <c r="H1394" s="42"/>
      <c r="AG1394" s="19">
        <v>1393</v>
      </c>
      <c r="AH1394" s="20">
        <v>2154.7203403779781</v>
      </c>
    </row>
    <row r="1395" spans="1:34" ht="14.5" x14ac:dyDescent="0.35">
      <c r="A1395" s="34"/>
      <c r="B1395" s="35"/>
      <c r="C1395" s="36"/>
      <c r="D1395" s="37"/>
      <c r="E1395" s="36"/>
      <c r="F1395" s="42"/>
      <c r="G1395" s="42"/>
      <c r="H1395" s="42"/>
      <c r="AG1395" s="19">
        <v>1394</v>
      </c>
      <c r="AH1395" s="20">
        <v>-1789.1851947449934</v>
      </c>
    </row>
    <row r="1396" spans="1:34" ht="14.5" x14ac:dyDescent="0.35">
      <c r="A1396" s="34"/>
      <c r="B1396" s="35"/>
      <c r="C1396" s="36"/>
      <c r="D1396" s="37"/>
      <c r="E1396" s="36"/>
      <c r="F1396" s="42"/>
      <c r="G1396" s="42"/>
      <c r="H1396" s="42"/>
      <c r="AG1396" s="19">
        <v>1395</v>
      </c>
      <c r="AH1396" s="20">
        <v>-3447.463450711813</v>
      </c>
    </row>
    <row r="1397" spans="1:34" ht="14.5" x14ac:dyDescent="0.35">
      <c r="A1397" s="34"/>
      <c r="B1397" s="35"/>
      <c r="C1397" s="36"/>
      <c r="D1397" s="37"/>
      <c r="E1397" s="36"/>
      <c r="F1397" s="42"/>
      <c r="G1397" s="42"/>
      <c r="H1397" s="42"/>
      <c r="AG1397" s="19">
        <v>1396</v>
      </c>
      <c r="AH1397" s="20">
        <v>1870.2412740836926</v>
      </c>
    </row>
    <row r="1398" spans="1:34" ht="14.5" x14ac:dyDescent="0.35">
      <c r="A1398" s="34"/>
      <c r="B1398" s="35"/>
      <c r="C1398" s="36"/>
      <c r="D1398" s="37"/>
      <c r="E1398" s="36"/>
      <c r="F1398" s="42"/>
      <c r="G1398" s="42"/>
      <c r="H1398" s="42"/>
      <c r="AG1398" s="19">
        <v>1397</v>
      </c>
      <c r="AH1398" s="20">
        <v>1711.8478928931986</v>
      </c>
    </row>
    <row r="1399" spans="1:34" ht="14.5" x14ac:dyDescent="0.35">
      <c r="A1399" s="34"/>
      <c r="B1399" s="35"/>
      <c r="C1399" s="36"/>
      <c r="D1399" s="37"/>
      <c r="E1399" s="36"/>
      <c r="F1399" s="42"/>
      <c r="G1399" s="42"/>
      <c r="H1399" s="42"/>
      <c r="AG1399" s="19">
        <v>1398</v>
      </c>
      <c r="AH1399" s="20">
        <v>-1161.9406858662851</v>
      </c>
    </row>
    <row r="1400" spans="1:34" ht="14.5" x14ac:dyDescent="0.35">
      <c r="A1400" s="34"/>
      <c r="B1400" s="35"/>
      <c r="C1400" s="36"/>
      <c r="D1400" s="37"/>
      <c r="E1400" s="36"/>
      <c r="F1400" s="42"/>
      <c r="G1400" s="42"/>
      <c r="H1400" s="42"/>
      <c r="AG1400" s="19">
        <v>1399</v>
      </c>
      <c r="AH1400" s="20">
        <v>-43.864245894292253</v>
      </c>
    </row>
    <row r="1401" spans="1:34" ht="14.5" x14ac:dyDescent="0.35">
      <c r="A1401" s="34"/>
      <c r="B1401" s="35"/>
      <c r="C1401" s="36"/>
      <c r="D1401" s="37"/>
      <c r="E1401" s="36"/>
      <c r="F1401" s="42"/>
      <c r="G1401" s="42"/>
      <c r="H1401" s="42"/>
      <c r="AG1401" s="19">
        <v>1400</v>
      </c>
      <c r="AH1401" s="20">
        <v>-2065.5523524415462</v>
      </c>
    </row>
    <row r="1402" spans="1:34" ht="14.5" x14ac:dyDescent="0.35">
      <c r="A1402" s="34"/>
      <c r="B1402" s="35"/>
      <c r="C1402" s="36"/>
      <c r="D1402" s="37"/>
      <c r="E1402" s="36"/>
      <c r="F1402" s="42"/>
      <c r="G1402" s="42"/>
      <c r="H1402" s="42"/>
      <c r="AG1402" s="19">
        <v>1401</v>
      </c>
      <c r="AH1402" s="20">
        <v>-1472.8149815564534</v>
      </c>
    </row>
    <row r="1403" spans="1:34" ht="14.5" x14ac:dyDescent="0.35">
      <c r="A1403" s="34"/>
      <c r="B1403" s="35"/>
      <c r="C1403" s="36"/>
      <c r="D1403" s="37"/>
      <c r="E1403" s="36"/>
      <c r="F1403" s="42"/>
      <c r="G1403" s="42"/>
      <c r="H1403" s="42"/>
      <c r="AG1403" s="19">
        <v>1402</v>
      </c>
      <c r="AH1403" s="20">
        <v>260.05582005711142</v>
      </c>
    </row>
    <row r="1404" spans="1:34" ht="14.5" x14ac:dyDescent="0.35">
      <c r="A1404" s="34"/>
      <c r="B1404" s="35"/>
      <c r="C1404" s="36"/>
      <c r="D1404" s="37"/>
      <c r="E1404" s="36"/>
      <c r="F1404" s="42"/>
      <c r="G1404" s="42"/>
      <c r="H1404" s="42"/>
      <c r="AG1404" s="19">
        <v>1403</v>
      </c>
      <c r="AH1404" s="20">
        <v>3673.0352322897916</v>
      </c>
    </row>
    <row r="1405" spans="1:34" ht="14.5" x14ac:dyDescent="0.35">
      <c r="A1405" s="34"/>
      <c r="B1405" s="35"/>
      <c r="C1405" s="36"/>
      <c r="D1405" s="37"/>
      <c r="E1405" s="36"/>
      <c r="F1405" s="42"/>
      <c r="G1405" s="42"/>
      <c r="H1405" s="42"/>
      <c r="AG1405" s="19">
        <v>1404</v>
      </c>
      <c r="AH1405" s="20">
        <v>-1179.3711372155349</v>
      </c>
    </row>
    <row r="1406" spans="1:34" ht="14.5" x14ac:dyDescent="0.35">
      <c r="A1406" s="34"/>
      <c r="B1406" s="35"/>
      <c r="C1406" s="36"/>
      <c r="D1406" s="37"/>
      <c r="E1406" s="36"/>
      <c r="F1406" s="42"/>
      <c r="G1406" s="42"/>
      <c r="H1406" s="42"/>
      <c r="AG1406" s="19">
        <v>1405</v>
      </c>
      <c r="AH1406" s="20">
        <v>4035.5581825082927</v>
      </c>
    </row>
    <row r="1407" spans="1:34" ht="14.5" x14ac:dyDescent="0.35">
      <c r="A1407" s="34"/>
      <c r="B1407" s="35"/>
      <c r="C1407" s="36"/>
      <c r="D1407" s="37"/>
      <c r="E1407" s="36"/>
      <c r="F1407" s="42"/>
      <c r="G1407" s="42"/>
      <c r="H1407" s="42"/>
      <c r="AG1407" s="19">
        <v>1406</v>
      </c>
      <c r="AH1407" s="20">
        <v>-1509.7102642179325</v>
      </c>
    </row>
    <row r="1408" spans="1:34" ht="14.5" x14ac:dyDescent="0.35">
      <c r="A1408" s="34"/>
      <c r="B1408" s="35"/>
      <c r="C1408" s="36"/>
      <c r="D1408" s="37"/>
      <c r="E1408" s="36"/>
      <c r="F1408" s="42"/>
      <c r="G1408" s="42"/>
      <c r="H1408" s="42"/>
      <c r="AG1408" s="19">
        <v>1407</v>
      </c>
      <c r="AH1408" s="20">
        <v>-1675.207543165214</v>
      </c>
    </row>
    <row r="1409" spans="1:34" ht="14.5" x14ac:dyDescent="0.35">
      <c r="A1409" s="34"/>
      <c r="B1409" s="35"/>
      <c r="C1409" s="36"/>
      <c r="D1409" s="37"/>
      <c r="E1409" s="36"/>
      <c r="F1409" s="42"/>
      <c r="G1409" s="42"/>
      <c r="H1409" s="42"/>
      <c r="AG1409" s="19">
        <v>1408</v>
      </c>
      <c r="AH1409" s="20">
        <v>-1650.4082996064465</v>
      </c>
    </row>
    <row r="1410" spans="1:34" ht="14.5" x14ac:dyDescent="0.35">
      <c r="A1410" s="34"/>
      <c r="B1410" s="35"/>
      <c r="C1410" s="36"/>
      <c r="D1410" s="37"/>
      <c r="E1410" s="36"/>
      <c r="F1410" s="42"/>
      <c r="G1410" s="42"/>
      <c r="H1410" s="42"/>
      <c r="AG1410" s="19">
        <v>1409</v>
      </c>
      <c r="AH1410" s="20">
        <v>1498.1763414216077</v>
      </c>
    </row>
    <row r="1411" spans="1:34" ht="14.5" x14ac:dyDescent="0.35">
      <c r="A1411" s="34"/>
      <c r="B1411" s="35"/>
      <c r="C1411" s="36"/>
      <c r="D1411" s="37"/>
      <c r="E1411" s="36"/>
      <c r="F1411" s="42"/>
      <c r="G1411" s="42"/>
      <c r="H1411" s="42"/>
      <c r="AG1411" s="19">
        <v>1410</v>
      </c>
      <c r="AH1411" s="20">
        <v>1309.4806665034</v>
      </c>
    </row>
    <row r="1412" spans="1:34" ht="14.5" x14ac:dyDescent="0.35">
      <c r="A1412" s="34"/>
      <c r="B1412" s="35"/>
      <c r="C1412" s="36"/>
      <c r="D1412" s="37"/>
      <c r="E1412" s="36"/>
      <c r="F1412" s="42"/>
      <c r="G1412" s="42"/>
      <c r="H1412" s="42"/>
      <c r="AG1412" s="19">
        <v>1411</v>
      </c>
      <c r="AH1412" s="20">
        <v>111.29803821619089</v>
      </c>
    </row>
    <row r="1413" spans="1:34" ht="14.5" x14ac:dyDescent="0.35">
      <c r="A1413" s="34"/>
      <c r="B1413" s="35"/>
      <c r="C1413" s="36"/>
      <c r="D1413" s="37"/>
      <c r="E1413" s="36"/>
      <c r="F1413" s="42"/>
      <c r="G1413" s="42"/>
      <c r="H1413" s="42"/>
      <c r="AG1413" s="19">
        <v>1412</v>
      </c>
      <c r="AH1413" s="20">
        <v>1639.8553977661006</v>
      </c>
    </row>
    <row r="1414" spans="1:34" ht="14.5" x14ac:dyDescent="0.35">
      <c r="A1414" s="34"/>
      <c r="B1414" s="35"/>
      <c r="C1414" s="36"/>
      <c r="D1414" s="37"/>
      <c r="E1414" s="36"/>
      <c r="F1414" s="42"/>
      <c r="G1414" s="42"/>
      <c r="H1414" s="42"/>
      <c r="AG1414" s="19">
        <v>1413</v>
      </c>
      <c r="AH1414" s="20">
        <v>4016.3678124258095</v>
      </c>
    </row>
    <row r="1415" spans="1:34" ht="14.5" x14ac:dyDescent="0.35">
      <c r="A1415" s="34"/>
      <c r="B1415" s="35"/>
      <c r="C1415" s="36"/>
      <c r="D1415" s="37"/>
      <c r="E1415" s="36"/>
      <c r="F1415" s="42"/>
      <c r="G1415" s="42"/>
      <c r="H1415" s="42"/>
      <c r="AG1415" s="19">
        <v>1414</v>
      </c>
      <c r="AH1415" s="20">
        <v>3729.2816594105889</v>
      </c>
    </row>
    <row r="1416" spans="1:34" ht="14.5" x14ac:dyDescent="0.35">
      <c r="A1416" s="34"/>
      <c r="B1416" s="35"/>
      <c r="C1416" s="36"/>
      <c r="D1416" s="37"/>
      <c r="E1416" s="36"/>
      <c r="F1416" s="42"/>
      <c r="G1416" s="42"/>
      <c r="H1416" s="42"/>
      <c r="AG1416" s="19">
        <v>1415</v>
      </c>
      <c r="AH1416" s="20">
        <v>1657.1314931493271</v>
      </c>
    </row>
    <row r="1417" spans="1:34" ht="14.5" x14ac:dyDescent="0.35">
      <c r="A1417" s="34"/>
      <c r="B1417" s="35"/>
      <c r="C1417" s="36"/>
      <c r="D1417" s="37"/>
      <c r="E1417" s="36"/>
      <c r="F1417" s="42"/>
      <c r="G1417" s="42"/>
      <c r="H1417" s="42"/>
      <c r="AG1417" s="19">
        <v>1416</v>
      </c>
      <c r="AH1417" s="20">
        <v>630.24030764339886</v>
      </c>
    </row>
    <row r="1418" spans="1:34" ht="14.5" x14ac:dyDescent="0.35">
      <c r="A1418" s="34"/>
      <c r="B1418" s="35"/>
      <c r="C1418" s="36"/>
      <c r="D1418" s="37"/>
      <c r="E1418" s="36"/>
      <c r="F1418" s="42"/>
      <c r="G1418" s="42"/>
      <c r="H1418" s="42"/>
      <c r="AG1418" s="19">
        <v>1417</v>
      </c>
      <c r="AH1418" s="20">
        <v>-1477.2089277163602</v>
      </c>
    </row>
    <row r="1419" spans="1:34" ht="14.5" x14ac:dyDescent="0.35">
      <c r="A1419" s="34"/>
      <c r="B1419" s="35"/>
      <c r="C1419" s="36"/>
      <c r="D1419" s="37"/>
      <c r="E1419" s="36"/>
      <c r="F1419" s="42"/>
      <c r="G1419" s="42"/>
      <c r="H1419" s="42"/>
      <c r="AG1419" s="19">
        <v>1418</v>
      </c>
      <c r="AH1419" s="20">
        <v>817.33052575720876</v>
      </c>
    </row>
    <row r="1420" spans="1:34" ht="14.5" x14ac:dyDescent="0.35">
      <c r="A1420" s="34"/>
      <c r="B1420" s="35"/>
      <c r="C1420" s="36"/>
      <c r="D1420" s="37"/>
      <c r="E1420" s="36"/>
      <c r="F1420" s="42"/>
      <c r="G1420" s="42"/>
      <c r="H1420" s="42"/>
      <c r="AG1420" s="19">
        <v>1419</v>
      </c>
      <c r="AH1420" s="20">
        <v>-1873.9494479962461</v>
      </c>
    </row>
    <row r="1421" spans="1:34" ht="14.5" x14ac:dyDescent="0.35">
      <c r="A1421" s="34"/>
      <c r="B1421" s="35"/>
      <c r="C1421" s="36"/>
      <c r="D1421" s="37"/>
      <c r="E1421" s="36"/>
      <c r="F1421" s="42"/>
      <c r="G1421" s="42"/>
      <c r="H1421" s="42"/>
      <c r="AG1421" s="19">
        <v>1420</v>
      </c>
      <c r="AH1421" s="20">
        <v>1579.4304209905883</v>
      </c>
    </row>
    <row r="1422" spans="1:34" ht="14.5" x14ac:dyDescent="0.35">
      <c r="A1422" s="34"/>
      <c r="B1422" s="35"/>
      <c r="C1422" s="36"/>
      <c r="D1422" s="37"/>
      <c r="E1422" s="36"/>
      <c r="F1422" s="42"/>
      <c r="G1422" s="42"/>
      <c r="H1422" s="42"/>
      <c r="AG1422" s="19">
        <v>1421</v>
      </c>
      <c r="AH1422" s="20">
        <v>539.5620541364093</v>
      </c>
    </row>
    <row r="1423" spans="1:34" ht="14.5" x14ac:dyDescent="0.35">
      <c r="A1423" s="34"/>
      <c r="B1423" s="35"/>
      <c r="C1423" s="36"/>
      <c r="D1423" s="37"/>
      <c r="E1423" s="36"/>
      <c r="F1423" s="42"/>
      <c r="G1423" s="42"/>
      <c r="H1423" s="42"/>
      <c r="AG1423" s="19">
        <v>1422</v>
      </c>
      <c r="AH1423" s="20">
        <v>-1356.5576739252242</v>
      </c>
    </row>
    <row r="1424" spans="1:34" ht="14.5" x14ac:dyDescent="0.35">
      <c r="A1424" s="34"/>
      <c r="B1424" s="35"/>
      <c r="C1424" s="36"/>
      <c r="D1424" s="37"/>
      <c r="E1424" s="36"/>
      <c r="F1424" s="42"/>
      <c r="G1424" s="42"/>
      <c r="H1424" s="42"/>
      <c r="AG1424" s="19">
        <v>1423</v>
      </c>
      <c r="AH1424" s="20">
        <v>2530.6229813474811</v>
      </c>
    </row>
    <row r="1425" spans="1:34" ht="14.5" x14ac:dyDescent="0.35">
      <c r="A1425" s="34"/>
      <c r="B1425" s="35"/>
      <c r="C1425" s="36"/>
      <c r="D1425" s="37"/>
      <c r="E1425" s="36"/>
      <c r="F1425" s="42"/>
      <c r="G1425" s="42"/>
      <c r="H1425" s="42"/>
      <c r="AG1425" s="19">
        <v>1424</v>
      </c>
      <c r="AH1425" s="20">
        <v>-144.34768676883817</v>
      </c>
    </row>
    <row r="1426" spans="1:34" ht="14.5" x14ac:dyDescent="0.35">
      <c r="A1426" s="34"/>
      <c r="B1426" s="35"/>
      <c r="C1426" s="36"/>
      <c r="D1426" s="37"/>
      <c r="E1426" s="36"/>
      <c r="F1426" s="42"/>
      <c r="G1426" s="42"/>
      <c r="H1426" s="42"/>
      <c r="AG1426" s="19">
        <v>1425</v>
      </c>
      <c r="AH1426" s="20">
        <v>520.28596491772907</v>
      </c>
    </row>
    <row r="1427" spans="1:34" ht="14.5" x14ac:dyDescent="0.35">
      <c r="A1427" s="34"/>
      <c r="B1427" s="35"/>
      <c r="C1427" s="36"/>
      <c r="D1427" s="37"/>
      <c r="E1427" s="36"/>
      <c r="F1427" s="42"/>
      <c r="G1427" s="42"/>
      <c r="H1427" s="42"/>
      <c r="AG1427" s="19">
        <v>1426</v>
      </c>
      <c r="AH1427" s="20">
        <v>2007.5018643821863</v>
      </c>
    </row>
    <row r="1428" spans="1:34" ht="14.5" x14ac:dyDescent="0.35">
      <c r="A1428" s="34"/>
      <c r="B1428" s="35"/>
      <c r="C1428" s="36"/>
      <c r="D1428" s="37"/>
      <c r="E1428" s="36"/>
      <c r="F1428" s="42"/>
      <c r="G1428" s="42"/>
      <c r="H1428" s="42"/>
      <c r="AG1428" s="19">
        <v>1427</v>
      </c>
      <c r="AH1428" s="20">
        <v>-2372.2686525740819</v>
      </c>
    </row>
    <row r="1429" spans="1:34" ht="14.5" x14ac:dyDescent="0.35">
      <c r="A1429" s="34"/>
      <c r="B1429" s="35"/>
      <c r="C1429" s="36"/>
      <c r="D1429" s="37"/>
      <c r="E1429" s="36"/>
      <c r="F1429" s="42"/>
      <c r="G1429" s="42"/>
      <c r="H1429" s="42"/>
      <c r="AG1429" s="19">
        <v>1428</v>
      </c>
      <c r="AH1429" s="20">
        <v>3033.0024016860389</v>
      </c>
    </row>
    <row r="1430" spans="1:34" ht="14.5" x14ac:dyDescent="0.35">
      <c r="A1430" s="34"/>
      <c r="B1430" s="35"/>
      <c r="C1430" s="36"/>
      <c r="D1430" s="37"/>
      <c r="E1430" s="36"/>
      <c r="F1430" s="42"/>
      <c r="G1430" s="42"/>
      <c r="H1430" s="42"/>
      <c r="AG1430" s="19">
        <v>1429</v>
      </c>
      <c r="AH1430" s="20">
        <v>-861.74784731732416</v>
      </c>
    </row>
    <row r="1431" spans="1:34" ht="14.5" x14ac:dyDescent="0.35">
      <c r="A1431" s="34"/>
      <c r="B1431" s="35"/>
      <c r="C1431" s="36"/>
      <c r="D1431" s="37"/>
      <c r="E1431" s="36"/>
      <c r="F1431" s="42"/>
      <c r="G1431" s="42"/>
      <c r="H1431" s="42"/>
      <c r="AG1431" s="19">
        <v>1430</v>
      </c>
      <c r="AH1431" s="20">
        <v>2455.505103708459</v>
      </c>
    </row>
    <row r="1432" spans="1:34" ht="14.5" x14ac:dyDescent="0.35">
      <c r="A1432" s="34"/>
      <c r="B1432" s="35"/>
      <c r="C1432" s="36"/>
      <c r="D1432" s="37"/>
      <c r="E1432" s="36"/>
      <c r="F1432" s="42"/>
      <c r="G1432" s="42"/>
      <c r="H1432" s="42"/>
      <c r="AG1432" s="19">
        <v>1431</v>
      </c>
      <c r="AH1432" s="20">
        <v>2562.6092409494486</v>
      </c>
    </row>
    <row r="1433" spans="1:34" ht="14.5" x14ac:dyDescent="0.35">
      <c r="A1433" s="34"/>
      <c r="B1433" s="35"/>
      <c r="C1433" s="36"/>
      <c r="D1433" s="37"/>
      <c r="E1433" s="36"/>
      <c r="F1433" s="42"/>
      <c r="G1433" s="42"/>
      <c r="H1433" s="42"/>
      <c r="AG1433" s="19">
        <v>1432</v>
      </c>
      <c r="AH1433" s="20">
        <v>596.02070472070204</v>
      </c>
    </row>
    <row r="1434" spans="1:34" ht="14.5" x14ac:dyDescent="0.35">
      <c r="A1434" s="34"/>
      <c r="B1434" s="35"/>
      <c r="C1434" s="36"/>
      <c r="D1434" s="37"/>
      <c r="E1434" s="36"/>
      <c r="F1434" s="42"/>
      <c r="G1434" s="42"/>
      <c r="H1434" s="42"/>
      <c r="AG1434" s="19">
        <v>1433</v>
      </c>
      <c r="AH1434" s="20">
        <v>981.61453502907125</v>
      </c>
    </row>
    <row r="1435" spans="1:34" ht="14.5" x14ac:dyDescent="0.35">
      <c r="A1435" s="34"/>
      <c r="B1435" s="35"/>
      <c r="C1435" s="36"/>
      <c r="D1435" s="37"/>
      <c r="E1435" s="36"/>
      <c r="F1435" s="42"/>
      <c r="G1435" s="42"/>
      <c r="H1435" s="42"/>
      <c r="AG1435" s="19">
        <v>1434</v>
      </c>
      <c r="AH1435" s="20">
        <v>-2531.8660502374823</v>
      </c>
    </row>
    <row r="1436" spans="1:34" ht="14.5" x14ac:dyDescent="0.35">
      <c r="A1436" s="34"/>
      <c r="B1436" s="35"/>
      <c r="C1436" s="36"/>
      <c r="D1436" s="37"/>
      <c r="E1436" s="36"/>
      <c r="F1436" s="42"/>
      <c r="G1436" s="42"/>
      <c r="H1436" s="42"/>
      <c r="AG1436" s="19">
        <v>1435</v>
      </c>
      <c r="AH1436" s="20">
        <v>3052.3484622951355</v>
      </c>
    </row>
    <row r="1437" spans="1:34" ht="14.5" x14ac:dyDescent="0.35">
      <c r="A1437" s="34"/>
      <c r="B1437" s="35"/>
      <c r="C1437" s="36"/>
      <c r="D1437" s="37"/>
      <c r="E1437" s="36"/>
      <c r="F1437" s="42"/>
      <c r="G1437" s="42"/>
      <c r="H1437" s="42"/>
      <c r="AG1437" s="19">
        <v>1436</v>
      </c>
      <c r="AH1437" s="20">
        <v>-526.10154993983497</v>
      </c>
    </row>
    <row r="1438" spans="1:34" ht="14.5" x14ac:dyDescent="0.35">
      <c r="A1438" s="34"/>
      <c r="B1438" s="35"/>
      <c r="C1438" s="36"/>
      <c r="D1438" s="37"/>
      <c r="E1438" s="36"/>
      <c r="F1438" s="42"/>
      <c r="G1438" s="42"/>
      <c r="H1438" s="42"/>
      <c r="AG1438" s="19">
        <v>1437</v>
      </c>
      <c r="AH1438" s="20">
        <v>703.74826186390953</v>
      </c>
    </row>
    <row r="1439" spans="1:34" ht="14.5" x14ac:dyDescent="0.35">
      <c r="A1439" s="34"/>
      <c r="B1439" s="35"/>
      <c r="C1439" s="36"/>
      <c r="D1439" s="37"/>
      <c r="E1439" s="36"/>
      <c r="F1439" s="42"/>
      <c r="G1439" s="42"/>
      <c r="H1439" s="42"/>
      <c r="AG1439" s="19">
        <v>1438</v>
      </c>
      <c r="AH1439" s="20">
        <v>282.47422691260635</v>
      </c>
    </row>
    <row r="1440" spans="1:34" ht="14.5" x14ac:dyDescent="0.35">
      <c r="A1440" s="34"/>
      <c r="B1440" s="35"/>
      <c r="C1440" s="36"/>
      <c r="D1440" s="37"/>
      <c r="E1440" s="36"/>
      <c r="F1440" s="42"/>
      <c r="G1440" s="42"/>
      <c r="H1440" s="42"/>
      <c r="AG1440" s="19">
        <v>1439</v>
      </c>
      <c r="AH1440" s="20">
        <v>414.38851074136841</v>
      </c>
    </row>
    <row r="1441" spans="1:34" ht="14.5" x14ac:dyDescent="0.35">
      <c r="A1441" s="34"/>
      <c r="B1441" s="35"/>
      <c r="C1441" s="36"/>
      <c r="D1441" s="37"/>
      <c r="E1441" s="36"/>
      <c r="F1441" s="42"/>
      <c r="G1441" s="42"/>
      <c r="H1441" s="42"/>
      <c r="AG1441" s="19">
        <v>1440</v>
      </c>
      <c r="AH1441" s="20">
        <v>758.03018925487697</v>
      </c>
    </row>
    <row r="1442" spans="1:34" ht="14.5" x14ac:dyDescent="0.35">
      <c r="A1442" s="34"/>
      <c r="B1442" s="35"/>
      <c r="C1442" s="36"/>
      <c r="D1442" s="37"/>
      <c r="E1442" s="36"/>
      <c r="F1442" s="42"/>
      <c r="G1442" s="42"/>
      <c r="H1442" s="42"/>
      <c r="AG1442" s="19">
        <v>1441</v>
      </c>
      <c r="AH1442" s="20">
        <v>3045.9326158012682</v>
      </c>
    </row>
    <row r="1443" spans="1:34" ht="14.5" x14ac:dyDescent="0.35">
      <c r="A1443" s="34"/>
      <c r="B1443" s="35"/>
      <c r="C1443" s="36"/>
      <c r="D1443" s="37"/>
      <c r="E1443" s="36"/>
      <c r="F1443" s="42"/>
      <c r="G1443" s="42"/>
      <c r="H1443" s="42"/>
      <c r="AG1443" s="19">
        <v>1442</v>
      </c>
      <c r="AH1443" s="20">
        <v>3176.9669077976182</v>
      </c>
    </row>
    <row r="1444" spans="1:34" ht="14.5" x14ac:dyDescent="0.35">
      <c r="A1444" s="34"/>
      <c r="B1444" s="35"/>
      <c r="C1444" s="36"/>
      <c r="D1444" s="37"/>
      <c r="E1444" s="36"/>
      <c r="F1444" s="42"/>
      <c r="G1444" s="42"/>
      <c r="H1444" s="42"/>
      <c r="AG1444" s="19">
        <v>1443</v>
      </c>
      <c r="AH1444" s="20">
        <v>-280.25000787535629</v>
      </c>
    </row>
    <row r="1445" spans="1:34" ht="14.5" x14ac:dyDescent="0.35">
      <c r="A1445" s="34"/>
      <c r="B1445" s="35"/>
      <c r="C1445" s="36"/>
      <c r="D1445" s="37"/>
      <c r="E1445" s="36"/>
      <c r="F1445" s="42"/>
      <c r="G1445" s="42"/>
      <c r="H1445" s="42"/>
      <c r="AG1445" s="19">
        <v>1444</v>
      </c>
      <c r="AH1445" s="20">
        <v>3492.072387536733</v>
      </c>
    </row>
    <row r="1446" spans="1:34" ht="14.5" x14ac:dyDescent="0.35">
      <c r="A1446" s="34"/>
      <c r="B1446" s="35"/>
      <c r="C1446" s="36"/>
      <c r="D1446" s="37"/>
      <c r="E1446" s="36"/>
      <c r="F1446" s="42"/>
      <c r="G1446" s="42"/>
      <c r="H1446" s="42"/>
      <c r="AG1446" s="19">
        <v>1445</v>
      </c>
      <c r="AH1446" s="20">
        <v>-2642.4296914683432</v>
      </c>
    </row>
    <row r="1447" spans="1:34" ht="14.5" x14ac:dyDescent="0.35">
      <c r="A1447" s="34"/>
      <c r="B1447" s="35"/>
      <c r="C1447" s="36"/>
      <c r="D1447" s="37"/>
      <c r="E1447" s="36"/>
      <c r="F1447" s="42"/>
      <c r="G1447" s="42"/>
      <c r="H1447" s="42"/>
      <c r="AG1447" s="19">
        <v>1446</v>
      </c>
      <c r="AH1447" s="20">
        <v>685.64485208192241</v>
      </c>
    </row>
    <row r="1448" spans="1:34" ht="14.5" x14ac:dyDescent="0.35">
      <c r="A1448" s="34"/>
      <c r="B1448" s="35"/>
      <c r="C1448" s="36"/>
      <c r="D1448" s="37"/>
      <c r="E1448" s="36"/>
      <c r="F1448" s="42"/>
      <c r="G1448" s="42"/>
      <c r="H1448" s="42"/>
      <c r="AG1448" s="19">
        <v>1447</v>
      </c>
      <c r="AH1448" s="20">
        <v>202.75304554941252</v>
      </c>
    </row>
    <row r="1449" spans="1:34" ht="14.5" x14ac:dyDescent="0.35">
      <c r="A1449" s="34"/>
      <c r="B1449" s="35"/>
      <c r="C1449" s="36"/>
      <c r="D1449" s="37"/>
      <c r="E1449" s="36"/>
      <c r="F1449" s="42"/>
      <c r="G1449" s="42"/>
      <c r="H1449" s="42"/>
      <c r="AG1449" s="19">
        <v>1448</v>
      </c>
      <c r="AH1449" s="20">
        <v>2560.4659697377433</v>
      </c>
    </row>
    <row r="1450" spans="1:34" ht="14.5" x14ac:dyDescent="0.35">
      <c r="A1450" s="34"/>
      <c r="B1450" s="35"/>
      <c r="C1450" s="36"/>
      <c r="D1450" s="37"/>
      <c r="E1450" s="36"/>
      <c r="F1450" s="42"/>
      <c r="G1450" s="42"/>
      <c r="H1450" s="42"/>
      <c r="AG1450" s="19">
        <v>1449</v>
      </c>
      <c r="AH1450" s="20">
        <v>-3120.4257652363895</v>
      </c>
    </row>
    <row r="1451" spans="1:34" ht="14.5" x14ac:dyDescent="0.35">
      <c r="A1451" s="34"/>
      <c r="B1451" s="35"/>
      <c r="C1451" s="36"/>
      <c r="D1451" s="37"/>
      <c r="E1451" s="36"/>
      <c r="F1451" s="42"/>
      <c r="G1451" s="42"/>
      <c r="H1451" s="42"/>
      <c r="AG1451" s="19">
        <v>1450</v>
      </c>
      <c r="AH1451" s="20">
        <v>-319.94846253456325</v>
      </c>
    </row>
    <row r="1452" spans="1:34" ht="14.5" x14ac:dyDescent="0.35">
      <c r="A1452" s="34"/>
      <c r="B1452" s="35"/>
      <c r="C1452" s="36"/>
      <c r="D1452" s="37"/>
      <c r="E1452" s="36"/>
      <c r="F1452" s="42"/>
      <c r="G1452" s="42"/>
      <c r="H1452" s="42"/>
      <c r="AG1452" s="19">
        <v>1451</v>
      </c>
      <c r="AH1452" s="20">
        <v>-396.2768933877822</v>
      </c>
    </row>
    <row r="1453" spans="1:34" ht="14.5" x14ac:dyDescent="0.35">
      <c r="A1453" s="34"/>
      <c r="B1453" s="35"/>
      <c r="C1453" s="36"/>
      <c r="D1453" s="37"/>
      <c r="E1453" s="36"/>
      <c r="F1453" s="42"/>
      <c r="G1453" s="42"/>
      <c r="H1453" s="42"/>
      <c r="AG1453" s="19">
        <v>1452</v>
      </c>
      <c r="AH1453" s="20">
        <v>2897.8479102157398</v>
      </c>
    </row>
    <row r="1454" spans="1:34" ht="14.5" x14ac:dyDescent="0.35">
      <c r="A1454" s="34"/>
      <c r="B1454" s="35"/>
      <c r="C1454" s="36"/>
      <c r="D1454" s="37"/>
      <c r="E1454" s="36"/>
      <c r="F1454" s="42"/>
      <c r="G1454" s="42"/>
      <c r="H1454" s="42"/>
      <c r="AG1454" s="19">
        <v>1453</v>
      </c>
      <c r="AH1454" s="20">
        <v>2948.7256210708279</v>
      </c>
    </row>
    <row r="1455" spans="1:34" ht="14.5" x14ac:dyDescent="0.35">
      <c r="A1455" s="34"/>
      <c r="B1455" s="35"/>
      <c r="C1455" s="36"/>
      <c r="D1455" s="37"/>
      <c r="E1455" s="36"/>
      <c r="F1455" s="42"/>
      <c r="G1455" s="42"/>
      <c r="H1455" s="42"/>
      <c r="AG1455" s="19">
        <v>1454</v>
      </c>
      <c r="AH1455" s="20">
        <v>5637.6736476623555</v>
      </c>
    </row>
    <row r="1456" spans="1:34" ht="14.5" x14ac:dyDescent="0.35">
      <c r="A1456" s="34"/>
      <c r="B1456" s="35"/>
      <c r="C1456" s="36"/>
      <c r="D1456" s="37"/>
      <c r="E1456" s="36"/>
      <c r="F1456" s="42"/>
      <c r="G1456" s="42"/>
      <c r="H1456" s="42"/>
      <c r="AG1456" s="19">
        <v>1455</v>
      </c>
      <c r="AH1456" s="20">
        <v>4876.6066206703863</v>
      </c>
    </row>
    <row r="1457" spans="1:34" ht="14.5" x14ac:dyDescent="0.35">
      <c r="A1457" s="34"/>
      <c r="B1457" s="35"/>
      <c r="C1457" s="36"/>
      <c r="D1457" s="37"/>
      <c r="E1457" s="36"/>
      <c r="F1457" s="42"/>
      <c r="G1457" s="42"/>
      <c r="H1457" s="42"/>
      <c r="AG1457" s="19">
        <v>1456</v>
      </c>
      <c r="AH1457" s="20">
        <v>2655.0797664569182</v>
      </c>
    </row>
    <row r="1458" spans="1:34" ht="14.5" x14ac:dyDescent="0.35">
      <c r="A1458" s="34"/>
      <c r="B1458" s="35"/>
      <c r="C1458" s="36"/>
      <c r="D1458" s="37"/>
      <c r="E1458" s="36"/>
      <c r="F1458" s="42"/>
      <c r="G1458" s="42"/>
      <c r="H1458" s="42"/>
      <c r="AG1458" s="19">
        <v>1457</v>
      </c>
      <c r="AH1458" s="20">
        <v>2945.1511077757809</v>
      </c>
    </row>
    <row r="1459" spans="1:34" ht="14.5" x14ac:dyDescent="0.35">
      <c r="A1459" s="34"/>
      <c r="B1459" s="35"/>
      <c r="C1459" s="36"/>
      <c r="D1459" s="37"/>
      <c r="E1459" s="36"/>
      <c r="F1459" s="42"/>
      <c r="G1459" s="42"/>
      <c r="H1459" s="42"/>
      <c r="AG1459" s="19">
        <v>1458</v>
      </c>
      <c r="AH1459" s="20">
        <v>-42.647491858997171</v>
      </c>
    </row>
    <row r="1460" spans="1:34" ht="14.5" x14ac:dyDescent="0.35">
      <c r="A1460" s="34"/>
      <c r="B1460" s="35"/>
      <c r="C1460" s="36"/>
      <c r="D1460" s="37"/>
      <c r="E1460" s="36"/>
      <c r="F1460" s="42"/>
      <c r="G1460" s="42"/>
      <c r="H1460" s="42"/>
      <c r="AG1460" s="19">
        <v>1459</v>
      </c>
      <c r="AH1460" s="20">
        <v>1806.7115397287457</v>
      </c>
    </row>
    <row r="1461" spans="1:34" ht="14.5" x14ac:dyDescent="0.35">
      <c r="A1461" s="34"/>
      <c r="B1461" s="35"/>
      <c r="C1461" s="36"/>
      <c r="D1461" s="37"/>
      <c r="E1461" s="36"/>
      <c r="F1461" s="42"/>
      <c r="G1461" s="42"/>
      <c r="H1461" s="42"/>
      <c r="AG1461" s="19">
        <v>1460</v>
      </c>
      <c r="AH1461" s="20">
        <v>-2516.1037312017556</v>
      </c>
    </row>
    <row r="1462" spans="1:34" ht="14.5" x14ac:dyDescent="0.35">
      <c r="A1462" s="34"/>
      <c r="B1462" s="35"/>
      <c r="C1462" s="36"/>
      <c r="D1462" s="37"/>
      <c r="E1462" s="36"/>
      <c r="F1462" s="42"/>
      <c r="G1462" s="42"/>
      <c r="H1462" s="42"/>
      <c r="AG1462" s="19">
        <v>1461</v>
      </c>
      <c r="AH1462" s="20">
        <v>2204.695882958842</v>
      </c>
    </row>
    <row r="1463" spans="1:34" ht="14.5" x14ac:dyDescent="0.35">
      <c r="A1463" s="34"/>
      <c r="B1463" s="35"/>
      <c r="C1463" s="36"/>
      <c r="D1463" s="37"/>
      <c r="E1463" s="36"/>
      <c r="F1463" s="42"/>
      <c r="G1463" s="42"/>
      <c r="H1463" s="42"/>
      <c r="AG1463" s="19">
        <v>1462</v>
      </c>
      <c r="AH1463" s="20">
        <v>9.1418775404666803</v>
      </c>
    </row>
    <row r="1464" spans="1:34" ht="14.5" x14ac:dyDescent="0.35">
      <c r="A1464" s="34"/>
      <c r="B1464" s="35"/>
      <c r="C1464" s="36"/>
      <c r="D1464" s="37"/>
      <c r="E1464" s="36"/>
      <c r="F1464" s="42"/>
      <c r="G1464" s="42"/>
      <c r="H1464" s="42"/>
      <c r="AG1464" s="19">
        <v>1463</v>
      </c>
      <c r="AH1464" s="20">
        <v>-2007.1734699567739</v>
      </c>
    </row>
    <row r="1465" spans="1:34" ht="14.5" x14ac:dyDescent="0.35">
      <c r="A1465" s="34"/>
      <c r="B1465" s="35"/>
      <c r="C1465" s="36"/>
      <c r="D1465" s="37"/>
      <c r="E1465" s="36"/>
      <c r="F1465" s="42"/>
      <c r="G1465" s="42"/>
      <c r="H1465" s="42"/>
      <c r="AG1465" s="19">
        <v>1464</v>
      </c>
      <c r="AH1465" s="20">
        <v>1663.5839953438967</v>
      </c>
    </row>
    <row r="1466" spans="1:34" ht="14.5" x14ac:dyDescent="0.35">
      <c r="A1466" s="34"/>
      <c r="B1466" s="35"/>
      <c r="C1466" s="36"/>
      <c r="D1466" s="37"/>
      <c r="E1466" s="36"/>
      <c r="F1466" s="42"/>
      <c r="G1466" s="42"/>
      <c r="H1466" s="42"/>
      <c r="AG1466" s="19">
        <v>1465</v>
      </c>
      <c r="AH1466" s="20">
        <v>128.98707745896104</v>
      </c>
    </row>
    <row r="1467" spans="1:34" ht="14.5" x14ac:dyDescent="0.35">
      <c r="A1467" s="34"/>
      <c r="B1467" s="35"/>
      <c r="C1467" s="36"/>
      <c r="D1467" s="37"/>
      <c r="E1467" s="36"/>
      <c r="F1467" s="42"/>
      <c r="G1467" s="42"/>
      <c r="H1467" s="42"/>
      <c r="AG1467" s="19">
        <v>1466</v>
      </c>
      <c r="AH1467" s="20">
        <v>-507.48123987723642</v>
      </c>
    </row>
    <row r="1468" spans="1:34" ht="14.5" x14ac:dyDescent="0.35">
      <c r="A1468" s="34"/>
      <c r="B1468" s="35"/>
      <c r="C1468" s="36"/>
      <c r="D1468" s="37"/>
      <c r="E1468" s="36"/>
      <c r="F1468" s="42"/>
      <c r="G1468" s="42"/>
      <c r="H1468" s="42"/>
      <c r="AG1468" s="19">
        <v>1467</v>
      </c>
      <c r="AH1468" s="20">
        <v>-2084.42661674389</v>
      </c>
    </row>
    <row r="1469" spans="1:34" ht="14.5" x14ac:dyDescent="0.35">
      <c r="A1469" s="34"/>
      <c r="B1469" s="35"/>
      <c r="C1469" s="36"/>
      <c r="D1469" s="37"/>
      <c r="E1469" s="36"/>
      <c r="F1469" s="42"/>
      <c r="G1469" s="42"/>
      <c r="H1469" s="42"/>
      <c r="AG1469" s="19">
        <v>1468</v>
      </c>
      <c r="AH1469" s="20">
        <v>-2871.0041094348867</v>
      </c>
    </row>
    <row r="1470" spans="1:34" ht="14.5" x14ac:dyDescent="0.35">
      <c r="A1470" s="34"/>
      <c r="B1470" s="35"/>
      <c r="C1470" s="36"/>
      <c r="D1470" s="37"/>
      <c r="E1470" s="36"/>
      <c r="F1470" s="42"/>
      <c r="G1470" s="42"/>
      <c r="H1470" s="42"/>
      <c r="AG1470" s="19">
        <v>1469</v>
      </c>
      <c r="AH1470" s="20">
        <v>-1968.9697147492191</v>
      </c>
    </row>
    <row r="1471" spans="1:34" ht="14.5" x14ac:dyDescent="0.35">
      <c r="A1471" s="34"/>
      <c r="B1471" s="35"/>
      <c r="C1471" s="36"/>
      <c r="D1471" s="37"/>
      <c r="E1471" s="36"/>
      <c r="F1471" s="42"/>
      <c r="G1471" s="42"/>
      <c r="H1471" s="42"/>
      <c r="AG1471" s="19">
        <v>1470</v>
      </c>
      <c r="AH1471" s="20">
        <v>106.61577572057564</v>
      </c>
    </row>
    <row r="1472" spans="1:34" ht="14.5" x14ac:dyDescent="0.35">
      <c r="A1472" s="34"/>
      <c r="B1472" s="35"/>
      <c r="C1472" s="36"/>
      <c r="D1472" s="37"/>
      <c r="E1472" s="36"/>
      <c r="F1472" s="42"/>
      <c r="G1472" s="42"/>
      <c r="H1472" s="42"/>
      <c r="AG1472" s="19">
        <v>1471</v>
      </c>
      <c r="AH1472" s="20">
        <v>-1181.7963870937301</v>
      </c>
    </row>
    <row r="1473" spans="1:34" ht="14.5" x14ac:dyDescent="0.35">
      <c r="A1473" s="34"/>
      <c r="B1473" s="35"/>
      <c r="C1473" s="36"/>
      <c r="D1473" s="37"/>
      <c r="E1473" s="36"/>
      <c r="F1473" s="42"/>
      <c r="G1473" s="42"/>
      <c r="H1473" s="42"/>
      <c r="AG1473" s="19">
        <v>1472</v>
      </c>
      <c r="AH1473" s="20">
        <v>-107.2791875624618</v>
      </c>
    </row>
    <row r="1474" spans="1:34" ht="14.5" x14ac:dyDescent="0.35">
      <c r="A1474" s="34"/>
      <c r="B1474" s="35"/>
      <c r="C1474" s="36"/>
      <c r="D1474" s="37"/>
      <c r="E1474" s="36"/>
      <c r="F1474" s="42"/>
      <c r="G1474" s="42"/>
      <c r="H1474" s="42"/>
      <c r="AG1474" s="19">
        <v>1473</v>
      </c>
      <c r="AH1474" s="20">
        <v>148.73878486525888</v>
      </c>
    </row>
    <row r="1475" spans="1:34" ht="14.5" x14ac:dyDescent="0.35">
      <c r="A1475" s="34"/>
      <c r="B1475" s="35"/>
      <c r="C1475" s="36"/>
      <c r="D1475" s="37"/>
      <c r="E1475" s="36"/>
      <c r="F1475" s="42"/>
      <c r="G1475" s="42"/>
      <c r="H1475" s="42"/>
      <c r="AG1475" s="19">
        <v>1474</v>
      </c>
      <c r="AH1475" s="20">
        <v>-703.98494064193164</v>
      </c>
    </row>
    <row r="1476" spans="1:34" ht="14.5" x14ac:dyDescent="0.35">
      <c r="A1476" s="34"/>
      <c r="B1476" s="35"/>
      <c r="C1476" s="36"/>
      <c r="D1476" s="37"/>
      <c r="E1476" s="36"/>
      <c r="F1476" s="42"/>
      <c r="G1476" s="42"/>
      <c r="H1476" s="42"/>
      <c r="AG1476" s="19">
        <v>1475</v>
      </c>
      <c r="AH1476" s="20">
        <v>186.99666457841727</v>
      </c>
    </row>
    <row r="1477" spans="1:34" ht="14.5" x14ac:dyDescent="0.35">
      <c r="A1477" s="34"/>
      <c r="B1477" s="35"/>
      <c r="C1477" s="36"/>
      <c r="D1477" s="37"/>
      <c r="E1477" s="36"/>
      <c r="F1477" s="42"/>
      <c r="G1477" s="42"/>
      <c r="H1477" s="42"/>
      <c r="AG1477" s="19">
        <v>1476</v>
      </c>
      <c r="AH1477" s="20">
        <v>1376.7799502638129</v>
      </c>
    </row>
    <row r="1478" spans="1:34" ht="14.5" x14ac:dyDescent="0.35">
      <c r="A1478" s="34"/>
      <c r="B1478" s="35"/>
      <c r="C1478" s="36"/>
      <c r="D1478" s="37"/>
      <c r="E1478" s="36"/>
      <c r="F1478" s="42"/>
      <c r="G1478" s="42"/>
      <c r="H1478" s="42"/>
      <c r="AG1478" s="19">
        <v>1477</v>
      </c>
      <c r="AH1478" s="20">
        <v>1510.0832715874774</v>
      </c>
    </row>
    <row r="1479" spans="1:34" ht="14.5" x14ac:dyDescent="0.35">
      <c r="A1479" s="34"/>
      <c r="B1479" s="35"/>
      <c r="C1479" s="36"/>
      <c r="D1479" s="37"/>
      <c r="E1479" s="36"/>
      <c r="F1479" s="42"/>
      <c r="G1479" s="42"/>
      <c r="H1479" s="42"/>
      <c r="AG1479" s="19">
        <v>1478</v>
      </c>
      <c r="AH1479" s="20">
        <v>585.21281282204166</v>
      </c>
    </row>
    <row r="1480" spans="1:34" ht="14.5" x14ac:dyDescent="0.35">
      <c r="A1480" s="34"/>
      <c r="B1480" s="35"/>
      <c r="C1480" s="36"/>
      <c r="D1480" s="37"/>
      <c r="E1480" s="36"/>
      <c r="F1480" s="42"/>
      <c r="G1480" s="42"/>
      <c r="H1480" s="42"/>
      <c r="AG1480" s="19">
        <v>1479</v>
      </c>
      <c r="AH1480" s="20">
        <v>333.02433031549117</v>
      </c>
    </row>
    <row r="1481" spans="1:34" ht="14.5" x14ac:dyDescent="0.35">
      <c r="A1481" s="34"/>
      <c r="B1481" s="35"/>
      <c r="C1481" s="36"/>
      <c r="D1481" s="37"/>
      <c r="E1481" s="36"/>
      <c r="F1481" s="42"/>
      <c r="G1481" s="42"/>
      <c r="H1481" s="42"/>
      <c r="AG1481" s="19">
        <v>1480</v>
      </c>
      <c r="AH1481" s="20">
        <v>492.89823702557908</v>
      </c>
    </row>
    <row r="1482" spans="1:34" ht="14.5" x14ac:dyDescent="0.35">
      <c r="A1482" s="34"/>
      <c r="B1482" s="35"/>
      <c r="C1482" s="36"/>
      <c r="D1482" s="37"/>
      <c r="E1482" s="36"/>
      <c r="F1482" s="42"/>
      <c r="G1482" s="42"/>
      <c r="H1482" s="42"/>
      <c r="AG1482" s="19">
        <v>1481</v>
      </c>
      <c r="AH1482" s="20">
        <v>1101.8248969483579</v>
      </c>
    </row>
    <row r="1483" spans="1:34" ht="14.5" x14ac:dyDescent="0.35">
      <c r="A1483" s="34"/>
      <c r="B1483" s="35"/>
      <c r="C1483" s="36"/>
      <c r="D1483" s="37"/>
      <c r="E1483" s="36"/>
      <c r="F1483" s="42"/>
      <c r="G1483" s="42"/>
      <c r="H1483" s="42"/>
      <c r="AG1483" s="19">
        <v>1482</v>
      </c>
      <c r="AH1483" s="20">
        <v>-2803.6246598062644</v>
      </c>
    </row>
    <row r="1484" spans="1:34" ht="14.5" x14ac:dyDescent="0.35">
      <c r="A1484" s="34"/>
      <c r="B1484" s="35"/>
      <c r="C1484" s="36"/>
      <c r="D1484" s="37"/>
      <c r="E1484" s="36"/>
      <c r="F1484" s="42"/>
      <c r="G1484" s="42"/>
      <c r="H1484" s="42"/>
      <c r="AG1484" s="19">
        <v>1483</v>
      </c>
      <c r="AH1484" s="20">
        <v>1476.6902198636647</v>
      </c>
    </row>
    <row r="1485" spans="1:34" ht="14.5" x14ac:dyDescent="0.35">
      <c r="A1485" s="34"/>
      <c r="B1485" s="35"/>
      <c r="C1485" s="36"/>
      <c r="D1485" s="37"/>
      <c r="E1485" s="36"/>
      <c r="F1485" s="42"/>
      <c r="G1485" s="42"/>
      <c r="H1485" s="42"/>
      <c r="AG1485" s="19">
        <v>1484</v>
      </c>
      <c r="AH1485" s="20">
        <v>890.13321369809842</v>
      </c>
    </row>
    <row r="1486" spans="1:34" ht="14.5" x14ac:dyDescent="0.35">
      <c r="A1486" s="34"/>
      <c r="B1486" s="35"/>
      <c r="C1486" s="36"/>
      <c r="D1486" s="37"/>
      <c r="E1486" s="36"/>
      <c r="F1486" s="42"/>
      <c r="G1486" s="42"/>
      <c r="H1486" s="42"/>
      <c r="AG1486" s="19">
        <v>1485</v>
      </c>
      <c r="AH1486" s="20">
        <v>3421.2070101153504</v>
      </c>
    </row>
    <row r="1487" spans="1:34" ht="14.5" x14ac:dyDescent="0.35">
      <c r="A1487" s="34"/>
      <c r="B1487" s="35"/>
      <c r="C1487" s="36"/>
      <c r="D1487" s="37"/>
      <c r="E1487" s="36"/>
      <c r="F1487" s="42"/>
      <c r="G1487" s="42"/>
      <c r="H1487" s="42"/>
      <c r="AG1487" s="19">
        <v>1486</v>
      </c>
      <c r="AH1487" s="20">
        <v>651.43133731891771</v>
      </c>
    </row>
    <row r="1488" spans="1:34" ht="14.5" x14ac:dyDescent="0.35">
      <c r="A1488" s="34"/>
      <c r="B1488" s="35"/>
      <c r="C1488" s="36"/>
      <c r="D1488" s="37"/>
      <c r="E1488" s="36"/>
      <c r="F1488" s="42"/>
      <c r="G1488" s="42"/>
      <c r="H1488" s="42"/>
      <c r="AG1488" s="19">
        <v>1487</v>
      </c>
      <c r="AH1488" s="20">
        <v>-261.73489014097851</v>
      </c>
    </row>
    <row r="1489" spans="1:34" ht="14.5" x14ac:dyDescent="0.35">
      <c r="A1489" s="34"/>
      <c r="B1489" s="35"/>
      <c r="C1489" s="36"/>
      <c r="D1489" s="37"/>
      <c r="E1489" s="36"/>
      <c r="F1489" s="42"/>
      <c r="G1489" s="42"/>
      <c r="H1489" s="42"/>
      <c r="AG1489" s="19">
        <v>1488</v>
      </c>
      <c r="AH1489" s="20">
        <v>485.30204610996225</v>
      </c>
    </row>
    <row r="1490" spans="1:34" ht="14.5" x14ac:dyDescent="0.35">
      <c r="A1490" s="34"/>
      <c r="B1490" s="35"/>
      <c r="C1490" s="36"/>
      <c r="D1490" s="37"/>
      <c r="E1490" s="36"/>
      <c r="F1490" s="42"/>
      <c r="G1490" s="42"/>
      <c r="H1490" s="42"/>
      <c r="AG1490" s="19">
        <v>1489</v>
      </c>
      <c r="AH1490" s="20">
        <v>1997.8377722485336</v>
      </c>
    </row>
    <row r="1491" spans="1:34" ht="14.5" x14ac:dyDescent="0.35">
      <c r="A1491" s="34"/>
      <c r="B1491" s="35"/>
      <c r="C1491" s="36"/>
      <c r="D1491" s="37"/>
      <c r="E1491" s="36"/>
      <c r="F1491" s="42"/>
      <c r="G1491" s="42"/>
      <c r="H1491" s="42"/>
      <c r="AG1491" s="19">
        <v>1490</v>
      </c>
      <c r="AH1491" s="20">
        <v>-1686.1163039392329</v>
      </c>
    </row>
    <row r="1492" spans="1:34" ht="14.5" x14ac:dyDescent="0.35">
      <c r="A1492" s="34"/>
      <c r="B1492" s="35"/>
      <c r="C1492" s="36"/>
      <c r="D1492" s="37"/>
      <c r="E1492" s="36"/>
      <c r="F1492" s="42"/>
      <c r="G1492" s="42"/>
      <c r="H1492" s="42"/>
      <c r="AG1492" s="19">
        <v>1491</v>
      </c>
      <c r="AH1492" s="20">
        <v>3613.1620020052706</v>
      </c>
    </row>
    <row r="1493" spans="1:34" ht="14.5" x14ac:dyDescent="0.35">
      <c r="A1493" s="34"/>
      <c r="B1493" s="35"/>
      <c r="C1493" s="36"/>
      <c r="D1493" s="37"/>
      <c r="E1493" s="36"/>
      <c r="F1493" s="42"/>
      <c r="G1493" s="42"/>
      <c r="H1493" s="42"/>
      <c r="AG1493" s="19">
        <v>1492</v>
      </c>
      <c r="AH1493" s="20">
        <v>-1386.9654955190308</v>
      </c>
    </row>
    <row r="1494" spans="1:34" ht="14.5" x14ac:dyDescent="0.35">
      <c r="A1494" s="34"/>
      <c r="B1494" s="35"/>
      <c r="C1494" s="36"/>
      <c r="D1494" s="37"/>
      <c r="E1494" s="36"/>
      <c r="F1494" s="42"/>
      <c r="G1494" s="42"/>
      <c r="H1494" s="42"/>
      <c r="AG1494" s="19">
        <v>1493</v>
      </c>
      <c r="AH1494" s="20">
        <v>-363.24343509374768</v>
      </c>
    </row>
    <row r="1495" spans="1:34" ht="14.5" x14ac:dyDescent="0.35">
      <c r="A1495" s="34"/>
      <c r="B1495" s="35"/>
      <c r="C1495" s="36"/>
      <c r="D1495" s="37"/>
      <c r="E1495" s="36"/>
      <c r="F1495" s="42"/>
      <c r="G1495" s="42"/>
      <c r="H1495" s="42"/>
      <c r="AG1495" s="19">
        <v>1494</v>
      </c>
      <c r="AH1495" s="20">
        <v>-655.57697110200888</v>
      </c>
    </row>
    <row r="1496" spans="1:34" ht="14.5" x14ac:dyDescent="0.35">
      <c r="A1496" s="34"/>
      <c r="B1496" s="35"/>
      <c r="C1496" s="36"/>
      <c r="D1496" s="37"/>
      <c r="E1496" s="36"/>
      <c r="F1496" s="42"/>
      <c r="G1496" s="42"/>
      <c r="H1496" s="42"/>
      <c r="AG1496" s="19">
        <v>1495</v>
      </c>
      <c r="AH1496" s="20">
        <v>-164.70924905811779</v>
      </c>
    </row>
    <row r="1497" spans="1:34" ht="14.5" x14ac:dyDescent="0.35">
      <c r="A1497" s="34"/>
      <c r="B1497" s="35"/>
      <c r="C1497" s="36"/>
      <c r="D1497" s="37"/>
      <c r="E1497" s="36"/>
      <c r="F1497" s="42"/>
      <c r="G1497" s="42"/>
      <c r="H1497" s="42"/>
      <c r="AG1497" s="19">
        <v>1496</v>
      </c>
      <c r="AH1497" s="20">
        <v>-2853.1724673500285</v>
      </c>
    </row>
    <row r="1498" spans="1:34" ht="14.5" x14ac:dyDescent="0.35">
      <c r="A1498" s="34"/>
      <c r="B1498" s="35"/>
      <c r="C1498" s="36"/>
      <c r="D1498" s="37"/>
      <c r="E1498" s="36"/>
      <c r="F1498" s="42"/>
      <c r="G1498" s="42"/>
      <c r="H1498" s="42"/>
      <c r="AG1498" s="19">
        <v>1497</v>
      </c>
      <c r="AH1498" s="20">
        <v>4188.1593035092683</v>
      </c>
    </row>
    <row r="1499" spans="1:34" ht="14.5" x14ac:dyDescent="0.35">
      <c r="A1499" s="34"/>
      <c r="B1499" s="35"/>
      <c r="C1499" s="36"/>
      <c r="D1499" s="37"/>
      <c r="E1499" s="36"/>
      <c r="F1499" s="42"/>
      <c r="G1499" s="42"/>
      <c r="H1499" s="42"/>
      <c r="AG1499" s="19">
        <v>1498</v>
      </c>
      <c r="AH1499" s="20">
        <v>764.33649015067454</v>
      </c>
    </row>
    <row r="1500" spans="1:34" ht="14.5" x14ac:dyDescent="0.35">
      <c r="A1500" s="34"/>
      <c r="B1500" s="35"/>
      <c r="C1500" s="36"/>
      <c r="D1500" s="37"/>
      <c r="E1500" s="36"/>
      <c r="F1500" s="42"/>
      <c r="G1500" s="42"/>
      <c r="H1500" s="42"/>
      <c r="AG1500" s="19">
        <v>1499</v>
      </c>
      <c r="AH1500" s="20">
        <v>1784.9343940140343</v>
      </c>
    </row>
    <row r="1501" spans="1:34" ht="14.5" x14ac:dyDescent="0.35">
      <c r="A1501" s="34"/>
      <c r="B1501" s="35"/>
      <c r="C1501" s="36"/>
      <c r="D1501" s="37"/>
      <c r="E1501" s="36"/>
      <c r="F1501" s="42"/>
      <c r="G1501" s="42"/>
      <c r="H1501" s="42"/>
      <c r="AG1501" s="19">
        <v>1500</v>
      </c>
      <c r="AH1501" s="20">
        <v>-341.62555082640364</v>
      </c>
    </row>
    <row r="1502" spans="1:34" ht="14.5" x14ac:dyDescent="0.35">
      <c r="A1502" s="34"/>
      <c r="B1502" s="35"/>
      <c r="C1502" s="36"/>
      <c r="D1502" s="37"/>
      <c r="E1502" s="36"/>
      <c r="F1502" s="42"/>
      <c r="G1502" s="42"/>
      <c r="H1502" s="42"/>
      <c r="AG1502" s="19">
        <v>1501</v>
      </c>
      <c r="AH1502" s="20">
        <v>-717.81240262333631</v>
      </c>
    </row>
    <row r="1503" spans="1:34" ht="14.5" x14ac:dyDescent="0.35">
      <c r="A1503" s="34"/>
      <c r="B1503" s="35"/>
      <c r="C1503" s="36"/>
      <c r="D1503" s="37"/>
      <c r="E1503" s="36"/>
      <c r="F1503" s="42"/>
      <c r="G1503" s="42"/>
      <c r="H1503" s="42"/>
      <c r="AG1503" s="19">
        <v>1502</v>
      </c>
      <c r="AH1503" s="20">
        <v>-716.84673920175874</v>
      </c>
    </row>
    <row r="1504" spans="1:34" ht="14.5" x14ac:dyDescent="0.35">
      <c r="A1504" s="34"/>
      <c r="B1504" s="35"/>
      <c r="C1504" s="36"/>
      <c r="D1504" s="37"/>
      <c r="E1504" s="36"/>
      <c r="F1504" s="42"/>
      <c r="G1504" s="42"/>
      <c r="H1504" s="42"/>
      <c r="AG1504" s="19">
        <v>1503</v>
      </c>
      <c r="AH1504" s="20">
        <v>2692.6877685155628</v>
      </c>
    </row>
    <row r="1505" spans="1:34" ht="14.5" x14ac:dyDescent="0.35">
      <c r="A1505" s="34"/>
      <c r="B1505" s="35"/>
      <c r="C1505" s="36"/>
      <c r="D1505" s="37"/>
      <c r="E1505" s="36"/>
      <c r="F1505" s="42"/>
      <c r="G1505" s="42"/>
      <c r="H1505" s="42"/>
      <c r="AG1505" s="19">
        <v>1504</v>
      </c>
      <c r="AH1505" s="20">
        <v>5552.1936044976028</v>
      </c>
    </row>
    <row r="1506" spans="1:34" ht="14.5" x14ac:dyDescent="0.35">
      <c r="A1506" s="34"/>
      <c r="B1506" s="35"/>
      <c r="C1506" s="36"/>
      <c r="D1506" s="37"/>
      <c r="E1506" s="36"/>
      <c r="F1506" s="42"/>
      <c r="G1506" s="42"/>
      <c r="H1506" s="42"/>
      <c r="AG1506" s="19">
        <v>1505</v>
      </c>
      <c r="AH1506" s="20">
        <v>851.78950361915827</v>
      </c>
    </row>
    <row r="1507" spans="1:34" ht="14.5" x14ac:dyDescent="0.35">
      <c r="A1507" s="34"/>
      <c r="B1507" s="35"/>
      <c r="C1507" s="36"/>
      <c r="D1507" s="37"/>
      <c r="E1507" s="36"/>
      <c r="F1507" s="42"/>
      <c r="G1507" s="42"/>
      <c r="H1507" s="42"/>
      <c r="AG1507" s="19">
        <v>1506</v>
      </c>
      <c r="AH1507" s="20">
        <v>-1084.0325285108704</v>
      </c>
    </row>
    <row r="1508" spans="1:34" ht="14.5" x14ac:dyDescent="0.35">
      <c r="A1508" s="34"/>
      <c r="B1508" s="35"/>
      <c r="C1508" s="36"/>
      <c r="D1508" s="37"/>
      <c r="E1508" s="36"/>
      <c r="F1508" s="42"/>
      <c r="G1508" s="42"/>
      <c r="H1508" s="42"/>
      <c r="AG1508" s="19">
        <v>1507</v>
      </c>
      <c r="AH1508" s="20">
        <v>2006.8672106158115</v>
      </c>
    </row>
    <row r="1509" spans="1:34" ht="14.5" x14ac:dyDescent="0.35">
      <c r="A1509" s="34"/>
      <c r="B1509" s="35"/>
      <c r="C1509" s="36"/>
      <c r="D1509" s="37"/>
      <c r="E1509" s="36"/>
      <c r="F1509" s="42"/>
      <c r="G1509" s="42"/>
      <c r="H1509" s="42"/>
      <c r="AG1509" s="19">
        <v>1508</v>
      </c>
      <c r="AH1509" s="20">
        <v>3476.1686633775012</v>
      </c>
    </row>
    <row r="1510" spans="1:34" ht="14.5" x14ac:dyDescent="0.35">
      <c r="A1510" s="34"/>
      <c r="B1510" s="35"/>
      <c r="C1510" s="36"/>
      <c r="D1510" s="37"/>
      <c r="E1510" s="36"/>
      <c r="F1510" s="42"/>
      <c r="G1510" s="42"/>
      <c r="H1510" s="42"/>
      <c r="AG1510" s="19">
        <v>1509</v>
      </c>
      <c r="AH1510" s="20">
        <v>2626.99906733736</v>
      </c>
    </row>
    <row r="1511" spans="1:34" ht="14.5" x14ac:dyDescent="0.35">
      <c r="A1511" s="34"/>
      <c r="B1511" s="35"/>
      <c r="C1511" s="36"/>
      <c r="D1511" s="37"/>
      <c r="E1511" s="36"/>
      <c r="F1511" s="42"/>
      <c r="G1511" s="42"/>
      <c r="H1511" s="42"/>
      <c r="AG1511" s="19">
        <v>1510</v>
      </c>
      <c r="AH1511" s="20">
        <v>-968.52794312611672</v>
      </c>
    </row>
    <row r="1512" spans="1:34" ht="14.5" x14ac:dyDescent="0.35">
      <c r="A1512" s="34"/>
      <c r="B1512" s="35"/>
      <c r="C1512" s="36"/>
      <c r="D1512" s="37"/>
      <c r="E1512" s="36"/>
      <c r="F1512" s="42"/>
      <c r="G1512" s="42"/>
      <c r="H1512" s="42"/>
      <c r="AG1512" s="19">
        <v>1511</v>
      </c>
      <c r="AH1512" s="20">
        <v>-130.1960601444527</v>
      </c>
    </row>
    <row r="1513" spans="1:34" ht="14.5" x14ac:dyDescent="0.35">
      <c r="A1513" s="34"/>
      <c r="B1513" s="35"/>
      <c r="C1513" s="36"/>
      <c r="D1513" s="37"/>
      <c r="E1513" s="36"/>
      <c r="F1513" s="42"/>
      <c r="G1513" s="42"/>
      <c r="H1513" s="42"/>
      <c r="AG1513" s="19">
        <v>1512</v>
      </c>
      <c r="AH1513" s="20">
        <v>-1483.0305955399269</v>
      </c>
    </row>
    <row r="1514" spans="1:34" ht="14.5" x14ac:dyDescent="0.35">
      <c r="A1514" s="34"/>
      <c r="B1514" s="35"/>
      <c r="C1514" s="36"/>
      <c r="D1514" s="37"/>
      <c r="E1514" s="36"/>
      <c r="F1514" s="42"/>
      <c r="G1514" s="42"/>
      <c r="H1514" s="42"/>
      <c r="AG1514" s="19">
        <v>1513</v>
      </c>
      <c r="AH1514" s="20">
        <v>3322.45467684511</v>
      </c>
    </row>
    <row r="1515" spans="1:34" ht="14.5" x14ac:dyDescent="0.35">
      <c r="A1515" s="34"/>
      <c r="B1515" s="35"/>
      <c r="C1515" s="36"/>
      <c r="D1515" s="37"/>
      <c r="E1515" s="36"/>
      <c r="F1515" s="42"/>
      <c r="G1515" s="42"/>
      <c r="H1515" s="42"/>
      <c r="AG1515" s="19">
        <v>1514</v>
      </c>
      <c r="AH1515" s="20">
        <v>3140.7699913652946</v>
      </c>
    </row>
    <row r="1516" spans="1:34" ht="14.5" x14ac:dyDescent="0.35">
      <c r="A1516" s="34"/>
      <c r="B1516" s="35"/>
      <c r="C1516" s="36"/>
      <c r="D1516" s="37"/>
      <c r="E1516" s="36"/>
      <c r="F1516" s="42"/>
      <c r="G1516" s="42"/>
      <c r="H1516" s="42"/>
      <c r="AG1516" s="19">
        <v>1515</v>
      </c>
      <c r="AH1516" s="20">
        <v>-2650.6492302344291</v>
      </c>
    </row>
    <row r="1517" spans="1:34" ht="14.5" x14ac:dyDescent="0.35">
      <c r="A1517" s="34"/>
      <c r="B1517" s="35"/>
      <c r="C1517" s="36"/>
      <c r="D1517" s="37"/>
      <c r="E1517" s="36"/>
      <c r="F1517" s="42"/>
      <c r="G1517" s="42"/>
      <c r="H1517" s="42"/>
      <c r="AG1517" s="19">
        <v>1516</v>
      </c>
      <c r="AH1517" s="20">
        <v>1847.7900363011486</v>
      </c>
    </row>
    <row r="1518" spans="1:34" ht="14.5" x14ac:dyDescent="0.35">
      <c r="A1518" s="34"/>
      <c r="B1518" s="35"/>
      <c r="C1518" s="36"/>
      <c r="D1518" s="37"/>
      <c r="E1518" s="36"/>
      <c r="F1518" s="42"/>
      <c r="G1518" s="42"/>
      <c r="H1518" s="42"/>
      <c r="AG1518" s="19">
        <v>1517</v>
      </c>
      <c r="AH1518" s="20">
        <v>138.20932611449103</v>
      </c>
    </row>
    <row r="1519" spans="1:34" ht="14.5" x14ac:dyDescent="0.35">
      <c r="A1519" s="34"/>
      <c r="B1519" s="35"/>
      <c r="C1519" s="36"/>
      <c r="D1519" s="37"/>
      <c r="E1519" s="36"/>
      <c r="F1519" s="42"/>
      <c r="G1519" s="42"/>
      <c r="H1519" s="42"/>
      <c r="AG1519" s="19">
        <v>1518</v>
      </c>
      <c r="AH1519" s="20">
        <v>365.42048861747656</v>
      </c>
    </row>
    <row r="1520" spans="1:34" ht="14.5" x14ac:dyDescent="0.35">
      <c r="A1520" s="34"/>
      <c r="B1520" s="35"/>
      <c r="C1520" s="36"/>
      <c r="D1520" s="37"/>
      <c r="E1520" s="36"/>
      <c r="F1520" s="42"/>
      <c r="G1520" s="42"/>
      <c r="H1520" s="42"/>
      <c r="AG1520" s="19">
        <v>1519</v>
      </c>
      <c r="AH1520" s="20">
        <v>1114.4168129960112</v>
      </c>
    </row>
    <row r="1521" spans="1:34" ht="14.5" x14ac:dyDescent="0.35">
      <c r="A1521" s="34"/>
      <c r="B1521" s="35"/>
      <c r="C1521" s="36"/>
      <c r="D1521" s="37"/>
      <c r="E1521" s="36"/>
      <c r="F1521" s="42"/>
      <c r="G1521" s="42"/>
      <c r="H1521" s="42"/>
      <c r="AG1521" s="19">
        <v>1520</v>
      </c>
      <c r="AH1521" s="20">
        <v>-877.87274612669717</v>
      </c>
    </row>
    <row r="1522" spans="1:34" ht="14.5" x14ac:dyDescent="0.35">
      <c r="A1522" s="34"/>
      <c r="B1522" s="35"/>
      <c r="C1522" s="36"/>
      <c r="D1522" s="37"/>
      <c r="E1522" s="36"/>
      <c r="F1522" s="42"/>
      <c r="G1522" s="42"/>
      <c r="H1522" s="42"/>
      <c r="AG1522" s="19">
        <v>1521</v>
      </c>
      <c r="AH1522" s="20">
        <v>3935.6321080272346</v>
      </c>
    </row>
    <row r="1523" spans="1:34" ht="14.5" x14ac:dyDescent="0.35">
      <c r="A1523" s="34"/>
      <c r="B1523" s="35"/>
      <c r="C1523" s="36"/>
      <c r="D1523" s="37"/>
      <c r="E1523" s="36"/>
      <c r="F1523" s="42"/>
      <c r="G1523" s="42"/>
      <c r="H1523" s="42"/>
      <c r="AG1523" s="19">
        <v>1522</v>
      </c>
      <c r="AH1523" s="20">
        <v>5151.0497264955675</v>
      </c>
    </row>
    <row r="1524" spans="1:34" ht="14.5" x14ac:dyDescent="0.35">
      <c r="A1524" s="34"/>
      <c r="B1524" s="35"/>
      <c r="C1524" s="36"/>
      <c r="D1524" s="37"/>
      <c r="E1524" s="36"/>
      <c r="F1524" s="42"/>
      <c r="G1524" s="42"/>
      <c r="H1524" s="42"/>
      <c r="AG1524" s="19">
        <v>1523</v>
      </c>
      <c r="AH1524" s="20">
        <v>2703.8328188927617</v>
      </c>
    </row>
    <row r="1525" spans="1:34" ht="14.5" x14ac:dyDescent="0.35">
      <c r="A1525" s="34"/>
      <c r="B1525" s="35"/>
      <c r="C1525" s="36"/>
      <c r="D1525" s="37"/>
      <c r="E1525" s="36"/>
      <c r="F1525" s="42"/>
      <c r="G1525" s="42"/>
      <c r="H1525" s="42"/>
      <c r="AG1525" s="19">
        <v>1524</v>
      </c>
      <c r="AH1525" s="20">
        <v>518.29440998881864</v>
      </c>
    </row>
    <row r="1526" spans="1:34" ht="14.5" x14ac:dyDescent="0.35">
      <c r="A1526" s="34"/>
      <c r="B1526" s="35"/>
      <c r="C1526" s="36"/>
      <c r="D1526" s="37"/>
      <c r="E1526" s="36"/>
      <c r="F1526" s="42"/>
      <c r="G1526" s="42"/>
      <c r="H1526" s="42"/>
      <c r="AG1526" s="19">
        <v>1525</v>
      </c>
      <c r="AH1526" s="20">
        <v>-3690.3539697308179</v>
      </c>
    </row>
    <row r="1527" spans="1:34" ht="14.5" x14ac:dyDescent="0.35">
      <c r="A1527" s="34"/>
      <c r="B1527" s="35"/>
      <c r="C1527" s="36"/>
      <c r="D1527" s="37"/>
      <c r="E1527" s="36"/>
      <c r="F1527" s="42"/>
      <c r="G1527" s="42"/>
      <c r="H1527" s="42"/>
      <c r="AG1527" s="19">
        <v>1526</v>
      </c>
      <c r="AH1527" s="20">
        <v>-285.18987927295433</v>
      </c>
    </row>
    <row r="1528" spans="1:34" ht="14.5" x14ac:dyDescent="0.35">
      <c r="A1528" s="34"/>
      <c r="B1528" s="35"/>
      <c r="C1528" s="36"/>
      <c r="D1528" s="37"/>
      <c r="E1528" s="36"/>
      <c r="F1528" s="42"/>
      <c r="G1528" s="42"/>
      <c r="H1528" s="42"/>
      <c r="AG1528" s="19">
        <v>1527</v>
      </c>
      <c r="AH1528" s="20">
        <v>87.605982884883701</v>
      </c>
    </row>
    <row r="1529" spans="1:34" ht="14.5" x14ac:dyDescent="0.35">
      <c r="A1529" s="34"/>
      <c r="B1529" s="35"/>
      <c r="C1529" s="36"/>
      <c r="D1529" s="37"/>
      <c r="E1529" s="36"/>
      <c r="F1529" s="42"/>
      <c r="G1529" s="42"/>
      <c r="H1529" s="42"/>
      <c r="AG1529" s="19">
        <v>1528</v>
      </c>
      <c r="AH1529" s="20">
        <v>-3557.7493772133103</v>
      </c>
    </row>
    <row r="1530" spans="1:34" ht="14.5" x14ac:dyDescent="0.35">
      <c r="A1530" s="34"/>
      <c r="B1530" s="35"/>
      <c r="C1530" s="36"/>
      <c r="D1530" s="37"/>
      <c r="E1530" s="36"/>
      <c r="F1530" s="42"/>
      <c r="G1530" s="42"/>
      <c r="H1530" s="42"/>
      <c r="AG1530" s="19">
        <v>1529</v>
      </c>
      <c r="AH1530" s="20">
        <v>3167.3378929898581</v>
      </c>
    </row>
    <row r="1531" spans="1:34" ht="14.5" x14ac:dyDescent="0.35">
      <c r="A1531" s="34"/>
      <c r="B1531" s="35"/>
      <c r="C1531" s="36"/>
      <c r="D1531" s="37"/>
      <c r="E1531" s="36"/>
      <c r="F1531" s="42"/>
      <c r="G1531" s="42"/>
      <c r="H1531" s="42"/>
      <c r="AG1531" s="19">
        <v>1530</v>
      </c>
      <c r="AH1531" s="20">
        <v>-4041.2166482136636</v>
      </c>
    </row>
    <row r="1532" spans="1:34" ht="14.5" x14ac:dyDescent="0.35">
      <c r="A1532" s="34"/>
      <c r="B1532" s="35"/>
      <c r="C1532" s="36"/>
      <c r="D1532" s="37"/>
      <c r="E1532" s="36"/>
      <c r="F1532" s="42"/>
      <c r="G1532" s="42"/>
      <c r="H1532" s="42"/>
      <c r="AG1532" s="19">
        <v>1531</v>
      </c>
      <c r="AH1532" s="20">
        <v>-487.12469497912952</v>
      </c>
    </row>
    <row r="1533" spans="1:34" ht="14.5" x14ac:dyDescent="0.35">
      <c r="A1533" s="34"/>
      <c r="B1533" s="35"/>
      <c r="C1533" s="36"/>
      <c r="D1533" s="37"/>
      <c r="E1533" s="36"/>
      <c r="F1533" s="42"/>
      <c r="G1533" s="42"/>
      <c r="H1533" s="42"/>
      <c r="AG1533" s="19">
        <v>1532</v>
      </c>
      <c r="AH1533" s="20">
        <v>3088.7730147881157</v>
      </c>
    </row>
    <row r="1534" spans="1:34" ht="14.5" x14ac:dyDescent="0.35">
      <c r="A1534" s="34"/>
      <c r="B1534" s="35"/>
      <c r="C1534" s="36"/>
      <c r="D1534" s="37"/>
      <c r="E1534" s="36"/>
      <c r="F1534" s="42"/>
      <c r="G1534" s="42"/>
      <c r="H1534" s="42"/>
      <c r="AG1534" s="19">
        <v>1533</v>
      </c>
      <c r="AH1534" s="20">
        <v>-1141.8862441480728</v>
      </c>
    </row>
    <row r="1535" spans="1:34" ht="14.5" x14ac:dyDescent="0.35">
      <c r="A1535" s="34"/>
      <c r="B1535" s="35"/>
      <c r="C1535" s="36"/>
      <c r="D1535" s="37"/>
      <c r="E1535" s="36"/>
      <c r="F1535" s="42"/>
      <c r="G1535" s="42"/>
      <c r="H1535" s="42"/>
      <c r="AG1535" s="19">
        <v>1534</v>
      </c>
      <c r="AH1535" s="20">
        <v>1592.907858499166</v>
      </c>
    </row>
    <row r="1536" spans="1:34" ht="14.5" x14ac:dyDescent="0.35">
      <c r="A1536" s="34"/>
      <c r="B1536" s="35"/>
      <c r="C1536" s="36"/>
      <c r="D1536" s="37"/>
      <c r="E1536" s="36"/>
      <c r="F1536" s="42"/>
      <c r="G1536" s="42"/>
      <c r="H1536" s="42"/>
      <c r="AG1536" s="19">
        <v>1535</v>
      </c>
      <c r="AH1536" s="20">
        <v>205.36368258126274</v>
      </c>
    </row>
    <row r="1537" spans="1:34" ht="14.5" x14ac:dyDescent="0.35">
      <c r="A1537" s="34"/>
      <c r="B1537" s="35"/>
      <c r="C1537" s="36"/>
      <c r="D1537" s="37"/>
      <c r="E1537" s="36"/>
      <c r="F1537" s="42"/>
      <c r="G1537" s="42"/>
      <c r="H1537" s="42"/>
      <c r="AG1537" s="19">
        <v>1536</v>
      </c>
      <c r="AH1537" s="20">
        <v>206.82154702275415</v>
      </c>
    </row>
    <row r="1538" spans="1:34" ht="14.5" x14ac:dyDescent="0.35">
      <c r="A1538" s="34"/>
      <c r="B1538" s="35"/>
      <c r="C1538" s="36"/>
      <c r="D1538" s="37"/>
      <c r="E1538" s="36"/>
      <c r="F1538" s="42"/>
      <c r="G1538" s="42"/>
      <c r="H1538" s="42"/>
      <c r="AG1538" s="19">
        <v>1537</v>
      </c>
      <c r="AH1538" s="20">
        <v>2815.6631540448384</v>
      </c>
    </row>
    <row r="1539" spans="1:34" ht="14.5" x14ac:dyDescent="0.35">
      <c r="A1539" s="34"/>
      <c r="B1539" s="35"/>
      <c r="C1539" s="36"/>
      <c r="D1539" s="37"/>
      <c r="E1539" s="36"/>
      <c r="F1539" s="42"/>
      <c r="G1539" s="42"/>
      <c r="H1539" s="42"/>
      <c r="AG1539" s="19">
        <v>1538</v>
      </c>
      <c r="AH1539" s="20">
        <v>-3641.6514182058431</v>
      </c>
    </row>
    <row r="1540" spans="1:34" ht="14.5" x14ac:dyDescent="0.35">
      <c r="A1540" s="34"/>
      <c r="B1540" s="35"/>
      <c r="C1540" s="36"/>
      <c r="D1540" s="37"/>
      <c r="E1540" s="36"/>
      <c r="F1540" s="42"/>
      <c r="G1540" s="42"/>
      <c r="H1540" s="42"/>
      <c r="AG1540" s="19">
        <v>1539</v>
      </c>
      <c r="AH1540" s="20">
        <v>-978.95389428863882</v>
      </c>
    </row>
    <row r="1541" spans="1:34" ht="14.5" x14ac:dyDescent="0.35">
      <c r="A1541" s="34"/>
      <c r="B1541" s="35"/>
      <c r="C1541" s="36"/>
      <c r="D1541" s="37"/>
      <c r="E1541" s="36"/>
      <c r="F1541" s="42"/>
      <c r="G1541" s="42"/>
      <c r="H1541" s="42"/>
      <c r="AG1541" s="19">
        <v>1540</v>
      </c>
      <c r="AH1541" s="20">
        <v>855.56583846578633</v>
      </c>
    </row>
    <row r="1542" spans="1:34" ht="14.5" x14ac:dyDescent="0.35">
      <c r="A1542" s="34"/>
      <c r="B1542" s="35"/>
      <c r="C1542" s="36"/>
      <c r="D1542" s="37"/>
      <c r="E1542" s="36"/>
      <c r="F1542" s="42"/>
      <c r="G1542" s="42"/>
      <c r="H1542" s="42"/>
      <c r="AG1542" s="19">
        <v>1541</v>
      </c>
      <c r="AH1542" s="20">
        <v>3536.5969937101327</v>
      </c>
    </row>
    <row r="1543" spans="1:34" ht="14.5" x14ac:dyDescent="0.35">
      <c r="A1543" s="34"/>
      <c r="B1543" s="35"/>
      <c r="C1543" s="36"/>
      <c r="D1543" s="37"/>
      <c r="E1543" s="36"/>
      <c r="F1543" s="42"/>
      <c r="G1543" s="42"/>
      <c r="H1543" s="42"/>
      <c r="AG1543" s="19">
        <v>1542</v>
      </c>
      <c r="AH1543" s="20">
        <v>2539.6231000543776</v>
      </c>
    </row>
    <row r="1544" spans="1:34" ht="14.5" x14ac:dyDescent="0.35">
      <c r="A1544" s="34"/>
      <c r="B1544" s="35"/>
      <c r="C1544" s="36"/>
      <c r="D1544" s="37"/>
      <c r="E1544" s="36"/>
      <c r="F1544" s="42"/>
      <c r="G1544" s="42"/>
      <c r="H1544" s="42"/>
      <c r="AG1544" s="19">
        <v>1543</v>
      </c>
      <c r="AH1544" s="20">
        <v>1822.4085286451427</v>
      </c>
    </row>
    <row r="1545" spans="1:34" ht="14.5" x14ac:dyDescent="0.35">
      <c r="A1545" s="34"/>
      <c r="B1545" s="35"/>
      <c r="C1545" s="36"/>
      <c r="D1545" s="37"/>
      <c r="E1545" s="36"/>
      <c r="F1545" s="42"/>
      <c r="G1545" s="42"/>
      <c r="H1545" s="42"/>
      <c r="AG1545" s="19">
        <v>1544</v>
      </c>
      <c r="AH1545" s="20">
        <v>-782.16780137382966</v>
      </c>
    </row>
    <row r="1546" spans="1:34" ht="14.5" x14ac:dyDescent="0.35">
      <c r="A1546" s="34"/>
      <c r="B1546" s="35"/>
      <c r="C1546" s="36"/>
      <c r="D1546" s="37"/>
      <c r="E1546" s="36"/>
      <c r="F1546" s="42"/>
      <c r="G1546" s="42"/>
      <c r="H1546" s="42"/>
      <c r="AG1546" s="19">
        <v>1545</v>
      </c>
      <c r="AH1546" s="20">
        <v>176.53743542865561</v>
      </c>
    </row>
    <row r="1547" spans="1:34" ht="14.5" x14ac:dyDescent="0.35">
      <c r="A1547" s="34"/>
      <c r="B1547" s="35"/>
      <c r="C1547" s="36"/>
      <c r="D1547" s="37"/>
      <c r="E1547" s="36"/>
      <c r="F1547" s="42"/>
      <c r="G1547" s="42"/>
      <c r="H1547" s="42"/>
      <c r="AG1547" s="19">
        <v>1546</v>
      </c>
      <c r="AH1547" s="20">
        <v>-842.40974866461397</v>
      </c>
    </row>
    <row r="1548" spans="1:34" ht="14.5" x14ac:dyDescent="0.35">
      <c r="A1548" s="34"/>
      <c r="B1548" s="35"/>
      <c r="C1548" s="36"/>
      <c r="D1548" s="37"/>
      <c r="E1548" s="36"/>
      <c r="F1548" s="42"/>
      <c r="G1548" s="42"/>
      <c r="H1548" s="42"/>
      <c r="AG1548" s="19">
        <v>1547</v>
      </c>
      <c r="AH1548" s="20">
        <v>1288.0270159949739</v>
      </c>
    </row>
    <row r="1549" spans="1:34" ht="14.5" x14ac:dyDescent="0.35">
      <c r="A1549" s="34"/>
      <c r="B1549" s="35"/>
      <c r="C1549" s="36"/>
      <c r="D1549" s="37"/>
      <c r="E1549" s="36"/>
      <c r="F1549" s="42"/>
      <c r="G1549" s="42"/>
      <c r="H1549" s="42"/>
      <c r="AG1549" s="19">
        <v>1548</v>
      </c>
      <c r="AH1549" s="20">
        <v>1423.0970580522771</v>
      </c>
    </row>
    <row r="1550" spans="1:34" ht="14.5" x14ac:dyDescent="0.35">
      <c r="A1550" s="34"/>
      <c r="B1550" s="35"/>
      <c r="C1550" s="36"/>
      <c r="D1550" s="37"/>
      <c r="E1550" s="36"/>
      <c r="F1550" s="42"/>
      <c r="G1550" s="42"/>
      <c r="H1550" s="42"/>
      <c r="AG1550" s="19">
        <v>1549</v>
      </c>
      <c r="AH1550" s="20">
        <v>-226.79131179910513</v>
      </c>
    </row>
    <row r="1551" spans="1:34" ht="14.5" x14ac:dyDescent="0.35">
      <c r="A1551" s="34"/>
      <c r="B1551" s="35"/>
      <c r="C1551" s="36"/>
      <c r="D1551" s="37"/>
      <c r="E1551" s="36"/>
      <c r="F1551" s="42"/>
      <c r="G1551" s="42"/>
      <c r="H1551" s="42"/>
      <c r="AG1551" s="19">
        <v>1550</v>
      </c>
      <c r="AH1551" s="20">
        <v>-1266.6969839751289</v>
      </c>
    </row>
    <row r="1552" spans="1:34" ht="14.5" x14ac:dyDescent="0.35">
      <c r="A1552" s="34"/>
      <c r="B1552" s="35"/>
      <c r="C1552" s="36"/>
      <c r="D1552" s="37"/>
      <c r="E1552" s="36"/>
      <c r="F1552" s="42"/>
      <c r="G1552" s="42"/>
      <c r="H1552" s="42"/>
      <c r="AG1552" s="19">
        <v>1551</v>
      </c>
      <c r="AH1552" s="20">
        <v>-3389.0815246675088</v>
      </c>
    </row>
    <row r="1553" spans="1:34" ht="14.5" x14ac:dyDescent="0.35">
      <c r="A1553" s="34"/>
      <c r="B1553" s="35"/>
      <c r="C1553" s="36"/>
      <c r="D1553" s="37"/>
      <c r="E1553" s="36"/>
      <c r="F1553" s="42"/>
      <c r="G1553" s="42"/>
      <c r="H1553" s="42"/>
      <c r="AG1553" s="19">
        <v>1552</v>
      </c>
      <c r="AH1553" s="20">
        <v>-1220.6602982389345</v>
      </c>
    </row>
    <row r="1554" spans="1:34" ht="14.5" x14ac:dyDescent="0.35">
      <c r="A1554" s="34"/>
      <c r="B1554" s="35"/>
      <c r="C1554" s="36"/>
      <c r="D1554" s="37"/>
      <c r="E1554" s="36"/>
      <c r="F1554" s="42"/>
      <c r="G1554" s="42"/>
      <c r="H1554" s="42"/>
      <c r="AG1554" s="19">
        <v>1553</v>
      </c>
      <c r="AH1554" s="20">
        <v>955.72356430936134</v>
      </c>
    </row>
    <row r="1555" spans="1:34" ht="14.5" x14ac:dyDescent="0.35">
      <c r="A1555" s="34"/>
      <c r="B1555" s="35"/>
      <c r="C1555" s="36"/>
      <c r="D1555" s="37"/>
      <c r="E1555" s="36"/>
      <c r="F1555" s="42"/>
      <c r="G1555" s="42"/>
      <c r="H1555" s="42"/>
      <c r="AG1555" s="19">
        <v>1554</v>
      </c>
      <c r="AH1555" s="20">
        <v>-56.565603225033612</v>
      </c>
    </row>
    <row r="1556" spans="1:34" ht="14.5" x14ac:dyDescent="0.35">
      <c r="A1556" s="34"/>
      <c r="B1556" s="35"/>
      <c r="C1556" s="36"/>
      <c r="D1556" s="37"/>
      <c r="E1556" s="36"/>
      <c r="F1556" s="42"/>
      <c r="G1556" s="42"/>
      <c r="H1556" s="42"/>
      <c r="AG1556" s="19">
        <v>1555</v>
      </c>
      <c r="AH1556" s="20">
        <v>-2348.0469277633524</v>
      </c>
    </row>
    <row r="1557" spans="1:34" ht="14.5" x14ac:dyDescent="0.35">
      <c r="A1557" s="34"/>
      <c r="B1557" s="35"/>
      <c r="C1557" s="36"/>
      <c r="D1557" s="37"/>
      <c r="E1557" s="36"/>
      <c r="F1557" s="42"/>
      <c r="G1557" s="42"/>
      <c r="H1557" s="42"/>
      <c r="AG1557" s="19">
        <v>1556</v>
      </c>
      <c r="AH1557" s="20">
        <v>-393.72965929619983</v>
      </c>
    </row>
    <row r="1558" spans="1:34" ht="14.5" x14ac:dyDescent="0.35">
      <c r="A1558" s="34"/>
      <c r="B1558" s="35"/>
      <c r="C1558" s="36"/>
      <c r="D1558" s="37"/>
      <c r="E1558" s="36"/>
      <c r="F1558" s="42"/>
      <c r="G1558" s="42"/>
      <c r="H1558" s="42"/>
      <c r="AG1558" s="19">
        <v>1557</v>
      </c>
      <c r="AH1558" s="20">
        <v>-1914.6625498274768</v>
      </c>
    </row>
    <row r="1559" spans="1:34" ht="14.5" x14ac:dyDescent="0.35">
      <c r="A1559" s="34"/>
      <c r="B1559" s="35"/>
      <c r="C1559" s="36"/>
      <c r="D1559" s="37"/>
      <c r="E1559" s="36"/>
      <c r="F1559" s="42"/>
      <c r="G1559" s="42"/>
      <c r="H1559" s="42"/>
      <c r="AG1559" s="19">
        <v>1558</v>
      </c>
      <c r="AH1559" s="20">
        <v>2273.1147642566461</v>
      </c>
    </row>
    <row r="1560" spans="1:34" ht="14.5" x14ac:dyDescent="0.35">
      <c r="A1560" s="34"/>
      <c r="B1560" s="35"/>
      <c r="C1560" s="36"/>
      <c r="D1560" s="37"/>
      <c r="E1560" s="36"/>
      <c r="F1560" s="42"/>
      <c r="G1560" s="42"/>
      <c r="H1560" s="42"/>
      <c r="AG1560" s="19">
        <v>1559</v>
      </c>
      <c r="AH1560" s="20">
        <v>-380.97712132558894</v>
      </c>
    </row>
    <row r="1561" spans="1:34" ht="14.5" x14ac:dyDescent="0.35">
      <c r="A1561" s="34"/>
      <c r="B1561" s="35"/>
      <c r="C1561" s="36"/>
      <c r="D1561" s="37"/>
      <c r="E1561" s="36"/>
      <c r="F1561" s="42"/>
      <c r="G1561" s="42"/>
      <c r="H1561" s="42"/>
      <c r="AG1561" s="19">
        <v>1560</v>
      </c>
      <c r="AH1561" s="20">
        <v>-604.09809848620762</v>
      </c>
    </row>
    <row r="1562" spans="1:34" ht="14.5" x14ac:dyDescent="0.35">
      <c r="A1562" s="34"/>
      <c r="B1562" s="35"/>
      <c r="C1562" s="36"/>
      <c r="D1562" s="37"/>
      <c r="E1562" s="36"/>
      <c r="F1562" s="42"/>
      <c r="G1562" s="42"/>
      <c r="H1562" s="42"/>
      <c r="AG1562" s="19">
        <v>1561</v>
      </c>
      <c r="AH1562" s="20">
        <v>2414.4837582060586</v>
      </c>
    </row>
    <row r="1563" spans="1:34" ht="14.5" x14ac:dyDescent="0.35">
      <c r="A1563" s="34"/>
      <c r="B1563" s="35"/>
      <c r="C1563" s="36"/>
      <c r="D1563" s="37"/>
      <c r="E1563" s="36"/>
      <c r="F1563" s="42"/>
      <c r="G1563" s="42"/>
      <c r="H1563" s="42"/>
      <c r="AG1563" s="19">
        <v>1562</v>
      </c>
      <c r="AH1563" s="20">
        <v>1336.3768940851417</v>
      </c>
    </row>
    <row r="1564" spans="1:34" ht="14.5" x14ac:dyDescent="0.35">
      <c r="A1564" s="34"/>
      <c r="B1564" s="35"/>
      <c r="C1564" s="36"/>
      <c r="D1564" s="37"/>
      <c r="E1564" s="36"/>
      <c r="F1564" s="42"/>
      <c r="G1564" s="42"/>
      <c r="H1564" s="42"/>
      <c r="AG1564" s="19">
        <v>1563</v>
      </c>
      <c r="AH1564" s="20">
        <v>2248.8093173538773</v>
      </c>
    </row>
    <row r="1565" spans="1:34" ht="14.5" x14ac:dyDescent="0.35">
      <c r="A1565" s="34"/>
      <c r="B1565" s="35"/>
      <c r="C1565" s="36"/>
      <c r="D1565" s="37"/>
      <c r="E1565" s="36"/>
      <c r="F1565" s="42"/>
      <c r="G1565" s="42"/>
      <c r="H1565" s="42"/>
      <c r="AG1565" s="19">
        <v>1564</v>
      </c>
      <c r="AH1565" s="20">
        <v>2972.509288509289</v>
      </c>
    </row>
    <row r="1566" spans="1:34" ht="14.5" x14ac:dyDescent="0.35">
      <c r="A1566" s="34"/>
      <c r="B1566" s="35"/>
      <c r="C1566" s="36"/>
      <c r="D1566" s="37"/>
      <c r="E1566" s="36"/>
      <c r="F1566" s="42"/>
      <c r="G1566" s="42"/>
      <c r="H1566" s="42"/>
      <c r="AG1566" s="19">
        <v>1565</v>
      </c>
      <c r="AH1566" s="20">
        <v>-2626.2880079761035</v>
      </c>
    </row>
    <row r="1567" spans="1:34" ht="14.5" x14ac:dyDescent="0.35">
      <c r="A1567" s="34"/>
      <c r="B1567" s="35"/>
      <c r="C1567" s="36"/>
      <c r="D1567" s="37"/>
      <c r="E1567" s="36"/>
      <c r="F1567" s="42"/>
      <c r="G1567" s="42"/>
      <c r="H1567" s="42"/>
      <c r="AG1567" s="19">
        <v>1566</v>
      </c>
      <c r="AH1567" s="20">
        <v>1670.533086742111</v>
      </c>
    </row>
    <row r="1568" spans="1:34" ht="14.5" x14ac:dyDescent="0.35">
      <c r="A1568" s="34"/>
      <c r="B1568" s="35"/>
      <c r="C1568" s="36"/>
      <c r="D1568" s="37"/>
      <c r="E1568" s="36"/>
      <c r="F1568" s="42"/>
      <c r="G1568" s="42"/>
      <c r="H1568" s="42"/>
      <c r="AG1568" s="19">
        <v>1567</v>
      </c>
      <c r="AH1568" s="20">
        <v>1273.207936875732</v>
      </c>
    </row>
    <row r="1569" spans="1:34" ht="14.5" x14ac:dyDescent="0.35">
      <c r="A1569" s="34"/>
      <c r="B1569" s="35"/>
      <c r="C1569" s="36"/>
      <c r="D1569" s="37"/>
      <c r="E1569" s="36"/>
      <c r="F1569" s="42"/>
      <c r="G1569" s="42"/>
      <c r="H1569" s="42"/>
      <c r="AG1569" s="19">
        <v>1568</v>
      </c>
      <c r="AH1569" s="20">
        <v>-1943.7731343845887</v>
      </c>
    </row>
    <row r="1570" spans="1:34" ht="14.5" x14ac:dyDescent="0.35">
      <c r="A1570" s="34"/>
      <c r="B1570" s="35"/>
      <c r="C1570" s="36"/>
      <c r="D1570" s="37"/>
      <c r="E1570" s="36"/>
      <c r="F1570" s="42"/>
      <c r="G1570" s="42"/>
      <c r="H1570" s="42"/>
      <c r="AG1570" s="19">
        <v>1569</v>
      </c>
      <c r="AH1570" s="20">
        <v>2902.9962539838129</v>
      </c>
    </row>
    <row r="1571" spans="1:34" ht="14.5" x14ac:dyDescent="0.35">
      <c r="A1571" s="34"/>
      <c r="B1571" s="35"/>
      <c r="C1571" s="36"/>
      <c r="D1571" s="37"/>
      <c r="E1571" s="36"/>
      <c r="F1571" s="42"/>
      <c r="G1571" s="42"/>
      <c r="H1571" s="42"/>
      <c r="AG1571" s="19">
        <v>1570</v>
      </c>
      <c r="AH1571" s="20">
        <v>2169.0770742950967</v>
      </c>
    </row>
    <row r="1572" spans="1:34" ht="14.5" x14ac:dyDescent="0.35">
      <c r="A1572" s="34"/>
      <c r="B1572" s="35"/>
      <c r="C1572" s="36"/>
      <c r="D1572" s="37"/>
      <c r="E1572" s="36"/>
      <c r="F1572" s="42"/>
      <c r="G1572" s="42"/>
      <c r="H1572" s="42"/>
      <c r="AG1572" s="19">
        <v>1571</v>
      </c>
      <c r="AH1572" s="20">
        <v>1314.2376988660867</v>
      </c>
    </row>
    <row r="1573" spans="1:34" ht="14.5" x14ac:dyDescent="0.35">
      <c r="A1573" s="34"/>
      <c r="B1573" s="35"/>
      <c r="C1573" s="36"/>
      <c r="D1573" s="37"/>
      <c r="E1573" s="36"/>
      <c r="F1573" s="42"/>
      <c r="G1573" s="42"/>
      <c r="H1573" s="42"/>
      <c r="AG1573" s="19">
        <v>1572</v>
      </c>
      <c r="AH1573" s="20">
        <v>-174.8032141735942</v>
      </c>
    </row>
    <row r="1574" spans="1:34" ht="14.5" x14ac:dyDescent="0.35">
      <c r="A1574" s="34"/>
      <c r="B1574" s="35"/>
      <c r="C1574" s="36"/>
      <c r="D1574" s="37"/>
      <c r="E1574" s="36"/>
      <c r="F1574" s="42"/>
      <c r="G1574" s="42"/>
      <c r="H1574" s="42"/>
      <c r="AG1574" s="19">
        <v>1573</v>
      </c>
      <c r="AH1574" s="20">
        <v>4.1981683212832195</v>
      </c>
    </row>
    <row r="1575" spans="1:34" ht="14.5" x14ac:dyDescent="0.35">
      <c r="A1575" s="34"/>
      <c r="B1575" s="35"/>
      <c r="C1575" s="36"/>
      <c r="D1575" s="37"/>
      <c r="E1575" s="36"/>
      <c r="F1575" s="42"/>
      <c r="G1575" s="42"/>
      <c r="H1575" s="42"/>
      <c r="AG1575" s="19">
        <v>1574</v>
      </c>
      <c r="AH1575" s="20">
        <v>-2053.2728854054194</v>
      </c>
    </row>
    <row r="1576" spans="1:34" ht="14.5" x14ac:dyDescent="0.35">
      <c r="A1576" s="34"/>
      <c r="B1576" s="35"/>
      <c r="C1576" s="36"/>
      <c r="D1576" s="37"/>
      <c r="E1576" s="36"/>
      <c r="F1576" s="42"/>
      <c r="G1576" s="42"/>
      <c r="H1576" s="42"/>
      <c r="AG1576" s="19">
        <v>1575</v>
      </c>
      <c r="AH1576" s="20">
        <v>-407.42470868647359</v>
      </c>
    </row>
    <row r="1577" spans="1:34" ht="14.5" x14ac:dyDescent="0.35">
      <c r="A1577" s="34"/>
      <c r="B1577" s="35"/>
      <c r="C1577" s="36"/>
      <c r="D1577" s="37"/>
      <c r="E1577" s="36"/>
      <c r="F1577" s="42"/>
      <c r="G1577" s="42"/>
      <c r="H1577" s="42"/>
      <c r="AG1577" s="19">
        <v>1576</v>
      </c>
      <c r="AH1577" s="20">
        <v>3288.2084250677444</v>
      </c>
    </row>
    <row r="1578" spans="1:34" ht="14.5" x14ac:dyDescent="0.35">
      <c r="A1578" s="34"/>
      <c r="B1578" s="35"/>
      <c r="C1578" s="36"/>
      <c r="D1578" s="37"/>
      <c r="E1578" s="36"/>
      <c r="F1578" s="42"/>
      <c r="G1578" s="42"/>
      <c r="H1578" s="42"/>
      <c r="AG1578" s="19">
        <v>1577</v>
      </c>
      <c r="AH1578" s="20">
        <v>-1364.3076141105657</v>
      </c>
    </row>
    <row r="1579" spans="1:34" ht="14.5" x14ac:dyDescent="0.35">
      <c r="A1579" s="34"/>
      <c r="B1579" s="35"/>
      <c r="C1579" s="36"/>
      <c r="D1579" s="37"/>
      <c r="E1579" s="36"/>
      <c r="F1579" s="42"/>
      <c r="G1579" s="42"/>
      <c r="H1579" s="42"/>
      <c r="AG1579" s="19">
        <v>1578</v>
      </c>
      <c r="AH1579" s="20">
        <v>-246.16341592613065</v>
      </c>
    </row>
    <row r="1580" spans="1:34" ht="14.5" x14ac:dyDescent="0.35">
      <c r="A1580" s="34"/>
      <c r="B1580" s="35"/>
      <c r="C1580" s="36"/>
      <c r="D1580" s="37"/>
      <c r="E1580" s="36"/>
      <c r="F1580" s="42"/>
      <c r="G1580" s="42"/>
      <c r="H1580" s="42"/>
      <c r="AG1580" s="19">
        <v>1579</v>
      </c>
      <c r="AH1580" s="20">
        <v>360.91596406640804</v>
      </c>
    </row>
    <row r="1581" spans="1:34" ht="14.5" x14ac:dyDescent="0.35">
      <c r="A1581" s="34"/>
      <c r="B1581" s="35"/>
      <c r="C1581" s="36"/>
      <c r="D1581" s="37"/>
      <c r="E1581" s="36"/>
      <c r="F1581" s="42"/>
      <c r="G1581" s="42"/>
      <c r="H1581" s="42"/>
      <c r="AG1581" s="19">
        <v>1580</v>
      </c>
      <c r="AH1581" s="20">
        <v>-1391.2920217746748</v>
      </c>
    </row>
    <row r="1582" spans="1:34" ht="14.5" x14ac:dyDescent="0.35">
      <c r="A1582" s="34"/>
      <c r="B1582" s="35"/>
      <c r="C1582" s="36"/>
      <c r="D1582" s="37"/>
      <c r="E1582" s="36"/>
      <c r="F1582" s="42"/>
      <c r="G1582" s="42"/>
      <c r="H1582" s="42"/>
      <c r="AG1582" s="19">
        <v>1581</v>
      </c>
      <c r="AH1582" s="20">
        <v>626.36149020991957</v>
      </c>
    </row>
    <row r="1583" spans="1:34" ht="14.5" x14ac:dyDescent="0.35">
      <c r="A1583" s="34"/>
      <c r="B1583" s="35"/>
      <c r="C1583" s="36"/>
      <c r="D1583" s="37"/>
      <c r="E1583" s="36"/>
      <c r="F1583" s="42"/>
      <c r="G1583" s="42"/>
      <c r="H1583" s="42"/>
      <c r="AG1583" s="19">
        <v>1582</v>
      </c>
      <c r="AH1583" s="20">
        <v>-1851.977508663809</v>
      </c>
    </row>
    <row r="1584" spans="1:34" ht="14.5" x14ac:dyDescent="0.35">
      <c r="A1584" s="34"/>
      <c r="B1584" s="35"/>
      <c r="C1584" s="36"/>
      <c r="D1584" s="37"/>
      <c r="E1584" s="36"/>
      <c r="F1584" s="42"/>
      <c r="G1584" s="42"/>
      <c r="H1584" s="42"/>
      <c r="AG1584" s="19">
        <v>1583</v>
      </c>
      <c r="AH1584" s="20">
        <v>322.55979732175973</v>
      </c>
    </row>
    <row r="1585" spans="1:34" ht="14.5" x14ac:dyDescent="0.35">
      <c r="A1585" s="34"/>
      <c r="B1585" s="35"/>
      <c r="C1585" s="36"/>
      <c r="D1585" s="37"/>
      <c r="E1585" s="36"/>
      <c r="F1585" s="42"/>
      <c r="G1585" s="42"/>
      <c r="H1585" s="42"/>
      <c r="AG1585" s="19">
        <v>1584</v>
      </c>
      <c r="AH1585" s="20">
        <v>3653.1991858699548</v>
      </c>
    </row>
    <row r="1586" spans="1:34" ht="14.5" x14ac:dyDescent="0.35">
      <c r="A1586" s="34"/>
      <c r="B1586" s="35"/>
      <c r="C1586" s="36"/>
      <c r="D1586" s="37"/>
      <c r="E1586" s="36"/>
      <c r="F1586" s="42"/>
      <c r="G1586" s="42"/>
      <c r="H1586" s="42"/>
      <c r="AG1586" s="19">
        <v>1585</v>
      </c>
      <c r="AH1586" s="20">
        <v>-67.811117585422153</v>
      </c>
    </row>
    <row r="1587" spans="1:34" ht="14.5" x14ac:dyDescent="0.35">
      <c r="A1587" s="34"/>
      <c r="B1587" s="35"/>
      <c r="C1587" s="36"/>
      <c r="D1587" s="37"/>
      <c r="E1587" s="36"/>
      <c r="F1587" s="42"/>
      <c r="G1587" s="42"/>
      <c r="H1587" s="42"/>
      <c r="AG1587" s="19">
        <v>1586</v>
      </c>
      <c r="AH1587" s="20">
        <v>4015.2187311985713</v>
      </c>
    </row>
    <row r="1588" spans="1:34" ht="14.5" x14ac:dyDescent="0.35">
      <c r="A1588" s="34"/>
      <c r="B1588" s="35"/>
      <c r="C1588" s="36"/>
      <c r="D1588" s="37"/>
      <c r="E1588" s="36"/>
      <c r="F1588" s="42"/>
      <c r="G1588" s="42"/>
      <c r="H1588" s="42"/>
      <c r="AG1588" s="19">
        <v>1587</v>
      </c>
      <c r="AH1588" s="20">
        <v>930.86756805201526</v>
      </c>
    </row>
    <row r="1589" spans="1:34" ht="14.5" x14ac:dyDescent="0.35">
      <c r="A1589" s="34"/>
      <c r="B1589" s="35"/>
      <c r="C1589" s="36"/>
      <c r="D1589" s="37"/>
      <c r="E1589" s="36"/>
      <c r="F1589" s="42"/>
      <c r="G1589" s="42"/>
      <c r="H1589" s="42"/>
      <c r="AG1589" s="19">
        <v>1588</v>
      </c>
      <c r="AH1589" s="20">
        <v>-1735.5740355374089</v>
      </c>
    </row>
    <row r="1590" spans="1:34" ht="14.5" x14ac:dyDescent="0.35">
      <c r="A1590" s="34"/>
      <c r="B1590" s="35"/>
      <c r="C1590" s="36"/>
      <c r="D1590" s="37"/>
      <c r="E1590" s="36"/>
      <c r="F1590" s="42"/>
      <c r="G1590" s="42"/>
      <c r="H1590" s="42"/>
      <c r="AG1590" s="19">
        <v>1589</v>
      </c>
      <c r="AH1590" s="20">
        <v>154.45566891810981</v>
      </c>
    </row>
    <row r="1591" spans="1:34" ht="14.5" x14ac:dyDescent="0.35">
      <c r="A1591" s="34"/>
      <c r="B1591" s="35"/>
      <c r="C1591" s="36"/>
      <c r="D1591" s="37"/>
      <c r="E1591" s="36"/>
      <c r="F1591" s="42"/>
      <c r="G1591" s="42"/>
      <c r="H1591" s="42"/>
      <c r="AG1591" s="19">
        <v>1590</v>
      </c>
      <c r="AH1591" s="20">
        <v>3901.5169052748229</v>
      </c>
    </row>
    <row r="1592" spans="1:34" ht="14.5" x14ac:dyDescent="0.35">
      <c r="A1592" s="34"/>
      <c r="B1592" s="35"/>
      <c r="C1592" s="36"/>
      <c r="D1592" s="37"/>
      <c r="E1592" s="36"/>
      <c r="F1592" s="42"/>
      <c r="G1592" s="42"/>
      <c r="H1592" s="42"/>
      <c r="AG1592" s="19">
        <v>1591</v>
      </c>
      <c r="AH1592" s="20">
        <v>2132.4326783394572</v>
      </c>
    </row>
    <row r="1593" spans="1:34" ht="14.5" x14ac:dyDescent="0.35">
      <c r="A1593" s="34"/>
      <c r="B1593" s="35"/>
      <c r="C1593" s="36"/>
      <c r="D1593" s="37"/>
      <c r="E1593" s="36"/>
      <c r="F1593" s="42"/>
      <c r="G1593" s="42"/>
      <c r="H1593" s="42"/>
      <c r="AG1593" s="19">
        <v>1592</v>
      </c>
      <c r="AH1593" s="20">
        <v>855.88996679954312</v>
      </c>
    </row>
    <row r="1594" spans="1:34" ht="14.5" x14ac:dyDescent="0.35">
      <c r="A1594" s="34"/>
      <c r="B1594" s="35"/>
      <c r="C1594" s="36"/>
      <c r="D1594" s="37"/>
      <c r="E1594" s="36"/>
      <c r="F1594" s="42"/>
      <c r="G1594" s="42"/>
      <c r="H1594" s="42"/>
      <c r="AG1594" s="19">
        <v>1593</v>
      </c>
      <c r="AH1594" s="20">
        <v>-634.95026871492473</v>
      </c>
    </row>
    <row r="1595" spans="1:34" ht="14.5" x14ac:dyDescent="0.35">
      <c r="A1595" s="34"/>
      <c r="B1595" s="35"/>
      <c r="C1595" s="36"/>
      <c r="D1595" s="37"/>
      <c r="E1595" s="36"/>
      <c r="F1595" s="42"/>
      <c r="G1595" s="42"/>
      <c r="H1595" s="42"/>
      <c r="AG1595" s="19">
        <v>1594</v>
      </c>
      <c r="AH1595" s="20">
        <v>229.97040640337241</v>
      </c>
    </row>
    <row r="1596" spans="1:34" ht="14.5" x14ac:dyDescent="0.35">
      <c r="A1596" s="34"/>
      <c r="B1596" s="35"/>
      <c r="C1596" s="36"/>
      <c r="D1596" s="37"/>
      <c r="E1596" s="36"/>
      <c r="F1596" s="42"/>
      <c r="G1596" s="42"/>
      <c r="H1596" s="42"/>
      <c r="AG1596" s="19">
        <v>1595</v>
      </c>
      <c r="AH1596" s="20">
        <v>1676.1260828240763</v>
      </c>
    </row>
    <row r="1597" spans="1:34" ht="14.5" x14ac:dyDescent="0.35">
      <c r="A1597" s="34"/>
      <c r="B1597" s="35"/>
      <c r="C1597" s="36"/>
      <c r="D1597" s="37"/>
      <c r="E1597" s="36"/>
      <c r="F1597" s="42"/>
      <c r="G1597" s="42"/>
      <c r="H1597" s="42"/>
      <c r="AG1597" s="19">
        <v>1596</v>
      </c>
      <c r="AH1597" s="20">
        <v>2088.3421134442433</v>
      </c>
    </row>
    <row r="1598" spans="1:34" ht="14.5" x14ac:dyDescent="0.35">
      <c r="A1598" s="34"/>
      <c r="B1598" s="35"/>
      <c r="C1598" s="36"/>
      <c r="D1598" s="37"/>
      <c r="E1598" s="36"/>
      <c r="F1598" s="42"/>
      <c r="G1598" s="42"/>
      <c r="H1598" s="42"/>
      <c r="AG1598" s="19">
        <v>1597</v>
      </c>
      <c r="AH1598" s="20">
        <v>2277.6594920622911</v>
      </c>
    </row>
    <row r="1599" spans="1:34" ht="14.5" x14ac:dyDescent="0.35">
      <c r="A1599" s="34"/>
      <c r="B1599" s="35"/>
      <c r="C1599" s="36"/>
      <c r="D1599" s="37"/>
      <c r="E1599" s="36"/>
      <c r="F1599" s="42"/>
      <c r="G1599" s="42"/>
      <c r="H1599" s="42"/>
      <c r="AG1599" s="19">
        <v>1598</v>
      </c>
      <c r="AH1599" s="20">
        <v>-754.42340897868439</v>
      </c>
    </row>
    <row r="1600" spans="1:34" ht="14.5" x14ac:dyDescent="0.35">
      <c r="A1600" s="34"/>
      <c r="B1600" s="35"/>
      <c r="C1600" s="36"/>
      <c r="D1600" s="37"/>
      <c r="E1600" s="36"/>
      <c r="F1600" s="42"/>
      <c r="G1600" s="42"/>
      <c r="H1600" s="42"/>
      <c r="AG1600" s="19">
        <v>1599</v>
      </c>
      <c r="AH1600" s="20">
        <v>2773.9758525847851</v>
      </c>
    </row>
    <row r="1601" spans="1:34" ht="14.5" x14ac:dyDescent="0.35">
      <c r="A1601" s="34"/>
      <c r="B1601" s="35"/>
      <c r="C1601" s="36"/>
      <c r="D1601" s="37"/>
      <c r="E1601" s="36"/>
      <c r="F1601" s="42"/>
      <c r="G1601" s="42"/>
      <c r="H1601" s="42"/>
      <c r="AG1601" s="19">
        <v>1600</v>
      </c>
      <c r="AH1601" s="20">
        <v>1931.3506421003199</v>
      </c>
    </row>
    <row r="1602" spans="1:34" ht="14.5" x14ac:dyDescent="0.35">
      <c r="A1602" s="34"/>
      <c r="B1602" s="35"/>
      <c r="C1602" s="36"/>
      <c r="D1602" s="37"/>
      <c r="E1602" s="36"/>
      <c r="F1602" s="42"/>
      <c r="G1602" s="42"/>
      <c r="H1602" s="42"/>
      <c r="AG1602" s="19">
        <v>1601</v>
      </c>
      <c r="AH1602" s="20">
        <v>4213.6255675423181</v>
      </c>
    </row>
    <row r="1603" spans="1:34" ht="14.5" x14ac:dyDescent="0.35">
      <c r="A1603" s="34"/>
      <c r="B1603" s="35"/>
      <c r="C1603" s="36"/>
      <c r="D1603" s="37"/>
      <c r="E1603" s="36"/>
      <c r="F1603" s="42"/>
      <c r="G1603" s="42"/>
      <c r="H1603" s="42"/>
      <c r="AG1603" s="19">
        <v>1602</v>
      </c>
      <c r="AH1603" s="20">
        <v>-1205.0256061702542</v>
      </c>
    </row>
    <row r="1604" spans="1:34" ht="14.5" x14ac:dyDescent="0.35">
      <c r="A1604" s="34"/>
      <c r="B1604" s="35"/>
      <c r="C1604" s="36"/>
      <c r="D1604" s="37"/>
      <c r="E1604" s="36"/>
      <c r="F1604" s="42"/>
      <c r="G1604" s="42"/>
      <c r="H1604" s="42"/>
      <c r="AG1604" s="19">
        <v>1603</v>
      </c>
      <c r="AH1604" s="20">
        <v>-123.0585525837086</v>
      </c>
    </row>
    <row r="1605" spans="1:34" ht="14.5" x14ac:dyDescent="0.35">
      <c r="A1605" s="34"/>
      <c r="B1605" s="35"/>
      <c r="C1605" s="36"/>
      <c r="D1605" s="37"/>
      <c r="E1605" s="36"/>
      <c r="F1605" s="42"/>
      <c r="G1605" s="42"/>
      <c r="H1605" s="42"/>
      <c r="AG1605" s="19">
        <v>1604</v>
      </c>
      <c r="AH1605" s="20">
        <v>929.19425200202431</v>
      </c>
    </row>
    <row r="1606" spans="1:34" ht="14.5" x14ac:dyDescent="0.35">
      <c r="A1606" s="34"/>
      <c r="B1606" s="35"/>
      <c r="C1606" s="36"/>
      <c r="D1606" s="37"/>
      <c r="E1606" s="36"/>
      <c r="F1606" s="42"/>
      <c r="G1606" s="42"/>
      <c r="H1606" s="42"/>
      <c r="AG1606" s="19">
        <v>1605</v>
      </c>
      <c r="AH1606" s="20">
        <v>695.51960779659362</v>
      </c>
    </row>
    <row r="1607" spans="1:34" ht="14.5" x14ac:dyDescent="0.35">
      <c r="A1607" s="34"/>
      <c r="B1607" s="35"/>
      <c r="C1607" s="36"/>
      <c r="D1607" s="37"/>
      <c r="E1607" s="36"/>
      <c r="F1607" s="42"/>
      <c r="G1607" s="42"/>
      <c r="H1607" s="42"/>
      <c r="AG1607" s="19">
        <v>1606</v>
      </c>
      <c r="AH1607" s="20">
        <v>-3121.8999496696824</v>
      </c>
    </row>
    <row r="1608" spans="1:34" ht="14.5" x14ac:dyDescent="0.35">
      <c r="A1608" s="34"/>
      <c r="B1608" s="35"/>
      <c r="C1608" s="36"/>
      <c r="D1608" s="37"/>
      <c r="E1608" s="36"/>
      <c r="F1608" s="42"/>
      <c r="G1608" s="42"/>
      <c r="H1608" s="42"/>
      <c r="AG1608" s="19">
        <v>1607</v>
      </c>
      <c r="AH1608" s="20">
        <v>-1123.5479422698838</v>
      </c>
    </row>
    <row r="1609" spans="1:34" ht="14.5" x14ac:dyDescent="0.35">
      <c r="A1609" s="34"/>
      <c r="B1609" s="35"/>
      <c r="C1609" s="36"/>
      <c r="D1609" s="37"/>
      <c r="E1609" s="36"/>
      <c r="F1609" s="42"/>
      <c r="G1609" s="42"/>
      <c r="H1609" s="42"/>
      <c r="AG1609" s="19">
        <v>1608</v>
      </c>
      <c r="AH1609" s="20">
        <v>162.32295434360188</v>
      </c>
    </row>
    <row r="1610" spans="1:34" ht="14.5" x14ac:dyDescent="0.35">
      <c r="A1610" s="34"/>
      <c r="B1610" s="35"/>
      <c r="C1610" s="36"/>
      <c r="D1610" s="37"/>
      <c r="E1610" s="36"/>
      <c r="F1610" s="42"/>
      <c r="G1610" s="42"/>
      <c r="H1610" s="42"/>
      <c r="AG1610" s="19">
        <v>1609</v>
      </c>
      <c r="AH1610" s="20">
        <v>3595.1087392088448</v>
      </c>
    </row>
    <row r="1611" spans="1:34" ht="14.5" x14ac:dyDescent="0.35">
      <c r="A1611" s="34"/>
      <c r="B1611" s="35"/>
      <c r="C1611" s="36"/>
      <c r="D1611" s="37"/>
      <c r="E1611" s="36"/>
      <c r="F1611" s="42"/>
      <c r="G1611" s="42"/>
      <c r="H1611" s="42"/>
      <c r="AG1611" s="19">
        <v>1610</v>
      </c>
      <c r="AH1611" s="20">
        <v>-269.83300758552451</v>
      </c>
    </row>
    <row r="1612" spans="1:34" ht="14.5" x14ac:dyDescent="0.35">
      <c r="A1612" s="34"/>
      <c r="B1612" s="35"/>
      <c r="C1612" s="36"/>
      <c r="D1612" s="37"/>
      <c r="E1612" s="36"/>
      <c r="F1612" s="42"/>
      <c r="G1612" s="42"/>
      <c r="H1612" s="42"/>
      <c r="AG1612" s="19">
        <v>1611</v>
      </c>
      <c r="AH1612" s="20">
        <v>2951.6189564457582</v>
      </c>
    </row>
    <row r="1613" spans="1:34" ht="14.5" x14ac:dyDescent="0.35">
      <c r="A1613" s="34"/>
      <c r="B1613" s="35"/>
      <c r="C1613" s="36"/>
      <c r="D1613" s="37"/>
      <c r="E1613" s="36"/>
      <c r="F1613" s="42"/>
      <c r="G1613" s="42"/>
      <c r="H1613" s="42"/>
      <c r="AG1613" s="19">
        <v>1612</v>
      </c>
      <c r="AH1613" s="20">
        <v>1115.4348610822558</v>
      </c>
    </row>
    <row r="1614" spans="1:34" ht="14.5" x14ac:dyDescent="0.35">
      <c r="A1614" s="34"/>
      <c r="B1614" s="35"/>
      <c r="C1614" s="36"/>
      <c r="D1614" s="37"/>
      <c r="E1614" s="36"/>
      <c r="F1614" s="42"/>
      <c r="G1614" s="42"/>
      <c r="H1614" s="42"/>
      <c r="AG1614" s="19">
        <v>1613</v>
      </c>
      <c r="AH1614" s="20">
        <v>-1261.7911887840455</v>
      </c>
    </row>
    <row r="1615" spans="1:34" ht="14.5" x14ac:dyDescent="0.35">
      <c r="A1615" s="34"/>
      <c r="B1615" s="35"/>
      <c r="C1615" s="36"/>
      <c r="D1615" s="37"/>
      <c r="E1615" s="36"/>
      <c r="F1615" s="42"/>
      <c r="G1615" s="42"/>
      <c r="H1615" s="42"/>
      <c r="AG1615" s="19">
        <v>1614</v>
      </c>
      <c r="AH1615" s="20">
        <v>-3856.634920531681</v>
      </c>
    </row>
    <row r="1616" spans="1:34" ht="14.5" x14ac:dyDescent="0.35">
      <c r="A1616" s="34"/>
      <c r="B1616" s="35"/>
      <c r="C1616" s="36"/>
      <c r="D1616" s="37"/>
      <c r="E1616" s="36"/>
      <c r="F1616" s="42"/>
      <c r="G1616" s="42"/>
      <c r="H1616" s="42"/>
      <c r="AG1616" s="19">
        <v>1615</v>
      </c>
      <c r="AH1616" s="20">
        <v>-1564.864568880344</v>
      </c>
    </row>
    <row r="1617" spans="1:34" ht="14.5" x14ac:dyDescent="0.35">
      <c r="A1617" s="34"/>
      <c r="B1617" s="35"/>
      <c r="C1617" s="36"/>
      <c r="D1617" s="37"/>
      <c r="E1617" s="36"/>
      <c r="F1617" s="42"/>
      <c r="G1617" s="42"/>
      <c r="H1617" s="42"/>
      <c r="AG1617" s="19">
        <v>1616</v>
      </c>
      <c r="AH1617" s="20">
        <v>800.77685725282367</v>
      </c>
    </row>
    <row r="1618" spans="1:34" ht="14.5" x14ac:dyDescent="0.35">
      <c r="A1618" s="34"/>
      <c r="B1618" s="35"/>
      <c r="C1618" s="36"/>
      <c r="D1618" s="37"/>
      <c r="E1618" s="36"/>
      <c r="F1618" s="42"/>
      <c r="G1618" s="42"/>
      <c r="H1618" s="42"/>
      <c r="AG1618" s="19">
        <v>1617</v>
      </c>
      <c r="AH1618" s="20">
        <v>-1275.0312252058927</v>
      </c>
    </row>
    <row r="1619" spans="1:34" ht="14.5" x14ac:dyDescent="0.35">
      <c r="A1619" s="34"/>
      <c r="B1619" s="35"/>
      <c r="C1619" s="36"/>
      <c r="D1619" s="37"/>
      <c r="E1619" s="36"/>
      <c r="F1619" s="42"/>
      <c r="G1619" s="42"/>
      <c r="H1619" s="42"/>
      <c r="AG1619" s="19">
        <v>1618</v>
      </c>
      <c r="AH1619" s="20">
        <v>-1116.9016156569273</v>
      </c>
    </row>
    <row r="1620" spans="1:34" ht="14.5" x14ac:dyDescent="0.35">
      <c r="A1620" s="34"/>
      <c r="B1620" s="35"/>
      <c r="C1620" s="36"/>
      <c r="D1620" s="37"/>
      <c r="E1620" s="36"/>
      <c r="F1620" s="42"/>
      <c r="G1620" s="42"/>
      <c r="H1620" s="42"/>
      <c r="AG1620" s="19">
        <v>1619</v>
      </c>
      <c r="AH1620" s="20">
        <v>2513.851081196281</v>
      </c>
    </row>
    <row r="1621" spans="1:34" ht="14.5" x14ac:dyDescent="0.35">
      <c r="A1621" s="34"/>
      <c r="B1621" s="35"/>
      <c r="C1621" s="36"/>
      <c r="D1621" s="37"/>
      <c r="E1621" s="36"/>
      <c r="F1621" s="42"/>
      <c r="G1621" s="42"/>
      <c r="H1621" s="42"/>
      <c r="AG1621" s="19">
        <v>1620</v>
      </c>
      <c r="AH1621" s="20">
        <v>1647.0390993828262</v>
      </c>
    </row>
    <row r="1622" spans="1:34" ht="14.5" x14ac:dyDescent="0.35">
      <c r="A1622" s="34"/>
      <c r="B1622" s="35"/>
      <c r="C1622" s="36"/>
      <c r="D1622" s="37"/>
      <c r="E1622" s="36"/>
      <c r="F1622" s="42"/>
      <c r="G1622" s="42"/>
      <c r="H1622" s="42"/>
      <c r="AG1622" s="19">
        <v>1621</v>
      </c>
      <c r="AH1622" s="20">
        <v>3456.692778975957</v>
      </c>
    </row>
    <row r="1623" spans="1:34" ht="14.5" x14ac:dyDescent="0.35">
      <c r="A1623" s="34"/>
      <c r="B1623" s="35"/>
      <c r="C1623" s="36"/>
      <c r="D1623" s="37"/>
      <c r="E1623" s="36"/>
      <c r="F1623" s="42"/>
      <c r="G1623" s="42"/>
      <c r="H1623" s="42"/>
      <c r="AG1623" s="19">
        <v>1622</v>
      </c>
      <c r="AH1623" s="20">
        <v>-1945.6608902500482</v>
      </c>
    </row>
    <row r="1624" spans="1:34" ht="14.5" x14ac:dyDescent="0.35">
      <c r="A1624" s="34"/>
      <c r="B1624" s="35"/>
      <c r="C1624" s="36"/>
      <c r="D1624" s="37"/>
      <c r="E1624" s="36"/>
      <c r="F1624" s="42"/>
      <c r="G1624" s="42"/>
      <c r="H1624" s="42"/>
      <c r="AG1624" s="19">
        <v>1623</v>
      </c>
      <c r="AH1624" s="20">
        <v>919.84998283618688</v>
      </c>
    </row>
    <row r="1625" spans="1:34" ht="14.5" x14ac:dyDescent="0.35">
      <c r="A1625" s="34"/>
      <c r="B1625" s="35"/>
      <c r="C1625" s="36"/>
      <c r="D1625" s="37"/>
      <c r="E1625" s="36"/>
      <c r="F1625" s="42"/>
      <c r="G1625" s="42"/>
      <c r="H1625" s="42"/>
      <c r="AG1625" s="19">
        <v>1624</v>
      </c>
      <c r="AH1625" s="20">
        <v>1202.6706096202881</v>
      </c>
    </row>
    <row r="1626" spans="1:34" ht="14.5" x14ac:dyDescent="0.35">
      <c r="A1626" s="34"/>
      <c r="B1626" s="35"/>
      <c r="C1626" s="36"/>
      <c r="D1626" s="37"/>
      <c r="E1626" s="36"/>
      <c r="F1626" s="42"/>
      <c r="G1626" s="42"/>
      <c r="H1626" s="42"/>
      <c r="AG1626" s="19">
        <v>1625</v>
      </c>
      <c r="AH1626" s="20">
        <v>1508.1632352106094</v>
      </c>
    </row>
    <row r="1627" spans="1:34" ht="14.5" x14ac:dyDescent="0.35">
      <c r="A1627" s="34"/>
      <c r="B1627" s="35"/>
      <c r="C1627" s="36"/>
      <c r="D1627" s="37"/>
      <c r="E1627" s="36"/>
      <c r="F1627" s="42"/>
      <c r="G1627" s="42"/>
      <c r="H1627" s="42"/>
      <c r="AG1627" s="19">
        <v>1626</v>
      </c>
      <c r="AH1627" s="20">
        <v>-796.64705448229597</v>
      </c>
    </row>
    <row r="1628" spans="1:34" ht="14.5" x14ac:dyDescent="0.35">
      <c r="A1628" s="34"/>
      <c r="B1628" s="35"/>
      <c r="C1628" s="36"/>
      <c r="D1628" s="37"/>
      <c r="E1628" s="36"/>
      <c r="F1628" s="42"/>
      <c r="G1628" s="42"/>
      <c r="H1628" s="42"/>
      <c r="AG1628" s="19">
        <v>1627</v>
      </c>
      <c r="AH1628" s="20">
        <v>542.00528115985526</v>
      </c>
    </row>
    <row r="1629" spans="1:34" ht="14.5" x14ac:dyDescent="0.35">
      <c r="A1629" s="34"/>
      <c r="B1629" s="35"/>
      <c r="C1629" s="36"/>
      <c r="D1629" s="37"/>
      <c r="E1629" s="36"/>
      <c r="F1629" s="42"/>
      <c r="G1629" s="42"/>
      <c r="H1629" s="42"/>
      <c r="AG1629" s="19">
        <v>1628</v>
      </c>
      <c r="AH1629" s="20">
        <v>-257.02568725361442</v>
      </c>
    </row>
    <row r="1630" spans="1:34" ht="14.5" x14ac:dyDescent="0.35">
      <c r="A1630" s="34"/>
      <c r="B1630" s="35"/>
      <c r="C1630" s="36"/>
      <c r="D1630" s="37"/>
      <c r="E1630" s="36"/>
      <c r="F1630" s="42"/>
      <c r="G1630" s="42"/>
      <c r="H1630" s="42"/>
      <c r="AG1630" s="19">
        <v>1629</v>
      </c>
      <c r="AH1630" s="20">
        <v>-4037.9716875352387</v>
      </c>
    </row>
    <row r="1631" spans="1:34" ht="14.5" x14ac:dyDescent="0.35">
      <c r="A1631" s="34"/>
      <c r="B1631" s="35"/>
      <c r="C1631" s="36"/>
      <c r="D1631" s="37"/>
      <c r="E1631" s="36"/>
      <c r="F1631" s="42"/>
      <c r="G1631" s="42"/>
      <c r="H1631" s="42"/>
      <c r="AG1631" s="19">
        <v>1630</v>
      </c>
      <c r="AH1631" s="20">
        <v>-356.52359877829173</v>
      </c>
    </row>
    <row r="1632" spans="1:34" ht="14.5" x14ac:dyDescent="0.35">
      <c r="A1632" s="34"/>
      <c r="B1632" s="35"/>
      <c r="C1632" s="36"/>
      <c r="D1632" s="37"/>
      <c r="E1632" s="36"/>
      <c r="F1632" s="42"/>
      <c r="G1632" s="42"/>
      <c r="H1632" s="42"/>
      <c r="AG1632" s="19">
        <v>1631</v>
      </c>
      <c r="AH1632" s="20">
        <v>2250.7786067737497</v>
      </c>
    </row>
    <row r="1633" spans="1:34" ht="14.5" x14ac:dyDescent="0.35">
      <c r="A1633" s="34"/>
      <c r="B1633" s="35"/>
      <c r="C1633" s="36"/>
      <c r="D1633" s="37"/>
      <c r="E1633" s="36"/>
      <c r="F1633" s="42"/>
      <c r="G1633" s="42"/>
      <c r="H1633" s="42"/>
      <c r="AG1633" s="19">
        <v>1632</v>
      </c>
      <c r="AH1633" s="20">
        <v>1350.8259811814803</v>
      </c>
    </row>
    <row r="1634" spans="1:34" ht="14.5" x14ac:dyDescent="0.35">
      <c r="A1634" s="34"/>
      <c r="B1634" s="35"/>
      <c r="C1634" s="36"/>
      <c r="D1634" s="37"/>
      <c r="E1634" s="36"/>
      <c r="F1634" s="42"/>
      <c r="G1634" s="42"/>
      <c r="H1634" s="42"/>
      <c r="AG1634" s="19">
        <v>1633</v>
      </c>
      <c r="AH1634" s="20">
        <v>-50.564255167151032</v>
      </c>
    </row>
    <row r="1635" spans="1:34" ht="14.5" x14ac:dyDescent="0.35">
      <c r="A1635" s="34"/>
      <c r="B1635" s="35"/>
      <c r="C1635" s="36"/>
      <c r="D1635" s="37"/>
      <c r="E1635" s="36"/>
      <c r="F1635" s="42"/>
      <c r="G1635" s="42"/>
      <c r="H1635" s="42"/>
      <c r="AG1635" s="19">
        <v>1634</v>
      </c>
      <c r="AH1635" s="20">
        <v>-465.31950550609866</v>
      </c>
    </row>
    <row r="1636" spans="1:34" ht="14.5" x14ac:dyDescent="0.35">
      <c r="A1636" s="34"/>
      <c r="B1636" s="35"/>
      <c r="C1636" s="36"/>
      <c r="D1636" s="37"/>
      <c r="E1636" s="36"/>
      <c r="F1636" s="42"/>
      <c r="G1636" s="42"/>
      <c r="H1636" s="42"/>
      <c r="AG1636" s="19">
        <v>1635</v>
      </c>
      <c r="AH1636" s="20">
        <v>-1230.2265790515062</v>
      </c>
    </row>
    <row r="1637" spans="1:34" ht="14.5" x14ac:dyDescent="0.35">
      <c r="A1637" s="34"/>
      <c r="B1637" s="35"/>
      <c r="C1637" s="36"/>
      <c r="D1637" s="37"/>
      <c r="E1637" s="36"/>
      <c r="F1637" s="42"/>
      <c r="G1637" s="42"/>
      <c r="H1637" s="42"/>
      <c r="AG1637" s="19">
        <v>1636</v>
      </c>
      <c r="AH1637" s="20">
        <v>-5.5923654605824709</v>
      </c>
    </row>
    <row r="1638" spans="1:34" ht="14.5" x14ac:dyDescent="0.35">
      <c r="A1638" s="34"/>
      <c r="B1638" s="35"/>
      <c r="C1638" s="36"/>
      <c r="D1638" s="37"/>
      <c r="E1638" s="36"/>
      <c r="F1638" s="42"/>
      <c r="G1638" s="42"/>
      <c r="H1638" s="42"/>
      <c r="AG1638" s="19">
        <v>1637</v>
      </c>
      <c r="AH1638" s="20">
        <v>-1806.7125666405057</v>
      </c>
    </row>
    <row r="1639" spans="1:34" ht="14.5" x14ac:dyDescent="0.35">
      <c r="A1639" s="34"/>
      <c r="B1639" s="35"/>
      <c r="C1639" s="36"/>
      <c r="D1639" s="37"/>
      <c r="E1639" s="36"/>
      <c r="F1639" s="42"/>
      <c r="G1639" s="42"/>
      <c r="H1639" s="42"/>
      <c r="AG1639" s="19">
        <v>1638</v>
      </c>
      <c r="AH1639" s="20">
        <v>3825.2843205824465</v>
      </c>
    </row>
    <row r="1640" spans="1:34" ht="14.5" x14ac:dyDescent="0.35">
      <c r="A1640" s="34"/>
      <c r="B1640" s="35"/>
      <c r="C1640" s="36"/>
      <c r="D1640" s="37"/>
      <c r="E1640" s="36"/>
      <c r="F1640" s="42"/>
      <c r="G1640" s="42"/>
      <c r="H1640" s="42"/>
      <c r="AG1640" s="19">
        <v>1639</v>
      </c>
      <c r="AH1640" s="20">
        <v>-2422.9923918043646</v>
      </c>
    </row>
    <row r="1641" spans="1:34" ht="14.5" x14ac:dyDescent="0.35">
      <c r="A1641" s="34"/>
      <c r="B1641" s="35"/>
      <c r="C1641" s="36"/>
      <c r="D1641" s="37"/>
      <c r="E1641" s="36"/>
      <c r="F1641" s="42"/>
      <c r="G1641" s="42"/>
      <c r="H1641" s="42"/>
      <c r="AG1641" s="19">
        <v>1640</v>
      </c>
      <c r="AH1641" s="20">
        <v>-346.17106832091082</v>
      </c>
    </row>
    <row r="1642" spans="1:34" ht="14.5" x14ac:dyDescent="0.35">
      <c r="A1642" s="34"/>
      <c r="B1642" s="35"/>
      <c r="C1642" s="36"/>
      <c r="D1642" s="37"/>
      <c r="E1642" s="36"/>
      <c r="F1642" s="42"/>
      <c r="G1642" s="42"/>
      <c r="H1642" s="42"/>
      <c r="AG1642" s="19">
        <v>1641</v>
      </c>
      <c r="AH1642" s="20">
        <v>4206.9275711802538</v>
      </c>
    </row>
    <row r="1643" spans="1:34" ht="14.5" x14ac:dyDescent="0.35">
      <c r="A1643" s="34"/>
      <c r="B1643" s="35"/>
      <c r="C1643" s="36"/>
      <c r="D1643" s="37"/>
      <c r="E1643" s="36"/>
      <c r="F1643" s="42"/>
      <c r="G1643" s="42"/>
      <c r="H1643" s="42"/>
      <c r="AG1643" s="19">
        <v>1642</v>
      </c>
      <c r="AH1643" s="20">
        <v>-153.38155143236457</v>
      </c>
    </row>
    <row r="1644" spans="1:34" ht="14.5" x14ac:dyDescent="0.35">
      <c r="A1644" s="34"/>
      <c r="B1644" s="35"/>
      <c r="C1644" s="36"/>
      <c r="D1644" s="37"/>
      <c r="E1644" s="36"/>
      <c r="F1644" s="42"/>
      <c r="G1644" s="42"/>
      <c r="H1644" s="42"/>
      <c r="AG1644" s="19">
        <v>1643</v>
      </c>
      <c r="AH1644" s="20">
        <v>-828.98700122867763</v>
      </c>
    </row>
    <row r="1645" spans="1:34" ht="14.5" x14ac:dyDescent="0.35">
      <c r="A1645" s="34"/>
      <c r="B1645" s="35"/>
      <c r="C1645" s="36"/>
      <c r="D1645" s="37"/>
      <c r="E1645" s="36"/>
      <c r="F1645" s="42"/>
      <c r="G1645" s="42"/>
      <c r="H1645" s="42"/>
      <c r="AG1645" s="19">
        <v>1644</v>
      </c>
      <c r="AH1645" s="20">
        <v>-1491.0996239828396</v>
      </c>
    </row>
    <row r="1646" spans="1:34" ht="14.5" x14ac:dyDescent="0.35">
      <c r="A1646" s="34"/>
      <c r="B1646" s="35"/>
      <c r="C1646" s="36"/>
      <c r="D1646" s="37"/>
      <c r="E1646" s="36"/>
      <c r="F1646" s="42"/>
      <c r="G1646" s="42"/>
      <c r="H1646" s="42"/>
      <c r="AG1646" s="19">
        <v>1645</v>
      </c>
      <c r="AH1646" s="20">
        <v>4026.2860236423412</v>
      </c>
    </row>
    <row r="1647" spans="1:34" ht="14.5" x14ac:dyDescent="0.35">
      <c r="A1647" s="34"/>
      <c r="B1647" s="35"/>
      <c r="C1647" s="36"/>
      <c r="D1647" s="37"/>
      <c r="E1647" s="36"/>
      <c r="F1647" s="42"/>
      <c r="G1647" s="42"/>
      <c r="H1647" s="42"/>
      <c r="AG1647" s="19">
        <v>1646</v>
      </c>
      <c r="AH1647" s="20">
        <v>2590.6726249472104</v>
      </c>
    </row>
    <row r="1648" spans="1:34" ht="14.5" x14ac:dyDescent="0.35">
      <c r="A1648" s="34"/>
      <c r="B1648" s="35"/>
      <c r="C1648" s="36"/>
      <c r="D1648" s="37"/>
      <c r="E1648" s="36"/>
      <c r="F1648" s="42"/>
      <c r="G1648" s="42"/>
      <c r="H1648" s="42"/>
      <c r="AG1648" s="19">
        <v>1647</v>
      </c>
      <c r="AH1648" s="20">
        <v>4533.0384517267839</v>
      </c>
    </row>
    <row r="1649" spans="1:34" ht="14.5" x14ac:dyDescent="0.35">
      <c r="A1649" s="34"/>
      <c r="B1649" s="35"/>
      <c r="C1649" s="36"/>
      <c r="D1649" s="37"/>
      <c r="E1649" s="36"/>
      <c r="F1649" s="42"/>
      <c r="G1649" s="42"/>
      <c r="H1649" s="42"/>
      <c r="AG1649" s="19">
        <v>1648</v>
      </c>
      <c r="AH1649" s="20">
        <v>147.42369462859412</v>
      </c>
    </row>
    <row r="1650" spans="1:34" ht="14.5" x14ac:dyDescent="0.35">
      <c r="A1650" s="34"/>
      <c r="B1650" s="35"/>
      <c r="C1650" s="36"/>
      <c r="D1650" s="37"/>
      <c r="E1650" s="36"/>
      <c r="F1650" s="42"/>
      <c r="G1650" s="42"/>
      <c r="H1650" s="42"/>
      <c r="AG1650" s="19">
        <v>1649</v>
      </c>
      <c r="AH1650" s="20">
        <v>2106.504702296741</v>
      </c>
    </row>
    <row r="1651" spans="1:34" ht="14.5" x14ac:dyDescent="0.35">
      <c r="A1651" s="34"/>
      <c r="B1651" s="35"/>
      <c r="C1651" s="36"/>
      <c r="D1651" s="37"/>
      <c r="E1651" s="36"/>
      <c r="F1651" s="42"/>
      <c r="G1651" s="42"/>
      <c r="H1651" s="42"/>
      <c r="AG1651" s="19">
        <v>1650</v>
      </c>
      <c r="AH1651" s="20">
        <v>1509.9548194467636</v>
      </c>
    </row>
    <row r="1652" spans="1:34" ht="14.5" x14ac:dyDescent="0.35">
      <c r="A1652" s="34"/>
      <c r="B1652" s="35"/>
      <c r="C1652" s="36"/>
      <c r="D1652" s="37"/>
      <c r="E1652" s="36"/>
      <c r="F1652" s="42"/>
      <c r="G1652" s="42"/>
      <c r="H1652" s="42"/>
      <c r="AG1652" s="19">
        <v>1651</v>
      </c>
      <c r="AH1652" s="20">
        <v>-1997.2528843320567</v>
      </c>
    </row>
    <row r="1653" spans="1:34" ht="14.5" x14ac:dyDescent="0.35">
      <c r="A1653" s="34"/>
      <c r="B1653" s="35"/>
      <c r="C1653" s="36"/>
      <c r="D1653" s="37"/>
      <c r="E1653" s="36"/>
      <c r="F1653" s="42"/>
      <c r="G1653" s="42"/>
      <c r="H1653" s="42"/>
      <c r="AG1653" s="19">
        <v>1652</v>
      </c>
      <c r="AH1653" s="20">
        <v>-760.81978984125158</v>
      </c>
    </row>
    <row r="1654" spans="1:34" ht="14.5" x14ac:dyDescent="0.35">
      <c r="A1654" s="34"/>
      <c r="B1654" s="35"/>
      <c r="C1654" s="36"/>
      <c r="D1654" s="37"/>
      <c r="E1654" s="36"/>
      <c r="F1654" s="42"/>
      <c r="G1654" s="42"/>
      <c r="H1654" s="42"/>
      <c r="AG1654" s="19">
        <v>1653</v>
      </c>
      <c r="AH1654" s="20">
        <v>-1795.5090172035691</v>
      </c>
    </row>
    <row r="1655" spans="1:34" ht="14.5" x14ac:dyDescent="0.35">
      <c r="A1655" s="34"/>
      <c r="B1655" s="35"/>
      <c r="C1655" s="36"/>
      <c r="D1655" s="37"/>
      <c r="E1655" s="36"/>
      <c r="F1655" s="42"/>
      <c r="G1655" s="42"/>
      <c r="H1655" s="42"/>
      <c r="AG1655" s="19">
        <v>1654</v>
      </c>
      <c r="AH1655" s="20">
        <v>250.82227174110614</v>
      </c>
    </row>
    <row r="1656" spans="1:34" ht="14.5" x14ac:dyDescent="0.35">
      <c r="A1656" s="34"/>
      <c r="B1656" s="35"/>
      <c r="C1656" s="36"/>
      <c r="D1656" s="37"/>
      <c r="E1656" s="36"/>
      <c r="F1656" s="42"/>
      <c r="G1656" s="42"/>
      <c r="H1656" s="42"/>
      <c r="AG1656" s="19">
        <v>1655</v>
      </c>
      <c r="AH1656" s="20">
        <v>2708.8566940954647</v>
      </c>
    </row>
    <row r="1657" spans="1:34" ht="14.5" x14ac:dyDescent="0.35">
      <c r="A1657" s="34"/>
      <c r="B1657" s="35"/>
      <c r="C1657" s="36"/>
      <c r="D1657" s="37"/>
      <c r="E1657" s="36"/>
      <c r="F1657" s="42"/>
      <c r="G1657" s="42"/>
      <c r="H1657" s="42"/>
      <c r="AG1657" s="19">
        <v>1656</v>
      </c>
      <c r="AH1657" s="20">
        <v>-295.32236903655809</v>
      </c>
    </row>
    <row r="1658" spans="1:34" ht="14.5" x14ac:dyDescent="0.35">
      <c r="A1658" s="34"/>
      <c r="B1658" s="35"/>
      <c r="C1658" s="36"/>
      <c r="D1658" s="37"/>
      <c r="E1658" s="36"/>
      <c r="F1658" s="42"/>
      <c r="G1658" s="42"/>
      <c r="H1658" s="42"/>
      <c r="AG1658" s="19">
        <v>1657</v>
      </c>
      <c r="AH1658" s="20">
        <v>-617.19173688603541</v>
      </c>
    </row>
    <row r="1659" spans="1:34" ht="14.5" x14ac:dyDescent="0.35">
      <c r="A1659" s="34"/>
      <c r="B1659" s="35"/>
      <c r="C1659" s="36"/>
      <c r="D1659" s="37"/>
      <c r="E1659" s="36"/>
      <c r="F1659" s="42"/>
      <c r="G1659" s="42"/>
      <c r="H1659" s="42"/>
      <c r="AG1659" s="19">
        <v>1658</v>
      </c>
      <c r="AH1659" s="20">
        <v>2655.5418864641224</v>
      </c>
    </row>
    <row r="1660" spans="1:34" ht="14.5" x14ac:dyDescent="0.35">
      <c r="A1660" s="34"/>
      <c r="B1660" s="35"/>
      <c r="C1660" s="36"/>
      <c r="D1660" s="37"/>
      <c r="E1660" s="36"/>
      <c r="F1660" s="42"/>
      <c r="G1660" s="42"/>
      <c r="H1660" s="42"/>
      <c r="AG1660" s="19">
        <v>1659</v>
      </c>
      <c r="AH1660" s="20">
        <v>1705.7427721850017</v>
      </c>
    </row>
    <row r="1661" spans="1:34" ht="14.5" x14ac:dyDescent="0.35">
      <c r="A1661" s="34"/>
      <c r="B1661" s="35"/>
      <c r="C1661" s="36"/>
      <c r="D1661" s="37"/>
      <c r="E1661" s="36"/>
      <c r="F1661" s="42"/>
      <c r="G1661" s="42"/>
      <c r="H1661" s="42"/>
      <c r="AG1661" s="19">
        <v>1660</v>
      </c>
      <c r="AH1661" s="20">
        <v>1691.457644650568</v>
      </c>
    </row>
    <row r="1662" spans="1:34" ht="14.5" x14ac:dyDescent="0.35">
      <c r="A1662" s="34"/>
      <c r="B1662" s="35"/>
      <c r="C1662" s="36"/>
      <c r="D1662" s="37"/>
      <c r="E1662" s="36"/>
      <c r="F1662" s="42"/>
      <c r="G1662" s="42"/>
      <c r="H1662" s="42"/>
      <c r="AG1662" s="19">
        <v>1661</v>
      </c>
      <c r="AH1662" s="20">
        <v>762.51577739315053</v>
      </c>
    </row>
    <row r="1663" spans="1:34" ht="14.5" x14ac:dyDescent="0.35">
      <c r="A1663" s="34"/>
      <c r="B1663" s="35"/>
      <c r="C1663" s="36"/>
      <c r="D1663" s="37"/>
      <c r="E1663" s="36"/>
      <c r="F1663" s="42"/>
      <c r="G1663" s="42"/>
      <c r="H1663" s="42"/>
      <c r="AG1663" s="19">
        <v>1662</v>
      </c>
      <c r="AH1663" s="20">
        <v>404.51294108458069</v>
      </c>
    </row>
    <row r="1664" spans="1:34" ht="14.5" x14ac:dyDescent="0.35">
      <c r="A1664" s="34"/>
      <c r="B1664" s="35"/>
      <c r="C1664" s="36"/>
      <c r="D1664" s="37"/>
      <c r="E1664" s="36"/>
      <c r="F1664" s="42"/>
      <c r="G1664" s="42"/>
      <c r="H1664" s="42"/>
      <c r="AG1664" s="19">
        <v>1663</v>
      </c>
      <c r="AH1664" s="20">
        <v>-486.01566852775505</v>
      </c>
    </row>
    <row r="1665" spans="1:34" ht="14.5" x14ac:dyDescent="0.35">
      <c r="A1665" s="34"/>
      <c r="B1665" s="35"/>
      <c r="C1665" s="36"/>
      <c r="D1665" s="37"/>
      <c r="E1665" s="36"/>
      <c r="F1665" s="42"/>
      <c r="G1665" s="42"/>
      <c r="H1665" s="42"/>
      <c r="AG1665" s="19">
        <v>1664</v>
      </c>
      <c r="AH1665" s="20">
        <v>1914.7189241124086</v>
      </c>
    </row>
    <row r="1666" spans="1:34" ht="14.5" x14ac:dyDescent="0.35">
      <c r="A1666" s="34"/>
      <c r="B1666" s="35"/>
      <c r="C1666" s="36"/>
      <c r="D1666" s="37"/>
      <c r="E1666" s="36"/>
      <c r="F1666" s="42"/>
      <c r="G1666" s="42"/>
      <c r="H1666" s="42"/>
      <c r="AG1666" s="19">
        <v>1665</v>
      </c>
      <c r="AH1666" s="20">
        <v>-1069.3705572762858</v>
      </c>
    </row>
    <row r="1667" spans="1:34" ht="14.5" x14ac:dyDescent="0.35">
      <c r="A1667" s="34"/>
      <c r="B1667" s="35"/>
      <c r="C1667" s="36"/>
      <c r="D1667" s="37"/>
      <c r="E1667" s="36"/>
      <c r="F1667" s="42"/>
      <c r="G1667" s="42"/>
      <c r="H1667" s="42"/>
      <c r="AG1667" s="19">
        <v>1666</v>
      </c>
      <c r="AH1667" s="20">
        <v>-391.38057141735322</v>
      </c>
    </row>
    <row r="1668" spans="1:34" ht="14.5" x14ac:dyDescent="0.35">
      <c r="A1668" s="34"/>
      <c r="B1668" s="35"/>
      <c r="C1668" s="36"/>
      <c r="D1668" s="37"/>
      <c r="E1668" s="36"/>
      <c r="F1668" s="42"/>
      <c r="G1668" s="42"/>
      <c r="H1668" s="42"/>
      <c r="AG1668" s="19">
        <v>1667</v>
      </c>
      <c r="AH1668" s="20">
        <v>483.61570277352183</v>
      </c>
    </row>
    <row r="1669" spans="1:34" ht="14.5" x14ac:dyDescent="0.35">
      <c r="A1669" s="34"/>
      <c r="B1669" s="35"/>
      <c r="C1669" s="36"/>
      <c r="D1669" s="37"/>
      <c r="E1669" s="36"/>
      <c r="F1669" s="42"/>
      <c r="G1669" s="42"/>
      <c r="H1669" s="42"/>
      <c r="AG1669" s="19">
        <v>1668</v>
      </c>
      <c r="AH1669" s="20">
        <v>966.93938260379923</v>
      </c>
    </row>
    <row r="1670" spans="1:34" ht="14.5" x14ac:dyDescent="0.35">
      <c r="A1670" s="34"/>
      <c r="B1670" s="35"/>
      <c r="C1670" s="36"/>
      <c r="D1670" s="37"/>
      <c r="E1670" s="36"/>
      <c r="F1670" s="42"/>
      <c r="G1670" s="42"/>
      <c r="H1670" s="42"/>
      <c r="AG1670" s="19">
        <v>1669</v>
      </c>
      <c r="AH1670" s="20">
        <v>-2799.3382609651044</v>
      </c>
    </row>
    <row r="1671" spans="1:34" ht="14.5" x14ac:dyDescent="0.35">
      <c r="A1671" s="34"/>
      <c r="B1671" s="35"/>
      <c r="C1671" s="36"/>
      <c r="D1671" s="37"/>
      <c r="E1671" s="36"/>
      <c r="F1671" s="42"/>
      <c r="G1671" s="42"/>
      <c r="H1671" s="42"/>
      <c r="AG1671" s="19">
        <v>1670</v>
      </c>
      <c r="AH1671" s="20">
        <v>2194.8959875607852</v>
      </c>
    </row>
    <row r="1672" spans="1:34" ht="14.5" x14ac:dyDescent="0.35">
      <c r="A1672" s="34"/>
      <c r="B1672" s="35"/>
      <c r="C1672" s="36"/>
      <c r="D1672" s="37"/>
      <c r="E1672" s="36"/>
      <c r="F1672" s="42"/>
      <c r="G1672" s="42"/>
      <c r="H1672" s="42"/>
      <c r="AG1672" s="19">
        <v>1671</v>
      </c>
      <c r="AH1672" s="20">
        <v>1211.4677248185967</v>
      </c>
    </row>
    <row r="1673" spans="1:34" ht="14.5" x14ac:dyDescent="0.35">
      <c r="A1673" s="34"/>
      <c r="B1673" s="35"/>
      <c r="C1673" s="36"/>
      <c r="D1673" s="37"/>
      <c r="E1673" s="36"/>
      <c r="F1673" s="42"/>
      <c r="G1673" s="42"/>
      <c r="H1673" s="42"/>
      <c r="AG1673" s="19">
        <v>1672</v>
      </c>
      <c r="AH1673" s="20">
        <v>556.5428538504334</v>
      </c>
    </row>
    <row r="1674" spans="1:34" ht="14.5" x14ac:dyDescent="0.35">
      <c r="A1674" s="34"/>
      <c r="B1674" s="35"/>
      <c r="C1674" s="36"/>
      <c r="D1674" s="37"/>
      <c r="E1674" s="36"/>
      <c r="F1674" s="42"/>
      <c r="G1674" s="42"/>
      <c r="H1674" s="42"/>
      <c r="AG1674" s="19">
        <v>1673</v>
      </c>
      <c r="AH1674" s="20">
        <v>46.700992907466002</v>
      </c>
    </row>
    <row r="1675" spans="1:34" ht="14.5" x14ac:dyDescent="0.35">
      <c r="A1675" s="34"/>
      <c r="B1675" s="35"/>
      <c r="C1675" s="36"/>
      <c r="D1675" s="37"/>
      <c r="E1675" s="36"/>
      <c r="F1675" s="42"/>
      <c r="G1675" s="42"/>
      <c r="H1675" s="42"/>
      <c r="AG1675" s="19">
        <v>1674</v>
      </c>
      <c r="AH1675" s="20">
        <v>3075.7454449891425</v>
      </c>
    </row>
    <row r="1676" spans="1:34" ht="14.5" x14ac:dyDescent="0.35">
      <c r="A1676" s="34"/>
      <c r="B1676" s="35"/>
      <c r="C1676" s="36"/>
      <c r="D1676" s="37"/>
      <c r="E1676" s="36"/>
      <c r="F1676" s="42"/>
      <c r="G1676" s="42"/>
      <c r="H1676" s="42"/>
      <c r="AG1676" s="19">
        <v>1675</v>
      </c>
      <c r="AH1676" s="20">
        <v>-7190.0395756918251</v>
      </c>
    </row>
    <row r="1677" spans="1:34" ht="14.5" x14ac:dyDescent="0.35">
      <c r="A1677" s="34"/>
      <c r="B1677" s="35"/>
      <c r="C1677" s="36"/>
      <c r="D1677" s="37"/>
      <c r="E1677" s="36"/>
      <c r="F1677" s="42"/>
      <c r="G1677" s="42"/>
      <c r="H1677" s="42"/>
      <c r="AG1677" s="19">
        <v>1676</v>
      </c>
      <c r="AH1677" s="20">
        <v>2963.1525556086799</v>
      </c>
    </row>
    <row r="1678" spans="1:34" ht="14.5" x14ac:dyDescent="0.35">
      <c r="A1678" s="34"/>
      <c r="B1678" s="35"/>
      <c r="C1678" s="36"/>
      <c r="D1678" s="37"/>
      <c r="E1678" s="36"/>
      <c r="F1678" s="42"/>
      <c r="G1678" s="42"/>
      <c r="H1678" s="42"/>
      <c r="AG1678" s="19">
        <v>1677</v>
      </c>
      <c r="AH1678" s="20">
        <v>1618.1587305781966</v>
      </c>
    </row>
    <row r="1679" spans="1:34" ht="14.5" x14ac:dyDescent="0.35">
      <c r="A1679" s="34"/>
      <c r="B1679" s="35"/>
      <c r="C1679" s="36"/>
      <c r="D1679" s="37"/>
      <c r="E1679" s="36"/>
      <c r="F1679" s="42"/>
      <c r="G1679" s="42"/>
      <c r="H1679" s="42"/>
      <c r="AG1679" s="19">
        <v>1678</v>
      </c>
      <c r="AH1679" s="20">
        <v>488.04898283130217</v>
      </c>
    </row>
    <row r="1680" spans="1:34" ht="14.5" x14ac:dyDescent="0.35">
      <c r="A1680" s="34"/>
      <c r="B1680" s="35"/>
      <c r="C1680" s="36"/>
      <c r="D1680" s="37"/>
      <c r="E1680" s="36"/>
      <c r="F1680" s="42"/>
      <c r="G1680" s="42"/>
      <c r="H1680" s="42"/>
      <c r="AG1680" s="19">
        <v>1679</v>
      </c>
      <c r="AH1680" s="20">
        <v>1913.6380942090914</v>
      </c>
    </row>
    <row r="1681" spans="1:34" ht="14.5" x14ac:dyDescent="0.35">
      <c r="A1681" s="34"/>
      <c r="B1681" s="35"/>
      <c r="C1681" s="36"/>
      <c r="D1681" s="37"/>
      <c r="E1681" s="36"/>
      <c r="F1681" s="42"/>
      <c r="G1681" s="42"/>
      <c r="H1681" s="42"/>
      <c r="AG1681" s="19">
        <v>1680</v>
      </c>
      <c r="AH1681" s="20">
        <v>-629.30789319226164</v>
      </c>
    </row>
    <row r="1682" spans="1:34" ht="14.5" x14ac:dyDescent="0.35">
      <c r="A1682" s="34"/>
      <c r="B1682" s="35"/>
      <c r="C1682" s="36"/>
      <c r="D1682" s="37"/>
      <c r="E1682" s="36"/>
      <c r="F1682" s="42"/>
      <c r="G1682" s="42"/>
      <c r="H1682" s="42"/>
      <c r="AG1682" s="19">
        <v>1681</v>
      </c>
      <c r="AH1682" s="20">
        <v>1602.9559961697771</v>
      </c>
    </row>
    <row r="1683" spans="1:34" ht="14.5" x14ac:dyDescent="0.35">
      <c r="A1683" s="34"/>
      <c r="B1683" s="35"/>
      <c r="C1683" s="36"/>
      <c r="D1683" s="37"/>
      <c r="E1683" s="36"/>
      <c r="F1683" s="42"/>
      <c r="G1683" s="42"/>
      <c r="H1683" s="42"/>
      <c r="AG1683" s="19">
        <v>1682</v>
      </c>
      <c r="AH1683" s="20">
        <v>63.188524505872067</v>
      </c>
    </row>
    <row r="1684" spans="1:34" ht="14.5" x14ac:dyDescent="0.35">
      <c r="A1684" s="34"/>
      <c r="B1684" s="35"/>
      <c r="C1684" s="36"/>
      <c r="D1684" s="37"/>
      <c r="E1684" s="36"/>
      <c r="F1684" s="42"/>
      <c r="G1684" s="42"/>
      <c r="H1684" s="42"/>
      <c r="AG1684" s="19">
        <v>1683</v>
      </c>
      <c r="AH1684" s="20">
        <v>-577.84957584949575</v>
      </c>
    </row>
    <row r="1685" spans="1:34" ht="14.5" x14ac:dyDescent="0.35">
      <c r="A1685" s="34"/>
      <c r="B1685" s="35"/>
      <c r="C1685" s="36"/>
      <c r="D1685" s="37"/>
      <c r="E1685" s="36"/>
      <c r="F1685" s="42"/>
      <c r="G1685" s="42"/>
      <c r="H1685" s="42"/>
      <c r="AG1685" s="19">
        <v>1684</v>
      </c>
      <c r="AH1685" s="20">
        <v>588.13701532309631</v>
      </c>
    </row>
    <row r="1686" spans="1:34" ht="14.5" x14ac:dyDescent="0.35">
      <c r="A1686" s="34"/>
      <c r="B1686" s="35"/>
      <c r="C1686" s="36"/>
      <c r="D1686" s="37"/>
      <c r="E1686" s="36"/>
      <c r="F1686" s="42"/>
      <c r="G1686" s="42"/>
      <c r="H1686" s="42"/>
      <c r="AG1686" s="19">
        <v>1685</v>
      </c>
      <c r="AH1686" s="20">
        <v>1328.4578931969043</v>
      </c>
    </row>
    <row r="1687" spans="1:34" ht="14.5" x14ac:dyDescent="0.35">
      <c r="A1687" s="34"/>
      <c r="B1687" s="35"/>
      <c r="C1687" s="36"/>
      <c r="D1687" s="37"/>
      <c r="E1687" s="36"/>
      <c r="F1687" s="42"/>
      <c r="G1687" s="42"/>
      <c r="H1687" s="42"/>
      <c r="AG1687" s="19">
        <v>1686</v>
      </c>
      <c r="AH1687" s="20">
        <v>2129.2727282389278</v>
      </c>
    </row>
    <row r="1688" spans="1:34" ht="14.5" x14ac:dyDescent="0.35">
      <c r="A1688" s="34"/>
      <c r="B1688" s="35"/>
      <c r="C1688" s="36"/>
      <c r="D1688" s="37"/>
      <c r="E1688" s="36"/>
      <c r="F1688" s="42"/>
      <c r="G1688" s="42"/>
      <c r="H1688" s="42"/>
      <c r="AG1688" s="19">
        <v>1687</v>
      </c>
      <c r="AH1688" s="20">
        <v>-733.96419893659777</v>
      </c>
    </row>
    <row r="1689" spans="1:34" ht="14.5" x14ac:dyDescent="0.35">
      <c r="A1689" s="34"/>
      <c r="B1689" s="35"/>
      <c r="C1689" s="36"/>
      <c r="D1689" s="37"/>
      <c r="E1689" s="36"/>
      <c r="F1689" s="42"/>
      <c r="G1689" s="42"/>
      <c r="H1689" s="42"/>
      <c r="AG1689" s="19">
        <v>1688</v>
      </c>
      <c r="AH1689" s="20">
        <v>-202.9039329126295</v>
      </c>
    </row>
    <row r="1690" spans="1:34" ht="14.5" x14ac:dyDescent="0.35">
      <c r="A1690" s="34"/>
      <c r="B1690" s="35"/>
      <c r="C1690" s="36"/>
      <c r="D1690" s="37"/>
      <c r="E1690" s="36"/>
      <c r="F1690" s="42"/>
      <c r="G1690" s="42"/>
      <c r="H1690" s="42"/>
      <c r="AG1690" s="19">
        <v>1689</v>
      </c>
      <c r="AH1690" s="20">
        <v>399.3561872794275</v>
      </c>
    </row>
    <row r="1691" spans="1:34" ht="14.5" x14ac:dyDescent="0.35">
      <c r="A1691" s="34"/>
      <c r="B1691" s="35"/>
      <c r="C1691" s="36"/>
      <c r="D1691" s="37"/>
      <c r="E1691" s="36"/>
      <c r="F1691" s="42"/>
      <c r="G1691" s="42"/>
      <c r="H1691" s="42"/>
      <c r="AG1691" s="19">
        <v>1690</v>
      </c>
      <c r="AH1691" s="20">
        <v>-1577.4266506649628</v>
      </c>
    </row>
    <row r="1692" spans="1:34" ht="14.5" x14ac:dyDescent="0.35">
      <c r="A1692" s="34"/>
      <c r="B1692" s="35"/>
      <c r="C1692" s="36"/>
      <c r="D1692" s="37"/>
      <c r="E1692" s="36"/>
      <c r="F1692" s="42"/>
      <c r="G1692" s="42"/>
      <c r="H1692" s="42"/>
      <c r="AG1692" s="19">
        <v>1691</v>
      </c>
      <c r="AH1692" s="20">
        <v>-2315.2917745802561</v>
      </c>
    </row>
    <row r="1693" spans="1:34" ht="14.5" x14ac:dyDescent="0.35">
      <c r="A1693" s="34"/>
      <c r="B1693" s="35"/>
      <c r="C1693" s="36"/>
      <c r="D1693" s="37"/>
      <c r="E1693" s="36"/>
      <c r="F1693" s="42"/>
      <c r="G1693" s="42"/>
      <c r="H1693" s="42"/>
      <c r="AG1693" s="19">
        <v>1692</v>
      </c>
      <c r="AH1693" s="20">
        <v>-1842.5818583981766</v>
      </c>
    </row>
    <row r="1694" spans="1:34" ht="14.5" x14ac:dyDescent="0.35">
      <c r="A1694" s="34"/>
      <c r="B1694" s="35"/>
      <c r="C1694" s="36"/>
      <c r="D1694" s="37"/>
      <c r="E1694" s="36"/>
      <c r="F1694" s="42"/>
      <c r="G1694" s="42"/>
      <c r="H1694" s="42"/>
      <c r="AG1694" s="19">
        <v>1693</v>
      </c>
      <c r="AH1694" s="20">
        <v>693.69126672720176</v>
      </c>
    </row>
    <row r="1695" spans="1:34" ht="14.5" x14ac:dyDescent="0.35">
      <c r="A1695" s="34"/>
      <c r="B1695" s="35"/>
      <c r="C1695" s="36"/>
      <c r="D1695" s="37"/>
      <c r="E1695" s="36"/>
      <c r="F1695" s="42"/>
      <c r="G1695" s="42"/>
      <c r="H1695" s="42"/>
      <c r="AG1695" s="19">
        <v>1694</v>
      </c>
      <c r="AH1695" s="20">
        <v>2473.9304714179134</v>
      </c>
    </row>
    <row r="1696" spans="1:34" ht="14.5" x14ac:dyDescent="0.35">
      <c r="A1696" s="34"/>
      <c r="B1696" s="35"/>
      <c r="C1696" s="36"/>
      <c r="D1696" s="37"/>
      <c r="E1696" s="36"/>
      <c r="F1696" s="42"/>
      <c r="G1696" s="42"/>
      <c r="H1696" s="42"/>
      <c r="AG1696" s="19">
        <v>1695</v>
      </c>
      <c r="AH1696" s="20">
        <v>757.24686996672563</v>
      </c>
    </row>
    <row r="1697" spans="1:34" ht="14.5" x14ac:dyDescent="0.35">
      <c r="A1697" s="34"/>
      <c r="B1697" s="35"/>
      <c r="C1697" s="36"/>
      <c r="D1697" s="37"/>
      <c r="E1697" s="36"/>
      <c r="F1697" s="42"/>
      <c r="G1697" s="42"/>
      <c r="H1697" s="42"/>
      <c r="AG1697" s="19">
        <v>1696</v>
      </c>
      <c r="AH1697" s="20">
        <v>-1479.1967764715328</v>
      </c>
    </row>
    <row r="1698" spans="1:34" ht="14.5" x14ac:dyDescent="0.35">
      <c r="A1698" s="34"/>
      <c r="B1698" s="35"/>
      <c r="C1698" s="36"/>
      <c r="D1698" s="37"/>
      <c r="E1698" s="36"/>
      <c r="F1698" s="42"/>
      <c r="G1698" s="42"/>
      <c r="H1698" s="42"/>
      <c r="AG1698" s="19">
        <v>1697</v>
      </c>
      <c r="AH1698" s="20">
        <v>-2627.6169726751132</v>
      </c>
    </row>
    <row r="1699" spans="1:34" ht="14.5" x14ac:dyDescent="0.35">
      <c r="A1699" s="34"/>
      <c r="B1699" s="35"/>
      <c r="C1699" s="36"/>
      <c r="D1699" s="37"/>
      <c r="E1699" s="36"/>
      <c r="F1699" s="42"/>
      <c r="G1699" s="42"/>
      <c r="H1699" s="42"/>
      <c r="AG1699" s="19">
        <v>1698</v>
      </c>
      <c r="AH1699" s="20">
        <v>-2431.0865774880876</v>
      </c>
    </row>
    <row r="1700" spans="1:34" ht="14.5" x14ac:dyDescent="0.35">
      <c r="A1700" s="34"/>
      <c r="B1700" s="35"/>
      <c r="C1700" s="36"/>
      <c r="D1700" s="37"/>
      <c r="E1700" s="36"/>
      <c r="F1700" s="42"/>
      <c r="G1700" s="42"/>
      <c r="H1700" s="42"/>
      <c r="AG1700" s="19">
        <v>1699</v>
      </c>
      <c r="AH1700" s="20">
        <v>-1739.6480366972844</v>
      </c>
    </row>
    <row r="1701" spans="1:34" ht="14.5" x14ac:dyDescent="0.35">
      <c r="A1701" s="34"/>
      <c r="B1701" s="35"/>
      <c r="C1701" s="36"/>
      <c r="D1701" s="37"/>
      <c r="E1701" s="36"/>
      <c r="F1701" s="42"/>
      <c r="G1701" s="42"/>
      <c r="H1701" s="42"/>
      <c r="AG1701" s="19">
        <v>1700</v>
      </c>
      <c r="AH1701" s="20">
        <v>-2337.3383399004738</v>
      </c>
    </row>
    <row r="1702" spans="1:34" ht="14.5" x14ac:dyDescent="0.35">
      <c r="A1702" s="34"/>
      <c r="B1702" s="35"/>
      <c r="C1702" s="36"/>
      <c r="D1702" s="37"/>
      <c r="E1702" s="36"/>
      <c r="F1702" s="42"/>
      <c r="G1702" s="42"/>
      <c r="H1702" s="42"/>
      <c r="AG1702" s="19">
        <v>1701</v>
      </c>
      <c r="AH1702" s="20">
        <v>1299.0440597336062</v>
      </c>
    </row>
    <row r="1703" spans="1:34" ht="14.5" x14ac:dyDescent="0.35">
      <c r="A1703" s="34"/>
      <c r="B1703" s="35"/>
      <c r="C1703" s="36"/>
      <c r="D1703" s="37"/>
      <c r="E1703" s="36"/>
      <c r="F1703" s="42"/>
      <c r="G1703" s="42"/>
      <c r="H1703" s="42"/>
      <c r="AG1703" s="19">
        <v>1702</v>
      </c>
      <c r="AH1703" s="20">
        <v>-1135.323464152206</v>
      </c>
    </row>
    <row r="1704" spans="1:34" ht="14.5" x14ac:dyDescent="0.35">
      <c r="A1704" s="34"/>
      <c r="B1704" s="35"/>
      <c r="C1704" s="36"/>
      <c r="D1704" s="37"/>
      <c r="E1704" s="36"/>
      <c r="F1704" s="42"/>
      <c r="G1704" s="42"/>
      <c r="H1704" s="42"/>
      <c r="AG1704" s="19">
        <v>1703</v>
      </c>
      <c r="AH1704" s="20">
        <v>228.61297179908843</v>
      </c>
    </row>
    <row r="1705" spans="1:34" ht="14.5" x14ac:dyDescent="0.35">
      <c r="A1705" s="34"/>
      <c r="B1705" s="35"/>
      <c r="C1705" s="36"/>
      <c r="D1705" s="37"/>
      <c r="E1705" s="36"/>
      <c r="F1705" s="42"/>
      <c r="G1705" s="42"/>
      <c r="H1705" s="42"/>
      <c r="AG1705" s="19">
        <v>1704</v>
      </c>
      <c r="AH1705" s="20">
        <v>1094.97125457945</v>
      </c>
    </row>
    <row r="1706" spans="1:34" ht="14.5" x14ac:dyDescent="0.35">
      <c r="A1706" s="34"/>
      <c r="B1706" s="35"/>
      <c r="C1706" s="36"/>
      <c r="D1706" s="37"/>
      <c r="E1706" s="36"/>
      <c r="F1706" s="42"/>
      <c r="G1706" s="42"/>
      <c r="H1706" s="42"/>
      <c r="AG1706" s="19">
        <v>1705</v>
      </c>
      <c r="AH1706" s="20">
        <v>2037.0286455827766</v>
      </c>
    </row>
    <row r="1707" spans="1:34" ht="14.5" x14ac:dyDescent="0.35">
      <c r="A1707" s="34"/>
      <c r="B1707" s="35"/>
      <c r="C1707" s="36"/>
      <c r="D1707" s="37"/>
      <c r="E1707" s="36"/>
      <c r="F1707" s="42"/>
      <c r="G1707" s="42"/>
      <c r="H1707" s="42"/>
      <c r="AG1707" s="19">
        <v>1706</v>
      </c>
      <c r="AH1707" s="20">
        <v>-294.7942159835074</v>
      </c>
    </row>
    <row r="1708" spans="1:34" ht="14.5" x14ac:dyDescent="0.35">
      <c r="A1708" s="34"/>
      <c r="B1708" s="35"/>
      <c r="C1708" s="36"/>
      <c r="D1708" s="37"/>
      <c r="E1708" s="36"/>
      <c r="F1708" s="42"/>
      <c r="G1708" s="42"/>
      <c r="H1708" s="42"/>
      <c r="AG1708" s="19">
        <v>1707</v>
      </c>
      <c r="AH1708" s="20">
        <v>-1651.0619167079226</v>
      </c>
    </row>
    <row r="1709" spans="1:34" ht="14.5" x14ac:dyDescent="0.35">
      <c r="A1709" s="34"/>
      <c r="B1709" s="35"/>
      <c r="C1709" s="36"/>
      <c r="D1709" s="37"/>
      <c r="E1709" s="36"/>
      <c r="F1709" s="42"/>
      <c r="G1709" s="42"/>
      <c r="H1709" s="42"/>
      <c r="AG1709" s="19">
        <v>1708</v>
      </c>
      <c r="AH1709" s="20">
        <v>-19.419774585406458</v>
      </c>
    </row>
    <row r="1710" spans="1:34" ht="14.5" x14ac:dyDescent="0.35">
      <c r="A1710" s="34"/>
      <c r="B1710" s="35"/>
      <c r="C1710" s="36"/>
      <c r="D1710" s="37"/>
      <c r="E1710" s="36"/>
      <c r="F1710" s="42"/>
      <c r="G1710" s="42"/>
      <c r="H1710" s="42"/>
      <c r="AG1710" s="19">
        <v>1709</v>
      </c>
      <c r="AH1710" s="20">
        <v>2269.7972066935804</v>
      </c>
    </row>
    <row r="1711" spans="1:34" ht="14.5" x14ac:dyDescent="0.35">
      <c r="A1711" s="34"/>
      <c r="B1711" s="35"/>
      <c r="C1711" s="36"/>
      <c r="D1711" s="37"/>
      <c r="E1711" s="36"/>
      <c r="F1711" s="42"/>
      <c r="G1711" s="42"/>
      <c r="H1711" s="42"/>
      <c r="AG1711" s="19">
        <v>1710</v>
      </c>
      <c r="AH1711" s="20">
        <v>700.37128735747592</v>
      </c>
    </row>
    <row r="1712" spans="1:34" ht="14.5" x14ac:dyDescent="0.35">
      <c r="A1712" s="34"/>
      <c r="B1712" s="35"/>
      <c r="C1712" s="36"/>
      <c r="D1712" s="37"/>
      <c r="E1712" s="36"/>
      <c r="F1712" s="42"/>
      <c r="G1712" s="42"/>
      <c r="H1712" s="42"/>
      <c r="AG1712" s="19">
        <v>1711</v>
      </c>
      <c r="AH1712" s="20">
        <v>898.65591171674498</v>
      </c>
    </row>
    <row r="1713" spans="1:34" ht="14.5" x14ac:dyDescent="0.35">
      <c r="A1713" s="34"/>
      <c r="B1713" s="35"/>
      <c r="C1713" s="36"/>
      <c r="D1713" s="37"/>
      <c r="E1713" s="36"/>
      <c r="F1713" s="42"/>
      <c r="G1713" s="42"/>
      <c r="H1713" s="42"/>
      <c r="AG1713" s="19">
        <v>1712</v>
      </c>
      <c r="AH1713" s="20">
        <v>-1420.8054741999729</v>
      </c>
    </row>
    <row r="1714" spans="1:34" ht="14.5" x14ac:dyDescent="0.35">
      <c r="A1714" s="34"/>
      <c r="B1714" s="35"/>
      <c r="C1714" s="36"/>
      <c r="D1714" s="37"/>
      <c r="E1714" s="36"/>
      <c r="F1714" s="42"/>
      <c r="G1714" s="42"/>
      <c r="H1714" s="42"/>
      <c r="AG1714" s="19">
        <v>1713</v>
      </c>
      <c r="AH1714" s="20">
        <v>-2095.7326012186813</v>
      </c>
    </row>
    <row r="1715" spans="1:34" ht="14.5" x14ac:dyDescent="0.35">
      <c r="A1715" s="34"/>
      <c r="B1715" s="35"/>
      <c r="C1715" s="36"/>
      <c r="D1715" s="37"/>
      <c r="E1715" s="36"/>
      <c r="F1715" s="42"/>
      <c r="G1715" s="42"/>
      <c r="H1715" s="42"/>
      <c r="AG1715" s="19">
        <v>1714</v>
      </c>
      <c r="AH1715" s="20">
        <v>-2657.6839040169421</v>
      </c>
    </row>
    <row r="1716" spans="1:34" ht="14.5" x14ac:dyDescent="0.35">
      <c r="A1716" s="34"/>
      <c r="B1716" s="35"/>
      <c r="C1716" s="36"/>
      <c r="D1716" s="37"/>
      <c r="E1716" s="36"/>
      <c r="F1716" s="42"/>
      <c r="G1716" s="42"/>
      <c r="H1716" s="42"/>
      <c r="AG1716" s="19">
        <v>1715</v>
      </c>
      <c r="AH1716" s="20">
        <v>2185.6841659470078</v>
      </c>
    </row>
    <row r="1717" spans="1:34" ht="14.5" x14ac:dyDescent="0.35">
      <c r="A1717" s="34"/>
      <c r="B1717" s="35"/>
      <c r="C1717" s="36"/>
      <c r="D1717" s="37"/>
      <c r="E1717" s="36"/>
      <c r="F1717" s="42"/>
      <c r="G1717" s="42"/>
      <c r="H1717" s="42"/>
      <c r="AG1717" s="19">
        <v>1716</v>
      </c>
      <c r="AH1717" s="20">
        <v>-630.2483785558245</v>
      </c>
    </row>
    <row r="1718" spans="1:34" ht="14.5" x14ac:dyDescent="0.35">
      <c r="A1718" s="34"/>
      <c r="B1718" s="35"/>
      <c r="C1718" s="36"/>
      <c r="D1718" s="37"/>
      <c r="E1718" s="36"/>
      <c r="F1718" s="42"/>
      <c r="G1718" s="42"/>
      <c r="H1718" s="42"/>
      <c r="AG1718" s="19">
        <v>1717</v>
      </c>
      <c r="AH1718" s="20">
        <v>1249.0933225605854</v>
      </c>
    </row>
    <row r="1719" spans="1:34" ht="14.5" x14ac:dyDescent="0.35">
      <c r="A1719" s="34"/>
      <c r="B1719" s="35"/>
      <c r="C1719" s="36"/>
      <c r="D1719" s="37"/>
      <c r="E1719" s="36"/>
      <c r="F1719" s="42"/>
      <c r="G1719" s="42"/>
      <c r="H1719" s="42"/>
      <c r="AG1719" s="19">
        <v>1718</v>
      </c>
      <c r="AH1719" s="20">
        <v>1547.4333734726708</v>
      </c>
    </row>
    <row r="1720" spans="1:34" ht="14.5" x14ac:dyDescent="0.35">
      <c r="A1720" s="34"/>
      <c r="B1720" s="35"/>
      <c r="C1720" s="36"/>
      <c r="D1720" s="37"/>
      <c r="E1720" s="36"/>
      <c r="F1720" s="42"/>
      <c r="G1720" s="42"/>
      <c r="H1720" s="42"/>
      <c r="AG1720" s="19">
        <v>1719</v>
      </c>
      <c r="AH1720" s="20">
        <v>-475.57436830607236</v>
      </c>
    </row>
    <row r="1721" spans="1:34" ht="14.5" x14ac:dyDescent="0.35">
      <c r="A1721" s="34"/>
      <c r="B1721" s="35"/>
      <c r="C1721" s="36"/>
      <c r="D1721" s="37"/>
      <c r="E1721" s="36"/>
      <c r="F1721" s="42"/>
      <c r="G1721" s="42"/>
      <c r="H1721" s="42"/>
      <c r="AG1721" s="19">
        <v>1720</v>
      </c>
      <c r="AH1721" s="20">
        <v>2689.8577142398831</v>
      </c>
    </row>
    <row r="1722" spans="1:34" ht="14.5" x14ac:dyDescent="0.35">
      <c r="A1722" s="34"/>
      <c r="B1722" s="35"/>
      <c r="C1722" s="36"/>
      <c r="D1722" s="37"/>
      <c r="E1722" s="36"/>
      <c r="F1722" s="42"/>
      <c r="G1722" s="42"/>
      <c r="H1722" s="42"/>
      <c r="AG1722" s="19">
        <v>1721</v>
      </c>
      <c r="AH1722" s="20">
        <v>1346.5924070449537</v>
      </c>
    </row>
    <row r="1723" spans="1:34" ht="14.5" x14ac:dyDescent="0.35">
      <c r="A1723" s="34"/>
      <c r="B1723" s="35"/>
      <c r="C1723" s="36"/>
      <c r="D1723" s="37"/>
      <c r="E1723" s="36"/>
      <c r="F1723" s="42"/>
      <c r="G1723" s="42"/>
      <c r="H1723" s="42"/>
      <c r="AG1723" s="19">
        <v>1722</v>
      </c>
      <c r="AH1723" s="20">
        <v>-170.03877621990029</v>
      </c>
    </row>
    <row r="1724" spans="1:34" ht="14.5" x14ac:dyDescent="0.35">
      <c r="A1724" s="34"/>
      <c r="B1724" s="35"/>
      <c r="C1724" s="36"/>
      <c r="D1724" s="37"/>
      <c r="E1724" s="36"/>
      <c r="F1724" s="42"/>
      <c r="G1724" s="42"/>
      <c r="H1724" s="42"/>
      <c r="AG1724" s="19">
        <v>1723</v>
      </c>
      <c r="AH1724" s="20">
        <v>1269.4348168650936</v>
      </c>
    </row>
    <row r="1725" spans="1:34" ht="14.5" x14ac:dyDescent="0.35">
      <c r="A1725" s="34"/>
      <c r="B1725" s="35"/>
      <c r="C1725" s="36"/>
      <c r="D1725" s="37"/>
      <c r="E1725" s="36"/>
      <c r="F1725" s="42"/>
      <c r="G1725" s="42"/>
      <c r="H1725" s="42"/>
      <c r="AG1725" s="19">
        <v>1724</v>
      </c>
      <c r="AH1725" s="20">
        <v>1159.8681325424855</v>
      </c>
    </row>
    <row r="1726" spans="1:34" ht="14.5" x14ac:dyDescent="0.35">
      <c r="A1726" s="34"/>
      <c r="B1726" s="35"/>
      <c r="C1726" s="36"/>
      <c r="D1726" s="37"/>
      <c r="E1726" s="36"/>
      <c r="F1726" s="42"/>
      <c r="G1726" s="42"/>
      <c r="H1726" s="42"/>
      <c r="AG1726" s="19">
        <v>1725</v>
      </c>
      <c r="AH1726" s="20">
        <v>1514.6889885598446</v>
      </c>
    </row>
    <row r="1727" spans="1:34" ht="14.5" x14ac:dyDescent="0.35">
      <c r="A1727" s="34"/>
      <c r="B1727" s="35"/>
      <c r="C1727" s="36"/>
      <c r="D1727" s="37"/>
      <c r="E1727" s="36"/>
      <c r="F1727" s="42"/>
      <c r="G1727" s="42"/>
      <c r="H1727" s="42"/>
      <c r="AG1727" s="19">
        <v>1726</v>
      </c>
      <c r="AH1727" s="20">
        <v>-551.42416997541181</v>
      </c>
    </row>
    <row r="1728" spans="1:34" ht="14.5" x14ac:dyDescent="0.35">
      <c r="A1728" s="34"/>
      <c r="B1728" s="35"/>
      <c r="C1728" s="36"/>
      <c r="D1728" s="37"/>
      <c r="E1728" s="36"/>
      <c r="F1728" s="42"/>
      <c r="G1728" s="42"/>
      <c r="H1728" s="42"/>
      <c r="AG1728" s="19">
        <v>1727</v>
      </c>
      <c r="AH1728" s="20">
        <v>-16.242630617525492</v>
      </c>
    </row>
    <row r="1729" spans="1:34" ht="14.5" x14ac:dyDescent="0.35">
      <c r="A1729" s="34"/>
      <c r="B1729" s="35"/>
      <c r="C1729" s="36"/>
      <c r="D1729" s="37"/>
      <c r="E1729" s="36"/>
      <c r="F1729" s="42"/>
      <c r="G1729" s="42"/>
      <c r="H1729" s="42"/>
      <c r="AG1729" s="19">
        <v>1728</v>
      </c>
      <c r="AH1729" s="20">
        <v>-2075.9361354683915</v>
      </c>
    </row>
    <row r="1730" spans="1:34" ht="14.5" x14ac:dyDescent="0.35">
      <c r="A1730" s="34"/>
      <c r="B1730" s="35"/>
      <c r="C1730" s="36"/>
      <c r="D1730" s="37"/>
      <c r="E1730" s="36"/>
      <c r="F1730" s="42"/>
      <c r="G1730" s="42"/>
      <c r="H1730" s="42"/>
      <c r="AG1730" s="19">
        <v>1729</v>
      </c>
      <c r="AH1730" s="20">
        <v>3301.6117963474239</v>
      </c>
    </row>
    <row r="1731" spans="1:34" ht="14.5" x14ac:dyDescent="0.35">
      <c r="A1731" s="34"/>
      <c r="B1731" s="35"/>
      <c r="C1731" s="36"/>
      <c r="D1731" s="37"/>
      <c r="E1731" s="36"/>
      <c r="F1731" s="42"/>
      <c r="G1731" s="42"/>
      <c r="H1731" s="42"/>
      <c r="AG1731" s="19">
        <v>1730</v>
      </c>
      <c r="AH1731" s="20">
        <v>266.47535495696854</v>
      </c>
    </row>
    <row r="1732" spans="1:34" ht="14.5" x14ac:dyDescent="0.35">
      <c r="A1732" s="34"/>
      <c r="B1732" s="35"/>
      <c r="C1732" s="36"/>
      <c r="D1732" s="37"/>
      <c r="E1732" s="36"/>
      <c r="F1732" s="42"/>
      <c r="G1732" s="42"/>
      <c r="H1732" s="42"/>
      <c r="AG1732" s="19">
        <v>1731</v>
      </c>
      <c r="AH1732" s="20">
        <v>-1057.9338354909189</v>
      </c>
    </row>
    <row r="1733" spans="1:34" ht="14.5" x14ac:dyDescent="0.35">
      <c r="A1733" s="34"/>
      <c r="B1733" s="35"/>
      <c r="C1733" s="36"/>
      <c r="D1733" s="37"/>
      <c r="E1733" s="36"/>
      <c r="F1733" s="42"/>
      <c r="G1733" s="42"/>
      <c r="H1733" s="42"/>
      <c r="AG1733" s="19">
        <v>1732</v>
      </c>
      <c r="AH1733" s="20">
        <v>1346.4990497958963</v>
      </c>
    </row>
    <row r="1734" spans="1:34" ht="14.5" x14ac:dyDescent="0.35">
      <c r="A1734" s="34"/>
      <c r="B1734" s="35"/>
      <c r="C1734" s="36"/>
      <c r="D1734" s="37"/>
      <c r="E1734" s="36"/>
      <c r="F1734" s="42"/>
      <c r="G1734" s="42"/>
      <c r="H1734" s="42"/>
      <c r="AG1734" s="19">
        <v>1733</v>
      </c>
      <c r="AH1734" s="20">
        <v>-796.67664556599652</v>
      </c>
    </row>
    <row r="1735" spans="1:34" ht="14.5" x14ac:dyDescent="0.35">
      <c r="A1735" s="34"/>
      <c r="B1735" s="35"/>
      <c r="C1735" s="36"/>
      <c r="D1735" s="37"/>
      <c r="E1735" s="36"/>
      <c r="F1735" s="42"/>
      <c r="G1735" s="42"/>
      <c r="H1735" s="42"/>
      <c r="AG1735" s="19">
        <v>1734</v>
      </c>
      <c r="AH1735" s="20">
        <v>-1372.1403498917116</v>
      </c>
    </row>
    <row r="1736" spans="1:34" ht="14.5" x14ac:dyDescent="0.35">
      <c r="A1736" s="34"/>
      <c r="B1736" s="35"/>
      <c r="C1736" s="36"/>
      <c r="D1736" s="37"/>
      <c r="E1736" s="36"/>
      <c r="F1736" s="42"/>
      <c r="G1736" s="42"/>
      <c r="H1736" s="42"/>
      <c r="AG1736" s="19">
        <v>1735</v>
      </c>
      <c r="AH1736" s="20">
        <v>604.22283877318682</v>
      </c>
    </row>
    <row r="1737" spans="1:34" ht="14.5" x14ac:dyDescent="0.35">
      <c r="A1737" s="34"/>
      <c r="B1737" s="35"/>
      <c r="C1737" s="36"/>
      <c r="D1737" s="37"/>
      <c r="E1737" s="36"/>
      <c r="F1737" s="42"/>
      <c r="G1737" s="42"/>
      <c r="H1737" s="42"/>
      <c r="AG1737" s="19">
        <v>1736</v>
      </c>
      <c r="AH1737" s="20">
        <v>-571.81028655800264</v>
      </c>
    </row>
    <row r="1738" spans="1:34" ht="14.5" x14ac:dyDescent="0.35">
      <c r="A1738" s="34"/>
      <c r="B1738" s="35"/>
      <c r="C1738" s="36"/>
      <c r="D1738" s="37"/>
      <c r="E1738" s="36"/>
      <c r="F1738" s="42"/>
      <c r="G1738" s="42"/>
      <c r="H1738" s="42"/>
      <c r="AG1738" s="19">
        <v>1737</v>
      </c>
      <c r="AH1738" s="20">
        <v>-632.42448222351413</v>
      </c>
    </row>
    <row r="1739" spans="1:34" ht="14.5" x14ac:dyDescent="0.35">
      <c r="A1739" s="34"/>
      <c r="B1739" s="35"/>
      <c r="C1739" s="36"/>
      <c r="D1739" s="37"/>
      <c r="E1739" s="36"/>
      <c r="F1739" s="42"/>
      <c r="G1739" s="42"/>
      <c r="H1739" s="42"/>
      <c r="AG1739" s="19">
        <v>1738</v>
      </c>
      <c r="AH1739" s="20">
        <v>3926.2631438650569</v>
      </c>
    </row>
    <row r="1740" spans="1:34" ht="14.5" x14ac:dyDescent="0.35">
      <c r="A1740" s="34"/>
      <c r="B1740" s="35"/>
      <c r="C1740" s="36"/>
      <c r="D1740" s="37"/>
      <c r="E1740" s="36"/>
      <c r="F1740" s="42"/>
      <c r="G1740" s="42"/>
      <c r="H1740" s="42"/>
      <c r="AG1740" s="19">
        <v>1739</v>
      </c>
      <c r="AH1740" s="20">
        <v>-596.31049835306271</v>
      </c>
    </row>
    <row r="1741" spans="1:34" ht="14.5" x14ac:dyDescent="0.35">
      <c r="A1741" s="34"/>
      <c r="B1741" s="35"/>
      <c r="C1741" s="36"/>
      <c r="D1741" s="37"/>
      <c r="E1741" s="36"/>
      <c r="F1741" s="42"/>
      <c r="G1741" s="42"/>
      <c r="H1741" s="42"/>
      <c r="AG1741" s="19">
        <v>1740</v>
      </c>
      <c r="AH1741" s="20">
        <v>3781.3107953530234</v>
      </c>
    </row>
    <row r="1742" spans="1:34" ht="14.5" x14ac:dyDescent="0.35">
      <c r="A1742" s="34"/>
      <c r="B1742" s="35"/>
      <c r="C1742" s="36"/>
      <c r="D1742" s="37"/>
      <c r="E1742" s="36"/>
      <c r="F1742" s="42"/>
      <c r="G1742" s="42"/>
      <c r="H1742" s="42"/>
      <c r="AG1742" s="19">
        <v>1741</v>
      </c>
      <c r="AH1742" s="20">
        <v>-465.5032936803895</v>
      </c>
    </row>
    <row r="1743" spans="1:34" ht="14.5" x14ac:dyDescent="0.35">
      <c r="A1743" s="34"/>
      <c r="B1743" s="35"/>
      <c r="C1743" s="36"/>
      <c r="D1743" s="37"/>
      <c r="E1743" s="36"/>
      <c r="F1743" s="42"/>
      <c r="G1743" s="42"/>
      <c r="H1743" s="42"/>
      <c r="AG1743" s="19">
        <v>1742</v>
      </c>
      <c r="AH1743" s="20">
        <v>4036.7223247200895</v>
      </c>
    </row>
    <row r="1744" spans="1:34" ht="14.5" x14ac:dyDescent="0.35">
      <c r="A1744" s="34"/>
      <c r="B1744" s="35"/>
      <c r="C1744" s="36"/>
      <c r="D1744" s="37"/>
      <c r="E1744" s="36"/>
      <c r="F1744" s="42"/>
      <c r="G1744" s="42"/>
      <c r="H1744" s="42"/>
      <c r="AG1744" s="19">
        <v>1743</v>
      </c>
      <c r="AH1744" s="20">
        <v>79.795154670453144</v>
      </c>
    </row>
    <row r="1745" spans="1:34" ht="14.5" x14ac:dyDescent="0.35">
      <c r="A1745" s="34"/>
      <c r="B1745" s="35"/>
      <c r="C1745" s="36"/>
      <c r="D1745" s="37"/>
      <c r="E1745" s="36"/>
      <c r="F1745" s="42"/>
      <c r="G1745" s="42"/>
      <c r="H1745" s="42"/>
      <c r="AG1745" s="19">
        <v>1744</v>
      </c>
      <c r="AH1745" s="20">
        <v>1398.2445412259649</v>
      </c>
    </row>
    <row r="1746" spans="1:34" ht="14.5" x14ac:dyDescent="0.35">
      <c r="A1746" s="34"/>
      <c r="B1746" s="35"/>
      <c r="C1746" s="36"/>
      <c r="D1746" s="37"/>
      <c r="E1746" s="36"/>
      <c r="F1746" s="42"/>
      <c r="G1746" s="42"/>
      <c r="H1746" s="42"/>
      <c r="AG1746" s="19">
        <v>1745</v>
      </c>
      <c r="AH1746" s="20">
        <v>3080.7086531106929</v>
      </c>
    </row>
    <row r="1747" spans="1:34" ht="14.5" x14ac:dyDescent="0.35">
      <c r="A1747" s="34"/>
      <c r="B1747" s="35"/>
      <c r="C1747" s="36"/>
      <c r="D1747" s="37"/>
      <c r="E1747" s="36"/>
      <c r="F1747" s="42"/>
      <c r="G1747" s="42"/>
      <c r="H1747" s="42"/>
      <c r="AG1747" s="19">
        <v>1746</v>
      </c>
      <c r="AH1747" s="20">
        <v>-1395.5938105603243</v>
      </c>
    </row>
    <row r="1748" spans="1:34" ht="14.5" x14ac:dyDescent="0.35">
      <c r="A1748" s="34"/>
      <c r="B1748" s="35"/>
      <c r="C1748" s="36"/>
      <c r="D1748" s="37"/>
      <c r="E1748" s="36"/>
      <c r="F1748" s="42"/>
      <c r="G1748" s="42"/>
      <c r="H1748" s="42"/>
      <c r="AG1748" s="19">
        <v>1747</v>
      </c>
      <c r="AH1748" s="20">
        <v>5310.8651916080235</v>
      </c>
    </row>
    <row r="1749" spans="1:34" ht="14.5" x14ac:dyDescent="0.35">
      <c r="A1749" s="34"/>
      <c r="B1749" s="35"/>
      <c r="C1749" s="36"/>
      <c r="D1749" s="37"/>
      <c r="E1749" s="36"/>
      <c r="F1749" s="42"/>
      <c r="G1749" s="42"/>
      <c r="H1749" s="42"/>
      <c r="AG1749" s="19">
        <v>1748</v>
      </c>
      <c r="AH1749" s="20">
        <v>-2040.3901216410884</v>
      </c>
    </row>
    <row r="1750" spans="1:34" ht="14.5" x14ac:dyDescent="0.35">
      <c r="A1750" s="34"/>
      <c r="B1750" s="35"/>
      <c r="C1750" s="36"/>
      <c r="D1750" s="37"/>
      <c r="E1750" s="36"/>
      <c r="F1750" s="42"/>
      <c r="G1750" s="42"/>
      <c r="H1750" s="42"/>
      <c r="AG1750" s="19">
        <v>1749</v>
      </c>
      <c r="AH1750" s="20">
        <v>-2051.3754935755774</v>
      </c>
    </row>
    <row r="1751" spans="1:34" ht="14.5" x14ac:dyDescent="0.35">
      <c r="A1751" s="34"/>
      <c r="B1751" s="35"/>
      <c r="C1751" s="36"/>
      <c r="D1751" s="37"/>
      <c r="E1751" s="36"/>
      <c r="F1751" s="42"/>
      <c r="G1751" s="42"/>
      <c r="H1751" s="42"/>
      <c r="AG1751" s="19">
        <v>1750</v>
      </c>
      <c r="AH1751" s="20">
        <v>-2885.2996540316199</v>
      </c>
    </row>
    <row r="1752" spans="1:34" ht="14.5" x14ac:dyDescent="0.35">
      <c r="A1752" s="34"/>
      <c r="B1752" s="35"/>
      <c r="C1752" s="36"/>
      <c r="D1752" s="37"/>
      <c r="E1752" s="36"/>
      <c r="F1752" s="42"/>
      <c r="G1752" s="42"/>
      <c r="H1752" s="42"/>
      <c r="AG1752" s="19">
        <v>1751</v>
      </c>
      <c r="AH1752" s="20">
        <v>659.70282251062531</v>
      </c>
    </row>
    <row r="1753" spans="1:34" ht="14.5" x14ac:dyDescent="0.35">
      <c r="A1753" s="34"/>
      <c r="B1753" s="35"/>
      <c r="C1753" s="36"/>
      <c r="D1753" s="37"/>
      <c r="E1753" s="36"/>
      <c r="F1753" s="42"/>
      <c r="G1753" s="42"/>
      <c r="H1753" s="42"/>
      <c r="AG1753" s="19">
        <v>1752</v>
      </c>
      <c r="AH1753" s="20">
        <v>389.8240269781092</v>
      </c>
    </row>
    <row r="1754" spans="1:34" ht="14.5" x14ac:dyDescent="0.35">
      <c r="A1754" s="34"/>
      <c r="B1754" s="35"/>
      <c r="C1754" s="36"/>
      <c r="D1754" s="37"/>
      <c r="E1754" s="36"/>
      <c r="F1754" s="42"/>
      <c r="G1754" s="42"/>
      <c r="H1754" s="42"/>
      <c r="AG1754" s="19">
        <v>1753</v>
      </c>
      <c r="AH1754" s="20">
        <v>1788.0781884599398</v>
      </c>
    </row>
    <row r="1755" spans="1:34" ht="14.5" x14ac:dyDescent="0.35">
      <c r="A1755" s="34"/>
      <c r="B1755" s="35"/>
      <c r="C1755" s="36"/>
      <c r="D1755" s="37"/>
      <c r="E1755" s="36"/>
      <c r="F1755" s="42"/>
      <c r="G1755" s="42"/>
      <c r="H1755" s="42"/>
      <c r="AG1755" s="19">
        <v>1754</v>
      </c>
      <c r="AH1755" s="20">
        <v>1525.085413300153</v>
      </c>
    </row>
    <row r="1756" spans="1:34" ht="14.5" x14ac:dyDescent="0.35">
      <c r="A1756" s="34"/>
      <c r="B1756" s="35"/>
      <c r="C1756" s="36"/>
      <c r="D1756" s="37"/>
      <c r="E1756" s="36"/>
      <c r="F1756" s="42"/>
      <c r="G1756" s="42"/>
      <c r="H1756" s="42"/>
      <c r="AG1756" s="19">
        <v>1755</v>
      </c>
      <c r="AH1756" s="20">
        <v>3203.7232716154354</v>
      </c>
    </row>
    <row r="1757" spans="1:34" ht="14.5" x14ac:dyDescent="0.35">
      <c r="A1757" s="34"/>
      <c r="B1757" s="35"/>
      <c r="C1757" s="36"/>
      <c r="D1757" s="37"/>
      <c r="E1757" s="36"/>
      <c r="F1757" s="42"/>
      <c r="G1757" s="42"/>
      <c r="H1757" s="42"/>
      <c r="AG1757" s="19">
        <v>1756</v>
      </c>
      <c r="AH1757" s="20">
        <v>2493.7344015765839</v>
      </c>
    </row>
    <row r="1758" spans="1:34" ht="14.5" x14ac:dyDescent="0.35">
      <c r="A1758" s="34"/>
      <c r="B1758" s="35"/>
      <c r="C1758" s="36"/>
      <c r="D1758" s="37"/>
      <c r="E1758" s="36"/>
      <c r="F1758" s="42"/>
      <c r="G1758" s="42"/>
      <c r="H1758" s="42"/>
      <c r="AG1758" s="19">
        <v>1757</v>
      </c>
      <c r="AH1758" s="20">
        <v>1983.5436935408879</v>
      </c>
    </row>
    <row r="1759" spans="1:34" ht="14.5" x14ac:dyDescent="0.35">
      <c r="A1759" s="34"/>
      <c r="B1759" s="35"/>
      <c r="C1759" s="36"/>
      <c r="D1759" s="37"/>
      <c r="E1759" s="36"/>
      <c r="F1759" s="42"/>
      <c r="G1759" s="42"/>
      <c r="H1759" s="42"/>
      <c r="AG1759" s="19">
        <v>1758</v>
      </c>
      <c r="AH1759" s="20">
        <v>1977.9868785726298</v>
      </c>
    </row>
    <row r="1760" spans="1:34" ht="14.5" x14ac:dyDescent="0.35">
      <c r="A1760" s="34"/>
      <c r="B1760" s="35"/>
      <c r="C1760" s="36"/>
      <c r="D1760" s="37"/>
      <c r="E1760" s="36"/>
      <c r="F1760" s="42"/>
      <c r="G1760" s="42"/>
      <c r="H1760" s="42"/>
      <c r="AG1760" s="19">
        <v>1759</v>
      </c>
      <c r="AH1760" s="20">
        <v>266.42549963369135</v>
      </c>
    </row>
    <row r="1761" spans="1:34" ht="14.5" x14ac:dyDescent="0.35">
      <c r="A1761" s="34"/>
      <c r="B1761" s="35"/>
      <c r="C1761" s="36"/>
      <c r="D1761" s="37"/>
      <c r="E1761" s="36"/>
      <c r="F1761" s="42"/>
      <c r="G1761" s="42"/>
      <c r="H1761" s="42"/>
      <c r="AG1761" s="19">
        <v>1760</v>
      </c>
      <c r="AH1761" s="20">
        <v>-2663.5341425713414</v>
      </c>
    </row>
    <row r="1762" spans="1:34" ht="14.5" x14ac:dyDescent="0.35">
      <c r="A1762" s="34"/>
      <c r="B1762" s="35"/>
      <c r="C1762" s="36"/>
      <c r="D1762" s="37"/>
      <c r="E1762" s="36"/>
      <c r="F1762" s="42"/>
      <c r="G1762" s="42"/>
      <c r="H1762" s="42"/>
      <c r="AG1762" s="19">
        <v>1761</v>
      </c>
      <c r="AH1762" s="20">
        <v>-1197.373112147327</v>
      </c>
    </row>
    <row r="1763" spans="1:34" ht="14.5" x14ac:dyDescent="0.35">
      <c r="A1763" s="34"/>
      <c r="B1763" s="35"/>
      <c r="C1763" s="36"/>
      <c r="D1763" s="37"/>
      <c r="E1763" s="36"/>
      <c r="F1763" s="42"/>
      <c r="G1763" s="42"/>
      <c r="H1763" s="42"/>
      <c r="AG1763" s="19">
        <v>1762</v>
      </c>
      <c r="AH1763" s="20">
        <v>-0.41307844551107564</v>
      </c>
    </row>
    <row r="1764" spans="1:34" ht="14.5" x14ac:dyDescent="0.35">
      <c r="A1764" s="34"/>
      <c r="B1764" s="35"/>
      <c r="C1764" s="36"/>
      <c r="D1764" s="37"/>
      <c r="E1764" s="36"/>
      <c r="F1764" s="42"/>
      <c r="G1764" s="42"/>
      <c r="H1764" s="42"/>
      <c r="AG1764" s="19">
        <v>1763</v>
      </c>
      <c r="AH1764" s="20">
        <v>-2481.2565541560393</v>
      </c>
    </row>
    <row r="1765" spans="1:34" ht="14.5" x14ac:dyDescent="0.35">
      <c r="A1765" s="34"/>
      <c r="B1765" s="35"/>
      <c r="C1765" s="36"/>
      <c r="D1765" s="37"/>
      <c r="E1765" s="36"/>
      <c r="F1765" s="42"/>
      <c r="G1765" s="42"/>
      <c r="H1765" s="42"/>
      <c r="AG1765" s="19">
        <v>1764</v>
      </c>
      <c r="AH1765" s="20">
        <v>1335.3156503148846</v>
      </c>
    </row>
    <row r="1766" spans="1:34" ht="14.5" x14ac:dyDescent="0.35">
      <c r="A1766" s="34"/>
      <c r="B1766" s="35"/>
      <c r="C1766" s="36"/>
      <c r="D1766" s="37"/>
      <c r="E1766" s="36"/>
      <c r="F1766" s="42"/>
      <c r="G1766" s="42"/>
      <c r="H1766" s="42"/>
      <c r="AG1766" s="19">
        <v>1765</v>
      </c>
      <c r="AH1766" s="20">
        <v>2553.9530410736716</v>
      </c>
    </row>
    <row r="1767" spans="1:34" ht="14.5" x14ac:dyDescent="0.35">
      <c r="A1767" s="34"/>
      <c r="B1767" s="35"/>
      <c r="C1767" s="36"/>
      <c r="D1767" s="37"/>
      <c r="E1767" s="36"/>
      <c r="F1767" s="42"/>
      <c r="G1767" s="42"/>
      <c r="H1767" s="42"/>
      <c r="AG1767" s="19">
        <v>1766</v>
      </c>
      <c r="AH1767" s="20">
        <v>-203.19166501859473</v>
      </c>
    </row>
    <row r="1768" spans="1:34" ht="14.5" x14ac:dyDescent="0.35">
      <c r="A1768" s="34"/>
      <c r="B1768" s="35"/>
      <c r="C1768" s="36"/>
      <c r="D1768" s="37"/>
      <c r="E1768" s="36"/>
      <c r="F1768" s="42"/>
      <c r="G1768" s="42"/>
      <c r="H1768" s="42"/>
      <c r="AG1768" s="19">
        <v>1767</v>
      </c>
      <c r="AH1768" s="20">
        <v>372.64111191385427</v>
      </c>
    </row>
    <row r="1769" spans="1:34" ht="14.5" x14ac:dyDescent="0.35">
      <c r="A1769" s="34"/>
      <c r="B1769" s="35"/>
      <c r="C1769" s="36"/>
      <c r="D1769" s="37"/>
      <c r="E1769" s="36"/>
      <c r="F1769" s="42"/>
      <c r="G1769" s="42"/>
      <c r="H1769" s="42"/>
      <c r="AG1769" s="19">
        <v>1768</v>
      </c>
      <c r="AH1769" s="20">
        <v>923.2604237345447</v>
      </c>
    </row>
    <row r="1770" spans="1:34" ht="14.5" x14ac:dyDescent="0.35">
      <c r="A1770" s="34"/>
      <c r="B1770" s="35"/>
      <c r="C1770" s="36"/>
      <c r="D1770" s="37"/>
      <c r="E1770" s="36"/>
      <c r="F1770" s="42"/>
      <c r="G1770" s="42"/>
      <c r="H1770" s="42"/>
      <c r="AG1770" s="19">
        <v>1769</v>
      </c>
      <c r="AH1770" s="20">
        <v>-947.83971909403476</v>
      </c>
    </row>
    <row r="1771" spans="1:34" ht="14.5" x14ac:dyDescent="0.35">
      <c r="A1771" s="34"/>
      <c r="B1771" s="35"/>
      <c r="C1771" s="36"/>
      <c r="D1771" s="37"/>
      <c r="E1771" s="36"/>
      <c r="F1771" s="42"/>
      <c r="G1771" s="42"/>
      <c r="H1771" s="42"/>
      <c r="AG1771" s="19">
        <v>1770</v>
      </c>
      <c r="AH1771" s="20">
        <v>-1601.9629664185331</v>
      </c>
    </row>
    <row r="1772" spans="1:34" ht="14.5" x14ac:dyDescent="0.35">
      <c r="A1772" s="34"/>
      <c r="B1772" s="35"/>
      <c r="C1772" s="36"/>
      <c r="D1772" s="37"/>
      <c r="E1772" s="36"/>
      <c r="F1772" s="42"/>
      <c r="G1772" s="42"/>
      <c r="H1772" s="42"/>
      <c r="AG1772" s="19">
        <v>1771</v>
      </c>
      <c r="AH1772" s="20">
        <v>-20.815930805232142</v>
      </c>
    </row>
    <row r="1773" spans="1:34" ht="14.5" x14ac:dyDescent="0.35">
      <c r="A1773" s="34"/>
      <c r="B1773" s="35"/>
      <c r="C1773" s="36"/>
      <c r="D1773" s="37"/>
      <c r="E1773" s="36"/>
      <c r="F1773" s="42"/>
      <c r="G1773" s="42"/>
      <c r="H1773" s="42"/>
      <c r="AG1773" s="19">
        <v>1772</v>
      </c>
      <c r="AH1773" s="20">
        <v>371.39275446905089</v>
      </c>
    </row>
    <row r="1774" spans="1:34" ht="14.5" x14ac:dyDescent="0.35">
      <c r="A1774" s="34"/>
      <c r="B1774" s="35"/>
      <c r="C1774" s="36"/>
      <c r="D1774" s="37"/>
      <c r="E1774" s="36"/>
      <c r="F1774" s="42"/>
      <c r="G1774" s="42"/>
      <c r="H1774" s="42"/>
      <c r="AG1774" s="19">
        <v>1773</v>
      </c>
      <c r="AH1774" s="20">
        <v>2107.4033114144531</v>
      </c>
    </row>
    <row r="1775" spans="1:34" ht="14.5" x14ac:dyDescent="0.35">
      <c r="A1775" s="34"/>
      <c r="B1775" s="35"/>
      <c r="C1775" s="36"/>
      <c r="D1775" s="37"/>
      <c r="E1775" s="36"/>
      <c r="F1775" s="42"/>
      <c r="G1775" s="42"/>
      <c r="H1775" s="42"/>
      <c r="AG1775" s="19">
        <v>1774</v>
      </c>
      <c r="AH1775" s="20">
        <v>3928.3586609438057</v>
      </c>
    </row>
    <row r="1776" spans="1:34" ht="14.5" x14ac:dyDescent="0.35">
      <c r="A1776" s="34"/>
      <c r="B1776" s="35"/>
      <c r="C1776" s="36"/>
      <c r="D1776" s="37"/>
      <c r="E1776" s="36"/>
      <c r="F1776" s="42"/>
      <c r="G1776" s="42"/>
      <c r="H1776" s="42"/>
      <c r="AG1776" s="19">
        <v>1775</v>
      </c>
      <c r="AH1776" s="20">
        <v>-2060.4513879938409</v>
      </c>
    </row>
    <row r="1777" spans="1:34" ht="14.5" x14ac:dyDescent="0.35">
      <c r="A1777" s="34"/>
      <c r="B1777" s="35"/>
      <c r="C1777" s="36"/>
      <c r="D1777" s="37"/>
      <c r="E1777" s="36"/>
      <c r="F1777" s="42"/>
      <c r="G1777" s="42"/>
      <c r="H1777" s="42"/>
      <c r="AG1777" s="19">
        <v>1776</v>
      </c>
      <c r="AH1777" s="20">
        <v>-131.0924444812286</v>
      </c>
    </row>
    <row r="1778" spans="1:34" ht="14.5" x14ac:dyDescent="0.35">
      <c r="A1778" s="34"/>
      <c r="B1778" s="35"/>
      <c r="C1778" s="36"/>
      <c r="D1778" s="37"/>
      <c r="E1778" s="36"/>
      <c r="F1778" s="42"/>
      <c r="G1778" s="42"/>
      <c r="H1778" s="42"/>
      <c r="AG1778" s="19">
        <v>1777</v>
      </c>
      <c r="AH1778" s="20">
        <v>2722.3754236893483</v>
      </c>
    </row>
    <row r="1779" spans="1:34" ht="14.5" x14ac:dyDescent="0.35">
      <c r="A1779" s="34"/>
      <c r="B1779" s="35"/>
      <c r="C1779" s="36"/>
      <c r="D1779" s="37"/>
      <c r="E1779" s="36"/>
      <c r="F1779" s="42"/>
      <c r="G1779" s="42"/>
      <c r="H1779" s="42"/>
      <c r="AG1779" s="19">
        <v>1778</v>
      </c>
      <c r="AH1779" s="20">
        <v>3666.0300907379665</v>
      </c>
    </row>
    <row r="1780" spans="1:34" ht="14.5" x14ac:dyDescent="0.35">
      <c r="A1780" s="34"/>
      <c r="B1780" s="35"/>
      <c r="C1780" s="36"/>
      <c r="D1780" s="37"/>
      <c r="E1780" s="36"/>
      <c r="F1780" s="42"/>
      <c r="G1780" s="42"/>
      <c r="H1780" s="42"/>
      <c r="AG1780" s="19">
        <v>1779</v>
      </c>
      <c r="AH1780" s="20">
        <v>1238.2574982824208</v>
      </c>
    </row>
    <row r="1781" spans="1:34" ht="14.5" x14ac:dyDescent="0.35">
      <c r="A1781" s="34"/>
      <c r="B1781" s="35"/>
      <c r="C1781" s="36"/>
      <c r="D1781" s="37"/>
      <c r="E1781" s="36"/>
      <c r="F1781" s="42"/>
      <c r="G1781" s="42"/>
      <c r="H1781" s="42"/>
      <c r="AG1781" s="19">
        <v>1780</v>
      </c>
      <c r="AH1781" s="20">
        <v>312.88780519343851</v>
      </c>
    </row>
    <row r="1782" spans="1:34" ht="14.5" x14ac:dyDescent="0.35">
      <c r="A1782" s="34"/>
      <c r="B1782" s="35"/>
      <c r="C1782" s="36"/>
      <c r="D1782" s="37"/>
      <c r="E1782" s="36"/>
      <c r="F1782" s="42"/>
      <c r="G1782" s="42"/>
      <c r="H1782" s="42"/>
      <c r="AG1782" s="19">
        <v>1781</v>
      </c>
      <c r="AH1782" s="20">
        <v>-1179.6627715701395</v>
      </c>
    </row>
    <row r="1783" spans="1:34" ht="14.5" x14ac:dyDescent="0.35">
      <c r="A1783" s="34"/>
      <c r="B1783" s="35"/>
      <c r="C1783" s="36"/>
      <c r="D1783" s="37"/>
      <c r="E1783" s="36"/>
      <c r="F1783" s="42"/>
      <c r="G1783" s="42"/>
      <c r="H1783" s="42"/>
      <c r="AG1783" s="19">
        <v>1782</v>
      </c>
      <c r="AH1783" s="20">
        <v>-146.69807223748074</v>
      </c>
    </row>
    <row r="1784" spans="1:34" ht="14.5" x14ac:dyDescent="0.35">
      <c r="A1784" s="34"/>
      <c r="B1784" s="35"/>
      <c r="C1784" s="36"/>
      <c r="D1784" s="37"/>
      <c r="E1784" s="36"/>
      <c r="F1784" s="42"/>
      <c r="G1784" s="42"/>
      <c r="H1784" s="42"/>
      <c r="AG1784" s="19">
        <v>1783</v>
      </c>
      <c r="AH1784" s="20">
        <v>-235.29017403341828</v>
      </c>
    </row>
    <row r="1785" spans="1:34" ht="14.5" x14ac:dyDescent="0.35">
      <c r="A1785" s="34"/>
      <c r="B1785" s="35"/>
      <c r="C1785" s="36"/>
      <c r="D1785" s="37"/>
      <c r="E1785" s="36"/>
      <c r="F1785" s="42"/>
      <c r="G1785" s="42"/>
      <c r="H1785" s="42"/>
      <c r="AG1785" s="19">
        <v>1784</v>
      </c>
      <c r="AH1785" s="20">
        <v>3061.7367810580231</v>
      </c>
    </row>
    <row r="1786" spans="1:34" ht="14.5" x14ac:dyDescent="0.35">
      <c r="A1786" s="34"/>
      <c r="B1786" s="35"/>
      <c r="C1786" s="36"/>
      <c r="D1786" s="37"/>
      <c r="E1786" s="36"/>
      <c r="F1786" s="42"/>
      <c r="G1786" s="42"/>
      <c r="H1786" s="42"/>
      <c r="AG1786" s="19">
        <v>1785</v>
      </c>
      <c r="AH1786" s="20">
        <v>-295.12579526223527</v>
      </c>
    </row>
    <row r="1787" spans="1:34" ht="14.5" x14ac:dyDescent="0.35">
      <c r="A1787" s="34"/>
      <c r="B1787" s="35"/>
      <c r="C1787" s="36"/>
      <c r="D1787" s="37"/>
      <c r="E1787" s="36"/>
      <c r="F1787" s="42"/>
      <c r="G1787" s="42"/>
      <c r="H1787" s="42"/>
      <c r="AG1787" s="19">
        <v>1786</v>
      </c>
      <c r="AH1787" s="20">
        <v>254.02960991337463</v>
      </c>
    </row>
    <row r="1788" spans="1:34" ht="14.5" x14ac:dyDescent="0.35">
      <c r="A1788" s="34"/>
      <c r="B1788" s="35"/>
      <c r="C1788" s="36"/>
      <c r="D1788" s="37"/>
      <c r="E1788" s="36"/>
      <c r="F1788" s="42"/>
      <c r="G1788" s="42"/>
      <c r="H1788" s="42"/>
      <c r="AG1788" s="19">
        <v>1787</v>
      </c>
      <c r="AH1788" s="20">
        <v>2166.2351841825803</v>
      </c>
    </row>
    <row r="1789" spans="1:34" ht="14.5" x14ac:dyDescent="0.35">
      <c r="A1789" s="34"/>
      <c r="B1789" s="35"/>
      <c r="C1789" s="36"/>
      <c r="D1789" s="37"/>
      <c r="E1789" s="36"/>
      <c r="F1789" s="42"/>
      <c r="G1789" s="42"/>
      <c r="H1789" s="42"/>
      <c r="AG1789" s="19">
        <v>1788</v>
      </c>
      <c r="AH1789" s="20">
        <v>4140.764434673164</v>
      </c>
    </row>
    <row r="1790" spans="1:34" ht="14.5" x14ac:dyDescent="0.35">
      <c r="A1790" s="34"/>
      <c r="B1790" s="35"/>
      <c r="C1790" s="36"/>
      <c r="D1790" s="37"/>
      <c r="E1790" s="36"/>
      <c r="F1790" s="42"/>
      <c r="G1790" s="42"/>
      <c r="H1790" s="42"/>
      <c r="AG1790" s="19">
        <v>1789</v>
      </c>
      <c r="AH1790" s="20">
        <v>-497.31267515667054</v>
      </c>
    </row>
    <row r="1791" spans="1:34" ht="14.5" x14ac:dyDescent="0.35">
      <c r="A1791" s="34"/>
      <c r="B1791" s="35"/>
      <c r="C1791" s="36"/>
      <c r="D1791" s="37"/>
      <c r="E1791" s="36"/>
      <c r="F1791" s="42"/>
      <c r="G1791" s="42"/>
      <c r="H1791" s="42"/>
      <c r="AG1791" s="19">
        <v>1790</v>
      </c>
      <c r="AH1791" s="20">
        <v>1689.4505441865199</v>
      </c>
    </row>
    <row r="1792" spans="1:34" ht="14.5" x14ac:dyDescent="0.35">
      <c r="A1792" s="34"/>
      <c r="B1792" s="35"/>
      <c r="C1792" s="36"/>
      <c r="D1792" s="37"/>
      <c r="E1792" s="36"/>
      <c r="F1792" s="42"/>
      <c r="G1792" s="42"/>
      <c r="H1792" s="42"/>
      <c r="AG1792" s="19">
        <v>1791</v>
      </c>
      <c r="AH1792" s="20">
        <v>1104.6039345947261</v>
      </c>
    </row>
    <row r="1793" spans="1:34" ht="14.5" x14ac:dyDescent="0.35">
      <c r="A1793" s="34"/>
      <c r="B1793" s="35"/>
      <c r="C1793" s="36"/>
      <c r="D1793" s="37"/>
      <c r="E1793" s="36"/>
      <c r="F1793" s="42"/>
      <c r="G1793" s="42"/>
      <c r="H1793" s="42"/>
      <c r="AG1793" s="19">
        <v>1792</v>
      </c>
      <c r="AH1793" s="20">
        <v>1365.4235760078689</v>
      </c>
    </row>
    <row r="1794" spans="1:34" ht="14.5" x14ac:dyDescent="0.35">
      <c r="A1794" s="34"/>
      <c r="B1794" s="35"/>
      <c r="C1794" s="36"/>
      <c r="D1794" s="37"/>
      <c r="E1794" s="36"/>
      <c r="F1794" s="42"/>
      <c r="G1794" s="42"/>
      <c r="H1794" s="42"/>
      <c r="AG1794" s="19">
        <v>1793</v>
      </c>
      <c r="AH1794" s="20">
        <v>192.7681838948503</v>
      </c>
    </row>
    <row r="1795" spans="1:34" ht="14.5" x14ac:dyDescent="0.35">
      <c r="A1795" s="34"/>
      <c r="B1795" s="35"/>
      <c r="C1795" s="36"/>
      <c r="D1795" s="37"/>
      <c r="E1795" s="36"/>
      <c r="F1795" s="42"/>
      <c r="G1795" s="42"/>
      <c r="H1795" s="42"/>
      <c r="AG1795" s="19">
        <v>1794</v>
      </c>
      <c r="AH1795" s="20">
        <v>-2543.1855775716558</v>
      </c>
    </row>
    <row r="1796" spans="1:34" ht="14.5" x14ac:dyDescent="0.35">
      <c r="A1796" s="34"/>
      <c r="B1796" s="35"/>
      <c r="C1796" s="36"/>
      <c r="D1796" s="37"/>
      <c r="E1796" s="36"/>
      <c r="F1796" s="42"/>
      <c r="G1796" s="42"/>
      <c r="H1796" s="42"/>
      <c r="AG1796" s="19">
        <v>1795</v>
      </c>
      <c r="AH1796" s="20">
        <v>1967.3322691024289</v>
      </c>
    </row>
    <row r="1797" spans="1:34" ht="14.5" x14ac:dyDescent="0.35">
      <c r="A1797" s="34"/>
      <c r="B1797" s="35"/>
      <c r="C1797" s="36"/>
      <c r="D1797" s="37"/>
      <c r="E1797" s="36"/>
      <c r="F1797" s="42"/>
      <c r="G1797" s="42"/>
      <c r="H1797" s="42"/>
      <c r="AG1797" s="19">
        <v>1796</v>
      </c>
      <c r="AH1797" s="20">
        <v>-1872.1231181843457</v>
      </c>
    </row>
    <row r="1798" spans="1:34" ht="14.5" x14ac:dyDescent="0.35">
      <c r="A1798" s="34"/>
      <c r="B1798" s="35"/>
      <c r="C1798" s="36"/>
      <c r="D1798" s="37"/>
      <c r="E1798" s="36"/>
      <c r="F1798" s="42"/>
      <c r="G1798" s="42"/>
      <c r="H1798" s="42"/>
      <c r="AG1798" s="19">
        <v>1797</v>
      </c>
      <c r="AH1798" s="20">
        <v>-3854.7528628321197</v>
      </c>
    </row>
    <row r="1799" spans="1:34" ht="14.5" x14ac:dyDescent="0.35">
      <c r="A1799" s="34"/>
      <c r="B1799" s="35"/>
      <c r="C1799" s="36"/>
      <c r="D1799" s="37"/>
      <c r="E1799" s="36"/>
      <c r="F1799" s="42"/>
      <c r="G1799" s="42"/>
      <c r="H1799" s="42"/>
      <c r="AG1799" s="19">
        <v>1798</v>
      </c>
      <c r="AH1799" s="20">
        <v>1770.3274862586452</v>
      </c>
    </row>
    <row r="1800" spans="1:34" ht="14.5" x14ac:dyDescent="0.35">
      <c r="A1800" s="34"/>
      <c r="B1800" s="35"/>
      <c r="C1800" s="36"/>
      <c r="D1800" s="37"/>
      <c r="E1800" s="36"/>
      <c r="F1800" s="42"/>
      <c r="G1800" s="42"/>
      <c r="H1800" s="42"/>
      <c r="AG1800" s="19">
        <v>1799</v>
      </c>
      <c r="AH1800" s="20">
        <v>-1230.4849711045601</v>
      </c>
    </row>
    <row r="1801" spans="1:34" ht="14.5" x14ac:dyDescent="0.35">
      <c r="A1801" s="34"/>
      <c r="B1801" s="35"/>
      <c r="C1801" s="36"/>
      <c r="D1801" s="37"/>
      <c r="E1801" s="36"/>
      <c r="F1801" s="42"/>
      <c r="G1801" s="42"/>
      <c r="H1801" s="42"/>
      <c r="AG1801" s="19">
        <v>1800</v>
      </c>
      <c r="AH1801" s="20">
        <v>-2144.6835356451588</v>
      </c>
    </row>
    <row r="1802" spans="1:34" ht="14.5" x14ac:dyDescent="0.35">
      <c r="A1802" s="34"/>
      <c r="B1802" s="35"/>
      <c r="C1802" s="36"/>
      <c r="D1802" s="37"/>
      <c r="E1802" s="36"/>
      <c r="F1802" s="42"/>
      <c r="G1802" s="42"/>
      <c r="H1802" s="42"/>
      <c r="AG1802" s="19">
        <v>1801</v>
      </c>
      <c r="AH1802" s="20">
        <v>-2565.6550729597952</v>
      </c>
    </row>
    <row r="1803" spans="1:34" ht="14.5" x14ac:dyDescent="0.35">
      <c r="A1803" s="34"/>
      <c r="B1803" s="35"/>
      <c r="C1803" s="36"/>
      <c r="D1803" s="37"/>
      <c r="E1803" s="36"/>
      <c r="F1803" s="42"/>
      <c r="G1803" s="42"/>
      <c r="H1803" s="42"/>
      <c r="AG1803" s="19">
        <v>1802</v>
      </c>
      <c r="AH1803" s="20">
        <v>3576.9003570104555</v>
      </c>
    </row>
    <row r="1804" spans="1:34" ht="14.5" x14ac:dyDescent="0.35">
      <c r="A1804" s="34"/>
      <c r="B1804" s="35"/>
      <c r="C1804" s="36"/>
      <c r="D1804" s="37"/>
      <c r="E1804" s="36"/>
      <c r="F1804" s="42"/>
      <c r="G1804" s="42"/>
      <c r="H1804" s="42"/>
      <c r="AG1804" s="19">
        <v>1803</v>
      </c>
      <c r="AH1804" s="20">
        <v>-243.08518181666653</v>
      </c>
    </row>
    <row r="1805" spans="1:34" ht="14.5" x14ac:dyDescent="0.35">
      <c r="A1805" s="34"/>
      <c r="B1805" s="35"/>
      <c r="C1805" s="36"/>
      <c r="D1805" s="37"/>
      <c r="E1805" s="36"/>
      <c r="F1805" s="42"/>
      <c r="G1805" s="42"/>
      <c r="H1805" s="42"/>
      <c r="AG1805" s="19">
        <v>1804</v>
      </c>
      <c r="AH1805" s="20">
        <v>1815.7943529974873</v>
      </c>
    </row>
    <row r="1806" spans="1:34" ht="14.5" x14ac:dyDescent="0.35">
      <c r="A1806" s="34"/>
      <c r="B1806" s="35"/>
      <c r="C1806" s="36"/>
      <c r="D1806" s="37"/>
      <c r="E1806" s="36"/>
      <c r="F1806" s="42"/>
      <c r="G1806" s="42"/>
      <c r="H1806" s="42"/>
      <c r="AG1806" s="19">
        <v>1805</v>
      </c>
      <c r="AH1806" s="20">
        <v>713.84865371906358</v>
      </c>
    </row>
    <row r="1807" spans="1:34" ht="14.5" x14ac:dyDescent="0.35">
      <c r="A1807" s="34"/>
      <c r="B1807" s="35"/>
      <c r="C1807" s="36"/>
      <c r="D1807" s="37"/>
      <c r="E1807" s="36"/>
      <c r="F1807" s="42"/>
      <c r="G1807" s="42"/>
      <c r="H1807" s="42"/>
      <c r="AG1807" s="19">
        <v>1806</v>
      </c>
      <c r="AH1807" s="20">
        <v>-694.86605624542472</v>
      </c>
    </row>
    <row r="1808" spans="1:34" ht="14.5" x14ac:dyDescent="0.35">
      <c r="A1808" s="34"/>
      <c r="B1808" s="35"/>
      <c r="C1808" s="36"/>
      <c r="D1808" s="37"/>
      <c r="E1808" s="36"/>
      <c r="F1808" s="42"/>
      <c r="G1808" s="42"/>
      <c r="H1808" s="42"/>
      <c r="AG1808" s="19">
        <v>1807</v>
      </c>
      <c r="AH1808" s="20">
        <v>-2890.7565164350322</v>
      </c>
    </row>
    <row r="1809" spans="1:34" ht="14.5" x14ac:dyDescent="0.35">
      <c r="A1809" s="34"/>
      <c r="B1809" s="35"/>
      <c r="C1809" s="36"/>
      <c r="D1809" s="37"/>
      <c r="E1809" s="36"/>
      <c r="F1809" s="42"/>
      <c r="G1809" s="42"/>
      <c r="H1809" s="42"/>
      <c r="AG1809" s="19">
        <v>1808</v>
      </c>
      <c r="AH1809" s="20">
        <v>-2679.3194384108383</v>
      </c>
    </row>
    <row r="1810" spans="1:34" ht="14.5" x14ac:dyDescent="0.35">
      <c r="A1810" s="34"/>
      <c r="B1810" s="35"/>
      <c r="C1810" s="36"/>
      <c r="D1810" s="37"/>
      <c r="E1810" s="36"/>
      <c r="F1810" s="42"/>
      <c r="G1810" s="42"/>
      <c r="H1810" s="42"/>
      <c r="AG1810" s="19">
        <v>1809</v>
      </c>
      <c r="AH1810" s="20">
        <v>-2248.6216831175643</v>
      </c>
    </row>
    <row r="1811" spans="1:34" ht="14.5" x14ac:dyDescent="0.35">
      <c r="A1811" s="34"/>
      <c r="B1811" s="35"/>
      <c r="C1811" s="36"/>
      <c r="D1811" s="37"/>
      <c r="E1811" s="36"/>
      <c r="F1811" s="42"/>
      <c r="G1811" s="42"/>
      <c r="H1811" s="42"/>
      <c r="AG1811" s="19">
        <v>1810</v>
      </c>
      <c r="AH1811" s="20">
        <v>1205.1695007183298</v>
      </c>
    </row>
    <row r="1812" spans="1:34" ht="14.5" x14ac:dyDescent="0.35">
      <c r="A1812" s="34"/>
      <c r="B1812" s="35"/>
      <c r="C1812" s="36"/>
      <c r="D1812" s="37"/>
      <c r="E1812" s="36"/>
      <c r="F1812" s="42"/>
      <c r="G1812" s="42"/>
      <c r="H1812" s="42"/>
      <c r="AG1812" s="19">
        <v>1811</v>
      </c>
      <c r="AH1812" s="20">
        <v>-2381.4663555288957</v>
      </c>
    </row>
    <row r="1813" spans="1:34" ht="14.5" x14ac:dyDescent="0.35">
      <c r="A1813" s="34"/>
      <c r="B1813" s="35"/>
      <c r="C1813" s="36"/>
      <c r="D1813" s="37"/>
      <c r="E1813" s="36"/>
      <c r="F1813" s="42"/>
      <c r="G1813" s="42"/>
      <c r="H1813" s="42"/>
      <c r="AG1813" s="19">
        <v>1812</v>
      </c>
      <c r="AH1813" s="20">
        <v>752.8152999584936</v>
      </c>
    </row>
    <row r="1814" spans="1:34" ht="14.5" x14ac:dyDescent="0.35">
      <c r="A1814" s="34"/>
      <c r="B1814" s="35"/>
      <c r="C1814" s="36"/>
      <c r="D1814" s="37"/>
      <c r="E1814" s="36"/>
      <c r="F1814" s="42"/>
      <c r="G1814" s="42"/>
      <c r="H1814" s="42"/>
      <c r="AG1814" s="19">
        <v>1813</v>
      </c>
      <c r="AH1814" s="20">
        <v>-1212.0064743698108</v>
      </c>
    </row>
    <row r="1815" spans="1:34" ht="14.5" x14ac:dyDescent="0.35">
      <c r="A1815" s="34"/>
      <c r="B1815" s="35"/>
      <c r="C1815" s="36"/>
      <c r="D1815" s="37"/>
      <c r="E1815" s="36"/>
      <c r="F1815" s="42"/>
      <c r="G1815" s="42"/>
      <c r="H1815" s="42"/>
      <c r="AG1815" s="19">
        <v>1814</v>
      </c>
      <c r="AH1815" s="20">
        <v>730.44837945480322</v>
      </c>
    </row>
    <row r="1816" spans="1:34" ht="14.5" x14ac:dyDescent="0.35">
      <c r="A1816" s="34"/>
      <c r="B1816" s="35"/>
      <c r="C1816" s="36"/>
      <c r="D1816" s="37"/>
      <c r="E1816" s="36"/>
      <c r="F1816" s="42"/>
      <c r="G1816" s="42"/>
      <c r="H1816" s="42"/>
      <c r="AG1816" s="19">
        <v>1815</v>
      </c>
      <c r="AH1816" s="20">
        <v>-221.93415819724197</v>
      </c>
    </row>
    <row r="1817" spans="1:34" ht="14.5" x14ac:dyDescent="0.35">
      <c r="A1817" s="34"/>
      <c r="B1817" s="35"/>
      <c r="C1817" s="36"/>
      <c r="D1817" s="37"/>
      <c r="E1817" s="36"/>
      <c r="F1817" s="42"/>
      <c r="G1817" s="42"/>
      <c r="H1817" s="42"/>
      <c r="AG1817" s="19">
        <v>1816</v>
      </c>
      <c r="AH1817" s="20">
        <v>3048.0109078481073</v>
      </c>
    </row>
    <row r="1818" spans="1:34" ht="14.5" x14ac:dyDescent="0.35">
      <c r="A1818" s="34"/>
      <c r="B1818" s="35"/>
      <c r="C1818" s="36"/>
      <c r="D1818" s="37"/>
      <c r="E1818" s="36"/>
      <c r="F1818" s="42"/>
      <c r="G1818" s="42"/>
      <c r="H1818" s="42"/>
      <c r="AG1818" s="19">
        <v>1817</v>
      </c>
      <c r="AH1818" s="20">
        <v>-2245.9119451954607</v>
      </c>
    </row>
    <row r="1819" spans="1:34" ht="14.5" x14ac:dyDescent="0.35">
      <c r="A1819" s="34"/>
      <c r="B1819" s="35"/>
      <c r="C1819" s="36"/>
      <c r="D1819" s="37"/>
      <c r="E1819" s="36"/>
      <c r="F1819" s="42"/>
      <c r="G1819" s="42"/>
      <c r="H1819" s="42"/>
      <c r="AG1819" s="19">
        <v>1818</v>
      </c>
      <c r="AH1819" s="20">
        <v>-1796.7187161202053</v>
      </c>
    </row>
    <row r="1820" spans="1:34" ht="14.5" x14ac:dyDescent="0.35">
      <c r="A1820" s="34"/>
      <c r="B1820" s="35"/>
      <c r="C1820" s="36"/>
      <c r="D1820" s="37"/>
      <c r="E1820" s="36"/>
      <c r="F1820" s="42"/>
      <c r="G1820" s="42"/>
      <c r="H1820" s="42"/>
      <c r="AG1820" s="19">
        <v>1819</v>
      </c>
      <c r="AH1820" s="20">
        <v>2105.9953586054485</v>
      </c>
    </row>
    <row r="1821" spans="1:34" ht="14.5" x14ac:dyDescent="0.35">
      <c r="A1821" s="34"/>
      <c r="B1821" s="35"/>
      <c r="C1821" s="36"/>
      <c r="D1821" s="37"/>
      <c r="E1821" s="36"/>
      <c r="F1821" s="42"/>
      <c r="G1821" s="42"/>
      <c r="H1821" s="42"/>
      <c r="AG1821" s="19">
        <v>1820</v>
      </c>
      <c r="AH1821" s="20">
        <v>234.13335883321335</v>
      </c>
    </row>
    <row r="1822" spans="1:34" ht="14.5" x14ac:dyDescent="0.35">
      <c r="A1822" s="34"/>
      <c r="B1822" s="35"/>
      <c r="C1822" s="36"/>
      <c r="D1822" s="37"/>
      <c r="E1822" s="36"/>
      <c r="F1822" s="42"/>
      <c r="G1822" s="42"/>
      <c r="H1822" s="42"/>
      <c r="AG1822" s="19">
        <v>1821</v>
      </c>
      <c r="AH1822" s="20">
        <v>195.35071319848055</v>
      </c>
    </row>
    <row r="1823" spans="1:34" ht="14.5" x14ac:dyDescent="0.35">
      <c r="A1823" s="34"/>
      <c r="B1823" s="35"/>
      <c r="C1823" s="36"/>
      <c r="D1823" s="37"/>
      <c r="E1823" s="36"/>
      <c r="F1823" s="42"/>
      <c r="G1823" s="42"/>
      <c r="H1823" s="42"/>
      <c r="AG1823" s="19">
        <v>1822</v>
      </c>
      <c r="AH1823" s="20">
        <v>-3090.3041990574402</v>
      </c>
    </row>
    <row r="1824" spans="1:34" ht="14.5" x14ac:dyDescent="0.35">
      <c r="A1824" s="34"/>
      <c r="B1824" s="35"/>
      <c r="C1824" s="36"/>
      <c r="D1824" s="37"/>
      <c r="E1824" s="36"/>
      <c r="F1824" s="42"/>
      <c r="G1824" s="42"/>
      <c r="H1824" s="42"/>
      <c r="AG1824" s="19">
        <v>1823</v>
      </c>
      <c r="AH1824" s="20">
        <v>1758.8626076938153</v>
      </c>
    </row>
    <row r="1825" spans="1:34" ht="14.5" x14ac:dyDescent="0.35">
      <c r="A1825" s="34"/>
      <c r="B1825" s="35"/>
      <c r="C1825" s="36"/>
      <c r="D1825" s="37"/>
      <c r="E1825" s="36"/>
      <c r="F1825" s="42"/>
      <c r="G1825" s="42"/>
      <c r="H1825" s="42"/>
      <c r="AG1825" s="19">
        <v>1824</v>
      </c>
      <c r="AH1825" s="20">
        <v>10.886763242031748</v>
      </c>
    </row>
    <row r="1826" spans="1:34" ht="14.5" x14ac:dyDescent="0.35">
      <c r="A1826" s="34"/>
      <c r="B1826" s="35"/>
      <c r="C1826" s="36"/>
      <c r="D1826" s="37"/>
      <c r="E1826" s="36"/>
      <c r="F1826" s="42"/>
      <c r="G1826" s="42"/>
      <c r="H1826" s="42"/>
      <c r="AG1826" s="19">
        <v>1825</v>
      </c>
      <c r="AH1826" s="20">
        <v>2816.0534764473841</v>
      </c>
    </row>
    <row r="1827" spans="1:34" ht="14.5" x14ac:dyDescent="0.35">
      <c r="A1827" s="34"/>
      <c r="B1827" s="35"/>
      <c r="C1827" s="36"/>
      <c r="D1827" s="37"/>
      <c r="E1827" s="36"/>
      <c r="F1827" s="42"/>
      <c r="G1827" s="42"/>
      <c r="H1827" s="42"/>
      <c r="AG1827" s="19">
        <v>1826</v>
      </c>
      <c r="AH1827" s="20">
        <v>2045.7732852268764</v>
      </c>
    </row>
    <row r="1828" spans="1:34" ht="14.5" x14ac:dyDescent="0.35">
      <c r="A1828" s="34"/>
      <c r="B1828" s="35"/>
      <c r="C1828" s="36"/>
      <c r="D1828" s="37"/>
      <c r="E1828" s="36"/>
      <c r="F1828" s="42"/>
      <c r="G1828" s="42"/>
      <c r="H1828" s="42"/>
      <c r="AG1828" s="19">
        <v>1827</v>
      </c>
      <c r="AH1828" s="20">
        <v>-1945.0791619391082</v>
      </c>
    </row>
    <row r="1829" spans="1:34" ht="14.5" x14ac:dyDescent="0.35">
      <c r="A1829" s="34"/>
      <c r="B1829" s="35"/>
      <c r="C1829" s="36"/>
      <c r="D1829" s="37"/>
      <c r="E1829" s="36"/>
      <c r="F1829" s="42"/>
      <c r="G1829" s="42"/>
      <c r="H1829" s="42"/>
      <c r="AG1829" s="19">
        <v>1828</v>
      </c>
      <c r="AH1829" s="20">
        <v>475.58229081320576</v>
      </c>
    </row>
    <row r="1830" spans="1:34" ht="14.5" x14ac:dyDescent="0.35">
      <c r="A1830" s="34"/>
      <c r="B1830" s="35"/>
      <c r="C1830" s="36"/>
      <c r="D1830" s="37"/>
      <c r="E1830" s="36"/>
      <c r="F1830" s="42"/>
      <c r="G1830" s="42"/>
      <c r="H1830" s="42"/>
      <c r="AG1830" s="19">
        <v>1829</v>
      </c>
      <c r="AH1830" s="20">
        <v>1280.7017188104121</v>
      </c>
    </row>
    <row r="1831" spans="1:34" ht="14.5" x14ac:dyDescent="0.35">
      <c r="A1831" s="34"/>
      <c r="B1831" s="35"/>
      <c r="C1831" s="36"/>
      <c r="D1831" s="37"/>
      <c r="E1831" s="36"/>
      <c r="F1831" s="42"/>
      <c r="G1831" s="42"/>
      <c r="H1831" s="42"/>
      <c r="AG1831" s="19">
        <v>1830</v>
      </c>
      <c r="AH1831" s="20">
        <v>1340.1022851008681</v>
      </c>
    </row>
    <row r="1832" spans="1:34" ht="14.5" x14ac:dyDescent="0.35">
      <c r="A1832" s="34"/>
      <c r="B1832" s="35"/>
      <c r="C1832" s="36"/>
      <c r="D1832" s="37"/>
      <c r="E1832" s="36"/>
      <c r="F1832" s="42"/>
      <c r="G1832" s="42"/>
      <c r="H1832" s="42"/>
      <c r="AG1832" s="19">
        <v>1831</v>
      </c>
      <c r="AH1832" s="20">
        <v>-1510.4997193300724</v>
      </c>
    </row>
    <row r="1833" spans="1:34" ht="14.5" x14ac:dyDescent="0.35">
      <c r="A1833" s="34"/>
      <c r="B1833" s="35"/>
      <c r="C1833" s="36"/>
      <c r="D1833" s="37"/>
      <c r="E1833" s="36"/>
      <c r="F1833" s="42"/>
      <c r="G1833" s="42"/>
      <c r="H1833" s="42"/>
      <c r="AG1833" s="19">
        <v>1832</v>
      </c>
      <c r="AH1833" s="20">
        <v>-2289.0728561740711</v>
      </c>
    </row>
    <row r="1834" spans="1:34" ht="14.5" x14ac:dyDescent="0.35">
      <c r="A1834" s="34"/>
      <c r="B1834" s="35"/>
      <c r="C1834" s="36"/>
      <c r="D1834" s="37"/>
      <c r="E1834" s="36"/>
      <c r="F1834" s="42"/>
      <c r="G1834" s="42"/>
      <c r="H1834" s="42"/>
      <c r="AG1834" s="19">
        <v>1833</v>
      </c>
      <c r="AH1834" s="20">
        <v>-4679.5381231253923</v>
      </c>
    </row>
    <row r="1835" spans="1:34" ht="14.5" x14ac:dyDescent="0.35">
      <c r="A1835" s="34"/>
      <c r="B1835" s="35"/>
      <c r="C1835" s="36"/>
      <c r="D1835" s="37"/>
      <c r="E1835" s="36"/>
      <c r="F1835" s="42"/>
      <c r="G1835" s="42"/>
      <c r="H1835" s="42"/>
      <c r="AG1835" s="19">
        <v>1834</v>
      </c>
      <c r="AH1835" s="20">
        <v>-2512.2984947466462</v>
      </c>
    </row>
    <row r="1836" spans="1:34" ht="14.5" x14ac:dyDescent="0.35">
      <c r="A1836" s="34"/>
      <c r="B1836" s="35"/>
      <c r="C1836" s="36"/>
      <c r="D1836" s="37"/>
      <c r="E1836" s="36"/>
      <c r="F1836" s="42"/>
      <c r="G1836" s="42"/>
      <c r="H1836" s="42"/>
      <c r="AG1836" s="19">
        <v>1835</v>
      </c>
      <c r="AH1836" s="20">
        <v>-3317.2556463188153</v>
      </c>
    </row>
    <row r="1837" spans="1:34" ht="14.5" x14ac:dyDescent="0.35">
      <c r="A1837" s="34"/>
      <c r="B1837" s="35"/>
      <c r="C1837" s="36"/>
      <c r="D1837" s="37"/>
      <c r="E1837" s="36"/>
      <c r="F1837" s="42"/>
      <c r="G1837" s="42"/>
      <c r="H1837" s="42"/>
      <c r="AG1837" s="19">
        <v>1836</v>
      </c>
      <c r="AH1837" s="20">
        <v>-1015.9776518185161</v>
      </c>
    </row>
    <row r="1838" spans="1:34" ht="14.5" x14ac:dyDescent="0.35">
      <c r="A1838" s="34"/>
      <c r="B1838" s="35"/>
      <c r="C1838" s="36"/>
      <c r="D1838" s="37"/>
      <c r="E1838" s="36"/>
      <c r="F1838" s="42"/>
      <c r="G1838" s="42"/>
      <c r="H1838" s="42"/>
      <c r="AG1838" s="19">
        <v>1837</v>
      </c>
      <c r="AH1838" s="20">
        <v>2511.5954101777365</v>
      </c>
    </row>
    <row r="1839" spans="1:34" ht="14.5" x14ac:dyDescent="0.35">
      <c r="A1839" s="34"/>
      <c r="B1839" s="35"/>
      <c r="C1839" s="36"/>
      <c r="D1839" s="37"/>
      <c r="E1839" s="36"/>
      <c r="F1839" s="42"/>
      <c r="G1839" s="42"/>
      <c r="H1839" s="42"/>
      <c r="AG1839" s="19">
        <v>1838</v>
      </c>
      <c r="AH1839" s="20">
        <v>942.18718749557365</v>
      </c>
    </row>
    <row r="1840" spans="1:34" ht="14.5" x14ac:dyDescent="0.35">
      <c r="A1840" s="34"/>
      <c r="B1840" s="35"/>
      <c r="C1840" s="36"/>
      <c r="D1840" s="37"/>
      <c r="E1840" s="36"/>
      <c r="F1840" s="42"/>
      <c r="G1840" s="42"/>
      <c r="H1840" s="42"/>
      <c r="AG1840" s="19">
        <v>1839</v>
      </c>
      <c r="AH1840" s="20">
        <v>2894.9289150742275</v>
      </c>
    </row>
    <row r="1841" spans="1:34" ht="14.5" x14ac:dyDescent="0.35">
      <c r="A1841" s="34"/>
      <c r="B1841" s="35"/>
      <c r="C1841" s="36"/>
      <c r="D1841" s="37"/>
      <c r="E1841" s="36"/>
      <c r="F1841" s="42"/>
      <c r="G1841" s="42"/>
      <c r="H1841" s="42"/>
      <c r="AG1841" s="19">
        <v>1840</v>
      </c>
      <c r="AH1841" s="20">
        <v>-188.80087506243382</v>
      </c>
    </row>
    <row r="1842" spans="1:34" ht="14.5" x14ac:dyDescent="0.35">
      <c r="A1842" s="34"/>
      <c r="B1842" s="35"/>
      <c r="C1842" s="36"/>
      <c r="D1842" s="37"/>
      <c r="E1842" s="36"/>
      <c r="F1842" s="42"/>
      <c r="G1842" s="42"/>
      <c r="H1842" s="42"/>
      <c r="AG1842" s="19">
        <v>1841</v>
      </c>
      <c r="AH1842" s="20">
        <v>-359.57750331741539</v>
      </c>
    </row>
    <row r="1843" spans="1:34" ht="14.5" x14ac:dyDescent="0.35">
      <c r="A1843" s="34"/>
      <c r="B1843" s="35"/>
      <c r="C1843" s="36"/>
      <c r="D1843" s="37"/>
      <c r="E1843" s="36"/>
      <c r="F1843" s="42"/>
      <c r="G1843" s="42"/>
      <c r="H1843" s="42"/>
      <c r="AG1843" s="19">
        <v>1842</v>
      </c>
      <c r="AH1843" s="20">
        <v>808.17425626045042</v>
      </c>
    </row>
    <row r="1844" spans="1:34" ht="14.5" x14ac:dyDescent="0.35">
      <c r="A1844" s="34"/>
      <c r="B1844" s="35"/>
      <c r="C1844" s="36"/>
      <c r="D1844" s="37"/>
      <c r="E1844" s="36"/>
      <c r="F1844" s="42"/>
      <c r="G1844" s="42"/>
      <c r="H1844" s="42"/>
      <c r="AG1844" s="19">
        <v>1843</v>
      </c>
      <c r="AH1844" s="20">
        <v>-132.68336467019134</v>
      </c>
    </row>
    <row r="1845" spans="1:34" ht="14.5" x14ac:dyDescent="0.35">
      <c r="A1845" s="34"/>
      <c r="B1845" s="35"/>
      <c r="C1845" s="36"/>
      <c r="D1845" s="37"/>
      <c r="E1845" s="36"/>
      <c r="F1845" s="42"/>
      <c r="G1845" s="42"/>
      <c r="H1845" s="42"/>
      <c r="AG1845" s="19">
        <v>1844</v>
      </c>
      <c r="AH1845" s="20">
        <v>-248.99032526704178</v>
      </c>
    </row>
    <row r="1846" spans="1:34" ht="14.5" x14ac:dyDescent="0.35">
      <c r="A1846" s="34"/>
      <c r="B1846" s="35"/>
      <c r="C1846" s="36"/>
      <c r="D1846" s="37"/>
      <c r="E1846" s="36"/>
      <c r="F1846" s="42"/>
      <c r="G1846" s="42"/>
      <c r="H1846" s="42"/>
      <c r="AG1846" s="19">
        <v>1845</v>
      </c>
      <c r="AH1846" s="20">
        <v>787.44400198339417</v>
      </c>
    </row>
    <row r="1847" spans="1:34" ht="14.5" x14ac:dyDescent="0.35">
      <c r="A1847" s="34"/>
      <c r="B1847" s="35"/>
      <c r="C1847" s="36"/>
      <c r="D1847" s="37"/>
      <c r="E1847" s="36"/>
      <c r="F1847" s="42"/>
      <c r="G1847" s="42"/>
      <c r="H1847" s="42"/>
      <c r="AG1847" s="19">
        <v>1846</v>
      </c>
      <c r="AH1847" s="20">
        <v>70.353559565460387</v>
      </c>
    </row>
    <row r="1848" spans="1:34" ht="14.5" x14ac:dyDescent="0.35">
      <c r="A1848" s="34"/>
      <c r="B1848" s="35"/>
      <c r="C1848" s="36"/>
      <c r="D1848" s="37"/>
      <c r="E1848" s="36"/>
      <c r="F1848" s="42"/>
      <c r="G1848" s="42"/>
      <c r="H1848" s="42"/>
      <c r="AG1848" s="19">
        <v>1847</v>
      </c>
      <c r="AH1848" s="20">
        <v>-1340.7898366037318</v>
      </c>
    </row>
    <row r="1849" spans="1:34" ht="14.5" x14ac:dyDescent="0.35">
      <c r="A1849" s="34"/>
      <c r="B1849" s="35"/>
      <c r="C1849" s="36"/>
      <c r="D1849" s="37"/>
      <c r="E1849" s="36"/>
      <c r="F1849" s="42"/>
      <c r="G1849" s="42"/>
      <c r="H1849" s="42"/>
      <c r="AG1849" s="19">
        <v>1848</v>
      </c>
      <c r="AH1849" s="20">
        <v>1389.1580794627068</v>
      </c>
    </row>
    <row r="1850" spans="1:34" ht="14.5" x14ac:dyDescent="0.35">
      <c r="A1850" s="34"/>
      <c r="B1850" s="35"/>
      <c r="C1850" s="36"/>
      <c r="D1850" s="37"/>
      <c r="E1850" s="36"/>
      <c r="F1850" s="42"/>
      <c r="G1850" s="42"/>
      <c r="H1850" s="42"/>
      <c r="AG1850" s="19">
        <v>1849</v>
      </c>
      <c r="AH1850" s="20">
        <v>-281.8162990725919</v>
      </c>
    </row>
    <row r="1851" spans="1:34" ht="14.5" x14ac:dyDescent="0.35">
      <c r="A1851" s="34"/>
      <c r="B1851" s="35"/>
      <c r="C1851" s="36"/>
      <c r="D1851" s="37"/>
      <c r="E1851" s="36"/>
      <c r="F1851" s="42"/>
      <c r="G1851" s="42"/>
      <c r="H1851" s="42"/>
      <c r="AG1851" s="19">
        <v>1850</v>
      </c>
      <c r="AH1851" s="20">
        <v>1476.2747926646564</v>
      </c>
    </row>
    <row r="1852" spans="1:34" ht="14.5" x14ac:dyDescent="0.35">
      <c r="A1852" s="34"/>
      <c r="B1852" s="35"/>
      <c r="C1852" s="36"/>
      <c r="D1852" s="37"/>
      <c r="E1852" s="36"/>
      <c r="F1852" s="42"/>
      <c r="G1852" s="42"/>
      <c r="H1852" s="42"/>
      <c r="AG1852" s="19">
        <v>1851</v>
      </c>
      <c r="AH1852" s="20">
        <v>1302.6654821252885</v>
      </c>
    </row>
    <row r="1853" spans="1:34" ht="14.5" x14ac:dyDescent="0.35">
      <c r="A1853" s="34"/>
      <c r="B1853" s="35"/>
      <c r="C1853" s="36"/>
      <c r="D1853" s="37"/>
      <c r="E1853" s="36"/>
      <c r="F1853" s="42"/>
      <c r="G1853" s="42"/>
      <c r="H1853" s="42"/>
      <c r="AG1853" s="19">
        <v>1852</v>
      </c>
      <c r="AH1853" s="20">
        <v>1380.9194409591064</v>
      </c>
    </row>
    <row r="1854" spans="1:34" ht="14.5" x14ac:dyDescent="0.35">
      <c r="A1854" s="34"/>
      <c r="B1854" s="35"/>
      <c r="C1854" s="36"/>
      <c r="D1854" s="37"/>
      <c r="E1854" s="36"/>
      <c r="F1854" s="42"/>
      <c r="G1854" s="42"/>
      <c r="H1854" s="42"/>
      <c r="AG1854" s="19">
        <v>1853</v>
      </c>
      <c r="AH1854" s="20">
        <v>711.98925103794841</v>
      </c>
    </row>
    <row r="1855" spans="1:34" ht="14.5" x14ac:dyDescent="0.35">
      <c r="A1855" s="34"/>
      <c r="B1855" s="35"/>
      <c r="C1855" s="36"/>
      <c r="D1855" s="37"/>
      <c r="E1855" s="36"/>
      <c r="F1855" s="42"/>
      <c r="G1855" s="42"/>
      <c r="H1855" s="42"/>
      <c r="AG1855" s="19">
        <v>1854</v>
      </c>
      <c r="AH1855" s="20">
        <v>459.87995995259507</v>
      </c>
    </row>
    <row r="1856" spans="1:34" ht="14.5" x14ac:dyDescent="0.35">
      <c r="A1856" s="34"/>
      <c r="B1856" s="35"/>
      <c r="C1856" s="36"/>
      <c r="D1856" s="37"/>
      <c r="E1856" s="36"/>
      <c r="F1856" s="42"/>
      <c r="G1856" s="42"/>
      <c r="H1856" s="42"/>
      <c r="AG1856" s="19">
        <v>1855</v>
      </c>
      <c r="AH1856" s="20">
        <v>2919.4027371706634</v>
      </c>
    </row>
    <row r="1857" spans="1:34" ht="14.5" x14ac:dyDescent="0.35">
      <c r="A1857" s="34"/>
      <c r="B1857" s="35"/>
      <c r="C1857" s="36"/>
      <c r="D1857" s="37"/>
      <c r="E1857" s="36"/>
      <c r="F1857" s="42"/>
      <c r="G1857" s="42"/>
      <c r="H1857" s="42"/>
      <c r="AG1857" s="19">
        <v>1856</v>
      </c>
      <c r="AH1857" s="20">
        <v>591.04395497188341</v>
      </c>
    </row>
    <row r="1858" spans="1:34" ht="14.5" x14ac:dyDescent="0.35">
      <c r="A1858" s="34"/>
      <c r="B1858" s="35"/>
      <c r="C1858" s="36"/>
      <c r="D1858" s="37"/>
      <c r="E1858" s="36"/>
      <c r="F1858" s="42"/>
      <c r="G1858" s="42"/>
      <c r="H1858" s="42"/>
      <c r="AG1858" s="19">
        <v>1857</v>
      </c>
      <c r="AH1858" s="20">
        <v>-535.10617320128131</v>
      </c>
    </row>
    <row r="1859" spans="1:34" ht="14.5" x14ac:dyDescent="0.35">
      <c r="A1859" s="34"/>
      <c r="B1859" s="35"/>
      <c r="C1859" s="36"/>
      <c r="D1859" s="37"/>
      <c r="E1859" s="36"/>
      <c r="F1859" s="42"/>
      <c r="G1859" s="42"/>
      <c r="H1859" s="42"/>
      <c r="AG1859" s="19">
        <v>1858</v>
      </c>
      <c r="AH1859" s="20">
        <v>2298.5732061130411</v>
      </c>
    </row>
    <row r="1860" spans="1:34" ht="14.5" x14ac:dyDescent="0.35">
      <c r="A1860" s="34"/>
      <c r="B1860" s="35"/>
      <c r="C1860" s="36"/>
      <c r="D1860" s="37"/>
      <c r="E1860" s="36"/>
      <c r="F1860" s="42"/>
      <c r="G1860" s="42"/>
      <c r="H1860" s="42"/>
      <c r="AG1860" s="19">
        <v>1859</v>
      </c>
      <c r="AH1860" s="20">
        <v>1583.7279059473069</v>
      </c>
    </row>
    <row r="1861" spans="1:34" ht="14.5" x14ac:dyDescent="0.35">
      <c r="A1861" s="34"/>
      <c r="B1861" s="35"/>
      <c r="C1861" s="36"/>
      <c r="D1861" s="37"/>
      <c r="E1861" s="36"/>
      <c r="F1861" s="42"/>
      <c r="G1861" s="42"/>
      <c r="H1861" s="42"/>
      <c r="AG1861" s="19">
        <v>1860</v>
      </c>
      <c r="AH1861" s="20">
        <v>-109.18581984306729</v>
      </c>
    </row>
    <row r="1862" spans="1:34" ht="14.5" x14ac:dyDescent="0.35">
      <c r="A1862" s="34"/>
      <c r="B1862" s="35"/>
      <c r="C1862" s="36"/>
      <c r="D1862" s="37"/>
      <c r="E1862" s="36"/>
      <c r="F1862" s="42"/>
      <c r="G1862" s="42"/>
      <c r="H1862" s="42"/>
      <c r="AG1862" s="19">
        <v>1861</v>
      </c>
      <c r="AH1862" s="20">
        <v>3756.1593689533984</v>
      </c>
    </row>
    <row r="1863" spans="1:34" ht="14.5" x14ac:dyDescent="0.35">
      <c r="A1863" s="34"/>
      <c r="B1863" s="35"/>
      <c r="C1863" s="36"/>
      <c r="D1863" s="37"/>
      <c r="E1863" s="36"/>
      <c r="F1863" s="42"/>
      <c r="G1863" s="42"/>
      <c r="H1863" s="42"/>
      <c r="AG1863" s="19">
        <v>1862</v>
      </c>
      <c r="AH1863" s="20">
        <v>-583.99549694416919</v>
      </c>
    </row>
    <row r="1864" spans="1:34" ht="14.5" x14ac:dyDescent="0.35">
      <c r="A1864" s="34"/>
      <c r="B1864" s="35"/>
      <c r="C1864" s="36"/>
      <c r="D1864" s="37"/>
      <c r="E1864" s="36"/>
      <c r="F1864" s="42"/>
      <c r="G1864" s="42"/>
      <c r="H1864" s="42"/>
      <c r="AG1864" s="19">
        <v>1863</v>
      </c>
      <c r="AH1864" s="20">
        <v>-817.88410474123657</v>
      </c>
    </row>
    <row r="1865" spans="1:34" ht="14.5" x14ac:dyDescent="0.35">
      <c r="A1865" s="34"/>
      <c r="B1865" s="35"/>
      <c r="C1865" s="36"/>
      <c r="D1865" s="37"/>
      <c r="E1865" s="36"/>
      <c r="F1865" s="42"/>
      <c r="G1865" s="42"/>
      <c r="H1865" s="42"/>
      <c r="AG1865" s="19">
        <v>1864</v>
      </c>
      <c r="AH1865" s="20">
        <v>-1678.5219069736625</v>
      </c>
    </row>
    <row r="1866" spans="1:34" ht="14.5" x14ac:dyDescent="0.35">
      <c r="A1866" s="34"/>
      <c r="B1866" s="35"/>
      <c r="C1866" s="36"/>
      <c r="D1866" s="37"/>
      <c r="E1866" s="36"/>
      <c r="F1866" s="42"/>
      <c r="G1866" s="42"/>
      <c r="H1866" s="42"/>
      <c r="AG1866" s="19">
        <v>1865</v>
      </c>
      <c r="AH1866" s="20">
        <v>-2074.7706954704609</v>
      </c>
    </row>
    <row r="1867" spans="1:34" ht="14.5" x14ac:dyDescent="0.35">
      <c r="A1867" s="34"/>
      <c r="B1867" s="35"/>
      <c r="C1867" s="36"/>
      <c r="D1867" s="37"/>
      <c r="E1867" s="36"/>
      <c r="F1867" s="42"/>
      <c r="G1867" s="42"/>
      <c r="H1867" s="42"/>
      <c r="AG1867" s="19">
        <v>1866</v>
      </c>
      <c r="AH1867" s="20">
        <v>739.7939022575024</v>
      </c>
    </row>
    <row r="1868" spans="1:34" ht="14.5" x14ac:dyDescent="0.35">
      <c r="A1868" s="34"/>
      <c r="B1868" s="35"/>
      <c r="C1868" s="36"/>
      <c r="D1868" s="37"/>
      <c r="E1868" s="36"/>
      <c r="F1868" s="42"/>
      <c r="G1868" s="42"/>
      <c r="H1868" s="42"/>
      <c r="AG1868" s="19">
        <v>1867</v>
      </c>
      <c r="AH1868" s="20">
        <v>3164.6288311347544</v>
      </c>
    </row>
    <row r="1869" spans="1:34" ht="14.5" x14ac:dyDescent="0.35">
      <c r="A1869" s="34"/>
      <c r="B1869" s="35"/>
      <c r="C1869" s="36"/>
      <c r="D1869" s="37"/>
      <c r="E1869" s="36"/>
      <c r="F1869" s="42"/>
      <c r="G1869" s="42"/>
      <c r="H1869" s="42"/>
      <c r="AG1869" s="19">
        <v>1868</v>
      </c>
      <c r="AH1869" s="20">
        <v>959.5094736273777</v>
      </c>
    </row>
    <row r="1870" spans="1:34" ht="14.5" x14ac:dyDescent="0.35">
      <c r="A1870" s="34"/>
      <c r="B1870" s="35"/>
      <c r="C1870" s="36"/>
      <c r="D1870" s="37"/>
      <c r="E1870" s="36"/>
      <c r="F1870" s="42"/>
      <c r="G1870" s="42"/>
      <c r="H1870" s="42"/>
      <c r="AG1870" s="19">
        <v>1869</v>
      </c>
      <c r="AH1870" s="20">
        <v>2090.9500748392466</v>
      </c>
    </row>
    <row r="1871" spans="1:34" ht="14.5" x14ac:dyDescent="0.35">
      <c r="A1871" s="34"/>
      <c r="B1871" s="35"/>
      <c r="C1871" s="36"/>
      <c r="D1871" s="37"/>
      <c r="E1871" s="36"/>
      <c r="F1871" s="42"/>
      <c r="G1871" s="42"/>
      <c r="H1871" s="42"/>
      <c r="AG1871" s="19">
        <v>1870</v>
      </c>
      <c r="AH1871" s="20">
        <v>125.48811671973868</v>
      </c>
    </row>
    <row r="1872" spans="1:34" ht="14.5" x14ac:dyDescent="0.35">
      <c r="A1872" s="34"/>
      <c r="B1872" s="35"/>
      <c r="C1872" s="36"/>
      <c r="D1872" s="37"/>
      <c r="E1872" s="36"/>
      <c r="F1872" s="42"/>
      <c r="G1872" s="42"/>
      <c r="H1872" s="42"/>
      <c r="AG1872" s="19">
        <v>1871</v>
      </c>
      <c r="AH1872" s="20">
        <v>271.73709713544832</v>
      </c>
    </row>
    <row r="1873" spans="1:34" ht="14.5" x14ac:dyDescent="0.35">
      <c r="A1873" s="34"/>
      <c r="B1873" s="35"/>
      <c r="C1873" s="36"/>
      <c r="D1873" s="37"/>
      <c r="E1873" s="36"/>
      <c r="F1873" s="42"/>
      <c r="G1873" s="42"/>
      <c r="H1873" s="42"/>
      <c r="AG1873" s="19">
        <v>1872</v>
      </c>
      <c r="AH1873" s="20">
        <v>-1488.7936030297412</v>
      </c>
    </row>
    <row r="1874" spans="1:34" ht="14.5" x14ac:dyDescent="0.35">
      <c r="A1874" s="34"/>
      <c r="B1874" s="35"/>
      <c r="C1874" s="36"/>
      <c r="D1874" s="37"/>
      <c r="E1874" s="36"/>
      <c r="F1874" s="42"/>
      <c r="G1874" s="42"/>
      <c r="H1874" s="42"/>
      <c r="AG1874" s="19">
        <v>1873</v>
      </c>
      <c r="AH1874" s="20">
        <v>-2605.2625573070895</v>
      </c>
    </row>
    <row r="1875" spans="1:34" ht="14.5" x14ac:dyDescent="0.35">
      <c r="A1875" s="34"/>
      <c r="B1875" s="35"/>
      <c r="C1875" s="36"/>
      <c r="D1875" s="37"/>
      <c r="E1875" s="36"/>
      <c r="F1875" s="42"/>
      <c r="G1875" s="42"/>
      <c r="H1875" s="42"/>
      <c r="AG1875" s="19">
        <v>1874</v>
      </c>
      <c r="AH1875" s="20">
        <v>-819.49925340847949</v>
      </c>
    </row>
    <row r="1876" spans="1:34" ht="14.5" x14ac:dyDescent="0.35">
      <c r="A1876" s="34"/>
      <c r="B1876" s="35"/>
      <c r="C1876" s="36"/>
      <c r="D1876" s="37"/>
      <c r="E1876" s="36"/>
      <c r="F1876" s="42"/>
      <c r="G1876" s="42"/>
      <c r="H1876" s="42"/>
      <c r="AG1876" s="19">
        <v>1875</v>
      </c>
      <c r="AH1876" s="20">
        <v>-1040.6924688419126</v>
      </c>
    </row>
    <row r="1877" spans="1:34" ht="14.5" x14ac:dyDescent="0.35">
      <c r="A1877" s="34"/>
      <c r="B1877" s="35"/>
      <c r="C1877" s="36"/>
      <c r="D1877" s="37"/>
      <c r="E1877" s="36"/>
      <c r="F1877" s="42"/>
      <c r="G1877" s="42"/>
      <c r="H1877" s="42"/>
      <c r="AG1877" s="19">
        <v>1876</v>
      </c>
      <c r="AH1877" s="20">
        <v>2841.875242608513</v>
      </c>
    </row>
    <row r="1878" spans="1:34" ht="14.5" x14ac:dyDescent="0.35">
      <c r="A1878" s="34"/>
      <c r="B1878" s="35"/>
      <c r="C1878" s="36"/>
      <c r="D1878" s="37"/>
      <c r="E1878" s="36"/>
      <c r="F1878" s="42"/>
      <c r="G1878" s="42"/>
      <c r="H1878" s="42"/>
      <c r="AG1878" s="19">
        <v>1877</v>
      </c>
      <c r="AH1878" s="20">
        <v>-701.0501617725231</v>
      </c>
    </row>
    <row r="1879" spans="1:34" ht="14.5" x14ac:dyDescent="0.35">
      <c r="A1879" s="34"/>
      <c r="B1879" s="35"/>
      <c r="C1879" s="36"/>
      <c r="D1879" s="37"/>
      <c r="E1879" s="36"/>
      <c r="F1879" s="42"/>
      <c r="G1879" s="42"/>
      <c r="H1879" s="42"/>
      <c r="AG1879" s="19">
        <v>1878</v>
      </c>
      <c r="AH1879" s="20">
        <v>2097.4222197898484</v>
      </c>
    </row>
    <row r="1880" spans="1:34" ht="14.5" x14ac:dyDescent="0.35">
      <c r="A1880" s="34"/>
      <c r="B1880" s="35"/>
      <c r="C1880" s="36"/>
      <c r="D1880" s="37"/>
      <c r="E1880" s="36"/>
      <c r="F1880" s="42"/>
      <c r="G1880" s="42"/>
      <c r="H1880" s="42"/>
      <c r="AG1880" s="19">
        <v>1879</v>
      </c>
      <c r="AH1880" s="20">
        <v>3264.7954339956996</v>
      </c>
    </row>
    <row r="1881" spans="1:34" ht="14.5" x14ac:dyDescent="0.35">
      <c r="A1881" s="34"/>
      <c r="B1881" s="35"/>
      <c r="C1881" s="36"/>
      <c r="D1881" s="37"/>
      <c r="E1881" s="36"/>
      <c r="F1881" s="42"/>
      <c r="G1881" s="42"/>
      <c r="H1881" s="42"/>
      <c r="AG1881" s="19">
        <v>1880</v>
      </c>
      <c r="AH1881" s="20">
        <v>1135.4097230974771</v>
      </c>
    </row>
    <row r="1882" spans="1:34" ht="14.5" x14ac:dyDescent="0.35">
      <c r="A1882" s="34"/>
      <c r="B1882" s="35"/>
      <c r="C1882" s="36"/>
      <c r="D1882" s="37"/>
      <c r="E1882" s="36"/>
      <c r="F1882" s="42"/>
      <c r="G1882" s="42"/>
      <c r="H1882" s="42"/>
      <c r="AG1882" s="19">
        <v>1881</v>
      </c>
      <c r="AH1882" s="20">
        <v>-1520.0103650151862</v>
      </c>
    </row>
    <row r="1883" spans="1:34" ht="14.5" x14ac:dyDescent="0.35">
      <c r="A1883" s="34"/>
      <c r="B1883" s="35"/>
      <c r="C1883" s="36"/>
      <c r="D1883" s="37"/>
      <c r="E1883" s="36"/>
      <c r="F1883" s="42"/>
      <c r="G1883" s="42"/>
      <c r="H1883" s="42"/>
      <c r="AG1883" s="19">
        <v>1882</v>
      </c>
      <c r="AH1883" s="20">
        <v>777.84843115848878</v>
      </c>
    </row>
    <row r="1884" spans="1:34" ht="14.5" x14ac:dyDescent="0.35">
      <c r="A1884" s="34"/>
      <c r="B1884" s="35"/>
      <c r="C1884" s="36"/>
      <c r="D1884" s="37"/>
      <c r="E1884" s="36"/>
      <c r="F1884" s="42"/>
      <c r="G1884" s="42"/>
      <c r="H1884" s="42"/>
      <c r="AG1884" s="19">
        <v>1883</v>
      </c>
      <c r="AH1884" s="20">
        <v>3647.3687094078073</v>
      </c>
    </row>
    <row r="1885" spans="1:34" ht="14.5" x14ac:dyDescent="0.35">
      <c r="A1885" s="34"/>
      <c r="B1885" s="35"/>
      <c r="C1885" s="36"/>
      <c r="D1885" s="37"/>
      <c r="E1885" s="36"/>
      <c r="F1885" s="42"/>
      <c r="G1885" s="42"/>
      <c r="H1885" s="42"/>
      <c r="AG1885" s="19">
        <v>1884</v>
      </c>
      <c r="AH1885" s="20">
        <v>782.38256264997881</v>
      </c>
    </row>
    <row r="1886" spans="1:34" ht="14.5" x14ac:dyDescent="0.35">
      <c r="A1886" s="34"/>
      <c r="B1886" s="35"/>
      <c r="C1886" s="36"/>
      <c r="D1886" s="37"/>
      <c r="E1886" s="36"/>
      <c r="F1886" s="42"/>
      <c r="G1886" s="42"/>
      <c r="H1886" s="42"/>
      <c r="AG1886" s="19">
        <v>1885</v>
      </c>
      <c r="AH1886" s="20">
        <v>2279.8701521212706</v>
      </c>
    </row>
    <row r="1887" spans="1:34" ht="14.5" x14ac:dyDescent="0.35">
      <c r="A1887" s="34"/>
      <c r="B1887" s="35"/>
      <c r="C1887" s="36"/>
      <c r="D1887" s="37"/>
      <c r="E1887" s="36"/>
      <c r="F1887" s="42"/>
      <c r="G1887" s="42"/>
      <c r="H1887" s="42"/>
      <c r="AG1887" s="19">
        <v>1886</v>
      </c>
      <c r="AH1887" s="20">
        <v>-871.95174044401006</v>
      </c>
    </row>
    <row r="1888" spans="1:34" ht="14.5" x14ac:dyDescent="0.35">
      <c r="A1888" s="34"/>
      <c r="B1888" s="35"/>
      <c r="C1888" s="36"/>
      <c r="D1888" s="37"/>
      <c r="E1888" s="36"/>
      <c r="F1888" s="42"/>
      <c r="G1888" s="42"/>
      <c r="H1888" s="42"/>
      <c r="AG1888" s="19">
        <v>1887</v>
      </c>
      <c r="AH1888" s="20">
        <v>1253.1309803280149</v>
      </c>
    </row>
    <row r="1889" spans="1:34" ht="14.5" x14ac:dyDescent="0.35">
      <c r="A1889" s="34"/>
      <c r="B1889" s="35"/>
      <c r="C1889" s="36"/>
      <c r="D1889" s="37"/>
      <c r="E1889" s="36"/>
      <c r="F1889" s="42"/>
      <c r="G1889" s="42"/>
      <c r="H1889" s="42"/>
      <c r="AG1889" s="19">
        <v>1888</v>
      </c>
      <c r="AH1889" s="20">
        <v>2549.687520449173</v>
      </c>
    </row>
    <row r="1890" spans="1:34" ht="14.5" x14ac:dyDescent="0.35">
      <c r="A1890" s="34"/>
      <c r="B1890" s="35"/>
      <c r="C1890" s="36"/>
      <c r="D1890" s="37"/>
      <c r="E1890" s="36"/>
      <c r="F1890" s="42"/>
      <c r="G1890" s="42"/>
      <c r="H1890" s="42"/>
      <c r="AG1890" s="19">
        <v>1889</v>
      </c>
      <c r="AH1890" s="20">
        <v>1074.650957766225</v>
      </c>
    </row>
    <row r="1891" spans="1:34" ht="14.5" x14ac:dyDescent="0.35">
      <c r="A1891" s="34"/>
      <c r="B1891" s="35"/>
      <c r="C1891" s="36"/>
      <c r="D1891" s="37"/>
      <c r="E1891" s="36"/>
      <c r="F1891" s="42"/>
      <c r="G1891" s="42"/>
      <c r="H1891" s="42"/>
      <c r="AG1891" s="19">
        <v>1890</v>
      </c>
      <c r="AH1891" s="20">
        <v>-129.05596615386895</v>
      </c>
    </row>
    <row r="1892" spans="1:34" ht="14.5" x14ac:dyDescent="0.35">
      <c r="A1892" s="34"/>
      <c r="B1892" s="35"/>
      <c r="C1892" s="36"/>
      <c r="D1892" s="37"/>
      <c r="E1892" s="36"/>
      <c r="F1892" s="42"/>
      <c r="G1892" s="42"/>
      <c r="H1892" s="42"/>
      <c r="AG1892" s="19">
        <v>1891</v>
      </c>
      <c r="AH1892" s="20">
        <v>4009.967073979436</v>
      </c>
    </row>
    <row r="1893" spans="1:34" ht="14.5" x14ac:dyDescent="0.35">
      <c r="A1893" s="34"/>
      <c r="B1893" s="35"/>
      <c r="C1893" s="36"/>
      <c r="D1893" s="37"/>
      <c r="E1893" s="36"/>
      <c r="F1893" s="42"/>
      <c r="G1893" s="42"/>
      <c r="H1893" s="42"/>
      <c r="AG1893" s="19">
        <v>1892</v>
      </c>
      <c r="AH1893" s="20">
        <v>3325.1382669893992</v>
      </c>
    </row>
    <row r="1894" spans="1:34" ht="14.5" x14ac:dyDescent="0.35">
      <c r="A1894" s="34"/>
      <c r="B1894" s="35"/>
      <c r="C1894" s="36"/>
      <c r="D1894" s="37"/>
      <c r="E1894" s="36"/>
      <c r="F1894" s="42"/>
      <c r="G1894" s="42"/>
      <c r="H1894" s="42"/>
      <c r="AG1894" s="19">
        <v>1893</v>
      </c>
      <c r="AH1894" s="20">
        <v>1171.3784791325695</v>
      </c>
    </row>
    <row r="1895" spans="1:34" ht="14.5" x14ac:dyDescent="0.35">
      <c r="A1895" s="34"/>
      <c r="B1895" s="35"/>
      <c r="C1895" s="36"/>
      <c r="D1895" s="37"/>
      <c r="E1895" s="36"/>
      <c r="F1895" s="42"/>
      <c r="G1895" s="42"/>
      <c r="H1895" s="42"/>
      <c r="AG1895" s="19">
        <v>1894</v>
      </c>
      <c r="AH1895" s="20">
        <v>-230.93531404463516</v>
      </c>
    </row>
    <row r="1896" spans="1:34" ht="14.5" x14ac:dyDescent="0.35">
      <c r="A1896" s="34"/>
      <c r="B1896" s="35"/>
      <c r="C1896" s="36"/>
      <c r="D1896" s="37"/>
      <c r="E1896" s="36"/>
      <c r="F1896" s="42"/>
      <c r="G1896" s="42"/>
      <c r="H1896" s="42"/>
      <c r="AG1896" s="19">
        <v>1895</v>
      </c>
      <c r="AH1896" s="20">
        <v>1425.5270625034286</v>
      </c>
    </row>
    <row r="1897" spans="1:34" ht="14.5" x14ac:dyDescent="0.35">
      <c r="A1897" s="34"/>
      <c r="B1897" s="35"/>
      <c r="C1897" s="36"/>
      <c r="D1897" s="37"/>
      <c r="E1897" s="36"/>
      <c r="F1897" s="42"/>
      <c r="G1897" s="42"/>
      <c r="H1897" s="42"/>
      <c r="AG1897" s="19">
        <v>1896</v>
      </c>
      <c r="AH1897" s="20">
        <v>3081.0607173750864</v>
      </c>
    </row>
    <row r="1898" spans="1:34" ht="14.5" x14ac:dyDescent="0.35">
      <c r="A1898" s="34"/>
      <c r="B1898" s="35"/>
      <c r="C1898" s="36"/>
      <c r="D1898" s="37"/>
      <c r="E1898" s="36"/>
      <c r="F1898" s="42"/>
      <c r="G1898" s="42"/>
      <c r="H1898" s="42"/>
      <c r="AG1898" s="19">
        <v>1897</v>
      </c>
      <c r="AH1898" s="20">
        <v>2057.1773815145975</v>
      </c>
    </row>
    <row r="1899" spans="1:34" ht="14.5" x14ac:dyDescent="0.35">
      <c r="A1899" s="34"/>
      <c r="B1899" s="35"/>
      <c r="C1899" s="36"/>
      <c r="D1899" s="37"/>
      <c r="E1899" s="36"/>
      <c r="F1899" s="42"/>
      <c r="G1899" s="42"/>
      <c r="H1899" s="42"/>
      <c r="AG1899" s="19">
        <v>1898</v>
      </c>
      <c r="AH1899" s="20">
        <v>-279.9367390409264</v>
      </c>
    </row>
    <row r="1900" spans="1:34" ht="14.5" x14ac:dyDescent="0.35">
      <c r="A1900" s="34"/>
      <c r="B1900" s="35"/>
      <c r="C1900" s="36"/>
      <c r="D1900" s="37"/>
      <c r="E1900" s="36"/>
      <c r="F1900" s="42"/>
      <c r="G1900" s="42"/>
      <c r="H1900" s="42"/>
      <c r="AG1900" s="19">
        <v>1899</v>
      </c>
      <c r="AH1900" s="20">
        <v>-3111.6379137273943</v>
      </c>
    </row>
    <row r="1901" spans="1:34" ht="14.5" x14ac:dyDescent="0.35">
      <c r="A1901" s="34"/>
      <c r="B1901" s="35"/>
      <c r="C1901" s="36"/>
      <c r="D1901" s="37"/>
      <c r="E1901" s="36"/>
      <c r="F1901" s="42"/>
      <c r="G1901" s="42"/>
      <c r="H1901" s="42"/>
      <c r="AG1901" s="19">
        <v>1900</v>
      </c>
      <c r="AH1901" s="20">
        <v>-2474.4606270837485</v>
      </c>
    </row>
    <row r="1902" spans="1:34" ht="14.5" x14ac:dyDescent="0.35">
      <c r="A1902" s="34"/>
      <c r="B1902" s="35"/>
      <c r="C1902" s="36"/>
      <c r="D1902" s="37"/>
      <c r="E1902" s="36"/>
      <c r="F1902" s="42"/>
      <c r="G1902" s="42"/>
      <c r="H1902" s="42"/>
      <c r="AG1902" s="19">
        <v>1901</v>
      </c>
      <c r="AH1902" s="20">
        <v>-988.85664358744089</v>
      </c>
    </row>
    <row r="1903" spans="1:34" ht="14.5" x14ac:dyDescent="0.35">
      <c r="A1903" s="34"/>
      <c r="B1903" s="35"/>
      <c r="C1903" s="36"/>
      <c r="D1903" s="37"/>
      <c r="E1903" s="36"/>
      <c r="F1903" s="42"/>
      <c r="G1903" s="42"/>
      <c r="H1903" s="42"/>
      <c r="AG1903" s="19">
        <v>1902</v>
      </c>
      <c r="AH1903" s="20">
        <v>3937.763954862246</v>
      </c>
    </row>
    <row r="1904" spans="1:34" ht="14.5" x14ac:dyDescent="0.35">
      <c r="A1904" s="34"/>
      <c r="B1904" s="35"/>
      <c r="C1904" s="36"/>
      <c r="D1904" s="37"/>
      <c r="E1904" s="36"/>
      <c r="F1904" s="42"/>
      <c r="G1904" s="42"/>
      <c r="H1904" s="42"/>
      <c r="AG1904" s="19">
        <v>1903</v>
      </c>
      <c r="AH1904" s="20">
        <v>-2852.8476078856947</v>
      </c>
    </row>
    <row r="1905" spans="1:34" ht="14.5" x14ac:dyDescent="0.35">
      <c r="A1905" s="34"/>
      <c r="B1905" s="35"/>
      <c r="C1905" s="36"/>
      <c r="D1905" s="37"/>
      <c r="E1905" s="36"/>
      <c r="F1905" s="42"/>
      <c r="G1905" s="42"/>
      <c r="H1905" s="42"/>
      <c r="AG1905" s="19">
        <v>1904</v>
      </c>
      <c r="AH1905" s="20">
        <v>1129.3639399858989</v>
      </c>
    </row>
    <row r="1906" spans="1:34" ht="14.5" x14ac:dyDescent="0.35">
      <c r="A1906" s="34"/>
      <c r="B1906" s="35"/>
      <c r="C1906" s="36"/>
      <c r="D1906" s="37"/>
      <c r="E1906" s="36"/>
      <c r="F1906" s="42"/>
      <c r="G1906" s="42"/>
      <c r="H1906" s="42"/>
      <c r="AG1906" s="19">
        <v>1905</v>
      </c>
      <c r="AH1906" s="20">
        <v>4525.5405646880772</v>
      </c>
    </row>
    <row r="1907" spans="1:34" ht="14.5" x14ac:dyDescent="0.35">
      <c r="A1907" s="34"/>
      <c r="B1907" s="35"/>
      <c r="C1907" s="36"/>
      <c r="D1907" s="37"/>
      <c r="E1907" s="36"/>
      <c r="F1907" s="42"/>
      <c r="G1907" s="42"/>
      <c r="H1907" s="42"/>
      <c r="AG1907" s="19">
        <v>1906</v>
      </c>
      <c r="AH1907" s="20">
        <v>-618.79437349700447</v>
      </c>
    </row>
    <row r="1908" spans="1:34" ht="14.5" x14ac:dyDescent="0.35">
      <c r="A1908" s="34"/>
      <c r="B1908" s="35"/>
      <c r="C1908" s="36"/>
      <c r="D1908" s="37"/>
      <c r="E1908" s="36"/>
      <c r="F1908" s="42"/>
      <c r="G1908" s="42"/>
      <c r="H1908" s="42"/>
      <c r="AG1908" s="19">
        <v>1907</v>
      </c>
      <c r="AH1908" s="20">
        <v>1728.2073120421289</v>
      </c>
    </row>
    <row r="1909" spans="1:34" ht="14.5" x14ac:dyDescent="0.35">
      <c r="A1909" s="34"/>
      <c r="B1909" s="35"/>
      <c r="C1909" s="36"/>
      <c r="D1909" s="37"/>
      <c r="E1909" s="36"/>
      <c r="F1909" s="42"/>
      <c r="G1909" s="42"/>
      <c r="H1909" s="42"/>
      <c r="AG1909" s="19">
        <v>1908</v>
      </c>
      <c r="AH1909" s="20">
        <v>729.82594011898414</v>
      </c>
    </row>
    <row r="1910" spans="1:34" ht="14.5" x14ac:dyDescent="0.35">
      <c r="A1910" s="34"/>
      <c r="B1910" s="35"/>
      <c r="C1910" s="36"/>
      <c r="D1910" s="37"/>
      <c r="E1910" s="36"/>
      <c r="F1910" s="42"/>
      <c r="G1910" s="42"/>
      <c r="H1910" s="42"/>
      <c r="AG1910" s="19">
        <v>1909</v>
      </c>
      <c r="AH1910" s="20">
        <v>1792.7918089693387</v>
      </c>
    </row>
    <row r="1911" spans="1:34" ht="14.5" x14ac:dyDescent="0.35">
      <c r="A1911" s="34"/>
      <c r="B1911" s="35"/>
      <c r="C1911" s="36"/>
      <c r="D1911" s="37"/>
      <c r="E1911" s="36"/>
      <c r="F1911" s="42"/>
      <c r="G1911" s="42"/>
      <c r="H1911" s="42"/>
      <c r="AG1911" s="19">
        <v>1910</v>
      </c>
      <c r="AH1911" s="20">
        <v>-1872.1057485488384</v>
      </c>
    </row>
    <row r="1912" spans="1:34" ht="14.5" x14ac:dyDescent="0.35">
      <c r="A1912" s="34"/>
      <c r="B1912" s="35"/>
      <c r="C1912" s="36"/>
      <c r="D1912" s="37"/>
      <c r="E1912" s="36"/>
      <c r="F1912" s="42"/>
      <c r="G1912" s="42"/>
      <c r="H1912" s="42"/>
      <c r="AG1912" s="19">
        <v>1911</v>
      </c>
      <c r="AH1912" s="20">
        <v>-1228.5468581852192</v>
      </c>
    </row>
    <row r="1913" spans="1:34" ht="14.5" x14ac:dyDescent="0.35">
      <c r="A1913" s="34"/>
      <c r="B1913" s="35"/>
      <c r="C1913" s="36"/>
      <c r="D1913" s="37"/>
      <c r="E1913" s="36"/>
      <c r="F1913" s="42"/>
      <c r="G1913" s="42"/>
      <c r="H1913" s="42"/>
      <c r="AG1913" s="19">
        <v>1912</v>
      </c>
      <c r="AH1913" s="20">
        <v>-1233.7066786572009</v>
      </c>
    </row>
    <row r="1914" spans="1:34" ht="14.5" x14ac:dyDescent="0.35">
      <c r="A1914" s="34"/>
      <c r="B1914" s="35"/>
      <c r="C1914" s="36"/>
      <c r="D1914" s="37"/>
      <c r="E1914" s="36"/>
      <c r="F1914" s="42"/>
      <c r="G1914" s="42"/>
      <c r="H1914" s="42"/>
      <c r="AG1914" s="19">
        <v>1913</v>
      </c>
      <c r="AH1914" s="20">
        <v>1706.2967499311735</v>
      </c>
    </row>
    <row r="1915" spans="1:34" ht="14.5" x14ac:dyDescent="0.35">
      <c r="A1915" s="34"/>
      <c r="B1915" s="35"/>
      <c r="C1915" s="36"/>
      <c r="D1915" s="37"/>
      <c r="E1915" s="36"/>
      <c r="F1915" s="42"/>
      <c r="G1915" s="42"/>
      <c r="H1915" s="42"/>
      <c r="AG1915" s="19">
        <v>1914</v>
      </c>
      <c r="AH1915" s="20">
        <v>3003.8492033213493</v>
      </c>
    </row>
    <row r="1916" spans="1:34" ht="14.5" x14ac:dyDescent="0.35">
      <c r="A1916" s="34"/>
      <c r="B1916" s="35"/>
      <c r="C1916" s="36"/>
      <c r="D1916" s="37"/>
      <c r="E1916" s="36"/>
      <c r="F1916" s="42"/>
      <c r="G1916" s="42"/>
      <c r="H1916" s="42"/>
      <c r="AG1916" s="19">
        <v>1915</v>
      </c>
      <c r="AH1916" s="20">
        <v>-2840.145788161195</v>
      </c>
    </row>
    <row r="1917" spans="1:34" ht="14.5" x14ac:dyDescent="0.35">
      <c r="A1917" s="34"/>
      <c r="B1917" s="35"/>
      <c r="C1917" s="36"/>
      <c r="D1917" s="37"/>
      <c r="E1917" s="36"/>
      <c r="F1917" s="42"/>
      <c r="G1917" s="42"/>
      <c r="H1917" s="42"/>
      <c r="AG1917" s="19">
        <v>1916</v>
      </c>
      <c r="AH1917" s="20">
        <v>3179.7615942155121</v>
      </c>
    </row>
    <row r="1918" spans="1:34" ht="14.5" x14ac:dyDescent="0.35">
      <c r="A1918" s="34"/>
      <c r="B1918" s="35"/>
      <c r="C1918" s="36"/>
      <c r="D1918" s="37"/>
      <c r="E1918" s="36"/>
      <c r="F1918" s="42"/>
      <c r="G1918" s="42"/>
      <c r="H1918" s="42"/>
      <c r="AG1918" s="19">
        <v>1917</v>
      </c>
      <c r="AH1918" s="20">
        <v>2781.4554661310881</v>
      </c>
    </row>
    <row r="1919" spans="1:34" ht="14.5" x14ac:dyDescent="0.35">
      <c r="A1919" s="34"/>
      <c r="B1919" s="35"/>
      <c r="C1919" s="36"/>
      <c r="D1919" s="37"/>
      <c r="E1919" s="36"/>
      <c r="F1919" s="42"/>
      <c r="G1919" s="42"/>
      <c r="H1919" s="42"/>
      <c r="AG1919" s="19">
        <v>1918</v>
      </c>
      <c r="AH1919" s="20">
        <v>-506.1721293493635</v>
      </c>
    </row>
    <row r="1920" spans="1:34" ht="14.5" x14ac:dyDescent="0.35">
      <c r="A1920" s="34"/>
      <c r="B1920" s="35"/>
      <c r="C1920" s="36"/>
      <c r="D1920" s="37"/>
      <c r="E1920" s="36"/>
      <c r="F1920" s="42"/>
      <c r="G1920" s="42"/>
      <c r="H1920" s="42"/>
      <c r="AG1920" s="19">
        <v>1919</v>
      </c>
      <c r="AH1920" s="20">
        <v>-1221.1035261750576</v>
      </c>
    </row>
    <row r="1921" spans="1:34" ht="14.5" x14ac:dyDescent="0.35">
      <c r="A1921" s="34"/>
      <c r="B1921" s="35"/>
      <c r="C1921" s="36"/>
      <c r="D1921" s="37"/>
      <c r="E1921" s="36"/>
      <c r="F1921" s="42"/>
      <c r="G1921" s="42"/>
      <c r="H1921" s="42"/>
      <c r="AG1921" s="19">
        <v>1920</v>
      </c>
      <c r="AH1921" s="20">
        <v>500.65134430185208</v>
      </c>
    </row>
    <row r="1922" spans="1:34" ht="14.5" x14ac:dyDescent="0.35">
      <c r="A1922" s="34"/>
      <c r="B1922" s="35"/>
      <c r="C1922" s="36"/>
      <c r="D1922" s="37"/>
      <c r="E1922" s="36"/>
      <c r="F1922" s="42"/>
      <c r="G1922" s="42"/>
      <c r="H1922" s="42"/>
      <c r="AG1922" s="19">
        <v>1921</v>
      </c>
      <c r="AH1922" s="20">
        <v>1542.0776148198713</v>
      </c>
    </row>
    <row r="1923" spans="1:34" ht="14.5" x14ac:dyDescent="0.35">
      <c r="A1923" s="34"/>
      <c r="B1923" s="35"/>
      <c r="C1923" s="36"/>
      <c r="D1923" s="37"/>
      <c r="E1923" s="36"/>
      <c r="F1923" s="42"/>
      <c r="G1923" s="42"/>
      <c r="H1923" s="42"/>
      <c r="AG1923" s="19">
        <v>1922</v>
      </c>
      <c r="AH1923" s="20">
        <v>-185.2353971572939</v>
      </c>
    </row>
    <row r="1924" spans="1:34" ht="14.5" x14ac:dyDescent="0.35">
      <c r="A1924" s="34"/>
      <c r="B1924" s="35"/>
      <c r="C1924" s="36"/>
      <c r="D1924" s="37"/>
      <c r="E1924" s="36"/>
      <c r="F1924" s="42"/>
      <c r="G1924" s="42"/>
      <c r="H1924" s="42"/>
      <c r="AG1924" s="19">
        <v>1923</v>
      </c>
      <c r="AH1924" s="20">
        <v>1120.4158823127925</v>
      </c>
    </row>
    <row r="1925" spans="1:34" ht="14.5" x14ac:dyDescent="0.35">
      <c r="A1925" s="34"/>
      <c r="B1925" s="35"/>
      <c r="C1925" s="36"/>
      <c r="D1925" s="37"/>
      <c r="E1925" s="36"/>
      <c r="F1925" s="42"/>
      <c r="G1925" s="42"/>
      <c r="H1925" s="42"/>
      <c r="AG1925" s="19">
        <v>1924</v>
      </c>
      <c r="AH1925" s="20">
        <v>993.42483467514512</v>
      </c>
    </row>
    <row r="1926" spans="1:34" ht="14.5" x14ac:dyDescent="0.35">
      <c r="A1926" s="34"/>
      <c r="B1926" s="35"/>
      <c r="C1926" s="36"/>
      <c r="D1926" s="37"/>
      <c r="E1926" s="36"/>
      <c r="F1926" s="42"/>
      <c r="G1926" s="42"/>
      <c r="H1926" s="42"/>
      <c r="AG1926" s="19">
        <v>1925</v>
      </c>
      <c r="AH1926" s="20">
        <v>-259.8129453830706</v>
      </c>
    </row>
    <row r="1927" spans="1:34" ht="14.5" x14ac:dyDescent="0.35">
      <c r="A1927" s="34"/>
      <c r="B1927" s="35"/>
      <c r="C1927" s="36"/>
      <c r="D1927" s="37"/>
      <c r="E1927" s="36"/>
      <c r="F1927" s="42"/>
      <c r="G1927" s="42"/>
      <c r="H1927" s="42"/>
      <c r="AG1927" s="19">
        <v>1926</v>
      </c>
      <c r="AH1927" s="20">
        <v>851.87077834818501</v>
      </c>
    </row>
    <row r="1928" spans="1:34" ht="14.5" x14ac:dyDescent="0.35">
      <c r="A1928" s="34"/>
      <c r="B1928" s="35"/>
      <c r="C1928" s="36"/>
      <c r="D1928" s="37"/>
      <c r="E1928" s="36"/>
      <c r="F1928" s="42"/>
      <c r="G1928" s="42"/>
      <c r="H1928" s="42"/>
      <c r="AG1928" s="19">
        <v>1927</v>
      </c>
      <c r="AH1928" s="20">
        <v>-293.232400505925</v>
      </c>
    </row>
    <row r="1929" spans="1:34" ht="14.5" x14ac:dyDescent="0.35">
      <c r="A1929" s="34"/>
      <c r="B1929" s="35"/>
      <c r="C1929" s="36"/>
      <c r="D1929" s="37"/>
      <c r="E1929" s="36"/>
      <c r="F1929" s="42"/>
      <c r="G1929" s="42"/>
      <c r="H1929" s="42"/>
      <c r="AG1929" s="19">
        <v>1928</v>
      </c>
      <c r="AH1929" s="20">
        <v>1215.6358150852227</v>
      </c>
    </row>
    <row r="1930" spans="1:34" ht="14.5" x14ac:dyDescent="0.35">
      <c r="A1930" s="34"/>
      <c r="B1930" s="35"/>
      <c r="C1930" s="36"/>
      <c r="D1930" s="37"/>
      <c r="E1930" s="36"/>
      <c r="F1930" s="42"/>
      <c r="G1930" s="42"/>
      <c r="H1930" s="42"/>
      <c r="AG1930" s="19">
        <v>1929</v>
      </c>
      <c r="AH1930" s="20">
        <v>625.8694423369966</v>
      </c>
    </row>
    <row r="1931" spans="1:34" ht="14.5" x14ac:dyDescent="0.35">
      <c r="A1931" s="34"/>
      <c r="B1931" s="35"/>
      <c r="C1931" s="36"/>
      <c r="D1931" s="37"/>
      <c r="E1931" s="36"/>
      <c r="F1931" s="42"/>
      <c r="G1931" s="42"/>
      <c r="H1931" s="42"/>
      <c r="AG1931" s="19">
        <v>1930</v>
      </c>
      <c r="AH1931" s="20">
        <v>-114.15915967417516</v>
      </c>
    </row>
    <row r="1932" spans="1:34" ht="14.5" x14ac:dyDescent="0.35">
      <c r="A1932" s="34"/>
      <c r="B1932" s="35"/>
      <c r="C1932" s="36"/>
      <c r="D1932" s="37"/>
      <c r="E1932" s="36"/>
      <c r="F1932" s="42"/>
      <c r="G1932" s="42"/>
      <c r="H1932" s="42"/>
      <c r="AG1932" s="19">
        <v>1931</v>
      </c>
      <c r="AH1932" s="20">
        <v>2651.0668850785837</v>
      </c>
    </row>
    <row r="1933" spans="1:34" ht="14.5" x14ac:dyDescent="0.35">
      <c r="A1933" s="34"/>
      <c r="B1933" s="35"/>
      <c r="C1933" s="36"/>
      <c r="D1933" s="37"/>
      <c r="E1933" s="36"/>
      <c r="F1933" s="42"/>
      <c r="G1933" s="42"/>
      <c r="H1933" s="42"/>
      <c r="AG1933" s="19">
        <v>1932</v>
      </c>
      <c r="AH1933" s="20">
        <v>276.52523779146333</v>
      </c>
    </row>
    <row r="1934" spans="1:34" ht="14.5" x14ac:dyDescent="0.35">
      <c r="A1934" s="34"/>
      <c r="B1934" s="35"/>
      <c r="C1934" s="36"/>
      <c r="D1934" s="37"/>
      <c r="E1934" s="36"/>
      <c r="F1934" s="42"/>
      <c r="G1934" s="42"/>
      <c r="H1934" s="42"/>
      <c r="AG1934" s="19">
        <v>1933</v>
      </c>
      <c r="AH1934" s="20">
        <v>-431.37103012758729</v>
      </c>
    </row>
    <row r="1935" spans="1:34" ht="14.5" x14ac:dyDescent="0.35">
      <c r="A1935" s="34"/>
      <c r="B1935" s="35"/>
      <c r="C1935" s="36"/>
      <c r="D1935" s="37"/>
      <c r="E1935" s="36"/>
      <c r="F1935" s="42"/>
      <c r="G1935" s="42"/>
      <c r="H1935" s="42"/>
      <c r="AG1935" s="19">
        <v>1934</v>
      </c>
      <c r="AH1935" s="20">
        <v>993.02864411645101</v>
      </c>
    </row>
    <row r="1936" spans="1:34" ht="14.5" x14ac:dyDescent="0.35">
      <c r="A1936" s="34"/>
      <c r="B1936" s="35"/>
      <c r="C1936" s="36"/>
      <c r="D1936" s="37"/>
      <c r="E1936" s="36"/>
      <c r="F1936" s="42"/>
      <c r="G1936" s="42"/>
      <c r="H1936" s="42"/>
      <c r="AG1936" s="19">
        <v>1935</v>
      </c>
      <c r="AH1936" s="20">
        <v>-674.44288036465923</v>
      </c>
    </row>
    <row r="1937" spans="1:34" ht="14.5" x14ac:dyDescent="0.35">
      <c r="A1937" s="34"/>
      <c r="B1937" s="35"/>
      <c r="C1937" s="36"/>
      <c r="D1937" s="37"/>
      <c r="E1937" s="36"/>
      <c r="F1937" s="42"/>
      <c r="G1937" s="42"/>
      <c r="H1937" s="42"/>
      <c r="AG1937" s="19">
        <v>1936</v>
      </c>
      <c r="AH1937" s="20">
        <v>-184.11827104329501</v>
      </c>
    </row>
    <row r="1938" spans="1:34" ht="14.5" x14ac:dyDescent="0.35">
      <c r="A1938" s="34"/>
      <c r="B1938" s="35"/>
      <c r="C1938" s="36"/>
      <c r="D1938" s="37"/>
      <c r="E1938" s="36"/>
      <c r="F1938" s="42"/>
      <c r="G1938" s="42"/>
      <c r="H1938" s="42"/>
      <c r="AG1938" s="19">
        <v>1937</v>
      </c>
      <c r="AH1938" s="20">
        <v>4698.1145622272188</v>
      </c>
    </row>
    <row r="1939" spans="1:34" ht="14.5" x14ac:dyDescent="0.35">
      <c r="A1939" s="34"/>
      <c r="B1939" s="35"/>
      <c r="C1939" s="36"/>
      <c r="D1939" s="37"/>
      <c r="E1939" s="36"/>
      <c r="F1939" s="42"/>
      <c r="G1939" s="42"/>
      <c r="H1939" s="42"/>
      <c r="AG1939" s="19">
        <v>1938</v>
      </c>
      <c r="AH1939" s="20">
        <v>1671.5152709683496</v>
      </c>
    </row>
    <row r="1940" spans="1:34" ht="14.5" x14ac:dyDescent="0.35">
      <c r="A1940" s="34"/>
      <c r="B1940" s="35"/>
      <c r="C1940" s="36"/>
      <c r="D1940" s="37"/>
      <c r="E1940" s="36"/>
      <c r="F1940" s="42"/>
      <c r="G1940" s="42"/>
      <c r="H1940" s="42"/>
      <c r="AG1940" s="19">
        <v>1939</v>
      </c>
      <c r="AH1940" s="20">
        <v>455.1727833916284</v>
      </c>
    </row>
    <row r="1941" spans="1:34" ht="14.5" x14ac:dyDescent="0.35">
      <c r="A1941" s="34"/>
      <c r="B1941" s="35"/>
      <c r="C1941" s="36"/>
      <c r="D1941" s="37"/>
      <c r="E1941" s="36"/>
      <c r="F1941" s="42"/>
      <c r="G1941" s="42"/>
      <c r="H1941" s="42"/>
      <c r="AG1941" s="19">
        <v>1940</v>
      </c>
      <c r="AH1941" s="20">
        <v>3859.1598385855141</v>
      </c>
    </row>
    <row r="1942" spans="1:34" ht="14.5" x14ac:dyDescent="0.35">
      <c r="A1942" s="34"/>
      <c r="B1942" s="35"/>
      <c r="C1942" s="36"/>
      <c r="D1942" s="37"/>
      <c r="E1942" s="36"/>
      <c r="F1942" s="42"/>
      <c r="G1942" s="42"/>
      <c r="H1942" s="42"/>
      <c r="AG1942" s="19">
        <v>1941</v>
      </c>
      <c r="AH1942" s="20">
        <v>1959.784395906491</v>
      </c>
    </row>
    <row r="1943" spans="1:34" ht="14.5" x14ac:dyDescent="0.35">
      <c r="A1943" s="34"/>
      <c r="B1943" s="35"/>
      <c r="C1943" s="36"/>
      <c r="D1943" s="37"/>
      <c r="E1943" s="36"/>
      <c r="F1943" s="42"/>
      <c r="G1943" s="42"/>
      <c r="H1943" s="42"/>
      <c r="AG1943" s="19">
        <v>1942</v>
      </c>
      <c r="AH1943" s="20">
        <v>1957.4688205082775</v>
      </c>
    </row>
    <row r="1944" spans="1:34" ht="14.5" x14ac:dyDescent="0.35">
      <c r="A1944" s="34"/>
      <c r="B1944" s="35"/>
      <c r="C1944" s="36"/>
      <c r="D1944" s="37"/>
      <c r="E1944" s="36"/>
      <c r="F1944" s="42"/>
      <c r="G1944" s="42"/>
      <c r="H1944" s="42"/>
      <c r="AG1944" s="19">
        <v>1943</v>
      </c>
      <c r="AH1944" s="20">
        <v>2635.575091057528</v>
      </c>
    </row>
    <row r="1945" spans="1:34" ht="14.5" x14ac:dyDescent="0.35">
      <c r="A1945" s="34"/>
      <c r="B1945" s="35"/>
      <c r="C1945" s="36"/>
      <c r="D1945" s="37"/>
      <c r="E1945" s="36"/>
      <c r="F1945" s="42"/>
      <c r="G1945" s="42"/>
      <c r="H1945" s="42"/>
      <c r="AG1945" s="19">
        <v>1944</v>
      </c>
      <c r="AH1945" s="20">
        <v>-532.65966515690252</v>
      </c>
    </row>
    <row r="1946" spans="1:34" ht="14.5" x14ac:dyDescent="0.35">
      <c r="A1946" s="34"/>
      <c r="B1946" s="35"/>
      <c r="C1946" s="36"/>
      <c r="D1946" s="37"/>
      <c r="E1946" s="36"/>
      <c r="F1946" s="42"/>
      <c r="G1946" s="42"/>
      <c r="H1946" s="42"/>
      <c r="AG1946" s="19">
        <v>1945</v>
      </c>
      <c r="AH1946" s="20">
        <v>-614.92891357464941</v>
      </c>
    </row>
    <row r="1947" spans="1:34" ht="14.5" x14ac:dyDescent="0.35">
      <c r="A1947" s="34"/>
      <c r="B1947" s="35"/>
      <c r="C1947" s="36"/>
      <c r="D1947" s="37"/>
      <c r="E1947" s="36"/>
      <c r="F1947" s="42"/>
      <c r="G1947" s="42"/>
      <c r="H1947" s="42"/>
      <c r="AG1947" s="19">
        <v>1946</v>
      </c>
      <c r="AH1947" s="20">
        <v>-1709.5745596059862</v>
      </c>
    </row>
    <row r="1948" spans="1:34" ht="14.5" x14ac:dyDescent="0.35">
      <c r="A1948" s="34"/>
      <c r="B1948" s="35"/>
      <c r="C1948" s="36"/>
      <c r="D1948" s="37"/>
      <c r="E1948" s="36"/>
      <c r="F1948" s="42"/>
      <c r="G1948" s="42"/>
      <c r="H1948" s="42"/>
      <c r="AG1948" s="19">
        <v>1947</v>
      </c>
      <c r="AH1948" s="20">
        <v>1955.9860076888626</v>
      </c>
    </row>
    <row r="1949" spans="1:34" ht="14.5" x14ac:dyDescent="0.35">
      <c r="A1949" s="34"/>
      <c r="B1949" s="35"/>
      <c r="C1949" s="36"/>
      <c r="D1949" s="37"/>
      <c r="E1949" s="36"/>
      <c r="F1949" s="42"/>
      <c r="G1949" s="42"/>
      <c r="H1949" s="42"/>
      <c r="AG1949" s="19">
        <v>1948</v>
      </c>
      <c r="AH1949" s="20">
        <v>-813.22060914349754</v>
      </c>
    </row>
    <row r="1950" spans="1:34" ht="14.5" x14ac:dyDescent="0.35">
      <c r="A1950" s="34"/>
      <c r="B1950" s="35"/>
      <c r="C1950" s="36"/>
      <c r="D1950" s="37"/>
      <c r="E1950" s="36"/>
      <c r="F1950" s="42"/>
      <c r="G1950" s="42"/>
      <c r="H1950" s="42"/>
      <c r="AG1950" s="19">
        <v>1949</v>
      </c>
      <c r="AH1950" s="20">
        <v>2961.4207457517055</v>
      </c>
    </row>
    <row r="1951" spans="1:34" ht="14.5" x14ac:dyDescent="0.35">
      <c r="A1951" s="34"/>
      <c r="B1951" s="35"/>
      <c r="C1951" s="36"/>
      <c r="D1951" s="37"/>
      <c r="E1951" s="36"/>
      <c r="F1951" s="42"/>
      <c r="G1951" s="42"/>
      <c r="H1951" s="42"/>
      <c r="AG1951" s="19">
        <v>1950</v>
      </c>
      <c r="AH1951" s="20">
        <v>-1239.6985842532595</v>
      </c>
    </row>
    <row r="1952" spans="1:34" ht="14.5" x14ac:dyDescent="0.35">
      <c r="A1952" s="34"/>
      <c r="B1952" s="35"/>
      <c r="C1952" s="36"/>
      <c r="D1952" s="37"/>
      <c r="E1952" s="36"/>
      <c r="F1952" s="42"/>
      <c r="G1952" s="42"/>
      <c r="H1952" s="42"/>
      <c r="AG1952" s="19">
        <v>1951</v>
      </c>
      <c r="AH1952" s="20">
        <v>667.93914280491674</v>
      </c>
    </row>
    <row r="1953" spans="1:34" ht="14.5" x14ac:dyDescent="0.35">
      <c r="A1953" s="34"/>
      <c r="B1953" s="35"/>
      <c r="C1953" s="36"/>
      <c r="D1953" s="37"/>
      <c r="E1953" s="36"/>
      <c r="F1953" s="42"/>
      <c r="G1953" s="42"/>
      <c r="H1953" s="42"/>
      <c r="AG1953" s="19">
        <v>1952</v>
      </c>
      <c r="AH1953" s="20">
        <v>2004.6998985814153</v>
      </c>
    </row>
    <row r="1954" spans="1:34" ht="14.5" x14ac:dyDescent="0.35">
      <c r="A1954" s="34"/>
      <c r="B1954" s="35"/>
      <c r="C1954" s="36"/>
      <c r="D1954" s="37"/>
      <c r="E1954" s="36"/>
      <c r="F1954" s="42"/>
      <c r="G1954" s="42"/>
      <c r="H1954" s="42"/>
      <c r="AG1954" s="19">
        <v>1953</v>
      </c>
      <c r="AH1954" s="20">
        <v>4339.5828043417923</v>
      </c>
    </row>
    <row r="1955" spans="1:34" ht="14.5" x14ac:dyDescent="0.35">
      <c r="A1955" s="34"/>
      <c r="B1955" s="35"/>
      <c r="C1955" s="36"/>
      <c r="D1955" s="37"/>
      <c r="E1955" s="36"/>
      <c r="F1955" s="42"/>
      <c r="G1955" s="42"/>
      <c r="H1955" s="42"/>
      <c r="AG1955" s="19">
        <v>1954</v>
      </c>
      <c r="AH1955" s="20">
        <v>1558.8006220753466</v>
      </c>
    </row>
    <row r="1956" spans="1:34" ht="14.5" x14ac:dyDescent="0.35">
      <c r="A1956" s="34"/>
      <c r="B1956" s="35"/>
      <c r="C1956" s="36"/>
      <c r="D1956" s="37"/>
      <c r="E1956" s="36"/>
      <c r="F1956" s="42"/>
      <c r="G1956" s="42"/>
      <c r="H1956" s="42"/>
      <c r="AG1956" s="19">
        <v>1955</v>
      </c>
      <c r="AH1956" s="20">
        <v>-1303.4007804304556</v>
      </c>
    </row>
    <row r="1957" spans="1:34" ht="14.5" x14ac:dyDescent="0.35">
      <c r="A1957" s="34"/>
      <c r="B1957" s="35"/>
      <c r="C1957" s="36"/>
      <c r="D1957" s="37"/>
      <c r="E1957" s="36"/>
      <c r="F1957" s="42"/>
      <c r="G1957" s="42"/>
      <c r="H1957" s="42"/>
      <c r="AG1957" s="19">
        <v>1956</v>
      </c>
      <c r="AH1957" s="20">
        <v>2462.9177673673375</v>
      </c>
    </row>
    <row r="1958" spans="1:34" ht="14.5" x14ac:dyDescent="0.35">
      <c r="A1958" s="34"/>
      <c r="B1958" s="35"/>
      <c r="C1958" s="36"/>
      <c r="D1958" s="37"/>
      <c r="E1958" s="36"/>
      <c r="F1958" s="42"/>
      <c r="G1958" s="42"/>
      <c r="H1958" s="42"/>
      <c r="AG1958" s="19">
        <v>1957</v>
      </c>
      <c r="AH1958" s="20">
        <v>668.8324830850114</v>
      </c>
    </row>
    <row r="1959" spans="1:34" ht="14.5" x14ac:dyDescent="0.35">
      <c r="A1959" s="34"/>
      <c r="B1959" s="35"/>
      <c r="C1959" s="36"/>
      <c r="D1959" s="37"/>
      <c r="E1959" s="36"/>
      <c r="F1959" s="42"/>
      <c r="G1959" s="42"/>
      <c r="H1959" s="42"/>
      <c r="AG1959" s="19">
        <v>1958</v>
      </c>
      <c r="AH1959" s="20">
        <v>-4617.8023151294256</v>
      </c>
    </row>
    <row r="1960" spans="1:34" ht="14.5" x14ac:dyDescent="0.35">
      <c r="A1960" s="34"/>
      <c r="B1960" s="35"/>
      <c r="C1960" s="36"/>
      <c r="D1960" s="37"/>
      <c r="E1960" s="36"/>
      <c r="F1960" s="42"/>
      <c r="G1960" s="42"/>
      <c r="H1960" s="42"/>
      <c r="AG1960" s="19">
        <v>1959</v>
      </c>
      <c r="AH1960" s="20">
        <v>3424.8107842580598</v>
      </c>
    </row>
    <row r="1961" spans="1:34" ht="14.5" x14ac:dyDescent="0.35">
      <c r="A1961" s="34"/>
      <c r="B1961" s="35"/>
      <c r="C1961" s="36"/>
      <c r="D1961" s="37"/>
      <c r="E1961" s="36"/>
      <c r="F1961" s="42"/>
      <c r="G1961" s="42"/>
      <c r="H1961" s="42"/>
      <c r="AG1961" s="19">
        <v>1960</v>
      </c>
      <c r="AH1961" s="20">
        <v>-2003.9592569906351</v>
      </c>
    </row>
    <row r="1962" spans="1:34" ht="14.5" x14ac:dyDescent="0.35">
      <c r="A1962" s="34"/>
      <c r="B1962" s="35"/>
      <c r="C1962" s="36"/>
      <c r="D1962" s="37"/>
      <c r="E1962" s="36"/>
      <c r="F1962" s="42"/>
      <c r="G1962" s="42"/>
      <c r="H1962" s="42"/>
      <c r="AG1962" s="19">
        <v>1961</v>
      </c>
      <c r="AH1962" s="20">
        <v>759.62970058395172</v>
      </c>
    </row>
    <row r="1963" spans="1:34" ht="14.5" x14ac:dyDescent="0.35">
      <c r="A1963" s="34"/>
      <c r="B1963" s="35"/>
      <c r="C1963" s="36"/>
      <c r="D1963" s="37"/>
      <c r="E1963" s="36"/>
      <c r="F1963" s="42"/>
      <c r="G1963" s="42"/>
      <c r="H1963" s="42"/>
      <c r="AG1963" s="19">
        <v>1962</v>
      </c>
      <c r="AH1963" s="20">
        <v>158.95405560955876</v>
      </c>
    </row>
    <row r="1964" spans="1:34" ht="14.5" x14ac:dyDescent="0.35">
      <c r="A1964" s="34"/>
      <c r="B1964" s="35"/>
      <c r="C1964" s="36"/>
      <c r="D1964" s="37"/>
      <c r="E1964" s="36"/>
      <c r="F1964" s="42"/>
      <c r="G1964" s="42"/>
      <c r="H1964" s="42"/>
      <c r="AG1964" s="19">
        <v>1963</v>
      </c>
      <c r="AH1964" s="20">
        <v>4947.3785586229387</v>
      </c>
    </row>
    <row r="1965" spans="1:34" ht="14.5" x14ac:dyDescent="0.35">
      <c r="A1965" s="34"/>
      <c r="B1965" s="35"/>
      <c r="C1965" s="36"/>
      <c r="D1965" s="37"/>
      <c r="E1965" s="36"/>
      <c r="F1965" s="42"/>
      <c r="G1965" s="42"/>
      <c r="H1965" s="42"/>
      <c r="AG1965" s="19">
        <v>1964</v>
      </c>
      <c r="AH1965" s="20">
        <v>1408.2821350893651</v>
      </c>
    </row>
    <row r="1966" spans="1:34" ht="14.5" x14ac:dyDescent="0.35">
      <c r="A1966" s="34"/>
      <c r="B1966" s="35"/>
      <c r="C1966" s="36"/>
      <c r="D1966" s="37"/>
      <c r="E1966" s="36"/>
      <c r="F1966" s="42"/>
      <c r="G1966" s="42"/>
      <c r="H1966" s="42"/>
      <c r="AG1966" s="19">
        <v>1965</v>
      </c>
      <c r="AH1966" s="20">
        <v>1957.3164262705434</v>
      </c>
    </row>
    <row r="1967" spans="1:34" ht="14.5" x14ac:dyDescent="0.35">
      <c r="A1967" s="34"/>
      <c r="B1967" s="35"/>
      <c r="C1967" s="36"/>
      <c r="D1967" s="37"/>
      <c r="E1967" s="36"/>
      <c r="F1967" s="42"/>
      <c r="G1967" s="42"/>
      <c r="H1967" s="42"/>
      <c r="AG1967" s="19">
        <v>1966</v>
      </c>
      <c r="AH1967" s="20">
        <v>2810.2802639559195</v>
      </c>
    </row>
    <row r="1968" spans="1:34" ht="14.5" x14ac:dyDescent="0.35">
      <c r="A1968" s="34"/>
      <c r="B1968" s="35"/>
      <c r="C1968" s="36"/>
      <c r="D1968" s="37"/>
      <c r="E1968" s="36"/>
      <c r="F1968" s="42"/>
      <c r="G1968" s="42"/>
      <c r="H1968" s="42"/>
      <c r="AG1968" s="19">
        <v>1967</v>
      </c>
      <c r="AH1968" s="20">
        <v>1414.8536464589479</v>
      </c>
    </row>
    <row r="1969" spans="1:34" ht="14.5" x14ac:dyDescent="0.35">
      <c r="A1969" s="34"/>
      <c r="B1969" s="35"/>
      <c r="C1969" s="36"/>
      <c r="D1969" s="37"/>
      <c r="E1969" s="36"/>
      <c r="F1969" s="42"/>
      <c r="G1969" s="42"/>
      <c r="H1969" s="42"/>
      <c r="AG1969" s="19">
        <v>1968</v>
      </c>
      <c r="AH1969" s="20">
        <v>-1675.6212679585381</v>
      </c>
    </row>
    <row r="1970" spans="1:34" ht="14.5" x14ac:dyDescent="0.35">
      <c r="A1970" s="34"/>
      <c r="B1970" s="35"/>
      <c r="C1970" s="36"/>
      <c r="D1970" s="37"/>
      <c r="E1970" s="36"/>
      <c r="F1970" s="42"/>
      <c r="G1970" s="42"/>
      <c r="H1970" s="42"/>
      <c r="AG1970" s="19">
        <v>1969</v>
      </c>
      <c r="AH1970" s="20">
        <v>2147.8655271563407</v>
      </c>
    </row>
    <row r="1971" spans="1:34" ht="14.5" x14ac:dyDescent="0.35">
      <c r="A1971" s="34"/>
      <c r="B1971" s="35"/>
      <c r="C1971" s="36"/>
      <c r="D1971" s="37"/>
      <c r="E1971" s="36"/>
      <c r="F1971" s="42"/>
      <c r="G1971" s="42"/>
      <c r="H1971" s="42"/>
      <c r="AG1971" s="19">
        <v>1970</v>
      </c>
      <c r="AH1971" s="20">
        <v>-3539.773860932773</v>
      </c>
    </row>
    <row r="1972" spans="1:34" ht="14.5" x14ac:dyDescent="0.35">
      <c r="A1972" s="34"/>
      <c r="B1972" s="35"/>
      <c r="C1972" s="36"/>
      <c r="D1972" s="37"/>
      <c r="E1972" s="36"/>
      <c r="F1972" s="42"/>
      <c r="G1972" s="42"/>
      <c r="H1972" s="42"/>
      <c r="AG1972" s="19">
        <v>1971</v>
      </c>
      <c r="AH1972" s="20">
        <v>842.09088355276322</v>
      </c>
    </row>
    <row r="1973" spans="1:34" ht="14.5" x14ac:dyDescent="0.35">
      <c r="A1973" s="34"/>
      <c r="B1973" s="35"/>
      <c r="C1973" s="36"/>
      <c r="D1973" s="37"/>
      <c r="E1973" s="36"/>
      <c r="F1973" s="42"/>
      <c r="G1973" s="42"/>
      <c r="H1973" s="42"/>
      <c r="AG1973" s="19">
        <v>1972</v>
      </c>
      <c r="AH1973" s="20">
        <v>-1470.4526262966035</v>
      </c>
    </row>
    <row r="1974" spans="1:34" ht="14.5" x14ac:dyDescent="0.35">
      <c r="A1974" s="34"/>
      <c r="B1974" s="35"/>
      <c r="C1974" s="36"/>
      <c r="D1974" s="37"/>
      <c r="E1974" s="36"/>
      <c r="F1974" s="42"/>
      <c r="G1974" s="42"/>
      <c r="H1974" s="42"/>
      <c r="AG1974" s="19">
        <v>1973</v>
      </c>
      <c r="AH1974" s="20">
        <v>-342.30669263731255</v>
      </c>
    </row>
    <row r="1975" spans="1:34" ht="14.5" x14ac:dyDescent="0.35">
      <c r="A1975" s="34"/>
      <c r="B1975" s="35"/>
      <c r="C1975" s="36"/>
      <c r="D1975" s="37"/>
      <c r="E1975" s="36"/>
      <c r="F1975" s="42"/>
      <c r="G1975" s="42"/>
      <c r="H1975" s="42"/>
      <c r="AG1975" s="19">
        <v>1974</v>
      </c>
      <c r="AH1975" s="20">
        <v>2445.530435425117</v>
      </c>
    </row>
    <row r="1976" spans="1:34" ht="14.5" x14ac:dyDescent="0.35">
      <c r="A1976" s="34"/>
      <c r="B1976" s="35"/>
      <c r="C1976" s="36"/>
      <c r="D1976" s="37"/>
      <c r="E1976" s="36"/>
      <c r="F1976" s="42"/>
      <c r="G1976" s="42"/>
      <c r="H1976" s="42"/>
      <c r="AG1976" s="19">
        <v>1975</v>
      </c>
      <c r="AH1976" s="20">
        <v>-60.242940113721545</v>
      </c>
    </row>
    <row r="1977" spans="1:34" ht="14.5" x14ac:dyDescent="0.35">
      <c r="A1977" s="34"/>
      <c r="B1977" s="35"/>
      <c r="C1977" s="36"/>
      <c r="D1977" s="37"/>
      <c r="E1977" s="36"/>
      <c r="F1977" s="42"/>
      <c r="G1977" s="42"/>
      <c r="H1977" s="42"/>
      <c r="AG1977" s="19">
        <v>1976</v>
      </c>
      <c r="AH1977" s="20">
        <v>2495.9484767138188</v>
      </c>
    </row>
    <row r="1978" spans="1:34" ht="14.5" x14ac:dyDescent="0.35">
      <c r="A1978" s="34"/>
      <c r="B1978" s="35"/>
      <c r="C1978" s="36"/>
      <c r="D1978" s="37"/>
      <c r="E1978" s="36"/>
      <c r="F1978" s="42"/>
      <c r="G1978" s="42"/>
      <c r="H1978" s="42"/>
      <c r="AG1978" s="19">
        <v>1977</v>
      </c>
      <c r="AH1978" s="20">
        <v>711.83878883186185</v>
      </c>
    </row>
    <row r="1979" spans="1:34" ht="14.5" x14ac:dyDescent="0.35">
      <c r="A1979" s="34"/>
      <c r="B1979" s="35"/>
      <c r="C1979" s="36"/>
      <c r="D1979" s="37"/>
      <c r="E1979" s="36"/>
      <c r="F1979" s="42"/>
      <c r="G1979" s="42"/>
      <c r="H1979" s="42"/>
      <c r="AG1979" s="19">
        <v>1978</v>
      </c>
      <c r="AH1979" s="20">
        <v>-1532.6115855997143</v>
      </c>
    </row>
    <row r="1980" spans="1:34" ht="14.5" x14ac:dyDescent="0.35">
      <c r="A1980" s="34"/>
      <c r="B1980" s="35"/>
      <c r="C1980" s="36"/>
      <c r="D1980" s="37"/>
      <c r="E1980" s="36"/>
      <c r="F1980" s="42"/>
      <c r="G1980" s="42"/>
      <c r="H1980" s="42"/>
      <c r="AG1980" s="19">
        <v>1979</v>
      </c>
      <c r="AH1980" s="20">
        <v>1517.6080562070786</v>
      </c>
    </row>
    <row r="1981" spans="1:34" ht="14.5" x14ac:dyDescent="0.35">
      <c r="A1981" s="34"/>
      <c r="B1981" s="35"/>
      <c r="C1981" s="36"/>
      <c r="D1981" s="37"/>
      <c r="E1981" s="36"/>
      <c r="F1981" s="42"/>
      <c r="G1981" s="42"/>
      <c r="H1981" s="42"/>
      <c r="AG1981" s="19">
        <v>1980</v>
      </c>
      <c r="AH1981" s="20">
        <v>-2552.1398298154936</v>
      </c>
    </row>
    <row r="1982" spans="1:34" ht="14.5" x14ac:dyDescent="0.35">
      <c r="A1982" s="34"/>
      <c r="B1982" s="35"/>
      <c r="C1982" s="36"/>
      <c r="D1982" s="37"/>
      <c r="E1982" s="36"/>
      <c r="F1982" s="42"/>
      <c r="G1982" s="42"/>
      <c r="H1982" s="42"/>
      <c r="AG1982" s="19">
        <v>1981</v>
      </c>
      <c r="AH1982" s="20">
        <v>-992.79622687561164</v>
      </c>
    </row>
    <row r="1983" spans="1:34" ht="14.5" x14ac:dyDescent="0.35">
      <c r="A1983" s="34"/>
      <c r="B1983" s="35"/>
      <c r="C1983" s="36"/>
      <c r="D1983" s="37"/>
      <c r="E1983" s="36"/>
      <c r="F1983" s="42"/>
      <c r="G1983" s="42"/>
      <c r="H1983" s="42"/>
      <c r="AG1983" s="19">
        <v>1982</v>
      </c>
      <c r="AH1983" s="20">
        <v>693.38131292094567</v>
      </c>
    </row>
    <row r="1984" spans="1:34" ht="14.5" x14ac:dyDescent="0.35">
      <c r="A1984" s="34"/>
      <c r="B1984" s="35"/>
      <c r="C1984" s="36"/>
      <c r="D1984" s="37"/>
      <c r="E1984" s="36"/>
      <c r="F1984" s="42"/>
      <c r="G1984" s="42"/>
      <c r="H1984" s="42"/>
      <c r="AG1984" s="19">
        <v>1983</v>
      </c>
      <c r="AH1984" s="20">
        <v>505.40277454093501</v>
      </c>
    </row>
    <row r="1985" spans="1:34" ht="14.5" x14ac:dyDescent="0.35">
      <c r="A1985" s="34"/>
      <c r="B1985" s="35"/>
      <c r="C1985" s="36"/>
      <c r="D1985" s="37"/>
      <c r="E1985" s="36"/>
      <c r="F1985" s="42"/>
      <c r="G1985" s="42"/>
      <c r="H1985" s="42"/>
      <c r="AG1985" s="19">
        <v>1984</v>
      </c>
      <c r="AH1985" s="20">
        <v>-1085.7022018104697</v>
      </c>
    </row>
    <row r="1986" spans="1:34" ht="14.5" x14ac:dyDescent="0.35">
      <c r="A1986" s="34"/>
      <c r="B1986" s="35"/>
      <c r="C1986" s="36"/>
      <c r="D1986" s="37"/>
      <c r="E1986" s="36"/>
      <c r="F1986" s="42"/>
      <c r="G1986" s="42"/>
      <c r="H1986" s="42"/>
      <c r="AG1986" s="19">
        <v>1985</v>
      </c>
      <c r="AH1986" s="20">
        <v>-2779.2934680423018</v>
      </c>
    </row>
    <row r="1987" spans="1:34" ht="14.5" x14ac:dyDescent="0.35">
      <c r="A1987" s="34"/>
      <c r="B1987" s="35"/>
      <c r="C1987" s="36"/>
      <c r="D1987" s="37"/>
      <c r="E1987" s="36"/>
      <c r="F1987" s="42"/>
      <c r="G1987" s="42"/>
      <c r="H1987" s="42"/>
      <c r="AG1987" s="19">
        <v>1986</v>
      </c>
      <c r="AH1987" s="20">
        <v>2901.6216685273621</v>
      </c>
    </row>
    <row r="1988" spans="1:34" ht="14.5" x14ac:dyDescent="0.35">
      <c r="A1988" s="34"/>
      <c r="B1988" s="35"/>
      <c r="C1988" s="36"/>
      <c r="D1988" s="37"/>
      <c r="E1988" s="36"/>
      <c r="F1988" s="42"/>
      <c r="G1988" s="42"/>
      <c r="H1988" s="42"/>
      <c r="AG1988" s="19">
        <v>1987</v>
      </c>
      <c r="AH1988" s="20">
        <v>-1364.7496879478426</v>
      </c>
    </row>
    <row r="1989" spans="1:34" ht="14.5" x14ac:dyDescent="0.35">
      <c r="A1989" s="34"/>
      <c r="B1989" s="35"/>
      <c r="C1989" s="36"/>
      <c r="D1989" s="37"/>
      <c r="E1989" s="36"/>
      <c r="F1989" s="42"/>
      <c r="G1989" s="42"/>
      <c r="H1989" s="42"/>
      <c r="AG1989" s="19">
        <v>1988</v>
      </c>
      <c r="AH1989" s="20">
        <v>5978.6005922855884</v>
      </c>
    </row>
    <row r="1990" spans="1:34" ht="14.5" x14ac:dyDescent="0.35">
      <c r="A1990" s="34"/>
      <c r="B1990" s="35"/>
      <c r="C1990" s="36"/>
      <c r="D1990" s="37"/>
      <c r="E1990" s="36"/>
      <c r="F1990" s="42"/>
      <c r="G1990" s="42"/>
      <c r="H1990" s="42"/>
      <c r="AG1990" s="19">
        <v>1989</v>
      </c>
      <c r="AH1990" s="20">
        <v>2455.3667551614117</v>
      </c>
    </row>
    <row r="1991" spans="1:34" ht="14.5" x14ac:dyDescent="0.35">
      <c r="A1991" s="34"/>
      <c r="B1991" s="35"/>
      <c r="C1991" s="36"/>
      <c r="D1991" s="37"/>
      <c r="E1991" s="36"/>
      <c r="F1991" s="42"/>
      <c r="G1991" s="42"/>
      <c r="H1991" s="42"/>
      <c r="AG1991" s="19">
        <v>1990</v>
      </c>
      <c r="AH1991" s="20">
        <v>2837.5490638557212</v>
      </c>
    </row>
    <row r="1992" spans="1:34" ht="14.5" x14ac:dyDescent="0.35">
      <c r="A1992" s="34"/>
      <c r="B1992" s="35"/>
      <c r="C1992" s="36"/>
      <c r="D1992" s="37"/>
      <c r="E1992" s="36"/>
      <c r="F1992" s="42"/>
      <c r="G1992" s="42"/>
      <c r="H1992" s="42"/>
      <c r="AG1992" s="19">
        <v>1991</v>
      </c>
      <c r="AH1992" s="20">
        <v>-2265.9013887845977</v>
      </c>
    </row>
    <row r="1993" spans="1:34" ht="14.5" x14ac:dyDescent="0.35">
      <c r="A1993" s="34"/>
      <c r="B1993" s="35"/>
      <c r="C1993" s="36"/>
      <c r="D1993" s="37"/>
      <c r="E1993" s="36"/>
      <c r="F1993" s="42"/>
      <c r="G1993" s="42"/>
      <c r="H1993" s="42"/>
      <c r="AG1993" s="19">
        <v>1992</v>
      </c>
      <c r="AH1993" s="20">
        <v>2359.521643315928</v>
      </c>
    </row>
    <row r="1994" spans="1:34" ht="14.5" x14ac:dyDescent="0.35">
      <c r="A1994" s="34"/>
      <c r="B1994" s="35"/>
      <c r="C1994" s="36"/>
      <c r="D1994" s="37"/>
      <c r="E1994" s="36"/>
      <c r="F1994" s="42"/>
      <c r="G1994" s="42"/>
      <c r="H1994" s="42"/>
      <c r="AG1994" s="19">
        <v>1993</v>
      </c>
      <c r="AH1994" s="20">
        <v>-361.55703350386483</v>
      </c>
    </row>
    <row r="1995" spans="1:34" ht="14.5" x14ac:dyDescent="0.35">
      <c r="A1995" s="34"/>
      <c r="B1995" s="35"/>
      <c r="C1995" s="36"/>
      <c r="D1995" s="37"/>
      <c r="E1995" s="36"/>
      <c r="F1995" s="42"/>
      <c r="G1995" s="42"/>
      <c r="H1995" s="42"/>
      <c r="AG1995" s="19">
        <v>1994</v>
      </c>
      <c r="AH1995" s="20">
        <v>-2064.2789454264739</v>
      </c>
    </row>
    <row r="1996" spans="1:34" ht="14.5" x14ac:dyDescent="0.35">
      <c r="A1996" s="34"/>
      <c r="B1996" s="35"/>
      <c r="C1996" s="36"/>
      <c r="D1996" s="37"/>
      <c r="E1996" s="36"/>
      <c r="F1996" s="42"/>
      <c r="G1996" s="42"/>
      <c r="H1996" s="42"/>
      <c r="AG1996" s="19">
        <v>1995</v>
      </c>
      <c r="AH1996" s="20">
        <v>3140.4073781199891</v>
      </c>
    </row>
    <row r="1997" spans="1:34" ht="14.5" x14ac:dyDescent="0.35">
      <c r="A1997" s="34"/>
      <c r="B1997" s="35"/>
      <c r="C1997" s="36"/>
      <c r="D1997" s="37"/>
      <c r="E1997" s="36"/>
      <c r="F1997" s="42"/>
      <c r="G1997" s="42"/>
      <c r="H1997" s="42"/>
      <c r="AG1997" s="19">
        <v>1996</v>
      </c>
      <c r="AH1997" s="20">
        <v>-444.57038418808696</v>
      </c>
    </row>
    <row r="1998" spans="1:34" ht="14.5" x14ac:dyDescent="0.35">
      <c r="A1998" s="34"/>
      <c r="B1998" s="35"/>
      <c r="C1998" s="36"/>
      <c r="D1998" s="37"/>
      <c r="E1998" s="36"/>
      <c r="F1998" s="42"/>
      <c r="G1998" s="42"/>
      <c r="H1998" s="42"/>
      <c r="AG1998" s="19">
        <v>1997</v>
      </c>
      <c r="AH1998" s="20">
        <v>-503.33067063854895</v>
      </c>
    </row>
    <row r="1999" spans="1:34" ht="14.5" x14ac:dyDescent="0.35">
      <c r="A1999" s="34"/>
      <c r="B1999" s="35"/>
      <c r="C1999" s="36"/>
      <c r="D1999" s="37"/>
      <c r="E1999" s="36"/>
      <c r="F1999" s="42"/>
      <c r="G1999" s="42"/>
      <c r="H1999" s="42"/>
      <c r="AG1999" s="19">
        <v>1998</v>
      </c>
      <c r="AH1999" s="20">
        <v>1958.5742720242397</v>
      </c>
    </row>
    <row r="2000" spans="1:34" ht="14.5" x14ac:dyDescent="0.35">
      <c r="A2000" s="34"/>
      <c r="B2000" s="35"/>
      <c r="C2000" s="36"/>
      <c r="D2000" s="37"/>
      <c r="E2000" s="36"/>
      <c r="F2000" s="42"/>
      <c r="G2000" s="42"/>
      <c r="H2000" s="42"/>
      <c r="AG2000" s="19">
        <v>1999</v>
      </c>
      <c r="AH2000" s="20">
        <v>-984.06592082347288</v>
      </c>
    </row>
    <row r="2001" spans="1:34" ht="14.5" x14ac:dyDescent="0.35">
      <c r="A2001" s="34"/>
      <c r="B2001" s="35"/>
      <c r="C2001" s="36"/>
      <c r="D2001" s="37"/>
      <c r="E2001" s="36"/>
      <c r="F2001" s="42"/>
      <c r="G2001" s="42"/>
      <c r="H2001" s="42"/>
      <c r="AG2001" s="19">
        <v>2000</v>
      </c>
      <c r="AH2001" s="20">
        <v>280.09122811932889</v>
      </c>
    </row>
    <row r="2002" spans="1:34" ht="14.5" x14ac:dyDescent="0.35">
      <c r="A2002" s="34"/>
      <c r="B2002" s="35"/>
      <c r="C2002" s="36"/>
      <c r="D2002" s="37"/>
      <c r="E2002" s="36"/>
      <c r="F2002" s="42"/>
      <c r="G2002" s="42"/>
      <c r="H2002" s="42"/>
      <c r="AG2002" s="19">
        <v>2001</v>
      </c>
      <c r="AH2002" s="20">
        <v>-1062.58881312228</v>
      </c>
    </row>
    <row r="2003" spans="1:34" ht="14.5" x14ac:dyDescent="0.35">
      <c r="A2003" s="34"/>
      <c r="B2003" s="35"/>
      <c r="C2003" s="36"/>
      <c r="D2003" s="37"/>
      <c r="E2003" s="36"/>
      <c r="F2003" s="42"/>
      <c r="G2003" s="42"/>
      <c r="H2003" s="42"/>
      <c r="AG2003" s="19">
        <v>2002</v>
      </c>
      <c r="AH2003" s="20">
        <v>3032.5819673834317</v>
      </c>
    </row>
    <row r="2004" spans="1:34" ht="14.5" x14ac:dyDescent="0.35">
      <c r="A2004" s="34"/>
      <c r="B2004" s="35"/>
      <c r="C2004" s="36"/>
      <c r="D2004" s="37"/>
      <c r="E2004" s="36"/>
      <c r="F2004" s="42"/>
      <c r="G2004" s="42"/>
      <c r="H2004" s="42"/>
      <c r="AG2004" s="19">
        <v>2003</v>
      </c>
      <c r="AH2004" s="20">
        <v>2929.1330291842805</v>
      </c>
    </row>
    <row r="2005" spans="1:34" ht="14.5" x14ac:dyDescent="0.35">
      <c r="A2005" s="34"/>
      <c r="B2005" s="35"/>
      <c r="C2005" s="36"/>
      <c r="D2005" s="37"/>
      <c r="E2005" s="36"/>
      <c r="F2005" s="42"/>
      <c r="G2005" s="42"/>
      <c r="H2005" s="42"/>
      <c r="AG2005" s="19">
        <v>2004</v>
      </c>
      <c r="AH2005" s="20">
        <v>3657.6044231581964</v>
      </c>
    </row>
    <row r="2006" spans="1:34" ht="14.5" x14ac:dyDescent="0.35">
      <c r="A2006" s="34"/>
      <c r="B2006" s="35"/>
      <c r="C2006" s="36"/>
      <c r="D2006" s="37"/>
      <c r="E2006" s="36"/>
      <c r="F2006" s="42"/>
      <c r="G2006" s="42"/>
      <c r="H2006" s="42"/>
      <c r="AG2006" s="19">
        <v>2005</v>
      </c>
      <c r="AH2006" s="20">
        <v>-4574.5229020184506</v>
      </c>
    </row>
    <row r="2007" spans="1:34" ht="14.5" x14ac:dyDescent="0.35">
      <c r="A2007" s="34"/>
      <c r="B2007" s="35"/>
      <c r="C2007" s="36"/>
      <c r="D2007" s="37"/>
      <c r="E2007" s="36"/>
      <c r="F2007" s="42"/>
      <c r="G2007" s="42"/>
      <c r="H2007" s="42"/>
      <c r="AG2007" s="19">
        <v>2006</v>
      </c>
      <c r="AH2007" s="20">
        <v>2103.4820351858634</v>
      </c>
    </row>
    <row r="2008" spans="1:34" ht="14.5" x14ac:dyDescent="0.35">
      <c r="A2008" s="34"/>
      <c r="B2008" s="35"/>
      <c r="C2008" s="36"/>
      <c r="D2008" s="37"/>
      <c r="E2008" s="36"/>
      <c r="F2008" s="42"/>
      <c r="G2008" s="42"/>
      <c r="H2008" s="42"/>
      <c r="AG2008" s="19">
        <v>2007</v>
      </c>
      <c r="AH2008" s="20">
        <v>1846.8339678448563</v>
      </c>
    </row>
    <row r="2009" spans="1:34" ht="14.5" x14ac:dyDescent="0.35">
      <c r="A2009" s="34"/>
      <c r="B2009" s="35"/>
      <c r="C2009" s="36"/>
      <c r="D2009" s="37"/>
      <c r="E2009" s="36"/>
      <c r="F2009" s="42"/>
      <c r="G2009" s="42"/>
      <c r="H2009" s="42"/>
      <c r="AG2009" s="19">
        <v>2008</v>
      </c>
      <c r="AH2009" s="20">
        <v>-56.413890194138617</v>
      </c>
    </row>
    <row r="2010" spans="1:34" ht="14.5" x14ac:dyDescent="0.35">
      <c r="A2010" s="34"/>
      <c r="B2010" s="35"/>
      <c r="C2010" s="36"/>
      <c r="D2010" s="37"/>
      <c r="E2010" s="36"/>
      <c r="F2010" s="42"/>
      <c r="G2010" s="42"/>
      <c r="H2010" s="42"/>
      <c r="AG2010" s="19">
        <v>2009</v>
      </c>
      <c r="AH2010" s="20">
        <v>860.23734799101589</v>
      </c>
    </row>
    <row r="2011" spans="1:34" ht="14.5" x14ac:dyDescent="0.35">
      <c r="A2011" s="34"/>
      <c r="B2011" s="35"/>
      <c r="C2011" s="36"/>
      <c r="D2011" s="37"/>
      <c r="E2011" s="36"/>
      <c r="F2011" s="42"/>
      <c r="G2011" s="42"/>
      <c r="H2011" s="42"/>
      <c r="AG2011" s="19">
        <v>2010</v>
      </c>
      <c r="AH2011" s="20">
        <v>-855.77075477000835</v>
      </c>
    </row>
    <row r="2012" spans="1:34" ht="14.5" x14ac:dyDescent="0.35">
      <c r="A2012" s="34"/>
      <c r="B2012" s="35"/>
      <c r="C2012" s="36"/>
      <c r="D2012" s="37"/>
      <c r="E2012" s="36"/>
      <c r="F2012" s="42"/>
      <c r="G2012" s="42"/>
      <c r="H2012" s="42"/>
      <c r="AG2012" s="19">
        <v>2011</v>
      </c>
      <c r="AH2012" s="20">
        <v>788.55651921805588</v>
      </c>
    </row>
    <row r="2013" spans="1:34" ht="14.5" x14ac:dyDescent="0.35">
      <c r="A2013" s="34"/>
      <c r="B2013" s="35"/>
      <c r="C2013" s="36"/>
      <c r="D2013" s="37"/>
      <c r="E2013" s="36"/>
      <c r="F2013" s="42"/>
      <c r="G2013" s="42"/>
      <c r="H2013" s="42"/>
      <c r="AG2013" s="19">
        <v>2012</v>
      </c>
      <c r="AH2013" s="20">
        <v>1495.3676046654057</v>
      </c>
    </row>
    <row r="2014" spans="1:34" ht="14.5" x14ac:dyDescent="0.35">
      <c r="A2014" s="34"/>
      <c r="B2014" s="35"/>
      <c r="C2014" s="36"/>
      <c r="D2014" s="37"/>
      <c r="E2014" s="36"/>
      <c r="F2014" s="42"/>
      <c r="G2014" s="42"/>
      <c r="H2014" s="42"/>
      <c r="AG2014" s="19">
        <v>2013</v>
      </c>
      <c r="AH2014" s="20">
        <v>585.57033781227005</v>
      </c>
    </row>
    <row r="2015" spans="1:34" ht="14.5" x14ac:dyDescent="0.35">
      <c r="A2015" s="34"/>
      <c r="B2015" s="35"/>
      <c r="C2015" s="36"/>
      <c r="D2015" s="37"/>
      <c r="E2015" s="36"/>
      <c r="F2015" s="42"/>
      <c r="G2015" s="42"/>
      <c r="H2015" s="42"/>
      <c r="AG2015" s="19">
        <v>2014</v>
      </c>
      <c r="AH2015" s="20">
        <v>2834.1625005860519</v>
      </c>
    </row>
    <row r="2016" spans="1:34" ht="14.5" x14ac:dyDescent="0.35">
      <c r="A2016" s="34"/>
      <c r="B2016" s="35"/>
      <c r="C2016" s="36"/>
      <c r="D2016" s="37"/>
      <c r="E2016" s="36"/>
      <c r="F2016" s="42"/>
      <c r="G2016" s="42"/>
      <c r="H2016" s="42"/>
      <c r="AG2016" s="19">
        <v>2015</v>
      </c>
      <c r="AH2016" s="20">
        <v>-3745.2684357413982</v>
      </c>
    </row>
    <row r="2017" spans="1:34" ht="14.5" x14ac:dyDescent="0.35">
      <c r="A2017" s="34"/>
      <c r="B2017" s="35"/>
      <c r="C2017" s="36"/>
      <c r="D2017" s="37"/>
      <c r="E2017" s="36"/>
      <c r="F2017" s="42"/>
      <c r="G2017" s="42"/>
      <c r="H2017" s="42"/>
      <c r="AG2017" s="19">
        <v>2016</v>
      </c>
      <c r="AH2017" s="20">
        <v>-983.42190969278249</v>
      </c>
    </row>
    <row r="2018" spans="1:34" ht="14.5" x14ac:dyDescent="0.35">
      <c r="A2018" s="34"/>
      <c r="B2018" s="35"/>
      <c r="C2018" s="36"/>
      <c r="D2018" s="37"/>
      <c r="E2018" s="36"/>
      <c r="F2018" s="42"/>
      <c r="G2018" s="42"/>
      <c r="H2018" s="42"/>
      <c r="AG2018" s="19">
        <v>2017</v>
      </c>
      <c r="AH2018" s="20">
        <v>-1633.7083170666288</v>
      </c>
    </row>
    <row r="2019" spans="1:34" ht="14.5" x14ac:dyDescent="0.35">
      <c r="A2019" s="34"/>
      <c r="B2019" s="35"/>
      <c r="C2019" s="36"/>
      <c r="D2019" s="37"/>
      <c r="E2019" s="36"/>
      <c r="F2019" s="42"/>
      <c r="G2019" s="42"/>
      <c r="H2019" s="42"/>
      <c r="AG2019" s="19">
        <v>2018</v>
      </c>
      <c r="AH2019" s="20">
        <v>1317.2744844056588</v>
      </c>
    </row>
    <row r="2020" spans="1:34" ht="14.5" x14ac:dyDescent="0.35">
      <c r="A2020" s="34"/>
      <c r="B2020" s="35"/>
      <c r="C2020" s="36"/>
      <c r="D2020" s="37"/>
      <c r="E2020" s="36"/>
      <c r="F2020" s="42"/>
      <c r="G2020" s="42"/>
      <c r="H2020" s="42"/>
      <c r="AG2020" s="19">
        <v>2019</v>
      </c>
      <c r="AH2020" s="20">
        <v>-1188.4062438653718</v>
      </c>
    </row>
    <row r="2021" spans="1:34" ht="14.5" x14ac:dyDescent="0.35">
      <c r="A2021" s="34"/>
      <c r="B2021" s="35"/>
      <c r="C2021" s="36"/>
      <c r="D2021" s="37"/>
      <c r="E2021" s="36"/>
      <c r="F2021" s="42"/>
      <c r="G2021" s="42"/>
      <c r="H2021" s="42"/>
      <c r="AG2021" s="19">
        <v>2020</v>
      </c>
      <c r="AH2021" s="20">
        <v>-5081.1558650167999</v>
      </c>
    </row>
    <row r="2022" spans="1:34" ht="14.5" x14ac:dyDescent="0.35">
      <c r="A2022" s="34"/>
      <c r="B2022" s="35"/>
      <c r="C2022" s="36"/>
      <c r="D2022" s="37"/>
      <c r="E2022" s="36"/>
      <c r="F2022" s="42"/>
      <c r="G2022" s="42"/>
      <c r="H2022" s="42"/>
      <c r="AG2022" s="19">
        <v>2021</v>
      </c>
      <c r="AH2022" s="20">
        <v>1439.0976171495863</v>
      </c>
    </row>
    <row r="2023" spans="1:34" ht="14.5" x14ac:dyDescent="0.35">
      <c r="A2023" s="34"/>
      <c r="B2023" s="35"/>
      <c r="C2023" s="36"/>
      <c r="D2023" s="37"/>
      <c r="E2023" s="36"/>
      <c r="F2023" s="42"/>
      <c r="G2023" s="42"/>
      <c r="H2023" s="42"/>
      <c r="AG2023" s="19">
        <v>2022</v>
      </c>
      <c r="AH2023" s="20">
        <v>1351.720980703104</v>
      </c>
    </row>
    <row r="2024" spans="1:34" ht="14.5" x14ac:dyDescent="0.35">
      <c r="A2024" s="34"/>
      <c r="B2024" s="35"/>
      <c r="C2024" s="36"/>
      <c r="D2024" s="37"/>
      <c r="E2024" s="36"/>
      <c r="F2024" s="42"/>
      <c r="G2024" s="42"/>
      <c r="H2024" s="42"/>
      <c r="AG2024" s="19">
        <v>2023</v>
      </c>
      <c r="AH2024" s="20">
        <v>833.26735154990729</v>
      </c>
    </row>
    <row r="2025" spans="1:34" ht="14.5" x14ac:dyDescent="0.35">
      <c r="A2025" s="34"/>
      <c r="B2025" s="35"/>
      <c r="C2025" s="36"/>
      <c r="D2025" s="37"/>
      <c r="E2025" s="36"/>
      <c r="F2025" s="42"/>
      <c r="G2025" s="42"/>
      <c r="H2025" s="42"/>
      <c r="AG2025" s="19">
        <v>2024</v>
      </c>
      <c r="AH2025" s="20">
        <v>879.3469444799091</v>
      </c>
    </row>
    <row r="2026" spans="1:34" ht="14.5" x14ac:dyDescent="0.35">
      <c r="A2026" s="34"/>
      <c r="B2026" s="35"/>
      <c r="C2026" s="36"/>
      <c r="D2026" s="37"/>
      <c r="E2026" s="36"/>
      <c r="F2026" s="42"/>
      <c r="G2026" s="42"/>
      <c r="H2026" s="42"/>
      <c r="AG2026" s="19">
        <v>2025</v>
      </c>
      <c r="AH2026" s="20">
        <v>-616.66419637969466</v>
      </c>
    </row>
    <row r="2027" spans="1:34" ht="14.5" x14ac:dyDescent="0.35">
      <c r="A2027" s="34"/>
      <c r="B2027" s="35"/>
      <c r="C2027" s="36"/>
      <c r="D2027" s="37"/>
      <c r="E2027" s="36"/>
      <c r="F2027" s="42"/>
      <c r="G2027" s="42"/>
      <c r="H2027" s="42"/>
      <c r="AG2027" s="19">
        <v>2026</v>
      </c>
      <c r="AH2027" s="20">
        <v>512.55200147852293</v>
      </c>
    </row>
    <row r="2028" spans="1:34" ht="14.5" x14ac:dyDescent="0.35">
      <c r="A2028" s="34"/>
      <c r="B2028" s="35"/>
      <c r="C2028" s="36"/>
      <c r="D2028" s="37"/>
      <c r="E2028" s="36"/>
      <c r="F2028" s="42"/>
      <c r="G2028" s="42"/>
      <c r="H2028" s="42"/>
      <c r="AG2028" s="19">
        <v>2027</v>
      </c>
      <c r="AH2028" s="20">
        <v>214.80839895760997</v>
      </c>
    </row>
    <row r="2029" spans="1:34" ht="14.5" x14ac:dyDescent="0.35">
      <c r="A2029" s="34"/>
      <c r="B2029" s="35"/>
      <c r="C2029" s="36"/>
      <c r="D2029" s="37"/>
      <c r="E2029" s="36"/>
      <c r="F2029" s="42"/>
      <c r="G2029" s="42"/>
      <c r="H2029" s="42"/>
      <c r="AG2029" s="19">
        <v>2028</v>
      </c>
      <c r="AH2029" s="20">
        <v>1866.6967920633792</v>
      </c>
    </row>
    <row r="2030" spans="1:34" ht="14.5" x14ac:dyDescent="0.35">
      <c r="A2030" s="34"/>
      <c r="B2030" s="35"/>
      <c r="C2030" s="36"/>
      <c r="D2030" s="37"/>
      <c r="E2030" s="36"/>
      <c r="F2030" s="42"/>
      <c r="G2030" s="42"/>
      <c r="H2030" s="42"/>
      <c r="AG2030" s="19">
        <v>2029</v>
      </c>
      <c r="AH2030" s="20">
        <v>2166.4011415140662</v>
      </c>
    </row>
    <row r="2031" spans="1:34" ht="14.5" x14ac:dyDescent="0.35">
      <c r="A2031" s="34"/>
      <c r="B2031" s="35"/>
      <c r="C2031" s="36"/>
      <c r="D2031" s="37"/>
      <c r="E2031" s="36"/>
      <c r="F2031" s="42"/>
      <c r="G2031" s="42"/>
      <c r="H2031" s="42"/>
      <c r="AG2031" s="19">
        <v>2030</v>
      </c>
      <c r="AH2031" s="20">
        <v>2052.5221564321405</v>
      </c>
    </row>
    <row r="2032" spans="1:34" ht="14.5" x14ac:dyDescent="0.35">
      <c r="A2032" s="34"/>
      <c r="B2032" s="35"/>
      <c r="C2032" s="36"/>
      <c r="D2032" s="37"/>
      <c r="E2032" s="36"/>
      <c r="F2032" s="42"/>
      <c r="G2032" s="42"/>
      <c r="H2032" s="42"/>
      <c r="AG2032" s="19">
        <v>2031</v>
      </c>
      <c r="AH2032" s="20">
        <v>463.27085517952963</v>
      </c>
    </row>
    <row r="2033" spans="1:34" ht="14.5" x14ac:dyDescent="0.35">
      <c r="A2033" s="34"/>
      <c r="B2033" s="35"/>
      <c r="C2033" s="36"/>
      <c r="D2033" s="37"/>
      <c r="E2033" s="36"/>
      <c r="F2033" s="42"/>
      <c r="G2033" s="42"/>
      <c r="H2033" s="42"/>
      <c r="AG2033" s="19">
        <v>2032</v>
      </c>
      <c r="AH2033" s="20">
        <v>-4382.6135633390295</v>
      </c>
    </row>
    <row r="2034" spans="1:34" ht="14.5" x14ac:dyDescent="0.35">
      <c r="A2034" s="34"/>
      <c r="B2034" s="35"/>
      <c r="C2034" s="36"/>
      <c r="D2034" s="37"/>
      <c r="E2034" s="36"/>
      <c r="F2034" s="42"/>
      <c r="G2034" s="42"/>
      <c r="H2034" s="42"/>
      <c r="AG2034" s="19">
        <v>2033</v>
      </c>
      <c r="AH2034" s="20">
        <v>308.0670971503547</v>
      </c>
    </row>
    <row r="2035" spans="1:34" ht="14.5" x14ac:dyDescent="0.35">
      <c r="A2035" s="34"/>
      <c r="B2035" s="35"/>
      <c r="C2035" s="36"/>
      <c r="D2035" s="37"/>
      <c r="E2035" s="36"/>
      <c r="F2035" s="42"/>
      <c r="G2035" s="42"/>
      <c r="H2035" s="42"/>
      <c r="AG2035" s="19">
        <v>2034</v>
      </c>
      <c r="AH2035" s="20">
        <v>-2157.7524751389847</v>
      </c>
    </row>
    <row r="2036" spans="1:34" ht="14.5" x14ac:dyDescent="0.35">
      <c r="A2036" s="34"/>
      <c r="B2036" s="35"/>
      <c r="C2036" s="36"/>
      <c r="D2036" s="37"/>
      <c r="E2036" s="36"/>
      <c r="F2036" s="42"/>
      <c r="G2036" s="42"/>
      <c r="H2036" s="42"/>
      <c r="AG2036" s="19">
        <v>2035</v>
      </c>
      <c r="AH2036" s="20">
        <v>2472.3943170173184</v>
      </c>
    </row>
    <row r="2037" spans="1:34" ht="14.5" x14ac:dyDescent="0.35">
      <c r="A2037" s="34"/>
      <c r="B2037" s="35"/>
      <c r="C2037" s="36"/>
      <c r="D2037" s="37"/>
      <c r="E2037" s="36"/>
      <c r="F2037" s="42"/>
      <c r="G2037" s="42"/>
      <c r="H2037" s="42"/>
      <c r="AG2037" s="19">
        <v>2036</v>
      </c>
      <c r="AH2037" s="20">
        <v>1391.7683412528957</v>
      </c>
    </row>
    <row r="2038" spans="1:34" ht="14.5" x14ac:dyDescent="0.35">
      <c r="A2038" s="34"/>
      <c r="B2038" s="35"/>
      <c r="C2038" s="36"/>
      <c r="D2038" s="37"/>
      <c r="E2038" s="36"/>
      <c r="F2038" s="42"/>
      <c r="G2038" s="42"/>
      <c r="H2038" s="42"/>
      <c r="AG2038" s="19">
        <v>2037</v>
      </c>
      <c r="AH2038" s="20">
        <v>1407.8819552866416</v>
      </c>
    </row>
    <row r="2039" spans="1:34" ht="14.5" x14ac:dyDescent="0.35">
      <c r="A2039" s="34"/>
      <c r="B2039" s="35"/>
      <c r="C2039" s="36"/>
      <c r="D2039" s="37"/>
      <c r="E2039" s="36"/>
      <c r="F2039" s="42"/>
      <c r="G2039" s="42"/>
      <c r="H2039" s="42"/>
      <c r="AG2039" s="19">
        <v>2038</v>
      </c>
      <c r="AH2039" s="20">
        <v>-1534.9667845517076</v>
      </c>
    </row>
    <row r="2040" spans="1:34" ht="14.5" x14ac:dyDescent="0.35">
      <c r="A2040" s="34"/>
      <c r="B2040" s="35"/>
      <c r="C2040" s="36"/>
      <c r="D2040" s="37"/>
      <c r="E2040" s="36"/>
      <c r="F2040" s="42"/>
      <c r="G2040" s="42"/>
      <c r="H2040" s="42"/>
      <c r="AG2040" s="19">
        <v>2039</v>
      </c>
      <c r="AH2040" s="20">
        <v>1077.8485908388748</v>
      </c>
    </row>
    <row r="2041" spans="1:34" ht="14.5" x14ac:dyDescent="0.35">
      <c r="A2041" s="34"/>
      <c r="B2041" s="35"/>
      <c r="C2041" s="36"/>
      <c r="D2041" s="37"/>
      <c r="E2041" s="36"/>
      <c r="F2041" s="42"/>
      <c r="G2041" s="42"/>
      <c r="H2041" s="42"/>
      <c r="AG2041" s="19">
        <v>2040</v>
      </c>
      <c r="AH2041" s="20">
        <v>-551.61647372110474</v>
      </c>
    </row>
    <row r="2042" spans="1:34" ht="14.5" x14ac:dyDescent="0.35">
      <c r="A2042" s="34"/>
      <c r="B2042" s="35"/>
      <c r="C2042" s="36"/>
      <c r="D2042" s="37"/>
      <c r="E2042" s="36"/>
      <c r="F2042" s="42"/>
      <c r="G2042" s="42"/>
      <c r="H2042" s="42"/>
      <c r="AG2042" s="19">
        <v>2041</v>
      </c>
      <c r="AH2042" s="20">
        <v>-1150.1673895768847</v>
      </c>
    </row>
    <row r="2043" spans="1:34" ht="14.5" x14ac:dyDescent="0.35">
      <c r="A2043" s="34"/>
      <c r="B2043" s="35"/>
      <c r="C2043" s="36"/>
      <c r="D2043" s="37"/>
      <c r="E2043" s="36"/>
      <c r="F2043" s="42"/>
      <c r="G2043" s="42"/>
      <c r="H2043" s="42"/>
      <c r="AG2043" s="19">
        <v>2042</v>
      </c>
      <c r="AH2043" s="20">
        <v>849.31015678083099</v>
      </c>
    </row>
    <row r="2044" spans="1:34" ht="14.5" x14ac:dyDescent="0.35">
      <c r="A2044" s="34"/>
      <c r="B2044" s="35"/>
      <c r="C2044" s="36"/>
      <c r="D2044" s="37"/>
      <c r="E2044" s="36"/>
      <c r="F2044" s="42"/>
      <c r="G2044" s="42"/>
      <c r="H2044" s="42"/>
      <c r="AG2044" s="19">
        <v>2043</v>
      </c>
      <c r="AH2044" s="20">
        <v>-1371.2677123423437</v>
      </c>
    </row>
    <row r="2045" spans="1:34" ht="14.5" x14ac:dyDescent="0.35">
      <c r="A2045" s="34"/>
      <c r="B2045" s="35"/>
      <c r="C2045" s="36"/>
      <c r="D2045" s="37"/>
      <c r="E2045" s="36"/>
      <c r="F2045" s="42"/>
      <c r="G2045" s="42"/>
      <c r="H2045" s="42"/>
      <c r="AG2045" s="19">
        <v>2044</v>
      </c>
      <c r="AH2045" s="20">
        <v>-2515.1128514013449</v>
      </c>
    </row>
    <row r="2046" spans="1:34" ht="14.5" x14ac:dyDescent="0.35">
      <c r="A2046" s="34"/>
      <c r="B2046" s="35"/>
      <c r="C2046" s="36"/>
      <c r="D2046" s="37"/>
      <c r="E2046" s="36"/>
      <c r="F2046" s="42"/>
      <c r="G2046" s="42"/>
      <c r="H2046" s="42"/>
      <c r="AG2046" s="19">
        <v>2045</v>
      </c>
      <c r="AH2046" s="20">
        <v>1709.2371671214971</v>
      </c>
    </row>
    <row r="2047" spans="1:34" ht="14.5" x14ac:dyDescent="0.35">
      <c r="A2047" s="34"/>
      <c r="B2047" s="35"/>
      <c r="C2047" s="36"/>
      <c r="D2047" s="37"/>
      <c r="E2047" s="36"/>
      <c r="F2047" s="42"/>
      <c r="G2047" s="42"/>
      <c r="H2047" s="42"/>
      <c r="AG2047" s="19">
        <v>2046</v>
      </c>
      <c r="AH2047" s="20">
        <v>-1075.3148555544828</v>
      </c>
    </row>
    <row r="2048" spans="1:34" ht="14.5" x14ac:dyDescent="0.35">
      <c r="A2048" s="34"/>
      <c r="B2048" s="35"/>
      <c r="C2048" s="36"/>
      <c r="D2048" s="37"/>
      <c r="E2048" s="36"/>
      <c r="F2048" s="42"/>
      <c r="G2048" s="42"/>
      <c r="H2048" s="42"/>
      <c r="AG2048" s="19">
        <v>2047</v>
      </c>
      <c r="AH2048" s="20">
        <v>18.926370740076891</v>
      </c>
    </row>
    <row r="2049" spans="1:34" ht="14.5" x14ac:dyDescent="0.35">
      <c r="A2049" s="34"/>
      <c r="B2049" s="35"/>
      <c r="C2049" s="36"/>
      <c r="D2049" s="37"/>
      <c r="E2049" s="36"/>
      <c r="F2049" s="42"/>
      <c r="G2049" s="42"/>
      <c r="H2049" s="42"/>
      <c r="AG2049" s="19">
        <v>2048</v>
      </c>
      <c r="AH2049" s="20">
        <v>2975.02022120729</v>
      </c>
    </row>
    <row r="2050" spans="1:34" ht="14.5" x14ac:dyDescent="0.35">
      <c r="A2050" s="34"/>
      <c r="B2050" s="35"/>
      <c r="C2050" s="36"/>
      <c r="D2050" s="37"/>
      <c r="E2050" s="36"/>
      <c r="F2050" s="42"/>
      <c r="G2050" s="42"/>
      <c r="H2050" s="42"/>
      <c r="AG2050" s="19">
        <v>2049</v>
      </c>
      <c r="AH2050" s="20">
        <v>5861.7508530311634</v>
      </c>
    </row>
    <row r="2051" spans="1:34" ht="14.5" x14ac:dyDescent="0.35">
      <c r="A2051" s="34"/>
      <c r="B2051" s="35"/>
      <c r="C2051" s="36"/>
      <c r="D2051" s="37"/>
      <c r="E2051" s="36"/>
      <c r="F2051" s="42"/>
      <c r="G2051" s="42"/>
      <c r="H2051" s="42"/>
      <c r="AG2051" s="19">
        <v>2050</v>
      </c>
      <c r="AH2051" s="20">
        <v>5421.562115251947</v>
      </c>
    </row>
    <row r="2052" spans="1:34" ht="14.5" x14ac:dyDescent="0.35">
      <c r="A2052" s="34"/>
      <c r="B2052" s="35"/>
      <c r="C2052" s="36"/>
      <c r="D2052" s="37"/>
      <c r="E2052" s="36"/>
      <c r="F2052" s="42"/>
      <c r="G2052" s="42"/>
      <c r="H2052" s="42"/>
      <c r="AG2052" s="19">
        <v>2051</v>
      </c>
      <c r="AH2052" s="20">
        <v>-1284.8906874520055</v>
      </c>
    </row>
    <row r="2053" spans="1:34" ht="14.5" x14ac:dyDescent="0.35">
      <c r="A2053" s="34"/>
      <c r="B2053" s="35"/>
      <c r="C2053" s="36"/>
      <c r="D2053" s="37"/>
      <c r="E2053" s="36"/>
      <c r="F2053" s="42"/>
      <c r="G2053" s="42"/>
      <c r="H2053" s="42"/>
      <c r="AG2053" s="19">
        <v>2052</v>
      </c>
      <c r="AH2053" s="20">
        <v>1137.934051934054</v>
      </c>
    </row>
    <row r="2054" spans="1:34" ht="14.5" x14ac:dyDescent="0.35">
      <c r="A2054" s="34"/>
      <c r="B2054" s="35"/>
      <c r="C2054" s="36"/>
      <c r="D2054" s="37"/>
      <c r="E2054" s="36"/>
      <c r="F2054" s="42"/>
      <c r="G2054" s="42"/>
      <c r="H2054" s="42"/>
      <c r="AG2054" s="19">
        <v>2053</v>
      </c>
      <c r="AH2054" s="20">
        <v>1998.836973147002</v>
      </c>
    </row>
    <row r="2055" spans="1:34" ht="14.5" x14ac:dyDescent="0.35">
      <c r="A2055" s="34"/>
      <c r="B2055" s="35"/>
      <c r="C2055" s="36"/>
      <c r="D2055" s="37"/>
      <c r="E2055" s="36"/>
      <c r="F2055" s="42"/>
      <c r="G2055" s="42"/>
      <c r="H2055" s="42"/>
      <c r="AG2055" s="19">
        <v>2054</v>
      </c>
      <c r="AH2055" s="20">
        <v>-1558.0610752344087</v>
      </c>
    </row>
    <row r="2056" spans="1:34" ht="14.5" x14ac:dyDescent="0.35">
      <c r="A2056" s="34"/>
      <c r="B2056" s="35"/>
      <c r="C2056" s="36"/>
      <c r="D2056" s="37"/>
      <c r="E2056" s="36"/>
      <c r="F2056" s="42"/>
      <c r="G2056" s="42"/>
      <c r="H2056" s="42"/>
      <c r="AG2056" s="19">
        <v>2055</v>
      </c>
      <c r="AH2056" s="20">
        <v>-2435.3954768114913</v>
      </c>
    </row>
    <row r="2057" spans="1:34" ht="14.5" x14ac:dyDescent="0.35">
      <c r="A2057" s="34"/>
      <c r="B2057" s="35"/>
      <c r="C2057" s="36"/>
      <c r="D2057" s="37"/>
      <c r="E2057" s="36"/>
      <c r="F2057" s="42"/>
      <c r="G2057" s="42"/>
      <c r="H2057" s="42"/>
      <c r="AG2057" s="19">
        <v>2056</v>
      </c>
      <c r="AH2057" s="20">
        <v>2726.7311423833116</v>
      </c>
    </row>
    <row r="2058" spans="1:34" ht="14.5" x14ac:dyDescent="0.35">
      <c r="A2058" s="34"/>
      <c r="B2058" s="35"/>
      <c r="C2058" s="36"/>
      <c r="D2058" s="37"/>
      <c r="E2058" s="36"/>
      <c r="F2058" s="42"/>
      <c r="G2058" s="42"/>
      <c r="H2058" s="42"/>
      <c r="AG2058" s="19">
        <v>2057</v>
      </c>
      <c r="AH2058" s="20">
        <v>-3029.5235261174494</v>
      </c>
    </row>
    <row r="2059" spans="1:34" ht="14.5" x14ac:dyDescent="0.35">
      <c r="A2059" s="34"/>
      <c r="B2059" s="35"/>
      <c r="C2059" s="36"/>
      <c r="D2059" s="37"/>
      <c r="E2059" s="36"/>
      <c r="F2059" s="42"/>
      <c r="G2059" s="42"/>
      <c r="H2059" s="42"/>
      <c r="AG2059" s="19">
        <v>2058</v>
      </c>
      <c r="AH2059" s="20">
        <v>-402.15514390648985</v>
      </c>
    </row>
    <row r="2060" spans="1:34" ht="14.5" x14ac:dyDescent="0.35">
      <c r="A2060" s="34"/>
      <c r="B2060" s="35"/>
      <c r="C2060" s="36"/>
      <c r="D2060" s="37"/>
      <c r="E2060" s="36"/>
      <c r="F2060" s="42"/>
      <c r="G2060" s="42"/>
      <c r="H2060" s="42"/>
      <c r="AG2060" s="19">
        <v>2059</v>
      </c>
      <c r="AH2060" s="20">
        <v>570.93670227489815</v>
      </c>
    </row>
    <row r="2061" spans="1:34" ht="14.5" x14ac:dyDescent="0.35">
      <c r="A2061" s="34"/>
      <c r="B2061" s="35"/>
      <c r="C2061" s="36"/>
      <c r="D2061" s="37"/>
      <c r="E2061" s="36"/>
      <c r="F2061" s="42"/>
      <c r="G2061" s="42"/>
      <c r="H2061" s="42"/>
      <c r="AG2061" s="19">
        <v>2060</v>
      </c>
      <c r="AH2061" s="20">
        <v>-2774.144286131962</v>
      </c>
    </row>
    <row r="2062" spans="1:34" ht="14.5" x14ac:dyDescent="0.35">
      <c r="A2062" s="34"/>
      <c r="B2062" s="35"/>
      <c r="C2062" s="36"/>
      <c r="D2062" s="37"/>
      <c r="E2062" s="36"/>
      <c r="F2062" s="42"/>
      <c r="G2062" s="42"/>
      <c r="H2062" s="42"/>
      <c r="AG2062" s="19">
        <v>2061</v>
      </c>
      <c r="AH2062" s="20">
        <v>1860.592584359955</v>
      </c>
    </row>
    <row r="2063" spans="1:34" ht="14.5" x14ac:dyDescent="0.35">
      <c r="A2063" s="34"/>
      <c r="B2063" s="35"/>
      <c r="C2063" s="36"/>
      <c r="D2063" s="37"/>
      <c r="E2063" s="36"/>
      <c r="F2063" s="42"/>
      <c r="G2063" s="42"/>
      <c r="H2063" s="42"/>
      <c r="AG2063" s="19">
        <v>2062</v>
      </c>
      <c r="AH2063" s="20">
        <v>-694.02605371661048</v>
      </c>
    </row>
    <row r="2064" spans="1:34" ht="14.5" x14ac:dyDescent="0.35">
      <c r="A2064" s="34"/>
      <c r="B2064" s="35"/>
      <c r="C2064" s="36"/>
      <c r="D2064" s="37"/>
      <c r="E2064" s="36"/>
      <c r="F2064" s="42"/>
      <c r="G2064" s="42"/>
      <c r="H2064" s="42"/>
      <c r="AG2064" s="19">
        <v>2063</v>
      </c>
      <c r="AH2064" s="20">
        <v>-224.36025669401096</v>
      </c>
    </row>
    <row r="2065" spans="1:34" ht="14.5" x14ac:dyDescent="0.35">
      <c r="A2065" s="34"/>
      <c r="B2065" s="35"/>
      <c r="C2065" s="36"/>
      <c r="D2065" s="37"/>
      <c r="E2065" s="36"/>
      <c r="F2065" s="42"/>
      <c r="G2065" s="42"/>
      <c r="H2065" s="42"/>
      <c r="AG2065" s="19">
        <v>2064</v>
      </c>
      <c r="AH2065" s="20">
        <v>1790.0859692289584</v>
      </c>
    </row>
    <row r="2066" spans="1:34" ht="14.5" x14ac:dyDescent="0.35">
      <c r="A2066" s="34"/>
      <c r="B2066" s="35"/>
      <c r="C2066" s="36"/>
      <c r="D2066" s="37"/>
      <c r="E2066" s="36"/>
      <c r="F2066" s="42"/>
      <c r="G2066" s="42"/>
      <c r="H2066" s="42"/>
      <c r="AG2066" s="19">
        <v>2065</v>
      </c>
      <c r="AH2066" s="20">
        <v>148.56608255621552</v>
      </c>
    </row>
    <row r="2067" spans="1:34" ht="14.5" x14ac:dyDescent="0.35">
      <c r="A2067" s="34"/>
      <c r="B2067" s="35"/>
      <c r="C2067" s="36"/>
      <c r="D2067" s="37"/>
      <c r="E2067" s="36"/>
      <c r="F2067" s="42"/>
      <c r="G2067" s="42"/>
      <c r="H2067" s="42"/>
      <c r="AG2067" s="19">
        <v>2066</v>
      </c>
      <c r="AH2067" s="20">
        <v>2106.2691820927303</v>
      </c>
    </row>
    <row r="2068" spans="1:34" ht="14.5" x14ac:dyDescent="0.35">
      <c r="A2068" s="34"/>
      <c r="B2068" s="35"/>
      <c r="C2068" s="36"/>
      <c r="D2068" s="37"/>
      <c r="E2068" s="36"/>
      <c r="F2068" s="42"/>
      <c r="G2068" s="42"/>
      <c r="H2068" s="42"/>
      <c r="AG2068" s="19">
        <v>2067</v>
      </c>
      <c r="AH2068" s="20">
        <v>308.17687912950623</v>
      </c>
    </row>
    <row r="2069" spans="1:34" ht="14.5" x14ac:dyDescent="0.35">
      <c r="A2069" s="34"/>
      <c r="B2069" s="35"/>
      <c r="C2069" s="36"/>
      <c r="D2069" s="37"/>
      <c r="E2069" s="36"/>
      <c r="F2069" s="42"/>
      <c r="G2069" s="42"/>
      <c r="H2069" s="42"/>
      <c r="AG2069" s="19">
        <v>2068</v>
      </c>
      <c r="AH2069" s="20">
        <v>1724.7912244031638</v>
      </c>
    </row>
    <row r="2070" spans="1:34" ht="14.5" x14ac:dyDescent="0.35">
      <c r="A2070" s="34"/>
      <c r="B2070" s="35"/>
      <c r="C2070" s="36"/>
      <c r="D2070" s="37"/>
      <c r="E2070" s="36"/>
      <c r="F2070" s="42"/>
      <c r="G2070" s="42"/>
      <c r="H2070" s="42"/>
      <c r="AG2070" s="19">
        <v>2069</v>
      </c>
      <c r="AH2070" s="20">
        <v>1383.2882596287793</v>
      </c>
    </row>
    <row r="2071" spans="1:34" ht="14.5" x14ac:dyDescent="0.35">
      <c r="A2071" s="34"/>
      <c r="B2071" s="35"/>
      <c r="C2071" s="36"/>
      <c r="D2071" s="37"/>
      <c r="E2071" s="36"/>
      <c r="F2071" s="42"/>
      <c r="G2071" s="42"/>
      <c r="H2071" s="42"/>
      <c r="AG2071" s="19">
        <v>2070</v>
      </c>
      <c r="AH2071" s="20">
        <v>1346.1774795042959</v>
      </c>
    </row>
    <row r="2072" spans="1:34" ht="14.5" x14ac:dyDescent="0.35">
      <c r="A2072" s="34"/>
      <c r="B2072" s="35"/>
      <c r="C2072" s="36"/>
      <c r="D2072" s="37"/>
      <c r="E2072" s="36"/>
      <c r="F2072" s="42"/>
      <c r="G2072" s="42"/>
      <c r="H2072" s="42"/>
      <c r="AG2072" s="19">
        <v>2071</v>
      </c>
      <c r="AH2072" s="20">
        <v>278.5339309577314</v>
      </c>
    </row>
    <row r="2073" spans="1:34" ht="14.5" x14ac:dyDescent="0.35">
      <c r="A2073" s="34"/>
      <c r="B2073" s="35"/>
      <c r="C2073" s="36"/>
      <c r="D2073" s="37"/>
      <c r="E2073" s="36"/>
      <c r="F2073" s="42"/>
      <c r="G2073" s="42"/>
      <c r="H2073" s="42"/>
      <c r="AG2073" s="19">
        <v>2072</v>
      </c>
      <c r="AH2073" s="20">
        <v>1905.6961278529363</v>
      </c>
    </row>
    <row r="2074" spans="1:34" ht="14.5" x14ac:dyDescent="0.35">
      <c r="A2074" s="34"/>
      <c r="B2074" s="35"/>
      <c r="C2074" s="36"/>
      <c r="D2074" s="37"/>
      <c r="E2074" s="36"/>
      <c r="F2074" s="42"/>
      <c r="G2074" s="42"/>
      <c r="H2074" s="42"/>
      <c r="AG2074" s="19">
        <v>2073</v>
      </c>
      <c r="AH2074" s="20">
        <v>1168.7616618856605</v>
      </c>
    </row>
    <row r="2075" spans="1:34" ht="14.5" x14ac:dyDescent="0.35">
      <c r="A2075" s="34"/>
      <c r="B2075" s="35"/>
      <c r="C2075" s="36"/>
      <c r="D2075" s="37"/>
      <c r="E2075" s="36"/>
      <c r="F2075" s="42"/>
      <c r="G2075" s="42"/>
      <c r="H2075" s="42"/>
      <c r="AG2075" s="19">
        <v>2074</v>
      </c>
      <c r="AH2075" s="20">
        <v>3483.116973677867</v>
      </c>
    </row>
    <row r="2076" spans="1:34" ht="14.5" x14ac:dyDescent="0.35">
      <c r="A2076" s="34"/>
      <c r="B2076" s="35"/>
      <c r="C2076" s="36"/>
      <c r="D2076" s="37"/>
      <c r="E2076" s="36"/>
      <c r="F2076" s="42"/>
      <c r="G2076" s="42"/>
      <c r="H2076" s="42"/>
      <c r="AG2076" s="19">
        <v>2075</v>
      </c>
      <c r="AH2076" s="20">
        <v>1074.8638035005292</v>
      </c>
    </row>
    <row r="2077" spans="1:34" ht="14.5" x14ac:dyDescent="0.35">
      <c r="A2077" s="34"/>
      <c r="B2077" s="35"/>
      <c r="C2077" s="36"/>
      <c r="D2077" s="37"/>
      <c r="E2077" s="36"/>
      <c r="F2077" s="42"/>
      <c r="G2077" s="42"/>
      <c r="H2077" s="42"/>
      <c r="AG2077" s="19">
        <v>2076</v>
      </c>
      <c r="AH2077" s="20">
        <v>-1382.8489588381922</v>
      </c>
    </row>
    <row r="2078" spans="1:34" ht="14.5" x14ac:dyDescent="0.35">
      <c r="A2078" s="34"/>
      <c r="B2078" s="35"/>
      <c r="C2078" s="36"/>
      <c r="D2078" s="37"/>
      <c r="E2078" s="36"/>
      <c r="F2078" s="42"/>
      <c r="G2078" s="42"/>
      <c r="H2078" s="42"/>
      <c r="AG2078" s="19">
        <v>2077</v>
      </c>
      <c r="AH2078" s="20">
        <v>-2328.2895156643485</v>
      </c>
    </row>
    <row r="2079" spans="1:34" ht="14.5" x14ac:dyDescent="0.35">
      <c r="A2079" s="34"/>
      <c r="B2079" s="35"/>
      <c r="C2079" s="36"/>
      <c r="D2079" s="37"/>
      <c r="E2079" s="36"/>
      <c r="F2079" s="42"/>
      <c r="G2079" s="42"/>
      <c r="H2079" s="42"/>
      <c r="AG2079" s="19">
        <v>2078</v>
      </c>
      <c r="AH2079" s="20">
        <v>1337.4598180936378</v>
      </c>
    </row>
    <row r="2080" spans="1:34" ht="14.5" x14ac:dyDescent="0.35">
      <c r="A2080" s="34"/>
      <c r="B2080" s="35"/>
      <c r="C2080" s="36"/>
      <c r="D2080" s="37"/>
      <c r="E2080" s="36"/>
      <c r="F2080" s="42"/>
      <c r="G2080" s="42"/>
      <c r="H2080" s="42"/>
      <c r="AG2080" s="19">
        <v>2079</v>
      </c>
      <c r="AH2080" s="20">
        <v>-1222.6054146495733</v>
      </c>
    </row>
    <row r="2081" spans="1:34" ht="14.5" x14ac:dyDescent="0.35">
      <c r="A2081" s="34"/>
      <c r="B2081" s="35"/>
      <c r="C2081" s="36"/>
      <c r="D2081" s="37"/>
      <c r="E2081" s="36"/>
      <c r="F2081" s="42"/>
      <c r="G2081" s="42"/>
      <c r="H2081" s="42"/>
      <c r="AG2081" s="19">
        <v>2080</v>
      </c>
      <c r="AH2081" s="20">
        <v>439.68060951010699</v>
      </c>
    </row>
    <row r="2082" spans="1:34" ht="14.5" x14ac:dyDescent="0.35">
      <c r="A2082" s="34"/>
      <c r="B2082" s="35"/>
      <c r="C2082" s="36"/>
      <c r="D2082" s="37"/>
      <c r="E2082" s="36"/>
      <c r="F2082" s="42"/>
      <c r="G2082" s="42"/>
      <c r="H2082" s="42"/>
      <c r="AG2082" s="19">
        <v>2081</v>
      </c>
      <c r="AH2082" s="20">
        <v>-371.55781121851993</v>
      </c>
    </row>
    <row r="2083" spans="1:34" ht="14.5" x14ac:dyDescent="0.35">
      <c r="A2083" s="34"/>
      <c r="B2083" s="35"/>
      <c r="C2083" s="36"/>
      <c r="D2083" s="37"/>
      <c r="E2083" s="36"/>
      <c r="F2083" s="42"/>
      <c r="G2083" s="42"/>
      <c r="H2083" s="42"/>
      <c r="AG2083" s="19">
        <v>2082</v>
      </c>
      <c r="AH2083" s="20">
        <v>-665.06394428760427</v>
      </c>
    </row>
    <row r="2084" spans="1:34" ht="14.5" x14ac:dyDescent="0.35">
      <c r="A2084" s="34"/>
      <c r="B2084" s="35"/>
      <c r="C2084" s="36"/>
      <c r="D2084" s="37"/>
      <c r="E2084" s="36"/>
      <c r="F2084" s="42"/>
      <c r="G2084" s="42"/>
      <c r="H2084" s="42"/>
      <c r="AG2084" s="19">
        <v>2083</v>
      </c>
      <c r="AH2084" s="20">
        <v>-2551.0836933331116</v>
      </c>
    </row>
    <row r="2085" spans="1:34" ht="14.5" x14ac:dyDescent="0.35">
      <c r="A2085" s="34"/>
      <c r="B2085" s="35"/>
      <c r="C2085" s="36"/>
      <c r="D2085" s="37"/>
      <c r="E2085" s="36"/>
      <c r="F2085" s="42"/>
      <c r="G2085" s="42"/>
      <c r="H2085" s="42"/>
      <c r="AG2085" s="19">
        <v>2084</v>
      </c>
      <c r="AH2085" s="20">
        <v>-1731.1935194241553</v>
      </c>
    </row>
    <row r="2086" spans="1:34" ht="14.5" x14ac:dyDescent="0.35">
      <c r="A2086" s="34"/>
      <c r="B2086" s="35"/>
      <c r="C2086" s="36"/>
      <c r="D2086" s="37"/>
      <c r="E2086" s="36"/>
      <c r="F2086" s="42"/>
      <c r="G2086" s="42"/>
      <c r="H2086" s="42"/>
      <c r="AG2086" s="19">
        <v>2085</v>
      </c>
      <c r="AH2086" s="20">
        <v>-571.69282962810644</v>
      </c>
    </row>
    <row r="2087" spans="1:34" ht="14.5" x14ac:dyDescent="0.35">
      <c r="A2087" s="34"/>
      <c r="B2087" s="35"/>
      <c r="C2087" s="36"/>
      <c r="D2087" s="37"/>
      <c r="E2087" s="36"/>
      <c r="F2087" s="42"/>
      <c r="G2087" s="42"/>
      <c r="H2087" s="42"/>
      <c r="AG2087" s="19">
        <v>2086</v>
      </c>
      <c r="AH2087" s="20">
        <v>4667.3442636569107</v>
      </c>
    </row>
    <row r="2088" spans="1:34" ht="14.5" x14ac:dyDescent="0.35">
      <c r="A2088" s="34"/>
      <c r="B2088" s="35"/>
      <c r="C2088" s="36"/>
      <c r="D2088" s="37"/>
      <c r="E2088" s="36"/>
      <c r="F2088" s="42"/>
      <c r="G2088" s="42"/>
      <c r="H2088" s="42"/>
      <c r="AG2088" s="19">
        <v>2087</v>
      </c>
      <c r="AH2088" s="20">
        <v>-1714.4901356969765</v>
      </c>
    </row>
    <row r="2089" spans="1:34" ht="14.5" x14ac:dyDescent="0.35">
      <c r="A2089" s="34"/>
      <c r="B2089" s="35"/>
      <c r="C2089" s="36"/>
      <c r="D2089" s="37"/>
      <c r="E2089" s="36"/>
      <c r="F2089" s="42"/>
      <c r="G2089" s="42"/>
      <c r="H2089" s="42"/>
      <c r="AG2089" s="19">
        <v>2088</v>
      </c>
      <c r="AH2089" s="20">
        <v>-359.88349133580897</v>
      </c>
    </row>
    <row r="2090" spans="1:34" ht="14.5" x14ac:dyDescent="0.35">
      <c r="A2090" s="34"/>
      <c r="B2090" s="35"/>
      <c r="C2090" s="36"/>
      <c r="D2090" s="37"/>
      <c r="E2090" s="36"/>
      <c r="F2090" s="42"/>
      <c r="G2090" s="42"/>
      <c r="H2090" s="42"/>
      <c r="AG2090" s="19">
        <v>2089</v>
      </c>
      <c r="AH2090" s="20">
        <v>-392.06136627175891</v>
      </c>
    </row>
    <row r="2091" spans="1:34" ht="14.5" x14ac:dyDescent="0.35">
      <c r="A2091" s="34"/>
      <c r="B2091" s="35"/>
      <c r="C2091" s="36"/>
      <c r="D2091" s="37"/>
      <c r="E2091" s="36"/>
      <c r="F2091" s="42"/>
      <c r="G2091" s="42"/>
      <c r="H2091" s="42"/>
      <c r="AG2091" s="19">
        <v>2090</v>
      </c>
      <c r="AH2091" s="20">
        <v>4447.9034031586671</v>
      </c>
    </row>
    <row r="2092" spans="1:34" ht="14.5" x14ac:dyDescent="0.35">
      <c r="A2092" s="34"/>
      <c r="B2092" s="35"/>
      <c r="C2092" s="36"/>
      <c r="D2092" s="37"/>
      <c r="E2092" s="36"/>
      <c r="F2092" s="42"/>
      <c r="G2092" s="42"/>
      <c r="H2092" s="42"/>
      <c r="AG2092" s="19">
        <v>2091</v>
      </c>
      <c r="AH2092" s="20">
        <v>769.61042066760842</v>
      </c>
    </row>
    <row r="2093" spans="1:34" ht="14.5" x14ac:dyDescent="0.35">
      <c r="A2093" s="34"/>
      <c r="B2093" s="35"/>
      <c r="C2093" s="36"/>
      <c r="D2093" s="37"/>
      <c r="E2093" s="36"/>
      <c r="F2093" s="42"/>
      <c r="G2093" s="42"/>
      <c r="H2093" s="42"/>
      <c r="AG2093" s="19">
        <v>2092</v>
      </c>
      <c r="AH2093" s="20">
        <v>-3467.2826674532753</v>
      </c>
    </row>
    <row r="2094" spans="1:34" ht="14.5" x14ac:dyDescent="0.35">
      <c r="A2094" s="34"/>
      <c r="B2094" s="35"/>
      <c r="C2094" s="36"/>
      <c r="D2094" s="37"/>
      <c r="E2094" s="36"/>
      <c r="F2094" s="42"/>
      <c r="G2094" s="42"/>
      <c r="H2094" s="42"/>
      <c r="AG2094" s="19">
        <v>2093</v>
      </c>
      <c r="AH2094" s="20">
        <v>453.26425236684776</v>
      </c>
    </row>
    <row r="2095" spans="1:34" ht="14.5" x14ac:dyDescent="0.35">
      <c r="A2095" s="34"/>
      <c r="B2095" s="35"/>
      <c r="C2095" s="36"/>
      <c r="D2095" s="37"/>
      <c r="E2095" s="36"/>
      <c r="F2095" s="42"/>
      <c r="G2095" s="42"/>
      <c r="H2095" s="42"/>
      <c r="AG2095" s="19">
        <v>2094</v>
      </c>
      <c r="AH2095" s="20">
        <v>-846.25838546802424</v>
      </c>
    </row>
    <row r="2096" spans="1:34" ht="14.5" x14ac:dyDescent="0.35">
      <c r="A2096" s="34"/>
      <c r="B2096" s="35"/>
      <c r="C2096" s="36"/>
      <c r="D2096" s="37"/>
      <c r="E2096" s="36"/>
      <c r="F2096" s="42"/>
      <c r="G2096" s="42"/>
      <c r="H2096" s="42"/>
      <c r="AG2096" s="19">
        <v>2095</v>
      </c>
      <c r="AH2096" s="20">
        <v>48.298101552876517</v>
      </c>
    </row>
    <row r="2097" spans="1:34" ht="14.5" x14ac:dyDescent="0.35">
      <c r="A2097" s="34"/>
      <c r="B2097" s="35"/>
      <c r="C2097" s="36"/>
      <c r="D2097" s="37"/>
      <c r="E2097" s="36"/>
      <c r="F2097" s="42"/>
      <c r="G2097" s="42"/>
      <c r="H2097" s="42"/>
      <c r="AG2097" s="19">
        <v>2096</v>
      </c>
      <c r="AH2097" s="20">
        <v>1856.530215101601</v>
      </c>
    </row>
    <row r="2098" spans="1:34" ht="14.5" x14ac:dyDescent="0.35">
      <c r="A2098" s="34"/>
      <c r="B2098" s="35"/>
      <c r="C2098" s="36"/>
      <c r="D2098" s="37"/>
      <c r="E2098" s="36"/>
      <c r="F2098" s="42"/>
      <c r="G2098" s="42"/>
      <c r="H2098" s="42"/>
      <c r="AG2098" s="19">
        <v>2097</v>
      </c>
      <c r="AH2098" s="20">
        <v>2110.6455968234741</v>
      </c>
    </row>
    <row r="2099" spans="1:34" ht="14.5" x14ac:dyDescent="0.35">
      <c r="A2099" s="34"/>
      <c r="B2099" s="35"/>
      <c r="C2099" s="36"/>
      <c r="D2099" s="37"/>
      <c r="E2099" s="36"/>
      <c r="F2099" s="42"/>
      <c r="G2099" s="42"/>
      <c r="H2099" s="42"/>
      <c r="AG2099" s="19">
        <v>2098</v>
      </c>
      <c r="AH2099" s="20">
        <v>1162.3350710163641</v>
      </c>
    </row>
    <row r="2100" spans="1:34" ht="14.5" x14ac:dyDescent="0.35">
      <c r="A2100" s="34"/>
      <c r="B2100" s="35"/>
      <c r="C2100" s="36"/>
      <c r="D2100" s="37"/>
      <c r="E2100" s="36"/>
      <c r="F2100" s="42"/>
      <c r="G2100" s="42"/>
      <c r="H2100" s="42"/>
      <c r="AG2100" s="19">
        <v>2099</v>
      </c>
      <c r="AH2100" s="20">
        <v>742.74891615494971</v>
      </c>
    </row>
    <row r="2101" spans="1:34" ht="14.5" x14ac:dyDescent="0.35">
      <c r="A2101" s="34"/>
      <c r="B2101" s="35"/>
      <c r="C2101" s="36"/>
      <c r="D2101" s="37"/>
      <c r="E2101" s="36"/>
      <c r="F2101" s="42"/>
      <c r="G2101" s="42"/>
      <c r="H2101" s="42"/>
      <c r="AG2101" s="19">
        <v>2100</v>
      </c>
      <c r="AH2101" s="20">
        <v>852.85455391556127</v>
      </c>
    </row>
    <row r="2102" spans="1:34" ht="14.5" x14ac:dyDescent="0.35">
      <c r="A2102" s="34"/>
      <c r="B2102" s="35"/>
      <c r="C2102" s="36"/>
      <c r="D2102" s="37"/>
      <c r="E2102" s="36"/>
      <c r="F2102" s="42"/>
      <c r="G2102" s="42"/>
      <c r="H2102" s="42"/>
      <c r="AG2102" s="19">
        <v>2101</v>
      </c>
      <c r="AH2102" s="20">
        <v>1566.4362163926901</v>
      </c>
    </row>
    <row r="2103" spans="1:34" ht="14.5" x14ac:dyDescent="0.35">
      <c r="A2103" s="34"/>
      <c r="B2103" s="35"/>
      <c r="C2103" s="36"/>
      <c r="D2103" s="37"/>
      <c r="E2103" s="36"/>
      <c r="F2103" s="42"/>
      <c r="G2103" s="42"/>
      <c r="H2103" s="42"/>
      <c r="AG2103" s="19">
        <v>2102</v>
      </c>
      <c r="AH2103" s="20">
        <v>-848.05079226279145</v>
      </c>
    </row>
    <row r="2104" spans="1:34" ht="14.5" x14ac:dyDescent="0.35">
      <c r="A2104" s="34"/>
      <c r="B2104" s="35"/>
      <c r="C2104" s="36"/>
      <c r="D2104" s="37"/>
      <c r="E2104" s="36"/>
      <c r="F2104" s="42"/>
      <c r="G2104" s="42"/>
      <c r="H2104" s="42"/>
      <c r="AG2104" s="19">
        <v>2103</v>
      </c>
      <c r="AH2104" s="20">
        <v>1233.3937868078929</v>
      </c>
    </row>
    <row r="2105" spans="1:34" ht="14.5" x14ac:dyDescent="0.35">
      <c r="A2105" s="34"/>
      <c r="B2105" s="35"/>
      <c r="C2105" s="36"/>
      <c r="D2105" s="37"/>
      <c r="E2105" s="36"/>
      <c r="F2105" s="42"/>
      <c r="G2105" s="42"/>
      <c r="H2105" s="42"/>
      <c r="AG2105" s="19">
        <v>2104</v>
      </c>
      <c r="AH2105" s="20">
        <v>844.49288930886519</v>
      </c>
    </row>
    <row r="2106" spans="1:34" ht="14.5" x14ac:dyDescent="0.35">
      <c r="A2106" s="34"/>
      <c r="B2106" s="35"/>
      <c r="C2106" s="36"/>
      <c r="D2106" s="37"/>
      <c r="E2106" s="36"/>
      <c r="F2106" s="42"/>
      <c r="G2106" s="42"/>
      <c r="H2106" s="42"/>
      <c r="AG2106" s="19">
        <v>2105</v>
      </c>
      <c r="AH2106" s="20">
        <v>1617.5278845620571</v>
      </c>
    </row>
    <row r="2107" spans="1:34" ht="14.5" x14ac:dyDescent="0.35">
      <c r="A2107" s="34"/>
      <c r="B2107" s="35"/>
      <c r="C2107" s="36"/>
      <c r="D2107" s="37"/>
      <c r="E2107" s="36"/>
      <c r="F2107" s="42"/>
      <c r="G2107" s="42"/>
      <c r="H2107" s="42"/>
      <c r="AG2107" s="19">
        <v>2106</v>
      </c>
      <c r="AH2107" s="20">
        <v>292.75539609602419</v>
      </c>
    </row>
    <row r="2108" spans="1:34" ht="14.5" x14ac:dyDescent="0.35">
      <c r="A2108" s="34"/>
      <c r="B2108" s="35"/>
      <c r="C2108" s="36"/>
      <c r="D2108" s="37"/>
      <c r="E2108" s="36"/>
      <c r="F2108" s="42"/>
      <c r="G2108" s="42"/>
      <c r="H2108" s="42"/>
      <c r="AG2108" s="19">
        <v>2107</v>
      </c>
      <c r="AH2108" s="20">
        <v>1665.9529375354009</v>
      </c>
    </row>
    <row r="2109" spans="1:34" ht="14.5" x14ac:dyDescent="0.35">
      <c r="A2109" s="34"/>
      <c r="B2109" s="35"/>
      <c r="C2109" s="36"/>
      <c r="D2109" s="37"/>
      <c r="E2109" s="36"/>
      <c r="F2109" s="42"/>
      <c r="G2109" s="42"/>
      <c r="H2109" s="42"/>
      <c r="AG2109" s="19">
        <v>2108</v>
      </c>
      <c r="AH2109" s="20">
        <v>-435.86497732920242</v>
      </c>
    </row>
    <row r="2110" spans="1:34" ht="14.5" x14ac:dyDescent="0.35">
      <c r="A2110" s="34"/>
      <c r="B2110" s="35"/>
      <c r="C2110" s="36"/>
      <c r="D2110" s="37"/>
      <c r="E2110" s="36"/>
      <c r="F2110" s="42"/>
      <c r="G2110" s="42"/>
      <c r="H2110" s="42"/>
      <c r="AG2110" s="19">
        <v>2109</v>
      </c>
      <c r="AH2110" s="20">
        <v>-577.95516467765083</v>
      </c>
    </row>
    <row r="2111" spans="1:34" ht="14.5" x14ac:dyDescent="0.35">
      <c r="A2111" s="34"/>
      <c r="B2111" s="35"/>
      <c r="C2111" s="36"/>
      <c r="D2111" s="37"/>
      <c r="E2111" s="36"/>
      <c r="F2111" s="42"/>
      <c r="G2111" s="42"/>
      <c r="H2111" s="42"/>
      <c r="AG2111" s="19">
        <v>2110</v>
      </c>
      <c r="AH2111" s="20">
        <v>882.78709903111394</v>
      </c>
    </row>
    <row r="2112" spans="1:34" ht="14.5" x14ac:dyDescent="0.35">
      <c r="A2112" s="34"/>
      <c r="B2112" s="35"/>
      <c r="C2112" s="36"/>
      <c r="D2112" s="37"/>
      <c r="E2112" s="36"/>
      <c r="F2112" s="42"/>
      <c r="G2112" s="42"/>
      <c r="H2112" s="42"/>
      <c r="AG2112" s="19">
        <v>2111</v>
      </c>
      <c r="AH2112" s="20">
        <v>-1907.9877899627897</v>
      </c>
    </row>
    <row r="2113" spans="1:34" ht="14.5" x14ac:dyDescent="0.35">
      <c r="A2113" s="34"/>
      <c r="B2113" s="35"/>
      <c r="C2113" s="36"/>
      <c r="D2113" s="37"/>
      <c r="E2113" s="36"/>
      <c r="F2113" s="42"/>
      <c r="G2113" s="42"/>
      <c r="H2113" s="42"/>
      <c r="AG2113" s="19">
        <v>2112</v>
      </c>
      <c r="AH2113" s="20">
        <v>-2009.3932137459126</v>
      </c>
    </row>
    <row r="2114" spans="1:34" ht="14.5" x14ac:dyDescent="0.35">
      <c r="A2114" s="34"/>
      <c r="B2114" s="35"/>
      <c r="C2114" s="36"/>
      <c r="D2114" s="37"/>
      <c r="E2114" s="36"/>
      <c r="F2114" s="42"/>
      <c r="G2114" s="42"/>
      <c r="H2114" s="42"/>
      <c r="AG2114" s="19">
        <v>2113</v>
      </c>
      <c r="AH2114" s="20">
        <v>-767.17413465621917</v>
      </c>
    </row>
    <row r="2115" spans="1:34" ht="14.5" x14ac:dyDescent="0.35">
      <c r="A2115" s="34"/>
      <c r="B2115" s="35"/>
      <c r="C2115" s="36"/>
      <c r="D2115" s="37"/>
      <c r="E2115" s="36"/>
      <c r="F2115" s="42"/>
      <c r="G2115" s="42"/>
      <c r="H2115" s="42"/>
      <c r="AG2115" s="19">
        <v>2114</v>
      </c>
      <c r="AH2115" s="20">
        <v>-2305.9772396560857</v>
      </c>
    </row>
    <row r="2116" spans="1:34" ht="14.5" x14ac:dyDescent="0.35">
      <c r="A2116" s="34"/>
      <c r="B2116" s="35"/>
      <c r="C2116" s="36"/>
      <c r="D2116" s="37"/>
      <c r="E2116" s="36"/>
      <c r="F2116" s="42"/>
      <c r="G2116" s="42"/>
      <c r="H2116" s="42"/>
      <c r="AG2116" s="19">
        <v>2115</v>
      </c>
      <c r="AH2116" s="20">
        <v>962.23461796997231</v>
      </c>
    </row>
    <row r="2117" spans="1:34" ht="14.5" x14ac:dyDescent="0.35">
      <c r="A2117" s="34"/>
      <c r="B2117" s="35"/>
      <c r="C2117" s="36"/>
      <c r="D2117" s="37"/>
      <c r="E2117" s="36"/>
      <c r="F2117" s="42"/>
      <c r="G2117" s="42"/>
      <c r="H2117" s="42"/>
      <c r="AG2117" s="19">
        <v>2116</v>
      </c>
      <c r="AH2117" s="20">
        <v>2327.8171441750906</v>
      </c>
    </row>
    <row r="2118" spans="1:34" ht="14.5" x14ac:dyDescent="0.35">
      <c r="A2118" s="34"/>
      <c r="B2118" s="35"/>
      <c r="C2118" s="36"/>
      <c r="D2118" s="37"/>
      <c r="E2118" s="36"/>
      <c r="F2118" s="42"/>
      <c r="G2118" s="42"/>
      <c r="H2118" s="42"/>
      <c r="AG2118" s="19">
        <v>2117</v>
      </c>
      <c r="AH2118" s="20">
        <v>-36.594175441400012</v>
      </c>
    </row>
    <row r="2119" spans="1:34" ht="14.5" x14ac:dyDescent="0.35">
      <c r="A2119" s="34"/>
      <c r="B2119" s="35"/>
      <c r="C2119" s="36"/>
      <c r="D2119" s="37"/>
      <c r="E2119" s="36"/>
      <c r="F2119" s="42"/>
      <c r="G2119" s="42"/>
      <c r="H2119" s="42"/>
      <c r="AG2119" s="19">
        <v>2118</v>
      </c>
      <c r="AH2119" s="20">
        <v>198.79030779105989</v>
      </c>
    </row>
    <row r="2120" spans="1:34" ht="14.5" x14ac:dyDescent="0.35">
      <c r="A2120" s="34"/>
      <c r="B2120" s="35"/>
      <c r="C2120" s="36"/>
      <c r="D2120" s="37"/>
      <c r="E2120" s="36"/>
      <c r="F2120" s="42"/>
      <c r="G2120" s="42"/>
      <c r="H2120" s="42"/>
      <c r="AG2120" s="19">
        <v>2119</v>
      </c>
      <c r="AH2120" s="20">
        <v>-2345.3731033871263</v>
      </c>
    </row>
    <row r="2121" spans="1:34" ht="14.5" x14ac:dyDescent="0.35">
      <c r="A2121" s="34"/>
      <c r="B2121" s="35"/>
      <c r="C2121" s="36"/>
      <c r="D2121" s="37"/>
      <c r="E2121" s="36"/>
      <c r="F2121" s="42"/>
      <c r="G2121" s="42"/>
      <c r="H2121" s="42"/>
      <c r="AG2121" s="19">
        <v>2120</v>
      </c>
      <c r="AH2121" s="20">
        <v>4602.8874274399795</v>
      </c>
    </row>
    <row r="2122" spans="1:34" ht="14.5" x14ac:dyDescent="0.35">
      <c r="A2122" s="34"/>
      <c r="B2122" s="35"/>
      <c r="C2122" s="36"/>
      <c r="D2122" s="37"/>
      <c r="E2122" s="36"/>
      <c r="F2122" s="42"/>
      <c r="G2122" s="42"/>
      <c r="H2122" s="42"/>
      <c r="AG2122" s="19">
        <v>2121</v>
      </c>
      <c r="AH2122" s="20">
        <v>-744.67948613145131</v>
      </c>
    </row>
    <row r="2123" spans="1:34" ht="14.5" x14ac:dyDescent="0.35">
      <c r="A2123" s="34"/>
      <c r="B2123" s="35"/>
      <c r="C2123" s="36"/>
      <c r="D2123" s="37"/>
      <c r="E2123" s="36"/>
      <c r="F2123" s="42"/>
      <c r="G2123" s="42"/>
      <c r="H2123" s="42"/>
      <c r="AG2123" s="19">
        <v>2122</v>
      </c>
      <c r="AH2123" s="20">
        <v>3258.9457824674546</v>
      </c>
    </row>
    <row r="2124" spans="1:34" ht="14.5" x14ac:dyDescent="0.35">
      <c r="A2124" s="34"/>
      <c r="B2124" s="35"/>
      <c r="C2124" s="36"/>
      <c r="D2124" s="37"/>
      <c r="E2124" s="36"/>
      <c r="F2124" s="42"/>
      <c r="G2124" s="42"/>
      <c r="H2124" s="42"/>
      <c r="AG2124" s="19">
        <v>2123</v>
      </c>
      <c r="AH2124" s="20">
        <v>1734.0891552539304</v>
      </c>
    </row>
    <row r="2125" spans="1:34" ht="14.5" x14ac:dyDescent="0.35">
      <c r="A2125" s="34"/>
      <c r="B2125" s="35"/>
      <c r="C2125" s="36"/>
      <c r="D2125" s="37"/>
      <c r="E2125" s="36"/>
      <c r="F2125" s="42"/>
      <c r="G2125" s="42"/>
      <c r="H2125" s="42"/>
      <c r="AG2125" s="19">
        <v>2124</v>
      </c>
      <c r="AH2125" s="20">
        <v>1381.8660947452315</v>
      </c>
    </row>
    <row r="2126" spans="1:34" ht="14.5" x14ac:dyDescent="0.35">
      <c r="A2126" s="34"/>
      <c r="B2126" s="35"/>
      <c r="C2126" s="36"/>
      <c r="D2126" s="37"/>
      <c r="E2126" s="36"/>
      <c r="F2126" s="42"/>
      <c r="G2126" s="42"/>
      <c r="H2126" s="42"/>
      <c r="AG2126" s="19">
        <v>2125</v>
      </c>
      <c r="AH2126" s="20">
        <v>3854.36759154331</v>
      </c>
    </row>
    <row r="2127" spans="1:34" ht="14.5" x14ac:dyDescent="0.35">
      <c r="A2127" s="34"/>
      <c r="B2127" s="35"/>
      <c r="C2127" s="36"/>
      <c r="D2127" s="37"/>
      <c r="E2127" s="36"/>
      <c r="F2127" s="42"/>
      <c r="G2127" s="42"/>
      <c r="H2127" s="42"/>
      <c r="AG2127" s="19">
        <v>2126</v>
      </c>
      <c r="AH2127" s="20">
        <v>-999.19421207968412</v>
      </c>
    </row>
    <row r="2128" spans="1:34" ht="14.5" x14ac:dyDescent="0.35">
      <c r="A2128" s="34"/>
      <c r="B2128" s="35"/>
      <c r="C2128" s="36"/>
      <c r="D2128" s="37"/>
      <c r="E2128" s="36"/>
      <c r="F2128" s="42"/>
      <c r="G2128" s="42"/>
      <c r="H2128" s="42"/>
      <c r="AG2128" s="19">
        <v>2127</v>
      </c>
      <c r="AH2128" s="20">
        <v>-2854.5023458081923</v>
      </c>
    </row>
    <row r="2129" spans="1:34" ht="14.5" x14ac:dyDescent="0.35">
      <c r="A2129" s="34"/>
      <c r="B2129" s="35"/>
      <c r="C2129" s="36"/>
      <c r="D2129" s="37"/>
      <c r="E2129" s="36"/>
      <c r="F2129" s="42"/>
      <c r="G2129" s="42"/>
      <c r="H2129" s="42"/>
      <c r="AG2129" s="19">
        <v>2128</v>
      </c>
      <c r="AH2129" s="20">
        <v>1335.0170014614446</v>
      </c>
    </row>
    <row r="2130" spans="1:34" ht="14.5" x14ac:dyDescent="0.35">
      <c r="A2130" s="34"/>
      <c r="B2130" s="35"/>
      <c r="C2130" s="36"/>
      <c r="D2130" s="37"/>
      <c r="E2130" s="36"/>
      <c r="F2130" s="42"/>
      <c r="G2130" s="42"/>
      <c r="H2130" s="42"/>
      <c r="AG2130" s="19">
        <v>2129</v>
      </c>
      <c r="AH2130" s="20">
        <v>-1944.10583025038</v>
      </c>
    </row>
    <row r="2131" spans="1:34" ht="14.5" x14ac:dyDescent="0.35">
      <c r="A2131" s="34"/>
      <c r="B2131" s="35"/>
      <c r="C2131" s="36"/>
      <c r="D2131" s="37"/>
      <c r="E2131" s="36"/>
      <c r="F2131" s="42"/>
      <c r="G2131" s="42"/>
      <c r="H2131" s="42"/>
      <c r="AG2131" s="19">
        <v>2130</v>
      </c>
      <c r="AH2131" s="20">
        <v>12.425188497808278</v>
      </c>
    </row>
    <row r="2132" spans="1:34" ht="14.5" x14ac:dyDescent="0.35">
      <c r="A2132" s="34"/>
      <c r="B2132" s="35"/>
      <c r="C2132" s="36"/>
      <c r="D2132" s="37"/>
      <c r="E2132" s="36"/>
      <c r="F2132" s="42"/>
      <c r="G2132" s="42"/>
      <c r="H2132" s="42"/>
      <c r="AG2132" s="19">
        <v>2131</v>
      </c>
      <c r="AH2132" s="20">
        <v>1641.9452096973914</v>
      </c>
    </row>
    <row r="2133" spans="1:34" ht="14.5" x14ac:dyDescent="0.35">
      <c r="A2133" s="34"/>
      <c r="B2133" s="35"/>
      <c r="C2133" s="36"/>
      <c r="D2133" s="37"/>
      <c r="E2133" s="36"/>
      <c r="F2133" s="42"/>
      <c r="G2133" s="42"/>
      <c r="H2133" s="42"/>
      <c r="AG2133" s="19">
        <v>2132</v>
      </c>
      <c r="AH2133" s="20">
        <v>626.52499789814999</v>
      </c>
    </row>
    <row r="2134" spans="1:34" ht="14.5" x14ac:dyDescent="0.35">
      <c r="A2134" s="34"/>
      <c r="B2134" s="35"/>
      <c r="C2134" s="36"/>
      <c r="D2134" s="37"/>
      <c r="E2134" s="36"/>
      <c r="F2134" s="42"/>
      <c r="G2134" s="42"/>
      <c r="H2134" s="42"/>
      <c r="AG2134" s="19">
        <v>2133</v>
      </c>
      <c r="AH2134" s="20">
        <v>-2442.149009364467</v>
      </c>
    </row>
    <row r="2135" spans="1:34" ht="14.5" x14ac:dyDescent="0.35">
      <c r="A2135" s="34"/>
      <c r="B2135" s="35"/>
      <c r="C2135" s="36"/>
      <c r="D2135" s="37"/>
      <c r="E2135" s="36"/>
      <c r="F2135" s="42"/>
      <c r="G2135" s="42"/>
      <c r="H2135" s="42"/>
      <c r="AG2135" s="19">
        <v>2134</v>
      </c>
      <c r="AH2135" s="20">
        <v>176.21892596636744</v>
      </c>
    </row>
    <row r="2136" spans="1:34" ht="14.5" x14ac:dyDescent="0.35">
      <c r="A2136" s="34"/>
      <c r="B2136" s="35"/>
      <c r="C2136" s="36"/>
      <c r="D2136" s="37"/>
      <c r="E2136" s="36"/>
      <c r="F2136" s="42"/>
      <c r="G2136" s="42"/>
      <c r="H2136" s="42"/>
      <c r="AG2136" s="19">
        <v>2135</v>
      </c>
      <c r="AH2136" s="20">
        <v>3473.5042759005391</v>
      </c>
    </row>
    <row r="2137" spans="1:34" ht="14.5" x14ac:dyDescent="0.35">
      <c r="A2137" s="34"/>
      <c r="B2137" s="35"/>
      <c r="C2137" s="36"/>
      <c r="D2137" s="37"/>
      <c r="E2137" s="36"/>
      <c r="F2137" s="42"/>
      <c r="G2137" s="42"/>
      <c r="H2137" s="42"/>
      <c r="AG2137" s="19">
        <v>2136</v>
      </c>
      <c r="AH2137" s="20">
        <v>-388.44165473048719</v>
      </c>
    </row>
    <row r="2138" spans="1:34" ht="14.5" x14ac:dyDescent="0.35">
      <c r="A2138" s="34"/>
      <c r="B2138" s="35"/>
      <c r="C2138" s="36"/>
      <c r="D2138" s="37"/>
      <c r="E2138" s="36"/>
      <c r="F2138" s="42"/>
      <c r="G2138" s="42"/>
      <c r="H2138" s="42"/>
      <c r="AG2138" s="19">
        <v>2137</v>
      </c>
      <c r="AH2138" s="20">
        <v>1721.5186586318971</v>
      </c>
    </row>
    <row r="2139" spans="1:34" ht="14.5" x14ac:dyDescent="0.35">
      <c r="A2139" s="34"/>
      <c r="B2139" s="35"/>
      <c r="C2139" s="36"/>
      <c r="D2139" s="37"/>
      <c r="E2139" s="36"/>
      <c r="F2139" s="42"/>
      <c r="G2139" s="42"/>
      <c r="H2139" s="42"/>
      <c r="AG2139" s="19">
        <v>2138</v>
      </c>
      <c r="AH2139" s="20">
        <v>1144.5415365059921</v>
      </c>
    </row>
    <row r="2140" spans="1:34" ht="14.5" x14ac:dyDescent="0.35">
      <c r="A2140" s="34"/>
      <c r="B2140" s="35"/>
      <c r="C2140" s="36"/>
      <c r="D2140" s="37"/>
      <c r="E2140" s="36"/>
      <c r="F2140" s="42"/>
      <c r="G2140" s="42"/>
      <c r="H2140" s="42"/>
      <c r="AG2140" s="19">
        <v>2139</v>
      </c>
      <c r="AH2140" s="20">
        <v>-159.12131984111858</v>
      </c>
    </row>
    <row r="2141" spans="1:34" ht="14.5" x14ac:dyDescent="0.35">
      <c r="A2141" s="34"/>
      <c r="B2141" s="35"/>
      <c r="C2141" s="36"/>
      <c r="D2141" s="37"/>
      <c r="E2141" s="36"/>
      <c r="F2141" s="42"/>
      <c r="G2141" s="42"/>
      <c r="H2141" s="42"/>
      <c r="AG2141" s="19">
        <v>2140</v>
      </c>
      <c r="AH2141" s="20">
        <v>1283.3120091307178</v>
      </c>
    </row>
    <row r="2142" spans="1:34" ht="14.5" x14ac:dyDescent="0.35">
      <c r="A2142" s="34"/>
      <c r="B2142" s="35"/>
      <c r="C2142" s="36"/>
      <c r="D2142" s="37"/>
      <c r="E2142" s="36"/>
      <c r="F2142" s="42"/>
      <c r="G2142" s="42"/>
      <c r="H2142" s="42"/>
      <c r="AG2142" s="19">
        <v>2141</v>
      </c>
      <c r="AH2142" s="20">
        <v>217.13954266438364</v>
      </c>
    </row>
    <row r="2143" spans="1:34" ht="14.5" x14ac:dyDescent="0.35">
      <c r="A2143" s="34"/>
      <c r="B2143" s="35"/>
      <c r="C2143" s="36"/>
      <c r="D2143" s="37"/>
      <c r="E2143" s="36"/>
      <c r="F2143" s="42"/>
      <c r="G2143" s="42"/>
      <c r="H2143" s="42"/>
      <c r="AG2143" s="19">
        <v>2142</v>
      </c>
      <c r="AH2143" s="20">
        <v>655.3416536126972</v>
      </c>
    </row>
    <row r="2144" spans="1:34" ht="14.5" x14ac:dyDescent="0.35">
      <c r="A2144" s="34"/>
      <c r="B2144" s="35"/>
      <c r="C2144" s="36"/>
      <c r="D2144" s="37"/>
      <c r="E2144" s="36"/>
      <c r="F2144" s="42"/>
      <c r="G2144" s="42"/>
      <c r="H2144" s="42"/>
      <c r="AG2144" s="19">
        <v>2143</v>
      </c>
      <c r="AH2144" s="20">
        <v>1730.2890113770497</v>
      </c>
    </row>
    <row r="2145" spans="1:34" ht="14.5" x14ac:dyDescent="0.35">
      <c r="A2145" s="34"/>
      <c r="B2145" s="35"/>
      <c r="C2145" s="36"/>
      <c r="D2145" s="37"/>
      <c r="E2145" s="36"/>
      <c r="F2145" s="42"/>
      <c r="G2145" s="42"/>
      <c r="H2145" s="42"/>
      <c r="AG2145" s="19">
        <v>2144</v>
      </c>
      <c r="AH2145" s="20">
        <v>-514.53465389457529</v>
      </c>
    </row>
    <row r="2146" spans="1:34" ht="14.5" x14ac:dyDescent="0.35">
      <c r="A2146" s="34"/>
      <c r="B2146" s="35"/>
      <c r="C2146" s="36"/>
      <c r="D2146" s="37"/>
      <c r="E2146" s="36"/>
      <c r="F2146" s="42"/>
      <c r="G2146" s="42"/>
      <c r="H2146" s="42"/>
      <c r="AG2146" s="19">
        <v>2145</v>
      </c>
      <c r="AH2146" s="20">
        <v>-1406.4383243764712</v>
      </c>
    </row>
    <row r="2147" spans="1:34" ht="14.5" x14ac:dyDescent="0.35">
      <c r="A2147" s="34"/>
      <c r="B2147" s="35"/>
      <c r="C2147" s="36"/>
      <c r="D2147" s="37"/>
      <c r="E2147" s="36"/>
      <c r="F2147" s="42"/>
      <c r="G2147" s="42"/>
      <c r="H2147" s="42"/>
      <c r="AG2147" s="19">
        <v>2146</v>
      </c>
      <c r="AH2147" s="20">
        <v>51.75749887210111</v>
      </c>
    </row>
    <row r="2148" spans="1:34" ht="14.5" x14ac:dyDescent="0.35">
      <c r="A2148" s="34"/>
      <c r="B2148" s="35"/>
      <c r="C2148" s="36"/>
      <c r="D2148" s="37"/>
      <c r="E2148" s="36"/>
      <c r="F2148" s="42"/>
      <c r="G2148" s="42"/>
      <c r="H2148" s="42"/>
      <c r="AG2148" s="19">
        <v>2147</v>
      </c>
      <c r="AH2148" s="20">
        <v>-452.80541545134992</v>
      </c>
    </row>
    <row r="2149" spans="1:34" ht="14.5" x14ac:dyDescent="0.35">
      <c r="A2149" s="34"/>
      <c r="B2149" s="35"/>
      <c r="C2149" s="36"/>
      <c r="D2149" s="37"/>
      <c r="E2149" s="36"/>
      <c r="F2149" s="42"/>
      <c r="G2149" s="42"/>
      <c r="H2149" s="42"/>
      <c r="AG2149" s="19">
        <v>2148</v>
      </c>
      <c r="AH2149" s="20">
        <v>-678.07163533311837</v>
      </c>
    </row>
    <row r="2150" spans="1:34" ht="14.5" x14ac:dyDescent="0.35">
      <c r="A2150" s="34"/>
      <c r="B2150" s="35"/>
      <c r="C2150" s="36"/>
      <c r="D2150" s="37"/>
      <c r="E2150" s="36"/>
      <c r="F2150" s="42"/>
      <c r="G2150" s="42"/>
      <c r="H2150" s="42"/>
      <c r="AG2150" s="19">
        <v>2149</v>
      </c>
      <c r="AH2150" s="20">
        <v>3876.9655205904346</v>
      </c>
    </row>
    <row r="2151" spans="1:34" ht="14.5" x14ac:dyDescent="0.35">
      <c r="A2151" s="34"/>
      <c r="B2151" s="35"/>
      <c r="C2151" s="36"/>
      <c r="D2151" s="37"/>
      <c r="E2151" s="36"/>
      <c r="F2151" s="42"/>
      <c r="G2151" s="42"/>
      <c r="H2151" s="42"/>
      <c r="AG2151" s="19">
        <v>2150</v>
      </c>
      <c r="AH2151" s="20">
        <v>549.15778872730425</v>
      </c>
    </row>
    <row r="2152" spans="1:34" ht="14.5" x14ac:dyDescent="0.35">
      <c r="A2152" s="34"/>
      <c r="B2152" s="35"/>
      <c r="C2152" s="36"/>
      <c r="D2152" s="37"/>
      <c r="E2152" s="36"/>
      <c r="F2152" s="42"/>
      <c r="G2152" s="42"/>
      <c r="H2152" s="42"/>
      <c r="AG2152" s="19">
        <v>2151</v>
      </c>
      <c r="AH2152" s="20">
        <v>95.850033249889179</v>
      </c>
    </row>
    <row r="2153" spans="1:34" ht="14.5" x14ac:dyDescent="0.35">
      <c r="A2153" s="34"/>
      <c r="B2153" s="35"/>
      <c r="C2153" s="36"/>
      <c r="D2153" s="37"/>
      <c r="E2153" s="36"/>
      <c r="F2153" s="42"/>
      <c r="G2153" s="42"/>
      <c r="H2153" s="42"/>
      <c r="AG2153" s="19">
        <v>2152</v>
      </c>
      <c r="AH2153" s="20">
        <v>-1822.5016510356634</v>
      </c>
    </row>
    <row r="2154" spans="1:34" ht="14.5" x14ac:dyDescent="0.35">
      <c r="A2154" s="34"/>
      <c r="B2154" s="35"/>
      <c r="C2154" s="36"/>
      <c r="D2154" s="37"/>
      <c r="E2154" s="36"/>
      <c r="F2154" s="42"/>
      <c r="G2154" s="42"/>
      <c r="H2154" s="42"/>
      <c r="AG2154" s="19">
        <v>2153</v>
      </c>
      <c r="AH2154" s="20">
        <v>2734.5161064798931</v>
      </c>
    </row>
    <row r="2155" spans="1:34" ht="14.5" x14ac:dyDescent="0.35">
      <c r="A2155" s="34"/>
      <c r="B2155" s="35"/>
      <c r="C2155" s="36"/>
      <c r="D2155" s="37"/>
      <c r="E2155" s="36"/>
      <c r="F2155" s="42"/>
      <c r="G2155" s="42"/>
      <c r="H2155" s="42"/>
      <c r="AG2155" s="19">
        <v>2154</v>
      </c>
      <c r="AH2155" s="20">
        <v>-236.5194425333795</v>
      </c>
    </row>
    <row r="2156" spans="1:34" ht="14.5" x14ac:dyDescent="0.35">
      <c r="A2156" s="34"/>
      <c r="B2156" s="35"/>
      <c r="C2156" s="36"/>
      <c r="D2156" s="37"/>
      <c r="E2156" s="36"/>
      <c r="F2156" s="42"/>
      <c r="G2156" s="42"/>
      <c r="H2156" s="42"/>
      <c r="AG2156" s="19">
        <v>2155</v>
      </c>
      <c r="AH2156" s="20">
        <v>-169.10278899210329</v>
      </c>
    </row>
    <row r="2157" spans="1:34" ht="14.5" x14ac:dyDescent="0.35">
      <c r="A2157" s="34"/>
      <c r="B2157" s="35"/>
      <c r="C2157" s="36"/>
      <c r="D2157" s="37"/>
      <c r="E2157" s="36"/>
      <c r="F2157" s="42"/>
      <c r="G2157" s="42"/>
      <c r="H2157" s="42"/>
      <c r="AG2157" s="19">
        <v>2156</v>
      </c>
      <c r="AH2157" s="20">
        <v>-126.60635129860799</v>
      </c>
    </row>
    <row r="2158" spans="1:34" ht="14.5" x14ac:dyDescent="0.35">
      <c r="A2158" s="34"/>
      <c r="B2158" s="35"/>
      <c r="C2158" s="36"/>
      <c r="D2158" s="37"/>
      <c r="E2158" s="36"/>
      <c r="F2158" s="42"/>
      <c r="G2158" s="42"/>
      <c r="H2158" s="42"/>
      <c r="AG2158" s="19">
        <v>2157</v>
      </c>
      <c r="AH2158" s="20">
        <v>3192.5525347958519</v>
      </c>
    </row>
    <row r="2159" spans="1:34" ht="14.5" x14ac:dyDescent="0.35">
      <c r="A2159" s="34"/>
      <c r="B2159" s="35"/>
      <c r="C2159" s="36"/>
      <c r="D2159" s="37"/>
      <c r="E2159" s="36"/>
      <c r="F2159" s="42"/>
      <c r="G2159" s="42"/>
      <c r="H2159" s="42"/>
      <c r="AG2159" s="19">
        <v>2158</v>
      </c>
      <c r="AH2159" s="20">
        <v>873.54876362910238</v>
      </c>
    </row>
    <row r="2160" spans="1:34" ht="14.5" x14ac:dyDescent="0.35">
      <c r="A2160" s="34"/>
      <c r="B2160" s="35"/>
      <c r="C2160" s="36"/>
      <c r="D2160" s="37"/>
      <c r="E2160" s="36"/>
      <c r="F2160" s="42"/>
      <c r="G2160" s="42"/>
      <c r="H2160" s="42"/>
      <c r="AG2160" s="19">
        <v>2159</v>
      </c>
      <c r="AH2160" s="20">
        <v>-1176.3629699314474</v>
      </c>
    </row>
    <row r="2161" spans="1:34" ht="14.5" x14ac:dyDescent="0.35">
      <c r="A2161" s="34"/>
      <c r="B2161" s="35"/>
      <c r="C2161" s="36"/>
      <c r="D2161" s="37"/>
      <c r="E2161" s="36"/>
      <c r="F2161" s="42"/>
      <c r="G2161" s="42"/>
      <c r="H2161" s="42"/>
      <c r="AG2161" s="19">
        <v>2160</v>
      </c>
      <c r="AH2161" s="20">
        <v>1510.8285338045205</v>
      </c>
    </row>
    <row r="2162" spans="1:34" ht="14.5" x14ac:dyDescent="0.35">
      <c r="A2162" s="34"/>
      <c r="B2162" s="35"/>
      <c r="C2162" s="36"/>
      <c r="D2162" s="37"/>
      <c r="E2162" s="36"/>
      <c r="F2162" s="42"/>
      <c r="G2162" s="42"/>
      <c r="H2162" s="42"/>
      <c r="AG2162" s="19">
        <v>2161</v>
      </c>
      <c r="AH2162" s="20">
        <v>-2266.0674129419394</v>
      </c>
    </row>
    <row r="2163" spans="1:34" ht="14.5" x14ac:dyDescent="0.35">
      <c r="A2163" s="34"/>
      <c r="B2163" s="35"/>
      <c r="C2163" s="36"/>
      <c r="D2163" s="37"/>
      <c r="E2163" s="36"/>
      <c r="F2163" s="42"/>
      <c r="G2163" s="42"/>
      <c r="H2163" s="42"/>
      <c r="AG2163" s="19">
        <v>2162</v>
      </c>
      <c r="AH2163" s="20">
        <v>1965.5688688125319</v>
      </c>
    </row>
    <row r="2164" spans="1:34" ht="14.5" x14ac:dyDescent="0.35">
      <c r="A2164" s="34"/>
      <c r="B2164" s="35"/>
      <c r="C2164" s="36"/>
      <c r="D2164" s="37"/>
      <c r="E2164" s="36"/>
      <c r="F2164" s="42"/>
      <c r="G2164" s="42"/>
      <c r="H2164" s="42"/>
      <c r="AG2164" s="19">
        <v>2163</v>
      </c>
      <c r="AH2164" s="20">
        <v>528.90961440651404</v>
      </c>
    </row>
    <row r="2165" spans="1:34" ht="14.5" x14ac:dyDescent="0.35">
      <c r="A2165" s="34"/>
      <c r="B2165" s="35"/>
      <c r="C2165" s="36"/>
      <c r="D2165" s="37"/>
      <c r="E2165" s="36"/>
      <c r="F2165" s="42"/>
      <c r="G2165" s="42"/>
      <c r="H2165" s="42"/>
      <c r="AG2165" s="19">
        <v>2164</v>
      </c>
      <c r="AH2165" s="20">
        <v>-837.16443270972127</v>
      </c>
    </row>
    <row r="2166" spans="1:34" ht="14.5" x14ac:dyDescent="0.35">
      <c r="A2166" s="34"/>
      <c r="B2166" s="35"/>
      <c r="C2166" s="36"/>
      <c r="D2166" s="37"/>
      <c r="E2166" s="36"/>
      <c r="F2166" s="42"/>
      <c r="G2166" s="42"/>
      <c r="H2166" s="42"/>
      <c r="AG2166" s="19">
        <v>2165</v>
      </c>
      <c r="AH2166" s="20">
        <v>-1993.4794064197383</v>
      </c>
    </row>
    <row r="2167" spans="1:34" ht="14.5" x14ac:dyDescent="0.35">
      <c r="A2167" s="34"/>
      <c r="B2167" s="35"/>
      <c r="C2167" s="36"/>
      <c r="D2167" s="37"/>
      <c r="E2167" s="36"/>
      <c r="F2167" s="42"/>
      <c r="G2167" s="42"/>
      <c r="H2167" s="42"/>
      <c r="AG2167" s="19">
        <v>2166</v>
      </c>
      <c r="AH2167" s="20">
        <v>-127.80436926221086</v>
      </c>
    </row>
    <row r="2168" spans="1:34" ht="14.5" x14ac:dyDescent="0.35">
      <c r="A2168" s="34"/>
      <c r="B2168" s="35"/>
      <c r="C2168" s="36"/>
      <c r="D2168" s="37"/>
      <c r="E2168" s="36"/>
      <c r="F2168" s="42"/>
      <c r="G2168" s="42"/>
      <c r="H2168" s="42"/>
      <c r="AG2168" s="19">
        <v>2167</v>
      </c>
      <c r="AH2168" s="20">
        <v>1648.5369938221661</v>
      </c>
    </row>
    <row r="2169" spans="1:34" ht="14.5" x14ac:dyDescent="0.35">
      <c r="A2169" s="34"/>
      <c r="B2169" s="35"/>
      <c r="C2169" s="36"/>
      <c r="D2169" s="37"/>
      <c r="E2169" s="36"/>
      <c r="F2169" s="42"/>
      <c r="G2169" s="42"/>
      <c r="H2169" s="42"/>
      <c r="AG2169" s="19">
        <v>2168</v>
      </c>
      <c r="AH2169" s="20">
        <v>3363.7180246676694</v>
      </c>
    </row>
    <row r="2170" spans="1:34" ht="14.5" x14ac:dyDescent="0.35">
      <c r="A2170" s="34"/>
      <c r="B2170" s="35"/>
      <c r="C2170" s="36"/>
      <c r="D2170" s="37"/>
      <c r="E2170" s="36"/>
      <c r="F2170" s="42"/>
      <c r="G2170" s="42"/>
      <c r="H2170" s="42"/>
      <c r="AG2170" s="19">
        <v>2169</v>
      </c>
      <c r="AH2170" s="20">
        <v>-3604.2840390184324</v>
      </c>
    </row>
    <row r="2171" spans="1:34" ht="14.5" x14ac:dyDescent="0.35">
      <c r="A2171" s="34"/>
      <c r="B2171" s="35"/>
      <c r="C2171" s="36"/>
      <c r="D2171" s="37"/>
      <c r="E2171" s="36"/>
      <c r="F2171" s="42"/>
      <c r="G2171" s="42"/>
      <c r="H2171" s="42"/>
      <c r="AG2171" s="19">
        <v>2170</v>
      </c>
      <c r="AH2171" s="20">
        <v>351.79038987404232</v>
      </c>
    </row>
    <row r="2172" spans="1:34" ht="14.5" x14ac:dyDescent="0.35">
      <c r="A2172" s="34"/>
      <c r="B2172" s="35"/>
      <c r="C2172" s="36"/>
      <c r="D2172" s="37"/>
      <c r="E2172" s="36"/>
      <c r="F2172" s="42"/>
      <c r="G2172" s="42"/>
      <c r="H2172" s="42"/>
      <c r="AG2172" s="19">
        <v>2171</v>
      </c>
      <c r="AH2172" s="20">
        <v>-4295.8695105581564</v>
      </c>
    </row>
    <row r="2173" spans="1:34" ht="14.5" x14ac:dyDescent="0.35">
      <c r="A2173" s="34"/>
      <c r="B2173" s="35"/>
      <c r="C2173" s="36"/>
      <c r="D2173" s="37"/>
      <c r="E2173" s="36"/>
      <c r="F2173" s="42"/>
      <c r="G2173" s="42"/>
      <c r="H2173" s="42"/>
      <c r="AG2173" s="19">
        <v>2172</v>
      </c>
      <c r="AH2173" s="20">
        <v>4076.8208011060328</v>
      </c>
    </row>
    <row r="2174" spans="1:34" ht="14.5" x14ac:dyDescent="0.35">
      <c r="A2174" s="34"/>
      <c r="B2174" s="35"/>
      <c r="C2174" s="36"/>
      <c r="D2174" s="37"/>
      <c r="E2174" s="36"/>
      <c r="F2174" s="42"/>
      <c r="G2174" s="42"/>
      <c r="H2174" s="42"/>
      <c r="AG2174" s="19">
        <v>2173</v>
      </c>
      <c r="AH2174" s="20">
        <v>1876.720514621569</v>
      </c>
    </row>
    <row r="2175" spans="1:34" ht="14.5" x14ac:dyDescent="0.35">
      <c r="A2175" s="34"/>
      <c r="B2175" s="35"/>
      <c r="C2175" s="36"/>
      <c r="D2175" s="37"/>
      <c r="E2175" s="36"/>
      <c r="F2175" s="42"/>
      <c r="G2175" s="42"/>
      <c r="H2175" s="42"/>
      <c r="AG2175" s="19">
        <v>2174</v>
      </c>
      <c r="AH2175" s="20">
        <v>1783.9739583034902</v>
      </c>
    </row>
    <row r="2176" spans="1:34" ht="14.5" x14ac:dyDescent="0.35">
      <c r="A2176" s="34"/>
      <c r="B2176" s="35"/>
      <c r="C2176" s="36"/>
      <c r="D2176" s="37"/>
      <c r="E2176" s="36"/>
      <c r="F2176" s="42"/>
      <c r="G2176" s="42"/>
      <c r="H2176" s="42"/>
      <c r="AG2176" s="19">
        <v>2175</v>
      </c>
      <c r="AH2176" s="20">
        <v>-464.7333499085118</v>
      </c>
    </row>
    <row r="2177" spans="1:34" ht="14.5" x14ac:dyDescent="0.35">
      <c r="A2177" s="34"/>
      <c r="B2177" s="35"/>
      <c r="C2177" s="36"/>
      <c r="D2177" s="37"/>
      <c r="E2177" s="36"/>
      <c r="F2177" s="42"/>
      <c r="G2177" s="42"/>
      <c r="H2177" s="42"/>
      <c r="AG2177" s="19">
        <v>2176</v>
      </c>
      <c r="AH2177" s="20">
        <v>-2938.6122161650501</v>
      </c>
    </row>
    <row r="2178" spans="1:34" ht="14.5" x14ac:dyDescent="0.35">
      <c r="A2178" s="34"/>
      <c r="B2178" s="35"/>
      <c r="C2178" s="36"/>
      <c r="D2178" s="37"/>
      <c r="E2178" s="36"/>
      <c r="F2178" s="42"/>
      <c r="G2178" s="42"/>
      <c r="H2178" s="42"/>
      <c r="AG2178" s="19">
        <v>2177</v>
      </c>
      <c r="AH2178" s="20">
        <v>-1120.4537830111758</v>
      </c>
    </row>
    <row r="2179" spans="1:34" ht="14.5" x14ac:dyDescent="0.35">
      <c r="A2179" s="34"/>
      <c r="B2179" s="35"/>
      <c r="C2179" s="36"/>
      <c r="D2179" s="37"/>
      <c r="E2179" s="36"/>
      <c r="F2179" s="42"/>
      <c r="G2179" s="42"/>
      <c r="H2179" s="42"/>
      <c r="AG2179" s="19">
        <v>2178</v>
      </c>
      <c r="AH2179" s="20">
        <v>1515.1803805904242</v>
      </c>
    </row>
    <row r="2180" spans="1:34" ht="14.5" x14ac:dyDescent="0.35">
      <c r="A2180" s="34"/>
      <c r="B2180" s="35"/>
      <c r="C2180" s="36"/>
      <c r="D2180" s="37"/>
      <c r="E2180" s="36"/>
      <c r="F2180" s="42"/>
      <c r="G2180" s="42"/>
      <c r="H2180" s="42"/>
      <c r="AG2180" s="19">
        <v>2179</v>
      </c>
      <c r="AH2180" s="20">
        <v>-312.9020292192875</v>
      </c>
    </row>
    <row r="2181" spans="1:34" ht="14.5" x14ac:dyDescent="0.35">
      <c r="A2181" s="34"/>
      <c r="B2181" s="35"/>
      <c r="C2181" s="36"/>
      <c r="D2181" s="37"/>
      <c r="E2181" s="36"/>
      <c r="F2181" s="42"/>
      <c r="G2181" s="42"/>
      <c r="H2181" s="42"/>
      <c r="AG2181" s="19">
        <v>2180</v>
      </c>
      <c r="AH2181" s="20">
        <v>3860.30332312673</v>
      </c>
    </row>
    <row r="2182" spans="1:34" ht="14.5" x14ac:dyDescent="0.35">
      <c r="A2182" s="34"/>
      <c r="B2182" s="35"/>
      <c r="C2182" s="36"/>
      <c r="D2182" s="37"/>
      <c r="E2182" s="36"/>
      <c r="F2182" s="42"/>
      <c r="G2182" s="42"/>
      <c r="H2182" s="42"/>
      <c r="AG2182" s="19">
        <v>2181</v>
      </c>
      <c r="AH2182" s="20">
        <v>115.76377711503096</v>
      </c>
    </row>
    <row r="2183" spans="1:34" ht="14.5" x14ac:dyDescent="0.35">
      <c r="A2183" s="34"/>
      <c r="B2183" s="35"/>
      <c r="C2183" s="36"/>
      <c r="D2183" s="37"/>
      <c r="E2183" s="36"/>
      <c r="F2183" s="42"/>
      <c r="G2183" s="42"/>
      <c r="H2183" s="42"/>
      <c r="AG2183" s="19">
        <v>2182</v>
      </c>
      <c r="AH2183" s="20">
        <v>-1034.34216487555</v>
      </c>
    </row>
    <row r="2184" spans="1:34" ht="14.5" x14ac:dyDescent="0.35">
      <c r="A2184" s="34"/>
      <c r="B2184" s="35"/>
      <c r="C2184" s="36"/>
      <c r="D2184" s="37"/>
      <c r="E2184" s="36"/>
      <c r="F2184" s="42"/>
      <c r="G2184" s="42"/>
      <c r="H2184" s="42"/>
      <c r="AG2184" s="19">
        <v>2183</v>
      </c>
      <c r="AH2184" s="20">
        <v>-48.879182385524359</v>
      </c>
    </row>
    <row r="2185" spans="1:34" ht="14.5" x14ac:dyDescent="0.35">
      <c r="A2185" s="34"/>
      <c r="B2185" s="35"/>
      <c r="C2185" s="36"/>
      <c r="D2185" s="37"/>
      <c r="E2185" s="36"/>
      <c r="F2185" s="42"/>
      <c r="G2185" s="42"/>
      <c r="H2185" s="42"/>
      <c r="AG2185" s="19">
        <v>2184</v>
      </c>
      <c r="AH2185" s="20">
        <v>496.74968460506778</v>
      </c>
    </row>
    <row r="2186" spans="1:34" ht="14.5" x14ac:dyDescent="0.35">
      <c r="A2186" s="34"/>
      <c r="B2186" s="35"/>
      <c r="C2186" s="36"/>
      <c r="D2186" s="37"/>
      <c r="E2186" s="36"/>
      <c r="F2186" s="42"/>
      <c r="G2186" s="42"/>
      <c r="H2186" s="42"/>
      <c r="AG2186" s="19">
        <v>2185</v>
      </c>
      <c r="AH2186" s="20">
        <v>5058.0094455314011</v>
      </c>
    </row>
    <row r="2187" spans="1:34" ht="14.5" x14ac:dyDescent="0.35">
      <c r="A2187" s="34"/>
      <c r="B2187" s="35"/>
      <c r="C2187" s="36"/>
      <c r="D2187" s="37"/>
      <c r="E2187" s="36"/>
      <c r="F2187" s="42"/>
      <c r="G2187" s="42"/>
      <c r="H2187" s="42"/>
      <c r="AG2187" s="19">
        <v>2186</v>
      </c>
      <c r="AH2187" s="20">
        <v>-451.51920726696932</v>
      </c>
    </row>
    <row r="2188" spans="1:34" ht="14.5" x14ac:dyDescent="0.35">
      <c r="A2188" s="34"/>
      <c r="B2188" s="35"/>
      <c r="C2188" s="36"/>
      <c r="D2188" s="37"/>
      <c r="E2188" s="36"/>
      <c r="F2188" s="42"/>
      <c r="G2188" s="42"/>
      <c r="H2188" s="42"/>
      <c r="AG2188" s="19">
        <v>2187</v>
      </c>
      <c r="AH2188" s="20">
        <v>-240.29632575787372</v>
      </c>
    </row>
    <row r="2189" spans="1:34" ht="14.5" x14ac:dyDescent="0.35">
      <c r="A2189" s="34"/>
      <c r="B2189" s="35"/>
      <c r="C2189" s="36"/>
      <c r="D2189" s="37"/>
      <c r="E2189" s="36"/>
      <c r="F2189" s="42"/>
      <c r="G2189" s="42"/>
      <c r="H2189" s="42"/>
      <c r="AG2189" s="19">
        <v>2188</v>
      </c>
      <c r="AH2189" s="20">
        <v>1460.5464891351123</v>
      </c>
    </row>
    <row r="2190" spans="1:34" ht="14.5" x14ac:dyDescent="0.35">
      <c r="A2190" s="34"/>
      <c r="B2190" s="35"/>
      <c r="C2190" s="36"/>
      <c r="D2190" s="37"/>
      <c r="E2190" s="36"/>
      <c r="F2190" s="42"/>
      <c r="G2190" s="42"/>
      <c r="H2190" s="42"/>
      <c r="AG2190" s="19">
        <v>2189</v>
      </c>
      <c r="AH2190" s="20">
        <v>1686.756653618789</v>
      </c>
    </row>
    <row r="2191" spans="1:34" ht="14.5" x14ac:dyDescent="0.35">
      <c r="A2191" s="34"/>
      <c r="B2191" s="35"/>
      <c r="C2191" s="36"/>
      <c r="D2191" s="37"/>
      <c r="E2191" s="36"/>
      <c r="F2191" s="42"/>
      <c r="G2191" s="42"/>
      <c r="H2191" s="42"/>
      <c r="AG2191" s="19">
        <v>2190</v>
      </c>
      <c r="AH2191" s="20">
        <v>4041.4087529760986</v>
      </c>
    </row>
    <row r="2192" spans="1:34" ht="14.5" x14ac:dyDescent="0.35">
      <c r="A2192" s="34"/>
      <c r="B2192" s="35"/>
      <c r="C2192" s="36"/>
      <c r="D2192" s="37"/>
      <c r="E2192" s="36"/>
      <c r="F2192" s="42"/>
      <c r="G2192" s="42"/>
      <c r="H2192" s="42"/>
      <c r="AG2192" s="19">
        <v>2191</v>
      </c>
      <c r="AH2192" s="20">
        <v>-330.20625526813416</v>
      </c>
    </row>
    <row r="2193" spans="1:34" ht="14.5" x14ac:dyDescent="0.35">
      <c r="A2193" s="34"/>
      <c r="B2193" s="35"/>
      <c r="C2193" s="36"/>
      <c r="D2193" s="37"/>
      <c r="E2193" s="36"/>
      <c r="F2193" s="42"/>
      <c r="G2193" s="42"/>
      <c r="H2193" s="42"/>
      <c r="AG2193" s="19">
        <v>2192</v>
      </c>
      <c r="AH2193" s="20">
        <v>-3262.9571567548946</v>
      </c>
    </row>
    <row r="2194" spans="1:34" ht="14.5" x14ac:dyDescent="0.35">
      <c r="A2194" s="34"/>
      <c r="B2194" s="35"/>
      <c r="C2194" s="36"/>
      <c r="D2194" s="37"/>
      <c r="E2194" s="36"/>
      <c r="F2194" s="42"/>
      <c r="G2194" s="42"/>
      <c r="H2194" s="42"/>
      <c r="AG2194" s="19">
        <v>2193</v>
      </c>
      <c r="AH2194" s="20">
        <v>-1434.6662996423606</v>
      </c>
    </row>
    <row r="2195" spans="1:34" ht="14.5" x14ac:dyDescent="0.35">
      <c r="A2195" s="34"/>
      <c r="B2195" s="35"/>
      <c r="C2195" s="36"/>
      <c r="D2195" s="37"/>
      <c r="E2195" s="36"/>
      <c r="F2195" s="42"/>
      <c r="G2195" s="42"/>
      <c r="H2195" s="42"/>
      <c r="AG2195" s="19">
        <v>2194</v>
      </c>
      <c r="AH2195" s="20">
        <v>-1269.4502053204319</v>
      </c>
    </row>
    <row r="2196" spans="1:34" ht="14.5" x14ac:dyDescent="0.35">
      <c r="A2196" s="34"/>
      <c r="B2196" s="35"/>
      <c r="C2196" s="36"/>
      <c r="D2196" s="37"/>
      <c r="E2196" s="36"/>
      <c r="F2196" s="42"/>
      <c r="G2196" s="42"/>
      <c r="H2196" s="42"/>
      <c r="AG2196" s="19">
        <v>2195</v>
      </c>
      <c r="AH2196" s="20">
        <v>1908.0997394974647</v>
      </c>
    </row>
    <row r="2197" spans="1:34" ht="14.5" x14ac:dyDescent="0.35">
      <c r="A2197" s="34"/>
      <c r="B2197" s="35"/>
      <c r="C2197" s="36"/>
      <c r="D2197" s="37"/>
      <c r="E2197" s="36"/>
      <c r="F2197" s="42"/>
      <c r="G2197" s="42"/>
      <c r="H2197" s="42"/>
      <c r="AG2197" s="19">
        <v>2196</v>
      </c>
      <c r="AH2197" s="20">
        <v>1078.7004714261932</v>
      </c>
    </row>
    <row r="2198" spans="1:34" ht="14.5" x14ac:dyDescent="0.35">
      <c r="A2198" s="34"/>
      <c r="B2198" s="35"/>
      <c r="C2198" s="36"/>
      <c r="D2198" s="37"/>
      <c r="E2198" s="36"/>
      <c r="F2198" s="42"/>
      <c r="G2198" s="42"/>
      <c r="H2198" s="42"/>
      <c r="AG2198" s="19">
        <v>2197</v>
      </c>
      <c r="AH2198" s="20">
        <v>-63.219144054766957</v>
      </c>
    </row>
    <row r="2199" spans="1:34" ht="14.5" x14ac:dyDescent="0.35">
      <c r="A2199" s="34"/>
      <c r="B2199" s="35"/>
      <c r="C2199" s="36"/>
      <c r="D2199" s="37"/>
      <c r="E2199" s="36"/>
      <c r="F2199" s="42"/>
      <c r="G2199" s="42"/>
      <c r="H2199" s="42"/>
      <c r="AG2199" s="19">
        <v>2198</v>
      </c>
      <c r="AH2199" s="20">
        <v>-3332.9484306516979</v>
      </c>
    </row>
    <row r="2200" spans="1:34" ht="14.5" x14ac:dyDescent="0.35">
      <c r="A2200" s="34"/>
      <c r="B2200" s="35"/>
      <c r="C2200" s="36"/>
      <c r="D2200" s="37"/>
      <c r="E2200" s="36"/>
      <c r="F2200" s="42"/>
      <c r="G2200" s="42"/>
      <c r="H2200" s="42"/>
      <c r="AG2200" s="19">
        <v>2199</v>
      </c>
      <c r="AH2200" s="20">
        <v>2334.4722906947004</v>
      </c>
    </row>
    <row r="2201" spans="1:34" ht="14.5" x14ac:dyDescent="0.35">
      <c r="A2201" s="34"/>
      <c r="B2201" s="35"/>
      <c r="C2201" s="36"/>
      <c r="D2201" s="37"/>
      <c r="E2201" s="36"/>
      <c r="F2201" s="42"/>
      <c r="G2201" s="42"/>
      <c r="H2201" s="42"/>
      <c r="AG2201" s="19">
        <v>2200</v>
      </c>
      <c r="AH2201" s="20">
        <v>-1705.1993780562373</v>
      </c>
    </row>
    <row r="2202" spans="1:34" ht="14.5" x14ac:dyDescent="0.35">
      <c r="A2202" s="34"/>
      <c r="B2202" s="35"/>
      <c r="C2202" s="36"/>
      <c r="D2202" s="37"/>
      <c r="E2202" s="36"/>
      <c r="F2202" s="42"/>
      <c r="G2202" s="42"/>
      <c r="H2202" s="42"/>
      <c r="AG2202" s="19">
        <v>2201</v>
      </c>
      <c r="AH2202" s="20">
        <v>1572.6343120365857</v>
      </c>
    </row>
    <row r="2203" spans="1:34" ht="14.5" x14ac:dyDescent="0.35">
      <c r="A2203" s="34"/>
      <c r="B2203" s="35"/>
      <c r="C2203" s="36"/>
      <c r="D2203" s="37"/>
      <c r="E2203" s="36"/>
      <c r="F2203" s="42"/>
      <c r="G2203" s="42"/>
      <c r="H2203" s="42"/>
      <c r="AG2203" s="19">
        <v>2202</v>
      </c>
      <c r="AH2203" s="20">
        <v>970.47163555002362</v>
      </c>
    </row>
    <row r="2204" spans="1:34" ht="14.5" x14ac:dyDescent="0.35">
      <c r="A2204" s="34"/>
      <c r="B2204" s="35"/>
      <c r="C2204" s="36"/>
      <c r="D2204" s="37"/>
      <c r="E2204" s="36"/>
      <c r="F2204" s="42"/>
      <c r="G2204" s="42"/>
      <c r="H2204" s="42"/>
      <c r="AG2204" s="19">
        <v>2203</v>
      </c>
      <c r="AH2204" s="20">
        <v>185.83406606189993</v>
      </c>
    </row>
    <row r="2205" spans="1:34" ht="14.5" x14ac:dyDescent="0.35">
      <c r="A2205" s="34"/>
      <c r="B2205" s="35"/>
      <c r="C2205" s="36"/>
      <c r="D2205" s="37"/>
      <c r="E2205" s="36"/>
      <c r="F2205" s="42"/>
      <c r="G2205" s="42"/>
      <c r="H2205" s="42"/>
      <c r="AG2205" s="19">
        <v>2204</v>
      </c>
      <c r="AH2205" s="20">
        <v>-367.22163052484171</v>
      </c>
    </row>
    <row r="2206" spans="1:34" ht="14.5" x14ac:dyDescent="0.35">
      <c r="A2206" s="34"/>
      <c r="B2206" s="35"/>
      <c r="C2206" s="36"/>
      <c r="D2206" s="37"/>
      <c r="E2206" s="36"/>
      <c r="F2206" s="42"/>
      <c r="G2206" s="42"/>
      <c r="H2206" s="42"/>
      <c r="AG2206" s="19">
        <v>2205</v>
      </c>
      <c r="AH2206" s="20">
        <v>2434.8297412931356</v>
      </c>
    </row>
    <row r="2207" spans="1:34" ht="14.5" x14ac:dyDescent="0.35">
      <c r="A2207" s="34"/>
      <c r="B2207" s="35"/>
      <c r="C2207" s="36"/>
      <c r="D2207" s="37"/>
      <c r="E2207" s="36"/>
      <c r="F2207" s="42"/>
      <c r="G2207" s="42"/>
      <c r="H2207" s="42"/>
      <c r="AG2207" s="19">
        <v>2206</v>
      </c>
      <c r="AH2207" s="20">
        <v>2564.4173767697562</v>
      </c>
    </row>
    <row r="2208" spans="1:34" ht="14.5" x14ac:dyDescent="0.35">
      <c r="A2208" s="34"/>
      <c r="B2208" s="35"/>
      <c r="C2208" s="36"/>
      <c r="D2208" s="37"/>
      <c r="E2208" s="36"/>
      <c r="F2208" s="42"/>
      <c r="G2208" s="42"/>
      <c r="H2208" s="42"/>
      <c r="AG2208" s="19">
        <v>2207</v>
      </c>
      <c r="AH2208" s="20">
        <v>-2458.7734398976045</v>
      </c>
    </row>
    <row r="2209" spans="1:34" ht="14.5" x14ac:dyDescent="0.35">
      <c r="A2209" s="34"/>
      <c r="B2209" s="35"/>
      <c r="C2209" s="36"/>
      <c r="D2209" s="37"/>
      <c r="E2209" s="36"/>
      <c r="F2209" s="42"/>
      <c r="G2209" s="42"/>
      <c r="H2209" s="42"/>
      <c r="AG2209" s="19">
        <v>2208</v>
      </c>
      <c r="AH2209" s="20">
        <v>193.13477754969227</v>
      </c>
    </row>
    <row r="2210" spans="1:34" ht="14.5" x14ac:dyDescent="0.35">
      <c r="A2210" s="34"/>
      <c r="B2210" s="35"/>
      <c r="C2210" s="36"/>
      <c r="D2210" s="37"/>
      <c r="E2210" s="36"/>
      <c r="F2210" s="42"/>
      <c r="G2210" s="42"/>
      <c r="H2210" s="42"/>
      <c r="AG2210" s="19">
        <v>2209</v>
      </c>
      <c r="AH2210" s="20">
        <v>-1593.1079738704711</v>
      </c>
    </row>
    <row r="2211" spans="1:34" ht="14.5" x14ac:dyDescent="0.35">
      <c r="A2211" s="34"/>
      <c r="B2211" s="35"/>
      <c r="C2211" s="36"/>
      <c r="D2211" s="37"/>
      <c r="E2211" s="36"/>
      <c r="F2211" s="42"/>
      <c r="G2211" s="42"/>
      <c r="H2211" s="42"/>
      <c r="AG2211" s="19">
        <v>2210</v>
      </c>
      <c r="AH2211" s="20">
        <v>316.13903653127477</v>
      </c>
    </row>
    <row r="2212" spans="1:34" ht="14.5" x14ac:dyDescent="0.35">
      <c r="A2212" s="34"/>
      <c r="B2212" s="35"/>
      <c r="C2212" s="36"/>
      <c r="D2212" s="37"/>
      <c r="E2212" s="36"/>
      <c r="F2212" s="42"/>
      <c r="G2212" s="42"/>
      <c r="H2212" s="42"/>
      <c r="AG2212" s="19">
        <v>2211</v>
      </c>
      <c r="AH2212" s="20">
        <v>-976.03473963607235</v>
      </c>
    </row>
    <row r="2213" spans="1:34" ht="14.5" x14ac:dyDescent="0.35">
      <c r="A2213" s="34"/>
      <c r="B2213" s="35"/>
      <c r="C2213" s="36"/>
      <c r="D2213" s="37"/>
      <c r="E2213" s="36"/>
      <c r="F2213" s="42"/>
      <c r="G2213" s="42"/>
      <c r="H2213" s="42"/>
      <c r="AG2213" s="19">
        <v>2212</v>
      </c>
      <c r="AH2213" s="20">
        <v>431.11773467546988</v>
      </c>
    </row>
    <row r="2214" spans="1:34" ht="14.5" x14ac:dyDescent="0.35">
      <c r="A2214" s="34"/>
      <c r="B2214" s="35"/>
      <c r="C2214" s="36"/>
      <c r="D2214" s="37"/>
      <c r="E2214" s="36"/>
      <c r="F2214" s="42"/>
      <c r="G2214" s="42"/>
      <c r="H2214" s="42"/>
      <c r="AG2214" s="19">
        <v>2213</v>
      </c>
      <c r="AH2214" s="20">
        <v>1558.5194046314382</v>
      </c>
    </row>
    <row r="2215" spans="1:34" ht="14.5" x14ac:dyDescent="0.35">
      <c r="A2215" s="34"/>
      <c r="B2215" s="35"/>
      <c r="C2215" s="36"/>
      <c r="D2215" s="37"/>
      <c r="E2215" s="36"/>
      <c r="F2215" s="42"/>
      <c r="G2215" s="42"/>
      <c r="H2215" s="42"/>
      <c r="AG2215" s="19">
        <v>2214</v>
      </c>
      <c r="AH2215" s="20">
        <v>-3719.5627161929988</v>
      </c>
    </row>
    <row r="2216" spans="1:34" ht="14.5" x14ac:dyDescent="0.35">
      <c r="A2216" s="34"/>
      <c r="B2216" s="35"/>
      <c r="C2216" s="36"/>
      <c r="D2216" s="37"/>
      <c r="E2216" s="36"/>
      <c r="F2216" s="42"/>
      <c r="G2216" s="42"/>
      <c r="H2216" s="42"/>
      <c r="AG2216" s="19">
        <v>2215</v>
      </c>
      <c r="AH2216" s="20">
        <v>-2645.8411020134931</v>
      </c>
    </row>
    <row r="2217" spans="1:34" ht="14.5" x14ac:dyDescent="0.35">
      <c r="A2217" s="34"/>
      <c r="B2217" s="35"/>
      <c r="C2217" s="36"/>
      <c r="D2217" s="37"/>
      <c r="E2217" s="36"/>
      <c r="F2217" s="42"/>
      <c r="G2217" s="42"/>
      <c r="H2217" s="42"/>
      <c r="AG2217" s="19">
        <v>2216</v>
      </c>
      <c r="AH2217" s="20">
        <v>702.27667181160666</v>
      </c>
    </row>
    <row r="2218" spans="1:34" ht="14.5" x14ac:dyDescent="0.35">
      <c r="A2218" s="34"/>
      <c r="B2218" s="35"/>
      <c r="C2218" s="36"/>
      <c r="D2218" s="37"/>
      <c r="E2218" s="36"/>
      <c r="F2218" s="42"/>
      <c r="G2218" s="42"/>
      <c r="H2218" s="42"/>
      <c r="AG2218" s="19">
        <v>2217</v>
      </c>
      <c r="AH2218" s="20">
        <v>-1456.3518053275611</v>
      </c>
    </row>
    <row r="2219" spans="1:34" ht="14.5" x14ac:dyDescent="0.35">
      <c r="A2219" s="34"/>
      <c r="B2219" s="35"/>
      <c r="C2219" s="36"/>
      <c r="D2219" s="37"/>
      <c r="E2219" s="36"/>
      <c r="F2219" s="42"/>
      <c r="G2219" s="42"/>
      <c r="H2219" s="42"/>
      <c r="AG2219" s="19">
        <v>2218</v>
      </c>
      <c r="AH2219" s="20">
        <v>3259.9985916334026</v>
      </c>
    </row>
    <row r="2220" spans="1:34" ht="14.5" x14ac:dyDescent="0.35">
      <c r="A2220" s="34"/>
      <c r="B2220" s="35"/>
      <c r="C2220" s="36"/>
      <c r="D2220" s="37"/>
      <c r="E2220" s="36"/>
      <c r="F2220" s="42"/>
      <c r="G2220" s="42"/>
      <c r="H2220" s="42"/>
      <c r="AG2220" s="19">
        <v>2219</v>
      </c>
      <c r="AH2220" s="20">
        <v>-2537.8850757844311</v>
      </c>
    </row>
    <row r="2221" spans="1:34" ht="14.5" x14ac:dyDescent="0.35">
      <c r="A2221" s="34"/>
      <c r="B2221" s="35"/>
      <c r="C2221" s="36"/>
      <c r="D2221" s="37"/>
      <c r="E2221" s="36"/>
      <c r="F2221" s="42"/>
      <c r="G2221" s="42"/>
      <c r="H2221" s="42"/>
      <c r="AG2221" s="19">
        <v>2220</v>
      </c>
      <c r="AH2221" s="20">
        <v>-987.79131792582439</v>
      </c>
    </row>
    <row r="2222" spans="1:34" ht="14.5" x14ac:dyDescent="0.35">
      <c r="A2222" s="34"/>
      <c r="B2222" s="35"/>
      <c r="C2222" s="36"/>
      <c r="D2222" s="37"/>
      <c r="E2222" s="36"/>
      <c r="F2222" s="42"/>
      <c r="G2222" s="42"/>
      <c r="H2222" s="42"/>
      <c r="AG2222" s="19">
        <v>2221</v>
      </c>
      <c r="AH2222" s="20">
        <v>-2452.6831509092481</v>
      </c>
    </row>
    <row r="2223" spans="1:34" ht="14.5" x14ac:dyDescent="0.35">
      <c r="A2223" s="34"/>
      <c r="B2223" s="35"/>
      <c r="C2223" s="36"/>
      <c r="D2223" s="37"/>
      <c r="E2223" s="36"/>
      <c r="F2223" s="42"/>
      <c r="G2223" s="42"/>
      <c r="H2223" s="42"/>
      <c r="AG2223" s="19">
        <v>2222</v>
      </c>
      <c r="AH2223" s="20">
        <v>1003.045834287396</v>
      </c>
    </row>
    <row r="2224" spans="1:34" ht="14.5" x14ac:dyDescent="0.35">
      <c r="A2224" s="34"/>
      <c r="B2224" s="35"/>
      <c r="C2224" s="36"/>
      <c r="D2224" s="37"/>
      <c r="E2224" s="36"/>
      <c r="F2224" s="42"/>
      <c r="G2224" s="42"/>
      <c r="H2224" s="42"/>
      <c r="AG2224" s="19">
        <v>2223</v>
      </c>
      <c r="AH2224" s="20">
        <v>-2059.9933410844924</v>
      </c>
    </row>
    <row r="2225" spans="1:34" ht="14.5" x14ac:dyDescent="0.35">
      <c r="A2225" s="34"/>
      <c r="B2225" s="35"/>
      <c r="C2225" s="36"/>
      <c r="D2225" s="37"/>
      <c r="E2225" s="36"/>
      <c r="F2225" s="42"/>
      <c r="G2225" s="42"/>
      <c r="H2225" s="42"/>
      <c r="AG2225" s="19">
        <v>2224</v>
      </c>
      <c r="AH2225" s="20">
        <v>1955.499008537287</v>
      </c>
    </row>
    <row r="2226" spans="1:34" ht="14.5" x14ac:dyDescent="0.35">
      <c r="A2226" s="34"/>
      <c r="B2226" s="35"/>
      <c r="C2226" s="36"/>
      <c r="D2226" s="37"/>
      <c r="E2226" s="36"/>
      <c r="F2226" s="42"/>
      <c r="G2226" s="42"/>
      <c r="H2226" s="42"/>
      <c r="AG2226" s="19">
        <v>2225</v>
      </c>
      <c r="AH2226" s="20">
        <v>-2039.4450967595319</v>
      </c>
    </row>
    <row r="2227" spans="1:34" ht="14.5" x14ac:dyDescent="0.35">
      <c r="A2227" s="34"/>
      <c r="B2227" s="35"/>
      <c r="C2227" s="36"/>
      <c r="D2227" s="37"/>
      <c r="E2227" s="36"/>
      <c r="F2227" s="42"/>
      <c r="G2227" s="42"/>
      <c r="H2227" s="42"/>
      <c r="AG2227" s="19">
        <v>2226</v>
      </c>
      <c r="AH2227" s="20">
        <v>691.66430777296216</v>
      </c>
    </row>
    <row r="2228" spans="1:34" ht="14.5" x14ac:dyDescent="0.35">
      <c r="A2228" s="34"/>
      <c r="B2228" s="35"/>
      <c r="C2228" s="36"/>
      <c r="D2228" s="37"/>
      <c r="E2228" s="36"/>
      <c r="F2228" s="42"/>
      <c r="G2228" s="42"/>
      <c r="H2228" s="42"/>
      <c r="AG2228" s="19">
        <v>2227</v>
      </c>
      <c r="AH2228" s="20">
        <v>2394.5094332083349</v>
      </c>
    </row>
    <row r="2229" spans="1:34" ht="14.5" x14ac:dyDescent="0.35">
      <c r="A2229" s="34"/>
      <c r="B2229" s="35"/>
      <c r="C2229" s="36"/>
      <c r="D2229" s="37"/>
      <c r="E2229" s="36"/>
      <c r="F2229" s="42"/>
      <c r="G2229" s="42"/>
      <c r="H2229" s="42"/>
      <c r="AG2229" s="19">
        <v>2228</v>
      </c>
      <c r="AH2229" s="20">
        <v>281.41547677484095</v>
      </c>
    </row>
    <row r="2230" spans="1:34" ht="14.5" x14ac:dyDescent="0.35">
      <c r="A2230" s="34"/>
      <c r="B2230" s="35"/>
      <c r="C2230" s="36"/>
      <c r="D2230" s="37"/>
      <c r="E2230" s="36"/>
      <c r="F2230" s="42"/>
      <c r="G2230" s="42"/>
      <c r="H2230" s="42"/>
      <c r="AG2230" s="19">
        <v>2229</v>
      </c>
      <c r="AH2230" s="20">
        <v>1789.0981015922114</v>
      </c>
    </row>
    <row r="2231" spans="1:34" ht="14.5" x14ac:dyDescent="0.35">
      <c r="A2231" s="34"/>
      <c r="B2231" s="35"/>
      <c r="C2231" s="36"/>
      <c r="D2231" s="37"/>
      <c r="E2231" s="36"/>
      <c r="F2231" s="42"/>
      <c r="G2231" s="42"/>
      <c r="H2231" s="42"/>
      <c r="AG2231" s="19">
        <v>2230</v>
      </c>
      <c r="AH2231" s="20">
        <v>3662.5200120673371</v>
      </c>
    </row>
    <row r="2232" spans="1:34" ht="14.5" x14ac:dyDescent="0.35">
      <c r="A2232" s="34"/>
      <c r="B2232" s="35"/>
      <c r="C2232" s="36"/>
      <c r="D2232" s="37"/>
      <c r="E2232" s="36"/>
      <c r="F2232" s="42"/>
      <c r="G2232" s="42"/>
      <c r="H2232" s="42"/>
      <c r="AG2232" s="19">
        <v>2231</v>
      </c>
      <c r="AH2232" s="20">
        <v>4141.2416125836644</v>
      </c>
    </row>
    <row r="2233" spans="1:34" ht="14.5" x14ac:dyDescent="0.35">
      <c r="A2233" s="34"/>
      <c r="B2233" s="35"/>
      <c r="C2233" s="36"/>
      <c r="D2233" s="37"/>
      <c r="E2233" s="36"/>
      <c r="F2233" s="42"/>
      <c r="G2233" s="42"/>
      <c r="H2233" s="42"/>
      <c r="AG2233" s="19">
        <v>2232</v>
      </c>
      <c r="AH2233" s="20">
        <v>-1055.2700996377</v>
      </c>
    </row>
    <row r="2234" spans="1:34" ht="14.5" x14ac:dyDescent="0.35">
      <c r="A2234" s="34"/>
      <c r="B2234" s="35"/>
      <c r="C2234" s="36"/>
      <c r="D2234" s="37"/>
      <c r="E2234" s="36"/>
      <c r="F2234" s="42"/>
      <c r="G2234" s="42"/>
      <c r="H2234" s="42"/>
      <c r="AG2234" s="19">
        <v>2233</v>
      </c>
      <c r="AH2234" s="20">
        <v>4374.3856985569228</v>
      </c>
    </row>
    <row r="2235" spans="1:34" ht="14.5" x14ac:dyDescent="0.35">
      <c r="A2235" s="34"/>
      <c r="B2235" s="35"/>
      <c r="C2235" s="36"/>
      <c r="D2235" s="37"/>
      <c r="E2235" s="36"/>
      <c r="F2235" s="42"/>
      <c r="G2235" s="42"/>
      <c r="H2235" s="42"/>
      <c r="AG2235" s="19">
        <v>2234</v>
      </c>
      <c r="AH2235" s="20">
        <v>198.58854931630745</v>
      </c>
    </row>
    <row r="2236" spans="1:34" ht="14.5" x14ac:dyDescent="0.35">
      <c r="A2236" s="34"/>
      <c r="B2236" s="35"/>
      <c r="C2236" s="36"/>
      <c r="D2236" s="37"/>
      <c r="E2236" s="36"/>
      <c r="F2236" s="42"/>
      <c r="G2236" s="42"/>
      <c r="H2236" s="42"/>
      <c r="AG2236" s="19">
        <v>2235</v>
      </c>
      <c r="AH2236" s="20">
        <v>1785.4184318767059</v>
      </c>
    </row>
    <row r="2237" spans="1:34" ht="14.5" x14ac:dyDescent="0.35">
      <c r="A2237" s="34"/>
      <c r="B2237" s="35"/>
      <c r="C2237" s="36"/>
      <c r="D2237" s="37"/>
      <c r="E2237" s="36"/>
      <c r="F2237" s="42"/>
      <c r="G2237" s="42"/>
      <c r="H2237" s="42"/>
      <c r="AG2237" s="19">
        <v>2236</v>
      </c>
      <c r="AH2237" s="20">
        <v>-715.22061979051159</v>
      </c>
    </row>
    <row r="2238" spans="1:34" ht="14.5" x14ac:dyDescent="0.35">
      <c r="A2238" s="34"/>
      <c r="B2238" s="35"/>
      <c r="C2238" s="36"/>
      <c r="D2238" s="37"/>
      <c r="E2238" s="36"/>
      <c r="F2238" s="42"/>
      <c r="G2238" s="42"/>
      <c r="H2238" s="42"/>
      <c r="AG2238" s="19">
        <v>2237</v>
      </c>
      <c r="AH2238" s="20">
        <v>1435.6683326704745</v>
      </c>
    </row>
    <row r="2239" spans="1:34" ht="14.5" x14ac:dyDescent="0.35">
      <c r="A2239" s="34"/>
      <c r="B2239" s="35"/>
      <c r="C2239" s="36"/>
      <c r="D2239" s="37"/>
      <c r="E2239" s="36"/>
      <c r="F2239" s="42"/>
      <c r="G2239" s="42"/>
      <c r="H2239" s="42"/>
      <c r="AG2239" s="19">
        <v>2238</v>
      </c>
      <c r="AH2239" s="20">
        <v>-1071.3607162362323</v>
      </c>
    </row>
    <row r="2240" spans="1:34" ht="14.5" x14ac:dyDescent="0.35">
      <c r="A2240" s="34"/>
      <c r="B2240" s="35"/>
      <c r="C2240" s="36"/>
      <c r="D2240" s="37"/>
      <c r="E2240" s="36"/>
      <c r="F2240" s="42"/>
      <c r="G2240" s="42"/>
      <c r="H2240" s="42"/>
      <c r="AG2240" s="19">
        <v>2239</v>
      </c>
      <c r="AH2240" s="20">
        <v>2999.5750637412007</v>
      </c>
    </row>
    <row r="2241" spans="1:34" ht="14.5" x14ac:dyDescent="0.35">
      <c r="A2241" s="34"/>
      <c r="B2241" s="35"/>
      <c r="C2241" s="36"/>
      <c r="D2241" s="37"/>
      <c r="E2241" s="36"/>
      <c r="F2241" s="42"/>
      <c r="G2241" s="42"/>
      <c r="H2241" s="42"/>
      <c r="AG2241" s="19">
        <v>2240</v>
      </c>
      <c r="AH2241" s="20">
        <v>-1455.3066070587124</v>
      </c>
    </row>
    <row r="2242" spans="1:34" ht="14.5" x14ac:dyDescent="0.35">
      <c r="A2242" s="34"/>
      <c r="B2242" s="35"/>
      <c r="C2242" s="36"/>
      <c r="D2242" s="37"/>
      <c r="E2242" s="36"/>
      <c r="F2242" s="42"/>
      <c r="G2242" s="42"/>
      <c r="H2242" s="42"/>
      <c r="AG2242" s="19">
        <v>2241</v>
      </c>
      <c r="AH2242" s="20">
        <v>1205.3682899058317</v>
      </c>
    </row>
    <row r="2243" spans="1:34" ht="14.5" x14ac:dyDescent="0.35">
      <c r="A2243" s="34"/>
      <c r="B2243" s="35"/>
      <c r="C2243" s="36"/>
      <c r="D2243" s="37"/>
      <c r="E2243" s="36"/>
      <c r="F2243" s="42"/>
      <c r="G2243" s="42"/>
      <c r="H2243" s="42"/>
      <c r="AG2243" s="19">
        <v>2242</v>
      </c>
      <c r="AH2243" s="20">
        <v>2315.3389034999004</v>
      </c>
    </row>
    <row r="2244" spans="1:34" ht="14.5" x14ac:dyDescent="0.35">
      <c r="A2244" s="34"/>
      <c r="B2244" s="35"/>
      <c r="C2244" s="36"/>
      <c r="D2244" s="37"/>
      <c r="E2244" s="36"/>
      <c r="F2244" s="42"/>
      <c r="G2244" s="42"/>
      <c r="H2244" s="42"/>
      <c r="AG2244" s="19">
        <v>2243</v>
      </c>
      <c r="AH2244" s="20">
        <v>1901.5859238394871</v>
      </c>
    </row>
    <row r="2245" spans="1:34" ht="14.5" x14ac:dyDescent="0.35">
      <c r="A2245" s="34"/>
      <c r="B2245" s="35"/>
      <c r="C2245" s="36"/>
      <c r="D2245" s="37"/>
      <c r="E2245" s="36"/>
      <c r="F2245" s="42"/>
      <c r="G2245" s="42"/>
      <c r="H2245" s="42"/>
      <c r="AG2245" s="19">
        <v>2244</v>
      </c>
      <c r="AH2245" s="20">
        <v>-1124.8040528277022</v>
      </c>
    </row>
    <row r="2246" spans="1:34" ht="14.5" x14ac:dyDescent="0.35">
      <c r="A2246" s="34"/>
      <c r="B2246" s="35"/>
      <c r="C2246" s="36"/>
      <c r="D2246" s="37"/>
      <c r="E2246" s="36"/>
      <c r="F2246" s="42"/>
      <c r="G2246" s="42"/>
      <c r="H2246" s="42"/>
      <c r="AG2246" s="19">
        <v>2245</v>
      </c>
      <c r="AH2246" s="20">
        <v>3933.4251188733419</v>
      </c>
    </row>
    <row r="2247" spans="1:34" ht="14.5" x14ac:dyDescent="0.35">
      <c r="A2247" s="34"/>
      <c r="B2247" s="35"/>
      <c r="C2247" s="36"/>
      <c r="D2247" s="37"/>
      <c r="E2247" s="36"/>
      <c r="F2247" s="42"/>
      <c r="G2247" s="42"/>
      <c r="H2247" s="42"/>
      <c r="AG2247" s="19">
        <v>2246</v>
      </c>
      <c r="AH2247" s="20">
        <v>210.0287096487402</v>
      </c>
    </row>
    <row r="2248" spans="1:34" ht="14.5" x14ac:dyDescent="0.35">
      <c r="A2248" s="34"/>
      <c r="B2248" s="35"/>
      <c r="C2248" s="36"/>
      <c r="D2248" s="37"/>
      <c r="E2248" s="36"/>
      <c r="F2248" s="42"/>
      <c r="G2248" s="42"/>
      <c r="H2248" s="42"/>
      <c r="AG2248" s="19">
        <v>2247</v>
      </c>
      <c r="AH2248" s="20">
        <v>-3111.0654759219433</v>
      </c>
    </row>
    <row r="2249" spans="1:34" ht="14.5" x14ac:dyDescent="0.35">
      <c r="A2249" s="34"/>
      <c r="B2249" s="35"/>
      <c r="C2249" s="36"/>
      <c r="D2249" s="37"/>
      <c r="E2249" s="36"/>
      <c r="F2249" s="42"/>
      <c r="G2249" s="42"/>
      <c r="H2249" s="42"/>
      <c r="AG2249" s="19">
        <v>2248</v>
      </c>
      <c r="AH2249" s="20">
        <v>1292.4349848089628</v>
      </c>
    </row>
    <row r="2250" spans="1:34" ht="14.5" x14ac:dyDescent="0.35">
      <c r="A2250" s="34"/>
      <c r="B2250" s="35"/>
      <c r="C2250" s="36"/>
      <c r="D2250" s="37"/>
      <c r="E2250" s="36"/>
      <c r="F2250" s="42"/>
      <c r="G2250" s="42"/>
      <c r="H2250" s="42"/>
      <c r="AG2250" s="19">
        <v>2249</v>
      </c>
      <c r="AH2250" s="20">
        <v>-2751.0993710233702</v>
      </c>
    </row>
    <row r="2251" spans="1:34" ht="14.5" x14ac:dyDescent="0.35">
      <c r="A2251" s="34"/>
      <c r="B2251" s="35"/>
      <c r="C2251" s="36"/>
      <c r="D2251" s="37"/>
      <c r="E2251" s="36"/>
      <c r="F2251" s="42"/>
      <c r="G2251" s="42"/>
      <c r="H2251" s="42"/>
      <c r="AG2251" s="19">
        <v>2250</v>
      </c>
      <c r="AH2251" s="20">
        <v>-2101.3775317018453</v>
      </c>
    </row>
    <row r="2252" spans="1:34" ht="14.5" x14ac:dyDescent="0.35">
      <c r="A2252" s="34"/>
      <c r="B2252" s="35"/>
      <c r="C2252" s="36"/>
      <c r="D2252" s="37"/>
      <c r="E2252" s="36"/>
      <c r="F2252" s="42"/>
      <c r="G2252" s="42"/>
      <c r="H2252" s="42"/>
      <c r="AG2252" s="19">
        <v>2251</v>
      </c>
      <c r="AH2252" s="20">
        <v>1373.9547216169512</v>
      </c>
    </row>
    <row r="2253" spans="1:34" ht="14.5" x14ac:dyDescent="0.35">
      <c r="A2253" s="34"/>
      <c r="B2253" s="35"/>
      <c r="C2253" s="36"/>
      <c r="D2253" s="37"/>
      <c r="E2253" s="36"/>
      <c r="F2253" s="42"/>
      <c r="G2253" s="42"/>
      <c r="H2253" s="42"/>
      <c r="AG2253" s="19">
        <v>2252</v>
      </c>
      <c r="AH2253" s="20">
        <v>-1270.3841234087697</v>
      </c>
    </row>
    <row r="2254" spans="1:34" ht="14.5" x14ac:dyDescent="0.35">
      <c r="A2254" s="34"/>
      <c r="B2254" s="35"/>
      <c r="C2254" s="36"/>
      <c r="D2254" s="37"/>
      <c r="E2254" s="36"/>
      <c r="F2254" s="42"/>
      <c r="G2254" s="42"/>
      <c r="H2254" s="42"/>
      <c r="AG2254" s="19">
        <v>2253</v>
      </c>
      <c r="AH2254" s="20">
        <v>-727.95599496853129</v>
      </c>
    </row>
    <row r="2255" spans="1:34" ht="14.5" x14ac:dyDescent="0.35">
      <c r="A2255" s="34"/>
      <c r="B2255" s="35"/>
      <c r="C2255" s="36"/>
      <c r="D2255" s="37"/>
      <c r="E2255" s="36"/>
      <c r="F2255" s="42"/>
      <c r="G2255" s="42"/>
      <c r="H2255" s="42"/>
      <c r="AG2255" s="19">
        <v>2254</v>
      </c>
      <c r="AH2255" s="20">
        <v>-1065.4394843110983</v>
      </c>
    </row>
    <row r="2256" spans="1:34" ht="14.5" x14ac:dyDescent="0.35">
      <c r="A2256" s="34"/>
      <c r="B2256" s="35"/>
      <c r="C2256" s="36"/>
      <c r="D2256" s="37"/>
      <c r="E2256" s="36"/>
      <c r="F2256" s="42"/>
      <c r="G2256" s="42"/>
      <c r="H2256" s="42"/>
      <c r="AG2256" s="19">
        <v>2255</v>
      </c>
      <c r="AH2256" s="20">
        <v>-568.14243537947095</v>
      </c>
    </row>
    <row r="2257" spans="1:34" ht="14.5" x14ac:dyDescent="0.35">
      <c r="A2257" s="34"/>
      <c r="B2257" s="35"/>
      <c r="C2257" s="36"/>
      <c r="D2257" s="37"/>
      <c r="E2257" s="36"/>
      <c r="F2257" s="42"/>
      <c r="G2257" s="42"/>
      <c r="H2257" s="42"/>
      <c r="AG2257" s="19">
        <v>2256</v>
      </c>
      <c r="AH2257" s="20">
        <v>-475.78306984218278</v>
      </c>
    </row>
    <row r="2258" spans="1:34" ht="14.5" x14ac:dyDescent="0.35">
      <c r="A2258" s="34"/>
      <c r="B2258" s="35"/>
      <c r="C2258" s="36"/>
      <c r="D2258" s="37"/>
      <c r="E2258" s="36"/>
      <c r="F2258" s="42"/>
      <c r="G2258" s="42"/>
      <c r="H2258" s="42"/>
      <c r="AG2258" s="19">
        <v>2257</v>
      </c>
      <c r="AH2258" s="20">
        <v>1143.7697177404887</v>
      </c>
    </row>
    <row r="2259" spans="1:34" ht="14.5" x14ac:dyDescent="0.35">
      <c r="A2259" s="34"/>
      <c r="B2259" s="35"/>
      <c r="C2259" s="36"/>
      <c r="D2259" s="37"/>
      <c r="E2259" s="36"/>
      <c r="F2259" s="42"/>
      <c r="G2259" s="42"/>
      <c r="H2259" s="42"/>
      <c r="AG2259" s="19">
        <v>2258</v>
      </c>
      <c r="AH2259" s="20">
        <v>1737.4897035294434</v>
      </c>
    </row>
    <row r="2260" spans="1:34" ht="14.5" x14ac:dyDescent="0.35">
      <c r="A2260" s="34"/>
      <c r="B2260" s="35"/>
      <c r="C2260" s="36"/>
      <c r="D2260" s="37"/>
      <c r="E2260" s="36"/>
      <c r="F2260" s="42"/>
      <c r="G2260" s="42"/>
      <c r="H2260" s="42"/>
      <c r="AG2260" s="19">
        <v>2259</v>
      </c>
      <c r="AH2260" s="20">
        <v>-215.5813962904237</v>
      </c>
    </row>
    <row r="2261" spans="1:34" ht="14.5" x14ac:dyDescent="0.35">
      <c r="A2261" s="34"/>
      <c r="B2261" s="35"/>
      <c r="C2261" s="36"/>
      <c r="D2261" s="37"/>
      <c r="E2261" s="36"/>
      <c r="F2261" s="42"/>
      <c r="G2261" s="42"/>
      <c r="H2261" s="42"/>
      <c r="AG2261" s="19">
        <v>2260</v>
      </c>
      <c r="AH2261" s="20">
        <v>45.540877724808752</v>
      </c>
    </row>
    <row r="2262" spans="1:34" ht="14.5" x14ac:dyDescent="0.35">
      <c r="A2262" s="34"/>
      <c r="B2262" s="35"/>
      <c r="C2262" s="36"/>
      <c r="D2262" s="37"/>
      <c r="E2262" s="36"/>
      <c r="F2262" s="42"/>
      <c r="G2262" s="42"/>
      <c r="H2262" s="42"/>
      <c r="AG2262" s="19">
        <v>2261</v>
      </c>
      <c r="AH2262" s="20">
        <v>-1211.8868197706904</v>
      </c>
    </row>
    <row r="2263" spans="1:34" ht="14.5" x14ac:dyDescent="0.35">
      <c r="A2263" s="34"/>
      <c r="B2263" s="35"/>
      <c r="C2263" s="36"/>
      <c r="D2263" s="37"/>
      <c r="E2263" s="36"/>
      <c r="F2263" s="42"/>
      <c r="G2263" s="42"/>
      <c r="H2263" s="42"/>
      <c r="AG2263" s="19">
        <v>2262</v>
      </c>
      <c r="AH2263" s="20">
        <v>1168.2149988022456</v>
      </c>
    </row>
    <row r="2264" spans="1:34" ht="14.5" x14ac:dyDescent="0.35">
      <c r="A2264" s="34"/>
      <c r="B2264" s="35"/>
      <c r="C2264" s="36"/>
      <c r="D2264" s="37"/>
      <c r="E2264" s="36"/>
      <c r="F2264" s="42"/>
      <c r="G2264" s="42"/>
      <c r="H2264" s="42"/>
      <c r="AG2264" s="19">
        <v>2263</v>
      </c>
      <c r="AH2264" s="20">
        <v>-1271.7655046595996</v>
      </c>
    </row>
    <row r="2265" spans="1:34" ht="14.5" x14ac:dyDescent="0.35">
      <c r="A2265" s="34"/>
      <c r="B2265" s="35"/>
      <c r="C2265" s="36"/>
      <c r="D2265" s="37"/>
      <c r="E2265" s="36"/>
      <c r="F2265" s="42"/>
      <c r="G2265" s="42"/>
      <c r="H2265" s="42"/>
      <c r="AG2265" s="19">
        <v>2264</v>
      </c>
      <c r="AH2265" s="20">
        <v>715.68350936492584</v>
      </c>
    </row>
    <row r="2266" spans="1:34" ht="14.5" x14ac:dyDescent="0.35">
      <c r="A2266" s="34"/>
      <c r="B2266" s="35"/>
      <c r="C2266" s="36"/>
      <c r="D2266" s="37"/>
      <c r="E2266" s="36"/>
      <c r="F2266" s="42"/>
      <c r="G2266" s="42"/>
      <c r="H2266" s="42"/>
      <c r="AG2266" s="19">
        <v>2265</v>
      </c>
      <c r="AH2266" s="20">
        <v>1055.0979481038994</v>
      </c>
    </row>
    <row r="2267" spans="1:34" ht="14.5" x14ac:dyDescent="0.35">
      <c r="A2267" s="34"/>
      <c r="B2267" s="35"/>
      <c r="C2267" s="36"/>
      <c r="D2267" s="37"/>
      <c r="E2267" s="36"/>
      <c r="F2267" s="42"/>
      <c r="G2267" s="42"/>
      <c r="H2267" s="42"/>
      <c r="AG2267" s="19">
        <v>2266</v>
      </c>
      <c r="AH2267" s="20">
        <v>-2438.0391980480699</v>
      </c>
    </row>
    <row r="2268" spans="1:34" ht="14.5" x14ac:dyDescent="0.35">
      <c r="A2268" s="34"/>
      <c r="B2268" s="35"/>
      <c r="C2268" s="36"/>
      <c r="D2268" s="37"/>
      <c r="E2268" s="36"/>
      <c r="F2268" s="42"/>
      <c r="G2268" s="42"/>
      <c r="H2268" s="42"/>
      <c r="AG2268" s="19">
        <v>2267</v>
      </c>
      <c r="AH2268" s="20">
        <v>553.84759647357964</v>
      </c>
    </row>
    <row r="2269" spans="1:34" ht="14.5" x14ac:dyDescent="0.35">
      <c r="A2269" s="34"/>
      <c r="B2269" s="35"/>
      <c r="C2269" s="36"/>
      <c r="D2269" s="37"/>
      <c r="E2269" s="36"/>
      <c r="F2269" s="42"/>
      <c r="G2269" s="42"/>
      <c r="H2269" s="42"/>
      <c r="AG2269" s="19">
        <v>2268</v>
      </c>
      <c r="AH2269" s="20">
        <v>-3724.0893052665151</v>
      </c>
    </row>
    <row r="2270" spans="1:34" ht="14.5" x14ac:dyDescent="0.35">
      <c r="A2270" s="34"/>
      <c r="B2270" s="35"/>
      <c r="C2270" s="36"/>
      <c r="D2270" s="37"/>
      <c r="E2270" s="36"/>
      <c r="F2270" s="42"/>
      <c r="G2270" s="42"/>
      <c r="H2270" s="42"/>
      <c r="AG2270" s="19">
        <v>2269</v>
      </c>
      <c r="AH2270" s="20">
        <v>1028.6798322732484</v>
      </c>
    </row>
    <row r="2271" spans="1:34" ht="14.5" x14ac:dyDescent="0.35">
      <c r="A2271" s="34"/>
      <c r="B2271" s="35"/>
      <c r="C2271" s="36"/>
      <c r="D2271" s="37"/>
      <c r="E2271" s="36"/>
      <c r="F2271" s="42"/>
      <c r="G2271" s="42"/>
      <c r="H2271" s="42"/>
      <c r="AG2271" s="19">
        <v>2270</v>
      </c>
      <c r="AH2271" s="20">
        <v>915.83246703345822</v>
      </c>
    </row>
    <row r="2272" spans="1:34" ht="14.5" x14ac:dyDescent="0.35">
      <c r="A2272" s="34"/>
      <c r="B2272" s="35"/>
      <c r="C2272" s="36"/>
      <c r="D2272" s="37"/>
      <c r="E2272" s="36"/>
      <c r="F2272" s="42"/>
      <c r="G2272" s="42"/>
      <c r="H2272" s="42"/>
      <c r="AG2272" s="19">
        <v>2271</v>
      </c>
      <c r="AH2272" s="20">
        <v>-323.44526186121169</v>
      </c>
    </row>
    <row r="2273" spans="1:34" ht="14.5" x14ac:dyDescent="0.35">
      <c r="A2273" s="34"/>
      <c r="B2273" s="35"/>
      <c r="C2273" s="36"/>
      <c r="D2273" s="37"/>
      <c r="E2273" s="36"/>
      <c r="F2273" s="42"/>
      <c r="G2273" s="42"/>
      <c r="H2273" s="42"/>
      <c r="AG2273" s="19">
        <v>2272</v>
      </c>
      <c r="AH2273" s="20">
        <v>3215.6179860341185</v>
      </c>
    </row>
    <row r="2274" spans="1:34" ht="14.5" x14ac:dyDescent="0.35">
      <c r="A2274" s="34"/>
      <c r="B2274" s="35"/>
      <c r="C2274" s="36"/>
      <c r="D2274" s="37"/>
      <c r="E2274" s="36"/>
      <c r="F2274" s="42"/>
      <c r="G2274" s="42"/>
      <c r="H2274" s="42"/>
      <c r="AG2274" s="19">
        <v>2273</v>
      </c>
      <c r="AH2274" s="20">
        <v>-1438.3188616069558</v>
      </c>
    </row>
    <row r="2275" spans="1:34" ht="14.5" x14ac:dyDescent="0.35">
      <c r="A2275" s="34"/>
      <c r="B2275" s="35"/>
      <c r="C2275" s="36"/>
      <c r="D2275" s="37"/>
      <c r="E2275" s="36"/>
      <c r="F2275" s="42"/>
      <c r="G2275" s="42"/>
      <c r="H2275" s="42"/>
      <c r="AG2275" s="19">
        <v>2274</v>
      </c>
      <c r="AH2275" s="20">
        <v>2379.0810057240988</v>
      </c>
    </row>
    <row r="2276" spans="1:34" ht="14.5" x14ac:dyDescent="0.35">
      <c r="A2276" s="34"/>
      <c r="B2276" s="35"/>
      <c r="C2276" s="36"/>
      <c r="D2276" s="37"/>
      <c r="E2276" s="36"/>
      <c r="F2276" s="42"/>
      <c r="G2276" s="42"/>
      <c r="H2276" s="42"/>
      <c r="AG2276" s="19">
        <v>2275</v>
      </c>
      <c r="AH2276" s="20">
        <v>3136.1816288131204</v>
      </c>
    </row>
    <row r="2277" spans="1:34" ht="14.5" x14ac:dyDescent="0.35">
      <c r="A2277" s="34"/>
      <c r="B2277" s="35"/>
      <c r="C2277" s="36"/>
      <c r="D2277" s="37"/>
      <c r="E2277" s="36"/>
      <c r="F2277" s="42"/>
      <c r="G2277" s="42"/>
      <c r="H2277" s="42"/>
      <c r="AG2277" s="19">
        <v>2276</v>
      </c>
      <c r="AH2277" s="20">
        <v>859.7413266238766</v>
      </c>
    </row>
    <row r="2278" spans="1:34" ht="14.5" x14ac:dyDescent="0.35">
      <c r="A2278" s="34"/>
      <c r="B2278" s="35"/>
      <c r="C2278" s="36"/>
      <c r="D2278" s="37"/>
      <c r="E2278" s="36"/>
      <c r="F2278" s="42"/>
      <c r="G2278" s="42"/>
      <c r="H2278" s="42"/>
      <c r="AG2278" s="19">
        <v>2277</v>
      </c>
      <c r="AH2278" s="20">
        <v>-157.81223815901666</v>
      </c>
    </row>
    <row r="2279" spans="1:34" ht="14.5" x14ac:dyDescent="0.35">
      <c r="A2279" s="34"/>
      <c r="B2279" s="35"/>
      <c r="C2279" s="36"/>
      <c r="D2279" s="37"/>
      <c r="E2279" s="36"/>
      <c r="F2279" s="42"/>
      <c r="G2279" s="42"/>
      <c r="H2279" s="42"/>
      <c r="AG2279" s="19">
        <v>2278</v>
      </c>
      <c r="AH2279" s="20">
        <v>4797.9110158341382</v>
      </c>
    </row>
    <row r="2280" spans="1:34" ht="14.5" x14ac:dyDescent="0.35">
      <c r="A2280" s="34"/>
      <c r="B2280" s="35"/>
      <c r="C2280" s="36"/>
      <c r="D2280" s="37"/>
      <c r="E2280" s="36"/>
      <c r="F2280" s="42"/>
      <c r="G2280" s="42"/>
      <c r="H2280" s="42"/>
      <c r="AG2280" s="19">
        <v>2279</v>
      </c>
      <c r="AH2280" s="20">
        <v>1060.1554890213554</v>
      </c>
    </row>
    <row r="2281" spans="1:34" ht="14.5" x14ac:dyDescent="0.35">
      <c r="A2281" s="34"/>
      <c r="B2281" s="35"/>
      <c r="C2281" s="36"/>
      <c r="D2281" s="37"/>
      <c r="E2281" s="36"/>
      <c r="F2281" s="42"/>
      <c r="G2281" s="42"/>
      <c r="H2281" s="42"/>
      <c r="AG2281" s="19">
        <v>2280</v>
      </c>
      <c r="AH2281" s="20">
        <v>271.04739437674567</v>
      </c>
    </row>
    <row r="2282" spans="1:34" ht="14.5" x14ac:dyDescent="0.35">
      <c r="A2282" s="34"/>
      <c r="B2282" s="35"/>
      <c r="C2282" s="36"/>
      <c r="D2282" s="37"/>
      <c r="E2282" s="36"/>
      <c r="F2282" s="42"/>
      <c r="G2282" s="42"/>
      <c r="H2282" s="42"/>
      <c r="AG2282" s="19">
        <v>2281</v>
      </c>
      <c r="AH2282" s="20">
        <v>-638.86327842794776</v>
      </c>
    </row>
    <row r="2283" spans="1:34" ht="14.5" x14ac:dyDescent="0.35">
      <c r="A2283" s="34"/>
      <c r="B2283" s="35"/>
      <c r="C2283" s="36"/>
      <c r="D2283" s="37"/>
      <c r="E2283" s="36"/>
      <c r="F2283" s="42"/>
      <c r="G2283" s="42"/>
      <c r="H2283" s="42"/>
      <c r="AG2283" s="19">
        <v>2282</v>
      </c>
      <c r="AH2283" s="20">
        <v>327.30046366317276</v>
      </c>
    </row>
    <row r="2284" spans="1:34" ht="14.5" x14ac:dyDescent="0.35">
      <c r="A2284" s="34"/>
      <c r="B2284" s="35"/>
      <c r="C2284" s="36"/>
      <c r="D2284" s="37"/>
      <c r="E2284" s="36"/>
      <c r="F2284" s="42"/>
      <c r="G2284" s="42"/>
      <c r="H2284" s="42"/>
      <c r="AG2284" s="19">
        <v>2283</v>
      </c>
      <c r="AH2284" s="20">
        <v>247.95546104588129</v>
      </c>
    </row>
    <row r="2285" spans="1:34" ht="14.5" x14ac:dyDescent="0.35">
      <c r="A2285" s="34"/>
      <c r="B2285" s="35"/>
      <c r="C2285" s="36"/>
      <c r="D2285" s="37"/>
      <c r="E2285" s="36"/>
      <c r="F2285" s="42"/>
      <c r="G2285" s="42"/>
      <c r="H2285" s="42"/>
      <c r="AG2285" s="19">
        <v>2284</v>
      </c>
      <c r="AH2285" s="20">
        <v>-747.44767002282674</v>
      </c>
    </row>
    <row r="2286" spans="1:34" ht="14.5" x14ac:dyDescent="0.35">
      <c r="A2286" s="34"/>
      <c r="B2286" s="35"/>
      <c r="C2286" s="36"/>
      <c r="D2286" s="37"/>
      <c r="E2286" s="36"/>
      <c r="F2286" s="42"/>
      <c r="G2286" s="42"/>
      <c r="H2286" s="42"/>
      <c r="AG2286" s="19">
        <v>2285</v>
      </c>
      <c r="AH2286" s="20">
        <v>-1929.3669888824613</v>
      </c>
    </row>
    <row r="2287" spans="1:34" ht="14.5" x14ac:dyDescent="0.35">
      <c r="A2287" s="34"/>
      <c r="B2287" s="35"/>
      <c r="C2287" s="36"/>
      <c r="D2287" s="37"/>
      <c r="E2287" s="36"/>
      <c r="F2287" s="42"/>
      <c r="G2287" s="42"/>
      <c r="H2287" s="42"/>
      <c r="AG2287" s="19">
        <v>2286</v>
      </c>
      <c r="AH2287" s="20">
        <v>-958.58125143066763</v>
      </c>
    </row>
    <row r="2288" spans="1:34" ht="14.5" x14ac:dyDescent="0.35">
      <c r="A2288" s="34"/>
      <c r="B2288" s="35"/>
      <c r="C2288" s="36"/>
      <c r="D2288" s="37"/>
      <c r="E2288" s="36"/>
      <c r="F2288" s="42"/>
      <c r="G2288" s="42"/>
      <c r="H2288" s="42"/>
      <c r="AG2288" s="19">
        <v>2287</v>
      </c>
      <c r="AH2288" s="20">
        <v>-538.87349429758024</v>
      </c>
    </row>
    <row r="2289" spans="1:34" ht="14.5" x14ac:dyDescent="0.35">
      <c r="A2289" s="34"/>
      <c r="B2289" s="35"/>
      <c r="C2289" s="36"/>
      <c r="D2289" s="37"/>
      <c r="E2289" s="36"/>
      <c r="F2289" s="42"/>
      <c r="G2289" s="42"/>
      <c r="H2289" s="42"/>
      <c r="AG2289" s="19">
        <v>2288</v>
      </c>
      <c r="AH2289" s="20">
        <v>-255.60830797430543</v>
      </c>
    </row>
    <row r="2290" spans="1:34" ht="14.5" x14ac:dyDescent="0.35">
      <c r="A2290" s="34"/>
      <c r="B2290" s="35"/>
      <c r="C2290" s="36"/>
      <c r="D2290" s="37"/>
      <c r="E2290" s="36"/>
      <c r="F2290" s="42"/>
      <c r="G2290" s="42"/>
      <c r="H2290" s="42"/>
      <c r="AG2290" s="19">
        <v>2289</v>
      </c>
      <c r="AH2290" s="20">
        <v>78.95225222254146</v>
      </c>
    </row>
    <row r="2291" spans="1:34" ht="14.5" x14ac:dyDescent="0.35">
      <c r="A2291" s="34"/>
      <c r="B2291" s="35"/>
      <c r="C2291" s="36"/>
      <c r="D2291" s="37"/>
      <c r="E2291" s="36"/>
      <c r="F2291" s="42"/>
      <c r="G2291" s="42"/>
      <c r="H2291" s="42"/>
      <c r="AG2291" s="19">
        <v>2290</v>
      </c>
      <c r="AH2291" s="20">
        <v>-941.33864672608502</v>
      </c>
    </row>
    <row r="2292" spans="1:34" ht="14.5" x14ac:dyDescent="0.35">
      <c r="A2292" s="34"/>
      <c r="B2292" s="35"/>
      <c r="C2292" s="36"/>
      <c r="D2292" s="37"/>
      <c r="E2292" s="36"/>
      <c r="F2292" s="42"/>
      <c r="G2292" s="42"/>
      <c r="H2292" s="42"/>
      <c r="AG2292" s="19">
        <v>2291</v>
      </c>
      <c r="AH2292" s="20">
        <v>2103.8300122394667</v>
      </c>
    </row>
    <row r="2293" spans="1:34" ht="14.5" x14ac:dyDescent="0.35">
      <c r="A2293" s="34"/>
      <c r="B2293" s="35"/>
      <c r="C2293" s="36"/>
      <c r="D2293" s="37"/>
      <c r="E2293" s="36"/>
      <c r="F2293" s="42"/>
      <c r="G2293" s="42"/>
      <c r="H2293" s="42"/>
      <c r="AG2293" s="19">
        <v>2292</v>
      </c>
      <c r="AH2293" s="20">
        <v>1287.3953858868788</v>
      </c>
    </row>
    <row r="2294" spans="1:34" ht="14.5" x14ac:dyDescent="0.35">
      <c r="A2294" s="34"/>
      <c r="B2294" s="35"/>
      <c r="C2294" s="36"/>
      <c r="D2294" s="37"/>
      <c r="E2294" s="36"/>
      <c r="F2294" s="42"/>
      <c r="G2294" s="42"/>
      <c r="H2294" s="42"/>
      <c r="AG2294" s="19">
        <v>2293</v>
      </c>
      <c r="AH2294" s="20">
        <v>-394.37321033873303</v>
      </c>
    </row>
    <row r="2295" spans="1:34" ht="14.5" x14ac:dyDescent="0.35">
      <c r="A2295" s="34"/>
      <c r="B2295" s="35"/>
      <c r="C2295" s="36"/>
      <c r="D2295" s="37"/>
      <c r="E2295" s="36"/>
      <c r="F2295" s="42"/>
      <c r="G2295" s="42"/>
      <c r="H2295" s="42"/>
      <c r="AG2295" s="19">
        <v>2294</v>
      </c>
      <c r="AH2295" s="20">
        <v>-1486.9692931205318</v>
      </c>
    </row>
    <row r="2296" spans="1:34" ht="14.5" x14ac:dyDescent="0.35">
      <c r="A2296" s="34"/>
      <c r="B2296" s="35"/>
      <c r="C2296" s="36"/>
      <c r="D2296" s="37"/>
      <c r="E2296" s="36"/>
      <c r="F2296" s="42"/>
      <c r="G2296" s="42"/>
      <c r="H2296" s="42"/>
      <c r="AG2296" s="19">
        <v>2295</v>
      </c>
      <c r="AH2296" s="20">
        <v>4306.5407862630163</v>
      </c>
    </row>
    <row r="2297" spans="1:34" ht="14.5" x14ac:dyDescent="0.35">
      <c r="A2297" s="34"/>
      <c r="B2297" s="35"/>
      <c r="C2297" s="36"/>
      <c r="D2297" s="37"/>
      <c r="E2297" s="36"/>
      <c r="F2297" s="42"/>
      <c r="G2297" s="42"/>
      <c r="H2297" s="42"/>
      <c r="AG2297" s="19">
        <v>2296</v>
      </c>
      <c r="AH2297" s="20">
        <v>2841.2024002530766</v>
      </c>
    </row>
    <row r="2298" spans="1:34" ht="14.5" x14ac:dyDescent="0.35">
      <c r="A2298" s="34"/>
      <c r="B2298" s="35"/>
      <c r="C2298" s="36"/>
      <c r="D2298" s="37"/>
      <c r="E2298" s="36"/>
      <c r="F2298" s="42"/>
      <c r="G2298" s="42"/>
      <c r="H2298" s="42"/>
      <c r="AG2298" s="19">
        <v>2297</v>
      </c>
      <c r="AH2298" s="20">
        <v>484.61406998544339</v>
      </c>
    </row>
    <row r="2299" spans="1:34" ht="14.5" x14ac:dyDescent="0.35">
      <c r="A2299" s="34"/>
      <c r="B2299" s="35"/>
      <c r="C2299" s="36"/>
      <c r="D2299" s="37"/>
      <c r="E2299" s="36"/>
      <c r="F2299" s="42"/>
      <c r="G2299" s="42"/>
      <c r="H2299" s="42"/>
      <c r="AG2299" s="19">
        <v>2298</v>
      </c>
      <c r="AH2299" s="20">
        <v>-1260.0041733531157</v>
      </c>
    </row>
    <row r="2300" spans="1:34" ht="14.5" x14ac:dyDescent="0.35">
      <c r="A2300" s="34"/>
      <c r="B2300" s="35"/>
      <c r="C2300" s="36"/>
      <c r="D2300" s="37"/>
      <c r="E2300" s="36"/>
      <c r="F2300" s="42"/>
      <c r="G2300" s="42"/>
      <c r="H2300" s="42"/>
      <c r="AG2300" s="19">
        <v>2299</v>
      </c>
      <c r="AH2300" s="20">
        <v>-3269.2975450304521</v>
      </c>
    </row>
    <row r="2301" spans="1:34" ht="14.5" x14ac:dyDescent="0.35">
      <c r="A2301" s="34"/>
      <c r="B2301" s="35"/>
      <c r="C2301" s="36"/>
      <c r="D2301" s="37"/>
      <c r="E2301" s="36"/>
      <c r="F2301" s="42"/>
      <c r="G2301" s="42"/>
      <c r="H2301" s="42"/>
      <c r="AG2301" s="19">
        <v>2300</v>
      </c>
      <c r="AH2301" s="20">
        <v>-1036.8218962496996</v>
      </c>
    </row>
    <row r="2302" spans="1:34" ht="14.5" x14ac:dyDescent="0.35">
      <c r="A2302" s="34"/>
      <c r="B2302" s="35"/>
      <c r="C2302" s="36"/>
      <c r="D2302" s="37"/>
      <c r="E2302" s="36"/>
      <c r="F2302" s="42"/>
      <c r="G2302" s="42"/>
      <c r="H2302" s="42"/>
      <c r="AG2302" s="19">
        <v>2301</v>
      </c>
      <c r="AH2302" s="20">
        <v>4269.8583276294139</v>
      </c>
    </row>
    <row r="2303" spans="1:34" ht="14.5" x14ac:dyDescent="0.35">
      <c r="A2303" s="34"/>
      <c r="B2303" s="35"/>
      <c r="C2303" s="36"/>
      <c r="D2303" s="37"/>
      <c r="E2303" s="36"/>
      <c r="F2303" s="42"/>
      <c r="G2303" s="42"/>
      <c r="H2303" s="42"/>
      <c r="AG2303" s="19">
        <v>2302</v>
      </c>
      <c r="AH2303" s="20">
        <v>-1222.1111069810124</v>
      </c>
    </row>
    <row r="2304" spans="1:34" ht="14.5" x14ac:dyDescent="0.35">
      <c r="A2304" s="34"/>
      <c r="B2304" s="35"/>
      <c r="C2304" s="36"/>
      <c r="D2304" s="37"/>
      <c r="E2304" s="36"/>
      <c r="F2304" s="42"/>
      <c r="G2304" s="42"/>
      <c r="H2304" s="42"/>
      <c r="AG2304" s="19">
        <v>2303</v>
      </c>
      <c r="AH2304" s="20">
        <v>-3044.0769836053828</v>
      </c>
    </row>
    <row r="2305" spans="1:34" ht="14.5" x14ac:dyDescent="0.35">
      <c r="A2305" s="34"/>
      <c r="B2305" s="35"/>
      <c r="C2305" s="36"/>
      <c r="D2305" s="37"/>
      <c r="E2305" s="36"/>
      <c r="F2305" s="42"/>
      <c r="G2305" s="42"/>
      <c r="H2305" s="42"/>
      <c r="AG2305" s="19">
        <v>2304</v>
      </c>
      <c r="AH2305" s="20">
        <v>357.71955667028988</v>
      </c>
    </row>
    <row r="2306" spans="1:34" ht="14.5" x14ac:dyDescent="0.35">
      <c r="A2306" s="34"/>
      <c r="B2306" s="35"/>
      <c r="C2306" s="36"/>
      <c r="D2306" s="37"/>
      <c r="E2306" s="36"/>
      <c r="F2306" s="42"/>
      <c r="G2306" s="42"/>
      <c r="H2306" s="42"/>
      <c r="AG2306" s="19">
        <v>2305</v>
      </c>
      <c r="AH2306" s="20">
        <v>1405.571456301456</v>
      </c>
    </row>
    <row r="2307" spans="1:34" ht="14.5" x14ac:dyDescent="0.35">
      <c r="A2307" s="34"/>
      <c r="B2307" s="35"/>
      <c r="C2307" s="36"/>
      <c r="D2307" s="37"/>
      <c r="E2307" s="36"/>
      <c r="F2307" s="42"/>
      <c r="G2307" s="42"/>
      <c r="H2307" s="42"/>
      <c r="AG2307" s="19">
        <v>2306</v>
      </c>
      <c r="AH2307" s="20">
        <v>-4136.5070706014076</v>
      </c>
    </row>
    <row r="2308" spans="1:34" ht="14.5" x14ac:dyDescent="0.35">
      <c r="A2308" s="34"/>
      <c r="B2308" s="35"/>
      <c r="C2308" s="36"/>
      <c r="D2308" s="37"/>
      <c r="E2308" s="36"/>
      <c r="F2308" s="42"/>
      <c r="G2308" s="42"/>
      <c r="H2308" s="42"/>
      <c r="AG2308" s="19">
        <v>2307</v>
      </c>
      <c r="AH2308" s="20">
        <v>746.35783378887209</v>
      </c>
    </row>
    <row r="2309" spans="1:34" ht="14.5" x14ac:dyDescent="0.35">
      <c r="A2309" s="34"/>
      <c r="B2309" s="35"/>
      <c r="C2309" s="36"/>
      <c r="D2309" s="37"/>
      <c r="E2309" s="36"/>
      <c r="F2309" s="42"/>
      <c r="G2309" s="42"/>
      <c r="H2309" s="42"/>
      <c r="AG2309" s="19">
        <v>2308</v>
      </c>
      <c r="AH2309" s="20">
        <v>822.71507829219354</v>
      </c>
    </row>
    <row r="2310" spans="1:34" ht="14.5" x14ac:dyDescent="0.35">
      <c r="A2310" s="34"/>
      <c r="B2310" s="35"/>
      <c r="C2310" s="36"/>
      <c r="D2310" s="37"/>
      <c r="E2310" s="36"/>
      <c r="F2310" s="42"/>
      <c r="G2310" s="42"/>
      <c r="H2310" s="42"/>
      <c r="AG2310" s="19">
        <v>2309</v>
      </c>
      <c r="AH2310" s="20">
        <v>2564.744408073866</v>
      </c>
    </row>
    <row r="2311" spans="1:34" ht="14.5" x14ac:dyDescent="0.35">
      <c r="A2311" s="34"/>
      <c r="B2311" s="35"/>
      <c r="C2311" s="36"/>
      <c r="D2311" s="37"/>
      <c r="E2311" s="36"/>
      <c r="F2311" s="42"/>
      <c r="G2311" s="42"/>
      <c r="H2311" s="42"/>
      <c r="AG2311" s="19">
        <v>2310</v>
      </c>
      <c r="AH2311" s="20">
        <v>274.7510506507021</v>
      </c>
    </row>
    <row r="2312" spans="1:34" ht="14.5" x14ac:dyDescent="0.35">
      <c r="A2312" s="34"/>
      <c r="B2312" s="35"/>
      <c r="C2312" s="36"/>
      <c r="D2312" s="37"/>
      <c r="E2312" s="36"/>
      <c r="F2312" s="42"/>
      <c r="G2312" s="42"/>
      <c r="H2312" s="42"/>
      <c r="AG2312" s="19">
        <v>2311</v>
      </c>
      <c r="AH2312" s="20">
        <v>379.82368549574085</v>
      </c>
    </row>
    <row r="2313" spans="1:34" ht="14.5" x14ac:dyDescent="0.35">
      <c r="A2313" s="34"/>
      <c r="B2313" s="35"/>
      <c r="C2313" s="36"/>
      <c r="D2313" s="37"/>
      <c r="E2313" s="36"/>
      <c r="F2313" s="42"/>
      <c r="G2313" s="42"/>
      <c r="H2313" s="42"/>
      <c r="AG2313" s="19">
        <v>2312</v>
      </c>
      <c r="AH2313" s="20">
        <v>3495.106002676881</v>
      </c>
    </row>
    <row r="2314" spans="1:34" ht="14.5" x14ac:dyDescent="0.35">
      <c r="A2314" s="34"/>
      <c r="B2314" s="35"/>
      <c r="C2314" s="36"/>
      <c r="D2314" s="37"/>
      <c r="E2314" s="36"/>
      <c r="F2314" s="42"/>
      <c r="G2314" s="42"/>
      <c r="H2314" s="42"/>
      <c r="AG2314" s="19">
        <v>2313</v>
      </c>
      <c r="AH2314" s="20">
        <v>1343.8286673572461</v>
      </c>
    </row>
    <row r="2315" spans="1:34" ht="14.5" x14ac:dyDescent="0.35">
      <c r="A2315" s="34"/>
      <c r="B2315" s="35"/>
      <c r="C2315" s="36"/>
      <c r="D2315" s="37"/>
      <c r="E2315" s="36"/>
      <c r="F2315" s="42"/>
      <c r="G2315" s="42"/>
      <c r="H2315" s="42"/>
      <c r="AG2315" s="19">
        <v>2314</v>
      </c>
      <c r="AH2315" s="20">
        <v>2075.0624571672874</v>
      </c>
    </row>
    <row r="2316" spans="1:34" ht="14.5" x14ac:dyDescent="0.35">
      <c r="A2316" s="34"/>
      <c r="B2316" s="35"/>
      <c r="C2316" s="36"/>
      <c r="D2316" s="37"/>
      <c r="E2316" s="36"/>
      <c r="F2316" s="42"/>
      <c r="G2316" s="42"/>
      <c r="H2316" s="42"/>
      <c r="AG2316" s="19">
        <v>2315</v>
      </c>
      <c r="AH2316" s="20">
        <v>-698.75895727005513</v>
      </c>
    </row>
    <row r="2317" spans="1:34" ht="14.5" x14ac:dyDescent="0.35">
      <c r="A2317" s="34"/>
      <c r="B2317" s="35"/>
      <c r="C2317" s="36"/>
      <c r="D2317" s="37"/>
      <c r="E2317" s="36"/>
      <c r="F2317" s="42"/>
      <c r="G2317" s="42"/>
      <c r="H2317" s="42"/>
      <c r="AG2317" s="19">
        <v>2316</v>
      </c>
      <c r="AH2317" s="20">
        <v>-850.18144133316127</v>
      </c>
    </row>
    <row r="2318" spans="1:34" ht="14.5" x14ac:dyDescent="0.35">
      <c r="A2318" s="34"/>
      <c r="B2318" s="35"/>
      <c r="C2318" s="36"/>
      <c r="D2318" s="37"/>
      <c r="E2318" s="36"/>
      <c r="F2318" s="42"/>
      <c r="G2318" s="42"/>
      <c r="H2318" s="42"/>
      <c r="AG2318" s="19">
        <v>2317</v>
      </c>
      <c r="AH2318" s="20">
        <v>-1471.3604647946329</v>
      </c>
    </row>
    <row r="2319" spans="1:34" ht="14.5" x14ac:dyDescent="0.35">
      <c r="A2319" s="34"/>
      <c r="B2319" s="35"/>
      <c r="C2319" s="36"/>
      <c r="D2319" s="37"/>
      <c r="E2319" s="36"/>
      <c r="F2319" s="42"/>
      <c r="G2319" s="42"/>
      <c r="H2319" s="42"/>
      <c r="AG2319" s="19">
        <v>2318</v>
      </c>
      <c r="AH2319" s="20">
        <v>-1363.1972892824303</v>
      </c>
    </row>
    <row r="2320" spans="1:34" ht="14.5" x14ac:dyDescent="0.35">
      <c r="A2320" s="34"/>
      <c r="B2320" s="35"/>
      <c r="C2320" s="36"/>
      <c r="D2320" s="37"/>
      <c r="E2320" s="36"/>
      <c r="F2320" s="42"/>
      <c r="G2320" s="42"/>
      <c r="H2320" s="42"/>
      <c r="AG2320" s="19">
        <v>2319</v>
      </c>
      <c r="AH2320" s="20">
        <v>-275.89850798242486</v>
      </c>
    </row>
    <row r="2321" spans="1:34" ht="14.5" x14ac:dyDescent="0.35">
      <c r="A2321" s="34"/>
      <c r="B2321" s="35"/>
      <c r="C2321" s="36"/>
      <c r="D2321" s="37"/>
      <c r="E2321" s="36"/>
      <c r="F2321" s="42"/>
      <c r="G2321" s="42"/>
      <c r="H2321" s="42"/>
      <c r="AG2321" s="19">
        <v>2320</v>
      </c>
      <c r="AH2321" s="20">
        <v>757.63139036824407</v>
      </c>
    </row>
    <row r="2322" spans="1:34" ht="14.5" x14ac:dyDescent="0.35">
      <c r="A2322" s="34"/>
      <c r="B2322" s="35"/>
      <c r="C2322" s="36"/>
      <c r="D2322" s="37"/>
      <c r="E2322" s="36"/>
      <c r="F2322" s="42"/>
      <c r="G2322" s="42"/>
      <c r="H2322" s="42"/>
      <c r="AG2322" s="19">
        <v>2321</v>
      </c>
      <c r="AH2322" s="20">
        <v>426.05540355480787</v>
      </c>
    </row>
    <row r="2323" spans="1:34" ht="14.5" x14ac:dyDescent="0.35">
      <c r="A2323" s="34"/>
      <c r="B2323" s="35"/>
      <c r="C2323" s="36"/>
      <c r="D2323" s="37"/>
      <c r="E2323" s="36"/>
      <c r="F2323" s="42"/>
      <c r="G2323" s="42"/>
      <c r="H2323" s="42"/>
      <c r="AG2323" s="19">
        <v>2322</v>
      </c>
      <c r="AH2323" s="20">
        <v>2187.0772236744338</v>
      </c>
    </row>
    <row r="2324" spans="1:34" ht="14.5" x14ac:dyDescent="0.35">
      <c r="A2324" s="34"/>
      <c r="B2324" s="35"/>
      <c r="C2324" s="36"/>
      <c r="D2324" s="37"/>
      <c r="E2324" s="36"/>
      <c r="F2324" s="42"/>
      <c r="G2324" s="42"/>
      <c r="H2324" s="42"/>
      <c r="AG2324" s="19">
        <v>2323</v>
      </c>
      <c r="AH2324" s="20">
        <v>-854.49201810595673</v>
      </c>
    </row>
    <row r="2325" spans="1:34" ht="14.5" x14ac:dyDescent="0.35">
      <c r="A2325" s="34"/>
      <c r="B2325" s="35"/>
      <c r="C2325" s="36"/>
      <c r="D2325" s="37"/>
      <c r="E2325" s="36"/>
      <c r="F2325" s="42"/>
      <c r="G2325" s="42"/>
      <c r="H2325" s="42"/>
      <c r="AG2325" s="19">
        <v>2324</v>
      </c>
      <c r="AH2325" s="20">
        <v>720.32199952926248</v>
      </c>
    </row>
    <row r="2326" spans="1:34" ht="14.5" x14ac:dyDescent="0.35">
      <c r="A2326" s="34"/>
      <c r="B2326" s="35"/>
      <c r="C2326" s="36"/>
      <c r="D2326" s="37"/>
      <c r="E2326" s="36"/>
      <c r="F2326" s="42"/>
      <c r="G2326" s="42"/>
      <c r="H2326" s="42"/>
      <c r="AG2326" s="19">
        <v>2325</v>
      </c>
      <c r="AH2326" s="20">
        <v>2051.1026285351654</v>
      </c>
    </row>
    <row r="2327" spans="1:34" ht="14.5" x14ac:dyDescent="0.35">
      <c r="A2327" s="34"/>
      <c r="B2327" s="35"/>
      <c r="C2327" s="36"/>
      <c r="D2327" s="37"/>
      <c r="E2327" s="36"/>
      <c r="F2327" s="42"/>
      <c r="G2327" s="42"/>
      <c r="H2327" s="42"/>
      <c r="AG2327" s="19">
        <v>2326</v>
      </c>
      <c r="AH2327" s="20">
        <v>4603.7891269644942</v>
      </c>
    </row>
    <row r="2328" spans="1:34" ht="14.5" x14ac:dyDescent="0.35">
      <c r="A2328" s="34"/>
      <c r="B2328" s="35"/>
      <c r="C2328" s="36"/>
      <c r="D2328" s="37"/>
      <c r="E2328" s="36"/>
      <c r="F2328" s="42"/>
      <c r="G2328" s="42"/>
      <c r="H2328" s="42"/>
      <c r="AG2328" s="19">
        <v>2327</v>
      </c>
      <c r="AH2328" s="20">
        <v>1344.3289770765539</v>
      </c>
    </row>
    <row r="2329" spans="1:34" ht="14.5" x14ac:dyDescent="0.35">
      <c r="A2329" s="34"/>
      <c r="B2329" s="35"/>
      <c r="C2329" s="36"/>
      <c r="D2329" s="37"/>
      <c r="E2329" s="36"/>
      <c r="F2329" s="42"/>
      <c r="G2329" s="42"/>
      <c r="H2329" s="42"/>
      <c r="AG2329" s="19">
        <v>2328</v>
      </c>
      <c r="AH2329" s="20">
        <v>-1499.5752625926284</v>
      </c>
    </row>
    <row r="2330" spans="1:34" ht="14.5" x14ac:dyDescent="0.35">
      <c r="A2330" s="34"/>
      <c r="B2330" s="35"/>
      <c r="C2330" s="36"/>
      <c r="D2330" s="37"/>
      <c r="E2330" s="36"/>
      <c r="F2330" s="42"/>
      <c r="G2330" s="42"/>
      <c r="H2330" s="42"/>
      <c r="AG2330" s="19">
        <v>2329</v>
      </c>
      <c r="AH2330" s="20">
        <v>-172.13704467429346</v>
      </c>
    </row>
    <row r="2331" spans="1:34" ht="14.5" x14ac:dyDescent="0.35">
      <c r="A2331" s="34"/>
      <c r="B2331" s="35"/>
      <c r="C2331" s="36"/>
      <c r="D2331" s="37"/>
      <c r="E2331" s="36"/>
      <c r="F2331" s="42"/>
      <c r="G2331" s="42"/>
      <c r="H2331" s="42"/>
      <c r="AG2331" s="19">
        <v>2330</v>
      </c>
      <c r="AH2331" s="20">
        <v>-4267.338139511714</v>
      </c>
    </row>
    <row r="2332" spans="1:34" ht="14.5" x14ac:dyDescent="0.35">
      <c r="A2332" s="34"/>
      <c r="B2332" s="35"/>
      <c r="C2332" s="36"/>
      <c r="D2332" s="37"/>
      <c r="E2332" s="36"/>
      <c r="F2332" s="42"/>
      <c r="G2332" s="42"/>
      <c r="H2332" s="42"/>
      <c r="AG2332" s="19">
        <v>2331</v>
      </c>
      <c r="AH2332" s="20">
        <v>901.37426524727994</v>
      </c>
    </row>
    <row r="2333" spans="1:34" ht="14.5" x14ac:dyDescent="0.35">
      <c r="A2333" s="34"/>
      <c r="B2333" s="35"/>
      <c r="C2333" s="36"/>
      <c r="D2333" s="37"/>
      <c r="E2333" s="36"/>
      <c r="F2333" s="42"/>
      <c r="G2333" s="42"/>
      <c r="H2333" s="42"/>
      <c r="AG2333" s="19">
        <v>2332</v>
      </c>
      <c r="AH2333" s="20">
        <v>-2287.3026443553745</v>
      </c>
    </row>
    <row r="2334" spans="1:34" ht="14.5" x14ac:dyDescent="0.35">
      <c r="A2334" s="34"/>
      <c r="B2334" s="35"/>
      <c r="C2334" s="36"/>
      <c r="D2334" s="37"/>
      <c r="E2334" s="36"/>
      <c r="F2334" s="42"/>
      <c r="G2334" s="42"/>
      <c r="H2334" s="42"/>
      <c r="AG2334" s="19">
        <v>2333</v>
      </c>
      <c r="AH2334" s="20">
        <v>11.123679987358173</v>
      </c>
    </row>
    <row r="2335" spans="1:34" ht="14.5" x14ac:dyDescent="0.35">
      <c r="A2335" s="34"/>
      <c r="B2335" s="35"/>
      <c r="C2335" s="36"/>
      <c r="D2335" s="37"/>
      <c r="E2335" s="36"/>
      <c r="F2335" s="42"/>
      <c r="G2335" s="42"/>
      <c r="H2335" s="42"/>
      <c r="AG2335" s="19">
        <v>2334</v>
      </c>
      <c r="AH2335" s="20">
        <v>1454.1705983047632</v>
      </c>
    </row>
    <row r="2336" spans="1:34" ht="14.5" x14ac:dyDescent="0.35">
      <c r="A2336" s="34"/>
      <c r="B2336" s="35"/>
      <c r="C2336" s="36"/>
      <c r="D2336" s="37"/>
      <c r="E2336" s="36"/>
      <c r="F2336" s="42"/>
      <c r="G2336" s="42"/>
      <c r="H2336" s="42"/>
      <c r="AG2336" s="19">
        <v>2335</v>
      </c>
      <c r="AH2336" s="20">
        <v>1949.0062346906202</v>
      </c>
    </row>
    <row r="2337" spans="1:34" ht="14.5" x14ac:dyDescent="0.35">
      <c r="A2337" s="34"/>
      <c r="B2337" s="35"/>
      <c r="C2337" s="36"/>
      <c r="D2337" s="37"/>
      <c r="E2337" s="36"/>
      <c r="F2337" s="42"/>
      <c r="G2337" s="42"/>
      <c r="H2337" s="42"/>
      <c r="AG2337" s="19">
        <v>2336</v>
      </c>
      <c r="AH2337" s="20">
        <v>2561.0069319019535</v>
      </c>
    </row>
    <row r="2338" spans="1:34" ht="14.5" x14ac:dyDescent="0.35">
      <c r="A2338" s="34"/>
      <c r="B2338" s="35"/>
      <c r="C2338" s="36"/>
      <c r="D2338" s="37"/>
      <c r="E2338" s="36"/>
      <c r="F2338" s="42"/>
      <c r="G2338" s="42"/>
      <c r="H2338" s="42"/>
      <c r="AG2338" s="19">
        <v>2337</v>
      </c>
      <c r="AH2338" s="20">
        <v>4419.4815063995838</v>
      </c>
    </row>
    <row r="2339" spans="1:34" ht="14.5" x14ac:dyDescent="0.35">
      <c r="A2339" s="34"/>
      <c r="B2339" s="35"/>
      <c r="C2339" s="36"/>
      <c r="D2339" s="37"/>
      <c r="E2339" s="36"/>
      <c r="F2339" s="42"/>
      <c r="G2339" s="42"/>
      <c r="H2339" s="42"/>
      <c r="AG2339" s="19">
        <v>2338</v>
      </c>
      <c r="AH2339" s="20">
        <v>482.53652170821243</v>
      </c>
    </row>
    <row r="2340" spans="1:34" ht="14.5" x14ac:dyDescent="0.35">
      <c r="A2340" s="34"/>
      <c r="B2340" s="35"/>
      <c r="C2340" s="36"/>
      <c r="D2340" s="37"/>
      <c r="E2340" s="36"/>
      <c r="F2340" s="42"/>
      <c r="G2340" s="42"/>
      <c r="H2340" s="42"/>
      <c r="AG2340" s="19">
        <v>2339</v>
      </c>
      <c r="AH2340" s="20">
        <v>-862.87022778387745</v>
      </c>
    </row>
    <row r="2341" spans="1:34" ht="14.5" x14ac:dyDescent="0.35">
      <c r="A2341" s="34"/>
      <c r="B2341" s="35"/>
      <c r="C2341" s="36"/>
      <c r="D2341" s="37"/>
      <c r="E2341" s="36"/>
      <c r="F2341" s="42"/>
      <c r="G2341" s="42"/>
      <c r="H2341" s="42"/>
      <c r="AG2341" s="19">
        <v>2340</v>
      </c>
      <c r="AH2341" s="20">
        <v>1639.9437354196052</v>
      </c>
    </row>
    <row r="2342" spans="1:34" ht="14.5" x14ac:dyDescent="0.35">
      <c r="A2342" s="34"/>
      <c r="B2342" s="35"/>
      <c r="C2342" s="36"/>
      <c r="D2342" s="37"/>
      <c r="E2342" s="36"/>
      <c r="F2342" s="42"/>
      <c r="G2342" s="42"/>
      <c r="H2342" s="42"/>
      <c r="AG2342" s="19">
        <v>2341</v>
      </c>
      <c r="AH2342" s="20">
        <v>1442.7842306874388</v>
      </c>
    </row>
    <row r="2343" spans="1:34" ht="14.5" x14ac:dyDescent="0.35">
      <c r="A2343" s="34"/>
      <c r="B2343" s="35"/>
      <c r="C2343" s="36"/>
      <c r="D2343" s="37"/>
      <c r="E2343" s="36"/>
      <c r="F2343" s="42"/>
      <c r="G2343" s="42"/>
      <c r="H2343" s="42"/>
      <c r="AG2343" s="19">
        <v>2342</v>
      </c>
      <c r="AH2343" s="20">
        <v>2201.118400145921</v>
      </c>
    </row>
    <row r="2344" spans="1:34" ht="14.5" x14ac:dyDescent="0.35">
      <c r="A2344" s="34"/>
      <c r="B2344" s="35"/>
      <c r="C2344" s="36"/>
      <c r="D2344" s="37"/>
      <c r="E2344" s="36"/>
      <c r="F2344" s="42"/>
      <c r="G2344" s="42"/>
      <c r="H2344" s="42"/>
      <c r="AG2344" s="19">
        <v>2343</v>
      </c>
      <c r="AH2344" s="20">
        <v>-773.8004785364983</v>
      </c>
    </row>
    <row r="2345" spans="1:34" ht="14.5" x14ac:dyDescent="0.35">
      <c r="A2345" s="34"/>
      <c r="B2345" s="35"/>
      <c r="C2345" s="36"/>
      <c r="D2345" s="37"/>
      <c r="E2345" s="36"/>
      <c r="F2345" s="42"/>
      <c r="G2345" s="42"/>
      <c r="H2345" s="42"/>
      <c r="AG2345" s="19">
        <v>2344</v>
      </c>
      <c r="AH2345" s="20">
        <v>-361.22762319909663</v>
      </c>
    </row>
    <row r="2346" spans="1:34" ht="14.5" x14ac:dyDescent="0.35">
      <c r="A2346" s="34"/>
      <c r="B2346" s="35"/>
      <c r="C2346" s="36"/>
      <c r="D2346" s="37"/>
      <c r="E2346" s="36"/>
      <c r="F2346" s="42"/>
      <c r="G2346" s="42"/>
      <c r="H2346" s="42"/>
      <c r="AG2346" s="19">
        <v>2345</v>
      </c>
      <c r="AH2346" s="20">
        <v>-6257.0480711083228</v>
      </c>
    </row>
    <row r="2347" spans="1:34" ht="14.5" x14ac:dyDescent="0.35">
      <c r="A2347" s="34"/>
      <c r="B2347" s="35"/>
      <c r="C2347" s="36"/>
      <c r="D2347" s="37"/>
      <c r="E2347" s="36"/>
      <c r="F2347" s="42"/>
      <c r="G2347" s="42"/>
      <c r="H2347" s="42"/>
      <c r="AG2347" s="19">
        <v>2346</v>
      </c>
      <c r="AH2347" s="20">
        <v>-279.68403264652278</v>
      </c>
    </row>
    <row r="2348" spans="1:34" ht="14.5" x14ac:dyDescent="0.35">
      <c r="A2348" s="34"/>
      <c r="B2348" s="35"/>
      <c r="C2348" s="36"/>
      <c r="D2348" s="37"/>
      <c r="E2348" s="36"/>
      <c r="F2348" s="42"/>
      <c r="G2348" s="42"/>
      <c r="H2348" s="42"/>
      <c r="AG2348" s="19">
        <v>2347</v>
      </c>
      <c r="AH2348" s="20">
        <v>1069.9108776461535</v>
      </c>
    </row>
    <row r="2349" spans="1:34" ht="14.5" x14ac:dyDescent="0.35">
      <c r="A2349" s="34"/>
      <c r="B2349" s="35"/>
      <c r="C2349" s="36"/>
      <c r="D2349" s="37"/>
      <c r="E2349" s="36"/>
      <c r="F2349" s="42"/>
      <c r="G2349" s="42"/>
      <c r="H2349" s="42"/>
      <c r="AG2349" s="19">
        <v>2348</v>
      </c>
      <c r="AH2349" s="20">
        <v>-794.80863349311676</v>
      </c>
    </row>
    <row r="2350" spans="1:34" ht="14.5" x14ac:dyDescent="0.35">
      <c r="A2350" s="34"/>
      <c r="B2350" s="35"/>
      <c r="C2350" s="36"/>
      <c r="D2350" s="37"/>
      <c r="E2350" s="36"/>
      <c r="F2350" s="42"/>
      <c r="G2350" s="42"/>
      <c r="H2350" s="42"/>
      <c r="AG2350" s="19">
        <v>2349</v>
      </c>
      <c r="AH2350" s="20">
        <v>-1322.218299522498</v>
      </c>
    </row>
    <row r="2351" spans="1:34" ht="14.5" x14ac:dyDescent="0.35">
      <c r="A2351" s="34"/>
      <c r="B2351" s="35"/>
      <c r="C2351" s="36"/>
      <c r="D2351" s="37"/>
      <c r="E2351" s="36"/>
      <c r="F2351" s="42"/>
      <c r="G2351" s="42"/>
      <c r="H2351" s="42"/>
      <c r="AG2351" s="19">
        <v>2350</v>
      </c>
      <c r="AH2351" s="20">
        <v>-2946.9650494850366</v>
      </c>
    </row>
    <row r="2352" spans="1:34" ht="14.5" x14ac:dyDescent="0.35">
      <c r="A2352" s="34"/>
      <c r="B2352" s="35"/>
      <c r="C2352" s="36"/>
      <c r="D2352" s="37"/>
      <c r="E2352" s="36"/>
      <c r="F2352" s="42"/>
      <c r="G2352" s="42"/>
      <c r="H2352" s="42"/>
      <c r="AG2352" s="19">
        <v>2351</v>
      </c>
      <c r="AH2352" s="20">
        <v>-5321.7830443457551</v>
      </c>
    </row>
    <row r="2353" spans="1:34" ht="14.5" x14ac:dyDescent="0.35">
      <c r="A2353" s="34"/>
      <c r="B2353" s="35"/>
      <c r="C2353" s="36"/>
      <c r="D2353" s="37"/>
      <c r="E2353" s="36"/>
      <c r="F2353" s="42"/>
      <c r="G2353" s="42"/>
      <c r="H2353" s="42"/>
      <c r="AG2353" s="19">
        <v>2352</v>
      </c>
      <c r="AH2353" s="20">
        <v>534.49477387988486</v>
      </c>
    </row>
    <row r="2354" spans="1:34" ht="14.5" x14ac:dyDescent="0.35">
      <c r="A2354" s="34"/>
      <c r="B2354" s="35"/>
      <c r="C2354" s="36"/>
      <c r="D2354" s="37"/>
      <c r="E2354" s="36"/>
      <c r="F2354" s="42"/>
      <c r="G2354" s="42"/>
      <c r="H2354" s="42"/>
      <c r="AG2354" s="19">
        <v>2353</v>
      </c>
      <c r="AH2354" s="20">
        <v>2200.3610420780515</v>
      </c>
    </row>
    <row r="2355" spans="1:34" ht="14.5" x14ac:dyDescent="0.35">
      <c r="A2355" s="34"/>
      <c r="B2355" s="35"/>
      <c r="C2355" s="36"/>
      <c r="D2355" s="37"/>
      <c r="E2355" s="36"/>
      <c r="F2355" s="42"/>
      <c r="G2355" s="42"/>
      <c r="H2355" s="42"/>
      <c r="AG2355" s="19">
        <v>2354</v>
      </c>
      <c r="AH2355" s="20">
        <v>-1415.0266718189775</v>
      </c>
    </row>
    <row r="2356" spans="1:34" ht="14.5" x14ac:dyDescent="0.35">
      <c r="A2356" s="34"/>
      <c r="B2356" s="35"/>
      <c r="C2356" s="36"/>
      <c r="D2356" s="37"/>
      <c r="E2356" s="36"/>
      <c r="F2356" s="42"/>
      <c r="G2356" s="42"/>
      <c r="H2356" s="42"/>
      <c r="AG2356" s="19">
        <v>2355</v>
      </c>
      <c r="AH2356" s="20">
        <v>-380.98874296157629</v>
      </c>
    </row>
    <row r="2357" spans="1:34" ht="14.5" x14ac:dyDescent="0.35">
      <c r="A2357" s="34"/>
      <c r="B2357" s="35"/>
      <c r="C2357" s="36"/>
      <c r="D2357" s="37"/>
      <c r="E2357" s="36"/>
      <c r="F2357" s="42"/>
      <c r="G2357" s="42"/>
      <c r="H2357" s="42"/>
      <c r="AG2357" s="19">
        <v>2356</v>
      </c>
      <c r="AH2357" s="20">
        <v>-1175.8124689853737</v>
      </c>
    </row>
    <row r="2358" spans="1:34" ht="14.5" x14ac:dyDescent="0.35">
      <c r="A2358" s="34"/>
      <c r="B2358" s="35"/>
      <c r="C2358" s="36"/>
      <c r="D2358" s="37"/>
      <c r="E2358" s="36"/>
      <c r="F2358" s="42"/>
      <c r="G2358" s="42"/>
      <c r="H2358" s="42"/>
      <c r="AG2358" s="19">
        <v>2357</v>
      </c>
      <c r="AH2358" s="20">
        <v>462.17625715311027</v>
      </c>
    </row>
    <row r="2359" spans="1:34" ht="14.5" x14ac:dyDescent="0.35">
      <c r="A2359" s="34"/>
      <c r="B2359" s="35"/>
      <c r="C2359" s="36"/>
      <c r="D2359" s="37"/>
      <c r="E2359" s="36"/>
      <c r="F2359" s="42"/>
      <c r="G2359" s="42"/>
      <c r="H2359" s="42"/>
      <c r="AG2359" s="19">
        <v>2358</v>
      </c>
      <c r="AH2359" s="20">
        <v>-884.13679465881251</v>
      </c>
    </row>
    <row r="2360" spans="1:34" ht="14.5" x14ac:dyDescent="0.35">
      <c r="A2360" s="34"/>
      <c r="B2360" s="35"/>
      <c r="C2360" s="36"/>
      <c r="D2360" s="37"/>
      <c r="E2360" s="36"/>
      <c r="F2360" s="42"/>
      <c r="G2360" s="42"/>
      <c r="H2360" s="42"/>
      <c r="AG2360" s="19">
        <v>2359</v>
      </c>
      <c r="AH2360" s="20">
        <v>-1781.5542726589417</v>
      </c>
    </row>
    <row r="2361" spans="1:34" ht="14.5" x14ac:dyDescent="0.35">
      <c r="A2361" s="34"/>
      <c r="B2361" s="35"/>
      <c r="C2361" s="36"/>
      <c r="D2361" s="37"/>
      <c r="E2361" s="36"/>
      <c r="F2361" s="42"/>
      <c r="G2361" s="42"/>
      <c r="H2361" s="42"/>
      <c r="AG2361" s="19">
        <v>2360</v>
      </c>
      <c r="AH2361" s="20">
        <v>1746.6364949403287</v>
      </c>
    </row>
    <row r="2362" spans="1:34" ht="14.5" x14ac:dyDescent="0.35">
      <c r="A2362" s="34"/>
      <c r="B2362" s="35"/>
      <c r="C2362" s="36"/>
      <c r="D2362" s="37"/>
      <c r="E2362" s="36"/>
      <c r="F2362" s="42"/>
      <c r="G2362" s="42"/>
      <c r="H2362" s="42"/>
      <c r="AG2362" s="19">
        <v>2361</v>
      </c>
      <c r="AH2362" s="20">
        <v>866.49164155600954</v>
      </c>
    </row>
    <row r="2363" spans="1:34" ht="14.5" x14ac:dyDescent="0.35">
      <c r="A2363" s="34"/>
      <c r="B2363" s="35"/>
      <c r="C2363" s="36"/>
      <c r="D2363" s="37"/>
      <c r="E2363" s="36"/>
      <c r="F2363" s="42"/>
      <c r="G2363" s="42"/>
      <c r="H2363" s="42"/>
      <c r="AG2363" s="19">
        <v>2362</v>
      </c>
      <c r="AH2363" s="20">
        <v>250.38800460112407</v>
      </c>
    </row>
    <row r="2364" spans="1:34" ht="14.5" x14ac:dyDescent="0.35">
      <c r="A2364" s="34"/>
      <c r="B2364" s="35"/>
      <c r="C2364" s="36"/>
      <c r="D2364" s="37"/>
      <c r="E2364" s="36"/>
      <c r="F2364" s="42"/>
      <c r="G2364" s="42"/>
      <c r="H2364" s="42"/>
      <c r="AG2364" s="19">
        <v>2363</v>
      </c>
      <c r="AH2364" s="20">
        <v>1782.842711610069</v>
      </c>
    </row>
    <row r="2365" spans="1:34" ht="14.5" x14ac:dyDescent="0.35">
      <c r="A2365" s="34"/>
      <c r="B2365" s="35"/>
      <c r="C2365" s="36"/>
      <c r="D2365" s="37"/>
      <c r="E2365" s="36"/>
      <c r="F2365" s="42"/>
      <c r="G2365" s="42"/>
      <c r="H2365" s="42"/>
      <c r="AG2365" s="19">
        <v>2364</v>
      </c>
      <c r="AH2365" s="20">
        <v>-3424.5963168317408</v>
      </c>
    </row>
    <row r="2366" spans="1:34" ht="14.5" x14ac:dyDescent="0.35">
      <c r="A2366" s="34"/>
      <c r="B2366" s="35"/>
      <c r="C2366" s="36"/>
      <c r="D2366" s="37"/>
      <c r="E2366" s="36"/>
      <c r="F2366" s="42"/>
      <c r="G2366" s="42"/>
      <c r="H2366" s="42"/>
      <c r="AG2366" s="19">
        <v>2365</v>
      </c>
      <c r="AH2366" s="20">
        <v>-1343.0746123830286</v>
      </c>
    </row>
    <row r="2367" spans="1:34" ht="14.5" x14ac:dyDescent="0.35">
      <c r="A2367" s="34"/>
      <c r="B2367" s="35"/>
      <c r="C2367" s="36"/>
      <c r="D2367" s="37"/>
      <c r="E2367" s="36"/>
      <c r="F2367" s="42"/>
      <c r="G2367" s="42"/>
      <c r="H2367" s="42"/>
      <c r="AG2367" s="19">
        <v>2366</v>
      </c>
      <c r="AH2367" s="20">
        <v>-3626.3247215830474</v>
      </c>
    </row>
    <row r="2368" spans="1:34" ht="14.5" x14ac:dyDescent="0.35">
      <c r="A2368" s="34"/>
      <c r="B2368" s="35"/>
      <c r="C2368" s="36"/>
      <c r="D2368" s="37"/>
      <c r="E2368" s="36"/>
      <c r="F2368" s="42"/>
      <c r="G2368" s="42"/>
      <c r="H2368" s="42"/>
      <c r="AG2368" s="19">
        <v>2367</v>
      </c>
      <c r="AH2368" s="20">
        <v>-297.26817535600054</v>
      </c>
    </row>
    <row r="2369" spans="1:34" ht="14.5" x14ac:dyDescent="0.35">
      <c r="A2369" s="34"/>
      <c r="B2369" s="35"/>
      <c r="C2369" s="36"/>
      <c r="D2369" s="37"/>
      <c r="E2369" s="36"/>
      <c r="F2369" s="42"/>
      <c r="G2369" s="42"/>
      <c r="H2369" s="42"/>
      <c r="AG2369" s="19">
        <v>2368</v>
      </c>
      <c r="AH2369" s="20">
        <v>-3313.0049199653763</v>
      </c>
    </row>
    <row r="2370" spans="1:34" ht="14.5" x14ac:dyDescent="0.35">
      <c r="A2370" s="34"/>
      <c r="B2370" s="35"/>
      <c r="C2370" s="36"/>
      <c r="D2370" s="37"/>
      <c r="E2370" s="36"/>
      <c r="F2370" s="42"/>
      <c r="G2370" s="42"/>
      <c r="H2370" s="42"/>
      <c r="AG2370" s="19">
        <v>2369</v>
      </c>
      <c r="AH2370" s="20">
        <v>170.44535480201279</v>
      </c>
    </row>
    <row r="2371" spans="1:34" ht="14.5" x14ac:dyDescent="0.35">
      <c r="A2371" s="34"/>
      <c r="B2371" s="35"/>
      <c r="C2371" s="36"/>
      <c r="D2371" s="37"/>
      <c r="E2371" s="36"/>
      <c r="F2371" s="42"/>
      <c r="G2371" s="42"/>
      <c r="H2371" s="42"/>
      <c r="AG2371" s="19">
        <v>2370</v>
      </c>
      <c r="AH2371" s="20">
        <v>3069.6574107251013</v>
      </c>
    </row>
    <row r="2372" spans="1:34" ht="14.5" x14ac:dyDescent="0.35">
      <c r="A2372" s="34"/>
      <c r="B2372" s="35"/>
      <c r="C2372" s="36"/>
      <c r="D2372" s="37"/>
      <c r="E2372" s="36"/>
      <c r="F2372" s="42"/>
      <c r="G2372" s="42"/>
      <c r="H2372" s="42"/>
      <c r="AG2372" s="19">
        <v>2371</v>
      </c>
      <c r="AH2372" s="20">
        <v>2716.3209342425816</v>
      </c>
    </row>
    <row r="2373" spans="1:34" ht="14.5" x14ac:dyDescent="0.35">
      <c r="A2373" s="34"/>
      <c r="B2373" s="35"/>
      <c r="C2373" s="36"/>
      <c r="D2373" s="37"/>
      <c r="E2373" s="36"/>
      <c r="F2373" s="42"/>
      <c r="G2373" s="42"/>
      <c r="H2373" s="42"/>
      <c r="AG2373" s="19">
        <v>2372</v>
      </c>
      <c r="AH2373" s="20">
        <v>-3438.9138702472933</v>
      </c>
    </row>
    <row r="2374" spans="1:34" ht="14.5" x14ac:dyDescent="0.35">
      <c r="A2374" s="34"/>
      <c r="B2374" s="35"/>
      <c r="C2374" s="36"/>
      <c r="D2374" s="37"/>
      <c r="E2374" s="36"/>
      <c r="F2374" s="42"/>
      <c r="G2374" s="42"/>
      <c r="H2374" s="42"/>
      <c r="AG2374" s="19">
        <v>2373</v>
      </c>
      <c r="AH2374" s="20">
        <v>-1424.1435671273027</v>
      </c>
    </row>
    <row r="2375" spans="1:34" ht="14.5" x14ac:dyDescent="0.35">
      <c r="A2375" s="34"/>
      <c r="B2375" s="35"/>
      <c r="C2375" s="36"/>
      <c r="D2375" s="37"/>
      <c r="E2375" s="36"/>
      <c r="F2375" s="42"/>
      <c r="G2375" s="42"/>
      <c r="H2375" s="42"/>
      <c r="AG2375" s="19">
        <v>2374</v>
      </c>
      <c r="AH2375" s="20">
        <v>2446.7556645304176</v>
      </c>
    </row>
    <row r="2376" spans="1:34" ht="14.5" x14ac:dyDescent="0.35">
      <c r="A2376" s="34"/>
      <c r="B2376" s="35"/>
      <c r="C2376" s="36"/>
      <c r="D2376" s="37"/>
      <c r="E2376" s="36"/>
      <c r="F2376" s="42"/>
      <c r="G2376" s="42"/>
      <c r="H2376" s="42"/>
      <c r="AG2376" s="19">
        <v>2375</v>
      </c>
      <c r="AH2376" s="20">
        <v>840.15303031363419</v>
      </c>
    </row>
    <row r="2377" spans="1:34" ht="14.5" x14ac:dyDescent="0.35">
      <c r="A2377" s="34"/>
      <c r="B2377" s="35"/>
      <c r="C2377" s="36"/>
      <c r="D2377" s="37"/>
      <c r="E2377" s="36"/>
      <c r="F2377" s="42"/>
      <c r="G2377" s="42"/>
      <c r="H2377" s="42"/>
      <c r="AG2377" s="19">
        <v>2376</v>
      </c>
      <c r="AH2377" s="20">
        <v>1722.160430812062</v>
      </c>
    </row>
    <row r="2378" spans="1:34" ht="14.5" x14ac:dyDescent="0.35">
      <c r="A2378" s="34"/>
      <c r="B2378" s="35"/>
      <c r="C2378" s="36"/>
      <c r="D2378" s="37"/>
      <c r="E2378" s="36"/>
      <c r="F2378" s="42"/>
      <c r="G2378" s="42"/>
      <c r="H2378" s="42"/>
      <c r="AG2378" s="19">
        <v>2377</v>
      </c>
      <c r="AH2378" s="20">
        <v>667.01876603909238</v>
      </c>
    </row>
    <row r="2379" spans="1:34" ht="14.5" x14ac:dyDescent="0.35">
      <c r="A2379" s="34"/>
      <c r="B2379" s="35"/>
      <c r="C2379" s="36"/>
      <c r="D2379" s="37"/>
      <c r="E2379" s="36"/>
      <c r="F2379" s="42"/>
      <c r="G2379" s="42"/>
      <c r="H2379" s="42"/>
      <c r="AG2379" s="19">
        <v>2378</v>
      </c>
      <c r="AH2379" s="20">
        <v>-143.45564052801018</v>
      </c>
    </row>
    <row r="2380" spans="1:34" ht="14.5" x14ac:dyDescent="0.35">
      <c r="A2380" s="34"/>
      <c r="B2380" s="35"/>
      <c r="C2380" s="36"/>
      <c r="D2380" s="37"/>
      <c r="E2380" s="36"/>
      <c r="F2380" s="42"/>
      <c r="G2380" s="42"/>
      <c r="H2380" s="42"/>
      <c r="AG2380" s="19">
        <v>2379</v>
      </c>
      <c r="AH2380" s="20">
        <v>2383.1533905957608</v>
      </c>
    </row>
    <row r="2381" spans="1:34" ht="14.5" x14ac:dyDescent="0.35">
      <c r="A2381" s="34"/>
      <c r="B2381" s="35"/>
      <c r="C2381" s="36"/>
      <c r="D2381" s="37"/>
      <c r="E2381" s="36"/>
      <c r="F2381" s="42"/>
      <c r="G2381" s="42"/>
      <c r="H2381" s="42"/>
      <c r="AG2381" s="19">
        <v>2380</v>
      </c>
      <c r="AH2381" s="20">
        <v>4113.1740818273502</v>
      </c>
    </row>
    <row r="2382" spans="1:34" ht="14.5" x14ac:dyDescent="0.35">
      <c r="A2382" s="34"/>
      <c r="B2382" s="35"/>
      <c r="C2382" s="36"/>
      <c r="D2382" s="37"/>
      <c r="E2382" s="36"/>
      <c r="F2382" s="42"/>
      <c r="G2382" s="42"/>
      <c r="H2382" s="42"/>
      <c r="AG2382" s="19">
        <v>2381</v>
      </c>
      <c r="AH2382" s="20">
        <v>2290.0027188521935</v>
      </c>
    </row>
    <row r="2383" spans="1:34" ht="14.5" x14ac:dyDescent="0.35">
      <c r="A2383" s="34"/>
      <c r="B2383" s="35"/>
      <c r="C2383" s="36"/>
      <c r="D2383" s="37"/>
      <c r="E2383" s="36"/>
      <c r="F2383" s="42"/>
      <c r="G2383" s="42"/>
      <c r="H2383" s="42"/>
      <c r="AG2383" s="19">
        <v>2382</v>
      </c>
      <c r="AH2383" s="20">
        <v>3322.2607213770125</v>
      </c>
    </row>
    <row r="2384" spans="1:34" ht="14.5" x14ac:dyDescent="0.35">
      <c r="A2384" s="34"/>
      <c r="B2384" s="35"/>
      <c r="C2384" s="36"/>
      <c r="D2384" s="37"/>
      <c r="E2384" s="36"/>
      <c r="F2384" s="42"/>
      <c r="G2384" s="42"/>
      <c r="H2384" s="42"/>
      <c r="AG2384" s="19">
        <v>2383</v>
      </c>
      <c r="AH2384" s="20">
        <v>1193.653195583687</v>
      </c>
    </row>
    <row r="2385" spans="1:34" ht="14.5" x14ac:dyDescent="0.35">
      <c r="A2385" s="34"/>
      <c r="B2385" s="35"/>
      <c r="C2385" s="36"/>
      <c r="D2385" s="37"/>
      <c r="E2385" s="36"/>
      <c r="F2385" s="42"/>
      <c r="G2385" s="42"/>
      <c r="H2385" s="42"/>
      <c r="AG2385" s="19">
        <v>2384</v>
      </c>
      <c r="AH2385" s="20">
        <v>3580.75874387767</v>
      </c>
    </row>
    <row r="2386" spans="1:34" ht="14.5" x14ac:dyDescent="0.35">
      <c r="A2386" s="34"/>
      <c r="B2386" s="35"/>
      <c r="C2386" s="36"/>
      <c r="D2386" s="37"/>
      <c r="E2386" s="36"/>
      <c r="F2386" s="42"/>
      <c r="G2386" s="42"/>
      <c r="H2386" s="42"/>
      <c r="AG2386" s="19">
        <v>2385</v>
      </c>
      <c r="AH2386" s="20">
        <v>879.46320517214599</v>
      </c>
    </row>
    <row r="2387" spans="1:34" ht="14.5" x14ac:dyDescent="0.35">
      <c r="A2387" s="34"/>
      <c r="B2387" s="35"/>
      <c r="C2387" s="36"/>
      <c r="D2387" s="37"/>
      <c r="E2387" s="36"/>
      <c r="F2387" s="42"/>
      <c r="G2387" s="42"/>
      <c r="H2387" s="42"/>
      <c r="AG2387" s="19">
        <v>2386</v>
      </c>
      <c r="AH2387" s="20">
        <v>300.43906938890859</v>
      </c>
    </row>
    <row r="2388" spans="1:34" ht="14.5" x14ac:dyDescent="0.35">
      <c r="A2388" s="34"/>
      <c r="B2388" s="35"/>
      <c r="C2388" s="36"/>
      <c r="D2388" s="37"/>
      <c r="E2388" s="36"/>
      <c r="F2388" s="42"/>
      <c r="G2388" s="42"/>
      <c r="H2388" s="42"/>
      <c r="AG2388" s="19">
        <v>2387</v>
      </c>
      <c r="AH2388" s="20">
        <v>251.56343339883676</v>
      </c>
    </row>
    <row r="2389" spans="1:34" ht="14.5" x14ac:dyDescent="0.35">
      <c r="A2389" s="34"/>
      <c r="B2389" s="35"/>
      <c r="C2389" s="36"/>
      <c r="D2389" s="37"/>
      <c r="E2389" s="36"/>
      <c r="F2389" s="42"/>
      <c r="G2389" s="42"/>
      <c r="H2389" s="42"/>
      <c r="AG2389" s="19">
        <v>2388</v>
      </c>
      <c r="AH2389" s="20">
        <v>-1545.6263950157859</v>
      </c>
    </row>
    <row r="2390" spans="1:34" ht="14.5" x14ac:dyDescent="0.35">
      <c r="A2390" s="34"/>
      <c r="B2390" s="35"/>
      <c r="C2390" s="36"/>
      <c r="D2390" s="37"/>
      <c r="E2390" s="36"/>
      <c r="F2390" s="42"/>
      <c r="G2390" s="42"/>
      <c r="H2390" s="42"/>
      <c r="AG2390" s="19">
        <v>2389</v>
      </c>
      <c r="AH2390" s="20">
        <v>1121.3296261180642</v>
      </c>
    </row>
    <row r="2391" spans="1:34" ht="14.5" x14ac:dyDescent="0.35">
      <c r="A2391" s="34"/>
      <c r="B2391" s="35"/>
      <c r="C2391" s="36"/>
      <c r="D2391" s="37"/>
      <c r="E2391" s="36"/>
      <c r="F2391" s="42"/>
      <c r="G2391" s="42"/>
      <c r="H2391" s="42"/>
      <c r="AG2391" s="19">
        <v>2390</v>
      </c>
      <c r="AH2391" s="20">
        <v>-244.84350274861214</v>
      </c>
    </row>
    <row r="2392" spans="1:34" ht="14.5" x14ac:dyDescent="0.35">
      <c r="A2392" s="34"/>
      <c r="B2392" s="35"/>
      <c r="C2392" s="36"/>
      <c r="D2392" s="37"/>
      <c r="E2392" s="36"/>
      <c r="F2392" s="42"/>
      <c r="G2392" s="42"/>
      <c r="H2392" s="42"/>
      <c r="AG2392" s="19">
        <v>2391</v>
      </c>
      <c r="AH2392" s="20">
        <v>-246.71536303784677</v>
      </c>
    </row>
    <row r="2393" spans="1:34" ht="14.5" x14ac:dyDescent="0.35">
      <c r="A2393" s="34"/>
      <c r="B2393" s="35"/>
      <c r="C2393" s="36"/>
      <c r="D2393" s="37"/>
      <c r="E2393" s="36"/>
      <c r="F2393" s="42"/>
      <c r="G2393" s="42"/>
      <c r="H2393" s="42"/>
      <c r="AG2393" s="19">
        <v>2392</v>
      </c>
      <c r="AH2393" s="20">
        <v>-877.14474319127339</v>
      </c>
    </row>
    <row r="2394" spans="1:34" ht="14.5" x14ac:dyDescent="0.35">
      <c r="A2394" s="34"/>
      <c r="B2394" s="35"/>
      <c r="C2394" s="36"/>
      <c r="D2394" s="37"/>
      <c r="E2394" s="36"/>
      <c r="F2394" s="42"/>
      <c r="G2394" s="42"/>
      <c r="H2394" s="42"/>
      <c r="AG2394" s="19">
        <v>2393</v>
      </c>
      <c r="AH2394" s="20">
        <v>-72.21481943490528</v>
      </c>
    </row>
    <row r="2395" spans="1:34" ht="14.5" x14ac:dyDescent="0.35">
      <c r="A2395" s="34"/>
      <c r="B2395" s="35"/>
      <c r="C2395" s="36"/>
      <c r="D2395" s="37"/>
      <c r="E2395" s="36"/>
      <c r="F2395" s="42"/>
      <c r="G2395" s="42"/>
      <c r="H2395" s="42"/>
      <c r="AG2395" s="19">
        <v>2394</v>
      </c>
      <c r="AH2395" s="20">
        <v>1016.0898920491954</v>
      </c>
    </row>
    <row r="2396" spans="1:34" ht="14.5" x14ac:dyDescent="0.35">
      <c r="A2396" s="34"/>
      <c r="B2396" s="35"/>
      <c r="C2396" s="36"/>
      <c r="D2396" s="37"/>
      <c r="E2396" s="36"/>
      <c r="F2396" s="42"/>
      <c r="G2396" s="42"/>
      <c r="H2396" s="42"/>
      <c r="AG2396" s="19">
        <v>2395</v>
      </c>
      <c r="AH2396" s="20">
        <v>1650.1159477400986</v>
      </c>
    </row>
    <row r="2397" spans="1:34" ht="14.5" x14ac:dyDescent="0.35">
      <c r="A2397" s="34"/>
      <c r="B2397" s="35"/>
      <c r="C2397" s="36"/>
      <c r="D2397" s="37"/>
      <c r="E2397" s="36"/>
      <c r="F2397" s="42"/>
      <c r="G2397" s="42"/>
      <c r="H2397" s="42"/>
      <c r="AG2397" s="19">
        <v>2396</v>
      </c>
      <c r="AH2397" s="20">
        <v>1770.1844304283145</v>
      </c>
    </row>
    <row r="2398" spans="1:34" ht="14.5" x14ac:dyDescent="0.35">
      <c r="A2398" s="34"/>
      <c r="B2398" s="35"/>
      <c r="C2398" s="36"/>
      <c r="D2398" s="37"/>
      <c r="E2398" s="36"/>
      <c r="F2398" s="42"/>
      <c r="G2398" s="42"/>
      <c r="H2398" s="42"/>
      <c r="AG2398" s="19">
        <v>2397</v>
      </c>
      <c r="AH2398" s="20">
        <v>-1349.1338368140957</v>
      </c>
    </row>
    <row r="2399" spans="1:34" ht="14.5" x14ac:dyDescent="0.35">
      <c r="A2399" s="34"/>
      <c r="B2399" s="35"/>
      <c r="C2399" s="36"/>
      <c r="D2399" s="37"/>
      <c r="E2399" s="36"/>
      <c r="F2399" s="42"/>
      <c r="G2399" s="42"/>
      <c r="H2399" s="42"/>
      <c r="AG2399" s="19">
        <v>2398</v>
      </c>
      <c r="AH2399" s="20">
        <v>1857.9460680527586</v>
      </c>
    </row>
    <row r="2400" spans="1:34" ht="14.5" x14ac:dyDescent="0.35">
      <c r="A2400" s="34"/>
      <c r="B2400" s="35"/>
      <c r="C2400" s="36"/>
      <c r="D2400" s="37"/>
      <c r="E2400" s="36"/>
      <c r="F2400" s="42"/>
      <c r="G2400" s="42"/>
      <c r="H2400" s="42"/>
      <c r="AG2400" s="19">
        <v>2399</v>
      </c>
      <c r="AH2400" s="20">
        <v>-1511.0427213036501</v>
      </c>
    </row>
    <row r="2401" spans="1:34" ht="14.5" x14ac:dyDescent="0.35">
      <c r="A2401" s="34"/>
      <c r="B2401" s="35"/>
      <c r="C2401" s="36"/>
      <c r="D2401" s="37"/>
      <c r="E2401" s="36"/>
      <c r="F2401" s="42"/>
      <c r="G2401" s="42"/>
      <c r="H2401" s="42"/>
      <c r="AG2401" s="19">
        <v>2400</v>
      </c>
      <c r="AH2401" s="20">
        <v>-1481.6918693832688</v>
      </c>
    </row>
    <row r="2402" spans="1:34" ht="14.5" x14ac:dyDescent="0.35">
      <c r="A2402" s="34"/>
      <c r="B2402" s="35"/>
      <c r="C2402" s="36"/>
      <c r="D2402" s="37"/>
      <c r="E2402" s="36"/>
      <c r="F2402" s="42"/>
      <c r="G2402" s="42"/>
      <c r="H2402" s="42"/>
      <c r="AG2402" s="19">
        <v>2401</v>
      </c>
      <c r="AH2402" s="20">
        <v>3376.8070911346194</v>
      </c>
    </row>
    <row r="2403" spans="1:34" ht="14.5" x14ac:dyDescent="0.35">
      <c r="A2403" s="34"/>
      <c r="B2403" s="35"/>
      <c r="C2403" s="36"/>
      <c r="D2403" s="37"/>
      <c r="E2403" s="36"/>
      <c r="F2403" s="42"/>
      <c r="G2403" s="42"/>
      <c r="H2403" s="42"/>
      <c r="AG2403" s="19">
        <v>2402</v>
      </c>
      <c r="AH2403" s="20">
        <v>1500.4288026946654</v>
      </c>
    </row>
    <row r="2404" spans="1:34" ht="14.5" x14ac:dyDescent="0.35">
      <c r="A2404" s="34"/>
      <c r="B2404" s="35"/>
      <c r="C2404" s="36"/>
      <c r="D2404" s="37"/>
      <c r="E2404" s="36"/>
      <c r="F2404" s="42"/>
      <c r="G2404" s="42"/>
      <c r="H2404" s="42"/>
      <c r="AG2404" s="19">
        <v>2403</v>
      </c>
      <c r="AH2404" s="20">
        <v>614.54914292078695</v>
      </c>
    </row>
    <row r="2405" spans="1:34" ht="14.5" x14ac:dyDescent="0.35">
      <c r="A2405" s="34"/>
      <c r="B2405" s="35"/>
      <c r="C2405" s="36"/>
      <c r="D2405" s="37"/>
      <c r="E2405" s="36"/>
      <c r="F2405" s="42"/>
      <c r="G2405" s="42"/>
      <c r="H2405" s="42"/>
      <c r="AG2405" s="19">
        <v>2404</v>
      </c>
      <c r="AH2405" s="20">
        <v>918.79792956389247</v>
      </c>
    </row>
    <row r="2406" spans="1:34" ht="14.5" x14ac:dyDescent="0.35">
      <c r="A2406" s="34"/>
      <c r="B2406" s="35"/>
      <c r="C2406" s="36"/>
      <c r="D2406" s="37"/>
      <c r="E2406" s="36"/>
      <c r="F2406" s="42"/>
      <c r="G2406" s="42"/>
      <c r="H2406" s="42"/>
      <c r="AG2406" s="19">
        <v>2405</v>
      </c>
      <c r="AH2406" s="20">
        <v>-2826.0379897300468</v>
      </c>
    </row>
    <row r="2407" spans="1:34" ht="14.5" x14ac:dyDescent="0.35">
      <c r="A2407" s="34"/>
      <c r="B2407" s="35"/>
      <c r="C2407" s="36"/>
      <c r="D2407" s="37"/>
      <c r="E2407" s="36"/>
      <c r="F2407" s="42"/>
      <c r="G2407" s="42"/>
      <c r="H2407" s="42"/>
      <c r="AG2407" s="19">
        <v>2406</v>
      </c>
      <c r="AH2407" s="20">
        <v>1691.2779303099499</v>
      </c>
    </row>
    <row r="2408" spans="1:34" ht="14.5" x14ac:dyDescent="0.35">
      <c r="A2408" s="34"/>
      <c r="B2408" s="35"/>
      <c r="C2408" s="36"/>
      <c r="D2408" s="37"/>
      <c r="E2408" s="36"/>
      <c r="F2408" s="42"/>
      <c r="G2408" s="42"/>
      <c r="H2408" s="42"/>
      <c r="AG2408" s="19">
        <v>2407</v>
      </c>
      <c r="AH2408" s="20">
        <v>1077.3650006725231</v>
      </c>
    </row>
    <row r="2409" spans="1:34" ht="14.5" x14ac:dyDescent="0.35">
      <c r="A2409" s="34"/>
      <c r="B2409" s="35"/>
      <c r="C2409" s="36"/>
      <c r="D2409" s="37"/>
      <c r="E2409" s="36"/>
      <c r="F2409" s="42"/>
      <c r="G2409" s="42"/>
      <c r="H2409" s="42"/>
      <c r="AG2409" s="19">
        <v>2408</v>
      </c>
      <c r="AH2409" s="20">
        <v>-657.10726824070912</v>
      </c>
    </row>
    <row r="2410" spans="1:34" ht="14.5" x14ac:dyDescent="0.35">
      <c r="A2410" s="34"/>
      <c r="B2410" s="35"/>
      <c r="C2410" s="36"/>
      <c r="D2410" s="37"/>
      <c r="E2410" s="36"/>
      <c r="F2410" s="42"/>
      <c r="G2410" s="42"/>
      <c r="H2410" s="42"/>
      <c r="AG2410" s="19">
        <v>2409</v>
      </c>
      <c r="AH2410" s="20">
        <v>2310.9103443783315</v>
      </c>
    </row>
    <row r="2411" spans="1:34" ht="14.5" x14ac:dyDescent="0.35">
      <c r="A2411" s="34"/>
      <c r="B2411" s="35"/>
      <c r="C2411" s="36"/>
      <c r="D2411" s="37"/>
      <c r="E2411" s="36"/>
      <c r="F2411" s="42"/>
      <c r="G2411" s="42"/>
      <c r="H2411" s="42"/>
      <c r="AG2411" s="19">
        <v>2410</v>
      </c>
      <c r="AH2411" s="20">
        <v>-3920.3896836722988</v>
      </c>
    </row>
    <row r="2412" spans="1:34" ht="14.5" x14ac:dyDescent="0.35">
      <c r="A2412" s="34"/>
      <c r="B2412" s="35"/>
      <c r="C2412" s="36"/>
      <c r="D2412" s="37"/>
      <c r="E2412" s="36"/>
      <c r="F2412" s="42"/>
      <c r="G2412" s="42"/>
      <c r="H2412" s="42"/>
      <c r="AG2412" s="19">
        <v>2411</v>
      </c>
      <c r="AH2412" s="20">
        <v>2377.2691427385489</v>
      </c>
    </row>
    <row r="2413" spans="1:34" ht="14.5" x14ac:dyDescent="0.35">
      <c r="A2413" s="34"/>
      <c r="B2413" s="35"/>
      <c r="C2413" s="36"/>
      <c r="D2413" s="37"/>
      <c r="E2413" s="36"/>
      <c r="F2413" s="42"/>
      <c r="G2413" s="42"/>
      <c r="H2413" s="42"/>
      <c r="AG2413" s="19">
        <v>2412</v>
      </c>
      <c r="AH2413" s="20">
        <v>178.88836490974828</v>
      </c>
    </row>
    <row r="2414" spans="1:34" ht="14.5" x14ac:dyDescent="0.35">
      <c r="A2414" s="34"/>
      <c r="B2414" s="35"/>
      <c r="C2414" s="36"/>
      <c r="D2414" s="37"/>
      <c r="E2414" s="36"/>
      <c r="F2414" s="42"/>
      <c r="G2414" s="42"/>
      <c r="H2414" s="42"/>
      <c r="AG2414" s="19">
        <v>2413</v>
      </c>
      <c r="AH2414" s="20">
        <v>-3565.9378903571724</v>
      </c>
    </row>
    <row r="2415" spans="1:34" ht="14.5" x14ac:dyDescent="0.35">
      <c r="A2415" s="34"/>
      <c r="B2415" s="35"/>
      <c r="C2415" s="36"/>
      <c r="D2415" s="37"/>
      <c r="E2415" s="36"/>
      <c r="F2415" s="42"/>
      <c r="G2415" s="42"/>
      <c r="H2415" s="42"/>
      <c r="AG2415" s="19">
        <v>2414</v>
      </c>
      <c r="AH2415" s="20">
        <v>3604.9715259213995</v>
      </c>
    </row>
    <row r="2416" spans="1:34" ht="14.5" x14ac:dyDescent="0.35">
      <c r="A2416" s="34"/>
      <c r="B2416" s="35"/>
      <c r="C2416" s="36"/>
      <c r="D2416" s="37"/>
      <c r="E2416" s="36"/>
      <c r="F2416" s="42"/>
      <c r="G2416" s="42"/>
      <c r="H2416" s="42"/>
      <c r="AG2416" s="19">
        <v>2415</v>
      </c>
      <c r="AH2416" s="20">
        <v>-2540.1938156846186</v>
      </c>
    </row>
    <row r="2417" spans="1:34" ht="14.5" x14ac:dyDescent="0.35">
      <c r="A2417" s="34"/>
      <c r="B2417" s="35"/>
      <c r="C2417" s="36"/>
      <c r="D2417" s="37"/>
      <c r="E2417" s="36"/>
      <c r="F2417" s="42"/>
      <c r="G2417" s="42"/>
      <c r="H2417" s="42"/>
      <c r="AG2417" s="19">
        <v>2416</v>
      </c>
      <c r="AH2417" s="20">
        <v>210.18014754647072</v>
      </c>
    </row>
    <row r="2418" spans="1:34" ht="14.5" x14ac:dyDescent="0.35">
      <c r="A2418" s="34"/>
      <c r="B2418" s="35"/>
      <c r="C2418" s="36"/>
      <c r="D2418" s="37"/>
      <c r="E2418" s="36"/>
      <c r="F2418" s="42"/>
      <c r="G2418" s="42"/>
      <c r="H2418" s="42"/>
      <c r="AG2418" s="19">
        <v>2417</v>
      </c>
      <c r="AH2418" s="20">
        <v>3598.0967149355502</v>
      </c>
    </row>
    <row r="2419" spans="1:34" ht="14.5" x14ac:dyDescent="0.35">
      <c r="A2419" s="34"/>
      <c r="B2419" s="35"/>
      <c r="C2419" s="36"/>
      <c r="D2419" s="37"/>
      <c r="E2419" s="36"/>
      <c r="F2419" s="42"/>
      <c r="G2419" s="42"/>
      <c r="H2419" s="42"/>
      <c r="AG2419" s="19">
        <v>2418</v>
      </c>
      <c r="AH2419" s="20">
        <v>-157.01096216692571</v>
      </c>
    </row>
    <row r="2420" spans="1:34" ht="14.5" x14ac:dyDescent="0.35">
      <c r="A2420" s="34"/>
      <c r="B2420" s="35"/>
      <c r="C2420" s="36"/>
      <c r="D2420" s="37"/>
      <c r="E2420" s="36"/>
      <c r="F2420" s="42"/>
      <c r="G2420" s="42"/>
      <c r="H2420" s="42"/>
      <c r="AG2420" s="19">
        <v>2419</v>
      </c>
      <c r="AH2420" s="20">
        <v>883.89661786692409</v>
      </c>
    </row>
    <row r="2421" spans="1:34" ht="14.5" x14ac:dyDescent="0.35">
      <c r="A2421" s="34"/>
      <c r="B2421" s="35"/>
      <c r="C2421" s="36"/>
      <c r="D2421" s="37"/>
      <c r="E2421" s="36"/>
      <c r="F2421" s="42"/>
      <c r="G2421" s="42"/>
      <c r="H2421" s="42"/>
      <c r="AG2421" s="19">
        <v>2420</v>
      </c>
      <c r="AH2421" s="20">
        <v>-2696.0040006541853</v>
      </c>
    </row>
    <row r="2422" spans="1:34" ht="14.5" x14ac:dyDescent="0.35">
      <c r="A2422" s="34"/>
      <c r="B2422" s="35"/>
      <c r="C2422" s="36"/>
      <c r="D2422" s="37"/>
      <c r="E2422" s="36"/>
      <c r="F2422" s="42"/>
      <c r="G2422" s="42"/>
      <c r="H2422" s="42"/>
      <c r="AG2422" s="19">
        <v>2421</v>
      </c>
      <c r="AH2422" s="20">
        <v>-488.52661343096207</v>
      </c>
    </row>
    <row r="2423" spans="1:34" ht="14.5" x14ac:dyDescent="0.35">
      <c r="A2423" s="34"/>
      <c r="B2423" s="35"/>
      <c r="C2423" s="36"/>
      <c r="D2423" s="37"/>
      <c r="E2423" s="36"/>
      <c r="F2423" s="42"/>
      <c r="G2423" s="42"/>
      <c r="H2423" s="42"/>
      <c r="AG2423" s="19">
        <v>2422</v>
      </c>
      <c r="AH2423" s="20">
        <v>-866.80514570389209</v>
      </c>
    </row>
    <row r="2424" spans="1:34" ht="14.5" x14ac:dyDescent="0.35">
      <c r="A2424" s="34"/>
      <c r="B2424" s="35"/>
      <c r="C2424" s="36"/>
      <c r="D2424" s="37"/>
      <c r="E2424" s="36"/>
      <c r="F2424" s="42"/>
      <c r="G2424" s="42"/>
      <c r="H2424" s="42"/>
      <c r="AG2424" s="19">
        <v>2423</v>
      </c>
      <c r="AH2424" s="20">
        <v>706.97262112270687</v>
      </c>
    </row>
    <row r="2425" spans="1:34" ht="14.5" x14ac:dyDescent="0.35">
      <c r="A2425" s="34"/>
      <c r="B2425" s="35"/>
      <c r="C2425" s="36"/>
      <c r="D2425" s="37"/>
      <c r="E2425" s="36"/>
      <c r="F2425" s="42"/>
      <c r="G2425" s="42"/>
      <c r="H2425" s="42"/>
      <c r="AG2425" s="19">
        <v>2424</v>
      </c>
      <c r="AH2425" s="20">
        <v>796.30542194407485</v>
      </c>
    </row>
    <row r="2426" spans="1:34" ht="14.5" x14ac:dyDescent="0.35">
      <c r="A2426" s="34"/>
      <c r="B2426" s="35"/>
      <c r="C2426" s="36"/>
      <c r="D2426" s="37"/>
      <c r="E2426" s="36"/>
      <c r="F2426" s="42"/>
      <c r="G2426" s="42"/>
      <c r="H2426" s="42"/>
      <c r="AG2426" s="19">
        <v>2425</v>
      </c>
      <c r="AH2426" s="20">
        <v>-1830.9695431069424</v>
      </c>
    </row>
    <row r="2427" spans="1:34" ht="14.5" x14ac:dyDescent="0.35">
      <c r="A2427" s="34"/>
      <c r="B2427" s="35"/>
      <c r="C2427" s="36"/>
      <c r="D2427" s="37"/>
      <c r="E2427" s="36"/>
      <c r="F2427" s="42"/>
      <c r="G2427" s="42"/>
      <c r="H2427" s="42"/>
      <c r="AG2427" s="19">
        <v>2426</v>
      </c>
      <c r="AH2427" s="20">
        <v>1431.5862792763266</v>
      </c>
    </row>
    <row r="2428" spans="1:34" ht="14.5" x14ac:dyDescent="0.35">
      <c r="A2428" s="34"/>
      <c r="B2428" s="35"/>
      <c r="C2428" s="36"/>
      <c r="D2428" s="37"/>
      <c r="E2428" s="36"/>
      <c r="F2428" s="42"/>
      <c r="G2428" s="42"/>
      <c r="H2428" s="42"/>
      <c r="AG2428" s="19">
        <v>2427</v>
      </c>
      <c r="AH2428" s="20">
        <v>322.06656360335973</v>
      </c>
    </row>
    <row r="2429" spans="1:34" ht="14.5" x14ac:dyDescent="0.35">
      <c r="A2429" s="34"/>
      <c r="B2429" s="35"/>
      <c r="C2429" s="36"/>
      <c r="D2429" s="37"/>
      <c r="E2429" s="36"/>
      <c r="F2429" s="42"/>
      <c r="G2429" s="42"/>
      <c r="H2429" s="42"/>
      <c r="AG2429" s="19">
        <v>2428</v>
      </c>
      <c r="AH2429" s="20">
        <v>-319.61437095220293</v>
      </c>
    </row>
    <row r="2430" spans="1:34" ht="14.5" x14ac:dyDescent="0.35">
      <c r="A2430" s="34"/>
      <c r="B2430" s="35"/>
      <c r="C2430" s="36"/>
      <c r="D2430" s="37"/>
      <c r="E2430" s="36"/>
      <c r="F2430" s="42"/>
      <c r="G2430" s="42"/>
      <c r="H2430" s="42"/>
      <c r="AG2430" s="19">
        <v>2429</v>
      </c>
      <c r="AH2430" s="20">
        <v>1262.2421961963698</v>
      </c>
    </row>
    <row r="2431" spans="1:34" ht="14.5" x14ac:dyDescent="0.35">
      <c r="A2431" s="34"/>
      <c r="B2431" s="35"/>
      <c r="C2431" s="36"/>
      <c r="D2431" s="37"/>
      <c r="E2431" s="36"/>
      <c r="F2431" s="42"/>
      <c r="G2431" s="42"/>
      <c r="H2431" s="42"/>
      <c r="AG2431" s="19">
        <v>2430</v>
      </c>
      <c r="AH2431" s="20">
        <v>843.02149134615593</v>
      </c>
    </row>
    <row r="2432" spans="1:34" ht="14.5" x14ac:dyDescent="0.35">
      <c r="A2432" s="34"/>
      <c r="B2432" s="35"/>
      <c r="C2432" s="36"/>
      <c r="D2432" s="37"/>
      <c r="E2432" s="36"/>
      <c r="F2432" s="42"/>
      <c r="G2432" s="42"/>
      <c r="H2432" s="42"/>
      <c r="AG2432" s="19">
        <v>2431</v>
      </c>
      <c r="AH2432" s="20">
        <v>-1177.8683566703139</v>
      </c>
    </row>
    <row r="2433" spans="1:34" ht="14.5" x14ac:dyDescent="0.35">
      <c r="A2433" s="34"/>
      <c r="B2433" s="35"/>
      <c r="C2433" s="36"/>
      <c r="D2433" s="37"/>
      <c r="E2433" s="36"/>
      <c r="F2433" s="42"/>
      <c r="G2433" s="42"/>
      <c r="H2433" s="42"/>
      <c r="AG2433" s="19">
        <v>2432</v>
      </c>
      <c r="AH2433" s="20">
        <v>-774.5141742918272</v>
      </c>
    </row>
    <row r="2434" spans="1:34" ht="14.5" x14ac:dyDescent="0.35">
      <c r="A2434" s="34"/>
      <c r="B2434" s="35"/>
      <c r="C2434" s="36"/>
      <c r="D2434" s="37"/>
      <c r="E2434" s="36"/>
      <c r="F2434" s="42"/>
      <c r="G2434" s="42"/>
      <c r="H2434" s="42"/>
      <c r="AG2434" s="19">
        <v>2433</v>
      </c>
      <c r="AH2434" s="20">
        <v>1437.04878514813</v>
      </c>
    </row>
    <row r="2435" spans="1:34" ht="14.5" x14ac:dyDescent="0.35">
      <c r="A2435" s="34"/>
      <c r="B2435" s="35"/>
      <c r="C2435" s="36"/>
      <c r="D2435" s="37"/>
      <c r="E2435" s="36"/>
      <c r="F2435" s="42"/>
      <c r="G2435" s="42"/>
      <c r="H2435" s="42"/>
      <c r="AG2435" s="19">
        <v>2434</v>
      </c>
      <c r="AH2435" s="20">
        <v>-2382.221600536478</v>
      </c>
    </row>
    <row r="2436" spans="1:34" ht="14.5" x14ac:dyDescent="0.35">
      <c r="A2436" s="34"/>
      <c r="B2436" s="35"/>
      <c r="C2436" s="36"/>
      <c r="D2436" s="37"/>
      <c r="E2436" s="36"/>
      <c r="F2436" s="42"/>
      <c r="G2436" s="42"/>
      <c r="H2436" s="42"/>
      <c r="AG2436" s="19">
        <v>2435</v>
      </c>
      <c r="AH2436" s="20">
        <v>-1618.4680613772114</v>
      </c>
    </row>
    <row r="2437" spans="1:34" ht="14.5" x14ac:dyDescent="0.35">
      <c r="A2437" s="34"/>
      <c r="B2437" s="35"/>
      <c r="C2437" s="36"/>
      <c r="D2437" s="37"/>
      <c r="E2437" s="36"/>
      <c r="F2437" s="42"/>
      <c r="G2437" s="42"/>
      <c r="H2437" s="42"/>
      <c r="AG2437" s="19">
        <v>2436</v>
      </c>
      <c r="AH2437" s="20">
        <v>-1491.9881121501005</v>
      </c>
    </row>
    <row r="2438" spans="1:34" ht="14.5" x14ac:dyDescent="0.35">
      <c r="A2438" s="34"/>
      <c r="B2438" s="35"/>
      <c r="C2438" s="36"/>
      <c r="D2438" s="37"/>
      <c r="E2438" s="36"/>
      <c r="F2438" s="42"/>
      <c r="G2438" s="42"/>
      <c r="H2438" s="42"/>
      <c r="AG2438" s="19">
        <v>2437</v>
      </c>
      <c r="AH2438" s="20">
        <v>197.4614066185332</v>
      </c>
    </row>
    <row r="2439" spans="1:34" ht="14.5" x14ac:dyDescent="0.35">
      <c r="A2439" s="34"/>
      <c r="B2439" s="35"/>
      <c r="C2439" s="36"/>
      <c r="D2439" s="37"/>
      <c r="E2439" s="36"/>
      <c r="F2439" s="42"/>
      <c r="G2439" s="42"/>
      <c r="H2439" s="42"/>
      <c r="AG2439" s="19">
        <v>2438</v>
      </c>
      <c r="AH2439" s="20">
        <v>-582.40139955456539</v>
      </c>
    </row>
    <row r="2440" spans="1:34" ht="14.5" x14ac:dyDescent="0.35">
      <c r="A2440" s="34"/>
      <c r="B2440" s="35"/>
      <c r="C2440" s="36"/>
      <c r="D2440" s="37"/>
      <c r="E2440" s="36"/>
      <c r="F2440" s="42"/>
      <c r="G2440" s="42"/>
      <c r="H2440" s="42"/>
      <c r="AG2440" s="19">
        <v>2439</v>
      </c>
      <c r="AH2440" s="20">
        <v>-141.75539614231565</v>
      </c>
    </row>
    <row r="2441" spans="1:34" ht="14.5" x14ac:dyDescent="0.35">
      <c r="A2441" s="34"/>
      <c r="B2441" s="35"/>
      <c r="C2441" s="36"/>
      <c r="D2441" s="37"/>
      <c r="E2441" s="36"/>
      <c r="F2441" s="42"/>
      <c r="G2441" s="42"/>
      <c r="H2441" s="42"/>
      <c r="AG2441" s="19">
        <v>2440</v>
      </c>
      <c r="AH2441" s="20">
        <v>905.97651621774617</v>
      </c>
    </row>
    <row r="2442" spans="1:34" ht="14.5" x14ac:dyDescent="0.35">
      <c r="A2442" s="34"/>
      <c r="B2442" s="35"/>
      <c r="C2442" s="36"/>
      <c r="D2442" s="37"/>
      <c r="E2442" s="36"/>
      <c r="F2442" s="42"/>
      <c r="G2442" s="42"/>
      <c r="H2442" s="42"/>
      <c r="AG2442" s="19">
        <v>2441</v>
      </c>
      <c r="AH2442" s="20">
        <v>49.011607171340927</v>
      </c>
    </row>
    <row r="2443" spans="1:34" ht="14.5" x14ac:dyDescent="0.35">
      <c r="A2443" s="34"/>
      <c r="B2443" s="35"/>
      <c r="C2443" s="36"/>
      <c r="D2443" s="37"/>
      <c r="E2443" s="36"/>
      <c r="F2443" s="42"/>
      <c r="G2443" s="42"/>
      <c r="H2443" s="42"/>
      <c r="AG2443" s="19">
        <v>2442</v>
      </c>
      <c r="AH2443" s="20">
        <v>2799.1784199759136</v>
      </c>
    </row>
    <row r="2444" spans="1:34" ht="14.5" x14ac:dyDescent="0.35">
      <c r="A2444" s="34"/>
      <c r="B2444" s="35"/>
      <c r="C2444" s="36"/>
      <c r="D2444" s="37"/>
      <c r="E2444" s="36"/>
      <c r="F2444" s="42"/>
      <c r="G2444" s="42"/>
      <c r="H2444" s="42"/>
      <c r="AG2444" s="19">
        <v>2443</v>
      </c>
      <c r="AH2444" s="20">
        <v>-1177.7942999541044</v>
      </c>
    </row>
    <row r="2445" spans="1:34" ht="14.5" x14ac:dyDescent="0.35">
      <c r="A2445" s="34"/>
      <c r="B2445" s="35"/>
      <c r="C2445" s="36"/>
      <c r="D2445" s="37"/>
      <c r="E2445" s="36"/>
      <c r="F2445" s="42"/>
      <c r="G2445" s="42"/>
      <c r="H2445" s="42"/>
      <c r="AG2445" s="19">
        <v>2444</v>
      </c>
      <c r="AH2445" s="20">
        <v>-1310.0232719524035</v>
      </c>
    </row>
    <row r="2446" spans="1:34" ht="14.5" x14ac:dyDescent="0.35">
      <c r="A2446" s="34"/>
      <c r="B2446" s="35"/>
      <c r="C2446" s="36"/>
      <c r="D2446" s="37"/>
      <c r="E2446" s="36"/>
      <c r="F2446" s="42"/>
      <c r="G2446" s="42"/>
      <c r="H2446" s="42"/>
      <c r="AG2446" s="19">
        <v>2445</v>
      </c>
      <c r="AH2446" s="20">
        <v>2814.742988195731</v>
      </c>
    </row>
    <row r="2447" spans="1:34" ht="14.5" x14ac:dyDescent="0.35">
      <c r="A2447" s="34"/>
      <c r="B2447" s="35"/>
      <c r="C2447" s="36"/>
      <c r="D2447" s="37"/>
      <c r="E2447" s="36"/>
      <c r="F2447" s="42"/>
      <c r="G2447" s="42"/>
      <c r="H2447" s="42"/>
      <c r="AG2447" s="19">
        <v>2446</v>
      </c>
      <c r="AH2447" s="20">
        <v>-2327.6642961337225</v>
      </c>
    </row>
    <row r="2448" spans="1:34" ht="14.5" x14ac:dyDescent="0.35">
      <c r="A2448" s="34"/>
      <c r="B2448" s="35"/>
      <c r="C2448" s="36"/>
      <c r="D2448" s="37"/>
      <c r="E2448" s="36"/>
      <c r="F2448" s="42"/>
      <c r="G2448" s="42"/>
      <c r="H2448" s="42"/>
      <c r="AG2448" s="19">
        <v>2447</v>
      </c>
      <c r="AH2448" s="20">
        <v>-35.203517184380416</v>
      </c>
    </row>
    <row r="2449" spans="1:34" ht="14.5" x14ac:dyDescent="0.35">
      <c r="A2449" s="34"/>
      <c r="B2449" s="35"/>
      <c r="C2449" s="36"/>
      <c r="D2449" s="37"/>
      <c r="E2449" s="36"/>
      <c r="F2449" s="42"/>
      <c r="G2449" s="42"/>
      <c r="H2449" s="42"/>
      <c r="AG2449" s="19">
        <v>2448</v>
      </c>
      <c r="AH2449" s="20">
        <v>2514.2423386895257</v>
      </c>
    </row>
    <row r="2450" spans="1:34" ht="14.5" x14ac:dyDescent="0.35">
      <c r="A2450" s="34"/>
      <c r="B2450" s="35"/>
      <c r="C2450" s="36"/>
      <c r="D2450" s="37"/>
      <c r="E2450" s="36"/>
      <c r="F2450" s="42"/>
      <c r="G2450" s="42"/>
      <c r="H2450" s="42"/>
      <c r="AG2450" s="19">
        <v>2449</v>
      </c>
      <c r="AH2450" s="20">
        <v>278.74822804906876</v>
      </c>
    </row>
    <row r="2451" spans="1:34" ht="14.5" x14ac:dyDescent="0.35">
      <c r="A2451" s="34"/>
      <c r="B2451" s="35"/>
      <c r="C2451" s="36"/>
      <c r="D2451" s="37"/>
      <c r="E2451" s="36"/>
      <c r="F2451" s="42"/>
      <c r="G2451" s="42"/>
      <c r="H2451" s="42"/>
      <c r="AG2451" s="19">
        <v>2450</v>
      </c>
      <c r="AH2451" s="20">
        <v>310.17855996833214</v>
      </c>
    </row>
    <row r="2452" spans="1:34" ht="14.5" x14ac:dyDescent="0.35">
      <c r="A2452" s="34"/>
      <c r="B2452" s="35"/>
      <c r="C2452" s="36"/>
      <c r="D2452" s="37"/>
      <c r="E2452" s="36"/>
      <c r="F2452" s="42"/>
      <c r="G2452" s="42"/>
      <c r="H2452" s="42"/>
      <c r="AG2452" s="19">
        <v>2451</v>
      </c>
      <c r="AH2452" s="20">
        <v>611.48276232457943</v>
      </c>
    </row>
    <row r="2453" spans="1:34" ht="14.5" x14ac:dyDescent="0.35">
      <c r="A2453" s="34"/>
      <c r="B2453" s="35"/>
      <c r="C2453" s="36"/>
      <c r="D2453" s="37"/>
      <c r="E2453" s="36"/>
      <c r="F2453" s="42"/>
      <c r="G2453" s="42"/>
      <c r="H2453" s="42"/>
      <c r="AG2453" s="19">
        <v>2452</v>
      </c>
      <c r="AH2453" s="20">
        <v>-520.96017294435796</v>
      </c>
    </row>
    <row r="2454" spans="1:34" ht="14.5" x14ac:dyDescent="0.35">
      <c r="A2454" s="34"/>
      <c r="B2454" s="35"/>
      <c r="C2454" s="36"/>
      <c r="D2454" s="37"/>
      <c r="E2454" s="36"/>
      <c r="F2454" s="42"/>
      <c r="G2454" s="42"/>
      <c r="H2454" s="42"/>
      <c r="AG2454" s="19">
        <v>2453</v>
      </c>
      <c r="AH2454" s="20">
        <v>656.70755811131505</v>
      </c>
    </row>
    <row r="2455" spans="1:34" ht="14.5" x14ac:dyDescent="0.35">
      <c r="A2455" s="34"/>
      <c r="B2455" s="35"/>
      <c r="C2455" s="36"/>
      <c r="D2455" s="37"/>
      <c r="E2455" s="36"/>
      <c r="F2455" s="42"/>
      <c r="G2455" s="42"/>
      <c r="H2455" s="42"/>
      <c r="AG2455" s="19">
        <v>2454</v>
      </c>
      <c r="AH2455" s="20">
        <v>2233.2833268014151</v>
      </c>
    </row>
    <row r="2456" spans="1:34" ht="14.5" x14ac:dyDescent="0.35">
      <c r="A2456" s="34"/>
      <c r="B2456" s="35"/>
      <c r="C2456" s="36"/>
      <c r="D2456" s="37"/>
      <c r="E2456" s="36"/>
      <c r="F2456" s="42"/>
      <c r="G2456" s="42"/>
      <c r="H2456" s="42"/>
      <c r="AG2456" s="19">
        <v>2455</v>
      </c>
      <c r="AH2456" s="20">
        <v>2122.219729598411</v>
      </c>
    </row>
    <row r="2457" spans="1:34" ht="14.5" x14ac:dyDescent="0.35">
      <c r="A2457" s="34"/>
      <c r="B2457" s="35"/>
      <c r="C2457" s="36"/>
      <c r="D2457" s="37"/>
      <c r="E2457" s="36"/>
      <c r="F2457" s="42"/>
      <c r="G2457" s="42"/>
      <c r="H2457" s="42"/>
      <c r="AG2457" s="19">
        <v>2456</v>
      </c>
      <c r="AH2457" s="20">
        <v>-1043.4523996818441</v>
      </c>
    </row>
    <row r="2458" spans="1:34" ht="14.5" x14ac:dyDescent="0.35">
      <c r="A2458" s="34"/>
      <c r="B2458" s="35"/>
      <c r="C2458" s="36"/>
      <c r="D2458" s="37"/>
      <c r="E2458" s="36"/>
      <c r="F2458" s="42"/>
      <c r="G2458" s="42"/>
      <c r="H2458" s="42"/>
      <c r="AG2458" s="19">
        <v>2457</v>
      </c>
      <c r="AH2458" s="20">
        <v>1289.8291261838956</v>
      </c>
    </row>
    <row r="2459" spans="1:34" ht="14.5" x14ac:dyDescent="0.35">
      <c r="A2459" s="34"/>
      <c r="B2459" s="35"/>
      <c r="C2459" s="36"/>
      <c r="D2459" s="37"/>
      <c r="E2459" s="36"/>
      <c r="F2459" s="42"/>
      <c r="G2459" s="42"/>
      <c r="H2459" s="42"/>
      <c r="AG2459" s="19">
        <v>2458</v>
      </c>
      <c r="AH2459" s="20">
        <v>2897.6463506362925</v>
      </c>
    </row>
    <row r="2460" spans="1:34" ht="14.5" x14ac:dyDescent="0.35">
      <c r="A2460" s="34"/>
      <c r="B2460" s="35"/>
      <c r="C2460" s="36"/>
      <c r="D2460" s="37"/>
      <c r="E2460" s="36"/>
      <c r="F2460" s="42"/>
      <c r="G2460" s="42"/>
      <c r="H2460" s="42"/>
      <c r="AG2460" s="19">
        <v>2459</v>
      </c>
      <c r="AH2460" s="20">
        <v>-1239.3980507323249</v>
      </c>
    </row>
    <row r="2461" spans="1:34" ht="14.5" x14ac:dyDescent="0.35">
      <c r="A2461" s="34"/>
      <c r="B2461" s="35"/>
      <c r="C2461" s="36"/>
      <c r="D2461" s="37"/>
      <c r="E2461" s="36"/>
      <c r="F2461" s="42"/>
      <c r="G2461" s="42"/>
      <c r="H2461" s="42"/>
      <c r="AG2461" s="19">
        <v>2460</v>
      </c>
      <c r="AH2461" s="20">
        <v>-1737.8111525123097</v>
      </c>
    </row>
    <row r="2462" spans="1:34" ht="14.5" x14ac:dyDescent="0.35">
      <c r="A2462" s="34"/>
      <c r="B2462" s="35"/>
      <c r="C2462" s="36"/>
      <c r="D2462" s="37"/>
      <c r="E2462" s="36"/>
      <c r="F2462" s="42"/>
      <c r="G2462" s="42"/>
      <c r="H2462" s="42"/>
      <c r="AG2462" s="19">
        <v>2461</v>
      </c>
      <c r="AH2462" s="20">
        <v>-240.83780572757308</v>
      </c>
    </row>
    <row r="2463" spans="1:34" ht="14.5" x14ac:dyDescent="0.35">
      <c r="A2463" s="34"/>
      <c r="B2463" s="35"/>
      <c r="C2463" s="36"/>
      <c r="D2463" s="37"/>
      <c r="E2463" s="36"/>
      <c r="F2463" s="42"/>
      <c r="G2463" s="42"/>
      <c r="H2463" s="42"/>
      <c r="AG2463" s="19">
        <v>2462</v>
      </c>
      <c r="AH2463" s="20">
        <v>-2141.8000938269411</v>
      </c>
    </row>
    <row r="2464" spans="1:34" ht="14.5" x14ac:dyDescent="0.35">
      <c r="A2464" s="34"/>
      <c r="B2464" s="35"/>
      <c r="C2464" s="36"/>
      <c r="D2464" s="37"/>
      <c r="E2464" s="36"/>
      <c r="F2464" s="42"/>
      <c r="G2464" s="42"/>
      <c r="H2464" s="42"/>
      <c r="AG2464" s="19">
        <v>2463</v>
      </c>
      <c r="AH2464" s="20">
        <v>5665.7357036017729</v>
      </c>
    </row>
    <row r="2465" spans="1:34" ht="14.5" x14ac:dyDescent="0.35">
      <c r="A2465" s="34"/>
      <c r="B2465" s="35"/>
      <c r="C2465" s="36"/>
      <c r="D2465" s="37"/>
      <c r="E2465" s="36"/>
      <c r="F2465" s="42"/>
      <c r="G2465" s="42"/>
      <c r="H2465" s="42"/>
      <c r="AG2465" s="19">
        <v>2464</v>
      </c>
      <c r="AH2465" s="20">
        <v>954.00555953792082</v>
      </c>
    </row>
    <row r="2466" spans="1:34" ht="14.5" x14ac:dyDescent="0.35">
      <c r="A2466" s="34"/>
      <c r="B2466" s="35"/>
      <c r="C2466" s="36"/>
      <c r="D2466" s="37"/>
      <c r="E2466" s="36"/>
      <c r="F2466" s="42"/>
      <c r="G2466" s="42"/>
      <c r="H2466" s="42"/>
      <c r="AG2466" s="19">
        <v>2465</v>
      </c>
      <c r="AH2466" s="20">
        <v>2942.5626537399066</v>
      </c>
    </row>
    <row r="2467" spans="1:34" ht="14.5" x14ac:dyDescent="0.35">
      <c r="A2467" s="34"/>
      <c r="B2467" s="35"/>
      <c r="C2467" s="36"/>
      <c r="D2467" s="37"/>
      <c r="E2467" s="36"/>
      <c r="F2467" s="42"/>
      <c r="G2467" s="42"/>
      <c r="H2467" s="42"/>
      <c r="AG2467" s="19">
        <v>2466</v>
      </c>
      <c r="AH2467" s="20">
        <v>115.27730874628185</v>
      </c>
    </row>
    <row r="2468" spans="1:34" ht="14.5" x14ac:dyDescent="0.35">
      <c r="A2468" s="34"/>
      <c r="B2468" s="35"/>
      <c r="C2468" s="36"/>
      <c r="D2468" s="37"/>
      <c r="E2468" s="36"/>
      <c r="F2468" s="42"/>
      <c r="G2468" s="42"/>
      <c r="H2468" s="42"/>
      <c r="AG2468" s="19">
        <v>2467</v>
      </c>
      <c r="AH2468" s="20">
        <v>2779.7783663347109</v>
      </c>
    </row>
    <row r="2469" spans="1:34" ht="14.5" x14ac:dyDescent="0.35">
      <c r="A2469" s="34"/>
      <c r="B2469" s="35"/>
      <c r="C2469" s="36"/>
      <c r="D2469" s="37"/>
      <c r="E2469" s="36"/>
      <c r="F2469" s="42"/>
      <c r="G2469" s="42"/>
      <c r="H2469" s="42"/>
      <c r="AG2469" s="19">
        <v>2468</v>
      </c>
      <c r="AH2469" s="20">
        <v>-528.94140585401306</v>
      </c>
    </row>
    <row r="2470" spans="1:34" ht="14.5" x14ac:dyDescent="0.35">
      <c r="A2470" s="34"/>
      <c r="B2470" s="35"/>
      <c r="C2470" s="36"/>
      <c r="D2470" s="37"/>
      <c r="E2470" s="36"/>
      <c r="F2470" s="42"/>
      <c r="G2470" s="42"/>
      <c r="H2470" s="42"/>
      <c r="AG2470" s="19">
        <v>2469</v>
      </c>
      <c r="AH2470" s="20">
        <v>958.58693423566388</v>
      </c>
    </row>
    <row r="2471" spans="1:34" ht="14.5" x14ac:dyDescent="0.35">
      <c r="A2471" s="34"/>
      <c r="B2471" s="35"/>
      <c r="C2471" s="36"/>
      <c r="D2471" s="37"/>
      <c r="E2471" s="36"/>
      <c r="F2471" s="42"/>
      <c r="G2471" s="42"/>
      <c r="H2471" s="42"/>
      <c r="AG2471" s="19">
        <v>2470</v>
      </c>
      <c r="AH2471" s="20">
        <v>3390.4590453094374</v>
      </c>
    </row>
    <row r="2472" spans="1:34" ht="14.5" x14ac:dyDescent="0.35">
      <c r="A2472" s="34"/>
      <c r="B2472" s="35"/>
      <c r="C2472" s="36"/>
      <c r="D2472" s="37"/>
      <c r="E2472" s="36"/>
      <c r="F2472" s="42"/>
      <c r="G2472" s="42"/>
      <c r="H2472" s="42"/>
      <c r="AG2472" s="19">
        <v>2471</v>
      </c>
      <c r="AH2472" s="20">
        <v>-206.41055814417854</v>
      </c>
    </row>
    <row r="2473" spans="1:34" ht="14.5" x14ac:dyDescent="0.35">
      <c r="A2473" s="34"/>
      <c r="B2473" s="35"/>
      <c r="C2473" s="36"/>
      <c r="D2473" s="37"/>
      <c r="E2473" s="36"/>
      <c r="F2473" s="42"/>
      <c r="G2473" s="42"/>
      <c r="H2473" s="42"/>
      <c r="AG2473" s="19">
        <v>2472</v>
      </c>
      <c r="AH2473" s="20">
        <v>2652.9236693929056</v>
      </c>
    </row>
    <row r="2474" spans="1:34" ht="14.5" x14ac:dyDescent="0.35">
      <c r="A2474" s="34"/>
      <c r="B2474" s="35"/>
      <c r="C2474" s="36"/>
      <c r="D2474" s="37"/>
      <c r="E2474" s="36"/>
      <c r="F2474" s="42"/>
      <c r="G2474" s="42"/>
      <c r="H2474" s="42"/>
      <c r="AG2474" s="19">
        <v>2473</v>
      </c>
      <c r="AH2474" s="20">
        <v>650.31031200279267</v>
      </c>
    </row>
    <row r="2475" spans="1:34" ht="14.5" x14ac:dyDescent="0.35">
      <c r="A2475" s="34"/>
      <c r="B2475" s="35"/>
      <c r="C2475" s="36"/>
      <c r="D2475" s="37"/>
      <c r="E2475" s="36"/>
      <c r="F2475" s="42"/>
      <c r="G2475" s="42"/>
      <c r="H2475" s="42"/>
      <c r="AG2475" s="19">
        <v>2474</v>
      </c>
      <c r="AH2475" s="20">
        <v>-2149.3646707413645</v>
      </c>
    </row>
    <row r="2476" spans="1:34" ht="14.5" x14ac:dyDescent="0.35">
      <c r="A2476" s="34"/>
      <c r="B2476" s="35"/>
      <c r="C2476" s="36"/>
      <c r="D2476" s="37"/>
      <c r="E2476" s="36"/>
      <c r="F2476" s="42"/>
      <c r="G2476" s="42"/>
      <c r="H2476" s="42"/>
      <c r="AG2476" s="19">
        <v>2475</v>
      </c>
      <c r="AH2476" s="20">
        <v>2629.7505343915814</v>
      </c>
    </row>
    <row r="2477" spans="1:34" ht="14.5" x14ac:dyDescent="0.35">
      <c r="A2477" s="34"/>
      <c r="B2477" s="35"/>
      <c r="C2477" s="36"/>
      <c r="D2477" s="37"/>
      <c r="E2477" s="36"/>
      <c r="F2477" s="42"/>
      <c r="G2477" s="42"/>
      <c r="H2477" s="42"/>
      <c r="AG2477" s="19">
        <v>2476</v>
      </c>
      <c r="AH2477" s="20">
        <v>2133.6410231174386</v>
      </c>
    </row>
    <row r="2478" spans="1:34" ht="14.5" x14ac:dyDescent="0.35">
      <c r="A2478" s="34"/>
      <c r="B2478" s="35"/>
      <c r="C2478" s="36"/>
      <c r="D2478" s="37"/>
      <c r="E2478" s="36"/>
      <c r="F2478" s="42"/>
      <c r="G2478" s="42"/>
      <c r="H2478" s="42"/>
      <c r="AG2478" s="19">
        <v>2477</v>
      </c>
      <c r="AH2478" s="20">
        <v>-637.92561874423632</v>
      </c>
    </row>
    <row r="2479" spans="1:34" ht="14.5" x14ac:dyDescent="0.35">
      <c r="A2479" s="34"/>
      <c r="B2479" s="35"/>
      <c r="C2479" s="36"/>
      <c r="D2479" s="37"/>
      <c r="E2479" s="36"/>
      <c r="F2479" s="42"/>
      <c r="G2479" s="42"/>
      <c r="H2479" s="42"/>
      <c r="AG2479" s="19">
        <v>2478</v>
      </c>
      <c r="AH2479" s="20">
        <v>1328.545429563909</v>
      </c>
    </row>
    <row r="2480" spans="1:34" ht="14.5" x14ac:dyDescent="0.35">
      <c r="A2480" s="34"/>
      <c r="B2480" s="35"/>
      <c r="C2480" s="36"/>
      <c r="D2480" s="37"/>
      <c r="E2480" s="36"/>
      <c r="F2480" s="42"/>
      <c r="G2480" s="42"/>
      <c r="H2480" s="42"/>
      <c r="AG2480" s="19">
        <v>2479</v>
      </c>
      <c r="AH2480" s="20">
        <v>2667.0078296305205</v>
      </c>
    </row>
    <row r="2481" spans="1:34" ht="14.5" x14ac:dyDescent="0.35">
      <c r="A2481" s="34"/>
      <c r="B2481" s="35"/>
      <c r="C2481" s="36"/>
      <c r="D2481" s="37"/>
      <c r="E2481" s="36"/>
      <c r="F2481" s="42"/>
      <c r="G2481" s="42"/>
      <c r="H2481" s="42"/>
      <c r="AG2481" s="19">
        <v>2480</v>
      </c>
      <c r="AH2481" s="20">
        <v>-887.01304450811358</v>
      </c>
    </row>
    <row r="2482" spans="1:34" ht="14.5" x14ac:dyDescent="0.35">
      <c r="A2482" s="34"/>
      <c r="B2482" s="35"/>
      <c r="C2482" s="36"/>
      <c r="D2482" s="37"/>
      <c r="E2482" s="36"/>
      <c r="F2482" s="42"/>
      <c r="G2482" s="42"/>
      <c r="H2482" s="42"/>
      <c r="AG2482" s="19">
        <v>2481</v>
      </c>
      <c r="AH2482" s="20">
        <v>-30.16557638457391</v>
      </c>
    </row>
    <row r="2483" spans="1:34" ht="14.5" x14ac:dyDescent="0.35">
      <c r="A2483" s="34"/>
      <c r="B2483" s="35"/>
      <c r="C2483" s="36"/>
      <c r="D2483" s="37"/>
      <c r="E2483" s="36"/>
      <c r="F2483" s="42"/>
      <c r="G2483" s="42"/>
      <c r="H2483" s="42"/>
      <c r="AG2483" s="19">
        <v>2482</v>
      </c>
      <c r="AH2483" s="20">
        <v>-895.77554267830942</v>
      </c>
    </row>
    <row r="2484" spans="1:34" ht="14.5" x14ac:dyDescent="0.35">
      <c r="A2484" s="34"/>
      <c r="B2484" s="35"/>
      <c r="C2484" s="36"/>
      <c r="D2484" s="37"/>
      <c r="E2484" s="36"/>
      <c r="F2484" s="42"/>
      <c r="G2484" s="42"/>
      <c r="H2484" s="42"/>
      <c r="AG2484" s="19">
        <v>2483</v>
      </c>
      <c r="AH2484" s="20">
        <v>-2014.9903148504093</v>
      </c>
    </row>
    <row r="2485" spans="1:34" ht="14.5" x14ac:dyDescent="0.35">
      <c r="A2485" s="34"/>
      <c r="B2485" s="35"/>
      <c r="C2485" s="36"/>
      <c r="D2485" s="37"/>
      <c r="E2485" s="36"/>
      <c r="F2485" s="42"/>
      <c r="G2485" s="42"/>
      <c r="H2485" s="42"/>
      <c r="AG2485" s="19">
        <v>2484</v>
      </c>
      <c r="AH2485" s="20">
        <v>1133.4614046746865</v>
      </c>
    </row>
    <row r="2486" spans="1:34" ht="14.5" x14ac:dyDescent="0.35">
      <c r="A2486" s="34"/>
      <c r="B2486" s="35"/>
      <c r="C2486" s="36"/>
      <c r="D2486" s="37"/>
      <c r="E2486" s="36"/>
      <c r="F2486" s="42"/>
      <c r="G2486" s="42"/>
      <c r="H2486" s="42"/>
      <c r="AG2486" s="19">
        <v>2485</v>
      </c>
      <c r="AH2486" s="20">
        <v>1446.8784853830643</v>
      </c>
    </row>
    <row r="2487" spans="1:34" ht="14.5" x14ac:dyDescent="0.35">
      <c r="A2487" s="34"/>
      <c r="B2487" s="35"/>
      <c r="C2487" s="36"/>
      <c r="D2487" s="37"/>
      <c r="E2487" s="36"/>
      <c r="F2487" s="42"/>
      <c r="G2487" s="42"/>
      <c r="H2487" s="42"/>
      <c r="AG2487" s="19">
        <v>2486</v>
      </c>
      <c r="AH2487" s="20">
        <v>-733.52163699212542</v>
      </c>
    </row>
    <row r="2488" spans="1:34" ht="14.5" x14ac:dyDescent="0.35">
      <c r="A2488" s="34"/>
      <c r="B2488" s="35"/>
      <c r="C2488" s="36"/>
      <c r="D2488" s="37"/>
      <c r="E2488" s="36"/>
      <c r="F2488" s="42"/>
      <c r="G2488" s="42"/>
      <c r="H2488" s="42"/>
      <c r="AG2488" s="19">
        <v>2487</v>
      </c>
      <c r="AH2488" s="20">
        <v>3138.5970254580343</v>
      </c>
    </row>
    <row r="2489" spans="1:34" ht="14.5" x14ac:dyDescent="0.35">
      <c r="A2489" s="34"/>
      <c r="B2489" s="35"/>
      <c r="C2489" s="36"/>
      <c r="D2489" s="37"/>
      <c r="E2489" s="36"/>
      <c r="F2489" s="42"/>
      <c r="G2489" s="42"/>
      <c r="H2489" s="42"/>
      <c r="AG2489" s="19">
        <v>2488</v>
      </c>
      <c r="AH2489" s="20">
        <v>1147.7416383601442</v>
      </c>
    </row>
    <row r="2490" spans="1:34" ht="14.5" x14ac:dyDescent="0.35">
      <c r="A2490" s="34"/>
      <c r="B2490" s="35"/>
      <c r="C2490" s="36"/>
      <c r="D2490" s="37"/>
      <c r="E2490" s="36"/>
      <c r="F2490" s="42"/>
      <c r="G2490" s="42"/>
      <c r="H2490" s="42"/>
      <c r="AG2490" s="19">
        <v>2489</v>
      </c>
      <c r="AH2490" s="20">
        <v>724.73698615263027</v>
      </c>
    </row>
    <row r="2491" spans="1:34" ht="14.5" x14ac:dyDescent="0.35">
      <c r="A2491" s="34"/>
      <c r="B2491" s="35"/>
      <c r="C2491" s="36"/>
      <c r="D2491" s="37"/>
      <c r="E2491" s="36"/>
      <c r="F2491" s="42"/>
      <c r="G2491" s="42"/>
      <c r="H2491" s="42"/>
      <c r="AG2491" s="19">
        <v>2490</v>
      </c>
      <c r="AH2491" s="20">
        <v>-1066.9765969387729</v>
      </c>
    </row>
    <row r="2492" spans="1:34" ht="14.5" x14ac:dyDescent="0.35">
      <c r="A2492" s="34"/>
      <c r="B2492" s="35"/>
      <c r="C2492" s="36"/>
      <c r="D2492" s="37"/>
      <c r="E2492" s="36"/>
      <c r="F2492" s="42"/>
      <c r="G2492" s="42"/>
      <c r="H2492" s="42"/>
      <c r="AG2492" s="19">
        <v>2491</v>
      </c>
      <c r="AH2492" s="20">
        <v>-415.48557725509608</v>
      </c>
    </row>
    <row r="2493" spans="1:34" ht="14.5" x14ac:dyDescent="0.35">
      <c r="A2493" s="34"/>
      <c r="B2493" s="35"/>
      <c r="C2493" s="36"/>
      <c r="D2493" s="37"/>
      <c r="E2493" s="36"/>
      <c r="F2493" s="42"/>
      <c r="G2493" s="42"/>
      <c r="H2493" s="42"/>
      <c r="AG2493" s="19">
        <v>2492</v>
      </c>
      <c r="AH2493" s="20">
        <v>-119.74947280285772</v>
      </c>
    </row>
    <row r="2494" spans="1:34" ht="14.5" x14ac:dyDescent="0.35">
      <c r="A2494" s="34"/>
      <c r="B2494" s="35"/>
      <c r="C2494" s="36"/>
      <c r="D2494" s="37"/>
      <c r="E2494" s="36"/>
      <c r="F2494" s="42"/>
      <c r="G2494" s="42"/>
      <c r="H2494" s="42"/>
      <c r="AG2494" s="19">
        <v>2493</v>
      </c>
      <c r="AH2494" s="20">
        <v>1952.4766142316464</v>
      </c>
    </row>
    <row r="2495" spans="1:34" ht="14.5" x14ac:dyDescent="0.35">
      <c r="A2495" s="34"/>
      <c r="B2495" s="35"/>
      <c r="C2495" s="36"/>
      <c r="D2495" s="37"/>
      <c r="E2495" s="36"/>
      <c r="F2495" s="42"/>
      <c r="G2495" s="42"/>
      <c r="H2495" s="42"/>
      <c r="AG2495" s="19">
        <v>2494</v>
      </c>
      <c r="AH2495" s="20">
        <v>1240.2812756523324</v>
      </c>
    </row>
    <row r="2496" spans="1:34" ht="14.5" x14ac:dyDescent="0.35">
      <c r="A2496" s="34"/>
      <c r="B2496" s="35"/>
      <c r="C2496" s="36"/>
      <c r="D2496" s="37"/>
      <c r="E2496" s="36"/>
      <c r="F2496" s="42"/>
      <c r="G2496" s="42"/>
      <c r="H2496" s="42"/>
      <c r="AG2496" s="19">
        <v>2495</v>
      </c>
      <c r="AH2496" s="20">
        <v>-738.04162294584148</v>
      </c>
    </row>
    <row r="2497" spans="1:34" ht="14.5" x14ac:dyDescent="0.35">
      <c r="A2497" s="34"/>
      <c r="B2497" s="35"/>
      <c r="C2497" s="36"/>
      <c r="D2497" s="37"/>
      <c r="E2497" s="36"/>
      <c r="F2497" s="42"/>
      <c r="G2497" s="42"/>
      <c r="H2497" s="42"/>
      <c r="AG2497" s="19">
        <v>2496</v>
      </c>
      <c r="AH2497" s="20">
        <v>1427.609483460167</v>
      </c>
    </row>
    <row r="2498" spans="1:34" ht="14.5" x14ac:dyDescent="0.35">
      <c r="A2498" s="34"/>
      <c r="B2498" s="35"/>
      <c r="C2498" s="36"/>
      <c r="D2498" s="37"/>
      <c r="E2498" s="36"/>
      <c r="F2498" s="42"/>
      <c r="G2498" s="42"/>
      <c r="H2498" s="42"/>
      <c r="AG2498" s="19">
        <v>2497</v>
      </c>
      <c r="AH2498" s="20">
        <v>2039.7055967951712</v>
      </c>
    </row>
    <row r="2499" spans="1:34" ht="14.5" x14ac:dyDescent="0.35">
      <c r="A2499" s="34"/>
      <c r="B2499" s="35"/>
      <c r="C2499" s="36"/>
      <c r="D2499" s="37"/>
      <c r="E2499" s="36"/>
      <c r="F2499" s="42"/>
      <c r="G2499" s="42"/>
      <c r="H2499" s="42"/>
      <c r="AG2499" s="19">
        <v>2498</v>
      </c>
      <c r="AH2499" s="20">
        <v>2475.815186671603</v>
      </c>
    </row>
    <row r="2500" spans="1:34" ht="14.5" x14ac:dyDescent="0.35">
      <c r="A2500" s="34"/>
      <c r="B2500" s="35"/>
      <c r="C2500" s="36"/>
      <c r="D2500" s="37"/>
      <c r="E2500" s="36"/>
      <c r="F2500" s="42"/>
      <c r="G2500" s="42"/>
      <c r="H2500" s="42"/>
      <c r="AG2500" s="19">
        <v>2499</v>
      </c>
      <c r="AH2500" s="20">
        <v>-1065.9275469543327</v>
      </c>
    </row>
    <row r="2501" spans="1:34" ht="14.5" x14ac:dyDescent="0.35">
      <c r="A2501" s="34"/>
      <c r="B2501" s="35"/>
      <c r="C2501" s="36"/>
      <c r="D2501" s="37"/>
      <c r="E2501" s="36"/>
      <c r="F2501" s="42"/>
      <c r="G2501" s="42"/>
      <c r="H2501" s="42"/>
      <c r="AG2501" s="19">
        <v>2500</v>
      </c>
      <c r="AH2501" s="20">
        <v>88.936869835997925</v>
      </c>
    </row>
    <row r="2502" spans="1:34" ht="14.5" x14ac:dyDescent="0.35">
      <c r="A2502" s="34"/>
      <c r="B2502" s="35"/>
      <c r="C2502" s="36"/>
      <c r="D2502" s="37"/>
      <c r="E2502" s="36"/>
      <c r="F2502" s="42"/>
      <c r="G2502" s="42"/>
      <c r="H2502" s="42"/>
      <c r="AG2502" s="19">
        <v>2501</v>
      </c>
      <c r="AH2502" s="20">
        <v>-626.8111412351318</v>
      </c>
    </row>
    <row r="2503" spans="1:34" ht="14.5" x14ac:dyDescent="0.35">
      <c r="A2503" s="34"/>
      <c r="B2503" s="35"/>
      <c r="C2503" s="36"/>
      <c r="D2503" s="37"/>
      <c r="E2503" s="36"/>
      <c r="F2503" s="42"/>
      <c r="G2503" s="42"/>
      <c r="H2503" s="42"/>
      <c r="AG2503" s="19">
        <v>2502</v>
      </c>
      <c r="AH2503" s="20">
        <v>1442.4589083168205</v>
      </c>
    </row>
    <row r="2504" spans="1:34" ht="14.5" x14ac:dyDescent="0.35">
      <c r="A2504" s="34"/>
      <c r="B2504" s="35"/>
      <c r="C2504" s="36"/>
      <c r="D2504" s="37"/>
      <c r="E2504" s="36"/>
      <c r="F2504" s="42"/>
      <c r="G2504" s="42"/>
      <c r="H2504" s="42"/>
      <c r="AG2504" s="19">
        <v>2503</v>
      </c>
      <c r="AH2504" s="20">
        <v>1065.9483624358177</v>
      </c>
    </row>
    <row r="2505" spans="1:34" ht="14.5" x14ac:dyDescent="0.35">
      <c r="A2505" s="34"/>
      <c r="B2505" s="35"/>
      <c r="C2505" s="36"/>
      <c r="D2505" s="37"/>
      <c r="E2505" s="36"/>
      <c r="F2505" s="42"/>
      <c r="G2505" s="42"/>
      <c r="H2505" s="42"/>
      <c r="AG2505" s="19">
        <v>2504</v>
      </c>
      <c r="AH2505" s="20">
        <v>-2601.3361944088947</v>
      </c>
    </row>
    <row r="2506" spans="1:34" ht="14.5" x14ac:dyDescent="0.35">
      <c r="A2506" s="34"/>
      <c r="B2506" s="35"/>
      <c r="C2506" s="36"/>
      <c r="D2506" s="37"/>
      <c r="E2506" s="36"/>
      <c r="F2506" s="42"/>
      <c r="G2506" s="42"/>
      <c r="H2506" s="42"/>
      <c r="AG2506" s="19">
        <v>2505</v>
      </c>
      <c r="AH2506" s="20">
        <v>-1556.5059549126386</v>
      </c>
    </row>
    <row r="2507" spans="1:34" ht="14.5" x14ac:dyDescent="0.35">
      <c r="A2507" s="34"/>
      <c r="B2507" s="35"/>
      <c r="C2507" s="36"/>
      <c r="D2507" s="37"/>
      <c r="E2507" s="36"/>
      <c r="F2507" s="42"/>
      <c r="G2507" s="42"/>
      <c r="H2507" s="42"/>
      <c r="AG2507" s="19">
        <v>2506</v>
      </c>
      <c r="AH2507" s="20">
        <v>801.90982968931701</v>
      </c>
    </row>
    <row r="2508" spans="1:34" ht="14.5" x14ac:dyDescent="0.35">
      <c r="A2508" s="34"/>
      <c r="B2508" s="35"/>
      <c r="C2508" s="36"/>
      <c r="D2508" s="37"/>
      <c r="E2508" s="36"/>
      <c r="F2508" s="42"/>
      <c r="G2508" s="42"/>
      <c r="H2508" s="42"/>
      <c r="AG2508" s="19">
        <v>2507</v>
      </c>
      <c r="AH2508" s="20">
        <v>1776.7146248623253</v>
      </c>
    </row>
    <row r="2509" spans="1:34" ht="14.5" x14ac:dyDescent="0.35">
      <c r="A2509" s="34"/>
      <c r="B2509" s="35"/>
      <c r="C2509" s="36"/>
      <c r="D2509" s="37"/>
      <c r="E2509" s="36"/>
      <c r="F2509" s="42"/>
      <c r="G2509" s="42"/>
      <c r="H2509" s="42"/>
      <c r="AG2509" s="19">
        <v>2508</v>
      </c>
      <c r="AH2509" s="20">
        <v>-536.41959422733044</v>
      </c>
    </row>
    <row r="2510" spans="1:34" ht="14.5" x14ac:dyDescent="0.35">
      <c r="A2510" s="34"/>
      <c r="B2510" s="35"/>
      <c r="C2510" s="36"/>
      <c r="D2510" s="37"/>
      <c r="E2510" s="36"/>
      <c r="F2510" s="42"/>
      <c r="G2510" s="42"/>
      <c r="H2510" s="42"/>
      <c r="AG2510" s="19">
        <v>2509</v>
      </c>
      <c r="AH2510" s="20">
        <v>-666.23426777062696</v>
      </c>
    </row>
    <row r="2511" spans="1:34" ht="14.5" x14ac:dyDescent="0.35">
      <c r="A2511" s="34"/>
      <c r="B2511" s="35"/>
      <c r="C2511" s="36"/>
      <c r="D2511" s="37"/>
      <c r="E2511" s="36"/>
      <c r="F2511" s="42"/>
      <c r="G2511" s="42"/>
      <c r="H2511" s="42"/>
      <c r="AG2511" s="19">
        <v>2510</v>
      </c>
      <c r="AH2511" s="20">
        <v>-968.86308932328984</v>
      </c>
    </row>
    <row r="2512" spans="1:34" ht="14.5" x14ac:dyDescent="0.35">
      <c r="A2512" s="34"/>
      <c r="B2512" s="35"/>
      <c r="C2512" s="36"/>
      <c r="D2512" s="37"/>
      <c r="E2512" s="36"/>
      <c r="F2512" s="42"/>
      <c r="G2512" s="42"/>
      <c r="H2512" s="42"/>
      <c r="AG2512" s="19">
        <v>2511</v>
      </c>
      <c r="AH2512" s="20">
        <v>-79.437061993181374</v>
      </c>
    </row>
    <row r="2513" spans="1:34" ht="14.5" x14ac:dyDescent="0.35">
      <c r="A2513" s="34"/>
      <c r="B2513" s="35"/>
      <c r="C2513" s="36"/>
      <c r="D2513" s="37"/>
      <c r="E2513" s="36"/>
      <c r="F2513" s="42"/>
      <c r="G2513" s="42"/>
      <c r="H2513" s="42"/>
      <c r="AG2513" s="19">
        <v>2512</v>
      </c>
      <c r="AH2513" s="20">
        <v>-1250.3867794221592</v>
      </c>
    </row>
    <row r="2514" spans="1:34" ht="14.5" x14ac:dyDescent="0.35">
      <c r="A2514" s="34"/>
      <c r="B2514" s="35"/>
      <c r="C2514" s="36"/>
      <c r="D2514" s="37"/>
      <c r="E2514" s="36"/>
      <c r="F2514" s="42"/>
      <c r="G2514" s="42"/>
      <c r="H2514" s="42"/>
      <c r="AG2514" s="19">
        <v>2513</v>
      </c>
      <c r="AH2514" s="20">
        <v>1106.1920261102282</v>
      </c>
    </row>
    <row r="2515" spans="1:34" ht="14.5" x14ac:dyDescent="0.35">
      <c r="A2515" s="34"/>
      <c r="B2515" s="35"/>
      <c r="C2515" s="36"/>
      <c r="D2515" s="37"/>
      <c r="E2515" s="36"/>
      <c r="F2515" s="42"/>
      <c r="G2515" s="42"/>
      <c r="H2515" s="42"/>
      <c r="AG2515" s="19">
        <v>2514</v>
      </c>
      <c r="AH2515" s="20">
        <v>-210.29933526913879</v>
      </c>
    </row>
    <row r="2516" spans="1:34" ht="14.5" x14ac:dyDescent="0.35">
      <c r="A2516" s="34"/>
      <c r="B2516" s="35"/>
      <c r="C2516" s="36"/>
      <c r="D2516" s="37"/>
      <c r="E2516" s="36"/>
      <c r="F2516" s="42"/>
      <c r="G2516" s="42"/>
      <c r="H2516" s="42"/>
      <c r="AG2516" s="19">
        <v>2515</v>
      </c>
      <c r="AH2516" s="20">
        <v>-981.0646506120986</v>
      </c>
    </row>
    <row r="2517" spans="1:34" ht="14.5" x14ac:dyDescent="0.35">
      <c r="A2517" s="34"/>
      <c r="B2517" s="35"/>
      <c r="C2517" s="36"/>
      <c r="D2517" s="37"/>
      <c r="E2517" s="36"/>
      <c r="F2517" s="42"/>
      <c r="G2517" s="42"/>
      <c r="H2517" s="42"/>
      <c r="AG2517" s="19">
        <v>2516</v>
      </c>
      <c r="AH2517" s="20">
        <v>-510.51102279337357</v>
      </c>
    </row>
    <row r="2518" spans="1:34" ht="14.5" x14ac:dyDescent="0.35">
      <c r="A2518" s="34"/>
      <c r="B2518" s="35"/>
      <c r="C2518" s="36"/>
      <c r="D2518" s="37"/>
      <c r="E2518" s="36"/>
      <c r="F2518" s="42"/>
      <c r="G2518" s="42"/>
      <c r="H2518" s="42"/>
      <c r="AG2518" s="19">
        <v>2517</v>
      </c>
      <c r="AH2518" s="20">
        <v>-439.23915504091423</v>
      </c>
    </row>
    <row r="2519" spans="1:34" ht="14.5" x14ac:dyDescent="0.35">
      <c r="A2519" s="34"/>
      <c r="B2519" s="35"/>
      <c r="C2519" s="36"/>
      <c r="D2519" s="37"/>
      <c r="E2519" s="36"/>
      <c r="F2519" s="42"/>
      <c r="G2519" s="42"/>
      <c r="H2519" s="42"/>
      <c r="AG2519" s="19">
        <v>2518</v>
      </c>
      <c r="AH2519" s="20">
        <v>-767.23376940038111</v>
      </c>
    </row>
    <row r="2520" spans="1:34" ht="14.5" x14ac:dyDescent="0.35">
      <c r="A2520" s="34"/>
      <c r="B2520" s="35"/>
      <c r="C2520" s="36"/>
      <c r="D2520" s="37"/>
      <c r="E2520" s="36"/>
      <c r="F2520" s="42"/>
      <c r="G2520" s="42"/>
      <c r="H2520" s="42"/>
      <c r="AG2520" s="19">
        <v>2519</v>
      </c>
      <c r="AH2520" s="20">
        <v>3430.1902857567743</v>
      </c>
    </row>
    <row r="2521" spans="1:34" ht="14.5" x14ac:dyDescent="0.35">
      <c r="A2521" s="34"/>
      <c r="B2521" s="35"/>
      <c r="C2521" s="36"/>
      <c r="D2521" s="37"/>
      <c r="E2521" s="36"/>
      <c r="F2521" s="42"/>
      <c r="G2521" s="42"/>
      <c r="H2521" s="42"/>
      <c r="AG2521" s="19">
        <v>2520</v>
      </c>
      <c r="AH2521" s="20">
        <v>4050.1213383533459</v>
      </c>
    </row>
    <row r="2522" spans="1:34" ht="14.5" x14ac:dyDescent="0.35">
      <c r="A2522" s="34"/>
      <c r="B2522" s="35"/>
      <c r="C2522" s="36"/>
      <c r="D2522" s="37"/>
      <c r="E2522" s="36"/>
      <c r="F2522" s="42"/>
      <c r="G2522" s="42"/>
      <c r="H2522" s="42"/>
      <c r="AG2522" s="19">
        <v>2521</v>
      </c>
      <c r="AH2522" s="20">
        <v>6239.7186635905809</v>
      </c>
    </row>
    <row r="2523" spans="1:34" ht="14.5" x14ac:dyDescent="0.35">
      <c r="A2523" s="34"/>
      <c r="B2523" s="35"/>
      <c r="C2523" s="36"/>
      <c r="D2523" s="37"/>
      <c r="E2523" s="36"/>
      <c r="F2523" s="42"/>
      <c r="G2523" s="42"/>
      <c r="H2523" s="42"/>
      <c r="AG2523" s="19">
        <v>2522</v>
      </c>
      <c r="AH2523" s="20">
        <v>-373.3208416497543</v>
      </c>
    </row>
    <row r="2524" spans="1:34" ht="14.5" x14ac:dyDescent="0.35">
      <c r="A2524" s="34"/>
      <c r="B2524" s="35"/>
      <c r="C2524" s="36"/>
      <c r="D2524" s="37"/>
      <c r="E2524" s="36"/>
      <c r="F2524" s="42"/>
      <c r="G2524" s="42"/>
      <c r="H2524" s="42"/>
      <c r="AG2524" s="19">
        <v>2523</v>
      </c>
      <c r="AH2524" s="20">
        <v>2330.7550109912313</v>
      </c>
    </row>
    <row r="2525" spans="1:34" ht="14.5" x14ac:dyDescent="0.35">
      <c r="A2525" s="34"/>
      <c r="B2525" s="35"/>
      <c r="C2525" s="36"/>
      <c r="D2525" s="37"/>
      <c r="E2525" s="36"/>
      <c r="F2525" s="42"/>
      <c r="G2525" s="42"/>
      <c r="H2525" s="42"/>
      <c r="AG2525" s="19">
        <v>2524</v>
      </c>
      <c r="AH2525" s="20">
        <v>-1325.4439158988637</v>
      </c>
    </row>
    <row r="2526" spans="1:34" ht="14.5" x14ac:dyDescent="0.35">
      <c r="A2526" s="34"/>
      <c r="B2526" s="35"/>
      <c r="C2526" s="36"/>
      <c r="D2526" s="37"/>
      <c r="E2526" s="36"/>
      <c r="F2526" s="42"/>
      <c r="G2526" s="42"/>
      <c r="H2526" s="42"/>
      <c r="AG2526" s="19">
        <v>2525</v>
      </c>
      <c r="AH2526" s="20">
        <v>-1313.4720093668545</v>
      </c>
    </row>
    <row r="2527" spans="1:34" ht="14.5" x14ac:dyDescent="0.35">
      <c r="A2527" s="34"/>
      <c r="B2527" s="35"/>
      <c r="C2527" s="36"/>
      <c r="D2527" s="37"/>
      <c r="E2527" s="36"/>
      <c r="F2527" s="42"/>
      <c r="G2527" s="42"/>
      <c r="H2527" s="42"/>
      <c r="AG2527" s="19">
        <v>2526</v>
      </c>
      <c r="AH2527" s="20">
        <v>812.43516470351051</v>
      </c>
    </row>
    <row r="2528" spans="1:34" ht="14.5" x14ac:dyDescent="0.35">
      <c r="A2528" s="34"/>
      <c r="B2528" s="35"/>
      <c r="C2528" s="36"/>
      <c r="D2528" s="37"/>
      <c r="E2528" s="36"/>
      <c r="F2528" s="42"/>
      <c r="G2528" s="42"/>
      <c r="H2528" s="42"/>
      <c r="AG2528" s="19">
        <v>2527</v>
      </c>
      <c r="AH2528" s="20">
        <v>-1283.917224170413</v>
      </c>
    </row>
    <row r="2529" spans="1:34" ht="14.5" x14ac:dyDescent="0.35">
      <c r="A2529" s="34"/>
      <c r="B2529" s="35"/>
      <c r="C2529" s="36"/>
      <c r="D2529" s="37"/>
      <c r="E2529" s="36"/>
      <c r="F2529" s="42"/>
      <c r="G2529" s="42"/>
      <c r="H2529" s="42"/>
      <c r="AG2529" s="19">
        <v>2528</v>
      </c>
      <c r="AH2529" s="20">
        <v>-3142.6413029637974</v>
      </c>
    </row>
    <row r="2530" spans="1:34" ht="14.5" x14ac:dyDescent="0.35">
      <c r="A2530" s="34"/>
      <c r="B2530" s="35"/>
      <c r="C2530" s="36"/>
      <c r="D2530" s="37"/>
      <c r="E2530" s="36"/>
      <c r="F2530" s="42"/>
      <c r="G2530" s="42"/>
      <c r="H2530" s="42"/>
      <c r="AG2530" s="19">
        <v>2529</v>
      </c>
      <c r="AH2530" s="20">
        <v>1057.894538962516</v>
      </c>
    </row>
    <row r="2531" spans="1:34" ht="14.5" x14ac:dyDescent="0.35">
      <c r="A2531" s="34"/>
      <c r="B2531" s="35"/>
      <c r="C2531" s="36"/>
      <c r="D2531" s="37"/>
      <c r="E2531" s="36"/>
      <c r="F2531" s="42"/>
      <c r="G2531" s="42"/>
      <c r="H2531" s="42"/>
      <c r="AG2531" s="19">
        <v>2530</v>
      </c>
      <c r="AH2531" s="20">
        <v>1784.9865612464691</v>
      </c>
    </row>
    <row r="2532" spans="1:34" ht="14.5" x14ac:dyDescent="0.35">
      <c r="A2532" s="34"/>
      <c r="B2532" s="35"/>
      <c r="C2532" s="36"/>
      <c r="D2532" s="37"/>
      <c r="E2532" s="36"/>
      <c r="F2532" s="42"/>
      <c r="G2532" s="42"/>
      <c r="H2532" s="42"/>
      <c r="AG2532" s="19">
        <v>2531</v>
      </c>
      <c r="AH2532" s="20">
        <v>3262.3588744596518</v>
      </c>
    </row>
    <row r="2533" spans="1:34" ht="14.5" x14ac:dyDescent="0.35">
      <c r="A2533" s="34"/>
      <c r="B2533" s="35"/>
      <c r="C2533" s="36"/>
      <c r="D2533" s="37"/>
      <c r="E2533" s="36"/>
      <c r="F2533" s="42"/>
      <c r="G2533" s="42"/>
      <c r="H2533" s="42"/>
      <c r="AG2533" s="19">
        <v>2532</v>
      </c>
      <c r="AH2533" s="20">
        <v>-3659.1762483106672</v>
      </c>
    </row>
    <row r="2534" spans="1:34" ht="14.5" x14ac:dyDescent="0.35">
      <c r="A2534" s="34"/>
      <c r="B2534" s="35"/>
      <c r="C2534" s="36"/>
      <c r="D2534" s="37"/>
      <c r="E2534" s="36"/>
      <c r="F2534" s="42"/>
      <c r="G2534" s="42"/>
      <c r="H2534" s="42"/>
      <c r="AG2534" s="19">
        <v>2533</v>
      </c>
      <c r="AH2534" s="20">
        <v>2033.6904648700563</v>
      </c>
    </row>
    <row r="2535" spans="1:34" ht="14.5" x14ac:dyDescent="0.35">
      <c r="A2535" s="34"/>
      <c r="B2535" s="35"/>
      <c r="C2535" s="36"/>
      <c r="D2535" s="37"/>
      <c r="E2535" s="36"/>
      <c r="F2535" s="42"/>
      <c r="G2535" s="42"/>
      <c r="H2535" s="42"/>
      <c r="AG2535" s="19">
        <v>2534</v>
      </c>
      <c r="AH2535" s="20">
        <v>1212.9616756130231</v>
      </c>
    </row>
    <row r="2536" spans="1:34" ht="14.5" x14ac:dyDescent="0.35">
      <c r="A2536" s="34"/>
      <c r="B2536" s="35"/>
      <c r="C2536" s="36"/>
      <c r="D2536" s="37"/>
      <c r="E2536" s="36"/>
      <c r="F2536" s="42"/>
      <c r="G2536" s="42"/>
      <c r="H2536" s="42"/>
      <c r="AG2536" s="19">
        <v>2535</v>
      </c>
      <c r="AH2536" s="20">
        <v>-1498.5563411722817</v>
      </c>
    </row>
    <row r="2537" spans="1:34" ht="14.5" x14ac:dyDescent="0.35">
      <c r="A2537" s="34"/>
      <c r="B2537" s="35"/>
      <c r="C2537" s="36"/>
      <c r="D2537" s="37"/>
      <c r="E2537" s="36"/>
      <c r="F2537" s="42"/>
      <c r="G2537" s="42"/>
      <c r="H2537" s="42"/>
      <c r="AG2537" s="19">
        <v>2536</v>
      </c>
      <c r="AH2537" s="20">
        <v>4921.9906239592801</v>
      </c>
    </row>
    <row r="2538" spans="1:34" ht="14.5" x14ac:dyDescent="0.35">
      <c r="A2538" s="34"/>
      <c r="B2538" s="35"/>
      <c r="C2538" s="36"/>
      <c r="D2538" s="37"/>
      <c r="E2538" s="36"/>
      <c r="F2538" s="42"/>
      <c r="G2538" s="42"/>
      <c r="H2538" s="42"/>
      <c r="AG2538" s="19">
        <v>2537</v>
      </c>
      <c r="AH2538" s="20">
        <v>228.28940210487806</v>
      </c>
    </row>
    <row r="2539" spans="1:34" ht="14.5" x14ac:dyDescent="0.35">
      <c r="A2539" s="34"/>
      <c r="B2539" s="35"/>
      <c r="C2539" s="36"/>
      <c r="D2539" s="37"/>
      <c r="E2539" s="36"/>
      <c r="F2539" s="42"/>
      <c r="G2539" s="42"/>
      <c r="H2539" s="42"/>
      <c r="AG2539" s="19">
        <v>2538</v>
      </c>
      <c r="AH2539" s="20">
        <v>4651.0330972173688</v>
      </c>
    </row>
    <row r="2540" spans="1:34" ht="14.5" x14ac:dyDescent="0.35">
      <c r="A2540" s="34"/>
      <c r="B2540" s="35"/>
      <c r="C2540" s="36"/>
      <c r="D2540" s="37"/>
      <c r="E2540" s="36"/>
      <c r="F2540" s="42"/>
      <c r="G2540" s="42"/>
      <c r="H2540" s="42"/>
      <c r="AG2540" s="19">
        <v>2539</v>
      </c>
      <c r="AH2540" s="20">
        <v>-1537.3187837811686</v>
      </c>
    </row>
    <row r="2541" spans="1:34" ht="14.5" x14ac:dyDescent="0.35">
      <c r="A2541" s="34"/>
      <c r="B2541" s="35"/>
      <c r="C2541" s="36"/>
      <c r="D2541" s="37"/>
      <c r="E2541" s="36"/>
      <c r="F2541" s="42"/>
      <c r="G2541" s="42"/>
      <c r="H2541" s="42"/>
      <c r="AG2541" s="19">
        <v>2540</v>
      </c>
      <c r="AH2541" s="20">
        <v>-559.93658867413387</v>
      </c>
    </row>
    <row r="2542" spans="1:34" ht="14.5" x14ac:dyDescent="0.35">
      <c r="A2542" s="34"/>
      <c r="B2542" s="35"/>
      <c r="C2542" s="36"/>
      <c r="D2542" s="37"/>
      <c r="E2542" s="36"/>
      <c r="F2542" s="42"/>
      <c r="G2542" s="42"/>
      <c r="H2542" s="42"/>
      <c r="AG2542" s="19">
        <v>2541</v>
      </c>
      <c r="AH2542" s="20">
        <v>-3681.069128575255</v>
      </c>
    </row>
    <row r="2543" spans="1:34" ht="14.5" x14ac:dyDescent="0.35">
      <c r="A2543" s="34"/>
      <c r="B2543" s="35"/>
      <c r="C2543" s="36"/>
      <c r="D2543" s="37"/>
      <c r="E2543" s="36"/>
      <c r="F2543" s="42"/>
      <c r="G2543" s="42"/>
      <c r="H2543" s="42"/>
      <c r="AG2543" s="19">
        <v>2542</v>
      </c>
      <c r="AH2543" s="20">
        <v>-2007.9777875271909</v>
      </c>
    </row>
    <row r="2544" spans="1:34" ht="14.5" x14ac:dyDescent="0.35">
      <c r="A2544" s="34"/>
      <c r="B2544" s="35"/>
      <c r="C2544" s="36"/>
      <c r="D2544" s="37"/>
      <c r="E2544" s="36"/>
      <c r="F2544" s="42"/>
      <c r="G2544" s="42"/>
      <c r="H2544" s="42"/>
      <c r="AG2544" s="19">
        <v>2543</v>
      </c>
      <c r="AH2544" s="20">
        <v>-694.39355848882497</v>
      </c>
    </row>
    <row r="2545" spans="1:34" ht="14.5" x14ac:dyDescent="0.35">
      <c r="A2545" s="34"/>
      <c r="B2545" s="35"/>
      <c r="C2545" s="36"/>
      <c r="D2545" s="37"/>
      <c r="E2545" s="36"/>
      <c r="F2545" s="42"/>
      <c r="G2545" s="42"/>
      <c r="H2545" s="42"/>
      <c r="AG2545" s="19">
        <v>2544</v>
      </c>
      <c r="AH2545" s="20">
        <v>1410.6579453943502</v>
      </c>
    </row>
    <row r="2546" spans="1:34" ht="14.5" x14ac:dyDescent="0.35">
      <c r="A2546" s="34"/>
      <c r="B2546" s="35"/>
      <c r="C2546" s="36"/>
      <c r="D2546" s="37"/>
      <c r="E2546" s="36"/>
      <c r="F2546" s="42"/>
      <c r="G2546" s="42"/>
      <c r="H2546" s="42"/>
      <c r="AG2546" s="19">
        <v>2545</v>
      </c>
      <c r="AH2546" s="20">
        <v>-1601.3986976457961</v>
      </c>
    </row>
    <row r="2547" spans="1:34" ht="14.5" x14ac:dyDescent="0.35">
      <c r="A2547" s="34"/>
      <c r="B2547" s="35"/>
      <c r="C2547" s="36"/>
      <c r="D2547" s="37"/>
      <c r="E2547" s="36"/>
      <c r="F2547" s="42"/>
      <c r="G2547" s="42"/>
      <c r="H2547" s="42"/>
      <c r="AG2547" s="19">
        <v>2546</v>
      </c>
      <c r="AH2547" s="20">
        <v>-604.52003767643509</v>
      </c>
    </row>
    <row r="2548" spans="1:34" ht="14.5" x14ac:dyDescent="0.35">
      <c r="A2548" s="34"/>
      <c r="B2548" s="35"/>
      <c r="C2548" s="36"/>
      <c r="D2548" s="37"/>
      <c r="E2548" s="36"/>
      <c r="F2548" s="42"/>
      <c r="G2548" s="42"/>
      <c r="H2548" s="42"/>
      <c r="AG2548" s="19">
        <v>2547</v>
      </c>
      <c r="AH2548" s="20">
        <v>1099.8626830288929</v>
      </c>
    </row>
    <row r="2549" spans="1:34" ht="14.5" x14ac:dyDescent="0.35">
      <c r="A2549" s="34"/>
      <c r="B2549" s="35"/>
      <c r="C2549" s="36"/>
      <c r="D2549" s="37"/>
      <c r="E2549" s="36"/>
      <c r="F2549" s="42"/>
      <c r="G2549" s="42"/>
      <c r="H2549" s="42"/>
      <c r="AG2549" s="19">
        <v>2548</v>
      </c>
      <c r="AH2549" s="20">
        <v>-1310.8186027758165</v>
      </c>
    </row>
    <row r="2550" spans="1:34" ht="14.5" x14ac:dyDescent="0.35">
      <c r="A2550" s="34"/>
      <c r="B2550" s="35"/>
      <c r="C2550" s="36"/>
      <c r="D2550" s="37"/>
      <c r="E2550" s="36"/>
      <c r="F2550" s="42"/>
      <c r="G2550" s="42"/>
      <c r="H2550" s="42"/>
      <c r="AG2550" s="19">
        <v>2549</v>
      </c>
      <c r="AH2550" s="20">
        <v>-3212.0228513929765</v>
      </c>
    </row>
    <row r="2551" spans="1:34" ht="14.5" x14ac:dyDescent="0.35">
      <c r="A2551" s="34"/>
      <c r="B2551" s="35"/>
      <c r="C2551" s="36"/>
      <c r="D2551" s="37"/>
      <c r="E2551" s="36"/>
      <c r="F2551" s="42"/>
      <c r="G2551" s="42"/>
      <c r="H2551" s="42"/>
      <c r="AG2551" s="19">
        <v>2550</v>
      </c>
      <c r="AH2551" s="20">
        <v>3378.7457527587248</v>
      </c>
    </row>
    <row r="2552" spans="1:34" ht="14.5" x14ac:dyDescent="0.35">
      <c r="A2552" s="34"/>
      <c r="B2552" s="35"/>
      <c r="C2552" s="36"/>
      <c r="D2552" s="37"/>
      <c r="E2552" s="36"/>
      <c r="F2552" s="42"/>
      <c r="G2552" s="42"/>
      <c r="H2552" s="42"/>
      <c r="AG2552" s="19">
        <v>2551</v>
      </c>
      <c r="AH2552" s="20">
        <v>1149.0370208678532</v>
      </c>
    </row>
    <row r="2553" spans="1:34" ht="14.5" x14ac:dyDescent="0.35">
      <c r="A2553" s="34"/>
      <c r="B2553" s="35"/>
      <c r="C2553" s="36"/>
      <c r="D2553" s="37"/>
      <c r="E2553" s="36"/>
      <c r="F2553" s="42"/>
      <c r="G2553" s="42"/>
      <c r="H2553" s="42"/>
      <c r="AG2553" s="19">
        <v>2552</v>
      </c>
      <c r="AH2553" s="20">
        <v>2722.1318649538625</v>
      </c>
    </row>
    <row r="2554" spans="1:34" ht="14.5" x14ac:dyDescent="0.35">
      <c r="A2554" s="34"/>
      <c r="B2554" s="35"/>
      <c r="C2554" s="36"/>
      <c r="D2554" s="37"/>
      <c r="E2554" s="36"/>
      <c r="F2554" s="42"/>
      <c r="G2554" s="42"/>
      <c r="H2554" s="42"/>
      <c r="AG2554" s="19">
        <v>2553</v>
      </c>
      <c r="AH2554" s="20">
        <v>2165.084274884955</v>
      </c>
    </row>
    <row r="2555" spans="1:34" ht="14.5" x14ac:dyDescent="0.35">
      <c r="A2555" s="34"/>
      <c r="B2555" s="35"/>
      <c r="C2555" s="36"/>
      <c r="D2555" s="37"/>
      <c r="E2555" s="36"/>
      <c r="F2555" s="42"/>
      <c r="G2555" s="42"/>
      <c r="H2555" s="42"/>
      <c r="AG2555" s="19">
        <v>2554</v>
      </c>
      <c r="AH2555" s="20">
        <v>2636.8334667550712</v>
      </c>
    </row>
    <row r="2556" spans="1:34" ht="14.5" x14ac:dyDescent="0.35">
      <c r="A2556" s="34"/>
      <c r="B2556" s="35"/>
      <c r="C2556" s="36"/>
      <c r="D2556" s="37"/>
      <c r="E2556" s="36"/>
      <c r="F2556" s="42"/>
      <c r="G2556" s="42"/>
      <c r="H2556" s="42"/>
      <c r="AG2556" s="19">
        <v>2555</v>
      </c>
      <c r="AH2556" s="20">
        <v>901.24512898505884</v>
      </c>
    </row>
    <row r="2557" spans="1:34" ht="14.5" x14ac:dyDescent="0.35">
      <c r="A2557" s="34"/>
      <c r="B2557" s="35"/>
      <c r="C2557" s="36"/>
      <c r="D2557" s="37"/>
      <c r="E2557" s="36"/>
      <c r="F2557" s="42"/>
      <c r="G2557" s="42"/>
      <c r="H2557" s="42"/>
      <c r="AG2557" s="19">
        <v>2556</v>
      </c>
      <c r="AH2557" s="20">
        <v>-2374.6159038208093</v>
      </c>
    </row>
    <row r="2558" spans="1:34" ht="14.5" x14ac:dyDescent="0.35">
      <c r="A2558" s="34"/>
      <c r="B2558" s="35"/>
      <c r="C2558" s="36"/>
      <c r="D2558" s="37"/>
      <c r="E2558" s="36"/>
      <c r="F2558" s="42"/>
      <c r="G2558" s="42"/>
      <c r="H2558" s="42"/>
      <c r="AG2558" s="19">
        <v>2557</v>
      </c>
      <c r="AH2558" s="20">
        <v>608.79815782737148</v>
      </c>
    </row>
    <row r="2559" spans="1:34" ht="14.5" x14ac:dyDescent="0.35">
      <c r="A2559" s="34"/>
      <c r="B2559" s="35"/>
      <c r="C2559" s="36"/>
      <c r="D2559" s="37"/>
      <c r="E2559" s="36"/>
      <c r="F2559" s="42"/>
      <c r="G2559" s="42"/>
      <c r="H2559" s="42"/>
      <c r="AG2559" s="19">
        <v>2558</v>
      </c>
      <c r="AH2559" s="20">
        <v>-1459.3559651934274</v>
      </c>
    </row>
    <row r="2560" spans="1:34" ht="14.5" x14ac:dyDescent="0.35">
      <c r="A2560" s="34"/>
      <c r="B2560" s="35"/>
      <c r="C2560" s="36"/>
      <c r="D2560" s="37"/>
      <c r="E2560" s="36"/>
      <c r="F2560" s="42"/>
      <c r="G2560" s="42"/>
      <c r="H2560" s="42"/>
      <c r="AG2560" s="19">
        <v>2559</v>
      </c>
      <c r="AH2560" s="20">
        <v>5796.7110386740196</v>
      </c>
    </row>
    <row r="2561" spans="1:34" ht="14.5" x14ac:dyDescent="0.35">
      <c r="A2561" s="34"/>
      <c r="B2561" s="35"/>
      <c r="C2561" s="36"/>
      <c r="D2561" s="37"/>
      <c r="E2561" s="36"/>
      <c r="F2561" s="42"/>
      <c r="G2561" s="42"/>
      <c r="H2561" s="42"/>
      <c r="AG2561" s="19">
        <v>2560</v>
      </c>
      <c r="AH2561" s="20">
        <v>1669.4351818032414</v>
      </c>
    </row>
    <row r="2562" spans="1:34" ht="14.5" x14ac:dyDescent="0.35">
      <c r="A2562" s="34"/>
      <c r="B2562" s="35"/>
      <c r="C2562" s="36"/>
      <c r="D2562" s="37"/>
      <c r="E2562" s="36"/>
      <c r="F2562" s="42"/>
      <c r="G2562" s="42"/>
      <c r="H2562" s="42"/>
      <c r="AG2562" s="19">
        <v>2561</v>
      </c>
      <c r="AH2562" s="20">
        <v>1676.4691476387741</v>
      </c>
    </row>
    <row r="2563" spans="1:34" ht="14.5" x14ac:dyDescent="0.35">
      <c r="A2563" s="34"/>
      <c r="B2563" s="35"/>
      <c r="C2563" s="36"/>
      <c r="D2563" s="37"/>
      <c r="E2563" s="36"/>
      <c r="F2563" s="42"/>
      <c r="G2563" s="42"/>
      <c r="H2563" s="42"/>
      <c r="AG2563" s="19">
        <v>2562</v>
      </c>
      <c r="AH2563" s="20">
        <v>1213.6129487704254</v>
      </c>
    </row>
    <row r="2564" spans="1:34" ht="14.5" x14ac:dyDescent="0.35">
      <c r="A2564" s="34"/>
      <c r="B2564" s="35"/>
      <c r="C2564" s="36"/>
      <c r="D2564" s="37"/>
      <c r="E2564" s="36"/>
      <c r="F2564" s="42"/>
      <c r="G2564" s="42"/>
      <c r="H2564" s="42"/>
      <c r="AG2564" s="19">
        <v>2563</v>
      </c>
      <c r="AH2564" s="20">
        <v>3143.0121270629752</v>
      </c>
    </row>
    <row r="2565" spans="1:34" ht="14.5" x14ac:dyDescent="0.35">
      <c r="A2565" s="34"/>
      <c r="B2565" s="35"/>
      <c r="C2565" s="36"/>
      <c r="D2565" s="37"/>
      <c r="E2565" s="36"/>
      <c r="F2565" s="42"/>
      <c r="G2565" s="42"/>
      <c r="H2565" s="42"/>
      <c r="AG2565" s="19">
        <v>2564</v>
      </c>
      <c r="AH2565" s="20">
        <v>-2318.1056308532588</v>
      </c>
    </row>
    <row r="2566" spans="1:34" ht="14.5" x14ac:dyDescent="0.35">
      <c r="A2566" s="34"/>
      <c r="B2566" s="35"/>
      <c r="C2566" s="36"/>
      <c r="D2566" s="37"/>
      <c r="E2566" s="36"/>
      <c r="F2566" s="42"/>
      <c r="G2566" s="42"/>
      <c r="H2566" s="42"/>
      <c r="AG2566" s="19">
        <v>2565</v>
      </c>
      <c r="AH2566" s="20">
        <v>751.91526438995197</v>
      </c>
    </row>
    <row r="2567" spans="1:34" ht="14.5" x14ac:dyDescent="0.35">
      <c r="A2567" s="34"/>
      <c r="B2567" s="35"/>
      <c r="C2567" s="36"/>
      <c r="D2567" s="37"/>
      <c r="E2567" s="36"/>
      <c r="F2567" s="42"/>
      <c r="G2567" s="42"/>
      <c r="H2567" s="42"/>
      <c r="AG2567" s="19">
        <v>2566</v>
      </c>
      <c r="AH2567" s="20">
        <v>196.28330072694425</v>
      </c>
    </row>
    <row r="2568" spans="1:34" ht="14.5" x14ac:dyDescent="0.35">
      <c r="A2568" s="34"/>
      <c r="B2568" s="35"/>
      <c r="C2568" s="36"/>
      <c r="D2568" s="37"/>
      <c r="E2568" s="36"/>
      <c r="F2568" s="42"/>
      <c r="G2568" s="42"/>
      <c r="H2568" s="42"/>
      <c r="AG2568" s="19">
        <v>2567</v>
      </c>
      <c r="AH2568" s="20">
        <v>2661.4766614567325</v>
      </c>
    </row>
    <row r="2569" spans="1:34" ht="14.5" x14ac:dyDescent="0.35">
      <c r="A2569" s="34"/>
      <c r="B2569" s="35"/>
      <c r="C2569" s="36"/>
      <c r="D2569" s="37"/>
      <c r="E2569" s="36"/>
      <c r="F2569" s="42"/>
      <c r="G2569" s="42"/>
      <c r="H2569" s="42"/>
      <c r="AG2569" s="19">
        <v>2568</v>
      </c>
      <c r="AH2569" s="20">
        <v>-1042.1654519231495</v>
      </c>
    </row>
    <row r="2570" spans="1:34" ht="14.5" x14ac:dyDescent="0.35">
      <c r="A2570" s="34"/>
      <c r="B2570" s="35"/>
      <c r="C2570" s="36"/>
      <c r="D2570" s="37"/>
      <c r="E2570" s="36"/>
      <c r="F2570" s="42"/>
      <c r="G2570" s="42"/>
      <c r="H2570" s="42"/>
      <c r="AG2570" s="19">
        <v>2569</v>
      </c>
      <c r="AH2570" s="20">
        <v>5309.7016413162692</v>
      </c>
    </row>
    <row r="2571" spans="1:34" ht="14.5" x14ac:dyDescent="0.35">
      <c r="A2571" s="34"/>
      <c r="B2571" s="35"/>
      <c r="C2571" s="36"/>
      <c r="D2571" s="37"/>
      <c r="E2571" s="36"/>
      <c r="F2571" s="42"/>
      <c r="G2571" s="42"/>
      <c r="H2571" s="42"/>
      <c r="AG2571" s="19">
        <v>2570</v>
      </c>
      <c r="AH2571" s="20">
        <v>-2740.0889230987045</v>
      </c>
    </row>
    <row r="2572" spans="1:34" ht="14.5" x14ac:dyDescent="0.35">
      <c r="A2572" s="34"/>
      <c r="B2572" s="35"/>
      <c r="C2572" s="36"/>
      <c r="D2572" s="37"/>
      <c r="E2572" s="36"/>
      <c r="F2572" s="42"/>
      <c r="G2572" s="42"/>
      <c r="H2572" s="42"/>
      <c r="AG2572" s="19">
        <v>2571</v>
      </c>
      <c r="AH2572" s="20">
        <v>-595.85693092071369</v>
      </c>
    </row>
    <row r="2573" spans="1:34" ht="14.5" x14ac:dyDescent="0.35">
      <c r="A2573" s="34"/>
      <c r="B2573" s="35"/>
      <c r="C2573" s="36"/>
      <c r="D2573" s="37"/>
      <c r="E2573" s="36"/>
      <c r="F2573" s="42"/>
      <c r="G2573" s="42"/>
      <c r="H2573" s="42"/>
      <c r="AG2573" s="19">
        <v>2572</v>
      </c>
      <c r="AH2573" s="20">
        <v>1793.5089846919279</v>
      </c>
    </row>
    <row r="2574" spans="1:34" ht="14.5" x14ac:dyDescent="0.35">
      <c r="A2574" s="34"/>
      <c r="B2574" s="35"/>
      <c r="C2574" s="36"/>
      <c r="D2574" s="37"/>
      <c r="E2574" s="36"/>
      <c r="F2574" s="42"/>
      <c r="G2574" s="42"/>
      <c r="H2574" s="42"/>
      <c r="AG2574" s="19">
        <v>2573</v>
      </c>
      <c r="AH2574" s="20">
        <v>3038.6556440509125</v>
      </c>
    </row>
    <row r="2575" spans="1:34" ht="14.5" x14ac:dyDescent="0.35">
      <c r="A2575" s="34"/>
      <c r="B2575" s="35"/>
      <c r="C2575" s="36"/>
      <c r="D2575" s="37"/>
      <c r="E2575" s="36"/>
      <c r="F2575" s="42"/>
      <c r="G2575" s="42"/>
      <c r="H2575" s="42"/>
      <c r="AG2575" s="19">
        <v>2574</v>
      </c>
      <c r="AH2575" s="20">
        <v>2311.5321059648177</v>
      </c>
    </row>
    <row r="2576" spans="1:34" ht="14.5" x14ac:dyDescent="0.35">
      <c r="A2576" s="34"/>
      <c r="B2576" s="35"/>
      <c r="C2576" s="36"/>
      <c r="D2576" s="37"/>
      <c r="E2576" s="36"/>
      <c r="F2576" s="42"/>
      <c r="G2576" s="42"/>
      <c r="H2576" s="42"/>
      <c r="AG2576" s="19">
        <v>2575</v>
      </c>
      <c r="AH2576" s="20">
        <v>-816.87202871400837</v>
      </c>
    </row>
    <row r="2577" spans="1:34" ht="14.5" x14ac:dyDescent="0.35">
      <c r="A2577" s="34"/>
      <c r="B2577" s="35"/>
      <c r="C2577" s="36"/>
      <c r="D2577" s="37"/>
      <c r="E2577" s="36"/>
      <c r="F2577" s="42"/>
      <c r="G2577" s="42"/>
      <c r="H2577" s="42"/>
      <c r="AG2577" s="19">
        <v>2576</v>
      </c>
      <c r="AH2577" s="20">
        <v>-753.82780359960589</v>
      </c>
    </row>
    <row r="2578" spans="1:34" ht="14.5" x14ac:dyDescent="0.35">
      <c r="A2578" s="34"/>
      <c r="B2578" s="35"/>
      <c r="C2578" s="36"/>
      <c r="D2578" s="37"/>
      <c r="E2578" s="36"/>
      <c r="F2578" s="42"/>
      <c r="G2578" s="42"/>
      <c r="H2578" s="42"/>
      <c r="AG2578" s="19">
        <v>2577</v>
      </c>
      <c r="AH2578" s="20">
        <v>-1232.9625262823567</v>
      </c>
    </row>
    <row r="2579" spans="1:34" ht="14.5" x14ac:dyDescent="0.35">
      <c r="A2579" s="34"/>
      <c r="B2579" s="35"/>
      <c r="C2579" s="36"/>
      <c r="D2579" s="37"/>
      <c r="E2579" s="36"/>
      <c r="F2579" s="42"/>
      <c r="G2579" s="42"/>
      <c r="H2579" s="42"/>
      <c r="AG2579" s="19">
        <v>2578</v>
      </c>
      <c r="AH2579" s="20">
        <v>4077.2185251347632</v>
      </c>
    </row>
    <row r="2580" spans="1:34" ht="14.5" x14ac:dyDescent="0.35">
      <c r="A2580" s="34"/>
      <c r="B2580" s="35"/>
      <c r="C2580" s="36"/>
      <c r="D2580" s="37"/>
      <c r="E2580" s="36"/>
      <c r="F2580" s="42"/>
      <c r="G2580" s="42"/>
      <c r="H2580" s="42"/>
      <c r="AG2580" s="19">
        <v>2579</v>
      </c>
      <c r="AH2580" s="20">
        <v>97.307261346540031</v>
      </c>
    </row>
    <row r="2581" spans="1:34" ht="14.5" x14ac:dyDescent="0.35">
      <c r="A2581" s="34"/>
      <c r="B2581" s="35"/>
      <c r="C2581" s="36"/>
      <c r="D2581" s="37"/>
      <c r="E2581" s="36"/>
      <c r="F2581" s="42"/>
      <c r="G2581" s="42"/>
      <c r="H2581" s="42"/>
      <c r="AG2581" s="19">
        <v>2580</v>
      </c>
      <c r="AH2581" s="20">
        <v>1224.9202345192027</v>
      </c>
    </row>
    <row r="2582" spans="1:34" ht="14.5" x14ac:dyDescent="0.35">
      <c r="A2582" s="34"/>
      <c r="B2582" s="35"/>
      <c r="C2582" s="36"/>
      <c r="D2582" s="37"/>
      <c r="E2582" s="36"/>
      <c r="F2582" s="42"/>
      <c r="G2582" s="42"/>
      <c r="H2582" s="42"/>
      <c r="AG2582" s="19">
        <v>2581</v>
      </c>
      <c r="AH2582" s="20">
        <v>-1951.4361743138159</v>
      </c>
    </row>
    <row r="2583" spans="1:34" ht="14.5" x14ac:dyDescent="0.35">
      <c r="A2583" s="34"/>
      <c r="B2583" s="35"/>
      <c r="C2583" s="36"/>
      <c r="D2583" s="37"/>
      <c r="E2583" s="36"/>
      <c r="F2583" s="42"/>
      <c r="G2583" s="42"/>
      <c r="H2583" s="42"/>
      <c r="AG2583" s="19">
        <v>2582</v>
      </c>
      <c r="AH2583" s="20">
        <v>-5481.9765746959793</v>
      </c>
    </row>
    <row r="2584" spans="1:34" ht="14.5" x14ac:dyDescent="0.35">
      <c r="A2584" s="34"/>
      <c r="B2584" s="35"/>
      <c r="C2584" s="36"/>
      <c r="D2584" s="37"/>
      <c r="E2584" s="36"/>
      <c r="F2584" s="42"/>
      <c r="G2584" s="42"/>
      <c r="H2584" s="42"/>
      <c r="AG2584" s="19">
        <v>2583</v>
      </c>
      <c r="AH2584" s="20">
        <v>-296.49409137676372</v>
      </c>
    </row>
    <row r="2585" spans="1:34" ht="14.5" x14ac:dyDescent="0.35">
      <c r="A2585" s="34"/>
      <c r="B2585" s="35"/>
      <c r="C2585" s="36"/>
      <c r="D2585" s="37"/>
      <c r="E2585" s="36"/>
      <c r="F2585" s="42"/>
      <c r="G2585" s="42"/>
      <c r="H2585" s="42"/>
      <c r="AG2585" s="19">
        <v>2584</v>
      </c>
      <c r="AH2585" s="20">
        <v>155.69735671424152</v>
      </c>
    </row>
    <row r="2586" spans="1:34" ht="14.5" x14ac:dyDescent="0.35">
      <c r="A2586" s="34"/>
      <c r="B2586" s="35"/>
      <c r="C2586" s="36"/>
      <c r="D2586" s="37"/>
      <c r="E2586" s="36"/>
      <c r="F2586" s="42"/>
      <c r="G2586" s="42"/>
      <c r="H2586" s="42"/>
      <c r="AG2586" s="19">
        <v>2585</v>
      </c>
      <c r="AH2586" s="20">
        <v>-74.36573998641876</v>
      </c>
    </row>
    <row r="2587" spans="1:34" ht="14.5" x14ac:dyDescent="0.35">
      <c r="A2587" s="34"/>
      <c r="B2587" s="35"/>
      <c r="C2587" s="36"/>
      <c r="D2587" s="37"/>
      <c r="E2587" s="36"/>
      <c r="F2587" s="42"/>
      <c r="G2587" s="42"/>
      <c r="H2587" s="42"/>
      <c r="AG2587" s="19">
        <v>2586</v>
      </c>
      <c r="AH2587" s="20">
        <v>544.26147942427428</v>
      </c>
    </row>
    <row r="2588" spans="1:34" ht="14.5" x14ac:dyDescent="0.35">
      <c r="A2588" s="34"/>
      <c r="B2588" s="35"/>
      <c r="C2588" s="36"/>
      <c r="D2588" s="37"/>
      <c r="E2588" s="36"/>
      <c r="F2588" s="42"/>
      <c r="G2588" s="42"/>
      <c r="H2588" s="42"/>
      <c r="AG2588" s="19">
        <v>2587</v>
      </c>
      <c r="AH2588" s="20">
        <v>416.32532686073927</v>
      </c>
    </row>
    <row r="2589" spans="1:34" ht="14.5" x14ac:dyDescent="0.35">
      <c r="A2589" s="34"/>
      <c r="B2589" s="35"/>
      <c r="C2589" s="36"/>
      <c r="D2589" s="37"/>
      <c r="E2589" s="36"/>
      <c r="F2589" s="42"/>
      <c r="G2589" s="42"/>
      <c r="H2589" s="42"/>
      <c r="AG2589" s="19">
        <v>2588</v>
      </c>
      <c r="AH2589" s="20">
        <v>-2142.9406138396175</v>
      </c>
    </row>
    <row r="2590" spans="1:34" ht="14.5" x14ac:dyDescent="0.35">
      <c r="A2590" s="34"/>
      <c r="B2590" s="35"/>
      <c r="C2590" s="36"/>
      <c r="D2590" s="37"/>
      <c r="E2590" s="36"/>
      <c r="F2590" s="42"/>
      <c r="G2590" s="42"/>
      <c r="H2590" s="42"/>
      <c r="AG2590" s="19">
        <v>2589</v>
      </c>
      <c r="AH2590" s="20">
        <v>1491.736066001519</v>
      </c>
    </row>
    <row r="2591" spans="1:34" ht="14.5" x14ac:dyDescent="0.35">
      <c r="A2591" s="34"/>
      <c r="B2591" s="35"/>
      <c r="C2591" s="36"/>
      <c r="D2591" s="37"/>
      <c r="E2591" s="36"/>
      <c r="F2591" s="42"/>
      <c r="G2591" s="42"/>
      <c r="H2591" s="42"/>
      <c r="AG2591" s="19">
        <v>2590</v>
      </c>
      <c r="AH2591" s="20">
        <v>2856.2334032340923</v>
      </c>
    </row>
    <row r="2592" spans="1:34" ht="14.5" x14ac:dyDescent="0.35">
      <c r="A2592" s="34"/>
      <c r="B2592" s="35"/>
      <c r="C2592" s="36"/>
      <c r="D2592" s="37"/>
      <c r="E2592" s="36"/>
      <c r="F2592" s="42"/>
      <c r="G2592" s="42"/>
      <c r="H2592" s="42"/>
      <c r="AG2592" s="19">
        <v>2591</v>
      </c>
      <c r="AH2592" s="20">
        <v>-1759.1922416743416</v>
      </c>
    </row>
    <row r="2593" spans="1:34" ht="14.5" x14ac:dyDescent="0.35">
      <c r="A2593" s="34"/>
      <c r="B2593" s="35"/>
      <c r="C2593" s="36"/>
      <c r="D2593" s="37"/>
      <c r="E2593" s="36"/>
      <c r="F2593" s="42"/>
      <c r="G2593" s="42"/>
      <c r="H2593" s="42"/>
      <c r="AG2593" s="19">
        <v>2592</v>
      </c>
      <c r="AH2593" s="20">
        <v>-659.87439079783371</v>
      </c>
    </row>
    <row r="2594" spans="1:34" ht="14.5" x14ac:dyDescent="0.35">
      <c r="A2594" s="34"/>
      <c r="B2594" s="35"/>
      <c r="C2594" s="36"/>
      <c r="D2594" s="37"/>
      <c r="E2594" s="36"/>
      <c r="F2594" s="42"/>
      <c r="G2594" s="42"/>
      <c r="H2594" s="42"/>
      <c r="AG2594" s="19">
        <v>2593</v>
      </c>
      <c r="AH2594" s="20">
        <v>-1396.5821128827831</v>
      </c>
    </row>
    <row r="2595" spans="1:34" ht="14.5" x14ac:dyDescent="0.35">
      <c r="A2595" s="34"/>
      <c r="B2595" s="35"/>
      <c r="C2595" s="36"/>
      <c r="D2595" s="37"/>
      <c r="E2595" s="36"/>
      <c r="F2595" s="42"/>
      <c r="G2595" s="42"/>
      <c r="H2595" s="42"/>
      <c r="AG2595" s="19">
        <v>2594</v>
      </c>
      <c r="AH2595" s="20">
        <v>-2637.8315365189524</v>
      </c>
    </row>
    <row r="2596" spans="1:34" ht="14.5" x14ac:dyDescent="0.35">
      <c r="A2596" s="34"/>
      <c r="B2596" s="35"/>
      <c r="C2596" s="36"/>
      <c r="D2596" s="37"/>
      <c r="E2596" s="36"/>
      <c r="F2596" s="42"/>
      <c r="G2596" s="42"/>
      <c r="H2596" s="42"/>
      <c r="AG2596" s="19">
        <v>2595</v>
      </c>
      <c r="AH2596" s="20">
        <v>-1054.7931549789578</v>
      </c>
    </row>
    <row r="2597" spans="1:34" ht="14.5" x14ac:dyDescent="0.35">
      <c r="A2597" s="34"/>
      <c r="B2597" s="35"/>
      <c r="C2597" s="36"/>
      <c r="D2597" s="37"/>
      <c r="E2597" s="36"/>
      <c r="F2597" s="42"/>
      <c r="G2597" s="42"/>
      <c r="H2597" s="42"/>
      <c r="AG2597" s="19">
        <v>2596</v>
      </c>
      <c r="AH2597" s="20">
        <v>-2232.6495092225227</v>
      </c>
    </row>
    <row r="2598" spans="1:34" ht="14.5" x14ac:dyDescent="0.35">
      <c r="A2598" s="34"/>
      <c r="B2598" s="35"/>
      <c r="C2598" s="36"/>
      <c r="D2598" s="37"/>
      <c r="E2598" s="36"/>
      <c r="F2598" s="42"/>
      <c r="G2598" s="42"/>
      <c r="H2598" s="42"/>
      <c r="AG2598" s="19">
        <v>2597</v>
      </c>
      <c r="AH2598" s="20">
        <v>1038.8722565074622</v>
      </c>
    </row>
    <row r="2599" spans="1:34" ht="14.5" x14ac:dyDescent="0.35">
      <c r="A2599" s="34"/>
      <c r="B2599" s="35"/>
      <c r="C2599" s="36"/>
      <c r="D2599" s="37"/>
      <c r="E2599" s="36"/>
      <c r="F2599" s="42"/>
      <c r="G2599" s="42"/>
      <c r="H2599" s="42"/>
      <c r="AG2599" s="19">
        <v>2598</v>
      </c>
      <c r="AH2599" s="20">
        <v>-386.07107816831018</v>
      </c>
    </row>
    <row r="2600" spans="1:34" ht="14.5" x14ac:dyDescent="0.35">
      <c r="A2600" s="34"/>
      <c r="B2600" s="35"/>
      <c r="C2600" s="36"/>
      <c r="D2600" s="37"/>
      <c r="E2600" s="36"/>
      <c r="F2600" s="42"/>
      <c r="G2600" s="42"/>
      <c r="H2600" s="42"/>
      <c r="AG2600" s="19">
        <v>2599</v>
      </c>
      <c r="AH2600" s="20">
        <v>2809.2976597960856</v>
      </c>
    </row>
    <row r="2601" spans="1:34" ht="14.5" x14ac:dyDescent="0.35">
      <c r="A2601" s="34"/>
      <c r="B2601" s="35"/>
      <c r="C2601" s="36"/>
      <c r="D2601" s="37"/>
      <c r="E2601" s="36"/>
      <c r="F2601" s="42"/>
      <c r="G2601" s="42"/>
      <c r="H2601" s="42"/>
      <c r="AG2601" s="19">
        <v>2600</v>
      </c>
      <c r="AH2601" s="20">
        <v>1559.7891745479437</v>
      </c>
    </row>
    <row r="2602" spans="1:34" ht="14.5" x14ac:dyDescent="0.35">
      <c r="A2602" s="34"/>
      <c r="B2602" s="35"/>
      <c r="C2602" s="36"/>
      <c r="D2602" s="37"/>
      <c r="E2602" s="36"/>
      <c r="F2602" s="42"/>
      <c r="G2602" s="42"/>
      <c r="H2602" s="42"/>
      <c r="AG2602" s="19">
        <v>2601</v>
      </c>
      <c r="AH2602" s="20">
        <v>-1346.0169681259506</v>
      </c>
    </row>
    <row r="2603" spans="1:34" ht="14.5" x14ac:dyDescent="0.35">
      <c r="A2603" s="34"/>
      <c r="B2603" s="35"/>
      <c r="C2603" s="36"/>
      <c r="D2603" s="37"/>
      <c r="E2603" s="36"/>
      <c r="F2603" s="42"/>
      <c r="G2603" s="42"/>
      <c r="H2603" s="42"/>
      <c r="AG2603" s="19">
        <v>2602</v>
      </c>
      <c r="AH2603" s="20">
        <v>1243.2859037374437</v>
      </c>
    </row>
    <row r="2604" spans="1:34" ht="14.5" x14ac:dyDescent="0.35">
      <c r="A2604" s="34"/>
      <c r="B2604" s="35"/>
      <c r="C2604" s="36"/>
      <c r="D2604" s="37"/>
      <c r="E2604" s="36"/>
      <c r="F2604" s="42"/>
      <c r="G2604" s="42"/>
      <c r="H2604" s="42"/>
      <c r="AG2604" s="19">
        <v>2603</v>
      </c>
      <c r="AH2604" s="20">
        <v>923.08823384743755</v>
      </c>
    </row>
    <row r="2605" spans="1:34" ht="14.5" x14ac:dyDescent="0.35">
      <c r="A2605" s="34"/>
      <c r="B2605" s="35"/>
      <c r="C2605" s="36"/>
      <c r="D2605" s="37"/>
      <c r="E2605" s="36"/>
      <c r="F2605" s="42"/>
      <c r="G2605" s="42"/>
      <c r="H2605" s="42"/>
      <c r="AG2605" s="19">
        <v>2604</v>
      </c>
      <c r="AH2605" s="20">
        <v>3029.3792820789149</v>
      </c>
    </row>
    <row r="2606" spans="1:34" ht="14.5" x14ac:dyDescent="0.35">
      <c r="A2606" s="34"/>
      <c r="B2606" s="35"/>
      <c r="C2606" s="36"/>
      <c r="D2606" s="37"/>
      <c r="E2606" s="36"/>
      <c r="F2606" s="42"/>
      <c r="G2606" s="42"/>
      <c r="H2606" s="42"/>
      <c r="AG2606" s="19">
        <v>2605</v>
      </c>
      <c r="AH2606" s="20">
        <v>-2133.2849744800478</v>
      </c>
    </row>
    <row r="2607" spans="1:34" ht="14.5" x14ac:dyDescent="0.35">
      <c r="A2607" s="34"/>
      <c r="B2607" s="35"/>
      <c r="C2607" s="36"/>
      <c r="D2607" s="37"/>
      <c r="E2607" s="36"/>
      <c r="F2607" s="42"/>
      <c r="G2607" s="42"/>
      <c r="H2607" s="42"/>
      <c r="AG2607" s="19">
        <v>2606</v>
      </c>
      <c r="AH2607" s="20">
        <v>2256.2952081701555</v>
      </c>
    </row>
    <row r="2608" spans="1:34" ht="14.5" x14ac:dyDescent="0.35">
      <c r="A2608" s="34"/>
      <c r="B2608" s="35"/>
      <c r="C2608" s="36"/>
      <c r="D2608" s="37"/>
      <c r="E2608" s="36"/>
      <c r="F2608" s="42"/>
      <c r="G2608" s="42"/>
      <c r="H2608" s="42"/>
      <c r="AG2608" s="19">
        <v>2607</v>
      </c>
      <c r="AH2608" s="20">
        <v>5022.6650886541229</v>
      </c>
    </row>
    <row r="2609" spans="1:34" ht="14.5" x14ac:dyDescent="0.35">
      <c r="A2609" s="34"/>
      <c r="B2609" s="35"/>
      <c r="C2609" s="36"/>
      <c r="D2609" s="37"/>
      <c r="E2609" s="36"/>
      <c r="F2609" s="42"/>
      <c r="G2609" s="42"/>
      <c r="H2609" s="42"/>
      <c r="AG2609" s="19">
        <v>2608</v>
      </c>
      <c r="AH2609" s="20">
        <v>1083.4256322454091</v>
      </c>
    </row>
    <row r="2610" spans="1:34" ht="14.5" x14ac:dyDescent="0.35">
      <c r="A2610" s="34"/>
      <c r="B2610" s="35"/>
      <c r="C2610" s="36"/>
      <c r="D2610" s="37"/>
      <c r="E2610" s="36"/>
      <c r="F2610" s="42"/>
      <c r="G2610" s="42"/>
      <c r="H2610" s="42"/>
      <c r="AG2610" s="19">
        <v>2609</v>
      </c>
      <c r="AH2610" s="20">
        <v>-4023.3182897627294</v>
      </c>
    </row>
    <row r="2611" spans="1:34" ht="14.5" x14ac:dyDescent="0.35">
      <c r="A2611" s="34"/>
      <c r="B2611" s="35"/>
      <c r="C2611" s="36"/>
      <c r="D2611" s="37"/>
      <c r="E2611" s="36"/>
      <c r="F2611" s="42"/>
      <c r="G2611" s="42"/>
      <c r="H2611" s="42"/>
      <c r="AG2611" s="19">
        <v>2610</v>
      </c>
      <c r="AH2611" s="20">
        <v>-2956.8059607410382</v>
      </c>
    </row>
    <row r="2612" spans="1:34" ht="14.5" x14ac:dyDescent="0.35">
      <c r="A2612" s="34"/>
      <c r="B2612" s="35"/>
      <c r="C2612" s="36"/>
      <c r="D2612" s="37"/>
      <c r="E2612" s="36"/>
      <c r="F2612" s="42"/>
      <c r="G2612" s="42"/>
      <c r="H2612" s="42"/>
      <c r="AG2612" s="19">
        <v>2611</v>
      </c>
      <c r="AH2612" s="20">
        <v>2392.8245480430428</v>
      </c>
    </row>
    <row r="2613" spans="1:34" ht="14.5" x14ac:dyDescent="0.35">
      <c r="A2613" s="34"/>
      <c r="B2613" s="35"/>
      <c r="C2613" s="36"/>
      <c r="D2613" s="37"/>
      <c r="E2613" s="36"/>
      <c r="F2613" s="42"/>
      <c r="G2613" s="42"/>
      <c r="H2613" s="42"/>
      <c r="AG2613" s="19">
        <v>2612</v>
      </c>
      <c r="AH2613" s="20">
        <v>3601.0284664380856</v>
      </c>
    </row>
    <row r="2614" spans="1:34" ht="14.5" x14ac:dyDescent="0.35">
      <c r="A2614" s="34"/>
      <c r="B2614" s="35"/>
      <c r="C2614" s="36"/>
      <c r="D2614" s="37"/>
      <c r="E2614" s="36"/>
      <c r="F2614" s="42"/>
      <c r="G2614" s="42"/>
      <c r="H2614" s="42"/>
      <c r="AG2614" s="19">
        <v>2613</v>
      </c>
      <c r="AH2614" s="20">
        <v>1582.7824654649885</v>
      </c>
    </row>
    <row r="2615" spans="1:34" ht="14.5" x14ac:dyDescent="0.35">
      <c r="A2615" s="34"/>
      <c r="B2615" s="35"/>
      <c r="C2615" s="36"/>
      <c r="D2615" s="37"/>
      <c r="E2615" s="36"/>
      <c r="F2615" s="42"/>
      <c r="G2615" s="42"/>
      <c r="H2615" s="42"/>
      <c r="AG2615" s="19">
        <v>2614</v>
      </c>
      <c r="AH2615" s="20">
        <v>892.40578003454539</v>
      </c>
    </row>
    <row r="2616" spans="1:34" ht="14.5" x14ac:dyDescent="0.35">
      <c r="A2616" s="34"/>
      <c r="B2616" s="35"/>
      <c r="C2616" s="36"/>
      <c r="D2616" s="37"/>
      <c r="E2616" s="36"/>
      <c r="F2616" s="42"/>
      <c r="G2616" s="42"/>
      <c r="H2616" s="42"/>
      <c r="AG2616" s="19">
        <v>2615</v>
      </c>
      <c r="AH2616" s="20">
        <v>501.50347297468829</v>
      </c>
    </row>
    <row r="2617" spans="1:34" ht="14.5" x14ac:dyDescent="0.35">
      <c r="A2617" s="34"/>
      <c r="B2617" s="35"/>
      <c r="C2617" s="36"/>
      <c r="D2617" s="37"/>
      <c r="E2617" s="36"/>
      <c r="F2617" s="42"/>
      <c r="G2617" s="42"/>
      <c r="H2617" s="42"/>
      <c r="AG2617" s="19">
        <v>2616</v>
      </c>
      <c r="AH2617" s="20">
        <v>480.00640016991736</v>
      </c>
    </row>
    <row r="2618" spans="1:34" ht="14.5" x14ac:dyDescent="0.35">
      <c r="A2618" s="34"/>
      <c r="B2618" s="35"/>
      <c r="C2618" s="36"/>
      <c r="D2618" s="37"/>
      <c r="E2618" s="36"/>
      <c r="F2618" s="42"/>
      <c r="G2618" s="42"/>
      <c r="H2618" s="42"/>
      <c r="AG2618" s="19">
        <v>2617</v>
      </c>
      <c r="AH2618" s="20">
        <v>-698.68624273744263</v>
      </c>
    </row>
    <row r="2619" spans="1:34" ht="14.5" x14ac:dyDescent="0.35">
      <c r="A2619" s="34"/>
      <c r="B2619" s="35"/>
      <c r="C2619" s="36"/>
      <c r="D2619" s="37"/>
      <c r="E2619" s="36"/>
      <c r="F2619" s="42"/>
      <c r="G2619" s="42"/>
      <c r="H2619" s="42"/>
      <c r="AG2619" s="19">
        <v>2618</v>
      </c>
      <c r="AH2619" s="20">
        <v>340.01278147046753</v>
      </c>
    </row>
    <row r="2620" spans="1:34" ht="14.5" x14ac:dyDescent="0.35">
      <c r="A2620" s="34"/>
      <c r="B2620" s="35"/>
      <c r="C2620" s="36"/>
      <c r="D2620" s="37"/>
      <c r="E2620" s="36"/>
      <c r="F2620" s="42"/>
      <c r="G2620" s="42"/>
      <c r="H2620" s="42"/>
      <c r="AG2620" s="19">
        <v>2619</v>
      </c>
      <c r="AH2620" s="20">
        <v>-92.444832820396982</v>
      </c>
    </row>
    <row r="2621" spans="1:34" ht="14.5" x14ac:dyDescent="0.35">
      <c r="A2621" s="34"/>
      <c r="B2621" s="35"/>
      <c r="C2621" s="36"/>
      <c r="D2621" s="37"/>
      <c r="E2621" s="36"/>
      <c r="F2621" s="42"/>
      <c r="G2621" s="42"/>
      <c r="H2621" s="42"/>
      <c r="AG2621" s="19">
        <v>2620</v>
      </c>
      <c r="AH2621" s="20">
        <v>-990.99406833753119</v>
      </c>
    </row>
    <row r="2622" spans="1:34" ht="14.5" x14ac:dyDescent="0.35">
      <c r="A2622" s="34"/>
      <c r="B2622" s="35"/>
      <c r="C2622" s="36"/>
      <c r="D2622" s="37"/>
      <c r="E2622" s="36"/>
      <c r="F2622" s="42"/>
      <c r="G2622" s="42"/>
      <c r="H2622" s="42"/>
      <c r="AG2622" s="19">
        <v>2621</v>
      </c>
      <c r="AH2622" s="20">
        <v>-1533.1382121426395</v>
      </c>
    </row>
    <row r="2623" spans="1:34" ht="14.5" x14ac:dyDescent="0.35">
      <c r="A2623" s="34"/>
      <c r="B2623" s="35"/>
      <c r="C2623" s="36"/>
      <c r="D2623" s="37"/>
      <c r="E2623" s="36"/>
      <c r="F2623" s="42"/>
      <c r="G2623" s="42"/>
      <c r="H2623" s="42"/>
      <c r="AG2623" s="19">
        <v>2622</v>
      </c>
      <c r="AH2623" s="20">
        <v>-160.67998834996541</v>
      </c>
    </row>
    <row r="2624" spans="1:34" ht="14.5" x14ac:dyDescent="0.35">
      <c r="A2624" s="34"/>
      <c r="B2624" s="35"/>
      <c r="C2624" s="36"/>
      <c r="D2624" s="37"/>
      <c r="E2624" s="36"/>
      <c r="F2624" s="42"/>
      <c r="G2624" s="42"/>
      <c r="H2624" s="42"/>
      <c r="AG2624" s="19">
        <v>2623</v>
      </c>
      <c r="AH2624" s="20">
        <v>747.16191120737574</v>
      </c>
    </row>
    <row r="2625" spans="1:34" ht="14.5" x14ac:dyDescent="0.35">
      <c r="A2625" s="34"/>
      <c r="B2625" s="35"/>
      <c r="C2625" s="36"/>
      <c r="D2625" s="37"/>
      <c r="E2625" s="36"/>
      <c r="F2625" s="42"/>
      <c r="G2625" s="42"/>
      <c r="H2625" s="42"/>
      <c r="AG2625" s="19">
        <v>2624</v>
      </c>
      <c r="AH2625" s="20">
        <v>-3378.3708999322221</v>
      </c>
    </row>
    <row r="2626" spans="1:34" ht="14.5" x14ac:dyDescent="0.35">
      <c r="A2626" s="34"/>
      <c r="B2626" s="35"/>
      <c r="C2626" s="36"/>
      <c r="D2626" s="37"/>
      <c r="E2626" s="36"/>
      <c r="F2626" s="42"/>
      <c r="G2626" s="42"/>
      <c r="H2626" s="42"/>
      <c r="AG2626" s="19">
        <v>2625</v>
      </c>
      <c r="AH2626" s="20">
        <v>-1452.8306824419853</v>
      </c>
    </row>
    <row r="2627" spans="1:34" ht="14.5" x14ac:dyDescent="0.35">
      <c r="A2627" s="34"/>
      <c r="B2627" s="35"/>
      <c r="C2627" s="36"/>
      <c r="D2627" s="37"/>
      <c r="E2627" s="36"/>
      <c r="F2627" s="42"/>
      <c r="G2627" s="42"/>
      <c r="H2627" s="42"/>
      <c r="AG2627" s="19">
        <v>2626</v>
      </c>
      <c r="AH2627" s="20">
        <v>-997.85817258789803</v>
      </c>
    </row>
    <row r="2628" spans="1:34" ht="14.5" x14ac:dyDescent="0.35">
      <c r="A2628" s="34"/>
      <c r="B2628" s="35"/>
      <c r="C2628" s="36"/>
      <c r="D2628" s="37"/>
      <c r="E2628" s="36"/>
      <c r="F2628" s="42"/>
      <c r="G2628" s="42"/>
      <c r="H2628" s="42"/>
      <c r="AG2628" s="19">
        <v>2627</v>
      </c>
      <c r="AH2628" s="20">
        <v>-393.34495267445567</v>
      </c>
    </row>
    <row r="2629" spans="1:34" ht="14.5" x14ac:dyDescent="0.35">
      <c r="A2629" s="34"/>
      <c r="B2629" s="35"/>
      <c r="C2629" s="36"/>
      <c r="D2629" s="37"/>
      <c r="E2629" s="36"/>
      <c r="F2629" s="42"/>
      <c r="G2629" s="42"/>
      <c r="H2629" s="42"/>
      <c r="AG2629" s="19">
        <v>2628</v>
      </c>
      <c r="AH2629" s="20">
        <v>-649.50751052842929</v>
      </c>
    </row>
    <row r="2630" spans="1:34" ht="14.5" x14ac:dyDescent="0.35">
      <c r="A2630" s="34"/>
      <c r="B2630" s="35"/>
      <c r="C2630" s="36"/>
      <c r="D2630" s="37"/>
      <c r="E2630" s="36"/>
      <c r="F2630" s="42"/>
      <c r="G2630" s="42"/>
      <c r="H2630" s="42"/>
      <c r="AG2630" s="19">
        <v>2629</v>
      </c>
      <c r="AH2630" s="20">
        <v>1258.4582983901926</v>
      </c>
    </row>
    <row r="2631" spans="1:34" ht="14.5" x14ac:dyDescent="0.35">
      <c r="A2631" s="34"/>
      <c r="B2631" s="35"/>
      <c r="C2631" s="36"/>
      <c r="D2631" s="37"/>
      <c r="E2631" s="36"/>
      <c r="F2631" s="42"/>
      <c r="G2631" s="42"/>
      <c r="H2631" s="42"/>
      <c r="AG2631" s="19">
        <v>2630</v>
      </c>
      <c r="AH2631" s="20">
        <v>1422.4957203291019</v>
      </c>
    </row>
    <row r="2632" spans="1:34" ht="14.5" x14ac:dyDescent="0.35">
      <c r="A2632" s="34"/>
      <c r="B2632" s="35"/>
      <c r="C2632" s="36"/>
      <c r="D2632" s="37"/>
      <c r="E2632" s="36"/>
      <c r="F2632" s="42"/>
      <c r="G2632" s="42"/>
      <c r="H2632" s="42"/>
      <c r="AG2632" s="19">
        <v>2631</v>
      </c>
      <c r="AH2632" s="20">
        <v>-632.56414737848922</v>
      </c>
    </row>
    <row r="2633" spans="1:34" ht="14.5" x14ac:dyDescent="0.35">
      <c r="A2633" s="34"/>
      <c r="B2633" s="35"/>
      <c r="C2633" s="36"/>
      <c r="D2633" s="37"/>
      <c r="E2633" s="36"/>
      <c r="F2633" s="42"/>
      <c r="G2633" s="42"/>
      <c r="H2633" s="42"/>
      <c r="AG2633" s="19">
        <v>2632</v>
      </c>
      <c r="AH2633" s="20">
        <v>-1313.5495364522096</v>
      </c>
    </row>
    <row r="2634" spans="1:34" ht="14.5" x14ac:dyDescent="0.35">
      <c r="A2634" s="34"/>
      <c r="B2634" s="35"/>
      <c r="C2634" s="36"/>
      <c r="D2634" s="37"/>
      <c r="E2634" s="36"/>
      <c r="F2634" s="42"/>
      <c r="G2634" s="42"/>
      <c r="H2634" s="42"/>
      <c r="AG2634" s="19">
        <v>2633</v>
      </c>
      <c r="AH2634" s="20">
        <v>1863.9438699131188</v>
      </c>
    </row>
    <row r="2635" spans="1:34" ht="14.5" x14ac:dyDescent="0.35">
      <c r="A2635" s="34"/>
      <c r="B2635" s="35"/>
      <c r="C2635" s="36"/>
      <c r="D2635" s="37"/>
      <c r="E2635" s="36"/>
      <c r="F2635" s="42"/>
      <c r="G2635" s="42"/>
      <c r="H2635" s="42"/>
      <c r="AG2635" s="19">
        <v>2634</v>
      </c>
      <c r="AH2635" s="20">
        <v>2507.8841477309234</v>
      </c>
    </row>
    <row r="2636" spans="1:34" ht="14.5" x14ac:dyDescent="0.35">
      <c r="A2636" s="34"/>
      <c r="B2636" s="35"/>
      <c r="C2636" s="36"/>
      <c r="D2636" s="37"/>
      <c r="E2636" s="36"/>
      <c r="F2636" s="42"/>
      <c r="G2636" s="42"/>
      <c r="H2636" s="42"/>
      <c r="AG2636" s="19">
        <v>2635</v>
      </c>
      <c r="AH2636" s="20">
        <v>-1097.9218817754802</v>
      </c>
    </row>
    <row r="2637" spans="1:34" ht="14.5" x14ac:dyDescent="0.35">
      <c r="A2637" s="34"/>
      <c r="B2637" s="35"/>
      <c r="C2637" s="36"/>
      <c r="D2637" s="37"/>
      <c r="E2637" s="36"/>
      <c r="F2637" s="42"/>
      <c r="G2637" s="42"/>
      <c r="H2637" s="42"/>
      <c r="AG2637" s="19">
        <v>2636</v>
      </c>
      <c r="AH2637" s="20">
        <v>494.39030358936827</v>
      </c>
    </row>
    <row r="2638" spans="1:34" ht="14.5" x14ac:dyDescent="0.35">
      <c r="A2638" s="34"/>
      <c r="B2638" s="35"/>
      <c r="C2638" s="36"/>
      <c r="D2638" s="37"/>
      <c r="E2638" s="36"/>
      <c r="F2638" s="42"/>
      <c r="G2638" s="42"/>
      <c r="H2638" s="42"/>
      <c r="AG2638" s="19">
        <v>2637</v>
      </c>
      <c r="AH2638" s="20">
        <v>3391.3241748412843</v>
      </c>
    </row>
    <row r="2639" spans="1:34" ht="14.5" x14ac:dyDescent="0.35">
      <c r="A2639" s="34"/>
      <c r="B2639" s="35"/>
      <c r="C2639" s="36"/>
      <c r="D2639" s="37"/>
      <c r="E2639" s="36"/>
      <c r="F2639" s="42"/>
      <c r="G2639" s="42"/>
      <c r="H2639" s="42"/>
      <c r="AG2639" s="19">
        <v>2638</v>
      </c>
      <c r="AH2639" s="20">
        <v>-259.70800778108429</v>
      </c>
    </row>
    <row r="2640" spans="1:34" ht="14.5" x14ac:dyDescent="0.35">
      <c r="A2640" s="34"/>
      <c r="B2640" s="35"/>
      <c r="C2640" s="36"/>
      <c r="D2640" s="37"/>
      <c r="E2640" s="36"/>
      <c r="F2640" s="42"/>
      <c r="G2640" s="42"/>
      <c r="H2640" s="42"/>
      <c r="AG2640" s="19">
        <v>2639</v>
      </c>
      <c r="AH2640" s="20">
        <v>2336.1600577912714</v>
      </c>
    </row>
    <row r="2641" spans="1:34" ht="14.5" x14ac:dyDescent="0.35">
      <c r="A2641" s="34"/>
      <c r="B2641" s="35"/>
      <c r="C2641" s="36"/>
      <c r="D2641" s="37"/>
      <c r="E2641" s="36"/>
      <c r="F2641" s="42"/>
      <c r="G2641" s="42"/>
      <c r="H2641" s="42"/>
      <c r="AG2641" s="19">
        <v>2640</v>
      </c>
      <c r="AH2641" s="20">
        <v>1943.9229500060233</v>
      </c>
    </row>
    <row r="2642" spans="1:34" ht="14.5" x14ac:dyDescent="0.35">
      <c r="A2642" s="34"/>
      <c r="B2642" s="35"/>
      <c r="C2642" s="36"/>
      <c r="D2642" s="37"/>
      <c r="E2642" s="36"/>
      <c r="F2642" s="42"/>
      <c r="G2642" s="42"/>
      <c r="H2642" s="42"/>
      <c r="AG2642" s="19">
        <v>2641</v>
      </c>
      <c r="AH2642" s="20">
        <v>386.7493793107156</v>
      </c>
    </row>
    <row r="2643" spans="1:34" ht="14.5" x14ac:dyDescent="0.35">
      <c r="A2643" s="34"/>
      <c r="B2643" s="35"/>
      <c r="C2643" s="36"/>
      <c r="D2643" s="37"/>
      <c r="E2643" s="36"/>
      <c r="F2643" s="42"/>
      <c r="G2643" s="42"/>
      <c r="H2643" s="42"/>
      <c r="AG2643" s="19">
        <v>2642</v>
      </c>
      <c r="AH2643" s="20">
        <v>1090.1414182260532</v>
      </c>
    </row>
    <row r="2644" spans="1:34" ht="14.5" x14ac:dyDescent="0.35">
      <c r="A2644" s="34"/>
      <c r="B2644" s="35"/>
      <c r="C2644" s="36"/>
      <c r="D2644" s="37"/>
      <c r="E2644" s="36"/>
      <c r="F2644" s="42"/>
      <c r="G2644" s="42"/>
      <c r="H2644" s="42"/>
      <c r="AG2644" s="19">
        <v>2643</v>
      </c>
      <c r="AH2644" s="20">
        <v>1285.2046661158745</v>
      </c>
    </row>
    <row r="2645" spans="1:34" ht="14.5" x14ac:dyDescent="0.35">
      <c r="A2645" s="34"/>
      <c r="B2645" s="35"/>
      <c r="C2645" s="36"/>
      <c r="D2645" s="37"/>
      <c r="E2645" s="36"/>
      <c r="F2645" s="42"/>
      <c r="G2645" s="42"/>
      <c r="H2645" s="42"/>
      <c r="AG2645" s="19">
        <v>2644</v>
      </c>
      <c r="AH2645" s="20">
        <v>2164.4847713855029</v>
      </c>
    </row>
    <row r="2646" spans="1:34" ht="14.5" x14ac:dyDescent="0.35">
      <c r="A2646" s="34"/>
      <c r="B2646" s="35"/>
      <c r="C2646" s="36"/>
      <c r="D2646" s="37"/>
      <c r="E2646" s="36"/>
      <c r="F2646" s="42"/>
      <c r="G2646" s="42"/>
      <c r="H2646" s="42"/>
      <c r="AG2646" s="19">
        <v>2645</v>
      </c>
      <c r="AH2646" s="20">
        <v>2501.3428723188872</v>
      </c>
    </row>
    <row r="2647" spans="1:34" ht="14.5" x14ac:dyDescent="0.35">
      <c r="A2647" s="34"/>
      <c r="B2647" s="35"/>
      <c r="C2647" s="36"/>
      <c r="D2647" s="37"/>
      <c r="E2647" s="36"/>
      <c r="F2647" s="42"/>
      <c r="G2647" s="42"/>
      <c r="H2647" s="42"/>
      <c r="AG2647" s="19">
        <v>2646</v>
      </c>
      <c r="AH2647" s="20">
        <v>-2932.26851861982</v>
      </c>
    </row>
    <row r="2648" spans="1:34" ht="14.5" x14ac:dyDescent="0.35">
      <c r="A2648" s="34"/>
      <c r="B2648" s="35"/>
      <c r="C2648" s="36"/>
      <c r="D2648" s="37"/>
      <c r="E2648" s="36"/>
      <c r="F2648" s="42"/>
      <c r="G2648" s="42"/>
      <c r="H2648" s="42"/>
      <c r="AG2648" s="19">
        <v>2647</v>
      </c>
      <c r="AH2648" s="20">
        <v>1833.980051545758</v>
      </c>
    </row>
    <row r="2649" spans="1:34" ht="14.5" x14ac:dyDescent="0.35">
      <c r="A2649" s="34"/>
      <c r="B2649" s="35"/>
      <c r="C2649" s="36"/>
      <c r="D2649" s="37"/>
      <c r="E2649" s="36"/>
      <c r="F2649" s="42"/>
      <c r="G2649" s="42"/>
      <c r="H2649" s="42"/>
      <c r="AG2649" s="19">
        <v>2648</v>
      </c>
      <c r="AH2649" s="20">
        <v>-3328.0818301309778</v>
      </c>
    </row>
    <row r="2650" spans="1:34" ht="14.5" x14ac:dyDescent="0.35">
      <c r="A2650" s="34"/>
      <c r="B2650" s="35"/>
      <c r="C2650" s="36"/>
      <c r="D2650" s="37"/>
      <c r="E2650" s="36"/>
      <c r="F2650" s="42"/>
      <c r="G2650" s="42"/>
      <c r="H2650" s="42"/>
      <c r="AG2650" s="19">
        <v>2649</v>
      </c>
      <c r="AH2650" s="20">
        <v>-1790.6716162540699</v>
      </c>
    </row>
    <row r="2651" spans="1:34" ht="14.5" x14ac:dyDescent="0.35">
      <c r="A2651" s="34"/>
      <c r="B2651" s="35"/>
      <c r="C2651" s="36"/>
      <c r="D2651" s="37"/>
      <c r="E2651" s="36"/>
      <c r="F2651" s="42"/>
      <c r="G2651" s="42"/>
      <c r="H2651" s="42"/>
      <c r="AG2651" s="19">
        <v>2650</v>
      </c>
      <c r="AH2651" s="20">
        <v>2140.1408436799975</v>
      </c>
    </row>
    <row r="2652" spans="1:34" ht="14.5" x14ac:dyDescent="0.35">
      <c r="A2652" s="34"/>
      <c r="B2652" s="35"/>
      <c r="C2652" s="36"/>
      <c r="D2652" s="37"/>
      <c r="E2652" s="36"/>
      <c r="F2652" s="42"/>
      <c r="G2652" s="42"/>
      <c r="H2652" s="42"/>
      <c r="AG2652" s="19">
        <v>2651</v>
      </c>
      <c r="AH2652" s="20">
        <v>1351.5876860202511</v>
      </c>
    </row>
    <row r="2653" spans="1:34" ht="14.5" x14ac:dyDescent="0.35">
      <c r="A2653" s="34"/>
      <c r="B2653" s="35"/>
      <c r="C2653" s="36"/>
      <c r="D2653" s="37"/>
      <c r="E2653" s="36"/>
      <c r="F2653" s="42"/>
      <c r="G2653" s="42"/>
      <c r="H2653" s="42"/>
      <c r="AG2653" s="19">
        <v>2652</v>
      </c>
      <c r="AH2653" s="20">
        <v>-2186.5975158400397</v>
      </c>
    </row>
    <row r="2654" spans="1:34" ht="14.5" x14ac:dyDescent="0.35">
      <c r="A2654" s="34"/>
      <c r="B2654" s="35"/>
      <c r="C2654" s="36"/>
      <c r="D2654" s="37"/>
      <c r="E2654" s="36"/>
      <c r="F2654" s="42"/>
      <c r="G2654" s="42"/>
      <c r="H2654" s="42"/>
      <c r="AG2654" s="19">
        <v>2653</v>
      </c>
      <c r="AH2654" s="20">
        <v>-525.96577358232344</v>
      </c>
    </row>
    <row r="2655" spans="1:34" ht="14.5" x14ac:dyDescent="0.35">
      <c r="A2655" s="34"/>
      <c r="B2655" s="35"/>
      <c r="C2655" s="36"/>
      <c r="D2655" s="37"/>
      <c r="E2655" s="36"/>
      <c r="F2655" s="42"/>
      <c r="G2655" s="42"/>
      <c r="H2655" s="42"/>
      <c r="AG2655" s="19">
        <v>2654</v>
      </c>
      <c r="AH2655" s="20">
        <v>1940.1359533718885</v>
      </c>
    </row>
    <row r="2656" spans="1:34" ht="14.5" x14ac:dyDescent="0.35">
      <c r="A2656" s="34"/>
      <c r="B2656" s="35"/>
      <c r="C2656" s="36"/>
      <c r="D2656" s="37"/>
      <c r="E2656" s="36"/>
      <c r="F2656" s="42"/>
      <c r="G2656" s="42"/>
      <c r="H2656" s="42"/>
      <c r="AG2656" s="19">
        <v>2655</v>
      </c>
      <c r="AH2656" s="20">
        <v>1103.1089383916662</v>
      </c>
    </row>
    <row r="2657" spans="1:34" ht="14.5" x14ac:dyDescent="0.35">
      <c r="A2657" s="34"/>
      <c r="B2657" s="35"/>
      <c r="C2657" s="36"/>
      <c r="D2657" s="37"/>
      <c r="E2657" s="36"/>
      <c r="F2657" s="42"/>
      <c r="G2657" s="42"/>
      <c r="H2657" s="42"/>
      <c r="AG2657" s="19">
        <v>2656</v>
      </c>
      <c r="AH2657" s="20">
        <v>5289.9690141012697</v>
      </c>
    </row>
    <row r="2658" spans="1:34" ht="14.5" x14ac:dyDescent="0.35">
      <c r="A2658" s="34"/>
      <c r="B2658" s="35"/>
      <c r="C2658" s="36"/>
      <c r="D2658" s="37"/>
      <c r="E2658" s="36"/>
      <c r="F2658" s="42"/>
      <c r="G2658" s="42"/>
      <c r="H2658" s="42"/>
      <c r="AG2658" s="19">
        <v>2657</v>
      </c>
      <c r="AH2658" s="20">
        <v>1088.9531909040631</v>
      </c>
    </row>
    <row r="2659" spans="1:34" ht="14.5" x14ac:dyDescent="0.35">
      <c r="A2659" s="34"/>
      <c r="B2659" s="35"/>
      <c r="C2659" s="36"/>
      <c r="D2659" s="37"/>
      <c r="E2659" s="36"/>
      <c r="F2659" s="42"/>
      <c r="G2659" s="42"/>
      <c r="H2659" s="42"/>
      <c r="AG2659" s="19">
        <v>2658</v>
      </c>
      <c r="AH2659" s="20">
        <v>1157.5002460044393</v>
      </c>
    </row>
    <row r="2660" spans="1:34" ht="14.5" x14ac:dyDescent="0.35">
      <c r="A2660" s="34"/>
      <c r="B2660" s="35"/>
      <c r="C2660" s="36"/>
      <c r="D2660" s="37"/>
      <c r="E2660" s="36"/>
      <c r="F2660" s="42"/>
      <c r="G2660" s="42"/>
      <c r="H2660" s="42"/>
      <c r="AG2660" s="19">
        <v>2659</v>
      </c>
      <c r="AH2660" s="20">
        <v>-982.56730535676115</v>
      </c>
    </row>
    <row r="2661" spans="1:34" ht="14.5" x14ac:dyDescent="0.35">
      <c r="A2661" s="34"/>
      <c r="B2661" s="35"/>
      <c r="C2661" s="36"/>
      <c r="D2661" s="37"/>
      <c r="E2661" s="36"/>
      <c r="F2661" s="42"/>
      <c r="G2661" s="42"/>
      <c r="H2661" s="42"/>
      <c r="AG2661" s="19">
        <v>2660</v>
      </c>
      <c r="AH2661" s="20">
        <v>898.94132370658622</v>
      </c>
    </row>
    <row r="2662" spans="1:34" ht="14.5" x14ac:dyDescent="0.35">
      <c r="A2662" s="34"/>
      <c r="B2662" s="35"/>
      <c r="C2662" s="36"/>
      <c r="D2662" s="37"/>
      <c r="E2662" s="36"/>
      <c r="F2662" s="42"/>
      <c r="G2662" s="42"/>
      <c r="H2662" s="42"/>
      <c r="AG2662" s="19">
        <v>2661</v>
      </c>
      <c r="AH2662" s="20">
        <v>-607.57457452642598</v>
      </c>
    </row>
    <row r="2663" spans="1:34" ht="14.5" x14ac:dyDescent="0.35">
      <c r="A2663" s="34"/>
      <c r="B2663" s="35"/>
      <c r="C2663" s="36"/>
      <c r="D2663" s="37"/>
      <c r="E2663" s="36"/>
      <c r="F2663" s="42"/>
      <c r="G2663" s="42"/>
      <c r="H2663" s="42"/>
      <c r="AG2663" s="19">
        <v>2662</v>
      </c>
      <c r="AH2663" s="20">
        <v>-1446.6699583910486</v>
      </c>
    </row>
    <row r="2664" spans="1:34" ht="14.5" x14ac:dyDescent="0.35">
      <c r="A2664" s="34"/>
      <c r="B2664" s="35"/>
      <c r="C2664" s="36"/>
      <c r="D2664" s="37"/>
      <c r="E2664" s="36"/>
      <c r="F2664" s="42"/>
      <c r="G2664" s="42"/>
      <c r="H2664" s="42"/>
      <c r="AG2664" s="19">
        <v>2663</v>
      </c>
      <c r="AH2664" s="20">
        <v>-1237.7795287552638</v>
      </c>
    </row>
    <row r="2665" spans="1:34" ht="14.5" x14ac:dyDescent="0.35">
      <c r="A2665" s="34"/>
      <c r="B2665" s="35"/>
      <c r="C2665" s="36"/>
      <c r="D2665" s="37"/>
      <c r="E2665" s="36"/>
      <c r="F2665" s="42"/>
      <c r="G2665" s="42"/>
      <c r="H2665" s="42"/>
      <c r="AG2665" s="19">
        <v>2664</v>
      </c>
      <c r="AH2665" s="20">
        <v>1706.0832360707195</v>
      </c>
    </row>
    <row r="2666" spans="1:34" ht="14.5" x14ac:dyDescent="0.35">
      <c r="A2666" s="34"/>
      <c r="B2666" s="35"/>
      <c r="C2666" s="36"/>
      <c r="D2666" s="37"/>
      <c r="E2666" s="36"/>
      <c r="F2666" s="42"/>
      <c r="G2666" s="42"/>
      <c r="H2666" s="42"/>
      <c r="AG2666" s="19">
        <v>2665</v>
      </c>
      <c r="AH2666" s="20">
        <v>-446.2168488232798</v>
      </c>
    </row>
    <row r="2667" spans="1:34" ht="14.5" x14ac:dyDescent="0.35">
      <c r="A2667" s="34"/>
      <c r="B2667" s="35"/>
      <c r="C2667" s="36"/>
      <c r="D2667" s="37"/>
      <c r="E2667" s="36"/>
      <c r="F2667" s="42"/>
      <c r="G2667" s="42"/>
      <c r="H2667" s="42"/>
      <c r="AG2667" s="19">
        <v>2666</v>
      </c>
      <c r="AH2667" s="20">
        <v>-350.50272321846347</v>
      </c>
    </row>
    <row r="2668" spans="1:34" ht="14.5" x14ac:dyDescent="0.35">
      <c r="A2668" s="34"/>
      <c r="B2668" s="35"/>
      <c r="C2668" s="36"/>
      <c r="D2668" s="37"/>
      <c r="E2668" s="36"/>
      <c r="F2668" s="42"/>
      <c r="G2668" s="42"/>
      <c r="H2668" s="42"/>
      <c r="AG2668" s="19">
        <v>2667</v>
      </c>
      <c r="AH2668" s="20">
        <v>1976.5417517251296</v>
      </c>
    </row>
    <row r="2669" spans="1:34" ht="14.5" x14ac:dyDescent="0.35">
      <c r="A2669" s="34"/>
      <c r="B2669" s="35"/>
      <c r="C2669" s="36"/>
      <c r="D2669" s="37"/>
      <c r="E2669" s="36"/>
      <c r="F2669" s="42"/>
      <c r="G2669" s="42"/>
      <c r="H2669" s="42"/>
      <c r="AG2669" s="19">
        <v>2668</v>
      </c>
      <c r="AH2669" s="20">
        <v>386.25949584461443</v>
      </c>
    </row>
    <row r="2670" spans="1:34" ht="14.5" x14ac:dyDescent="0.35">
      <c r="A2670" s="34"/>
      <c r="B2670" s="35"/>
      <c r="C2670" s="36"/>
      <c r="D2670" s="37"/>
      <c r="E2670" s="36"/>
      <c r="F2670" s="42"/>
      <c r="G2670" s="42"/>
      <c r="H2670" s="42"/>
      <c r="AG2670" s="19">
        <v>2669</v>
      </c>
      <c r="AH2670" s="20">
        <v>1381.9839120475974</v>
      </c>
    </row>
    <row r="2671" spans="1:34" ht="14.5" x14ac:dyDescent="0.35">
      <c r="A2671" s="34"/>
      <c r="B2671" s="35"/>
      <c r="C2671" s="36"/>
      <c r="D2671" s="37"/>
      <c r="E2671" s="36"/>
      <c r="F2671" s="42"/>
      <c r="G2671" s="42"/>
      <c r="H2671" s="42"/>
      <c r="AG2671" s="19">
        <v>2670</v>
      </c>
      <c r="AH2671" s="20">
        <v>-970.48395633911446</v>
      </c>
    </row>
    <row r="2672" spans="1:34" ht="14.5" x14ac:dyDescent="0.35">
      <c r="A2672" s="34"/>
      <c r="B2672" s="35"/>
      <c r="C2672" s="36"/>
      <c r="D2672" s="37"/>
      <c r="E2672" s="36"/>
      <c r="F2672" s="42"/>
      <c r="G2672" s="42"/>
      <c r="H2672" s="42"/>
      <c r="AG2672" s="19">
        <v>2671</v>
      </c>
      <c r="AH2672" s="20">
        <v>2814.2458018567058</v>
      </c>
    </row>
    <row r="2673" spans="1:34" ht="14.5" x14ac:dyDescent="0.35">
      <c r="A2673" s="34"/>
      <c r="B2673" s="35"/>
      <c r="C2673" s="36"/>
      <c r="D2673" s="37"/>
      <c r="E2673" s="36"/>
      <c r="F2673" s="42"/>
      <c r="G2673" s="42"/>
      <c r="H2673" s="42"/>
      <c r="AG2673" s="19">
        <v>2672</v>
      </c>
      <c r="AH2673" s="20">
        <v>-3083.2740453521219</v>
      </c>
    </row>
    <row r="2674" spans="1:34" ht="14.5" x14ac:dyDescent="0.35">
      <c r="A2674" s="34"/>
      <c r="B2674" s="35"/>
      <c r="C2674" s="36"/>
      <c r="D2674" s="37"/>
      <c r="E2674" s="36"/>
      <c r="F2674" s="42"/>
      <c r="G2674" s="42"/>
      <c r="H2674" s="42"/>
      <c r="AG2674" s="19">
        <v>2673</v>
      </c>
      <c r="AH2674" s="20">
        <v>2426.6438825258138</v>
      </c>
    </row>
    <row r="2675" spans="1:34" ht="14.5" x14ac:dyDescent="0.35">
      <c r="A2675" s="34"/>
      <c r="B2675" s="35"/>
      <c r="C2675" s="36"/>
      <c r="D2675" s="37"/>
      <c r="E2675" s="36"/>
      <c r="F2675" s="42"/>
      <c r="G2675" s="42"/>
      <c r="H2675" s="42"/>
      <c r="AG2675" s="19">
        <v>2674</v>
      </c>
      <c r="AH2675" s="20">
        <v>185.6292419949686</v>
      </c>
    </row>
    <row r="2676" spans="1:34" ht="14.5" x14ac:dyDescent="0.35">
      <c r="A2676" s="34"/>
      <c r="B2676" s="35"/>
      <c r="C2676" s="36"/>
      <c r="D2676" s="37"/>
      <c r="E2676" s="36"/>
      <c r="F2676" s="42"/>
      <c r="G2676" s="42"/>
      <c r="H2676" s="42"/>
      <c r="AG2676" s="19">
        <v>2675</v>
      </c>
      <c r="AH2676" s="20">
        <v>1361.8163746500161</v>
      </c>
    </row>
    <row r="2677" spans="1:34" ht="14.5" x14ac:dyDescent="0.35">
      <c r="A2677" s="34"/>
      <c r="B2677" s="35"/>
      <c r="C2677" s="36"/>
      <c r="D2677" s="37"/>
      <c r="E2677" s="36"/>
      <c r="F2677" s="42"/>
      <c r="G2677" s="42"/>
      <c r="H2677" s="42"/>
      <c r="AG2677" s="19">
        <v>2676</v>
      </c>
      <c r="AH2677" s="20">
        <v>1668.2682523821011</v>
      </c>
    </row>
    <row r="2678" spans="1:34" ht="14.5" x14ac:dyDescent="0.35">
      <c r="A2678" s="34"/>
      <c r="B2678" s="35"/>
      <c r="C2678" s="36"/>
      <c r="D2678" s="37"/>
      <c r="E2678" s="36"/>
      <c r="F2678" s="42"/>
      <c r="G2678" s="42"/>
      <c r="H2678" s="42"/>
      <c r="AG2678" s="19">
        <v>2677</v>
      </c>
      <c r="AH2678" s="20">
        <v>36.543148361837666</v>
      </c>
    </row>
    <row r="2679" spans="1:34" ht="14.5" x14ac:dyDescent="0.35">
      <c r="A2679" s="34"/>
      <c r="B2679" s="35"/>
      <c r="C2679" s="36"/>
      <c r="D2679" s="37"/>
      <c r="E2679" s="36"/>
      <c r="F2679" s="42"/>
      <c r="G2679" s="42"/>
      <c r="H2679" s="42"/>
      <c r="AG2679" s="19">
        <v>2678</v>
      </c>
      <c r="AH2679" s="20">
        <v>5989.1378724859824</v>
      </c>
    </row>
    <row r="2680" spans="1:34" ht="14.5" x14ac:dyDescent="0.35">
      <c r="A2680" s="34"/>
      <c r="B2680" s="35"/>
      <c r="C2680" s="36"/>
      <c r="D2680" s="37"/>
      <c r="E2680" s="36"/>
      <c r="F2680" s="42"/>
      <c r="G2680" s="42"/>
      <c r="H2680" s="42"/>
      <c r="AG2680" s="19">
        <v>2679</v>
      </c>
      <c r="AH2680" s="20">
        <v>1395.249133391075</v>
      </c>
    </row>
    <row r="2681" spans="1:34" ht="14.5" x14ac:dyDescent="0.35">
      <c r="A2681" s="34"/>
      <c r="B2681" s="35"/>
      <c r="C2681" s="36"/>
      <c r="D2681" s="37"/>
      <c r="E2681" s="36"/>
      <c r="F2681" s="42"/>
      <c r="G2681" s="42"/>
      <c r="H2681" s="42"/>
      <c r="AG2681" s="19">
        <v>2680</v>
      </c>
      <c r="AH2681" s="20">
        <v>1965.5851023482264</v>
      </c>
    </row>
    <row r="2682" spans="1:34" ht="14.5" x14ac:dyDescent="0.35">
      <c r="A2682" s="34"/>
      <c r="B2682" s="35"/>
      <c r="C2682" s="36"/>
      <c r="D2682" s="37"/>
      <c r="E2682" s="36"/>
      <c r="F2682" s="42"/>
      <c r="G2682" s="42"/>
      <c r="H2682" s="42"/>
      <c r="AG2682" s="19">
        <v>2681</v>
      </c>
      <c r="AH2682" s="20">
        <v>-2321.9300153916242</v>
      </c>
    </row>
    <row r="2683" spans="1:34" ht="14.5" x14ac:dyDescent="0.35">
      <c r="A2683" s="34"/>
      <c r="B2683" s="35"/>
      <c r="C2683" s="36"/>
      <c r="D2683" s="37"/>
      <c r="E2683" s="36"/>
      <c r="F2683" s="42"/>
      <c r="G2683" s="42"/>
      <c r="H2683" s="42"/>
      <c r="AG2683" s="19">
        <v>2682</v>
      </c>
      <c r="AH2683" s="20">
        <v>1736.1793035119213</v>
      </c>
    </row>
    <row r="2684" spans="1:34" ht="14.5" x14ac:dyDescent="0.35">
      <c r="A2684" s="34"/>
      <c r="B2684" s="35"/>
      <c r="C2684" s="36"/>
      <c r="D2684" s="37"/>
      <c r="E2684" s="36"/>
      <c r="F2684" s="42"/>
      <c r="G2684" s="42"/>
      <c r="H2684" s="42"/>
      <c r="AG2684" s="19">
        <v>2683</v>
      </c>
      <c r="AH2684" s="20">
        <v>-4448.2468524193828</v>
      </c>
    </row>
    <row r="2685" spans="1:34" ht="14.5" x14ac:dyDescent="0.35">
      <c r="A2685" s="34"/>
      <c r="B2685" s="35"/>
      <c r="C2685" s="36"/>
      <c r="D2685" s="37"/>
      <c r="E2685" s="36"/>
      <c r="F2685" s="42"/>
      <c r="G2685" s="42"/>
      <c r="H2685" s="42"/>
      <c r="AG2685" s="19">
        <v>2684</v>
      </c>
      <c r="AH2685" s="20">
        <v>-5024.1605366188724</v>
      </c>
    </row>
    <row r="2686" spans="1:34" ht="14.5" x14ac:dyDescent="0.35">
      <c r="A2686" s="34"/>
      <c r="B2686" s="35"/>
      <c r="C2686" s="36"/>
      <c r="D2686" s="37"/>
      <c r="E2686" s="36"/>
      <c r="F2686" s="42"/>
      <c r="G2686" s="42"/>
      <c r="H2686" s="42"/>
      <c r="AG2686" s="19">
        <v>2685</v>
      </c>
      <c r="AH2686" s="20">
        <v>-1866.6290793354685</v>
      </c>
    </row>
    <row r="2687" spans="1:34" ht="14.5" x14ac:dyDescent="0.35">
      <c r="A2687" s="34"/>
      <c r="B2687" s="35"/>
      <c r="C2687" s="36"/>
      <c r="D2687" s="37"/>
      <c r="E2687" s="36"/>
      <c r="F2687" s="42"/>
      <c r="G2687" s="42"/>
      <c r="H2687" s="42"/>
      <c r="AG2687" s="19">
        <v>2686</v>
      </c>
      <c r="AH2687" s="20">
        <v>-2270.8994402725148</v>
      </c>
    </row>
    <row r="2688" spans="1:34" ht="14.5" x14ac:dyDescent="0.35">
      <c r="A2688" s="34"/>
      <c r="B2688" s="35"/>
      <c r="C2688" s="36"/>
      <c r="D2688" s="37"/>
      <c r="E2688" s="36"/>
      <c r="F2688" s="42"/>
      <c r="G2688" s="42"/>
      <c r="H2688" s="42"/>
      <c r="AG2688" s="19">
        <v>2687</v>
      </c>
      <c r="AH2688" s="20">
        <v>-946.61372892926897</v>
      </c>
    </row>
    <row r="2689" spans="1:34" ht="14.5" x14ac:dyDescent="0.35">
      <c r="A2689" s="34"/>
      <c r="B2689" s="35"/>
      <c r="C2689" s="36"/>
      <c r="D2689" s="37"/>
      <c r="E2689" s="36"/>
      <c r="F2689" s="42"/>
      <c r="G2689" s="42"/>
      <c r="H2689" s="42"/>
      <c r="AG2689" s="19">
        <v>2688</v>
      </c>
      <c r="AH2689" s="20">
        <v>1062.6908316473971</v>
      </c>
    </row>
    <row r="2690" spans="1:34" ht="14.5" x14ac:dyDescent="0.35">
      <c r="A2690" s="34"/>
      <c r="B2690" s="35"/>
      <c r="C2690" s="36"/>
      <c r="D2690" s="37"/>
      <c r="E2690" s="36"/>
      <c r="F2690" s="42"/>
      <c r="G2690" s="42"/>
      <c r="H2690" s="42"/>
      <c r="AG2690" s="19">
        <v>2689</v>
      </c>
      <c r="AH2690" s="20">
        <v>4026.7313976767086</v>
      </c>
    </row>
    <row r="2691" spans="1:34" ht="14.5" x14ac:dyDescent="0.35">
      <c r="A2691" s="34"/>
      <c r="B2691" s="35"/>
      <c r="C2691" s="36"/>
      <c r="D2691" s="37"/>
      <c r="E2691" s="36"/>
      <c r="F2691" s="42"/>
      <c r="G2691" s="42"/>
      <c r="H2691" s="42"/>
      <c r="AG2691" s="19">
        <v>2690</v>
      </c>
      <c r="AH2691" s="20">
        <v>-2367.8061204822302</v>
      </c>
    </row>
    <row r="2692" spans="1:34" ht="14.5" x14ac:dyDescent="0.35">
      <c r="A2692" s="34"/>
      <c r="B2692" s="35"/>
      <c r="C2692" s="36"/>
      <c r="D2692" s="37"/>
      <c r="E2692" s="36"/>
      <c r="F2692" s="42"/>
      <c r="G2692" s="42"/>
      <c r="H2692" s="42"/>
      <c r="AG2692" s="19">
        <v>2691</v>
      </c>
      <c r="AH2692" s="20">
        <v>-387.95650403067788</v>
      </c>
    </row>
    <row r="2693" spans="1:34" ht="14.5" x14ac:dyDescent="0.35">
      <c r="A2693" s="34"/>
      <c r="B2693" s="35"/>
      <c r="C2693" s="36"/>
      <c r="D2693" s="37"/>
      <c r="E2693" s="36"/>
      <c r="F2693" s="42"/>
      <c r="G2693" s="42"/>
      <c r="H2693" s="42"/>
      <c r="AG2693" s="19">
        <v>2692</v>
      </c>
      <c r="AH2693" s="20">
        <v>-1161.1180215304789</v>
      </c>
    </row>
    <row r="2694" spans="1:34" ht="14.5" x14ac:dyDescent="0.35">
      <c r="A2694" s="34"/>
      <c r="B2694" s="35"/>
      <c r="C2694" s="36"/>
      <c r="D2694" s="37"/>
      <c r="E2694" s="36"/>
      <c r="F2694" s="42"/>
      <c r="G2694" s="42"/>
      <c r="H2694" s="42"/>
      <c r="AG2694" s="19">
        <v>2693</v>
      </c>
      <c r="AH2694" s="20">
        <v>4136.508368640817</v>
      </c>
    </row>
    <row r="2695" spans="1:34" ht="14.5" x14ac:dyDescent="0.35">
      <c r="A2695" s="34"/>
      <c r="B2695" s="35"/>
      <c r="C2695" s="36"/>
      <c r="D2695" s="37"/>
      <c r="E2695" s="36"/>
      <c r="F2695" s="42"/>
      <c r="G2695" s="42"/>
      <c r="H2695" s="42"/>
      <c r="AG2695" s="19">
        <v>2694</v>
      </c>
      <c r="AH2695" s="20">
        <v>873.8655874475852</v>
      </c>
    </row>
    <row r="2696" spans="1:34" ht="14.5" x14ac:dyDescent="0.35">
      <c r="A2696" s="34"/>
      <c r="B2696" s="35"/>
      <c r="C2696" s="36"/>
      <c r="D2696" s="37"/>
      <c r="E2696" s="36"/>
      <c r="F2696" s="42"/>
      <c r="G2696" s="42"/>
      <c r="H2696" s="42"/>
      <c r="AG2696" s="19">
        <v>2695</v>
      </c>
      <c r="AH2696" s="20">
        <v>1319.7503066439861</v>
      </c>
    </row>
    <row r="2697" spans="1:34" ht="14.5" x14ac:dyDescent="0.35">
      <c r="A2697" s="34"/>
      <c r="B2697" s="35"/>
      <c r="C2697" s="36"/>
      <c r="D2697" s="37"/>
      <c r="E2697" s="36"/>
      <c r="F2697" s="42"/>
      <c r="G2697" s="42"/>
      <c r="H2697" s="42"/>
      <c r="AG2697" s="19">
        <v>2696</v>
      </c>
      <c r="AH2697" s="20">
        <v>-456.14105545100614</v>
      </c>
    </row>
    <row r="2698" spans="1:34" ht="14.5" x14ac:dyDescent="0.35">
      <c r="A2698" s="34"/>
      <c r="B2698" s="35"/>
      <c r="C2698" s="36"/>
      <c r="D2698" s="37"/>
      <c r="E2698" s="36"/>
      <c r="F2698" s="42"/>
      <c r="G2698" s="42"/>
      <c r="H2698" s="42"/>
      <c r="AG2698" s="19">
        <v>2697</v>
      </c>
      <c r="AH2698" s="20">
        <v>2708.944163445562</v>
      </c>
    </row>
    <row r="2699" spans="1:34" ht="14.5" x14ac:dyDescent="0.35">
      <c r="A2699" s="34"/>
      <c r="B2699" s="35"/>
      <c r="C2699" s="36"/>
      <c r="D2699" s="37"/>
      <c r="E2699" s="36"/>
      <c r="F2699" s="42"/>
      <c r="G2699" s="42"/>
      <c r="H2699" s="42"/>
      <c r="AG2699" s="19">
        <v>2698</v>
      </c>
      <c r="AH2699" s="20">
        <v>800.14829792710304</v>
      </c>
    </row>
    <row r="2700" spans="1:34" ht="14.5" x14ac:dyDescent="0.35">
      <c r="A2700" s="34"/>
      <c r="B2700" s="35"/>
      <c r="C2700" s="36"/>
      <c r="D2700" s="37"/>
      <c r="E2700" s="36"/>
      <c r="F2700" s="42"/>
      <c r="G2700" s="42"/>
      <c r="H2700" s="42"/>
      <c r="AG2700" s="19">
        <v>2699</v>
      </c>
      <c r="AH2700" s="20">
        <v>1442.4518690958012</v>
      </c>
    </row>
    <row r="2701" spans="1:34" ht="14.5" x14ac:dyDescent="0.35">
      <c r="A2701" s="34"/>
      <c r="B2701" s="35"/>
      <c r="C2701" s="36"/>
      <c r="D2701" s="37"/>
      <c r="E2701" s="36"/>
      <c r="F2701" s="42"/>
      <c r="G2701" s="42"/>
      <c r="H2701" s="42"/>
      <c r="AG2701" s="19">
        <v>2700</v>
      </c>
      <c r="AH2701" s="20">
        <v>1575.8499283201779</v>
      </c>
    </row>
    <row r="2702" spans="1:34" ht="14.5" x14ac:dyDescent="0.35">
      <c r="A2702" s="34"/>
      <c r="B2702" s="35"/>
      <c r="C2702" s="36"/>
      <c r="D2702" s="37"/>
      <c r="E2702" s="36"/>
      <c r="F2702" s="42"/>
      <c r="G2702" s="42"/>
      <c r="H2702" s="42"/>
      <c r="AG2702" s="19">
        <v>2701</v>
      </c>
      <c r="AH2702" s="20">
        <v>4406.2313228500307</v>
      </c>
    </row>
    <row r="2703" spans="1:34" ht="14.5" x14ac:dyDescent="0.35">
      <c r="A2703" s="34"/>
      <c r="B2703" s="35"/>
      <c r="C2703" s="36"/>
      <c r="D2703" s="37"/>
      <c r="E2703" s="36"/>
      <c r="F2703" s="42"/>
      <c r="G2703" s="42"/>
      <c r="H2703" s="42"/>
      <c r="AG2703" s="19">
        <v>2702</v>
      </c>
      <c r="AH2703" s="20">
        <v>-197.23915303588359</v>
      </c>
    </row>
    <row r="2704" spans="1:34" ht="14.5" x14ac:dyDescent="0.35">
      <c r="A2704" s="34"/>
      <c r="B2704" s="35"/>
      <c r="C2704" s="36"/>
      <c r="D2704" s="37"/>
      <c r="E2704" s="36"/>
      <c r="F2704" s="42"/>
      <c r="G2704" s="42"/>
      <c r="H2704" s="42"/>
      <c r="AG2704" s="19">
        <v>2703</v>
      </c>
      <c r="AH2704" s="20">
        <v>1302.2421447146012</v>
      </c>
    </row>
    <row r="2705" spans="1:34" ht="14.5" x14ac:dyDescent="0.35">
      <c r="A2705" s="34"/>
      <c r="B2705" s="35"/>
      <c r="C2705" s="36"/>
      <c r="D2705" s="37"/>
      <c r="E2705" s="36"/>
      <c r="F2705" s="42"/>
      <c r="G2705" s="42"/>
      <c r="H2705" s="42"/>
      <c r="AG2705" s="19">
        <v>2704</v>
      </c>
      <c r="AH2705" s="20">
        <v>1072.5607180768961</v>
      </c>
    </row>
    <row r="2706" spans="1:34" ht="14.5" x14ac:dyDescent="0.35">
      <c r="A2706" s="34"/>
      <c r="B2706" s="35"/>
      <c r="C2706" s="36"/>
      <c r="D2706" s="37"/>
      <c r="E2706" s="36"/>
      <c r="F2706" s="42"/>
      <c r="G2706" s="42"/>
      <c r="H2706" s="42"/>
      <c r="AG2706" s="19">
        <v>2705</v>
      </c>
      <c r="AH2706" s="20">
        <v>3583.416800221517</v>
      </c>
    </row>
    <row r="2707" spans="1:34" ht="14.5" x14ac:dyDescent="0.35">
      <c r="A2707" s="34"/>
      <c r="B2707" s="35"/>
      <c r="C2707" s="36"/>
      <c r="D2707" s="37"/>
      <c r="E2707" s="36"/>
      <c r="F2707" s="42"/>
      <c r="G2707" s="42"/>
      <c r="H2707" s="42"/>
      <c r="AG2707" s="19">
        <v>2706</v>
      </c>
      <c r="AH2707" s="20">
        <v>3900.1421399752912</v>
      </c>
    </row>
    <row r="2708" spans="1:34" ht="14.5" x14ac:dyDescent="0.35">
      <c r="A2708" s="34"/>
      <c r="B2708" s="35"/>
      <c r="C2708" s="36"/>
      <c r="D2708" s="37"/>
      <c r="E2708" s="36"/>
      <c r="F2708" s="42"/>
      <c r="G2708" s="42"/>
      <c r="H2708" s="42"/>
      <c r="AG2708" s="19">
        <v>2707</v>
      </c>
      <c r="AH2708" s="20">
        <v>786.40506125403431</v>
      </c>
    </row>
    <row r="2709" spans="1:34" ht="14.5" x14ac:dyDescent="0.35">
      <c r="A2709" s="34"/>
      <c r="B2709" s="35"/>
      <c r="C2709" s="36"/>
      <c r="D2709" s="37"/>
      <c r="E2709" s="36"/>
      <c r="F2709" s="42"/>
      <c r="G2709" s="42"/>
      <c r="H2709" s="42"/>
      <c r="AG2709" s="19">
        <v>2708</v>
      </c>
      <c r="AH2709" s="20">
        <v>-1054.7035388584641</v>
      </c>
    </row>
    <row r="2710" spans="1:34" ht="14.5" x14ac:dyDescent="0.35">
      <c r="A2710" s="34"/>
      <c r="B2710" s="35"/>
      <c r="C2710" s="36"/>
      <c r="D2710" s="37"/>
      <c r="E2710" s="36"/>
      <c r="F2710" s="42"/>
      <c r="G2710" s="42"/>
      <c r="H2710" s="42"/>
      <c r="AG2710" s="19">
        <v>2709</v>
      </c>
      <c r="AH2710" s="20">
        <v>-703.26348213581832</v>
      </c>
    </row>
    <row r="2711" spans="1:34" ht="14.5" x14ac:dyDescent="0.35">
      <c r="A2711" s="34"/>
      <c r="B2711" s="35"/>
      <c r="C2711" s="36"/>
      <c r="D2711" s="37"/>
      <c r="E2711" s="36"/>
      <c r="F2711" s="42"/>
      <c r="G2711" s="42"/>
      <c r="H2711" s="42"/>
      <c r="AG2711" s="19">
        <v>2710</v>
      </c>
      <c r="AH2711" s="20">
        <v>1669.6128573414589</v>
      </c>
    </row>
    <row r="2712" spans="1:34" ht="14.5" x14ac:dyDescent="0.35">
      <c r="A2712" s="34"/>
      <c r="B2712" s="35"/>
      <c r="C2712" s="36"/>
      <c r="D2712" s="37"/>
      <c r="E2712" s="36"/>
      <c r="F2712" s="42"/>
      <c r="G2712" s="42"/>
      <c r="H2712" s="42"/>
      <c r="AG2712" s="19">
        <v>2711</v>
      </c>
      <c r="AH2712" s="20">
        <v>2236.8132071950367</v>
      </c>
    </row>
    <row r="2713" spans="1:34" ht="14.5" x14ac:dyDescent="0.35">
      <c r="A2713" s="34"/>
      <c r="B2713" s="35"/>
      <c r="C2713" s="36"/>
      <c r="D2713" s="37"/>
      <c r="E2713" s="36"/>
      <c r="F2713" s="42"/>
      <c r="G2713" s="42"/>
      <c r="H2713" s="42"/>
      <c r="AG2713" s="19">
        <v>2712</v>
      </c>
      <c r="AH2713" s="20">
        <v>2816.1195836757342</v>
      </c>
    </row>
    <row r="2714" spans="1:34" ht="14.5" x14ac:dyDescent="0.35">
      <c r="A2714" s="34"/>
      <c r="B2714" s="35"/>
      <c r="C2714" s="36"/>
      <c r="D2714" s="37"/>
      <c r="E2714" s="36"/>
      <c r="F2714" s="42"/>
      <c r="G2714" s="42"/>
      <c r="H2714" s="42"/>
      <c r="AG2714" s="19">
        <v>2713</v>
      </c>
      <c r="AH2714" s="20">
        <v>1388.2397066900589</v>
      </c>
    </row>
    <row r="2715" spans="1:34" ht="14.5" x14ac:dyDescent="0.35">
      <c r="A2715" s="34"/>
      <c r="B2715" s="35"/>
      <c r="C2715" s="36"/>
      <c r="D2715" s="37"/>
      <c r="E2715" s="36"/>
      <c r="F2715" s="42"/>
      <c r="G2715" s="42"/>
      <c r="H2715" s="42"/>
      <c r="AG2715" s="19">
        <v>2714</v>
      </c>
      <c r="AH2715" s="20">
        <v>1916.9765248157028</v>
      </c>
    </row>
    <row r="2716" spans="1:34" ht="14.5" x14ac:dyDescent="0.35">
      <c r="A2716" s="34"/>
      <c r="B2716" s="35"/>
      <c r="C2716" s="36"/>
      <c r="D2716" s="37"/>
      <c r="E2716" s="36"/>
      <c r="F2716" s="42"/>
      <c r="G2716" s="42"/>
      <c r="H2716" s="42"/>
      <c r="AG2716" s="19">
        <v>2715</v>
      </c>
      <c r="AH2716" s="20">
        <v>1535.1634125754865</v>
      </c>
    </row>
    <row r="2717" spans="1:34" ht="14.5" x14ac:dyDescent="0.35">
      <c r="A2717" s="34"/>
      <c r="B2717" s="35"/>
      <c r="C2717" s="36"/>
      <c r="D2717" s="37"/>
      <c r="E2717" s="36"/>
      <c r="F2717" s="42"/>
      <c r="G2717" s="42"/>
      <c r="H2717" s="42"/>
      <c r="AG2717" s="19">
        <v>2716</v>
      </c>
      <c r="AH2717" s="20">
        <v>1785.2010160860564</v>
      </c>
    </row>
    <row r="2718" spans="1:34" ht="14.5" x14ac:dyDescent="0.35">
      <c r="A2718" s="34"/>
      <c r="B2718" s="35"/>
      <c r="C2718" s="36"/>
      <c r="D2718" s="37"/>
      <c r="E2718" s="36"/>
      <c r="F2718" s="42"/>
      <c r="G2718" s="42"/>
      <c r="H2718" s="42"/>
      <c r="AG2718" s="19">
        <v>2717</v>
      </c>
      <c r="AH2718" s="20">
        <v>1965.6542115254674</v>
      </c>
    </row>
    <row r="2719" spans="1:34" ht="14.5" x14ac:dyDescent="0.35">
      <c r="A2719" s="34"/>
      <c r="B2719" s="35"/>
      <c r="C2719" s="36"/>
      <c r="D2719" s="37"/>
      <c r="E2719" s="36"/>
      <c r="F2719" s="42"/>
      <c r="G2719" s="42"/>
      <c r="H2719" s="42"/>
      <c r="AG2719" s="19">
        <v>2718</v>
      </c>
      <c r="AH2719" s="20">
        <v>175.57353855672926</v>
      </c>
    </row>
    <row r="2720" spans="1:34" ht="14.5" x14ac:dyDescent="0.35">
      <c r="A2720" s="34"/>
      <c r="B2720" s="35"/>
      <c r="C2720" s="36"/>
      <c r="D2720" s="37"/>
      <c r="E2720" s="36"/>
      <c r="F2720" s="42"/>
      <c r="G2720" s="42"/>
      <c r="H2720" s="42"/>
      <c r="AG2720" s="19">
        <v>2719</v>
      </c>
      <c r="AH2720" s="20">
        <v>4379.5694548257134</v>
      </c>
    </row>
    <row r="2721" spans="1:34" ht="14.5" x14ac:dyDescent="0.35">
      <c r="A2721" s="34"/>
      <c r="B2721" s="35"/>
      <c r="C2721" s="36"/>
      <c r="D2721" s="37"/>
      <c r="E2721" s="36"/>
      <c r="F2721" s="42"/>
      <c r="G2721" s="42"/>
      <c r="H2721" s="42"/>
      <c r="AG2721" s="19">
        <v>2720</v>
      </c>
      <c r="AH2721" s="20">
        <v>829.67320081198159</v>
      </c>
    </row>
    <row r="2722" spans="1:34" ht="14.5" x14ac:dyDescent="0.35">
      <c r="A2722" s="34"/>
      <c r="B2722" s="35"/>
      <c r="C2722" s="36"/>
      <c r="D2722" s="37"/>
      <c r="E2722" s="36"/>
      <c r="F2722" s="42"/>
      <c r="G2722" s="42"/>
      <c r="H2722" s="42"/>
      <c r="AG2722" s="19">
        <v>2721</v>
      </c>
      <c r="AH2722" s="20">
        <v>-1400.8010198711306</v>
      </c>
    </row>
    <row r="2723" spans="1:34" ht="14.5" x14ac:dyDescent="0.35">
      <c r="A2723" s="34"/>
      <c r="B2723" s="35"/>
      <c r="C2723" s="36"/>
      <c r="D2723" s="37"/>
      <c r="E2723" s="36"/>
      <c r="F2723" s="42"/>
      <c r="G2723" s="42"/>
      <c r="H2723" s="42"/>
      <c r="AG2723" s="19">
        <v>2722</v>
      </c>
      <c r="AH2723" s="20">
        <v>-2.5637805939582563</v>
      </c>
    </row>
    <row r="2724" spans="1:34" ht="14.5" x14ac:dyDescent="0.35">
      <c r="A2724" s="34"/>
      <c r="B2724" s="35"/>
      <c r="C2724" s="36"/>
      <c r="D2724" s="37"/>
      <c r="E2724" s="36"/>
      <c r="F2724" s="42"/>
      <c r="G2724" s="42"/>
      <c r="H2724" s="42"/>
      <c r="AG2724" s="19">
        <v>2723</v>
      </c>
      <c r="AH2724" s="20">
        <v>2587.8716218726254</v>
      </c>
    </row>
    <row r="2725" spans="1:34" ht="14.5" x14ac:dyDescent="0.35">
      <c r="A2725" s="34"/>
      <c r="B2725" s="35"/>
      <c r="C2725" s="36"/>
      <c r="D2725" s="37"/>
      <c r="E2725" s="36"/>
      <c r="F2725" s="42"/>
      <c r="G2725" s="42"/>
      <c r="H2725" s="42"/>
      <c r="AG2725" s="19">
        <v>2724</v>
      </c>
      <c r="AH2725" s="20">
        <v>-942.11106507318459</v>
      </c>
    </row>
    <row r="2726" spans="1:34" ht="14.5" x14ac:dyDescent="0.35">
      <c r="A2726" s="34"/>
      <c r="B2726" s="35"/>
      <c r="C2726" s="36"/>
      <c r="D2726" s="37"/>
      <c r="E2726" s="36"/>
      <c r="F2726" s="42"/>
      <c r="G2726" s="42"/>
      <c r="H2726" s="42"/>
      <c r="AG2726" s="19">
        <v>2725</v>
      </c>
      <c r="AH2726" s="20">
        <v>-262.96480614743592</v>
      </c>
    </row>
    <row r="2727" spans="1:34" ht="14.5" x14ac:dyDescent="0.35">
      <c r="A2727" s="34"/>
      <c r="B2727" s="35"/>
      <c r="C2727" s="36"/>
      <c r="D2727" s="37"/>
      <c r="E2727" s="36"/>
      <c r="F2727" s="42"/>
      <c r="G2727" s="42"/>
      <c r="H2727" s="42"/>
      <c r="AG2727" s="19">
        <v>2726</v>
      </c>
      <c r="AH2727" s="20">
        <v>1488.5905157464608</v>
      </c>
    </row>
    <row r="2728" spans="1:34" ht="14.5" x14ac:dyDescent="0.35">
      <c r="A2728" s="34"/>
      <c r="B2728" s="35"/>
      <c r="C2728" s="36"/>
      <c r="D2728" s="37"/>
      <c r="E2728" s="36"/>
      <c r="F2728" s="42"/>
      <c r="G2728" s="42"/>
      <c r="H2728" s="42"/>
      <c r="AG2728" s="19">
        <v>2727</v>
      </c>
      <c r="AH2728" s="20">
        <v>573.92748431237771</v>
      </c>
    </row>
    <row r="2729" spans="1:34" ht="14.5" x14ac:dyDescent="0.35">
      <c r="A2729" s="34"/>
      <c r="B2729" s="35"/>
      <c r="C2729" s="36"/>
      <c r="D2729" s="37"/>
      <c r="E2729" s="36"/>
      <c r="F2729" s="42"/>
      <c r="G2729" s="42"/>
      <c r="H2729" s="42"/>
      <c r="AG2729" s="19">
        <v>2728</v>
      </c>
      <c r="AH2729" s="20">
        <v>-2717.5977146583559</v>
      </c>
    </row>
    <row r="2730" spans="1:34" ht="14.5" x14ac:dyDescent="0.35">
      <c r="A2730" s="34"/>
      <c r="B2730" s="35"/>
      <c r="C2730" s="36"/>
      <c r="D2730" s="37"/>
      <c r="E2730" s="36"/>
      <c r="F2730" s="42"/>
      <c r="G2730" s="42"/>
      <c r="H2730" s="42"/>
      <c r="AG2730" s="19">
        <v>2729</v>
      </c>
      <c r="AH2730" s="20">
        <v>2896.8520059884927</v>
      </c>
    </row>
    <row r="2731" spans="1:34" ht="14.5" x14ac:dyDescent="0.35">
      <c r="A2731" s="34"/>
      <c r="B2731" s="35"/>
      <c r="C2731" s="36"/>
      <c r="D2731" s="37"/>
      <c r="E2731" s="36"/>
      <c r="F2731" s="42"/>
      <c r="G2731" s="42"/>
      <c r="H2731" s="42"/>
      <c r="AG2731" s="19">
        <v>2730</v>
      </c>
      <c r="AH2731" s="20">
        <v>1454.3881702259957</v>
      </c>
    </row>
    <row r="2732" spans="1:34" ht="14.5" x14ac:dyDescent="0.35">
      <c r="A2732" s="34"/>
      <c r="B2732" s="35"/>
      <c r="C2732" s="36"/>
      <c r="D2732" s="37"/>
      <c r="E2732" s="36"/>
      <c r="F2732" s="42"/>
      <c r="G2732" s="42"/>
      <c r="H2732" s="42"/>
      <c r="AG2732" s="19">
        <v>2731</v>
      </c>
      <c r="AH2732" s="20">
        <v>2101.2597203805199</v>
      </c>
    </row>
    <row r="2733" spans="1:34" ht="14.5" x14ac:dyDescent="0.35">
      <c r="A2733" s="34"/>
      <c r="B2733" s="35"/>
      <c r="C2733" s="36"/>
      <c r="D2733" s="37"/>
      <c r="E2733" s="36"/>
      <c r="F2733" s="42"/>
      <c r="G2733" s="42"/>
      <c r="H2733" s="42"/>
      <c r="AG2733" s="19">
        <v>2732</v>
      </c>
      <c r="AH2733" s="20">
        <v>1605.2685231753401</v>
      </c>
    </row>
    <row r="2734" spans="1:34" ht="14.5" x14ac:dyDescent="0.35">
      <c r="A2734" s="34"/>
      <c r="B2734" s="35"/>
      <c r="C2734" s="36"/>
      <c r="D2734" s="37"/>
      <c r="E2734" s="36"/>
      <c r="F2734" s="42"/>
      <c r="G2734" s="42"/>
      <c r="H2734" s="42"/>
      <c r="AG2734" s="19">
        <v>2733</v>
      </c>
      <c r="AH2734" s="20">
        <v>-474.28643535398595</v>
      </c>
    </row>
    <row r="2735" spans="1:34" ht="14.5" x14ac:dyDescent="0.35">
      <c r="A2735" s="34"/>
      <c r="B2735" s="35"/>
      <c r="C2735" s="36"/>
      <c r="D2735" s="37"/>
      <c r="E2735" s="36"/>
      <c r="F2735" s="42"/>
      <c r="G2735" s="42"/>
      <c r="H2735" s="42"/>
      <c r="AG2735" s="19">
        <v>2734</v>
      </c>
      <c r="AH2735" s="20">
        <v>-405.3610391973661</v>
      </c>
    </row>
    <row r="2736" spans="1:34" ht="14.5" x14ac:dyDescent="0.35">
      <c r="A2736" s="34"/>
      <c r="B2736" s="35"/>
      <c r="C2736" s="36"/>
      <c r="D2736" s="37"/>
      <c r="E2736" s="36"/>
      <c r="F2736" s="42"/>
      <c r="G2736" s="42"/>
      <c r="H2736" s="42"/>
      <c r="AG2736" s="19">
        <v>2735</v>
      </c>
      <c r="AH2736" s="20">
        <v>-192.51223534933757</v>
      </c>
    </row>
    <row r="2737" spans="1:34" ht="14.5" x14ac:dyDescent="0.35">
      <c r="A2737" s="34"/>
      <c r="B2737" s="35"/>
      <c r="C2737" s="36"/>
      <c r="D2737" s="37"/>
      <c r="E2737" s="36"/>
      <c r="F2737" s="42"/>
      <c r="G2737" s="42"/>
      <c r="H2737" s="42"/>
      <c r="AG2737" s="19">
        <v>2736</v>
      </c>
      <c r="AH2737" s="20">
        <v>-1728.7016445723718</v>
      </c>
    </row>
    <row r="2738" spans="1:34" ht="14.5" x14ac:dyDescent="0.35">
      <c r="A2738" s="34"/>
      <c r="B2738" s="35"/>
      <c r="C2738" s="36"/>
      <c r="D2738" s="37"/>
      <c r="E2738" s="36"/>
      <c r="F2738" s="42"/>
      <c r="G2738" s="42"/>
      <c r="H2738" s="42"/>
      <c r="AG2738" s="19">
        <v>2737</v>
      </c>
      <c r="AH2738" s="20">
        <v>2486.4396472114472</v>
      </c>
    </row>
    <row r="2739" spans="1:34" ht="14.5" x14ac:dyDescent="0.35">
      <c r="A2739" s="34"/>
      <c r="B2739" s="35"/>
      <c r="C2739" s="36"/>
      <c r="D2739" s="37"/>
      <c r="E2739" s="36"/>
      <c r="F2739" s="42"/>
      <c r="G2739" s="42"/>
      <c r="H2739" s="42"/>
      <c r="AG2739" s="19">
        <v>2738</v>
      </c>
      <c r="AH2739" s="20">
        <v>-2165.0710251592209</v>
      </c>
    </row>
    <row r="2740" spans="1:34" ht="14.5" x14ac:dyDescent="0.35">
      <c r="A2740" s="34"/>
      <c r="B2740" s="35"/>
      <c r="C2740" s="36"/>
      <c r="D2740" s="37"/>
      <c r="E2740" s="36"/>
      <c r="F2740" s="42"/>
      <c r="G2740" s="42"/>
      <c r="H2740" s="42"/>
      <c r="AG2740" s="19">
        <v>2739</v>
      </c>
      <c r="AH2740" s="20">
        <v>1895.8972089341457</v>
      </c>
    </row>
    <row r="2741" spans="1:34" ht="14.5" x14ac:dyDescent="0.35">
      <c r="A2741" s="34"/>
      <c r="B2741" s="35"/>
      <c r="C2741" s="36"/>
      <c r="D2741" s="37"/>
      <c r="E2741" s="36"/>
      <c r="F2741" s="42"/>
      <c r="G2741" s="42"/>
      <c r="H2741" s="42"/>
      <c r="AG2741" s="19">
        <v>2740</v>
      </c>
      <c r="AH2741" s="20">
        <v>-1546.0059641726377</v>
      </c>
    </row>
    <row r="2742" spans="1:34" ht="14.5" x14ac:dyDescent="0.35">
      <c r="A2742" s="34"/>
      <c r="B2742" s="35"/>
      <c r="C2742" s="36"/>
      <c r="D2742" s="37"/>
      <c r="E2742" s="36"/>
      <c r="F2742" s="42"/>
      <c r="G2742" s="42"/>
      <c r="H2742" s="42"/>
      <c r="AG2742" s="19">
        <v>2741</v>
      </c>
      <c r="AH2742" s="20">
        <v>2160.6633673208821</v>
      </c>
    </row>
    <row r="2743" spans="1:34" ht="14.5" x14ac:dyDescent="0.35">
      <c r="A2743" s="34"/>
      <c r="B2743" s="35"/>
      <c r="C2743" s="36"/>
      <c r="D2743" s="37"/>
      <c r="E2743" s="36"/>
      <c r="F2743" s="42"/>
      <c r="G2743" s="42"/>
      <c r="H2743" s="42"/>
      <c r="AG2743" s="19">
        <v>2742</v>
      </c>
      <c r="AH2743" s="20">
        <v>161.70930816464065</v>
      </c>
    </row>
    <row r="2744" spans="1:34" ht="14.5" x14ac:dyDescent="0.35">
      <c r="A2744" s="34"/>
      <c r="B2744" s="35"/>
      <c r="C2744" s="36"/>
      <c r="D2744" s="37"/>
      <c r="E2744" s="36"/>
      <c r="F2744" s="42"/>
      <c r="G2744" s="42"/>
      <c r="H2744" s="42"/>
      <c r="AG2744" s="19">
        <v>2743</v>
      </c>
      <c r="AH2744" s="20">
        <v>1816.894128713963</v>
      </c>
    </row>
    <row r="2745" spans="1:34" ht="14.5" x14ac:dyDescent="0.35">
      <c r="A2745" s="34"/>
      <c r="B2745" s="35"/>
      <c r="C2745" s="36"/>
      <c r="D2745" s="37"/>
      <c r="E2745" s="36"/>
      <c r="F2745" s="42"/>
      <c r="G2745" s="42"/>
      <c r="H2745" s="42"/>
      <c r="AG2745" s="19">
        <v>2744</v>
      </c>
      <c r="AH2745" s="20">
        <v>-665.42624630494402</v>
      </c>
    </row>
    <row r="2746" spans="1:34" ht="14.5" x14ac:dyDescent="0.35">
      <c r="A2746" s="34"/>
      <c r="B2746" s="35"/>
      <c r="C2746" s="36"/>
      <c r="D2746" s="37"/>
      <c r="E2746" s="36"/>
      <c r="F2746" s="42"/>
      <c r="G2746" s="42"/>
      <c r="H2746" s="42"/>
      <c r="AG2746" s="19">
        <v>2745</v>
      </c>
      <c r="AH2746" s="20">
        <v>1177.8663950214184</v>
      </c>
    </row>
    <row r="2747" spans="1:34" ht="14.5" x14ac:dyDescent="0.35">
      <c r="A2747" s="34"/>
      <c r="B2747" s="35"/>
      <c r="C2747" s="36"/>
      <c r="D2747" s="37"/>
      <c r="E2747" s="36"/>
      <c r="F2747" s="42"/>
      <c r="G2747" s="42"/>
      <c r="H2747" s="42"/>
      <c r="AG2747" s="19">
        <v>2746</v>
      </c>
      <c r="AH2747" s="20">
        <v>-876.3293111204116</v>
      </c>
    </row>
    <row r="2748" spans="1:34" ht="14.5" x14ac:dyDescent="0.35">
      <c r="A2748" s="34"/>
      <c r="B2748" s="35"/>
      <c r="C2748" s="36"/>
      <c r="D2748" s="37"/>
      <c r="E2748" s="36"/>
      <c r="F2748" s="42"/>
      <c r="G2748" s="42"/>
      <c r="H2748" s="42"/>
      <c r="AG2748" s="19">
        <v>2747</v>
      </c>
      <c r="AH2748" s="20">
        <v>1331.9687761163379</v>
      </c>
    </row>
    <row r="2749" spans="1:34" ht="14.5" x14ac:dyDescent="0.35">
      <c r="A2749" s="34"/>
      <c r="B2749" s="35"/>
      <c r="C2749" s="36"/>
      <c r="D2749" s="37"/>
      <c r="E2749" s="36"/>
      <c r="F2749" s="42"/>
      <c r="G2749" s="42"/>
      <c r="H2749" s="42"/>
      <c r="AG2749" s="19">
        <v>2748</v>
      </c>
      <c r="AH2749" s="20">
        <v>121.20289432076726</v>
      </c>
    </row>
    <row r="2750" spans="1:34" ht="14.5" x14ac:dyDescent="0.35">
      <c r="A2750" s="34"/>
      <c r="B2750" s="35"/>
      <c r="C2750" s="36"/>
      <c r="D2750" s="37"/>
      <c r="E2750" s="36"/>
      <c r="F2750" s="42"/>
      <c r="G2750" s="42"/>
      <c r="H2750" s="42"/>
      <c r="AG2750" s="19">
        <v>2749</v>
      </c>
      <c r="AH2750" s="20">
        <v>-892.6684826863966</v>
      </c>
    </row>
    <row r="2751" spans="1:34" ht="14.5" x14ac:dyDescent="0.35">
      <c r="A2751" s="34"/>
      <c r="B2751" s="35"/>
      <c r="C2751" s="36"/>
      <c r="D2751" s="37"/>
      <c r="E2751" s="36"/>
      <c r="F2751" s="42"/>
      <c r="G2751" s="42"/>
      <c r="H2751" s="42"/>
      <c r="AG2751" s="19">
        <v>2750</v>
      </c>
      <c r="AH2751" s="20">
        <v>625.30114298134959</v>
      </c>
    </row>
    <row r="2752" spans="1:34" ht="14.5" x14ac:dyDescent="0.35">
      <c r="A2752" s="34"/>
      <c r="B2752" s="35"/>
      <c r="C2752" s="36"/>
      <c r="D2752" s="37"/>
      <c r="E2752" s="36"/>
      <c r="F2752" s="42"/>
      <c r="G2752" s="42"/>
      <c r="H2752" s="42"/>
      <c r="AG2752" s="19">
        <v>2751</v>
      </c>
      <c r="AH2752" s="20">
        <v>-8.60875632953082</v>
      </c>
    </row>
    <row r="2753" spans="1:34" ht="14.5" x14ac:dyDescent="0.35">
      <c r="A2753" s="34"/>
      <c r="B2753" s="35"/>
      <c r="C2753" s="36"/>
      <c r="D2753" s="37"/>
      <c r="E2753" s="36"/>
      <c r="F2753" s="42"/>
      <c r="G2753" s="42"/>
      <c r="H2753" s="42"/>
      <c r="AG2753" s="19">
        <v>2752</v>
      </c>
      <c r="AH2753" s="20">
        <v>-1311.9329525306928</v>
      </c>
    </row>
    <row r="2754" spans="1:34" ht="14.5" x14ac:dyDescent="0.35">
      <c r="A2754" s="34"/>
      <c r="B2754" s="35"/>
      <c r="C2754" s="36"/>
      <c r="D2754" s="37"/>
      <c r="E2754" s="36"/>
      <c r="F2754" s="42"/>
      <c r="G2754" s="42"/>
      <c r="H2754" s="42"/>
      <c r="AG2754" s="19">
        <v>2753</v>
      </c>
      <c r="AH2754" s="20">
        <v>-1100.700117550361</v>
      </c>
    </row>
    <row r="2755" spans="1:34" ht="14.5" x14ac:dyDescent="0.35">
      <c r="A2755" s="34"/>
      <c r="B2755" s="35"/>
      <c r="C2755" s="36"/>
      <c r="D2755" s="37"/>
      <c r="E2755" s="36"/>
      <c r="F2755" s="42"/>
      <c r="G2755" s="42"/>
      <c r="H2755" s="42"/>
      <c r="AG2755" s="19">
        <v>2754</v>
      </c>
      <c r="AH2755" s="20">
        <v>4802.2284889363691</v>
      </c>
    </row>
    <row r="2756" spans="1:34" ht="14.5" x14ac:dyDescent="0.35">
      <c r="A2756" s="34"/>
      <c r="B2756" s="35"/>
      <c r="C2756" s="36"/>
      <c r="D2756" s="37"/>
      <c r="E2756" s="36"/>
      <c r="F2756" s="42"/>
      <c r="G2756" s="42"/>
      <c r="H2756" s="42"/>
      <c r="AG2756" s="19">
        <v>2755</v>
      </c>
      <c r="AH2756" s="20">
        <v>3808.7542464026037</v>
      </c>
    </row>
    <row r="2757" spans="1:34" ht="14.5" x14ac:dyDescent="0.35">
      <c r="A2757" s="34"/>
      <c r="B2757" s="35"/>
      <c r="C2757" s="36"/>
      <c r="D2757" s="37"/>
      <c r="E2757" s="36"/>
      <c r="F2757" s="42"/>
      <c r="G2757" s="42"/>
      <c r="H2757" s="42"/>
      <c r="AG2757" s="19">
        <v>2756</v>
      </c>
      <c r="AH2757" s="20">
        <v>-235.79653753435326</v>
      </c>
    </row>
    <row r="2758" spans="1:34" ht="14.5" x14ac:dyDescent="0.35">
      <c r="A2758" s="34"/>
      <c r="B2758" s="35"/>
      <c r="C2758" s="36"/>
      <c r="D2758" s="37"/>
      <c r="E2758" s="36"/>
      <c r="F2758" s="42"/>
      <c r="G2758" s="42"/>
      <c r="H2758" s="42"/>
      <c r="AG2758" s="19">
        <v>2757</v>
      </c>
      <c r="AH2758" s="20">
        <v>-3051.2988889898102</v>
      </c>
    </row>
    <row r="2759" spans="1:34" ht="14.5" x14ac:dyDescent="0.35">
      <c r="A2759" s="34"/>
      <c r="B2759" s="35"/>
      <c r="C2759" s="36"/>
      <c r="D2759" s="37"/>
      <c r="E2759" s="36"/>
      <c r="F2759" s="42"/>
      <c r="G2759" s="42"/>
      <c r="H2759" s="42"/>
      <c r="AG2759" s="19">
        <v>2758</v>
      </c>
      <c r="AH2759" s="20">
        <v>474.50555917817326</v>
      </c>
    </row>
    <row r="2760" spans="1:34" ht="14.5" x14ac:dyDescent="0.35">
      <c r="A2760" s="34"/>
      <c r="B2760" s="35"/>
      <c r="C2760" s="36"/>
      <c r="D2760" s="37"/>
      <c r="E2760" s="36"/>
      <c r="F2760" s="42"/>
      <c r="G2760" s="42"/>
      <c r="H2760" s="42"/>
      <c r="AG2760" s="19">
        <v>2759</v>
      </c>
      <c r="AH2760" s="20">
        <v>-3541.1299127265879</v>
      </c>
    </row>
    <row r="2761" spans="1:34" ht="14.5" x14ac:dyDescent="0.35">
      <c r="A2761" s="34"/>
      <c r="B2761" s="35"/>
      <c r="C2761" s="36"/>
      <c r="D2761" s="37"/>
      <c r="E2761" s="36"/>
      <c r="F2761" s="42"/>
      <c r="G2761" s="42"/>
      <c r="H2761" s="42"/>
      <c r="AG2761" s="19">
        <v>2760</v>
      </c>
      <c r="AH2761" s="20">
        <v>-110.80196390926102</v>
      </c>
    </row>
    <row r="2762" spans="1:34" ht="14.5" x14ac:dyDescent="0.35">
      <c r="A2762" s="34"/>
      <c r="B2762" s="35"/>
      <c r="C2762" s="36"/>
      <c r="D2762" s="37"/>
      <c r="E2762" s="36"/>
      <c r="F2762" s="42"/>
      <c r="G2762" s="42"/>
      <c r="H2762" s="42"/>
      <c r="AG2762" s="19">
        <v>2761</v>
      </c>
      <c r="AH2762" s="20">
        <v>-1048.662063960219</v>
      </c>
    </row>
    <row r="2763" spans="1:34" ht="14.5" x14ac:dyDescent="0.35">
      <c r="A2763" s="34"/>
      <c r="B2763" s="35"/>
      <c r="C2763" s="36"/>
      <c r="D2763" s="37"/>
      <c r="E2763" s="36"/>
      <c r="F2763" s="42"/>
      <c r="G2763" s="42"/>
      <c r="H2763" s="42"/>
      <c r="AG2763" s="19">
        <v>2762</v>
      </c>
      <c r="AH2763" s="20">
        <v>-729.37391415609204</v>
      </c>
    </row>
    <row r="2764" spans="1:34" ht="14.5" x14ac:dyDescent="0.35">
      <c r="A2764" s="34"/>
      <c r="B2764" s="35"/>
      <c r="C2764" s="36"/>
      <c r="D2764" s="37"/>
      <c r="E2764" s="36"/>
      <c r="F2764" s="42"/>
      <c r="G2764" s="42"/>
      <c r="H2764" s="42"/>
      <c r="AG2764" s="19">
        <v>2763</v>
      </c>
      <c r="AH2764" s="20">
        <v>2733.3487003725681</v>
      </c>
    </row>
    <row r="2765" spans="1:34" ht="14.5" x14ac:dyDescent="0.35">
      <c r="A2765" s="34"/>
      <c r="B2765" s="35"/>
      <c r="C2765" s="36"/>
      <c r="D2765" s="37"/>
      <c r="E2765" s="36"/>
      <c r="F2765" s="42"/>
      <c r="G2765" s="42"/>
      <c r="H2765" s="42"/>
      <c r="AG2765" s="19">
        <v>2764</v>
      </c>
      <c r="AH2765" s="20">
        <v>-363.93852604971602</v>
      </c>
    </row>
    <row r="2766" spans="1:34" ht="14.5" x14ac:dyDescent="0.35">
      <c r="A2766" s="34"/>
      <c r="B2766" s="35"/>
      <c r="C2766" s="36"/>
      <c r="D2766" s="37"/>
      <c r="E2766" s="36"/>
      <c r="F2766" s="42"/>
      <c r="G2766" s="42"/>
      <c r="H2766" s="42"/>
      <c r="AG2766" s="19">
        <v>2765</v>
      </c>
      <c r="AH2766" s="20">
        <v>-91.649092584056007</v>
      </c>
    </row>
    <row r="2767" spans="1:34" ht="14.5" x14ac:dyDescent="0.35">
      <c r="A2767" s="34"/>
      <c r="B2767" s="35"/>
      <c r="C2767" s="36"/>
      <c r="D2767" s="37"/>
      <c r="E2767" s="36"/>
      <c r="F2767" s="42"/>
      <c r="G2767" s="42"/>
      <c r="H2767" s="42"/>
      <c r="AG2767" s="19">
        <v>2766</v>
      </c>
      <c r="AH2767" s="20">
        <v>-461.45023956211816</v>
      </c>
    </row>
    <row r="2768" spans="1:34" ht="14.5" x14ac:dyDescent="0.35">
      <c r="A2768" s="34"/>
      <c r="B2768" s="35"/>
      <c r="C2768" s="36"/>
      <c r="D2768" s="37"/>
      <c r="E2768" s="36"/>
      <c r="F2768" s="42"/>
      <c r="G2768" s="42"/>
      <c r="H2768" s="42"/>
      <c r="AG2768" s="19">
        <v>2767</v>
      </c>
      <c r="AH2768" s="20">
        <v>875.74387631311151</v>
      </c>
    </row>
    <row r="2769" spans="1:34" ht="14.5" x14ac:dyDescent="0.35">
      <c r="A2769" s="34"/>
      <c r="B2769" s="35"/>
      <c r="C2769" s="36"/>
      <c r="D2769" s="37"/>
      <c r="E2769" s="36"/>
      <c r="F2769" s="42"/>
      <c r="G2769" s="42"/>
      <c r="H2769" s="42"/>
      <c r="AG2769" s="19">
        <v>2768</v>
      </c>
      <c r="AH2769" s="20">
        <v>2378.7622081181185</v>
      </c>
    </row>
    <row r="2770" spans="1:34" ht="14.5" x14ac:dyDescent="0.35">
      <c r="A2770" s="34"/>
      <c r="B2770" s="35"/>
      <c r="C2770" s="36"/>
      <c r="D2770" s="37"/>
      <c r="E2770" s="36"/>
      <c r="F2770" s="42"/>
      <c r="G2770" s="42"/>
      <c r="H2770" s="42"/>
      <c r="AG2770" s="19">
        <v>2769</v>
      </c>
      <c r="AH2770" s="20">
        <v>-631.57563655257582</v>
      </c>
    </row>
    <row r="2771" spans="1:34" ht="14.5" x14ac:dyDescent="0.35">
      <c r="A2771" s="34"/>
      <c r="B2771" s="35"/>
      <c r="C2771" s="36"/>
      <c r="D2771" s="37"/>
      <c r="E2771" s="36"/>
      <c r="F2771" s="42"/>
      <c r="G2771" s="42"/>
      <c r="H2771" s="42"/>
      <c r="AG2771" s="19">
        <v>2770</v>
      </c>
      <c r="AH2771" s="20">
        <v>308.44703399084892</v>
      </c>
    </row>
    <row r="2772" spans="1:34" ht="14.5" x14ac:dyDescent="0.35">
      <c r="A2772" s="34"/>
      <c r="B2772" s="35"/>
      <c r="C2772" s="36"/>
      <c r="D2772" s="37"/>
      <c r="E2772" s="36"/>
      <c r="F2772" s="42"/>
      <c r="G2772" s="42"/>
      <c r="H2772" s="42"/>
      <c r="AG2772" s="19">
        <v>2771</v>
      </c>
      <c r="AH2772" s="20">
        <v>-35.008183414325913</v>
      </c>
    </row>
    <row r="2773" spans="1:34" ht="14.5" x14ac:dyDescent="0.35">
      <c r="A2773" s="34"/>
      <c r="B2773" s="35"/>
      <c r="C2773" s="36"/>
      <c r="D2773" s="37"/>
      <c r="E2773" s="36"/>
      <c r="F2773" s="42"/>
      <c r="G2773" s="42"/>
      <c r="H2773" s="42"/>
      <c r="AG2773" s="19">
        <v>2772</v>
      </c>
      <c r="AH2773" s="20">
        <v>1710.6832880032441</v>
      </c>
    </row>
    <row r="2774" spans="1:34" ht="14.5" x14ac:dyDescent="0.35">
      <c r="A2774" s="34"/>
      <c r="B2774" s="35"/>
      <c r="C2774" s="36"/>
      <c r="D2774" s="37"/>
      <c r="E2774" s="36"/>
      <c r="F2774" s="42"/>
      <c r="G2774" s="42"/>
      <c r="H2774" s="42"/>
      <c r="AG2774" s="19">
        <v>2773</v>
      </c>
      <c r="AH2774" s="20">
        <v>-1451.6070738292517</v>
      </c>
    </row>
    <row r="2775" spans="1:34" ht="14.5" x14ac:dyDescent="0.35">
      <c r="A2775" s="34"/>
      <c r="B2775" s="35"/>
      <c r="C2775" s="36"/>
      <c r="D2775" s="37"/>
      <c r="E2775" s="36"/>
      <c r="F2775" s="42"/>
      <c r="G2775" s="42"/>
      <c r="H2775" s="42"/>
      <c r="AG2775" s="19">
        <v>2774</v>
      </c>
      <c r="AH2775" s="20">
        <v>-791.02274845427564</v>
      </c>
    </row>
    <row r="2776" spans="1:34" ht="14.5" x14ac:dyDescent="0.35">
      <c r="A2776" s="34"/>
      <c r="B2776" s="35"/>
      <c r="C2776" s="36"/>
      <c r="D2776" s="37"/>
      <c r="E2776" s="36"/>
      <c r="F2776" s="42"/>
      <c r="G2776" s="42"/>
      <c r="H2776" s="42"/>
      <c r="AG2776" s="19">
        <v>2775</v>
      </c>
      <c r="AH2776" s="20">
        <v>1497.3689526908497</v>
      </c>
    </row>
    <row r="2777" spans="1:34" ht="14.5" x14ac:dyDescent="0.35">
      <c r="A2777" s="34"/>
      <c r="B2777" s="35"/>
      <c r="C2777" s="36"/>
      <c r="D2777" s="37"/>
      <c r="E2777" s="36"/>
      <c r="F2777" s="42"/>
      <c r="G2777" s="42"/>
      <c r="H2777" s="42"/>
      <c r="AG2777" s="19">
        <v>2776</v>
      </c>
      <c r="AH2777" s="20">
        <v>378.54413733312958</v>
      </c>
    </row>
    <row r="2778" spans="1:34" ht="14.5" x14ac:dyDescent="0.35">
      <c r="A2778" s="34"/>
      <c r="B2778" s="35"/>
      <c r="C2778" s="36"/>
      <c r="D2778" s="37"/>
      <c r="E2778" s="36"/>
      <c r="F2778" s="42"/>
      <c r="G2778" s="42"/>
      <c r="H2778" s="42"/>
      <c r="AG2778" s="19">
        <v>2777</v>
      </c>
      <c r="AH2778" s="20">
        <v>1354.8621205008162</v>
      </c>
    </row>
    <row r="2779" spans="1:34" ht="14.5" x14ac:dyDescent="0.35">
      <c r="A2779" s="34"/>
      <c r="B2779" s="35"/>
      <c r="C2779" s="36"/>
      <c r="D2779" s="37"/>
      <c r="E2779" s="36"/>
      <c r="F2779" s="42"/>
      <c r="G2779" s="42"/>
      <c r="H2779" s="42"/>
      <c r="AG2779" s="19">
        <v>2778</v>
      </c>
      <c r="AH2779" s="20">
        <v>387.84160691494276</v>
      </c>
    </row>
    <row r="2780" spans="1:34" ht="14.5" x14ac:dyDescent="0.35">
      <c r="A2780" s="34"/>
      <c r="B2780" s="35"/>
      <c r="C2780" s="36"/>
      <c r="D2780" s="37"/>
      <c r="E2780" s="36"/>
      <c r="F2780" s="42"/>
      <c r="G2780" s="42"/>
      <c r="H2780" s="42"/>
      <c r="AG2780" s="19">
        <v>2779</v>
      </c>
      <c r="AH2780" s="20">
        <v>-781.96465020114556</v>
      </c>
    </row>
    <row r="2781" spans="1:34" ht="14.5" x14ac:dyDescent="0.35">
      <c r="A2781" s="34"/>
      <c r="B2781" s="35"/>
      <c r="C2781" s="36"/>
      <c r="D2781" s="37"/>
      <c r="E2781" s="36"/>
      <c r="F2781" s="42"/>
      <c r="G2781" s="42"/>
      <c r="H2781" s="42"/>
      <c r="AG2781" s="19">
        <v>2780</v>
      </c>
      <c r="AH2781" s="20">
        <v>-1173.5333572093223</v>
      </c>
    </row>
    <row r="2782" spans="1:34" ht="14.5" x14ac:dyDescent="0.35">
      <c r="A2782" s="34"/>
      <c r="B2782" s="35"/>
      <c r="C2782" s="36"/>
      <c r="D2782" s="37"/>
      <c r="E2782" s="36"/>
      <c r="F2782" s="42"/>
      <c r="G2782" s="42"/>
      <c r="H2782" s="42"/>
      <c r="AG2782" s="19">
        <v>2781</v>
      </c>
      <c r="AH2782" s="20">
        <v>509.93774286276312</v>
      </c>
    </row>
    <row r="2783" spans="1:34" ht="14.5" x14ac:dyDescent="0.35">
      <c r="A2783" s="34"/>
      <c r="B2783" s="35"/>
      <c r="C2783" s="36"/>
      <c r="D2783" s="37"/>
      <c r="E2783" s="36"/>
      <c r="F2783" s="42"/>
      <c r="G2783" s="42"/>
      <c r="H2783" s="42"/>
      <c r="AG2783" s="19">
        <v>2782</v>
      </c>
      <c r="AH2783" s="20">
        <v>597.0665161078083</v>
      </c>
    </row>
    <row r="2784" spans="1:34" ht="14.5" x14ac:dyDescent="0.35">
      <c r="A2784" s="34"/>
      <c r="B2784" s="35"/>
      <c r="C2784" s="36"/>
      <c r="D2784" s="37"/>
      <c r="E2784" s="36"/>
      <c r="F2784" s="42"/>
      <c r="G2784" s="42"/>
      <c r="H2784" s="42"/>
      <c r="AG2784" s="19">
        <v>2783</v>
      </c>
      <c r="AH2784" s="20">
        <v>-730.20831182756729</v>
      </c>
    </row>
    <row r="2785" spans="1:34" ht="14.5" x14ac:dyDescent="0.35">
      <c r="A2785" s="34"/>
      <c r="B2785" s="35"/>
      <c r="C2785" s="36"/>
      <c r="D2785" s="37"/>
      <c r="E2785" s="36"/>
      <c r="F2785" s="42"/>
      <c r="G2785" s="42"/>
      <c r="H2785" s="42"/>
      <c r="AG2785" s="19">
        <v>2784</v>
      </c>
      <c r="AH2785" s="20">
        <v>3937.8724288946792</v>
      </c>
    </row>
    <row r="2786" spans="1:34" ht="14.5" x14ac:dyDescent="0.35">
      <c r="A2786" s="34"/>
      <c r="B2786" s="35"/>
      <c r="C2786" s="36"/>
      <c r="D2786" s="37"/>
      <c r="E2786" s="36"/>
      <c r="F2786" s="42"/>
      <c r="G2786" s="42"/>
      <c r="H2786" s="42"/>
      <c r="AG2786" s="19">
        <v>2785</v>
      </c>
      <c r="AH2786" s="20">
        <v>1065.3529120488201</v>
      </c>
    </row>
    <row r="2787" spans="1:34" ht="14.5" x14ac:dyDescent="0.35">
      <c r="A2787" s="34"/>
      <c r="B2787" s="35"/>
      <c r="C2787" s="36"/>
      <c r="D2787" s="37"/>
      <c r="E2787" s="36"/>
      <c r="F2787" s="42"/>
      <c r="G2787" s="42"/>
      <c r="H2787" s="42"/>
      <c r="AG2787" s="19">
        <v>2786</v>
      </c>
      <c r="AH2787" s="20">
        <v>953.61846181119381</v>
      </c>
    </row>
    <row r="2788" spans="1:34" ht="14.5" x14ac:dyDescent="0.35">
      <c r="A2788" s="34"/>
      <c r="B2788" s="35"/>
      <c r="C2788" s="36"/>
      <c r="D2788" s="37"/>
      <c r="E2788" s="36"/>
      <c r="F2788" s="42"/>
      <c r="G2788" s="42"/>
      <c r="H2788" s="42"/>
      <c r="AG2788" s="19">
        <v>2787</v>
      </c>
      <c r="AH2788" s="20">
        <v>-810.25898939463377</v>
      </c>
    </row>
    <row r="2789" spans="1:34" ht="14.5" x14ac:dyDescent="0.35">
      <c r="A2789" s="34"/>
      <c r="B2789" s="35"/>
      <c r="C2789" s="36"/>
      <c r="D2789" s="37"/>
      <c r="E2789" s="36"/>
      <c r="F2789" s="42"/>
      <c r="G2789" s="42"/>
      <c r="H2789" s="42"/>
      <c r="AG2789" s="19">
        <v>2788</v>
      </c>
      <c r="AH2789" s="20">
        <v>594.59938138141865</v>
      </c>
    </row>
    <row r="2790" spans="1:34" ht="14.5" x14ac:dyDescent="0.35">
      <c r="A2790" s="34"/>
      <c r="B2790" s="35"/>
      <c r="C2790" s="36"/>
      <c r="D2790" s="37"/>
      <c r="E2790" s="36"/>
      <c r="F2790" s="42"/>
      <c r="G2790" s="42"/>
      <c r="H2790" s="42"/>
      <c r="AG2790" s="19">
        <v>2789</v>
      </c>
      <c r="AH2790" s="20">
        <v>2546.1988099500286</v>
      </c>
    </row>
    <row r="2791" spans="1:34" ht="14.5" x14ac:dyDescent="0.35">
      <c r="A2791" s="34"/>
      <c r="B2791" s="35"/>
      <c r="C2791" s="36"/>
      <c r="D2791" s="37"/>
      <c r="E2791" s="36"/>
      <c r="F2791" s="42"/>
      <c r="G2791" s="42"/>
      <c r="H2791" s="42"/>
      <c r="AG2791" s="19">
        <v>2790</v>
      </c>
      <c r="AH2791" s="20">
        <v>2304.3278948509305</v>
      </c>
    </row>
    <row r="2792" spans="1:34" ht="14.5" x14ac:dyDescent="0.35">
      <c r="A2792" s="34"/>
      <c r="B2792" s="35"/>
      <c r="C2792" s="36"/>
      <c r="D2792" s="37"/>
      <c r="E2792" s="36"/>
      <c r="F2792" s="42"/>
      <c r="G2792" s="42"/>
      <c r="H2792" s="42"/>
      <c r="AG2792" s="19">
        <v>2791</v>
      </c>
      <c r="AH2792" s="20">
        <v>885.55346986089285</v>
      </c>
    </row>
    <row r="2793" spans="1:34" ht="14.5" x14ac:dyDescent="0.35">
      <c r="A2793" s="34"/>
      <c r="B2793" s="35"/>
      <c r="C2793" s="36"/>
      <c r="D2793" s="37"/>
      <c r="E2793" s="36"/>
      <c r="F2793" s="42"/>
      <c r="G2793" s="42"/>
      <c r="H2793" s="42"/>
      <c r="AG2793" s="19">
        <v>2792</v>
      </c>
      <c r="AH2793" s="20">
        <v>-488.79684478414555</v>
      </c>
    </row>
    <row r="2794" spans="1:34" ht="14.5" x14ac:dyDescent="0.35">
      <c r="A2794" s="34"/>
      <c r="B2794" s="35"/>
      <c r="C2794" s="36"/>
      <c r="D2794" s="37"/>
      <c r="E2794" s="36"/>
      <c r="F2794" s="42"/>
      <c r="G2794" s="42"/>
      <c r="H2794" s="42"/>
      <c r="AG2794" s="19">
        <v>2793</v>
      </c>
      <c r="AH2794" s="20">
        <v>229.89729963267413</v>
      </c>
    </row>
    <row r="2795" spans="1:34" ht="14.5" x14ac:dyDescent="0.35">
      <c r="A2795" s="34"/>
      <c r="B2795" s="35"/>
      <c r="C2795" s="36"/>
      <c r="D2795" s="37"/>
      <c r="E2795" s="36"/>
      <c r="F2795" s="42"/>
      <c r="G2795" s="42"/>
      <c r="H2795" s="42"/>
      <c r="AG2795" s="19">
        <v>2794</v>
      </c>
      <c r="AH2795" s="20">
        <v>24.00681074961517</v>
      </c>
    </row>
    <row r="2796" spans="1:34" ht="14.5" x14ac:dyDescent="0.35">
      <c r="A2796" s="34"/>
      <c r="B2796" s="35"/>
      <c r="C2796" s="36"/>
      <c r="D2796" s="37"/>
      <c r="E2796" s="36"/>
      <c r="F2796" s="42"/>
      <c r="G2796" s="42"/>
      <c r="H2796" s="42"/>
      <c r="AG2796" s="19">
        <v>2795</v>
      </c>
      <c r="AH2796" s="20">
        <v>1212.0945605638665</v>
      </c>
    </row>
    <row r="2797" spans="1:34" ht="14.5" x14ac:dyDescent="0.35">
      <c r="A2797" s="34"/>
      <c r="B2797" s="35"/>
      <c r="C2797" s="36"/>
      <c r="D2797" s="37"/>
      <c r="E2797" s="36"/>
      <c r="F2797" s="42"/>
      <c r="G2797" s="42"/>
      <c r="H2797" s="42"/>
      <c r="AG2797" s="19">
        <v>2796</v>
      </c>
      <c r="AH2797" s="20">
        <v>607.38433085551435</v>
      </c>
    </row>
    <row r="2798" spans="1:34" ht="14.5" x14ac:dyDescent="0.35">
      <c r="A2798" s="34"/>
      <c r="B2798" s="35"/>
      <c r="C2798" s="36"/>
      <c r="D2798" s="37"/>
      <c r="E2798" s="36"/>
      <c r="F2798" s="42"/>
      <c r="G2798" s="42"/>
      <c r="H2798" s="42"/>
      <c r="AG2798" s="19">
        <v>2797</v>
      </c>
      <c r="AH2798" s="20">
        <v>-638.57566620468924</v>
      </c>
    </row>
    <row r="2799" spans="1:34" ht="14.5" x14ac:dyDescent="0.35">
      <c r="A2799" s="34"/>
      <c r="B2799" s="35"/>
      <c r="C2799" s="36"/>
      <c r="D2799" s="37"/>
      <c r="E2799" s="36"/>
      <c r="F2799" s="42"/>
      <c r="G2799" s="42"/>
      <c r="H2799" s="42"/>
      <c r="AG2799" s="19">
        <v>2798</v>
      </c>
      <c r="AH2799" s="20">
        <v>-191.59889881018017</v>
      </c>
    </row>
    <row r="2800" spans="1:34" ht="14.5" x14ac:dyDescent="0.35">
      <c r="A2800" s="34"/>
      <c r="B2800" s="35"/>
      <c r="C2800" s="36"/>
      <c r="D2800" s="37"/>
      <c r="E2800" s="36"/>
      <c r="F2800" s="42"/>
      <c r="G2800" s="42"/>
      <c r="H2800" s="42"/>
      <c r="AG2800" s="19">
        <v>2799</v>
      </c>
      <c r="AH2800" s="20">
        <v>-1486.9534149541553</v>
      </c>
    </row>
    <row r="2801" spans="1:34" ht="14.5" x14ac:dyDescent="0.35">
      <c r="A2801" s="34"/>
      <c r="B2801" s="35"/>
      <c r="C2801" s="36"/>
      <c r="D2801" s="37"/>
      <c r="E2801" s="36"/>
      <c r="F2801" s="42"/>
      <c r="G2801" s="42"/>
      <c r="H2801" s="42"/>
      <c r="AG2801" s="19">
        <v>2800</v>
      </c>
      <c r="AH2801" s="20">
        <v>-285.34390006307711</v>
      </c>
    </row>
    <row r="2802" spans="1:34" ht="14.5" x14ac:dyDescent="0.35">
      <c r="A2802" s="34"/>
      <c r="B2802" s="35"/>
      <c r="C2802" s="36"/>
      <c r="D2802" s="37"/>
      <c r="E2802" s="36"/>
      <c r="F2802" s="42"/>
      <c r="G2802" s="42"/>
      <c r="H2802" s="42"/>
      <c r="AG2802" s="19">
        <v>2801</v>
      </c>
      <c r="AH2802" s="20">
        <v>3211.0856503516902</v>
      </c>
    </row>
    <row r="2803" spans="1:34" ht="14.5" x14ac:dyDescent="0.35">
      <c r="A2803" s="34"/>
      <c r="B2803" s="35"/>
      <c r="C2803" s="36"/>
      <c r="D2803" s="37"/>
      <c r="E2803" s="36"/>
      <c r="F2803" s="42"/>
      <c r="G2803" s="42"/>
      <c r="H2803" s="42"/>
      <c r="AG2803" s="19">
        <v>2802</v>
      </c>
      <c r="AH2803" s="20">
        <v>-2326.5312820433683</v>
      </c>
    </row>
    <row r="2804" spans="1:34" ht="14.5" x14ac:dyDescent="0.35">
      <c r="A2804" s="34"/>
      <c r="B2804" s="35"/>
      <c r="C2804" s="36"/>
      <c r="D2804" s="37"/>
      <c r="E2804" s="36"/>
      <c r="F2804" s="42"/>
      <c r="G2804" s="42"/>
      <c r="H2804" s="42"/>
      <c r="AG2804" s="19">
        <v>2803</v>
      </c>
      <c r="AH2804" s="20">
        <v>2663.6090131365618</v>
      </c>
    </row>
    <row r="2805" spans="1:34" ht="14.5" x14ac:dyDescent="0.35">
      <c r="A2805" s="34"/>
      <c r="B2805" s="35"/>
      <c r="C2805" s="36"/>
      <c r="D2805" s="37"/>
      <c r="E2805" s="36"/>
      <c r="F2805" s="42"/>
      <c r="G2805" s="42"/>
      <c r="H2805" s="42"/>
      <c r="AG2805" s="19">
        <v>2804</v>
      </c>
      <c r="AH2805" s="20">
        <v>933.84719417663223</v>
      </c>
    </row>
    <row r="2806" spans="1:34" ht="14.5" x14ac:dyDescent="0.35">
      <c r="A2806" s="34"/>
      <c r="B2806" s="35"/>
      <c r="C2806" s="36"/>
      <c r="D2806" s="37"/>
      <c r="E2806" s="36"/>
      <c r="F2806" s="42"/>
      <c r="G2806" s="42"/>
      <c r="H2806" s="42"/>
      <c r="AG2806" s="19">
        <v>2805</v>
      </c>
      <c r="AH2806" s="20">
        <v>115.61028861131365</v>
      </c>
    </row>
    <row r="2807" spans="1:34" ht="14.5" x14ac:dyDescent="0.35">
      <c r="A2807" s="34"/>
      <c r="B2807" s="35"/>
      <c r="C2807" s="36"/>
      <c r="D2807" s="37"/>
      <c r="E2807" s="36"/>
      <c r="F2807" s="42"/>
      <c r="G2807" s="42"/>
      <c r="H2807" s="42"/>
      <c r="AG2807" s="19">
        <v>2806</v>
      </c>
      <c r="AH2807" s="20">
        <v>1114.3257188964687</v>
      </c>
    </row>
    <row r="2808" spans="1:34" ht="14.5" x14ac:dyDescent="0.35">
      <c r="A2808" s="34"/>
      <c r="B2808" s="35"/>
      <c r="C2808" s="36"/>
      <c r="D2808" s="37"/>
      <c r="E2808" s="36"/>
      <c r="F2808" s="42"/>
      <c r="G2808" s="42"/>
      <c r="H2808" s="42"/>
      <c r="AG2808" s="19">
        <v>2807</v>
      </c>
      <c r="AH2808" s="20">
        <v>3572.310230298986</v>
      </c>
    </row>
    <row r="2809" spans="1:34" ht="14.5" x14ac:dyDescent="0.35">
      <c r="A2809" s="34"/>
      <c r="B2809" s="35"/>
      <c r="C2809" s="36"/>
      <c r="D2809" s="37"/>
      <c r="E2809" s="36"/>
      <c r="F2809" s="42"/>
      <c r="G2809" s="42"/>
      <c r="H2809" s="42"/>
      <c r="AG2809" s="19">
        <v>2808</v>
      </c>
      <c r="AH2809" s="20">
        <v>-5134.9786028771587</v>
      </c>
    </row>
    <row r="2810" spans="1:34" ht="14.5" x14ac:dyDescent="0.35">
      <c r="A2810" s="34"/>
      <c r="B2810" s="35"/>
      <c r="C2810" s="36"/>
      <c r="D2810" s="37"/>
      <c r="E2810" s="36"/>
      <c r="F2810" s="42"/>
      <c r="G2810" s="42"/>
      <c r="H2810" s="42"/>
      <c r="AG2810" s="19">
        <v>2809</v>
      </c>
      <c r="AH2810" s="20">
        <v>1968.4631942251872</v>
      </c>
    </row>
    <row r="2811" spans="1:34" ht="14.5" x14ac:dyDescent="0.35">
      <c r="A2811" s="34"/>
      <c r="B2811" s="35"/>
      <c r="C2811" s="36"/>
      <c r="D2811" s="37"/>
      <c r="E2811" s="36"/>
      <c r="F2811" s="42"/>
      <c r="G2811" s="42"/>
      <c r="H2811" s="42"/>
      <c r="AG2811" s="19">
        <v>2810</v>
      </c>
      <c r="AH2811" s="20">
        <v>2071.7590772684657</v>
      </c>
    </row>
    <row r="2812" spans="1:34" ht="14.5" x14ac:dyDescent="0.35">
      <c r="A2812" s="34"/>
      <c r="B2812" s="35"/>
      <c r="C2812" s="36"/>
      <c r="D2812" s="37"/>
      <c r="E2812" s="36"/>
      <c r="F2812" s="42"/>
      <c r="G2812" s="42"/>
      <c r="H2812" s="42"/>
      <c r="AG2812" s="19">
        <v>2811</v>
      </c>
      <c r="AH2812" s="20">
        <v>-1126.3551214331005</v>
      </c>
    </row>
    <row r="2813" spans="1:34" ht="14.5" x14ac:dyDescent="0.35">
      <c r="A2813" s="34"/>
      <c r="B2813" s="35"/>
      <c r="C2813" s="36"/>
      <c r="D2813" s="37"/>
      <c r="E2813" s="36"/>
      <c r="F2813" s="42"/>
      <c r="G2813" s="42"/>
      <c r="H2813" s="42"/>
      <c r="AG2813" s="19">
        <v>2812</v>
      </c>
      <c r="AH2813" s="20">
        <v>1044.9835616863495</v>
      </c>
    </row>
    <row r="2814" spans="1:34" ht="14.5" x14ac:dyDescent="0.35">
      <c r="A2814" s="34"/>
      <c r="B2814" s="35"/>
      <c r="C2814" s="36"/>
      <c r="D2814" s="37"/>
      <c r="E2814" s="36"/>
      <c r="F2814" s="42"/>
      <c r="G2814" s="42"/>
      <c r="H2814" s="42"/>
      <c r="AG2814" s="19">
        <v>2813</v>
      </c>
      <c r="AH2814" s="20">
        <v>-218.49965422681481</v>
      </c>
    </row>
    <row r="2815" spans="1:34" ht="14.5" x14ac:dyDescent="0.35">
      <c r="A2815" s="34"/>
      <c r="B2815" s="35"/>
      <c r="C2815" s="36"/>
      <c r="D2815" s="37"/>
      <c r="E2815" s="36"/>
      <c r="F2815" s="42"/>
      <c r="G2815" s="42"/>
      <c r="H2815" s="42"/>
      <c r="AG2815" s="19">
        <v>2814</v>
      </c>
      <c r="AH2815" s="20">
        <v>2452.5298726235387</v>
      </c>
    </row>
    <row r="2816" spans="1:34" ht="14.5" x14ac:dyDescent="0.35">
      <c r="A2816" s="34"/>
      <c r="B2816" s="35"/>
      <c r="C2816" s="36"/>
      <c r="D2816" s="37"/>
      <c r="E2816" s="36"/>
      <c r="F2816" s="42"/>
      <c r="G2816" s="42"/>
      <c r="H2816" s="42"/>
      <c r="AG2816" s="19">
        <v>2815</v>
      </c>
      <c r="AH2816" s="20">
        <v>4730.9344204293875</v>
      </c>
    </row>
    <row r="2817" spans="1:34" ht="14.5" x14ac:dyDescent="0.35">
      <c r="A2817" s="34"/>
      <c r="B2817" s="35"/>
      <c r="C2817" s="36"/>
      <c r="D2817" s="37"/>
      <c r="E2817" s="36"/>
      <c r="F2817" s="42"/>
      <c r="G2817" s="42"/>
      <c r="H2817" s="42"/>
      <c r="AG2817" s="19">
        <v>2816</v>
      </c>
      <c r="AH2817" s="20">
        <v>-1231.671752247958</v>
      </c>
    </row>
    <row r="2818" spans="1:34" ht="14.5" x14ac:dyDescent="0.35">
      <c r="A2818" s="34"/>
      <c r="B2818" s="35"/>
      <c r="C2818" s="36"/>
      <c r="D2818" s="37"/>
      <c r="E2818" s="36"/>
      <c r="F2818" s="42"/>
      <c r="G2818" s="42"/>
      <c r="H2818" s="42"/>
      <c r="AG2818" s="19">
        <v>2817</v>
      </c>
      <c r="AH2818" s="20">
        <v>-629.96951740535224</v>
      </c>
    </row>
    <row r="2819" spans="1:34" ht="14.5" x14ac:dyDescent="0.35">
      <c r="A2819" s="34"/>
      <c r="B2819" s="35"/>
      <c r="C2819" s="36"/>
      <c r="D2819" s="37"/>
      <c r="E2819" s="36"/>
      <c r="F2819" s="42"/>
      <c r="G2819" s="42"/>
      <c r="H2819" s="42"/>
      <c r="AG2819" s="19">
        <v>2818</v>
      </c>
      <c r="AH2819" s="20">
        <v>1893.6071637163636</v>
      </c>
    </row>
    <row r="2820" spans="1:34" ht="14.5" x14ac:dyDescent="0.35">
      <c r="A2820" s="34"/>
      <c r="B2820" s="35"/>
      <c r="C2820" s="36"/>
      <c r="D2820" s="37"/>
      <c r="E2820" s="36"/>
      <c r="F2820" s="42"/>
      <c r="G2820" s="42"/>
      <c r="H2820" s="42"/>
      <c r="AG2820" s="19">
        <v>2819</v>
      </c>
      <c r="AH2820" s="20">
        <v>-2409.3353090866767</v>
      </c>
    </row>
    <row r="2821" spans="1:34" ht="14.5" x14ac:dyDescent="0.35">
      <c r="A2821" s="34"/>
      <c r="B2821" s="35"/>
      <c r="C2821" s="36"/>
      <c r="D2821" s="37"/>
      <c r="E2821" s="36"/>
      <c r="F2821" s="42"/>
      <c r="G2821" s="42"/>
      <c r="H2821" s="42"/>
      <c r="AG2821" s="19">
        <v>2820</v>
      </c>
      <c r="AH2821" s="20">
        <v>1346.9228065132936</v>
      </c>
    </row>
    <row r="2822" spans="1:34" ht="14.5" x14ac:dyDescent="0.35">
      <c r="A2822" s="34"/>
      <c r="B2822" s="35"/>
      <c r="C2822" s="36"/>
      <c r="D2822" s="37"/>
      <c r="E2822" s="36"/>
      <c r="F2822" s="42"/>
      <c r="G2822" s="42"/>
      <c r="H2822" s="42"/>
      <c r="AG2822" s="19">
        <v>2821</v>
      </c>
      <c r="AH2822" s="20">
        <v>-277.46349930414436</v>
      </c>
    </row>
    <row r="2823" spans="1:34" ht="14.5" x14ac:dyDescent="0.35">
      <c r="A2823" s="34"/>
      <c r="B2823" s="35"/>
      <c r="C2823" s="36"/>
      <c r="D2823" s="37"/>
      <c r="E2823" s="36"/>
      <c r="F2823" s="42"/>
      <c r="G2823" s="42"/>
      <c r="H2823" s="42"/>
      <c r="AG2823" s="19">
        <v>2822</v>
      </c>
      <c r="AH2823" s="20">
        <v>-337.95165965463838</v>
      </c>
    </row>
    <row r="2824" spans="1:34" ht="14.5" x14ac:dyDescent="0.35">
      <c r="A2824" s="34"/>
      <c r="B2824" s="35"/>
      <c r="C2824" s="36"/>
      <c r="D2824" s="37"/>
      <c r="E2824" s="36"/>
      <c r="F2824" s="42"/>
      <c r="G2824" s="42"/>
      <c r="H2824" s="42"/>
      <c r="AG2824" s="19">
        <v>2823</v>
      </c>
      <c r="AH2824" s="20">
        <v>1919.1028667620517</v>
      </c>
    </row>
    <row r="2825" spans="1:34" ht="14.5" x14ac:dyDescent="0.35">
      <c r="A2825" s="34"/>
      <c r="B2825" s="35"/>
      <c r="C2825" s="36"/>
      <c r="D2825" s="37"/>
      <c r="E2825" s="36"/>
      <c r="F2825" s="42"/>
      <c r="G2825" s="42"/>
      <c r="H2825" s="42"/>
      <c r="AG2825" s="19">
        <v>2824</v>
      </c>
      <c r="AH2825" s="20">
        <v>3277.4032408265175</v>
      </c>
    </row>
    <row r="2826" spans="1:34" ht="14.5" x14ac:dyDescent="0.35">
      <c r="A2826" s="34"/>
      <c r="B2826" s="35"/>
      <c r="C2826" s="36"/>
      <c r="D2826" s="37"/>
      <c r="E2826" s="36"/>
      <c r="F2826" s="42"/>
      <c r="G2826" s="42"/>
      <c r="H2826" s="42"/>
      <c r="AG2826" s="19">
        <v>2825</v>
      </c>
      <c r="AH2826" s="20">
        <v>-1674.9929089732193</v>
      </c>
    </row>
    <row r="2827" spans="1:34" ht="14.5" x14ac:dyDescent="0.35">
      <c r="A2827" s="34"/>
      <c r="B2827" s="35"/>
      <c r="C2827" s="36"/>
      <c r="D2827" s="37"/>
      <c r="E2827" s="36"/>
      <c r="F2827" s="42"/>
      <c r="G2827" s="42"/>
      <c r="H2827" s="42"/>
      <c r="AG2827" s="19">
        <v>2826</v>
      </c>
      <c r="AH2827" s="20">
        <v>671.68417955252971</v>
      </c>
    </row>
    <row r="2828" spans="1:34" ht="14.5" x14ac:dyDescent="0.35">
      <c r="A2828" s="34"/>
      <c r="B2828" s="35"/>
      <c r="C2828" s="36"/>
      <c r="D2828" s="37"/>
      <c r="E2828" s="36"/>
      <c r="F2828" s="42"/>
      <c r="G2828" s="42"/>
      <c r="H2828" s="42"/>
      <c r="AG2828" s="19">
        <v>2827</v>
      </c>
      <c r="AH2828" s="20">
        <v>-270.02709066137533</v>
      </c>
    </row>
    <row r="2829" spans="1:34" ht="14.5" x14ac:dyDescent="0.35">
      <c r="A2829" s="34"/>
      <c r="B2829" s="35"/>
      <c r="C2829" s="36"/>
      <c r="D2829" s="37"/>
      <c r="E2829" s="36"/>
      <c r="F2829" s="42"/>
      <c r="G2829" s="42"/>
      <c r="H2829" s="42"/>
      <c r="AG2829" s="19">
        <v>2828</v>
      </c>
      <c r="AH2829" s="20">
        <v>3039.4932174228743</v>
      </c>
    </row>
    <row r="2830" spans="1:34" ht="14.5" x14ac:dyDescent="0.35">
      <c r="A2830" s="34"/>
      <c r="B2830" s="35"/>
      <c r="C2830" s="36"/>
      <c r="D2830" s="37"/>
      <c r="E2830" s="36"/>
      <c r="F2830" s="42"/>
      <c r="G2830" s="42"/>
      <c r="H2830" s="42"/>
      <c r="AG2830" s="19">
        <v>2829</v>
      </c>
      <c r="AH2830" s="20">
        <v>1944.7945876434017</v>
      </c>
    </row>
    <row r="2831" spans="1:34" ht="14.5" x14ac:dyDescent="0.35">
      <c r="A2831" s="34"/>
      <c r="B2831" s="35"/>
      <c r="C2831" s="36"/>
      <c r="D2831" s="37"/>
      <c r="E2831" s="36"/>
      <c r="F2831" s="42"/>
      <c r="G2831" s="42"/>
      <c r="H2831" s="42"/>
      <c r="AG2831" s="19">
        <v>2830</v>
      </c>
      <c r="AH2831" s="20">
        <v>5333.3484279910826</v>
      </c>
    </row>
    <row r="2832" spans="1:34" ht="14.5" x14ac:dyDescent="0.35">
      <c r="A2832" s="34"/>
      <c r="B2832" s="35"/>
      <c r="C2832" s="36"/>
      <c r="D2832" s="37"/>
      <c r="E2832" s="36"/>
      <c r="F2832" s="42"/>
      <c r="G2832" s="42"/>
      <c r="H2832" s="42"/>
      <c r="AG2832" s="19">
        <v>2831</v>
      </c>
      <c r="AH2832" s="20">
        <v>-994.51253571544839</v>
      </c>
    </row>
    <row r="2833" spans="1:34" ht="14.5" x14ac:dyDescent="0.35">
      <c r="A2833" s="34"/>
      <c r="B2833" s="35"/>
      <c r="C2833" s="36"/>
      <c r="D2833" s="37"/>
      <c r="E2833" s="36"/>
      <c r="F2833" s="42"/>
      <c r="G2833" s="42"/>
      <c r="H2833" s="42"/>
      <c r="AG2833" s="19">
        <v>2832</v>
      </c>
      <c r="AH2833" s="20">
        <v>-820.72058389028666</v>
      </c>
    </row>
    <row r="2834" spans="1:34" ht="14.5" x14ac:dyDescent="0.35">
      <c r="A2834" s="34"/>
      <c r="B2834" s="35"/>
      <c r="C2834" s="36"/>
      <c r="D2834" s="37"/>
      <c r="E2834" s="36"/>
      <c r="F2834" s="42"/>
      <c r="G2834" s="42"/>
      <c r="H2834" s="42"/>
      <c r="AG2834" s="19">
        <v>2833</v>
      </c>
      <c r="AH2834" s="20">
        <v>6.8365221805380543</v>
      </c>
    </row>
    <row r="2835" spans="1:34" ht="14.5" x14ac:dyDescent="0.35">
      <c r="A2835" s="34"/>
      <c r="B2835" s="35"/>
      <c r="C2835" s="36"/>
      <c r="D2835" s="37"/>
      <c r="E2835" s="36"/>
      <c r="F2835" s="42"/>
      <c r="G2835" s="42"/>
      <c r="H2835" s="42"/>
      <c r="AG2835" s="19">
        <v>2834</v>
      </c>
      <c r="AH2835" s="20">
        <v>-76.98552040375057</v>
      </c>
    </row>
    <row r="2836" spans="1:34" ht="14.5" x14ac:dyDescent="0.35">
      <c r="A2836" s="34"/>
      <c r="B2836" s="35"/>
      <c r="C2836" s="36"/>
      <c r="D2836" s="37"/>
      <c r="E2836" s="36"/>
      <c r="F2836" s="42"/>
      <c r="G2836" s="42"/>
      <c r="H2836" s="42"/>
      <c r="AG2836" s="19">
        <v>2835</v>
      </c>
      <c r="AH2836" s="20">
        <v>2857.7829884648454</v>
      </c>
    </row>
    <row r="2837" spans="1:34" ht="14.5" x14ac:dyDescent="0.35">
      <c r="A2837" s="34"/>
      <c r="B2837" s="35"/>
      <c r="C2837" s="36"/>
      <c r="D2837" s="37"/>
      <c r="E2837" s="36"/>
      <c r="F2837" s="42"/>
      <c r="G2837" s="42"/>
      <c r="H2837" s="42"/>
      <c r="AG2837" s="19">
        <v>2836</v>
      </c>
      <c r="AH2837" s="20">
        <v>-1242.4038094773944</v>
      </c>
    </row>
    <row r="2838" spans="1:34" ht="14.5" x14ac:dyDescent="0.35">
      <c r="A2838" s="34"/>
      <c r="B2838" s="35"/>
      <c r="C2838" s="36"/>
      <c r="D2838" s="37"/>
      <c r="E2838" s="36"/>
      <c r="F2838" s="42"/>
      <c r="G2838" s="42"/>
      <c r="H2838" s="42"/>
      <c r="AG2838" s="19">
        <v>2837</v>
      </c>
      <c r="AH2838" s="20">
        <v>1626.9306577129266</v>
      </c>
    </row>
    <row r="2839" spans="1:34" ht="14.5" x14ac:dyDescent="0.35">
      <c r="A2839" s="34"/>
      <c r="B2839" s="35"/>
      <c r="C2839" s="36"/>
      <c r="D2839" s="37"/>
      <c r="E2839" s="36"/>
      <c r="F2839" s="42"/>
      <c r="G2839" s="42"/>
      <c r="H2839" s="42"/>
      <c r="AG2839" s="19">
        <v>2838</v>
      </c>
      <c r="AH2839" s="20">
        <v>99.829945408805656</v>
      </c>
    </row>
    <row r="2840" spans="1:34" ht="14.5" x14ac:dyDescent="0.35">
      <c r="A2840" s="34"/>
      <c r="B2840" s="35"/>
      <c r="C2840" s="36"/>
      <c r="D2840" s="37"/>
      <c r="E2840" s="36"/>
      <c r="F2840" s="42"/>
      <c r="G2840" s="42"/>
      <c r="H2840" s="42"/>
      <c r="AG2840" s="19">
        <v>2839</v>
      </c>
      <c r="AH2840" s="20">
        <v>1201.5305322817317</v>
      </c>
    </row>
    <row r="2841" spans="1:34" ht="14.5" x14ac:dyDescent="0.35">
      <c r="A2841" s="34"/>
      <c r="B2841" s="35"/>
      <c r="C2841" s="36"/>
      <c r="D2841" s="37"/>
      <c r="E2841" s="36"/>
      <c r="F2841" s="42"/>
      <c r="G2841" s="42"/>
      <c r="H2841" s="42"/>
      <c r="AG2841" s="19">
        <v>2840</v>
      </c>
      <c r="AH2841" s="20">
        <v>1026.2485551157397</v>
      </c>
    </row>
    <row r="2842" spans="1:34" ht="14.5" x14ac:dyDescent="0.35">
      <c r="A2842" s="34"/>
      <c r="B2842" s="35"/>
      <c r="C2842" s="36"/>
      <c r="D2842" s="37"/>
      <c r="E2842" s="36"/>
      <c r="F2842" s="42"/>
      <c r="G2842" s="42"/>
      <c r="H2842" s="42"/>
      <c r="AG2842" s="19">
        <v>2841</v>
      </c>
      <c r="AH2842" s="20">
        <v>1786.3959482544665</v>
      </c>
    </row>
    <row r="2843" spans="1:34" ht="14.5" x14ac:dyDescent="0.35">
      <c r="A2843" s="34"/>
      <c r="B2843" s="35"/>
      <c r="C2843" s="36"/>
      <c r="D2843" s="37"/>
      <c r="E2843" s="36"/>
      <c r="F2843" s="42"/>
      <c r="G2843" s="42"/>
      <c r="H2843" s="42"/>
      <c r="AG2843" s="19">
        <v>2842</v>
      </c>
      <c r="AH2843" s="20">
        <v>-790.38476824141594</v>
      </c>
    </row>
    <row r="2844" spans="1:34" ht="14.5" x14ac:dyDescent="0.35">
      <c r="A2844" s="34"/>
      <c r="B2844" s="35"/>
      <c r="C2844" s="36"/>
      <c r="D2844" s="37"/>
      <c r="E2844" s="36"/>
      <c r="F2844" s="42"/>
      <c r="G2844" s="42"/>
      <c r="H2844" s="42"/>
      <c r="AG2844" s="19">
        <v>2843</v>
      </c>
      <c r="AH2844" s="20">
        <v>802.47657256735567</v>
      </c>
    </row>
    <row r="2845" spans="1:34" ht="14.5" x14ac:dyDescent="0.35">
      <c r="A2845" s="34"/>
      <c r="B2845" s="35"/>
      <c r="C2845" s="36"/>
      <c r="D2845" s="37"/>
      <c r="E2845" s="36"/>
      <c r="F2845" s="42"/>
      <c r="G2845" s="42"/>
      <c r="H2845" s="42"/>
      <c r="AG2845" s="19">
        <v>2844</v>
      </c>
      <c r="AH2845" s="20">
        <v>896.70730508179884</v>
      </c>
    </row>
    <row r="2846" spans="1:34" ht="14.5" x14ac:dyDescent="0.35">
      <c r="A2846" s="34"/>
      <c r="B2846" s="35"/>
      <c r="C2846" s="36"/>
      <c r="D2846" s="37"/>
      <c r="E2846" s="36"/>
      <c r="F2846" s="42"/>
      <c r="G2846" s="42"/>
      <c r="H2846" s="42"/>
      <c r="AG2846" s="19">
        <v>2845</v>
      </c>
      <c r="AH2846" s="20">
        <v>419.43146973856886</v>
      </c>
    </row>
    <row r="2847" spans="1:34" ht="14.5" x14ac:dyDescent="0.35">
      <c r="A2847" s="34"/>
      <c r="B2847" s="35"/>
      <c r="C2847" s="36"/>
      <c r="D2847" s="37"/>
      <c r="E2847" s="36"/>
      <c r="F2847" s="42"/>
      <c r="G2847" s="42"/>
      <c r="H2847" s="42"/>
      <c r="AG2847" s="19">
        <v>2846</v>
      </c>
      <c r="AH2847" s="20">
        <v>-969.79486037383026</v>
      </c>
    </row>
    <row r="2848" spans="1:34" ht="14.5" x14ac:dyDescent="0.35">
      <c r="A2848" s="34"/>
      <c r="B2848" s="35"/>
      <c r="C2848" s="36"/>
      <c r="D2848" s="37"/>
      <c r="E2848" s="36"/>
      <c r="F2848" s="42"/>
      <c r="G2848" s="42"/>
      <c r="H2848" s="42"/>
      <c r="AG2848" s="19">
        <v>2847</v>
      </c>
      <c r="AH2848" s="20">
        <v>-2421.8991278509984</v>
      </c>
    </row>
    <row r="2849" spans="1:34" ht="14.5" x14ac:dyDescent="0.35">
      <c r="A2849" s="34"/>
      <c r="B2849" s="35"/>
      <c r="C2849" s="36"/>
      <c r="D2849" s="37"/>
      <c r="E2849" s="36"/>
      <c r="F2849" s="42"/>
      <c r="G2849" s="42"/>
      <c r="H2849" s="42"/>
      <c r="AG2849" s="19">
        <v>2848</v>
      </c>
      <c r="AH2849" s="20">
        <v>-1267.6048160026892</v>
      </c>
    </row>
    <row r="2850" spans="1:34" ht="14.5" x14ac:dyDescent="0.35">
      <c r="A2850" s="34"/>
      <c r="B2850" s="35"/>
      <c r="C2850" s="36"/>
      <c r="D2850" s="37"/>
      <c r="E2850" s="36"/>
      <c r="F2850" s="42"/>
      <c r="G2850" s="42"/>
      <c r="H2850" s="42"/>
      <c r="AG2850" s="19">
        <v>2849</v>
      </c>
      <c r="AH2850" s="20">
        <v>-51.915052969450642</v>
      </c>
    </row>
    <row r="2851" spans="1:34" ht="14.5" x14ac:dyDescent="0.35">
      <c r="A2851" s="34"/>
      <c r="B2851" s="35"/>
      <c r="C2851" s="36"/>
      <c r="D2851" s="37"/>
      <c r="E2851" s="36"/>
      <c r="F2851" s="42"/>
      <c r="G2851" s="42"/>
      <c r="H2851" s="42"/>
      <c r="AG2851" s="19">
        <v>2850</v>
      </c>
      <c r="AH2851" s="20">
        <v>1996.2428848599845</v>
      </c>
    </row>
    <row r="2852" spans="1:34" ht="14.5" x14ac:dyDescent="0.35">
      <c r="A2852" s="34"/>
      <c r="B2852" s="35"/>
      <c r="C2852" s="36"/>
      <c r="D2852" s="37"/>
      <c r="E2852" s="36"/>
      <c r="F2852" s="42"/>
      <c r="G2852" s="42"/>
      <c r="H2852" s="42"/>
      <c r="AG2852" s="19">
        <v>2851</v>
      </c>
      <c r="AH2852" s="20">
        <v>481.48605089510016</v>
      </c>
    </row>
    <row r="2853" spans="1:34" ht="14.5" x14ac:dyDescent="0.35">
      <c r="A2853" s="34"/>
      <c r="B2853" s="35"/>
      <c r="C2853" s="36"/>
      <c r="D2853" s="37"/>
      <c r="E2853" s="36"/>
      <c r="F2853" s="42"/>
      <c r="G2853" s="42"/>
      <c r="H2853" s="42"/>
      <c r="AG2853" s="19">
        <v>2852</v>
      </c>
      <c r="AH2853" s="20">
        <v>281.22514302355864</v>
      </c>
    </row>
    <row r="2854" spans="1:34" ht="14.5" x14ac:dyDescent="0.35">
      <c r="A2854" s="34"/>
      <c r="B2854" s="35"/>
      <c r="C2854" s="36"/>
      <c r="D2854" s="37"/>
      <c r="E2854" s="36"/>
      <c r="F2854" s="42"/>
      <c r="G2854" s="42"/>
      <c r="H2854" s="42"/>
      <c r="AG2854" s="19">
        <v>2853</v>
      </c>
      <c r="AH2854" s="20">
        <v>561.01671795671382</v>
      </c>
    </row>
    <row r="2855" spans="1:34" ht="14.5" x14ac:dyDescent="0.35">
      <c r="A2855" s="34"/>
      <c r="B2855" s="35"/>
      <c r="C2855" s="36"/>
      <c r="D2855" s="37"/>
      <c r="E2855" s="36"/>
      <c r="F2855" s="42"/>
      <c r="G2855" s="42"/>
      <c r="H2855" s="42"/>
      <c r="AG2855" s="19">
        <v>2854</v>
      </c>
      <c r="AH2855" s="20">
        <v>-1854.0745650608471</v>
      </c>
    </row>
    <row r="2856" spans="1:34" ht="14.5" x14ac:dyDescent="0.35">
      <c r="A2856" s="34"/>
      <c r="B2856" s="35"/>
      <c r="C2856" s="36"/>
      <c r="D2856" s="37"/>
      <c r="E2856" s="36"/>
      <c r="F2856" s="42"/>
      <c r="G2856" s="42"/>
      <c r="H2856" s="42"/>
      <c r="AG2856" s="19">
        <v>2855</v>
      </c>
      <c r="AH2856" s="20">
        <v>-1729.4211397547595</v>
      </c>
    </row>
    <row r="2857" spans="1:34" ht="14.5" x14ac:dyDescent="0.35">
      <c r="A2857" s="34"/>
      <c r="B2857" s="35"/>
      <c r="C2857" s="36"/>
      <c r="D2857" s="37"/>
      <c r="E2857" s="36"/>
      <c r="F2857" s="42"/>
      <c r="G2857" s="42"/>
      <c r="H2857" s="42"/>
      <c r="AG2857" s="19">
        <v>2856</v>
      </c>
      <c r="AH2857" s="20">
        <v>-549.18423008865489</v>
      </c>
    </row>
    <row r="2858" spans="1:34" ht="14.5" x14ac:dyDescent="0.35">
      <c r="A2858" s="34"/>
      <c r="B2858" s="35"/>
      <c r="C2858" s="36"/>
      <c r="D2858" s="37"/>
      <c r="E2858" s="36"/>
      <c r="F2858" s="42"/>
      <c r="G2858" s="42"/>
      <c r="H2858" s="42"/>
      <c r="AG2858" s="19">
        <v>2857</v>
      </c>
      <c r="AH2858" s="20">
        <v>-1638.9301398865503</v>
      </c>
    </row>
    <row r="2859" spans="1:34" ht="14.5" x14ac:dyDescent="0.35">
      <c r="A2859" s="34"/>
      <c r="B2859" s="35"/>
      <c r="C2859" s="36"/>
      <c r="D2859" s="37"/>
      <c r="E2859" s="36"/>
      <c r="F2859" s="42"/>
      <c r="G2859" s="42"/>
      <c r="H2859" s="42"/>
      <c r="AG2859" s="19">
        <v>2858</v>
      </c>
      <c r="AH2859" s="20">
        <v>-1201.3473332199276</v>
      </c>
    </row>
    <row r="2860" spans="1:34" ht="14.5" x14ac:dyDescent="0.35">
      <c r="A2860" s="34"/>
      <c r="B2860" s="35"/>
      <c r="C2860" s="36"/>
      <c r="D2860" s="37"/>
      <c r="E2860" s="36"/>
      <c r="F2860" s="42"/>
      <c r="G2860" s="42"/>
      <c r="H2860" s="42"/>
      <c r="AG2860" s="19">
        <v>2859</v>
      </c>
      <c r="AH2860" s="20">
        <v>695.52332648276331</v>
      </c>
    </row>
    <row r="2861" spans="1:34" ht="14.5" x14ac:dyDescent="0.35">
      <c r="A2861" s="34"/>
      <c r="B2861" s="35"/>
      <c r="C2861" s="36"/>
      <c r="D2861" s="37"/>
      <c r="E2861" s="36"/>
      <c r="F2861" s="42"/>
      <c r="G2861" s="42"/>
      <c r="H2861" s="42"/>
      <c r="AG2861" s="19">
        <v>2860</v>
      </c>
      <c r="AH2861" s="20">
        <v>-753.56690596137787</v>
      </c>
    </row>
    <row r="2862" spans="1:34" ht="14.5" x14ac:dyDescent="0.35">
      <c r="A2862" s="34"/>
      <c r="B2862" s="35"/>
      <c r="C2862" s="36"/>
      <c r="D2862" s="37"/>
      <c r="E2862" s="36"/>
      <c r="F2862" s="42"/>
      <c r="G2862" s="42"/>
      <c r="H2862" s="42"/>
      <c r="AG2862" s="19">
        <v>2861</v>
      </c>
      <c r="AH2862" s="20">
        <v>923.01142581927911</v>
      </c>
    </row>
    <row r="2863" spans="1:34" ht="14.5" x14ac:dyDescent="0.35">
      <c r="A2863" s="34"/>
      <c r="B2863" s="35"/>
      <c r="C2863" s="36"/>
      <c r="D2863" s="37"/>
      <c r="E2863" s="36"/>
      <c r="F2863" s="42"/>
      <c r="G2863" s="42"/>
      <c r="H2863" s="42"/>
      <c r="AG2863" s="19">
        <v>2862</v>
      </c>
      <c r="AH2863" s="20">
        <v>1014.0877265868937</v>
      </c>
    </row>
    <row r="2864" spans="1:34" ht="14.5" x14ac:dyDescent="0.35">
      <c r="A2864" s="34"/>
      <c r="B2864" s="35"/>
      <c r="C2864" s="36"/>
      <c r="D2864" s="37"/>
      <c r="E2864" s="36"/>
      <c r="F2864" s="42"/>
      <c r="G2864" s="42"/>
      <c r="H2864" s="42"/>
      <c r="AG2864" s="19">
        <v>2863</v>
      </c>
      <c r="AH2864" s="20">
        <v>495.99122769250903</v>
      </c>
    </row>
    <row r="2865" spans="1:34" ht="14.5" x14ac:dyDescent="0.35">
      <c r="A2865" s="34"/>
      <c r="B2865" s="35"/>
      <c r="C2865" s="36"/>
      <c r="D2865" s="37"/>
      <c r="E2865" s="36"/>
      <c r="F2865" s="42"/>
      <c r="G2865" s="42"/>
      <c r="H2865" s="42"/>
      <c r="AG2865" s="19">
        <v>2864</v>
      </c>
      <c r="AH2865" s="20">
        <v>5398.6026719793235</v>
      </c>
    </row>
    <row r="2866" spans="1:34" ht="14.5" x14ac:dyDescent="0.35">
      <c r="A2866" s="34"/>
      <c r="B2866" s="35"/>
      <c r="C2866" s="36"/>
      <c r="D2866" s="37"/>
      <c r="E2866" s="36"/>
      <c r="F2866" s="42"/>
      <c r="G2866" s="42"/>
      <c r="H2866" s="42"/>
      <c r="AG2866" s="19">
        <v>2865</v>
      </c>
      <c r="AH2866" s="20">
        <v>1939.0340642031938</v>
      </c>
    </row>
    <row r="2867" spans="1:34" ht="14.5" x14ac:dyDescent="0.35">
      <c r="A2867" s="34"/>
      <c r="B2867" s="35"/>
      <c r="C2867" s="36"/>
      <c r="D2867" s="37"/>
      <c r="E2867" s="36"/>
      <c r="F2867" s="42"/>
      <c r="G2867" s="42"/>
      <c r="H2867" s="42"/>
      <c r="AG2867" s="19">
        <v>2866</v>
      </c>
      <c r="AH2867" s="20">
        <v>1960.424319449462</v>
      </c>
    </row>
    <row r="2868" spans="1:34" ht="14.5" x14ac:dyDescent="0.35">
      <c r="A2868" s="34"/>
      <c r="B2868" s="35"/>
      <c r="C2868" s="36"/>
      <c r="D2868" s="37"/>
      <c r="E2868" s="36"/>
      <c r="F2868" s="42"/>
      <c r="G2868" s="42"/>
      <c r="H2868" s="42"/>
      <c r="AG2868" s="19">
        <v>2867</v>
      </c>
      <c r="AH2868" s="20">
        <v>304.55475413548237</v>
      </c>
    </row>
    <row r="2869" spans="1:34" ht="14.5" x14ac:dyDescent="0.35">
      <c r="A2869" s="34"/>
      <c r="B2869" s="35"/>
      <c r="C2869" s="36"/>
      <c r="D2869" s="37"/>
      <c r="E2869" s="36"/>
      <c r="F2869" s="42"/>
      <c r="G2869" s="42"/>
      <c r="H2869" s="42"/>
      <c r="AG2869" s="19">
        <v>2868</v>
      </c>
      <c r="AH2869" s="20">
        <v>-1250.8016088325733</v>
      </c>
    </row>
    <row r="2870" spans="1:34" ht="14.5" x14ac:dyDescent="0.35">
      <c r="A2870" s="34"/>
      <c r="B2870" s="35"/>
      <c r="C2870" s="36"/>
      <c r="D2870" s="37"/>
      <c r="E2870" s="36"/>
      <c r="F2870" s="42"/>
      <c r="G2870" s="42"/>
      <c r="H2870" s="42"/>
      <c r="AG2870" s="19">
        <v>2869</v>
      </c>
      <c r="AH2870" s="20">
        <v>3493.9583039897038</v>
      </c>
    </row>
    <row r="2871" spans="1:34" ht="14.5" x14ac:dyDescent="0.35">
      <c r="A2871" s="34"/>
      <c r="B2871" s="35"/>
      <c r="C2871" s="36"/>
      <c r="D2871" s="37"/>
      <c r="E2871" s="36"/>
      <c r="F2871" s="42"/>
      <c r="G2871" s="42"/>
      <c r="H2871" s="42"/>
      <c r="AG2871" s="19">
        <v>2870</v>
      </c>
      <c r="AH2871" s="20">
        <v>1171.6027156851612</v>
      </c>
    </row>
    <row r="2872" spans="1:34" ht="14.5" x14ac:dyDescent="0.35">
      <c r="A2872" s="34"/>
      <c r="B2872" s="35"/>
      <c r="C2872" s="36"/>
      <c r="D2872" s="37"/>
      <c r="E2872" s="36"/>
      <c r="F2872" s="42"/>
      <c r="G2872" s="42"/>
      <c r="H2872" s="42"/>
      <c r="AG2872" s="19">
        <v>2871</v>
      </c>
      <c r="AH2872" s="20">
        <v>3240.6362976444129</v>
      </c>
    </row>
    <row r="2873" spans="1:34" ht="14.5" x14ac:dyDescent="0.35">
      <c r="A2873" s="34"/>
      <c r="B2873" s="35"/>
      <c r="C2873" s="36"/>
      <c r="D2873" s="37"/>
      <c r="E2873" s="36"/>
      <c r="F2873" s="42"/>
      <c r="G2873" s="42"/>
      <c r="H2873" s="42"/>
      <c r="AG2873" s="19">
        <v>2872</v>
      </c>
      <c r="AH2873" s="20">
        <v>-809.26761631924046</v>
      </c>
    </row>
    <row r="2874" spans="1:34" ht="14.5" x14ac:dyDescent="0.35">
      <c r="A2874" s="34"/>
      <c r="B2874" s="35"/>
      <c r="C2874" s="36"/>
      <c r="D2874" s="37"/>
      <c r="E2874" s="36"/>
      <c r="F2874" s="42"/>
      <c r="G2874" s="42"/>
      <c r="H2874" s="42"/>
      <c r="AG2874" s="19">
        <v>2873</v>
      </c>
      <c r="AH2874" s="20">
        <v>546.33097884389804</v>
      </c>
    </row>
    <row r="2875" spans="1:34" ht="14.5" x14ac:dyDescent="0.35">
      <c r="A2875" s="34"/>
      <c r="B2875" s="35"/>
      <c r="C2875" s="36"/>
      <c r="D2875" s="37"/>
      <c r="E2875" s="36"/>
      <c r="F2875" s="42"/>
      <c r="G2875" s="42"/>
      <c r="H2875" s="42"/>
      <c r="AG2875" s="19">
        <v>2874</v>
      </c>
      <c r="AH2875" s="20">
        <v>190.83334992710567</v>
      </c>
    </row>
    <row r="2876" spans="1:34" ht="14.5" x14ac:dyDescent="0.35">
      <c r="A2876" s="34"/>
      <c r="B2876" s="35"/>
      <c r="C2876" s="36"/>
      <c r="D2876" s="37"/>
      <c r="E2876" s="36"/>
      <c r="F2876" s="42"/>
      <c r="G2876" s="42"/>
      <c r="H2876" s="42"/>
      <c r="AG2876" s="19">
        <v>2875</v>
      </c>
      <c r="AH2876" s="20">
        <v>658.15083607788711</v>
      </c>
    </row>
    <row r="2877" spans="1:34" ht="14.5" x14ac:dyDescent="0.35">
      <c r="A2877" s="34"/>
      <c r="B2877" s="35"/>
      <c r="C2877" s="36"/>
      <c r="D2877" s="37"/>
      <c r="E2877" s="36"/>
      <c r="F2877" s="42"/>
      <c r="G2877" s="42"/>
      <c r="H2877" s="42"/>
      <c r="AG2877" s="19">
        <v>2876</v>
      </c>
      <c r="AH2877" s="20">
        <v>4397.0659784815925</v>
      </c>
    </row>
    <row r="2878" spans="1:34" ht="14.5" x14ac:dyDescent="0.35">
      <c r="A2878" s="34"/>
      <c r="B2878" s="35"/>
      <c r="C2878" s="36"/>
      <c r="D2878" s="37"/>
      <c r="E2878" s="36"/>
      <c r="F2878" s="42"/>
      <c r="G2878" s="42"/>
      <c r="H2878" s="42"/>
      <c r="AG2878" s="19">
        <v>2877</v>
      </c>
      <c r="AH2878" s="20">
        <v>-2317.3249420978232</v>
      </c>
    </row>
    <row r="2879" spans="1:34" ht="14.5" x14ac:dyDescent="0.35">
      <c r="A2879" s="34"/>
      <c r="B2879" s="35"/>
      <c r="C2879" s="36"/>
      <c r="D2879" s="37"/>
      <c r="E2879" s="36"/>
      <c r="F2879" s="42"/>
      <c r="G2879" s="42"/>
      <c r="H2879" s="42"/>
      <c r="AG2879" s="19">
        <v>2878</v>
      </c>
      <c r="AH2879" s="20">
        <v>1540.8109991986005</v>
      </c>
    </row>
    <row r="2880" spans="1:34" ht="14.5" x14ac:dyDescent="0.35">
      <c r="A2880" s="34"/>
      <c r="B2880" s="35"/>
      <c r="C2880" s="36"/>
      <c r="D2880" s="37"/>
      <c r="E2880" s="36"/>
      <c r="F2880" s="42"/>
      <c r="G2880" s="42"/>
      <c r="H2880" s="42"/>
      <c r="AG2880" s="19">
        <v>2879</v>
      </c>
      <c r="AH2880" s="20">
        <v>-430.08842980132209</v>
      </c>
    </row>
    <row r="2881" spans="1:34" ht="14.5" x14ac:dyDescent="0.35">
      <c r="A2881" s="34"/>
      <c r="B2881" s="35"/>
      <c r="C2881" s="36"/>
      <c r="D2881" s="37"/>
      <c r="E2881" s="36"/>
      <c r="F2881" s="42"/>
      <c r="G2881" s="42"/>
      <c r="H2881" s="42"/>
      <c r="AG2881" s="19">
        <v>2880</v>
      </c>
      <c r="AH2881" s="20">
        <v>-332.37610169498492</v>
      </c>
    </row>
    <row r="2882" spans="1:34" ht="14.5" x14ac:dyDescent="0.35">
      <c r="A2882" s="34"/>
      <c r="B2882" s="35"/>
      <c r="C2882" s="36"/>
      <c r="D2882" s="37"/>
      <c r="E2882" s="36"/>
      <c r="F2882" s="42"/>
      <c r="G2882" s="42"/>
      <c r="H2882" s="42"/>
      <c r="AG2882" s="19">
        <v>2881</v>
      </c>
      <c r="AH2882" s="20">
        <v>-1050.6980912286285</v>
      </c>
    </row>
    <row r="2883" spans="1:34" ht="14.5" x14ac:dyDescent="0.35">
      <c r="A2883" s="34"/>
      <c r="B2883" s="35"/>
      <c r="C2883" s="36"/>
      <c r="D2883" s="37"/>
      <c r="E2883" s="36"/>
      <c r="F2883" s="42"/>
      <c r="G2883" s="42"/>
      <c r="H2883" s="42"/>
      <c r="AG2883" s="19">
        <v>2882</v>
      </c>
      <c r="AH2883" s="20">
        <v>5709.4927315857849</v>
      </c>
    </row>
    <row r="2884" spans="1:34" ht="14.5" x14ac:dyDescent="0.35">
      <c r="A2884" s="34"/>
      <c r="B2884" s="35"/>
      <c r="C2884" s="36"/>
      <c r="D2884" s="37"/>
      <c r="E2884" s="36"/>
      <c r="F2884" s="42"/>
      <c r="G2884" s="42"/>
      <c r="H2884" s="42"/>
      <c r="AG2884" s="19">
        <v>2883</v>
      </c>
      <c r="AH2884" s="20">
        <v>427.45062202196533</v>
      </c>
    </row>
    <row r="2885" spans="1:34" ht="14.5" x14ac:dyDescent="0.35">
      <c r="A2885" s="34"/>
      <c r="B2885" s="35"/>
      <c r="C2885" s="36"/>
      <c r="D2885" s="37"/>
      <c r="E2885" s="36"/>
      <c r="F2885" s="42"/>
      <c r="G2885" s="42"/>
      <c r="H2885" s="42"/>
      <c r="AG2885" s="19">
        <v>2884</v>
      </c>
      <c r="AH2885" s="20">
        <v>-2931.7451986101751</v>
      </c>
    </row>
    <row r="2886" spans="1:34" ht="14.5" x14ac:dyDescent="0.35">
      <c r="A2886" s="34"/>
      <c r="B2886" s="35"/>
      <c r="C2886" s="36"/>
      <c r="D2886" s="37"/>
      <c r="E2886" s="36"/>
      <c r="F2886" s="42"/>
      <c r="G2886" s="42"/>
      <c r="H2886" s="42"/>
      <c r="AG2886" s="19">
        <v>2885</v>
      </c>
      <c r="AH2886" s="20">
        <v>3766.8776178198423</v>
      </c>
    </row>
    <row r="2887" spans="1:34" ht="14.5" x14ac:dyDescent="0.35">
      <c r="A2887" s="34"/>
      <c r="B2887" s="35"/>
      <c r="C2887" s="36"/>
      <c r="D2887" s="37"/>
      <c r="E2887" s="36"/>
      <c r="F2887" s="42"/>
      <c r="G2887" s="42"/>
      <c r="H2887" s="42"/>
      <c r="AG2887" s="19">
        <v>2886</v>
      </c>
      <c r="AH2887" s="20">
        <v>132.60862785318676</v>
      </c>
    </row>
    <row r="2888" spans="1:34" ht="14.5" x14ac:dyDescent="0.35">
      <c r="A2888" s="34"/>
      <c r="B2888" s="35"/>
      <c r="C2888" s="36"/>
      <c r="D2888" s="37"/>
      <c r="E2888" s="36"/>
      <c r="F2888" s="42"/>
      <c r="G2888" s="42"/>
      <c r="H2888" s="42"/>
      <c r="AG2888" s="19">
        <v>2887</v>
      </c>
      <c r="AH2888" s="20">
        <v>917.08228790237285</v>
      </c>
    </row>
    <row r="2889" spans="1:34" ht="14.5" x14ac:dyDescent="0.35">
      <c r="A2889" s="34"/>
      <c r="B2889" s="35"/>
      <c r="C2889" s="36"/>
      <c r="D2889" s="37"/>
      <c r="E2889" s="36"/>
      <c r="F2889" s="42"/>
      <c r="G2889" s="42"/>
      <c r="H2889" s="42"/>
      <c r="AG2889" s="19">
        <v>2888</v>
      </c>
      <c r="AH2889" s="20">
        <v>-4462.1381550795486</v>
      </c>
    </row>
    <row r="2890" spans="1:34" ht="14.5" x14ac:dyDescent="0.35">
      <c r="A2890" s="34"/>
      <c r="B2890" s="35"/>
      <c r="C2890" s="36"/>
      <c r="D2890" s="37"/>
      <c r="E2890" s="36"/>
      <c r="F2890" s="42"/>
      <c r="G2890" s="42"/>
      <c r="H2890" s="42"/>
      <c r="AG2890" s="19">
        <v>2889</v>
      </c>
      <c r="AH2890" s="20">
        <v>-2801.7657707650487</v>
      </c>
    </row>
    <row r="2891" spans="1:34" ht="14.5" x14ac:dyDescent="0.35">
      <c r="A2891" s="34"/>
      <c r="B2891" s="35"/>
      <c r="C2891" s="36"/>
      <c r="D2891" s="37"/>
      <c r="E2891" s="36"/>
      <c r="F2891" s="42"/>
      <c r="G2891" s="42"/>
      <c r="H2891" s="42"/>
      <c r="AG2891" s="19">
        <v>2890</v>
      </c>
      <c r="AH2891" s="20">
        <v>-721.44083626115071</v>
      </c>
    </row>
    <row r="2892" spans="1:34" ht="14.5" x14ac:dyDescent="0.35">
      <c r="A2892" s="34"/>
      <c r="B2892" s="35"/>
      <c r="C2892" s="36"/>
      <c r="D2892" s="37"/>
      <c r="E2892" s="36"/>
      <c r="F2892" s="42"/>
      <c r="G2892" s="42"/>
      <c r="H2892" s="42"/>
      <c r="AG2892" s="19">
        <v>2891</v>
      </c>
      <c r="AH2892" s="20">
        <v>463.03046343509459</v>
      </c>
    </row>
    <row r="2893" spans="1:34" ht="14.5" x14ac:dyDescent="0.35">
      <c r="A2893" s="34"/>
      <c r="B2893" s="35"/>
      <c r="C2893" s="36"/>
      <c r="D2893" s="37"/>
      <c r="E2893" s="36"/>
      <c r="F2893" s="42"/>
      <c r="G2893" s="42"/>
      <c r="H2893" s="42"/>
      <c r="AG2893" s="19">
        <v>2892</v>
      </c>
      <c r="AH2893" s="20">
        <v>844.40331030204504</v>
      </c>
    </row>
    <row r="2894" spans="1:34" ht="14.5" x14ac:dyDescent="0.35">
      <c r="A2894" s="34"/>
      <c r="B2894" s="35"/>
      <c r="C2894" s="36"/>
      <c r="D2894" s="37"/>
      <c r="E2894" s="36"/>
      <c r="F2894" s="42"/>
      <c r="G2894" s="42"/>
      <c r="H2894" s="42"/>
      <c r="AG2894" s="19">
        <v>2893</v>
      </c>
      <c r="AH2894" s="20">
        <v>2477.0410296655919</v>
      </c>
    </row>
    <row r="2895" spans="1:34" ht="14.5" x14ac:dyDescent="0.35">
      <c r="A2895" s="34"/>
      <c r="B2895" s="35"/>
      <c r="C2895" s="36"/>
      <c r="D2895" s="37"/>
      <c r="E2895" s="36"/>
      <c r="F2895" s="42"/>
      <c r="G2895" s="42"/>
      <c r="H2895" s="42"/>
      <c r="AG2895" s="19">
        <v>2894</v>
      </c>
      <c r="AH2895" s="20">
        <v>1404.6201671396977</v>
      </c>
    </row>
    <row r="2896" spans="1:34" ht="14.5" x14ac:dyDescent="0.35">
      <c r="A2896" s="34"/>
      <c r="B2896" s="35"/>
      <c r="C2896" s="36"/>
      <c r="D2896" s="37"/>
      <c r="E2896" s="36"/>
      <c r="F2896" s="42"/>
      <c r="G2896" s="42"/>
      <c r="H2896" s="42"/>
      <c r="AG2896" s="19">
        <v>2895</v>
      </c>
      <c r="AH2896" s="20">
        <v>628.70987612332556</v>
      </c>
    </row>
    <row r="2897" spans="1:34" ht="14.5" x14ac:dyDescent="0.35">
      <c r="A2897" s="34"/>
      <c r="B2897" s="35"/>
      <c r="C2897" s="36"/>
      <c r="D2897" s="37"/>
      <c r="E2897" s="36"/>
      <c r="F2897" s="42"/>
      <c r="G2897" s="42"/>
      <c r="H2897" s="42"/>
      <c r="AG2897" s="19">
        <v>2896</v>
      </c>
      <c r="AH2897" s="20">
        <v>-441.63363771005567</v>
      </c>
    </row>
    <row r="2898" spans="1:34" ht="14.5" x14ac:dyDescent="0.35">
      <c r="A2898" s="34"/>
      <c r="B2898" s="35"/>
      <c r="C2898" s="36"/>
      <c r="D2898" s="37"/>
      <c r="E2898" s="36"/>
      <c r="F2898" s="42"/>
      <c r="G2898" s="42"/>
      <c r="H2898" s="42"/>
      <c r="AG2898" s="19">
        <v>2897</v>
      </c>
      <c r="AH2898" s="20">
        <v>1918.327497777364</v>
      </c>
    </row>
    <row r="2899" spans="1:34" ht="14.5" x14ac:dyDescent="0.35">
      <c r="A2899" s="34"/>
      <c r="B2899" s="35"/>
      <c r="C2899" s="36"/>
      <c r="D2899" s="37"/>
      <c r="E2899" s="36"/>
      <c r="F2899" s="42"/>
      <c r="G2899" s="42"/>
      <c r="H2899" s="42"/>
      <c r="AG2899" s="19">
        <v>2898</v>
      </c>
      <c r="AH2899" s="20">
        <v>1113.4286360011154</v>
      </c>
    </row>
    <row r="2900" spans="1:34" ht="14.5" x14ac:dyDescent="0.35">
      <c r="A2900" s="34"/>
      <c r="B2900" s="35"/>
      <c r="C2900" s="36"/>
      <c r="D2900" s="37"/>
      <c r="E2900" s="36"/>
      <c r="F2900" s="42"/>
      <c r="G2900" s="42"/>
      <c r="H2900" s="42"/>
      <c r="AG2900" s="19">
        <v>2899</v>
      </c>
      <c r="AH2900" s="20">
        <v>1488.1134115162565</v>
      </c>
    </row>
    <row r="2901" spans="1:34" ht="14.5" x14ac:dyDescent="0.35">
      <c r="A2901" s="34"/>
      <c r="B2901" s="35"/>
      <c r="C2901" s="36"/>
      <c r="D2901" s="37"/>
      <c r="E2901" s="36"/>
      <c r="F2901" s="42"/>
      <c r="G2901" s="42"/>
      <c r="H2901" s="42"/>
      <c r="AG2901" s="19">
        <v>2900</v>
      </c>
      <c r="AH2901" s="20">
        <v>-1849.7751279024531</v>
      </c>
    </row>
    <row r="2902" spans="1:34" ht="14.5" x14ac:dyDescent="0.35">
      <c r="A2902" s="34"/>
      <c r="B2902" s="35"/>
      <c r="C2902" s="36"/>
      <c r="D2902" s="37"/>
      <c r="E2902" s="36"/>
      <c r="F2902" s="42"/>
      <c r="G2902" s="42"/>
      <c r="H2902" s="42"/>
      <c r="AG2902" s="19">
        <v>2901</v>
      </c>
      <c r="AH2902" s="20">
        <v>-753.03925171609262</v>
      </c>
    </row>
    <row r="2903" spans="1:34" ht="14.5" x14ac:dyDescent="0.35">
      <c r="A2903" s="34"/>
      <c r="B2903" s="35"/>
      <c r="C2903" s="36"/>
      <c r="D2903" s="37"/>
      <c r="E2903" s="36"/>
      <c r="F2903" s="42"/>
      <c r="G2903" s="42"/>
      <c r="H2903" s="42"/>
      <c r="AG2903" s="19">
        <v>2902</v>
      </c>
      <c r="AH2903" s="20">
        <v>1337.5971641557344</v>
      </c>
    </row>
    <row r="2904" spans="1:34" ht="14.5" x14ac:dyDescent="0.35">
      <c r="A2904" s="34"/>
      <c r="B2904" s="35"/>
      <c r="C2904" s="36"/>
      <c r="D2904" s="37"/>
      <c r="E2904" s="36"/>
      <c r="F2904" s="42"/>
      <c r="G2904" s="42"/>
      <c r="H2904" s="42"/>
      <c r="AG2904" s="19">
        <v>2903</v>
      </c>
      <c r="AH2904" s="20">
        <v>1988.1812691527762</v>
      </c>
    </row>
    <row r="2905" spans="1:34" ht="14.5" x14ac:dyDescent="0.35">
      <c r="A2905" s="34"/>
      <c r="B2905" s="35"/>
      <c r="C2905" s="36"/>
      <c r="D2905" s="37"/>
      <c r="E2905" s="36"/>
      <c r="F2905" s="42"/>
      <c r="G2905" s="42"/>
      <c r="H2905" s="42"/>
      <c r="AG2905" s="19">
        <v>2904</v>
      </c>
      <c r="AH2905" s="20">
        <v>578.2880859034957</v>
      </c>
    </row>
    <row r="2906" spans="1:34" ht="14.5" x14ac:dyDescent="0.35">
      <c r="A2906" s="34"/>
      <c r="B2906" s="35"/>
      <c r="C2906" s="36"/>
      <c r="D2906" s="37"/>
      <c r="E2906" s="36"/>
      <c r="F2906" s="42"/>
      <c r="G2906" s="42"/>
      <c r="H2906" s="42"/>
      <c r="AG2906" s="19">
        <v>2905</v>
      </c>
      <c r="AH2906" s="20">
        <v>-654.58159385351064</v>
      </c>
    </row>
    <row r="2907" spans="1:34" ht="14.5" x14ac:dyDescent="0.35">
      <c r="A2907" s="34"/>
      <c r="B2907" s="35"/>
      <c r="C2907" s="36"/>
      <c r="D2907" s="37"/>
      <c r="E2907" s="36"/>
      <c r="F2907" s="42"/>
      <c r="G2907" s="42"/>
      <c r="H2907" s="42"/>
      <c r="AG2907" s="19">
        <v>2906</v>
      </c>
      <c r="AH2907" s="20">
        <v>2759.8339113043889</v>
      </c>
    </row>
    <row r="2908" spans="1:34" ht="14.5" x14ac:dyDescent="0.35">
      <c r="A2908" s="34"/>
      <c r="B2908" s="35"/>
      <c r="C2908" s="36"/>
      <c r="D2908" s="37"/>
      <c r="E2908" s="36"/>
      <c r="F2908" s="42"/>
      <c r="G2908" s="42"/>
      <c r="H2908" s="42"/>
      <c r="AG2908" s="19">
        <v>2907</v>
      </c>
      <c r="AH2908" s="20">
        <v>986.64536916957195</v>
      </c>
    </row>
    <row r="2909" spans="1:34" ht="14.5" x14ac:dyDescent="0.35">
      <c r="A2909" s="34"/>
      <c r="B2909" s="35"/>
      <c r="C2909" s="36"/>
      <c r="D2909" s="37"/>
      <c r="E2909" s="36"/>
      <c r="F2909" s="42"/>
      <c r="G2909" s="42"/>
      <c r="H2909" s="42"/>
      <c r="AG2909" s="19">
        <v>2908</v>
      </c>
      <c r="AH2909" s="20">
        <v>-325.70059503316264</v>
      </c>
    </row>
    <row r="2910" spans="1:34" ht="14.5" x14ac:dyDescent="0.35">
      <c r="A2910" s="34"/>
      <c r="B2910" s="35"/>
      <c r="C2910" s="36"/>
      <c r="D2910" s="37"/>
      <c r="E2910" s="36"/>
      <c r="F2910" s="42"/>
      <c r="G2910" s="42"/>
      <c r="H2910" s="42"/>
      <c r="AG2910" s="19">
        <v>2909</v>
      </c>
      <c r="AH2910" s="20">
        <v>-2588.3221373911983</v>
      </c>
    </row>
    <row r="2911" spans="1:34" ht="14.5" x14ac:dyDescent="0.35">
      <c r="A2911" s="34"/>
      <c r="B2911" s="35"/>
      <c r="C2911" s="36"/>
      <c r="D2911" s="37"/>
      <c r="E2911" s="36"/>
      <c r="F2911" s="42"/>
      <c r="G2911" s="42"/>
      <c r="H2911" s="42"/>
      <c r="AG2911" s="19">
        <v>2910</v>
      </c>
      <c r="AH2911" s="20">
        <v>-1465.3020715494667</v>
      </c>
    </row>
    <row r="2912" spans="1:34" ht="14.5" x14ac:dyDescent="0.35">
      <c r="A2912" s="34"/>
      <c r="B2912" s="35"/>
      <c r="C2912" s="36"/>
      <c r="D2912" s="37"/>
      <c r="E2912" s="36"/>
      <c r="F2912" s="42"/>
      <c r="G2912" s="42"/>
      <c r="H2912" s="42"/>
      <c r="AG2912" s="19">
        <v>2911</v>
      </c>
      <c r="AH2912" s="20">
        <v>957.15721460917916</v>
      </c>
    </row>
    <row r="2913" spans="1:34" ht="14.5" x14ac:dyDescent="0.35">
      <c r="A2913" s="34"/>
      <c r="B2913" s="35"/>
      <c r="C2913" s="36"/>
      <c r="D2913" s="37"/>
      <c r="E2913" s="36"/>
      <c r="F2913" s="42"/>
      <c r="G2913" s="42"/>
      <c r="H2913" s="42"/>
      <c r="AG2913" s="19">
        <v>2912</v>
      </c>
      <c r="AH2913" s="20">
        <v>2296.9108803627691</v>
      </c>
    </row>
    <row r="2914" spans="1:34" ht="14.5" x14ac:dyDescent="0.35">
      <c r="A2914" s="34"/>
      <c r="B2914" s="35"/>
      <c r="C2914" s="36"/>
      <c r="D2914" s="37"/>
      <c r="E2914" s="36"/>
      <c r="F2914" s="42"/>
      <c r="G2914" s="42"/>
      <c r="H2914" s="42"/>
      <c r="AG2914" s="19">
        <v>2913</v>
      </c>
      <c r="AH2914" s="20">
        <v>-2483.0936177922081</v>
      </c>
    </row>
    <row r="2915" spans="1:34" ht="14.5" x14ac:dyDescent="0.35">
      <c r="A2915" s="34"/>
      <c r="B2915" s="35"/>
      <c r="C2915" s="36"/>
      <c r="D2915" s="37"/>
      <c r="E2915" s="36"/>
      <c r="F2915" s="42"/>
      <c r="G2915" s="42"/>
      <c r="H2915" s="42"/>
      <c r="AG2915" s="19">
        <v>2914</v>
      </c>
      <c r="AH2915" s="20">
        <v>-37.28971548011117</v>
      </c>
    </row>
    <row r="2916" spans="1:34" ht="14.5" x14ac:dyDescent="0.35">
      <c r="A2916" s="34"/>
      <c r="B2916" s="35"/>
      <c r="C2916" s="36"/>
      <c r="D2916" s="37"/>
      <c r="E2916" s="36"/>
      <c r="F2916" s="42"/>
      <c r="G2916" s="42"/>
      <c r="H2916" s="42"/>
      <c r="AG2916" s="19">
        <v>2915</v>
      </c>
      <c r="AH2916" s="20">
        <v>1398.3538590754322</v>
      </c>
    </row>
    <row r="2917" spans="1:34" ht="14.5" x14ac:dyDescent="0.35">
      <c r="A2917" s="34"/>
      <c r="B2917" s="35"/>
      <c r="C2917" s="36"/>
      <c r="D2917" s="37"/>
      <c r="E2917" s="36"/>
      <c r="F2917" s="42"/>
      <c r="G2917" s="42"/>
      <c r="H2917" s="42"/>
      <c r="AG2917" s="19">
        <v>2916</v>
      </c>
      <c r="AH2917" s="20">
        <v>-1137.2184768704833</v>
      </c>
    </row>
    <row r="2918" spans="1:34" ht="14.5" x14ac:dyDescent="0.35">
      <c r="A2918" s="34"/>
      <c r="B2918" s="35"/>
      <c r="C2918" s="36"/>
      <c r="D2918" s="37"/>
      <c r="E2918" s="36"/>
      <c r="F2918" s="42"/>
      <c r="G2918" s="42"/>
      <c r="H2918" s="42"/>
      <c r="AG2918" s="19">
        <v>2917</v>
      </c>
      <c r="AH2918" s="20">
        <v>320.86922012769469</v>
      </c>
    </row>
    <row r="2919" spans="1:34" ht="14.5" x14ac:dyDescent="0.35">
      <c r="A2919" s="34"/>
      <c r="B2919" s="35"/>
      <c r="C2919" s="36"/>
      <c r="D2919" s="37"/>
      <c r="E2919" s="36"/>
      <c r="F2919" s="42"/>
      <c r="G2919" s="42"/>
      <c r="H2919" s="42"/>
      <c r="AG2919" s="19">
        <v>2918</v>
      </c>
      <c r="AH2919" s="20">
        <v>1539.2812376342524</v>
      </c>
    </row>
    <row r="2920" spans="1:34" ht="14.5" x14ac:dyDescent="0.35">
      <c r="A2920" s="34"/>
      <c r="B2920" s="35"/>
      <c r="C2920" s="36"/>
      <c r="D2920" s="37"/>
      <c r="E2920" s="36"/>
      <c r="F2920" s="42"/>
      <c r="G2920" s="42"/>
      <c r="H2920" s="42"/>
      <c r="AG2920" s="19">
        <v>2919</v>
      </c>
      <c r="AH2920" s="20">
        <v>-633.26530886231535</v>
      </c>
    </row>
    <row r="2921" spans="1:34" ht="14.5" x14ac:dyDescent="0.35">
      <c r="A2921" s="34"/>
      <c r="B2921" s="35"/>
      <c r="C2921" s="36"/>
      <c r="D2921" s="37"/>
      <c r="E2921" s="36"/>
      <c r="F2921" s="42"/>
      <c r="G2921" s="42"/>
      <c r="H2921" s="42"/>
      <c r="AG2921" s="19">
        <v>2920</v>
      </c>
      <c r="AH2921" s="20">
        <v>2185.1033986428802</v>
      </c>
    </row>
    <row r="2922" spans="1:34" ht="14.5" x14ac:dyDescent="0.35">
      <c r="A2922" s="34"/>
      <c r="B2922" s="35"/>
      <c r="C2922" s="36"/>
      <c r="D2922" s="37"/>
      <c r="E2922" s="36"/>
      <c r="F2922" s="42"/>
      <c r="G2922" s="42"/>
      <c r="H2922" s="42"/>
      <c r="AG2922" s="19">
        <v>2921</v>
      </c>
      <c r="AH2922" s="20">
        <v>2906.9070911597883</v>
      </c>
    </row>
    <row r="2923" spans="1:34" ht="14.5" x14ac:dyDescent="0.35">
      <c r="A2923" s="34"/>
      <c r="B2923" s="35"/>
      <c r="C2923" s="36"/>
      <c r="D2923" s="37"/>
      <c r="E2923" s="36"/>
      <c r="F2923" s="42"/>
      <c r="G2923" s="42"/>
      <c r="H2923" s="42"/>
      <c r="AG2923" s="19">
        <v>2922</v>
      </c>
      <c r="AH2923" s="20">
        <v>2308.5796498507348</v>
      </c>
    </row>
    <row r="2924" spans="1:34" ht="14.5" x14ac:dyDescent="0.35">
      <c r="A2924" s="34"/>
      <c r="B2924" s="35"/>
      <c r="C2924" s="36"/>
      <c r="D2924" s="37"/>
      <c r="E2924" s="36"/>
      <c r="F2924" s="42"/>
      <c r="G2924" s="42"/>
      <c r="H2924" s="42"/>
      <c r="AG2924" s="19">
        <v>2923</v>
      </c>
      <c r="AH2924" s="20">
        <v>1251.0919613733765</v>
      </c>
    </row>
    <row r="2925" spans="1:34" ht="14.5" x14ac:dyDescent="0.35">
      <c r="A2925" s="34"/>
      <c r="B2925" s="35"/>
      <c r="C2925" s="36"/>
      <c r="D2925" s="37"/>
      <c r="E2925" s="36"/>
      <c r="F2925" s="42"/>
      <c r="G2925" s="42"/>
      <c r="H2925" s="42"/>
      <c r="AG2925" s="19">
        <v>2924</v>
      </c>
      <c r="AH2925" s="20">
        <v>740.06175359549297</v>
      </c>
    </row>
    <row r="2926" spans="1:34" ht="14.5" x14ac:dyDescent="0.35">
      <c r="A2926" s="34"/>
      <c r="B2926" s="35"/>
      <c r="C2926" s="36"/>
      <c r="D2926" s="37"/>
      <c r="E2926" s="36"/>
      <c r="F2926" s="42"/>
      <c r="G2926" s="42"/>
      <c r="H2926" s="42"/>
      <c r="AG2926" s="19">
        <v>2925</v>
      </c>
      <c r="AH2926" s="20">
        <v>658.70204362114168</v>
      </c>
    </row>
    <row r="2927" spans="1:34" ht="14.5" x14ac:dyDescent="0.35">
      <c r="A2927" s="34"/>
      <c r="B2927" s="35"/>
      <c r="C2927" s="36"/>
      <c r="D2927" s="37"/>
      <c r="E2927" s="36"/>
      <c r="F2927" s="42"/>
      <c r="G2927" s="42"/>
      <c r="H2927" s="42"/>
      <c r="AG2927" s="19">
        <v>2926</v>
      </c>
      <c r="AH2927" s="20">
        <v>1604.5828426404726</v>
      </c>
    </row>
    <row r="2928" spans="1:34" ht="14.5" x14ac:dyDescent="0.35">
      <c r="A2928" s="34"/>
      <c r="B2928" s="35"/>
      <c r="C2928" s="36"/>
      <c r="D2928" s="37"/>
      <c r="E2928" s="36"/>
      <c r="F2928" s="42"/>
      <c r="G2928" s="42"/>
      <c r="H2928" s="42"/>
      <c r="AG2928" s="19">
        <v>2927</v>
      </c>
      <c r="AH2928" s="20">
        <v>1338.6528226421733</v>
      </c>
    </row>
    <row r="2929" spans="1:34" ht="14.5" x14ac:dyDescent="0.35">
      <c r="A2929" s="34"/>
      <c r="B2929" s="35"/>
      <c r="C2929" s="36"/>
      <c r="D2929" s="37"/>
      <c r="E2929" s="36"/>
      <c r="F2929" s="42"/>
      <c r="G2929" s="42"/>
      <c r="H2929" s="42"/>
      <c r="AG2929" s="19">
        <v>2928</v>
      </c>
      <c r="AH2929" s="20">
        <v>-1495.9755004498322</v>
      </c>
    </row>
    <row r="2930" spans="1:34" ht="14.5" x14ac:dyDescent="0.35">
      <c r="A2930" s="34"/>
      <c r="B2930" s="35"/>
      <c r="C2930" s="36"/>
      <c r="D2930" s="37"/>
      <c r="E2930" s="36"/>
      <c r="F2930" s="42"/>
      <c r="G2930" s="42"/>
      <c r="H2930" s="42"/>
      <c r="AG2930" s="19">
        <v>2929</v>
      </c>
      <c r="AH2930" s="20">
        <v>3464.6168053834854</v>
      </c>
    </row>
    <row r="2931" spans="1:34" ht="14.5" x14ac:dyDescent="0.35">
      <c r="A2931" s="34"/>
      <c r="B2931" s="35"/>
      <c r="C2931" s="36"/>
      <c r="D2931" s="37"/>
      <c r="E2931" s="36"/>
      <c r="F2931" s="42"/>
      <c r="G2931" s="42"/>
      <c r="H2931" s="42"/>
      <c r="AG2931" s="19">
        <v>2930</v>
      </c>
      <c r="AH2931" s="20">
        <v>3146.0958875853662</v>
      </c>
    </row>
    <row r="2932" spans="1:34" ht="14.5" x14ac:dyDescent="0.35">
      <c r="A2932" s="34"/>
      <c r="B2932" s="35"/>
      <c r="C2932" s="36"/>
      <c r="D2932" s="37"/>
      <c r="E2932" s="36"/>
      <c r="F2932" s="42"/>
      <c r="G2932" s="42"/>
      <c r="H2932" s="42"/>
      <c r="AG2932" s="19">
        <v>2931</v>
      </c>
      <c r="AH2932" s="20">
        <v>-199.91324520305471</v>
      </c>
    </row>
    <row r="2933" spans="1:34" ht="14.5" x14ac:dyDescent="0.35">
      <c r="A2933" s="34"/>
      <c r="B2933" s="35"/>
      <c r="C2933" s="36"/>
      <c r="D2933" s="37"/>
      <c r="E2933" s="36"/>
      <c r="F2933" s="42"/>
      <c r="G2933" s="42"/>
      <c r="H2933" s="42"/>
      <c r="AG2933" s="19">
        <v>2932</v>
      </c>
      <c r="AH2933" s="20">
        <v>1816.9650416966849</v>
      </c>
    </row>
    <row r="2934" spans="1:34" ht="14.5" x14ac:dyDescent="0.35">
      <c r="A2934" s="34"/>
      <c r="B2934" s="35"/>
      <c r="C2934" s="36"/>
      <c r="D2934" s="37"/>
      <c r="E2934" s="36"/>
      <c r="F2934" s="42"/>
      <c r="G2934" s="42"/>
      <c r="H2934" s="42"/>
      <c r="AG2934" s="19">
        <v>2933</v>
      </c>
      <c r="AH2934" s="20">
        <v>1822.135465941868</v>
      </c>
    </row>
    <row r="2935" spans="1:34" ht="14.5" x14ac:dyDescent="0.35">
      <c r="A2935" s="34"/>
      <c r="B2935" s="35"/>
      <c r="C2935" s="36"/>
      <c r="D2935" s="37"/>
      <c r="E2935" s="36"/>
      <c r="F2935" s="42"/>
      <c r="G2935" s="42"/>
      <c r="H2935" s="42"/>
      <c r="AG2935" s="19">
        <v>2934</v>
      </c>
      <c r="AH2935" s="20">
        <v>1597.4933975330073</v>
      </c>
    </row>
    <row r="2936" spans="1:34" ht="14.5" x14ac:dyDescent="0.35">
      <c r="A2936" s="34"/>
      <c r="B2936" s="35"/>
      <c r="C2936" s="36"/>
      <c r="D2936" s="37"/>
      <c r="E2936" s="36"/>
      <c r="F2936" s="42"/>
      <c r="G2936" s="42"/>
      <c r="H2936" s="42"/>
      <c r="AG2936" s="19">
        <v>2935</v>
      </c>
      <c r="AH2936" s="20">
        <v>2335.1091498954761</v>
      </c>
    </row>
    <row r="2937" spans="1:34" ht="14.5" x14ac:dyDescent="0.35">
      <c r="A2937" s="34"/>
      <c r="B2937" s="35"/>
      <c r="C2937" s="36"/>
      <c r="D2937" s="37"/>
      <c r="E2937" s="36"/>
      <c r="F2937" s="42"/>
      <c r="G2937" s="42"/>
      <c r="H2937" s="42"/>
      <c r="AG2937" s="19">
        <v>2936</v>
      </c>
      <c r="AH2937" s="20">
        <v>3417.3192522438821</v>
      </c>
    </row>
    <row r="2938" spans="1:34" ht="14.5" x14ac:dyDescent="0.35">
      <c r="A2938" s="34"/>
      <c r="B2938" s="35"/>
      <c r="C2938" s="36"/>
      <c r="D2938" s="37"/>
      <c r="E2938" s="36"/>
      <c r="F2938" s="42"/>
      <c r="G2938" s="42"/>
      <c r="H2938" s="42"/>
      <c r="AG2938" s="19">
        <v>2937</v>
      </c>
      <c r="AH2938" s="20">
        <v>-928.13562503526168</v>
      </c>
    </row>
    <row r="2939" spans="1:34" ht="14.5" x14ac:dyDescent="0.35">
      <c r="A2939" s="34"/>
      <c r="B2939" s="35"/>
      <c r="C2939" s="36"/>
      <c r="D2939" s="37"/>
      <c r="E2939" s="36"/>
      <c r="F2939" s="42"/>
      <c r="G2939" s="42"/>
      <c r="H2939" s="42"/>
      <c r="AG2939" s="19">
        <v>2938</v>
      </c>
      <c r="AH2939" s="20">
        <v>-3287.728861257423</v>
      </c>
    </row>
    <row r="2940" spans="1:34" ht="14.5" x14ac:dyDescent="0.35">
      <c r="A2940" s="34"/>
      <c r="B2940" s="35"/>
      <c r="C2940" s="36"/>
      <c r="D2940" s="37"/>
      <c r="E2940" s="36"/>
      <c r="F2940" s="42"/>
      <c r="G2940" s="42"/>
      <c r="H2940" s="42"/>
      <c r="AG2940" s="19">
        <v>2939</v>
      </c>
      <c r="AH2940" s="20">
        <v>-2895.6617047488089</v>
      </c>
    </row>
    <row r="2941" spans="1:34" ht="14.5" x14ac:dyDescent="0.35">
      <c r="A2941" s="34"/>
      <c r="B2941" s="35"/>
      <c r="C2941" s="36"/>
      <c r="D2941" s="37"/>
      <c r="E2941" s="36"/>
      <c r="F2941" s="42"/>
      <c r="G2941" s="42"/>
      <c r="H2941" s="42"/>
      <c r="AG2941" s="19">
        <v>2940</v>
      </c>
      <c r="AH2941" s="20">
        <v>2044.7542774463329</v>
      </c>
    </row>
    <row r="2942" spans="1:34" ht="14.5" x14ac:dyDescent="0.35">
      <c r="A2942" s="34"/>
      <c r="B2942" s="35"/>
      <c r="C2942" s="36"/>
      <c r="D2942" s="37"/>
      <c r="E2942" s="36"/>
      <c r="F2942" s="42"/>
      <c r="G2942" s="42"/>
      <c r="H2942" s="42"/>
      <c r="AG2942" s="19">
        <v>2941</v>
      </c>
      <c r="AH2942" s="20">
        <v>2566.5272895347803</v>
      </c>
    </row>
    <row r="2943" spans="1:34" ht="14.5" x14ac:dyDescent="0.35">
      <c r="A2943" s="34"/>
      <c r="B2943" s="35"/>
      <c r="C2943" s="36"/>
      <c r="D2943" s="37"/>
      <c r="E2943" s="36"/>
      <c r="F2943" s="42"/>
      <c r="G2943" s="42"/>
      <c r="H2943" s="42"/>
      <c r="AG2943" s="19">
        <v>2942</v>
      </c>
      <c r="AH2943" s="20">
        <v>-3168.1791174240457</v>
      </c>
    </row>
    <row r="2944" spans="1:34" ht="14.5" x14ac:dyDescent="0.35">
      <c r="A2944" s="34"/>
      <c r="B2944" s="35"/>
      <c r="C2944" s="36"/>
      <c r="D2944" s="37"/>
      <c r="E2944" s="36"/>
      <c r="F2944" s="42"/>
      <c r="G2944" s="42"/>
      <c r="H2944" s="42"/>
      <c r="AG2944" s="19">
        <v>2943</v>
      </c>
      <c r="AH2944" s="20">
        <v>1417.4497216978718</v>
      </c>
    </row>
    <row r="2945" spans="1:34" ht="14.5" x14ac:dyDescent="0.35">
      <c r="A2945" s="34"/>
      <c r="B2945" s="35"/>
      <c r="C2945" s="36"/>
      <c r="D2945" s="37"/>
      <c r="E2945" s="36"/>
      <c r="F2945" s="42"/>
      <c r="G2945" s="42"/>
      <c r="H2945" s="42"/>
      <c r="AG2945" s="19">
        <v>2944</v>
      </c>
      <c r="AH2945" s="20">
        <v>-1328.8299328930043</v>
      </c>
    </row>
    <row r="2946" spans="1:34" ht="14.5" x14ac:dyDescent="0.35">
      <c r="A2946" s="34"/>
      <c r="B2946" s="35"/>
      <c r="C2946" s="36"/>
      <c r="D2946" s="37"/>
      <c r="E2946" s="36"/>
      <c r="F2946" s="42"/>
      <c r="G2946" s="42"/>
      <c r="H2946" s="42"/>
      <c r="AG2946" s="19">
        <v>2945</v>
      </c>
      <c r="AH2946" s="20">
        <v>-794.18667577309702</v>
      </c>
    </row>
    <row r="2947" spans="1:34" ht="14.5" x14ac:dyDescent="0.35">
      <c r="A2947" s="34"/>
      <c r="B2947" s="35"/>
      <c r="C2947" s="36"/>
      <c r="D2947" s="37"/>
      <c r="E2947" s="36"/>
      <c r="F2947" s="42"/>
      <c r="G2947" s="42"/>
      <c r="H2947" s="42"/>
      <c r="AG2947" s="19">
        <v>2946</v>
      </c>
      <c r="AH2947" s="20">
        <v>-2206.5520136470109</v>
      </c>
    </row>
    <row r="2948" spans="1:34" ht="14.5" x14ac:dyDescent="0.35">
      <c r="A2948" s="34"/>
      <c r="B2948" s="35"/>
      <c r="C2948" s="36"/>
      <c r="D2948" s="37"/>
      <c r="E2948" s="36"/>
      <c r="F2948" s="42"/>
      <c r="G2948" s="42"/>
      <c r="H2948" s="42"/>
      <c r="AG2948" s="19">
        <v>2947</v>
      </c>
      <c r="AH2948" s="20">
        <v>876.32632325929035</v>
      </c>
    </row>
    <row r="2949" spans="1:34" ht="14.5" x14ac:dyDescent="0.35">
      <c r="A2949" s="34"/>
      <c r="B2949" s="35"/>
      <c r="C2949" s="36"/>
      <c r="D2949" s="37"/>
      <c r="E2949" s="36"/>
      <c r="F2949" s="42"/>
      <c r="G2949" s="42"/>
      <c r="H2949" s="42"/>
      <c r="AG2949" s="19">
        <v>2948</v>
      </c>
      <c r="AH2949" s="20">
        <v>1244.1331655566967</v>
      </c>
    </row>
    <row r="2950" spans="1:34" ht="14.5" x14ac:dyDescent="0.35">
      <c r="A2950" s="34"/>
      <c r="B2950" s="35"/>
      <c r="C2950" s="36"/>
      <c r="D2950" s="37"/>
      <c r="E2950" s="36"/>
      <c r="F2950" s="42"/>
      <c r="G2950" s="42"/>
      <c r="H2950" s="42"/>
      <c r="AG2950" s="19">
        <v>2949</v>
      </c>
      <c r="AH2950" s="20">
        <v>-1171.4910416706007</v>
      </c>
    </row>
    <row r="2951" spans="1:34" ht="14.5" x14ac:dyDescent="0.35">
      <c r="A2951" s="34"/>
      <c r="B2951" s="35"/>
      <c r="C2951" s="36"/>
      <c r="D2951" s="37"/>
      <c r="E2951" s="36"/>
      <c r="F2951" s="42"/>
      <c r="G2951" s="42"/>
      <c r="H2951" s="42"/>
      <c r="AG2951" s="19">
        <v>2950</v>
      </c>
      <c r="AH2951" s="20">
        <v>2707.8815201049488</v>
      </c>
    </row>
    <row r="2952" spans="1:34" ht="14.5" x14ac:dyDescent="0.35">
      <c r="A2952" s="34"/>
      <c r="B2952" s="35"/>
      <c r="C2952" s="36"/>
      <c r="D2952" s="37"/>
      <c r="E2952" s="36"/>
      <c r="F2952" s="42"/>
      <c r="G2952" s="42"/>
      <c r="H2952" s="42"/>
      <c r="AG2952" s="19">
        <v>2951</v>
      </c>
      <c r="AH2952" s="20">
        <v>3379.3232303934642</v>
      </c>
    </row>
    <row r="2953" spans="1:34" ht="14.5" x14ac:dyDescent="0.35">
      <c r="A2953" s="34"/>
      <c r="B2953" s="35"/>
      <c r="C2953" s="36"/>
      <c r="D2953" s="37"/>
      <c r="E2953" s="36"/>
      <c r="F2953" s="42"/>
      <c r="G2953" s="42"/>
      <c r="H2953" s="42"/>
      <c r="AG2953" s="19">
        <v>2952</v>
      </c>
      <c r="AH2953" s="20">
        <v>-3422.0610521162639</v>
      </c>
    </row>
    <row r="2954" spans="1:34" ht="14.5" x14ac:dyDescent="0.35">
      <c r="A2954" s="34"/>
      <c r="B2954" s="35"/>
      <c r="C2954" s="36"/>
      <c r="D2954" s="37"/>
      <c r="E2954" s="36"/>
      <c r="F2954" s="42"/>
      <c r="G2954" s="42"/>
      <c r="H2954" s="42"/>
      <c r="AG2954" s="19">
        <v>2953</v>
      </c>
      <c r="AH2954" s="20">
        <v>564.2534637111263</v>
      </c>
    </row>
    <row r="2955" spans="1:34" ht="14.5" x14ac:dyDescent="0.35">
      <c r="A2955" s="34"/>
      <c r="B2955" s="35"/>
      <c r="C2955" s="36"/>
      <c r="D2955" s="37"/>
      <c r="E2955" s="36"/>
      <c r="F2955" s="42"/>
      <c r="G2955" s="42"/>
      <c r="H2955" s="42"/>
      <c r="AG2955" s="19">
        <v>2954</v>
      </c>
      <c r="AH2955" s="20">
        <v>1071.7738839430069</v>
      </c>
    </row>
    <row r="2956" spans="1:34" ht="14.5" x14ac:dyDescent="0.35">
      <c r="A2956" s="34"/>
      <c r="B2956" s="35"/>
      <c r="C2956" s="36"/>
      <c r="D2956" s="37"/>
      <c r="E2956" s="36"/>
      <c r="F2956" s="42"/>
      <c r="G2956" s="42"/>
      <c r="H2956" s="42"/>
      <c r="AG2956" s="19">
        <v>2955</v>
      </c>
      <c r="AH2956" s="20">
        <v>5179.0535107869537</v>
      </c>
    </row>
    <row r="2957" spans="1:34" ht="14.5" x14ac:dyDescent="0.35">
      <c r="A2957" s="34"/>
      <c r="B2957" s="35"/>
      <c r="C2957" s="36"/>
      <c r="D2957" s="37"/>
      <c r="E2957" s="36"/>
      <c r="F2957" s="42"/>
      <c r="G2957" s="42"/>
      <c r="H2957" s="42"/>
      <c r="AG2957" s="19">
        <v>2956</v>
      </c>
      <c r="AH2957" s="20">
        <v>518.5776029833429</v>
      </c>
    </row>
    <row r="2958" spans="1:34" ht="14.5" x14ac:dyDescent="0.35">
      <c r="A2958" s="34"/>
      <c r="B2958" s="35"/>
      <c r="C2958" s="36"/>
      <c r="D2958" s="37"/>
      <c r="E2958" s="36"/>
      <c r="F2958" s="42"/>
      <c r="G2958" s="42"/>
      <c r="H2958" s="42"/>
      <c r="AG2958" s="19">
        <v>2957</v>
      </c>
      <c r="AH2958" s="20">
        <v>-389.25159634809967</v>
      </c>
    </row>
    <row r="2959" spans="1:34" ht="14.5" x14ac:dyDescent="0.35">
      <c r="A2959" s="34"/>
      <c r="B2959" s="35"/>
      <c r="C2959" s="36"/>
      <c r="D2959" s="37"/>
      <c r="E2959" s="36"/>
      <c r="F2959" s="42"/>
      <c r="G2959" s="42"/>
      <c r="H2959" s="42"/>
      <c r="AG2959" s="19">
        <v>2958</v>
      </c>
      <c r="AH2959" s="20">
        <v>-84.713925969261936</v>
      </c>
    </row>
    <row r="2960" spans="1:34" ht="14.5" x14ac:dyDescent="0.35">
      <c r="A2960" s="34"/>
      <c r="B2960" s="35"/>
      <c r="C2960" s="36"/>
      <c r="D2960" s="37"/>
      <c r="E2960" s="36"/>
      <c r="F2960" s="42"/>
      <c r="G2960" s="42"/>
      <c r="H2960" s="42"/>
      <c r="AG2960" s="19">
        <v>2959</v>
      </c>
      <c r="AH2960" s="20">
        <v>-366.09862911662282</v>
      </c>
    </row>
    <row r="2961" spans="1:34" ht="14.5" x14ac:dyDescent="0.35">
      <c r="A2961" s="34"/>
      <c r="B2961" s="35"/>
      <c r="C2961" s="36"/>
      <c r="D2961" s="37"/>
      <c r="E2961" s="36"/>
      <c r="F2961" s="42"/>
      <c r="G2961" s="42"/>
      <c r="H2961" s="42"/>
      <c r="AG2961" s="19">
        <v>2960</v>
      </c>
      <c r="AH2961" s="20">
        <v>-581.16404746808053</v>
      </c>
    </row>
    <row r="2962" spans="1:34" ht="14.5" x14ac:dyDescent="0.35">
      <c r="A2962" s="34"/>
      <c r="B2962" s="35"/>
      <c r="C2962" s="36"/>
      <c r="D2962" s="37"/>
      <c r="E2962" s="36"/>
      <c r="F2962" s="42"/>
      <c r="G2962" s="42"/>
      <c r="H2962" s="42"/>
      <c r="AG2962" s="19">
        <v>2961</v>
      </c>
      <c r="AH2962" s="20">
        <v>6346.3075436258669</v>
      </c>
    </row>
    <row r="2963" spans="1:34" ht="14.5" x14ac:dyDescent="0.35">
      <c r="A2963" s="34"/>
      <c r="B2963" s="35"/>
      <c r="C2963" s="36"/>
      <c r="D2963" s="37"/>
      <c r="E2963" s="36"/>
      <c r="F2963" s="42"/>
      <c r="G2963" s="42"/>
      <c r="H2963" s="42"/>
      <c r="AG2963" s="19">
        <v>2962</v>
      </c>
      <c r="AH2963" s="20">
        <v>-3215.1707711836821</v>
      </c>
    </row>
    <row r="2964" spans="1:34" ht="14.5" x14ac:dyDescent="0.35">
      <c r="A2964" s="34"/>
      <c r="B2964" s="35"/>
      <c r="C2964" s="36"/>
      <c r="D2964" s="37"/>
      <c r="E2964" s="36"/>
      <c r="F2964" s="42"/>
      <c r="G2964" s="42"/>
      <c r="H2964" s="42"/>
      <c r="AG2964" s="19">
        <v>2963</v>
      </c>
      <c r="AH2964" s="20">
        <v>-1664.548052592934</v>
      </c>
    </row>
    <row r="2965" spans="1:34" ht="14.5" x14ac:dyDescent="0.35">
      <c r="A2965" s="34"/>
      <c r="B2965" s="35"/>
      <c r="C2965" s="36"/>
      <c r="D2965" s="37"/>
      <c r="E2965" s="36"/>
      <c r="F2965" s="42"/>
      <c r="G2965" s="42"/>
      <c r="H2965" s="42"/>
      <c r="AG2965" s="19">
        <v>2964</v>
      </c>
      <c r="AH2965" s="20">
        <v>1644.4909540604344</v>
      </c>
    </row>
    <row r="2966" spans="1:34" ht="14.5" x14ac:dyDescent="0.35">
      <c r="A2966" s="34"/>
      <c r="B2966" s="35"/>
      <c r="C2966" s="36"/>
      <c r="D2966" s="37"/>
      <c r="E2966" s="36"/>
      <c r="F2966" s="42"/>
      <c r="G2966" s="42"/>
      <c r="H2966" s="42"/>
      <c r="AG2966" s="19">
        <v>2965</v>
      </c>
      <c r="AH2966" s="20">
        <v>-21.697373505298231</v>
      </c>
    </row>
    <row r="2967" spans="1:34" ht="14.5" x14ac:dyDescent="0.35">
      <c r="A2967" s="34"/>
      <c r="B2967" s="35"/>
      <c r="C2967" s="36"/>
      <c r="D2967" s="37"/>
      <c r="E2967" s="36"/>
      <c r="F2967" s="42"/>
      <c r="G2967" s="42"/>
      <c r="H2967" s="42"/>
      <c r="AG2967" s="19">
        <v>2966</v>
      </c>
      <c r="AH2967" s="20">
        <v>2320.683127793563</v>
      </c>
    </row>
    <row r="2968" spans="1:34" ht="14.5" x14ac:dyDescent="0.35">
      <c r="A2968" s="34"/>
      <c r="B2968" s="35"/>
      <c r="C2968" s="36"/>
      <c r="D2968" s="37"/>
      <c r="E2968" s="36"/>
      <c r="F2968" s="42"/>
      <c r="G2968" s="42"/>
      <c r="H2968" s="42"/>
      <c r="AG2968" s="19">
        <v>2967</v>
      </c>
      <c r="AH2968" s="20">
        <v>1867.4925082313232</v>
      </c>
    </row>
    <row r="2969" spans="1:34" ht="14.5" x14ac:dyDescent="0.35">
      <c r="A2969" s="34"/>
      <c r="B2969" s="35"/>
      <c r="C2969" s="36"/>
      <c r="D2969" s="37"/>
      <c r="E2969" s="36"/>
      <c r="F2969" s="42"/>
      <c r="G2969" s="42"/>
      <c r="H2969" s="42"/>
      <c r="AG2969" s="19">
        <v>2968</v>
      </c>
      <c r="AH2969" s="20">
        <v>-2762.7034256670199</v>
      </c>
    </row>
    <row r="2970" spans="1:34" ht="14.5" x14ac:dyDescent="0.35">
      <c r="A2970" s="34"/>
      <c r="B2970" s="35"/>
      <c r="C2970" s="36"/>
      <c r="D2970" s="37"/>
      <c r="E2970" s="36"/>
      <c r="F2970" s="42"/>
      <c r="G2970" s="42"/>
      <c r="H2970" s="42"/>
      <c r="AG2970" s="19">
        <v>2969</v>
      </c>
      <c r="AH2970" s="20">
        <v>3502.3371872587136</v>
      </c>
    </row>
    <row r="2971" spans="1:34" ht="14.5" x14ac:dyDescent="0.35">
      <c r="A2971" s="34"/>
      <c r="B2971" s="35"/>
      <c r="C2971" s="36"/>
      <c r="D2971" s="37"/>
      <c r="E2971" s="36"/>
      <c r="F2971" s="42"/>
      <c r="G2971" s="42"/>
      <c r="H2971" s="42"/>
      <c r="AG2971" s="19">
        <v>2970</v>
      </c>
      <c r="AH2971" s="20">
        <v>659.90514527135224</v>
      </c>
    </row>
    <row r="2972" spans="1:34" ht="14.5" x14ac:dyDescent="0.35">
      <c r="A2972" s="34"/>
      <c r="B2972" s="35"/>
      <c r="C2972" s="36"/>
      <c r="D2972" s="37"/>
      <c r="E2972" s="36"/>
      <c r="F2972" s="42"/>
      <c r="G2972" s="42"/>
      <c r="H2972" s="42"/>
      <c r="AG2972" s="19">
        <v>2971</v>
      </c>
      <c r="AH2972" s="20">
        <v>963.55888784354624</v>
      </c>
    </row>
    <row r="2973" spans="1:34" ht="14.5" x14ac:dyDescent="0.35">
      <c r="A2973" s="34"/>
      <c r="B2973" s="35"/>
      <c r="C2973" s="36"/>
      <c r="D2973" s="37"/>
      <c r="E2973" s="36"/>
      <c r="F2973" s="42"/>
      <c r="G2973" s="42"/>
      <c r="H2973" s="42"/>
      <c r="AG2973" s="19">
        <v>2972</v>
      </c>
      <c r="AH2973" s="20">
        <v>584.58006053311021</v>
      </c>
    </row>
    <row r="2974" spans="1:34" ht="14.5" x14ac:dyDescent="0.35">
      <c r="A2974" s="34"/>
      <c r="B2974" s="35"/>
      <c r="C2974" s="36"/>
      <c r="D2974" s="37"/>
      <c r="E2974" s="36"/>
      <c r="F2974" s="42"/>
      <c r="G2974" s="42"/>
      <c r="H2974" s="42"/>
      <c r="AG2974" s="19">
        <v>2973</v>
      </c>
      <c r="AH2974" s="20">
        <v>3116.1763862936727</v>
      </c>
    </row>
    <row r="2975" spans="1:34" ht="14.5" x14ac:dyDescent="0.35">
      <c r="A2975" s="34"/>
      <c r="B2975" s="35"/>
      <c r="C2975" s="36"/>
      <c r="D2975" s="37"/>
      <c r="E2975" s="36"/>
      <c r="F2975" s="42"/>
      <c r="G2975" s="42"/>
      <c r="H2975" s="42"/>
      <c r="AG2975" s="19">
        <v>2974</v>
      </c>
      <c r="AH2975" s="20">
        <v>1166.5835726155533</v>
      </c>
    </row>
    <row r="2976" spans="1:34" ht="14.5" x14ac:dyDescent="0.35">
      <c r="A2976" s="34"/>
      <c r="B2976" s="35"/>
      <c r="C2976" s="36"/>
      <c r="D2976" s="37"/>
      <c r="E2976" s="36"/>
      <c r="F2976" s="42"/>
      <c r="G2976" s="42"/>
      <c r="H2976" s="42"/>
      <c r="AG2976" s="19">
        <v>2975</v>
      </c>
      <c r="AH2976" s="20">
        <v>-3737.2908049489542</v>
      </c>
    </row>
    <row r="2977" spans="1:34" ht="14.5" x14ac:dyDescent="0.35">
      <c r="A2977" s="34"/>
      <c r="B2977" s="35"/>
      <c r="C2977" s="36"/>
      <c r="D2977" s="37"/>
      <c r="E2977" s="36"/>
      <c r="F2977" s="42"/>
      <c r="G2977" s="42"/>
      <c r="H2977" s="42"/>
      <c r="AG2977" s="19">
        <v>2976</v>
      </c>
      <c r="AH2977" s="20">
        <v>56.856872416904991</v>
      </c>
    </row>
    <row r="2978" spans="1:34" ht="14.5" x14ac:dyDescent="0.35">
      <c r="A2978" s="34"/>
      <c r="B2978" s="35"/>
      <c r="C2978" s="36"/>
      <c r="D2978" s="37"/>
      <c r="E2978" s="36"/>
      <c r="F2978" s="42"/>
      <c r="G2978" s="42"/>
      <c r="H2978" s="42"/>
      <c r="AG2978" s="19">
        <v>2977</v>
      </c>
      <c r="AH2978" s="20">
        <v>491.17270549624328</v>
      </c>
    </row>
    <row r="2979" spans="1:34" ht="14.5" x14ac:dyDescent="0.35">
      <c r="A2979" s="34"/>
      <c r="B2979" s="35"/>
      <c r="C2979" s="36"/>
      <c r="D2979" s="37"/>
      <c r="E2979" s="36"/>
      <c r="F2979" s="42"/>
      <c r="G2979" s="42"/>
      <c r="H2979" s="42"/>
      <c r="AG2979" s="19">
        <v>2978</v>
      </c>
      <c r="AH2979" s="20">
        <v>-824.99461429083067</v>
      </c>
    </row>
    <row r="2980" spans="1:34" ht="14.5" x14ac:dyDescent="0.35">
      <c r="A2980" s="34"/>
      <c r="B2980" s="35"/>
      <c r="C2980" s="36"/>
      <c r="D2980" s="37"/>
      <c r="E2980" s="36"/>
      <c r="F2980" s="42"/>
      <c r="G2980" s="42"/>
      <c r="H2980" s="42"/>
      <c r="AG2980" s="19">
        <v>2979</v>
      </c>
      <c r="AH2980" s="20">
        <v>-3362.6306199536998</v>
      </c>
    </row>
    <row r="2981" spans="1:34" ht="14.5" x14ac:dyDescent="0.35">
      <c r="A2981" s="34"/>
      <c r="B2981" s="35"/>
      <c r="C2981" s="36"/>
      <c r="D2981" s="37"/>
      <c r="E2981" s="36"/>
      <c r="F2981" s="42"/>
      <c r="G2981" s="42"/>
      <c r="H2981" s="42"/>
      <c r="AG2981" s="19">
        <v>2980</v>
      </c>
      <c r="AH2981" s="20">
        <v>2479.4901381423865</v>
      </c>
    </row>
    <row r="2982" spans="1:34" ht="14.5" x14ac:dyDescent="0.35">
      <c r="A2982" s="34"/>
      <c r="B2982" s="35"/>
      <c r="C2982" s="36"/>
      <c r="D2982" s="37"/>
      <c r="E2982" s="36"/>
      <c r="F2982" s="42"/>
      <c r="G2982" s="42"/>
      <c r="H2982" s="42"/>
      <c r="AG2982" s="19">
        <v>2981</v>
      </c>
      <c r="AH2982" s="20">
        <v>-2061.2827434051001</v>
      </c>
    </row>
    <row r="2983" spans="1:34" ht="14.5" x14ac:dyDescent="0.35">
      <c r="A2983" s="34"/>
      <c r="B2983" s="35"/>
      <c r="C2983" s="36"/>
      <c r="D2983" s="37"/>
      <c r="E2983" s="36"/>
      <c r="F2983" s="42"/>
      <c r="G2983" s="42"/>
      <c r="H2983" s="42"/>
      <c r="AG2983" s="19">
        <v>2982</v>
      </c>
      <c r="AH2983" s="20">
        <v>-1.6577690159371627</v>
      </c>
    </row>
    <row r="2984" spans="1:34" ht="14.5" x14ac:dyDescent="0.35">
      <c r="A2984" s="34"/>
      <c r="B2984" s="35"/>
      <c r="C2984" s="36"/>
      <c r="D2984" s="37"/>
      <c r="E2984" s="36"/>
      <c r="F2984" s="42"/>
      <c r="G2984" s="42"/>
      <c r="H2984" s="42"/>
      <c r="AG2984" s="19">
        <v>2983</v>
      </c>
      <c r="AH2984" s="20">
        <v>486.59546045834486</v>
      </c>
    </row>
    <row r="2985" spans="1:34" ht="14.5" x14ac:dyDescent="0.35">
      <c r="A2985" s="34"/>
      <c r="B2985" s="35"/>
      <c r="C2985" s="36"/>
      <c r="D2985" s="37"/>
      <c r="E2985" s="36"/>
      <c r="F2985" s="42"/>
      <c r="G2985" s="42"/>
      <c r="H2985" s="42"/>
      <c r="AG2985" s="19">
        <v>2984</v>
      </c>
      <c r="AH2985" s="20">
        <v>2473.4537185783674</v>
      </c>
    </row>
    <row r="2986" spans="1:34" ht="14.5" x14ac:dyDescent="0.35">
      <c r="A2986" s="34"/>
      <c r="B2986" s="35"/>
      <c r="C2986" s="36"/>
      <c r="D2986" s="37"/>
      <c r="E2986" s="36"/>
      <c r="F2986" s="42"/>
      <c r="G2986" s="42"/>
      <c r="H2986" s="42"/>
      <c r="AG2986" s="19">
        <v>2985</v>
      </c>
      <c r="AH2986" s="20">
        <v>261.12597971552901</v>
      </c>
    </row>
    <row r="2987" spans="1:34" ht="14.5" x14ac:dyDescent="0.35">
      <c r="A2987" s="34"/>
      <c r="B2987" s="35"/>
      <c r="C2987" s="36"/>
      <c r="D2987" s="37"/>
      <c r="E2987" s="36"/>
      <c r="F2987" s="42"/>
      <c r="G2987" s="42"/>
      <c r="H2987" s="42"/>
      <c r="AG2987" s="19">
        <v>2986</v>
      </c>
      <c r="AH2987" s="20">
        <v>3448.890331318049</v>
      </c>
    </row>
    <row r="2988" spans="1:34" ht="14.5" x14ac:dyDescent="0.35">
      <c r="A2988" s="34"/>
      <c r="B2988" s="35"/>
      <c r="C2988" s="36"/>
      <c r="D2988" s="37"/>
      <c r="E2988" s="36"/>
      <c r="F2988" s="42"/>
      <c r="G2988" s="42"/>
      <c r="H2988" s="42"/>
      <c r="AG2988" s="19">
        <v>2987</v>
      </c>
      <c r="AH2988" s="20">
        <v>922.59338097766431</v>
      </c>
    </row>
    <row r="2989" spans="1:34" ht="14.5" x14ac:dyDescent="0.35">
      <c r="A2989" s="34"/>
      <c r="B2989" s="35"/>
      <c r="C2989" s="36"/>
      <c r="D2989" s="37"/>
      <c r="E2989" s="36"/>
      <c r="F2989" s="42"/>
      <c r="G2989" s="42"/>
      <c r="H2989" s="42"/>
      <c r="AG2989" s="19">
        <v>2988</v>
      </c>
      <c r="AH2989" s="20">
        <v>-933.36443302570478</v>
      </c>
    </row>
    <row r="2990" spans="1:34" ht="14.5" x14ac:dyDescent="0.35">
      <c r="A2990" s="34"/>
      <c r="B2990" s="35"/>
      <c r="C2990" s="36"/>
      <c r="D2990" s="37"/>
      <c r="E2990" s="36"/>
      <c r="F2990" s="42"/>
      <c r="G2990" s="42"/>
      <c r="H2990" s="42"/>
      <c r="AG2990" s="19">
        <v>2989</v>
      </c>
      <c r="AH2990" s="20">
        <v>-23.784787187726579</v>
      </c>
    </row>
    <row r="2991" spans="1:34" ht="14.5" x14ac:dyDescent="0.35">
      <c r="A2991" s="34"/>
      <c r="B2991" s="35"/>
      <c r="C2991" s="36"/>
      <c r="D2991" s="37"/>
      <c r="E2991" s="36"/>
      <c r="F2991" s="42"/>
      <c r="G2991" s="42"/>
      <c r="H2991" s="42"/>
      <c r="AG2991" s="19">
        <v>2990</v>
      </c>
      <c r="AH2991" s="20">
        <v>-139.95030916585159</v>
      </c>
    </row>
    <row r="2992" spans="1:34" ht="14.5" x14ac:dyDescent="0.35">
      <c r="A2992" s="34"/>
      <c r="B2992" s="35"/>
      <c r="C2992" s="36"/>
      <c r="D2992" s="37"/>
      <c r="E2992" s="36"/>
      <c r="F2992" s="42"/>
      <c r="G2992" s="42"/>
      <c r="H2992" s="42"/>
      <c r="AG2992" s="19">
        <v>2991</v>
      </c>
      <c r="AH2992" s="20">
        <v>1393.7497881684701</v>
      </c>
    </row>
    <row r="2993" spans="1:34" ht="14.5" x14ac:dyDescent="0.35">
      <c r="A2993" s="34"/>
      <c r="B2993" s="35"/>
      <c r="C2993" s="36"/>
      <c r="D2993" s="37"/>
      <c r="E2993" s="36"/>
      <c r="F2993" s="42"/>
      <c r="G2993" s="42"/>
      <c r="H2993" s="42"/>
      <c r="AG2993" s="19">
        <v>2992</v>
      </c>
      <c r="AH2993" s="20">
        <v>-1283.0072576569496</v>
      </c>
    </row>
    <row r="2994" spans="1:34" ht="14.5" x14ac:dyDescent="0.35">
      <c r="A2994" s="34"/>
      <c r="B2994" s="35"/>
      <c r="C2994" s="36"/>
      <c r="D2994" s="37"/>
      <c r="E2994" s="36"/>
      <c r="F2994" s="42"/>
      <c r="G2994" s="42"/>
      <c r="H2994" s="42"/>
      <c r="AG2994" s="19">
        <v>2993</v>
      </c>
      <c r="AH2994" s="20">
        <v>-2296.0939517518082</v>
      </c>
    </row>
    <row r="2995" spans="1:34" ht="14.5" x14ac:dyDescent="0.35">
      <c r="A2995" s="34"/>
      <c r="B2995" s="35"/>
      <c r="C2995" s="36"/>
      <c r="D2995" s="37"/>
      <c r="E2995" s="36"/>
      <c r="F2995" s="42"/>
      <c r="G2995" s="42"/>
      <c r="H2995" s="42"/>
      <c r="AG2995" s="19">
        <v>2994</v>
      </c>
      <c r="AH2995" s="20">
        <v>-2122.5667204645547</v>
      </c>
    </row>
    <row r="2996" spans="1:34" ht="14.5" x14ac:dyDescent="0.35">
      <c r="A2996" s="34"/>
      <c r="B2996" s="35"/>
      <c r="C2996" s="36"/>
      <c r="D2996" s="37"/>
      <c r="E2996" s="36"/>
      <c r="F2996" s="42"/>
      <c r="G2996" s="42"/>
      <c r="H2996" s="42"/>
      <c r="AG2996" s="19">
        <v>2995</v>
      </c>
      <c r="AH2996" s="20">
        <v>-3017.9863269901721</v>
      </c>
    </row>
    <row r="2997" spans="1:34" ht="14.5" x14ac:dyDescent="0.35">
      <c r="A2997" s="34"/>
      <c r="B2997" s="35"/>
      <c r="C2997" s="36"/>
      <c r="D2997" s="37"/>
      <c r="E2997" s="36"/>
      <c r="F2997" s="42"/>
      <c r="G2997" s="42"/>
      <c r="H2997" s="42"/>
      <c r="AG2997" s="19">
        <v>2996</v>
      </c>
      <c r="AH2997" s="20">
        <v>-3078.3493842699977</v>
      </c>
    </row>
    <row r="2998" spans="1:34" ht="14.5" x14ac:dyDescent="0.35">
      <c r="A2998" s="34"/>
      <c r="B2998" s="35"/>
      <c r="C2998" s="36"/>
      <c r="D2998" s="37"/>
      <c r="E2998" s="36"/>
      <c r="F2998" s="42"/>
      <c r="G2998" s="42"/>
      <c r="H2998" s="42"/>
      <c r="AG2998" s="19">
        <v>2997</v>
      </c>
      <c r="AH2998" s="20">
        <v>27.459392535808547</v>
      </c>
    </row>
    <row r="2999" spans="1:34" ht="14.5" x14ac:dyDescent="0.35">
      <c r="A2999" s="34"/>
      <c r="B2999" s="35"/>
      <c r="C2999" s="36"/>
      <c r="D2999" s="37"/>
      <c r="E2999" s="36"/>
      <c r="F2999" s="42"/>
      <c r="G2999" s="42"/>
      <c r="H2999" s="42"/>
      <c r="AG2999" s="19">
        <v>2998</v>
      </c>
      <c r="AH2999" s="20">
        <v>3512.9796450187864</v>
      </c>
    </row>
    <row r="3000" spans="1:34" ht="14.5" x14ac:dyDescent="0.35">
      <c r="A3000" s="34"/>
      <c r="B3000" s="35"/>
      <c r="C3000" s="36"/>
      <c r="D3000" s="37"/>
      <c r="E3000" s="36"/>
      <c r="F3000" s="42"/>
      <c r="G3000" s="42"/>
      <c r="H3000" s="42"/>
      <c r="AG3000" s="19">
        <v>2999</v>
      </c>
      <c r="AH3000" s="20">
        <v>1755.7034041807246</v>
      </c>
    </row>
    <row r="3001" spans="1:34" ht="14.5" x14ac:dyDescent="0.35">
      <c r="A3001" s="34"/>
      <c r="B3001" s="35"/>
      <c r="C3001" s="36"/>
      <c r="D3001" s="37"/>
      <c r="E3001" s="36"/>
      <c r="F3001" s="42"/>
      <c r="G3001" s="42"/>
      <c r="H3001" s="42"/>
      <c r="AG3001" s="19">
        <v>3000</v>
      </c>
      <c r="AH3001" s="20">
        <v>-549.81897121219163</v>
      </c>
    </row>
    <row r="3002" spans="1:34" ht="14.5" x14ac:dyDescent="0.35">
      <c r="A3002" s="34"/>
      <c r="B3002" s="35"/>
      <c r="C3002" s="36"/>
      <c r="D3002" s="37"/>
      <c r="E3002" s="36"/>
      <c r="F3002" s="42"/>
      <c r="G3002" s="42"/>
      <c r="H3002" s="42"/>
      <c r="AG3002" s="19">
        <v>3001</v>
      </c>
      <c r="AH3002" s="20">
        <v>-1738.9667745064482</v>
      </c>
    </row>
    <row r="3003" spans="1:34" ht="14.5" x14ac:dyDescent="0.35">
      <c r="A3003" s="34"/>
      <c r="B3003" s="35"/>
      <c r="C3003" s="36"/>
      <c r="D3003" s="37"/>
      <c r="E3003" s="36"/>
      <c r="F3003" s="42"/>
      <c r="G3003" s="42"/>
      <c r="H3003" s="42"/>
      <c r="AG3003" s="19">
        <v>3002</v>
      </c>
      <c r="AH3003" s="20">
        <v>2305.5387233707061</v>
      </c>
    </row>
    <row r="3004" spans="1:34" ht="14.5" x14ac:dyDescent="0.35">
      <c r="A3004" s="34"/>
      <c r="B3004" s="35"/>
      <c r="C3004" s="36"/>
      <c r="D3004" s="37"/>
      <c r="E3004" s="36"/>
      <c r="F3004" s="42"/>
      <c r="G3004" s="42"/>
      <c r="H3004" s="42"/>
      <c r="AG3004" s="19">
        <v>3003</v>
      </c>
      <c r="AH3004" s="20">
        <v>2695.7451814499436</v>
      </c>
    </row>
    <row r="3005" spans="1:34" ht="14.5" x14ac:dyDescent="0.35">
      <c r="A3005" s="34"/>
      <c r="B3005" s="35"/>
      <c r="C3005" s="36"/>
      <c r="D3005" s="37"/>
      <c r="E3005" s="36"/>
      <c r="F3005" s="42"/>
      <c r="G3005" s="42"/>
      <c r="H3005" s="42"/>
      <c r="AG3005" s="19">
        <v>3004</v>
      </c>
      <c r="AH3005" s="20">
        <v>-613.45548714721394</v>
      </c>
    </row>
    <row r="3006" spans="1:34" ht="14.5" x14ac:dyDescent="0.35">
      <c r="A3006" s="34"/>
      <c r="B3006" s="35"/>
      <c r="C3006" s="36"/>
      <c r="D3006" s="37"/>
      <c r="E3006" s="36"/>
      <c r="F3006" s="42"/>
      <c r="G3006" s="42"/>
      <c r="H3006" s="42"/>
      <c r="AG3006" s="19">
        <v>3005</v>
      </c>
      <c r="AH3006" s="20">
        <v>-4019.3759341146688</v>
      </c>
    </row>
    <row r="3007" spans="1:34" ht="14.5" x14ac:dyDescent="0.35">
      <c r="A3007" s="34"/>
      <c r="B3007" s="35"/>
      <c r="C3007" s="36"/>
      <c r="D3007" s="37"/>
      <c r="E3007" s="36"/>
      <c r="F3007" s="42"/>
      <c r="G3007" s="42"/>
      <c r="H3007" s="42"/>
      <c r="AG3007" s="19">
        <v>3006</v>
      </c>
      <c r="AH3007" s="20">
        <v>-716.903600261257</v>
      </c>
    </row>
    <row r="3008" spans="1:34" ht="14.5" x14ac:dyDescent="0.35">
      <c r="A3008" s="34"/>
      <c r="B3008" s="35"/>
      <c r="C3008" s="36"/>
      <c r="D3008" s="37"/>
      <c r="E3008" s="36"/>
      <c r="F3008" s="42"/>
      <c r="G3008" s="42"/>
      <c r="H3008" s="42"/>
      <c r="AG3008" s="19">
        <v>3007</v>
      </c>
      <c r="AH3008" s="20">
        <v>2830.8068978963051</v>
      </c>
    </row>
    <row r="3009" spans="1:34" ht="14.5" x14ac:dyDescent="0.35">
      <c r="A3009" s="34"/>
      <c r="B3009" s="35"/>
      <c r="C3009" s="36"/>
      <c r="D3009" s="37"/>
      <c r="E3009" s="36"/>
      <c r="F3009" s="42"/>
      <c r="G3009" s="42"/>
      <c r="H3009" s="42"/>
      <c r="AG3009" s="19">
        <v>3008</v>
      </c>
      <c r="AH3009" s="20">
        <v>-1096.700572019078</v>
      </c>
    </row>
    <row r="3010" spans="1:34" ht="14.5" x14ac:dyDescent="0.35">
      <c r="A3010" s="34"/>
      <c r="B3010" s="35"/>
      <c r="C3010" s="36"/>
      <c r="D3010" s="37"/>
      <c r="E3010" s="36"/>
      <c r="F3010" s="42"/>
      <c r="G3010" s="42"/>
      <c r="H3010" s="42"/>
      <c r="AG3010" s="19">
        <v>3009</v>
      </c>
      <c r="AH3010" s="20">
        <v>-5315.0433933452487</v>
      </c>
    </row>
    <row r="3011" spans="1:34" ht="14.5" x14ac:dyDescent="0.35">
      <c r="A3011" s="34"/>
      <c r="B3011" s="35"/>
      <c r="C3011" s="36"/>
      <c r="D3011" s="37"/>
      <c r="E3011" s="36"/>
      <c r="F3011" s="42"/>
      <c r="G3011" s="42"/>
      <c r="H3011" s="42"/>
      <c r="AG3011" s="19">
        <v>3010</v>
      </c>
      <c r="AH3011" s="20">
        <v>1800.4160786106656</v>
      </c>
    </row>
    <row r="3012" spans="1:34" ht="14.5" x14ac:dyDescent="0.35">
      <c r="A3012" s="34"/>
      <c r="B3012" s="35"/>
      <c r="C3012" s="36"/>
      <c r="D3012" s="37"/>
      <c r="E3012" s="36"/>
      <c r="F3012" s="42"/>
      <c r="G3012" s="42"/>
      <c r="H3012" s="42"/>
      <c r="AG3012" s="19">
        <v>3011</v>
      </c>
      <c r="AH3012" s="20">
        <v>-404.62269224736218</v>
      </c>
    </row>
    <row r="3013" spans="1:34" ht="14.5" x14ac:dyDescent="0.35">
      <c r="A3013" s="34"/>
      <c r="B3013" s="35"/>
      <c r="C3013" s="36"/>
      <c r="D3013" s="37"/>
      <c r="E3013" s="36"/>
      <c r="F3013" s="42"/>
      <c r="G3013" s="42"/>
      <c r="H3013" s="42"/>
      <c r="AG3013" s="19">
        <v>3012</v>
      </c>
      <c r="AH3013" s="20">
        <v>2071.6542482995869</v>
      </c>
    </row>
    <row r="3014" spans="1:34" ht="14.5" x14ac:dyDescent="0.35">
      <c r="A3014" s="34"/>
      <c r="B3014" s="35"/>
      <c r="C3014" s="36"/>
      <c r="D3014" s="37"/>
      <c r="E3014" s="36"/>
      <c r="F3014" s="42"/>
      <c r="G3014" s="42"/>
      <c r="H3014" s="42"/>
      <c r="AG3014" s="19">
        <v>3013</v>
      </c>
      <c r="AH3014" s="20">
        <v>-705.38153879536685</v>
      </c>
    </row>
    <row r="3015" spans="1:34" ht="14.5" x14ac:dyDescent="0.35">
      <c r="A3015" s="34"/>
      <c r="B3015" s="35"/>
      <c r="C3015" s="36"/>
      <c r="D3015" s="37"/>
      <c r="E3015" s="36"/>
      <c r="F3015" s="42"/>
      <c r="G3015" s="42"/>
      <c r="H3015" s="42"/>
      <c r="AG3015" s="19">
        <v>3014</v>
      </c>
      <c r="AH3015" s="20">
        <v>66.705607174736087</v>
      </c>
    </row>
    <row r="3016" spans="1:34" ht="14.5" x14ac:dyDescent="0.35">
      <c r="A3016" s="34"/>
      <c r="B3016" s="35"/>
      <c r="C3016" s="36"/>
      <c r="D3016" s="37"/>
      <c r="E3016" s="36"/>
      <c r="F3016" s="42"/>
      <c r="G3016" s="42"/>
      <c r="H3016" s="42"/>
      <c r="AG3016" s="19">
        <v>3015</v>
      </c>
      <c r="AH3016" s="20">
        <v>-1972.4391003461058</v>
      </c>
    </row>
    <row r="3017" spans="1:34" ht="14.5" x14ac:dyDescent="0.35">
      <c r="A3017" s="34"/>
      <c r="B3017" s="35"/>
      <c r="C3017" s="36"/>
      <c r="D3017" s="37"/>
      <c r="E3017" s="36"/>
      <c r="F3017" s="42"/>
      <c r="G3017" s="42"/>
      <c r="H3017" s="42"/>
      <c r="AG3017" s="19">
        <v>3016</v>
      </c>
      <c r="AH3017" s="20">
        <v>690.28856485474853</v>
      </c>
    </row>
    <row r="3018" spans="1:34" ht="14.5" x14ac:dyDescent="0.35">
      <c r="A3018" s="34"/>
      <c r="B3018" s="35"/>
      <c r="C3018" s="36"/>
      <c r="D3018" s="37"/>
      <c r="E3018" s="36"/>
      <c r="F3018" s="42"/>
      <c r="G3018" s="42"/>
      <c r="H3018" s="42"/>
      <c r="AG3018" s="19">
        <v>3017</v>
      </c>
      <c r="AH3018" s="20">
        <v>-1112.5110309165009</v>
      </c>
    </row>
    <row r="3019" spans="1:34" ht="14.5" x14ac:dyDescent="0.35">
      <c r="A3019" s="34"/>
      <c r="B3019" s="35"/>
      <c r="C3019" s="36"/>
      <c r="D3019" s="37"/>
      <c r="E3019" s="36"/>
      <c r="F3019" s="42"/>
      <c r="G3019" s="42"/>
      <c r="H3019" s="42"/>
      <c r="AG3019" s="19">
        <v>3018</v>
      </c>
      <c r="AH3019" s="20">
        <v>494.46363720237019</v>
      </c>
    </row>
    <row r="3020" spans="1:34" ht="14.5" x14ac:dyDescent="0.35">
      <c r="A3020" s="34"/>
      <c r="B3020" s="35"/>
      <c r="C3020" s="36"/>
      <c r="D3020" s="37"/>
      <c r="E3020" s="36"/>
      <c r="F3020" s="42"/>
      <c r="G3020" s="42"/>
      <c r="H3020" s="42"/>
      <c r="AG3020" s="19">
        <v>3019</v>
      </c>
      <c r="AH3020" s="20">
        <v>13.409980243524899</v>
      </c>
    </row>
    <row r="3021" spans="1:34" ht="14.5" x14ac:dyDescent="0.35">
      <c r="A3021" s="34"/>
      <c r="B3021" s="35"/>
      <c r="C3021" s="36"/>
      <c r="D3021" s="37"/>
      <c r="E3021" s="36"/>
      <c r="F3021" s="42"/>
      <c r="G3021" s="42"/>
      <c r="H3021" s="42"/>
      <c r="AG3021" s="19">
        <v>3020</v>
      </c>
      <c r="AH3021" s="20">
        <v>1067.3728008950968</v>
      </c>
    </row>
    <row r="3022" spans="1:34" ht="14.5" x14ac:dyDescent="0.35">
      <c r="A3022" s="34"/>
      <c r="B3022" s="35"/>
      <c r="C3022" s="36"/>
      <c r="D3022" s="37"/>
      <c r="E3022" s="36"/>
      <c r="F3022" s="42"/>
      <c r="G3022" s="42"/>
      <c r="H3022" s="42"/>
      <c r="AG3022" s="19">
        <v>3021</v>
      </c>
      <c r="AH3022" s="20">
        <v>-1778.8040011034625</v>
      </c>
    </row>
    <row r="3023" spans="1:34" ht="14.5" x14ac:dyDescent="0.35">
      <c r="A3023" s="34"/>
      <c r="B3023" s="35"/>
      <c r="C3023" s="36"/>
      <c r="D3023" s="37"/>
      <c r="E3023" s="36"/>
      <c r="F3023" s="42"/>
      <c r="G3023" s="42"/>
      <c r="H3023" s="42"/>
      <c r="AG3023" s="19">
        <v>3022</v>
      </c>
      <c r="AH3023" s="20">
        <v>215.70014318348487</v>
      </c>
    </row>
    <row r="3024" spans="1:34" ht="14.5" x14ac:dyDescent="0.35">
      <c r="A3024" s="34"/>
      <c r="B3024" s="35"/>
      <c r="C3024" s="36"/>
      <c r="D3024" s="37"/>
      <c r="E3024" s="36"/>
      <c r="F3024" s="42"/>
      <c r="G3024" s="42"/>
      <c r="H3024" s="42"/>
      <c r="AG3024" s="19">
        <v>3023</v>
      </c>
      <c r="AH3024" s="20">
        <v>741.52982300122903</v>
      </c>
    </row>
    <row r="3025" spans="1:34" ht="14.5" x14ac:dyDescent="0.35">
      <c r="A3025" s="34"/>
      <c r="B3025" s="35"/>
      <c r="C3025" s="36"/>
      <c r="D3025" s="37"/>
      <c r="E3025" s="36"/>
      <c r="F3025" s="42"/>
      <c r="G3025" s="42"/>
      <c r="H3025" s="42"/>
      <c r="AG3025" s="19">
        <v>3024</v>
      </c>
      <c r="AH3025" s="20">
        <v>1106.7540826141569</v>
      </c>
    </row>
    <row r="3026" spans="1:34" ht="14.5" x14ac:dyDescent="0.35">
      <c r="A3026" s="34"/>
      <c r="B3026" s="35"/>
      <c r="C3026" s="36"/>
      <c r="D3026" s="37"/>
      <c r="E3026" s="36"/>
      <c r="F3026" s="42"/>
      <c r="G3026" s="42"/>
      <c r="H3026" s="42"/>
      <c r="AG3026" s="19">
        <v>3025</v>
      </c>
      <c r="AH3026" s="20">
        <v>835.75672366778997</v>
      </c>
    </row>
    <row r="3027" spans="1:34" ht="14.5" x14ac:dyDescent="0.35">
      <c r="A3027" s="34"/>
      <c r="B3027" s="35"/>
      <c r="C3027" s="36"/>
      <c r="D3027" s="37"/>
      <c r="E3027" s="36"/>
      <c r="F3027" s="42"/>
      <c r="G3027" s="42"/>
      <c r="H3027" s="42"/>
      <c r="AG3027" s="19">
        <v>3026</v>
      </c>
      <c r="AH3027" s="20">
        <v>3128.9886633305109</v>
      </c>
    </row>
    <row r="3028" spans="1:34" ht="14.5" x14ac:dyDescent="0.35">
      <c r="A3028" s="34"/>
      <c r="B3028" s="35"/>
      <c r="C3028" s="36"/>
      <c r="D3028" s="37"/>
      <c r="E3028" s="36"/>
      <c r="F3028" s="42"/>
      <c r="G3028" s="42"/>
      <c r="H3028" s="42"/>
      <c r="AG3028" s="19">
        <v>3027</v>
      </c>
      <c r="AH3028" s="20">
        <v>-1160.6246538315986</v>
      </c>
    </row>
    <row r="3029" spans="1:34" ht="14.5" x14ac:dyDescent="0.35">
      <c r="A3029" s="34"/>
      <c r="B3029" s="35"/>
      <c r="C3029" s="36"/>
      <c r="D3029" s="37"/>
      <c r="E3029" s="36"/>
      <c r="F3029" s="42"/>
      <c r="G3029" s="42"/>
      <c r="H3029" s="42"/>
      <c r="AG3029" s="19">
        <v>3028</v>
      </c>
      <c r="AH3029" s="20">
        <v>1912.967235402446</v>
      </c>
    </row>
    <row r="3030" spans="1:34" ht="14.5" x14ac:dyDescent="0.35">
      <c r="A3030" s="34"/>
      <c r="B3030" s="35"/>
      <c r="C3030" s="36"/>
      <c r="D3030" s="37"/>
      <c r="E3030" s="36"/>
      <c r="F3030" s="42"/>
      <c r="G3030" s="42"/>
      <c r="H3030" s="42"/>
      <c r="AG3030" s="19">
        <v>3029</v>
      </c>
      <c r="AH3030" s="20">
        <v>-3682.4338043585785</v>
      </c>
    </row>
    <row r="3031" spans="1:34" ht="14.5" x14ac:dyDescent="0.35">
      <c r="A3031" s="34"/>
      <c r="B3031" s="35"/>
      <c r="C3031" s="36"/>
      <c r="D3031" s="37"/>
      <c r="E3031" s="36"/>
      <c r="F3031" s="42"/>
      <c r="G3031" s="42"/>
      <c r="H3031" s="42"/>
      <c r="AG3031" s="19">
        <v>3030</v>
      </c>
      <c r="AH3031" s="20">
        <v>3807.4360422394548</v>
      </c>
    </row>
    <row r="3032" spans="1:34" ht="14.5" x14ac:dyDescent="0.35">
      <c r="A3032" s="34"/>
      <c r="B3032" s="35"/>
      <c r="C3032" s="36"/>
      <c r="D3032" s="37"/>
      <c r="E3032" s="36"/>
      <c r="F3032" s="42"/>
      <c r="G3032" s="42"/>
      <c r="H3032" s="42"/>
      <c r="AG3032" s="19">
        <v>3031</v>
      </c>
      <c r="AH3032" s="20">
        <v>1131.4614788786059</v>
      </c>
    </row>
    <row r="3033" spans="1:34" ht="14.5" x14ac:dyDescent="0.35">
      <c r="A3033" s="34"/>
      <c r="B3033" s="35"/>
      <c r="C3033" s="36"/>
      <c r="D3033" s="37"/>
      <c r="E3033" s="36"/>
      <c r="F3033" s="42"/>
      <c r="G3033" s="42"/>
      <c r="H3033" s="42"/>
      <c r="AG3033" s="19">
        <v>3032</v>
      </c>
      <c r="AH3033" s="20">
        <v>-309.23781501221009</v>
      </c>
    </row>
    <row r="3034" spans="1:34" ht="14.5" x14ac:dyDescent="0.35">
      <c r="A3034" s="34"/>
      <c r="B3034" s="35"/>
      <c r="C3034" s="36"/>
      <c r="D3034" s="37"/>
      <c r="E3034" s="36"/>
      <c r="F3034" s="42"/>
      <c r="G3034" s="42"/>
      <c r="H3034" s="42"/>
      <c r="AG3034" s="19">
        <v>3033</v>
      </c>
      <c r="AH3034" s="20">
        <v>3478.4644898964534</v>
      </c>
    </row>
    <row r="3035" spans="1:34" ht="14.5" x14ac:dyDescent="0.35">
      <c r="A3035" s="34"/>
      <c r="B3035" s="35"/>
      <c r="C3035" s="36"/>
      <c r="D3035" s="37"/>
      <c r="E3035" s="36"/>
      <c r="F3035" s="42"/>
      <c r="G3035" s="42"/>
      <c r="H3035" s="42"/>
      <c r="AG3035" s="19">
        <v>3034</v>
      </c>
      <c r="AH3035" s="20">
        <v>-2818.6743121974173</v>
      </c>
    </row>
    <row r="3036" spans="1:34" ht="14.5" x14ac:dyDescent="0.35">
      <c r="A3036" s="34"/>
      <c r="B3036" s="35"/>
      <c r="C3036" s="36"/>
      <c r="D3036" s="37"/>
      <c r="E3036" s="36"/>
      <c r="F3036" s="42"/>
      <c r="G3036" s="42"/>
      <c r="H3036" s="42"/>
      <c r="AG3036" s="19">
        <v>3035</v>
      </c>
      <c r="AH3036" s="20">
        <v>-1088.3046776074154</v>
      </c>
    </row>
    <row r="3037" spans="1:34" ht="14.5" x14ac:dyDescent="0.35">
      <c r="A3037" s="34"/>
      <c r="B3037" s="35"/>
      <c r="C3037" s="36"/>
      <c r="D3037" s="37"/>
      <c r="E3037" s="36"/>
      <c r="F3037" s="42"/>
      <c r="G3037" s="42"/>
      <c r="H3037" s="42"/>
      <c r="AG3037" s="19">
        <v>3036</v>
      </c>
      <c r="AH3037" s="20">
        <v>-1722.0685533308676</v>
      </c>
    </row>
    <row r="3038" spans="1:34" ht="14.5" x14ac:dyDescent="0.35">
      <c r="A3038" s="34"/>
      <c r="B3038" s="35"/>
      <c r="C3038" s="36"/>
      <c r="D3038" s="37"/>
      <c r="E3038" s="36"/>
      <c r="F3038" s="42"/>
      <c r="G3038" s="42"/>
      <c r="H3038" s="42"/>
      <c r="AG3038" s="19">
        <v>3037</v>
      </c>
      <c r="AH3038" s="20">
        <v>-579.61106655508661</v>
      </c>
    </row>
    <row r="3039" spans="1:34" ht="14.5" x14ac:dyDescent="0.35">
      <c r="A3039" s="34"/>
      <c r="B3039" s="35"/>
      <c r="C3039" s="36"/>
      <c r="D3039" s="37"/>
      <c r="E3039" s="36"/>
      <c r="F3039" s="42"/>
      <c r="G3039" s="42"/>
      <c r="H3039" s="42"/>
      <c r="AG3039" s="19">
        <v>3038</v>
      </c>
      <c r="AH3039" s="20">
        <v>-759.74552331020709</v>
      </c>
    </row>
    <row r="3040" spans="1:34" ht="14.5" x14ac:dyDescent="0.35">
      <c r="A3040" s="34"/>
      <c r="B3040" s="35"/>
      <c r="C3040" s="36"/>
      <c r="D3040" s="37"/>
      <c r="E3040" s="36"/>
      <c r="F3040" s="42"/>
      <c r="G3040" s="42"/>
      <c r="H3040" s="42"/>
      <c r="AG3040" s="19">
        <v>3039</v>
      </c>
      <c r="AH3040" s="20">
        <v>315.7306311965902</v>
      </c>
    </row>
    <row r="3041" spans="1:34" ht="14.5" x14ac:dyDescent="0.35">
      <c r="A3041" s="34"/>
      <c r="B3041" s="35"/>
      <c r="C3041" s="36"/>
      <c r="D3041" s="37"/>
      <c r="E3041" s="36"/>
      <c r="F3041" s="42"/>
      <c r="G3041" s="42"/>
      <c r="H3041" s="42"/>
      <c r="AG3041" s="19">
        <v>3040</v>
      </c>
      <c r="AH3041" s="20">
        <v>3679.4821544569877</v>
      </c>
    </row>
    <row r="3042" spans="1:34" ht="14.5" x14ac:dyDescent="0.35">
      <c r="A3042" s="34"/>
      <c r="B3042" s="35"/>
      <c r="C3042" s="36"/>
      <c r="D3042" s="37"/>
      <c r="E3042" s="36"/>
      <c r="F3042" s="42"/>
      <c r="G3042" s="42"/>
      <c r="H3042" s="42"/>
      <c r="AG3042" s="19">
        <v>3041</v>
      </c>
      <c r="AH3042" s="20">
        <v>-441.37390200283659</v>
      </c>
    </row>
    <row r="3043" spans="1:34" ht="14.5" x14ac:dyDescent="0.35">
      <c r="A3043" s="34"/>
      <c r="B3043" s="35"/>
      <c r="C3043" s="36"/>
      <c r="D3043" s="37"/>
      <c r="E3043" s="36"/>
      <c r="F3043" s="42"/>
      <c r="G3043" s="42"/>
      <c r="H3043" s="42"/>
      <c r="AG3043" s="19">
        <v>3042</v>
      </c>
      <c r="AH3043" s="20">
        <v>-1778.7002625500811</v>
      </c>
    </row>
    <row r="3044" spans="1:34" ht="14.5" x14ac:dyDescent="0.35">
      <c r="A3044" s="34"/>
      <c r="B3044" s="35"/>
      <c r="C3044" s="36"/>
      <c r="D3044" s="37"/>
      <c r="E3044" s="36"/>
      <c r="F3044" s="42"/>
      <c r="G3044" s="42"/>
      <c r="H3044" s="42"/>
      <c r="AG3044" s="19">
        <v>3043</v>
      </c>
      <c r="AH3044" s="20">
        <v>1495.0002931358299</v>
      </c>
    </row>
    <row r="3045" spans="1:34" ht="14.5" x14ac:dyDescent="0.35">
      <c r="A3045" s="34"/>
      <c r="B3045" s="35"/>
      <c r="C3045" s="36"/>
      <c r="D3045" s="37"/>
      <c r="E3045" s="36"/>
      <c r="F3045" s="42"/>
      <c r="G3045" s="42"/>
      <c r="H3045" s="42"/>
      <c r="AG3045" s="19">
        <v>3044</v>
      </c>
      <c r="AH3045" s="20">
        <v>-811.31485950714591</v>
      </c>
    </row>
    <row r="3046" spans="1:34" ht="14.5" x14ac:dyDescent="0.35">
      <c r="A3046" s="34"/>
      <c r="B3046" s="35"/>
      <c r="C3046" s="36"/>
      <c r="D3046" s="37"/>
      <c r="E3046" s="36"/>
      <c r="F3046" s="42"/>
      <c r="G3046" s="42"/>
      <c r="H3046" s="42"/>
      <c r="AG3046" s="19">
        <v>3045</v>
      </c>
      <c r="AH3046" s="20">
        <v>-212.84569389844336</v>
      </c>
    </row>
    <row r="3047" spans="1:34" ht="14.5" x14ac:dyDescent="0.35">
      <c r="A3047" s="34"/>
      <c r="B3047" s="35"/>
      <c r="C3047" s="36"/>
      <c r="D3047" s="37"/>
      <c r="E3047" s="36"/>
      <c r="F3047" s="42"/>
      <c r="G3047" s="42"/>
      <c r="H3047" s="42"/>
      <c r="AG3047" s="19">
        <v>3046</v>
      </c>
      <c r="AH3047" s="20">
        <v>1211.490094611718</v>
      </c>
    </row>
    <row r="3048" spans="1:34" ht="14.5" x14ac:dyDescent="0.35">
      <c r="A3048" s="34"/>
      <c r="B3048" s="35"/>
      <c r="C3048" s="36"/>
      <c r="D3048" s="37"/>
      <c r="E3048" s="36"/>
      <c r="F3048" s="42"/>
      <c r="G3048" s="42"/>
      <c r="H3048" s="42"/>
      <c r="AG3048" s="19">
        <v>3047</v>
      </c>
      <c r="AH3048" s="20">
        <v>-3133.5716825972713</v>
      </c>
    </row>
    <row r="3049" spans="1:34" ht="14.5" x14ac:dyDescent="0.35">
      <c r="A3049" s="34"/>
      <c r="B3049" s="35"/>
      <c r="C3049" s="36"/>
      <c r="D3049" s="37"/>
      <c r="E3049" s="36"/>
      <c r="F3049" s="42"/>
      <c r="G3049" s="42"/>
      <c r="H3049" s="42"/>
      <c r="AG3049" s="19">
        <v>3048</v>
      </c>
      <c r="AH3049" s="20">
        <v>2376.5692839727776</v>
      </c>
    </row>
    <row r="3050" spans="1:34" ht="14.5" x14ac:dyDescent="0.35">
      <c r="A3050" s="34"/>
      <c r="B3050" s="35"/>
      <c r="C3050" s="36"/>
      <c r="D3050" s="37"/>
      <c r="E3050" s="36"/>
      <c r="F3050" s="42"/>
      <c r="G3050" s="42"/>
      <c r="H3050" s="42"/>
      <c r="AG3050" s="19">
        <v>3049</v>
      </c>
      <c r="AH3050" s="20">
        <v>1971.9982395224708</v>
      </c>
    </row>
    <row r="3051" spans="1:34" ht="14.5" x14ac:dyDescent="0.35">
      <c r="A3051" s="34"/>
      <c r="B3051" s="35"/>
      <c r="C3051" s="36"/>
      <c r="D3051" s="37"/>
      <c r="E3051" s="36"/>
      <c r="F3051" s="42"/>
      <c r="G3051" s="42"/>
      <c r="H3051" s="42"/>
      <c r="AG3051" s="19">
        <v>3050</v>
      </c>
      <c r="AH3051" s="20">
        <v>1364.7721941626191</v>
      </c>
    </row>
    <row r="3052" spans="1:34" ht="14.5" x14ac:dyDescent="0.35">
      <c r="A3052" s="34"/>
      <c r="B3052" s="35"/>
      <c r="C3052" s="36"/>
      <c r="D3052" s="37"/>
      <c r="E3052" s="36"/>
      <c r="F3052" s="42"/>
      <c r="G3052" s="42"/>
      <c r="H3052" s="42"/>
      <c r="AG3052" s="19">
        <v>3051</v>
      </c>
      <c r="AH3052" s="20">
        <v>1729.9603074705005</v>
      </c>
    </row>
    <row r="3053" spans="1:34" ht="14.5" x14ac:dyDescent="0.35">
      <c r="A3053" s="34"/>
      <c r="B3053" s="35"/>
      <c r="C3053" s="36"/>
      <c r="D3053" s="37"/>
      <c r="E3053" s="36"/>
      <c r="F3053" s="42"/>
      <c r="G3053" s="42"/>
      <c r="H3053" s="42"/>
      <c r="AG3053" s="19">
        <v>3052</v>
      </c>
      <c r="AH3053" s="20">
        <v>-1907.8805187443747</v>
      </c>
    </row>
    <row r="3054" spans="1:34" ht="14.5" x14ac:dyDescent="0.35">
      <c r="A3054" s="34"/>
      <c r="B3054" s="35"/>
      <c r="C3054" s="36"/>
      <c r="D3054" s="37"/>
      <c r="E3054" s="36"/>
      <c r="F3054" s="42"/>
      <c r="G3054" s="42"/>
      <c r="H3054" s="42"/>
      <c r="AG3054" s="19">
        <v>3053</v>
      </c>
      <c r="AH3054" s="20">
        <v>1315.5440485704389</v>
      </c>
    </row>
    <row r="3055" spans="1:34" ht="14.5" x14ac:dyDescent="0.35">
      <c r="A3055" s="34"/>
      <c r="B3055" s="35"/>
      <c r="C3055" s="36"/>
      <c r="D3055" s="37"/>
      <c r="E3055" s="36"/>
      <c r="F3055" s="42"/>
      <c r="G3055" s="42"/>
      <c r="H3055" s="42"/>
      <c r="AG3055" s="19">
        <v>3054</v>
      </c>
      <c r="AH3055" s="20">
        <v>-2689.671759695319</v>
      </c>
    </row>
    <row r="3056" spans="1:34" ht="14.5" x14ac:dyDescent="0.35">
      <c r="A3056" s="34"/>
      <c r="B3056" s="35"/>
      <c r="C3056" s="36"/>
      <c r="D3056" s="37"/>
      <c r="E3056" s="36"/>
      <c r="F3056" s="42"/>
      <c r="G3056" s="42"/>
      <c r="H3056" s="42"/>
      <c r="AG3056" s="19">
        <v>3055</v>
      </c>
      <c r="AH3056" s="20">
        <v>2158.7089039423799</v>
      </c>
    </row>
    <row r="3057" spans="1:34" ht="14.5" x14ac:dyDescent="0.35">
      <c r="A3057" s="34"/>
      <c r="B3057" s="35"/>
      <c r="C3057" s="36"/>
      <c r="D3057" s="37"/>
      <c r="E3057" s="36"/>
      <c r="F3057" s="42"/>
      <c r="G3057" s="42"/>
      <c r="H3057" s="42"/>
      <c r="AG3057" s="19">
        <v>3056</v>
      </c>
      <c r="AH3057" s="20">
        <v>989.35282988357267</v>
      </c>
    </row>
    <row r="3058" spans="1:34" ht="14.5" x14ac:dyDescent="0.35">
      <c r="A3058" s="34"/>
      <c r="B3058" s="35"/>
      <c r="C3058" s="36"/>
      <c r="D3058" s="37"/>
      <c r="E3058" s="36"/>
      <c r="F3058" s="42"/>
      <c r="G3058" s="42"/>
      <c r="H3058" s="42"/>
      <c r="AG3058" s="19">
        <v>3057</v>
      </c>
      <c r="AH3058" s="20">
        <v>3133.2624443284608</v>
      </c>
    </row>
    <row r="3059" spans="1:34" ht="14.5" x14ac:dyDescent="0.35">
      <c r="A3059" s="34"/>
      <c r="B3059" s="35"/>
      <c r="C3059" s="36"/>
      <c r="D3059" s="37"/>
      <c r="E3059" s="36"/>
      <c r="F3059" s="42"/>
      <c r="G3059" s="42"/>
      <c r="H3059" s="42"/>
      <c r="AG3059" s="19">
        <v>3058</v>
      </c>
      <c r="AH3059" s="20">
        <v>4346.3934754343863</v>
      </c>
    </row>
    <row r="3060" spans="1:34" ht="14.5" x14ac:dyDescent="0.35">
      <c r="A3060" s="34"/>
      <c r="B3060" s="35"/>
      <c r="C3060" s="36"/>
      <c r="D3060" s="37"/>
      <c r="E3060" s="36"/>
      <c r="F3060" s="42"/>
      <c r="G3060" s="42"/>
      <c r="H3060" s="42"/>
      <c r="AG3060" s="19">
        <v>3059</v>
      </c>
      <c r="AH3060" s="20">
        <v>1401.608162287434</v>
      </c>
    </row>
    <row r="3061" spans="1:34" ht="14.5" x14ac:dyDescent="0.35">
      <c r="A3061" s="34"/>
      <c r="B3061" s="35"/>
      <c r="C3061" s="36"/>
      <c r="D3061" s="37"/>
      <c r="E3061" s="36"/>
      <c r="F3061" s="42"/>
      <c r="G3061" s="42"/>
      <c r="H3061" s="42"/>
      <c r="AG3061" s="19">
        <v>3060</v>
      </c>
      <c r="AH3061" s="20">
        <v>-599.63854664756354</v>
      </c>
    </row>
    <row r="3062" spans="1:34" ht="14.5" x14ac:dyDescent="0.35">
      <c r="A3062" s="34"/>
      <c r="B3062" s="35"/>
      <c r="C3062" s="36"/>
      <c r="D3062" s="37"/>
      <c r="E3062" s="36"/>
      <c r="F3062" s="42"/>
      <c r="G3062" s="42"/>
      <c r="H3062" s="42"/>
      <c r="AG3062" s="19">
        <v>3061</v>
      </c>
      <c r="AH3062" s="20">
        <v>1365.1222512677234</v>
      </c>
    </row>
    <row r="3063" spans="1:34" ht="14.5" x14ac:dyDescent="0.35">
      <c r="A3063" s="34"/>
      <c r="B3063" s="35"/>
      <c r="C3063" s="36"/>
      <c r="D3063" s="37"/>
      <c r="E3063" s="36"/>
      <c r="F3063" s="42"/>
      <c r="G3063" s="42"/>
      <c r="H3063" s="42"/>
      <c r="AG3063" s="19">
        <v>3062</v>
      </c>
      <c r="AH3063" s="20">
        <v>-1090.0063521361301</v>
      </c>
    </row>
    <row r="3064" spans="1:34" ht="14.5" x14ac:dyDescent="0.35">
      <c r="A3064" s="34"/>
      <c r="B3064" s="35"/>
      <c r="C3064" s="36"/>
      <c r="D3064" s="37"/>
      <c r="E3064" s="36"/>
      <c r="F3064" s="42"/>
      <c r="G3064" s="42"/>
      <c r="H3064" s="42"/>
      <c r="AG3064" s="19">
        <v>3063</v>
      </c>
      <c r="AH3064" s="20">
        <v>-3294.9166659201569</v>
      </c>
    </row>
    <row r="3065" spans="1:34" ht="14.5" x14ac:dyDescent="0.35">
      <c r="A3065" s="34"/>
      <c r="B3065" s="35"/>
      <c r="C3065" s="36"/>
      <c r="D3065" s="37"/>
      <c r="E3065" s="36"/>
      <c r="F3065" s="42"/>
      <c r="G3065" s="42"/>
      <c r="H3065" s="42"/>
      <c r="AG3065" s="19">
        <v>3064</v>
      </c>
      <c r="AH3065" s="20">
        <v>717.27632092806186</v>
      </c>
    </row>
    <row r="3066" spans="1:34" ht="14.5" x14ac:dyDescent="0.35">
      <c r="A3066" s="34"/>
      <c r="B3066" s="35"/>
      <c r="C3066" s="36"/>
      <c r="D3066" s="37"/>
      <c r="E3066" s="36"/>
      <c r="F3066" s="42"/>
      <c r="G3066" s="42"/>
      <c r="H3066" s="42"/>
      <c r="AG3066" s="19">
        <v>3065</v>
      </c>
      <c r="AH3066" s="20">
        <v>1660.987621653896</v>
      </c>
    </row>
    <row r="3067" spans="1:34" ht="14.5" x14ac:dyDescent="0.35">
      <c r="A3067" s="34"/>
      <c r="B3067" s="35"/>
      <c r="C3067" s="36"/>
      <c r="D3067" s="37"/>
      <c r="E3067" s="36"/>
      <c r="F3067" s="42"/>
      <c r="G3067" s="42"/>
      <c r="H3067" s="42"/>
      <c r="AG3067" s="19">
        <v>3066</v>
      </c>
      <c r="AH3067" s="20">
        <v>729.98058101908612</v>
      </c>
    </row>
    <row r="3068" spans="1:34" ht="14.5" x14ac:dyDescent="0.35">
      <c r="A3068" s="34"/>
      <c r="B3068" s="35"/>
      <c r="C3068" s="36"/>
      <c r="D3068" s="37"/>
      <c r="E3068" s="36"/>
      <c r="F3068" s="42"/>
      <c r="G3068" s="42"/>
      <c r="H3068" s="42"/>
      <c r="AG3068" s="19">
        <v>3067</v>
      </c>
      <c r="AH3068" s="20">
        <v>-1576.4843739644994</v>
      </c>
    </row>
    <row r="3069" spans="1:34" ht="14.5" x14ac:dyDescent="0.35">
      <c r="A3069" s="34"/>
      <c r="B3069" s="35"/>
      <c r="C3069" s="36"/>
      <c r="D3069" s="37"/>
      <c r="E3069" s="36"/>
      <c r="F3069" s="42"/>
      <c r="G3069" s="42"/>
      <c r="H3069" s="42"/>
      <c r="AG3069" s="19">
        <v>3068</v>
      </c>
      <c r="AH3069" s="20">
        <v>-2092.7930911916874</v>
      </c>
    </row>
    <row r="3070" spans="1:34" ht="14.5" x14ac:dyDescent="0.35">
      <c r="A3070" s="34"/>
      <c r="B3070" s="35"/>
      <c r="C3070" s="36"/>
      <c r="D3070" s="37"/>
      <c r="E3070" s="36"/>
      <c r="F3070" s="42"/>
      <c r="G3070" s="42"/>
      <c r="H3070" s="42"/>
      <c r="AG3070" s="19">
        <v>3069</v>
      </c>
      <c r="AH3070" s="20">
        <v>210.18016051811856</v>
      </c>
    </row>
    <row r="3071" spans="1:34" ht="14.5" x14ac:dyDescent="0.35">
      <c r="A3071" s="34"/>
      <c r="B3071" s="35"/>
      <c r="C3071" s="36"/>
      <c r="D3071" s="37"/>
      <c r="E3071" s="36"/>
      <c r="F3071" s="42"/>
      <c r="G3071" s="42"/>
      <c r="H3071" s="42"/>
      <c r="AG3071" s="19">
        <v>3070</v>
      </c>
      <c r="AH3071" s="20">
        <v>1461.3384746076929</v>
      </c>
    </row>
    <row r="3072" spans="1:34" ht="14.5" x14ac:dyDescent="0.35">
      <c r="A3072" s="34"/>
      <c r="B3072" s="35"/>
      <c r="C3072" s="36"/>
      <c r="D3072" s="37"/>
      <c r="E3072" s="36"/>
      <c r="F3072" s="42"/>
      <c r="G3072" s="42"/>
      <c r="H3072" s="42"/>
      <c r="AG3072" s="19">
        <v>3071</v>
      </c>
      <c r="AH3072" s="20">
        <v>3072.6993264577845</v>
      </c>
    </row>
    <row r="3073" spans="1:34" ht="14.5" x14ac:dyDescent="0.35">
      <c r="A3073" s="34"/>
      <c r="B3073" s="35"/>
      <c r="C3073" s="36"/>
      <c r="D3073" s="37"/>
      <c r="E3073" s="36"/>
      <c r="F3073" s="42"/>
      <c r="G3073" s="42"/>
      <c r="H3073" s="42"/>
      <c r="AG3073" s="19">
        <v>3072</v>
      </c>
      <c r="AH3073" s="20">
        <v>821.98438077945775</v>
      </c>
    </row>
    <row r="3074" spans="1:34" ht="14.5" x14ac:dyDescent="0.35">
      <c r="A3074" s="34"/>
      <c r="B3074" s="35"/>
      <c r="C3074" s="36"/>
      <c r="D3074" s="37"/>
      <c r="E3074" s="36"/>
      <c r="F3074" s="42"/>
      <c r="G3074" s="42"/>
      <c r="H3074" s="42"/>
      <c r="AG3074" s="19">
        <v>3073</v>
      </c>
      <c r="AH3074" s="20">
        <v>-731.22195413178156</v>
      </c>
    </row>
    <row r="3075" spans="1:34" ht="14.5" x14ac:dyDescent="0.35">
      <c r="A3075" s="34"/>
      <c r="B3075" s="35"/>
      <c r="C3075" s="36"/>
      <c r="D3075" s="37"/>
      <c r="E3075" s="36"/>
      <c r="F3075" s="42"/>
      <c r="G3075" s="42"/>
      <c r="H3075" s="42"/>
      <c r="AG3075" s="19">
        <v>3074</v>
      </c>
      <c r="AH3075" s="20">
        <v>-1238.9413117026691</v>
      </c>
    </row>
    <row r="3076" spans="1:34" ht="14.5" x14ac:dyDescent="0.35">
      <c r="A3076" s="34"/>
      <c r="B3076" s="35"/>
      <c r="C3076" s="36"/>
      <c r="D3076" s="37"/>
      <c r="E3076" s="36"/>
      <c r="F3076" s="42"/>
      <c r="G3076" s="42"/>
      <c r="H3076" s="42"/>
      <c r="AG3076" s="19">
        <v>3075</v>
      </c>
      <c r="AH3076" s="20">
        <v>4024.3724456041805</v>
      </c>
    </row>
    <row r="3077" spans="1:34" ht="14.5" x14ac:dyDescent="0.35">
      <c r="A3077" s="34"/>
      <c r="B3077" s="35"/>
      <c r="C3077" s="36"/>
      <c r="D3077" s="37"/>
      <c r="E3077" s="36"/>
      <c r="F3077" s="42"/>
      <c r="G3077" s="42"/>
      <c r="H3077" s="42"/>
      <c r="AG3077" s="19">
        <v>3076</v>
      </c>
      <c r="AH3077" s="20">
        <v>-960.94060101919831</v>
      </c>
    </row>
    <row r="3078" spans="1:34" ht="14.5" x14ac:dyDescent="0.35">
      <c r="A3078" s="34"/>
      <c r="B3078" s="35"/>
      <c r="C3078" s="36"/>
      <c r="D3078" s="37"/>
      <c r="E3078" s="36"/>
      <c r="F3078" s="42"/>
      <c r="G3078" s="42"/>
      <c r="H3078" s="42"/>
      <c r="AG3078" s="19">
        <v>3077</v>
      </c>
      <c r="AH3078" s="20">
        <v>-3420.4960692518221</v>
      </c>
    </row>
    <row r="3079" spans="1:34" ht="14.5" x14ac:dyDescent="0.35">
      <c r="A3079" s="34"/>
      <c r="B3079" s="35"/>
      <c r="C3079" s="36"/>
      <c r="D3079" s="37"/>
      <c r="E3079" s="36"/>
      <c r="F3079" s="42"/>
      <c r="G3079" s="42"/>
      <c r="H3079" s="42"/>
      <c r="AG3079" s="19">
        <v>3078</v>
      </c>
      <c r="AH3079" s="20">
        <v>-1961.9423868270394</v>
      </c>
    </row>
    <row r="3080" spans="1:34" ht="14.5" x14ac:dyDescent="0.35">
      <c r="A3080" s="34"/>
      <c r="B3080" s="35"/>
      <c r="C3080" s="36"/>
      <c r="D3080" s="37"/>
      <c r="E3080" s="36"/>
      <c r="F3080" s="42"/>
      <c r="G3080" s="42"/>
      <c r="H3080" s="42"/>
      <c r="AG3080" s="19">
        <v>3079</v>
      </c>
      <c r="AH3080" s="20">
        <v>476.77459726474234</v>
      </c>
    </row>
    <row r="3081" spans="1:34" ht="14.5" x14ac:dyDescent="0.35">
      <c r="A3081" s="34"/>
      <c r="B3081" s="35"/>
      <c r="C3081" s="36"/>
      <c r="D3081" s="37"/>
      <c r="E3081" s="36"/>
      <c r="F3081" s="42"/>
      <c r="G3081" s="42"/>
      <c r="H3081" s="42"/>
      <c r="AG3081" s="19">
        <v>3080</v>
      </c>
      <c r="AH3081" s="20">
        <v>4698.4704348252571</v>
      </c>
    </row>
    <row r="3082" spans="1:34" ht="14.5" x14ac:dyDescent="0.35">
      <c r="A3082" s="34"/>
      <c r="B3082" s="35"/>
      <c r="C3082" s="36"/>
      <c r="D3082" s="37"/>
      <c r="E3082" s="36"/>
      <c r="F3082" s="42"/>
      <c r="G3082" s="42"/>
      <c r="H3082" s="42"/>
      <c r="AG3082" s="19">
        <v>3081</v>
      </c>
      <c r="AH3082" s="20">
        <v>-337.27191659235842</v>
      </c>
    </row>
    <row r="3083" spans="1:34" ht="14.5" x14ac:dyDescent="0.35">
      <c r="A3083" s="34"/>
      <c r="B3083" s="35"/>
      <c r="C3083" s="36"/>
      <c r="D3083" s="37"/>
      <c r="E3083" s="36"/>
      <c r="F3083" s="42"/>
      <c r="G3083" s="42"/>
      <c r="H3083" s="42"/>
      <c r="AG3083" s="19">
        <v>3082</v>
      </c>
      <c r="AH3083" s="20">
        <v>334.51069830346569</v>
      </c>
    </row>
    <row r="3084" spans="1:34" ht="14.5" x14ac:dyDescent="0.35">
      <c r="A3084" s="34"/>
      <c r="B3084" s="35"/>
      <c r="C3084" s="36"/>
      <c r="D3084" s="37"/>
      <c r="E3084" s="36"/>
      <c r="F3084" s="42"/>
      <c r="G3084" s="42"/>
      <c r="H3084" s="42"/>
      <c r="AG3084" s="19">
        <v>3083</v>
      </c>
      <c r="AH3084" s="20">
        <v>-310.91576715049786</v>
      </c>
    </row>
    <row r="3085" spans="1:34" ht="14.5" x14ac:dyDescent="0.35">
      <c r="A3085" s="34"/>
      <c r="B3085" s="35"/>
      <c r="C3085" s="36"/>
      <c r="D3085" s="37"/>
      <c r="E3085" s="36"/>
      <c r="F3085" s="42"/>
      <c r="G3085" s="42"/>
      <c r="H3085" s="42"/>
      <c r="AG3085" s="19">
        <v>3084</v>
      </c>
      <c r="AH3085" s="20">
        <v>525.90553761846309</v>
      </c>
    </row>
    <row r="3086" spans="1:34" ht="14.5" x14ac:dyDescent="0.35">
      <c r="A3086" s="34"/>
      <c r="B3086" s="35"/>
      <c r="C3086" s="36"/>
      <c r="D3086" s="37"/>
      <c r="E3086" s="36"/>
      <c r="F3086" s="42"/>
      <c r="G3086" s="42"/>
      <c r="H3086" s="42"/>
      <c r="AG3086" s="19">
        <v>3085</v>
      </c>
      <c r="AH3086" s="20">
        <v>2761.8891786198037</v>
      </c>
    </row>
    <row r="3087" spans="1:34" ht="14.5" x14ac:dyDescent="0.35">
      <c r="A3087" s="34"/>
      <c r="B3087" s="35"/>
      <c r="C3087" s="36"/>
      <c r="D3087" s="37"/>
      <c r="E3087" s="36"/>
      <c r="F3087" s="42"/>
      <c r="G3087" s="42"/>
      <c r="H3087" s="42"/>
      <c r="AG3087" s="19">
        <v>3086</v>
      </c>
      <c r="AH3087" s="20">
        <v>-712.69939206236563</v>
      </c>
    </row>
    <row r="3088" spans="1:34" ht="14.5" x14ac:dyDescent="0.35">
      <c r="A3088" s="34"/>
      <c r="B3088" s="35"/>
      <c r="C3088" s="36"/>
      <c r="D3088" s="37"/>
      <c r="E3088" s="36"/>
      <c r="F3088" s="42"/>
      <c r="G3088" s="42"/>
      <c r="H3088" s="42"/>
      <c r="AG3088" s="19">
        <v>3087</v>
      </c>
      <c r="AH3088" s="20">
        <v>1229.8686993223785</v>
      </c>
    </row>
    <row r="3089" spans="1:34" ht="14.5" x14ac:dyDescent="0.35">
      <c r="A3089" s="34"/>
      <c r="B3089" s="35"/>
      <c r="C3089" s="36"/>
      <c r="D3089" s="37"/>
      <c r="E3089" s="36"/>
      <c r="F3089" s="42"/>
      <c r="G3089" s="42"/>
      <c r="H3089" s="42"/>
      <c r="AG3089" s="19">
        <v>3088</v>
      </c>
      <c r="AH3089" s="20">
        <v>324.21942666392465</v>
      </c>
    </row>
    <row r="3090" spans="1:34" ht="14.5" x14ac:dyDescent="0.35">
      <c r="A3090" s="34"/>
      <c r="B3090" s="35"/>
      <c r="C3090" s="36"/>
      <c r="D3090" s="37"/>
      <c r="E3090" s="36"/>
      <c r="F3090" s="42"/>
      <c r="G3090" s="42"/>
      <c r="H3090" s="42"/>
      <c r="AG3090" s="19">
        <v>3089</v>
      </c>
      <c r="AH3090" s="20">
        <v>3434.6888472163073</v>
      </c>
    </row>
    <row r="3091" spans="1:34" ht="14.5" x14ac:dyDescent="0.35">
      <c r="A3091" s="34"/>
      <c r="B3091" s="35"/>
      <c r="C3091" s="36"/>
      <c r="D3091" s="37"/>
      <c r="E3091" s="36"/>
      <c r="F3091" s="42"/>
      <c r="G3091" s="42"/>
      <c r="H3091" s="42"/>
      <c r="AG3091" s="19">
        <v>3090</v>
      </c>
      <c r="AH3091" s="20">
        <v>2890.7176234644767</v>
      </c>
    </row>
    <row r="3092" spans="1:34" ht="14.5" x14ac:dyDescent="0.35">
      <c r="A3092" s="34"/>
      <c r="B3092" s="35"/>
      <c r="C3092" s="36"/>
      <c r="D3092" s="37"/>
      <c r="E3092" s="36"/>
      <c r="F3092" s="42"/>
      <c r="G3092" s="42"/>
      <c r="H3092" s="42"/>
      <c r="AG3092" s="19">
        <v>3091</v>
      </c>
      <c r="AH3092" s="20">
        <v>2610.0738288986067</v>
      </c>
    </row>
    <row r="3093" spans="1:34" ht="14.5" x14ac:dyDescent="0.35">
      <c r="A3093" s="34"/>
      <c r="B3093" s="35"/>
      <c r="C3093" s="36"/>
      <c r="D3093" s="37"/>
      <c r="E3093" s="36"/>
      <c r="F3093" s="42"/>
      <c r="G3093" s="42"/>
      <c r="H3093" s="42"/>
      <c r="AG3093" s="19">
        <v>3092</v>
      </c>
      <c r="AH3093" s="20">
        <v>-422.97437387019198</v>
      </c>
    </row>
    <row r="3094" spans="1:34" ht="14.5" x14ac:dyDescent="0.35">
      <c r="A3094" s="34"/>
      <c r="B3094" s="35"/>
      <c r="C3094" s="36"/>
      <c r="D3094" s="37"/>
      <c r="E3094" s="36"/>
      <c r="F3094" s="42"/>
      <c r="G3094" s="42"/>
      <c r="H3094" s="42"/>
      <c r="AG3094" s="19">
        <v>3093</v>
      </c>
      <c r="AH3094" s="20">
        <v>-666.64793753672507</v>
      </c>
    </row>
    <row r="3095" spans="1:34" ht="14.5" x14ac:dyDescent="0.35">
      <c r="A3095" s="34"/>
      <c r="B3095" s="35"/>
      <c r="C3095" s="36"/>
      <c r="D3095" s="37"/>
      <c r="E3095" s="36"/>
      <c r="F3095" s="42"/>
      <c r="G3095" s="42"/>
      <c r="H3095" s="42"/>
      <c r="AG3095" s="19">
        <v>3094</v>
      </c>
      <c r="AH3095" s="20">
        <v>2359.8267655915515</v>
      </c>
    </row>
    <row r="3096" spans="1:34" ht="14.5" x14ac:dyDescent="0.35">
      <c r="A3096" s="34"/>
      <c r="B3096" s="35"/>
      <c r="C3096" s="36"/>
      <c r="D3096" s="37"/>
      <c r="E3096" s="36"/>
      <c r="F3096" s="42"/>
      <c r="G3096" s="42"/>
      <c r="H3096" s="42"/>
      <c r="AG3096" s="19">
        <v>3095</v>
      </c>
      <c r="AH3096" s="20">
        <v>2678.2683015535918</v>
      </c>
    </row>
    <row r="3097" spans="1:34" ht="14.5" x14ac:dyDescent="0.35">
      <c r="A3097" s="34"/>
      <c r="B3097" s="35"/>
      <c r="C3097" s="36"/>
      <c r="D3097" s="37"/>
      <c r="E3097" s="36"/>
      <c r="F3097" s="42"/>
      <c r="G3097" s="42"/>
      <c r="H3097" s="42"/>
      <c r="AG3097" s="19">
        <v>3096</v>
      </c>
      <c r="AH3097" s="20">
        <v>5846.8714640956468</v>
      </c>
    </row>
    <row r="3098" spans="1:34" ht="14.5" x14ac:dyDescent="0.35">
      <c r="A3098" s="34"/>
      <c r="B3098" s="35"/>
      <c r="C3098" s="36"/>
      <c r="D3098" s="37"/>
      <c r="E3098" s="36"/>
      <c r="F3098" s="42"/>
      <c r="G3098" s="42"/>
      <c r="H3098" s="42"/>
      <c r="AG3098" s="19">
        <v>3097</v>
      </c>
      <c r="AH3098" s="20">
        <v>-3419.749733143206</v>
      </c>
    </row>
    <row r="3099" spans="1:34" ht="14.5" x14ac:dyDescent="0.35">
      <c r="A3099" s="34"/>
      <c r="B3099" s="35"/>
      <c r="C3099" s="36"/>
      <c r="D3099" s="37"/>
      <c r="E3099" s="36"/>
      <c r="F3099" s="42"/>
      <c r="G3099" s="42"/>
      <c r="H3099" s="42"/>
      <c r="AG3099" s="19">
        <v>3098</v>
      </c>
      <c r="AH3099" s="20">
        <v>144.00715612865741</v>
      </c>
    </row>
    <row r="3100" spans="1:34" ht="14.5" x14ac:dyDescent="0.35">
      <c r="A3100" s="34"/>
      <c r="B3100" s="35"/>
      <c r="C3100" s="36"/>
      <c r="D3100" s="37"/>
      <c r="E3100" s="36"/>
      <c r="F3100" s="42"/>
      <c r="G3100" s="42"/>
      <c r="H3100" s="42"/>
      <c r="AG3100" s="19">
        <v>3099</v>
      </c>
      <c r="AH3100" s="20">
        <v>-55.58248329710716</v>
      </c>
    </row>
    <row r="3101" spans="1:34" ht="14.5" x14ac:dyDescent="0.35">
      <c r="A3101" s="34"/>
      <c r="B3101" s="35"/>
      <c r="C3101" s="36"/>
      <c r="D3101" s="37"/>
      <c r="E3101" s="36"/>
      <c r="F3101" s="42"/>
      <c r="G3101" s="42"/>
      <c r="H3101" s="42"/>
      <c r="AG3101" s="19">
        <v>3100</v>
      </c>
      <c r="AH3101" s="20">
        <v>814.82214267808445</v>
      </c>
    </row>
    <row r="3102" spans="1:34" ht="14.5" x14ac:dyDescent="0.35">
      <c r="A3102" s="34"/>
      <c r="B3102" s="35"/>
      <c r="C3102" s="36"/>
      <c r="D3102" s="37"/>
      <c r="E3102" s="36"/>
      <c r="F3102" s="42"/>
      <c r="G3102" s="42"/>
      <c r="H3102" s="42"/>
      <c r="AG3102" s="19">
        <v>3101</v>
      </c>
      <c r="AH3102" s="20">
        <v>-3725.8234497002513</v>
      </c>
    </row>
    <row r="3103" spans="1:34" ht="14.5" x14ac:dyDescent="0.35">
      <c r="A3103" s="34"/>
      <c r="B3103" s="35"/>
      <c r="C3103" s="36"/>
      <c r="D3103" s="37"/>
      <c r="E3103" s="36"/>
      <c r="F3103" s="42"/>
      <c r="G3103" s="42"/>
      <c r="H3103" s="42"/>
      <c r="AG3103" s="19">
        <v>3102</v>
      </c>
      <c r="AH3103" s="20">
        <v>-1029.1821358450889</v>
      </c>
    </row>
    <row r="3104" spans="1:34" ht="14.5" x14ac:dyDescent="0.35">
      <c r="A3104" s="34"/>
      <c r="B3104" s="35"/>
      <c r="C3104" s="36"/>
      <c r="D3104" s="37"/>
      <c r="E3104" s="36"/>
      <c r="F3104" s="42"/>
      <c r="G3104" s="42"/>
      <c r="H3104" s="42"/>
      <c r="AG3104" s="19">
        <v>3103</v>
      </c>
      <c r="AH3104" s="20">
        <v>2106.1753105201951</v>
      </c>
    </row>
    <row r="3105" spans="1:34" ht="14.5" x14ac:dyDescent="0.35">
      <c r="A3105" s="34"/>
      <c r="B3105" s="35"/>
      <c r="C3105" s="36"/>
      <c r="D3105" s="37"/>
      <c r="E3105" s="36"/>
      <c r="F3105" s="42"/>
      <c r="G3105" s="42"/>
      <c r="H3105" s="42"/>
      <c r="AG3105" s="19">
        <v>3104</v>
      </c>
      <c r="AH3105" s="20">
        <v>963.92791787956367</v>
      </c>
    </row>
    <row r="3106" spans="1:34" ht="14.5" x14ac:dyDescent="0.35">
      <c r="A3106" s="34"/>
      <c r="B3106" s="35"/>
      <c r="C3106" s="36"/>
      <c r="D3106" s="37"/>
      <c r="E3106" s="36"/>
      <c r="F3106" s="42"/>
      <c r="G3106" s="42"/>
      <c r="H3106" s="42"/>
      <c r="AG3106" s="19">
        <v>3105</v>
      </c>
      <c r="AH3106" s="20">
        <v>170.45715189959998</v>
      </c>
    </row>
    <row r="3107" spans="1:34" ht="14.5" x14ac:dyDescent="0.35">
      <c r="A3107" s="34"/>
      <c r="B3107" s="35"/>
      <c r="C3107" s="36"/>
      <c r="D3107" s="37"/>
      <c r="E3107" s="36"/>
      <c r="F3107" s="42"/>
      <c r="G3107" s="42"/>
      <c r="H3107" s="42"/>
      <c r="AG3107" s="19">
        <v>3106</v>
      </c>
      <c r="AH3107" s="20">
        <v>-122.07442628164625</v>
      </c>
    </row>
    <row r="3108" spans="1:34" ht="14.5" x14ac:dyDescent="0.35">
      <c r="A3108" s="34"/>
      <c r="B3108" s="35"/>
      <c r="C3108" s="36"/>
      <c r="D3108" s="37"/>
      <c r="E3108" s="36"/>
      <c r="F3108" s="42"/>
      <c r="G3108" s="42"/>
      <c r="H3108" s="42"/>
      <c r="AG3108" s="19">
        <v>3107</v>
      </c>
      <c r="AH3108" s="20">
        <v>-36.358514294272425</v>
      </c>
    </row>
    <row r="3109" spans="1:34" ht="14.5" x14ac:dyDescent="0.35">
      <c r="A3109" s="34"/>
      <c r="B3109" s="35"/>
      <c r="C3109" s="36"/>
      <c r="D3109" s="37"/>
      <c r="E3109" s="36"/>
      <c r="F3109" s="42"/>
      <c r="G3109" s="42"/>
      <c r="H3109" s="42"/>
      <c r="AG3109" s="19">
        <v>3108</v>
      </c>
      <c r="AH3109" s="20">
        <v>-961.33218780111201</v>
      </c>
    </row>
    <row r="3110" spans="1:34" ht="14.5" x14ac:dyDescent="0.35">
      <c r="A3110" s="34"/>
      <c r="B3110" s="35"/>
      <c r="C3110" s="36"/>
      <c r="D3110" s="37"/>
      <c r="E3110" s="36"/>
      <c r="F3110" s="42"/>
      <c r="G3110" s="42"/>
      <c r="H3110" s="42"/>
      <c r="AG3110" s="19">
        <v>3109</v>
      </c>
      <c r="AH3110" s="20">
        <v>-803.88297004686729</v>
      </c>
    </row>
    <row r="3111" spans="1:34" ht="14.5" x14ac:dyDescent="0.35">
      <c r="A3111" s="34"/>
      <c r="B3111" s="35"/>
      <c r="C3111" s="36"/>
      <c r="D3111" s="37"/>
      <c r="E3111" s="36"/>
      <c r="F3111" s="42"/>
      <c r="G3111" s="42"/>
      <c r="H3111" s="42"/>
      <c r="AG3111" s="19">
        <v>3110</v>
      </c>
      <c r="AH3111" s="20">
        <v>3047.106983415832</v>
      </c>
    </row>
    <row r="3112" spans="1:34" ht="14.5" x14ac:dyDescent="0.35">
      <c r="A3112" s="34"/>
      <c r="B3112" s="35"/>
      <c r="C3112" s="36"/>
      <c r="D3112" s="37"/>
      <c r="E3112" s="36"/>
      <c r="F3112" s="42"/>
      <c r="G3112" s="42"/>
      <c r="H3112" s="42"/>
      <c r="AG3112" s="19">
        <v>3111</v>
      </c>
      <c r="AH3112" s="20">
        <v>-1315.3154538754018</v>
      </c>
    </row>
    <row r="3113" spans="1:34" ht="14.5" x14ac:dyDescent="0.35">
      <c r="A3113" s="34"/>
      <c r="B3113" s="35"/>
      <c r="C3113" s="36"/>
      <c r="D3113" s="37"/>
      <c r="E3113" s="36"/>
      <c r="F3113" s="42"/>
      <c r="G3113" s="42"/>
      <c r="H3113" s="42"/>
      <c r="AG3113" s="19">
        <v>3112</v>
      </c>
      <c r="AH3113" s="20">
        <v>576.28363768909981</v>
      </c>
    </row>
    <row r="3114" spans="1:34" ht="14.5" x14ac:dyDescent="0.35">
      <c r="A3114" s="34"/>
      <c r="B3114" s="35"/>
      <c r="C3114" s="36"/>
      <c r="D3114" s="37"/>
      <c r="E3114" s="36"/>
      <c r="F3114" s="42"/>
      <c r="G3114" s="42"/>
      <c r="H3114" s="42"/>
      <c r="AG3114" s="19">
        <v>3113</v>
      </c>
      <c r="AH3114" s="20">
        <v>538.69990398274797</v>
      </c>
    </row>
    <row r="3115" spans="1:34" ht="14.5" x14ac:dyDescent="0.35">
      <c r="A3115" s="34"/>
      <c r="B3115" s="35"/>
      <c r="C3115" s="36"/>
      <c r="D3115" s="37"/>
      <c r="E3115" s="36"/>
      <c r="F3115" s="42"/>
      <c r="G3115" s="42"/>
      <c r="H3115" s="42"/>
      <c r="AG3115" s="19">
        <v>3114</v>
      </c>
      <c r="AH3115" s="20">
        <v>3431.7281578686448</v>
      </c>
    </row>
    <row r="3116" spans="1:34" ht="14.5" x14ac:dyDescent="0.35">
      <c r="A3116" s="34"/>
      <c r="B3116" s="35"/>
      <c r="C3116" s="36"/>
      <c r="D3116" s="37"/>
      <c r="E3116" s="36"/>
      <c r="F3116" s="42"/>
      <c r="G3116" s="42"/>
      <c r="H3116" s="42"/>
      <c r="AG3116" s="19">
        <v>3115</v>
      </c>
      <c r="AH3116" s="20">
        <v>2992.7413318071026</v>
      </c>
    </row>
    <row r="3117" spans="1:34" ht="14.5" x14ac:dyDescent="0.35">
      <c r="A3117" s="34"/>
      <c r="B3117" s="35"/>
      <c r="C3117" s="36"/>
      <c r="D3117" s="37"/>
      <c r="E3117" s="36"/>
      <c r="F3117" s="42"/>
      <c r="G3117" s="42"/>
      <c r="H3117" s="42"/>
      <c r="AG3117" s="19">
        <v>3116</v>
      </c>
      <c r="AH3117" s="20">
        <v>-364.70068999416225</v>
      </c>
    </row>
    <row r="3118" spans="1:34" ht="14.5" x14ac:dyDescent="0.35">
      <c r="A3118" s="34"/>
      <c r="B3118" s="35"/>
      <c r="C3118" s="36"/>
      <c r="D3118" s="37"/>
      <c r="E3118" s="36"/>
      <c r="F3118" s="42"/>
      <c r="G3118" s="42"/>
      <c r="H3118" s="42"/>
      <c r="AG3118" s="19">
        <v>3117</v>
      </c>
      <c r="AH3118" s="20">
        <v>-972.14369436439165</v>
      </c>
    </row>
    <row r="3119" spans="1:34" ht="14.5" x14ac:dyDescent="0.35">
      <c r="A3119" s="34"/>
      <c r="B3119" s="35"/>
      <c r="C3119" s="36"/>
      <c r="D3119" s="37"/>
      <c r="E3119" s="36"/>
      <c r="F3119" s="42"/>
      <c r="G3119" s="42"/>
      <c r="H3119" s="42"/>
      <c r="AG3119" s="19">
        <v>3118</v>
      </c>
      <c r="AH3119" s="20">
        <v>982.47994720304837</v>
      </c>
    </row>
    <row r="3120" spans="1:34" ht="14.5" x14ac:dyDescent="0.35">
      <c r="A3120" s="34"/>
      <c r="B3120" s="35"/>
      <c r="C3120" s="36"/>
      <c r="D3120" s="37"/>
      <c r="E3120" s="36"/>
      <c r="F3120" s="42"/>
      <c r="G3120" s="42"/>
      <c r="H3120" s="42"/>
      <c r="AG3120" s="19">
        <v>3119</v>
      </c>
      <c r="AH3120" s="20">
        <v>-108.79179092526562</v>
      </c>
    </row>
    <row r="3121" spans="1:34" ht="14.5" x14ac:dyDescent="0.35">
      <c r="A3121" s="34"/>
      <c r="B3121" s="35"/>
      <c r="C3121" s="36"/>
      <c r="D3121" s="37"/>
      <c r="E3121" s="36"/>
      <c r="F3121" s="42"/>
      <c r="G3121" s="42"/>
      <c r="H3121" s="42"/>
      <c r="AG3121" s="19">
        <v>3120</v>
      </c>
      <c r="AH3121" s="20">
        <v>-1.0150475350710622</v>
      </c>
    </row>
    <row r="3122" spans="1:34" ht="14.5" x14ac:dyDescent="0.35">
      <c r="A3122" s="34"/>
      <c r="B3122" s="35"/>
      <c r="C3122" s="36"/>
      <c r="D3122" s="37"/>
      <c r="E3122" s="36"/>
      <c r="F3122" s="42"/>
      <c r="G3122" s="42"/>
      <c r="H3122" s="42"/>
      <c r="AG3122" s="19">
        <v>3121</v>
      </c>
      <c r="AH3122" s="20">
        <v>193.28814326160995</v>
      </c>
    </row>
    <row r="3123" spans="1:34" ht="14.5" x14ac:dyDescent="0.35">
      <c r="A3123" s="34"/>
      <c r="B3123" s="35"/>
      <c r="C3123" s="36"/>
      <c r="D3123" s="37"/>
      <c r="E3123" s="36"/>
      <c r="F3123" s="42"/>
      <c r="G3123" s="42"/>
      <c r="H3123" s="42"/>
      <c r="AG3123" s="19">
        <v>3122</v>
      </c>
      <c r="AH3123" s="20">
        <v>-1646.8352562980792</v>
      </c>
    </row>
    <row r="3124" spans="1:34" ht="14.5" x14ac:dyDescent="0.35">
      <c r="A3124" s="34"/>
      <c r="B3124" s="35"/>
      <c r="C3124" s="36"/>
      <c r="D3124" s="37"/>
      <c r="E3124" s="36"/>
      <c r="F3124" s="42"/>
      <c r="G3124" s="42"/>
      <c r="H3124" s="42"/>
      <c r="AG3124" s="19">
        <v>3123</v>
      </c>
      <c r="AH3124" s="20">
        <v>1783.7122163303322</v>
      </c>
    </row>
    <row r="3125" spans="1:34" ht="14.5" x14ac:dyDescent="0.35">
      <c r="A3125" s="34"/>
      <c r="B3125" s="35"/>
      <c r="C3125" s="36"/>
      <c r="D3125" s="37"/>
      <c r="E3125" s="36"/>
      <c r="F3125" s="42"/>
      <c r="G3125" s="42"/>
      <c r="H3125" s="42"/>
      <c r="AG3125" s="19">
        <v>3124</v>
      </c>
      <c r="AH3125" s="20">
        <v>-722.03703741522577</v>
      </c>
    </row>
    <row r="3126" spans="1:34" ht="14.5" x14ac:dyDescent="0.35">
      <c r="A3126" s="34"/>
      <c r="B3126" s="35"/>
      <c r="C3126" s="36"/>
      <c r="D3126" s="37"/>
      <c r="E3126" s="36"/>
      <c r="F3126" s="42"/>
      <c r="G3126" s="42"/>
      <c r="H3126" s="42"/>
      <c r="AG3126" s="19">
        <v>3125</v>
      </c>
      <c r="AH3126" s="20">
        <v>1345.0256228152462</v>
      </c>
    </row>
    <row r="3127" spans="1:34" ht="14.5" x14ac:dyDescent="0.35">
      <c r="A3127" s="34"/>
      <c r="B3127" s="35"/>
      <c r="C3127" s="36"/>
      <c r="D3127" s="37"/>
      <c r="E3127" s="36"/>
      <c r="F3127" s="42"/>
      <c r="G3127" s="42"/>
      <c r="H3127" s="42"/>
      <c r="AG3127" s="19">
        <v>3126</v>
      </c>
      <c r="AH3127" s="20">
        <v>-862.8786675033748</v>
      </c>
    </row>
    <row r="3128" spans="1:34" ht="14.5" x14ac:dyDescent="0.35">
      <c r="A3128" s="34"/>
      <c r="B3128" s="35"/>
      <c r="C3128" s="36"/>
      <c r="D3128" s="37"/>
      <c r="E3128" s="36"/>
      <c r="F3128" s="42"/>
      <c r="G3128" s="42"/>
      <c r="H3128" s="42"/>
      <c r="AG3128" s="19">
        <v>3127</v>
      </c>
      <c r="AH3128" s="20">
        <v>776.04079323219469</v>
      </c>
    </row>
    <row r="3129" spans="1:34" ht="14.5" x14ac:dyDescent="0.35">
      <c r="A3129" s="34"/>
      <c r="B3129" s="35"/>
      <c r="C3129" s="36"/>
      <c r="D3129" s="37"/>
      <c r="E3129" s="36"/>
      <c r="F3129" s="42"/>
      <c r="G3129" s="42"/>
      <c r="H3129" s="42"/>
      <c r="AG3129" s="19">
        <v>3128</v>
      </c>
      <c r="AH3129" s="20">
        <v>-1163.3632283827017</v>
      </c>
    </row>
    <row r="3130" spans="1:34" ht="14.5" x14ac:dyDescent="0.35">
      <c r="A3130" s="34"/>
      <c r="B3130" s="35"/>
      <c r="C3130" s="36"/>
      <c r="D3130" s="37"/>
      <c r="E3130" s="36"/>
      <c r="F3130" s="42"/>
      <c r="G3130" s="42"/>
      <c r="H3130" s="42"/>
      <c r="AG3130" s="19">
        <v>3129</v>
      </c>
      <c r="AH3130" s="20">
        <v>764.73708926793233</v>
      </c>
    </row>
    <row r="3131" spans="1:34" ht="14.5" x14ac:dyDescent="0.35">
      <c r="A3131" s="34"/>
      <c r="B3131" s="35"/>
      <c r="C3131" s="36"/>
      <c r="D3131" s="37"/>
      <c r="E3131" s="36"/>
      <c r="F3131" s="42"/>
      <c r="G3131" s="42"/>
      <c r="H3131" s="42"/>
      <c r="AG3131" s="19">
        <v>3130</v>
      </c>
      <c r="AH3131" s="20">
        <v>1078.9149858537423</v>
      </c>
    </row>
    <row r="3132" spans="1:34" ht="14.5" x14ac:dyDescent="0.35">
      <c r="A3132" s="34"/>
      <c r="B3132" s="35"/>
      <c r="C3132" s="36"/>
      <c r="D3132" s="37"/>
      <c r="E3132" s="36"/>
      <c r="F3132" s="42"/>
      <c r="G3132" s="42"/>
      <c r="H3132" s="42"/>
      <c r="AG3132" s="19">
        <v>3131</v>
      </c>
      <c r="AH3132" s="20">
        <v>-1927.8863790305593</v>
      </c>
    </row>
    <row r="3133" spans="1:34" ht="14.5" x14ac:dyDescent="0.35">
      <c r="A3133" s="34"/>
      <c r="B3133" s="35"/>
      <c r="C3133" s="36"/>
      <c r="D3133" s="37"/>
      <c r="E3133" s="36"/>
      <c r="F3133" s="42"/>
      <c r="G3133" s="42"/>
      <c r="H3133" s="42"/>
      <c r="AG3133" s="19">
        <v>3132</v>
      </c>
      <c r="AH3133" s="20">
        <v>3155.3919501950054</v>
      </c>
    </row>
    <row r="3134" spans="1:34" ht="14.5" x14ac:dyDescent="0.35">
      <c r="A3134" s="34"/>
      <c r="B3134" s="35"/>
      <c r="C3134" s="36"/>
      <c r="D3134" s="37"/>
      <c r="E3134" s="36"/>
      <c r="F3134" s="42"/>
      <c r="G3134" s="42"/>
      <c r="H3134" s="42"/>
      <c r="AG3134" s="19">
        <v>3133</v>
      </c>
      <c r="AH3134" s="20">
        <v>2392.6597735150394</v>
      </c>
    </row>
    <row r="3135" spans="1:34" ht="14.5" x14ac:dyDescent="0.35">
      <c r="A3135" s="34"/>
      <c r="B3135" s="35"/>
      <c r="C3135" s="36"/>
      <c r="D3135" s="37"/>
      <c r="E3135" s="36"/>
      <c r="F3135" s="42"/>
      <c r="G3135" s="42"/>
      <c r="H3135" s="42"/>
      <c r="AG3135" s="19">
        <v>3134</v>
      </c>
      <c r="AH3135" s="20">
        <v>201.36848706547153</v>
      </c>
    </row>
    <row r="3136" spans="1:34" ht="14.5" x14ac:dyDescent="0.35">
      <c r="A3136" s="34"/>
      <c r="B3136" s="35"/>
      <c r="C3136" s="36"/>
      <c r="D3136" s="37"/>
      <c r="E3136" s="36"/>
      <c r="F3136" s="42"/>
      <c r="G3136" s="42"/>
      <c r="H3136" s="42"/>
      <c r="AG3136" s="19">
        <v>3135</v>
      </c>
      <c r="AH3136" s="20">
        <v>-1348.5777576734504</v>
      </c>
    </row>
    <row r="3137" spans="1:34" ht="14.5" x14ac:dyDescent="0.35">
      <c r="A3137" s="34"/>
      <c r="B3137" s="35"/>
      <c r="C3137" s="36"/>
      <c r="D3137" s="37"/>
      <c r="E3137" s="36"/>
      <c r="F3137" s="42"/>
      <c r="G3137" s="42"/>
      <c r="H3137" s="42"/>
      <c r="AG3137" s="19">
        <v>3136</v>
      </c>
      <c r="AH3137" s="20">
        <v>2823.7877500736413</v>
      </c>
    </row>
    <row r="3138" spans="1:34" ht="14.5" x14ac:dyDescent="0.35">
      <c r="A3138" s="34"/>
      <c r="B3138" s="35"/>
      <c r="C3138" s="36"/>
      <c r="D3138" s="37"/>
      <c r="E3138" s="36"/>
      <c r="F3138" s="42"/>
      <c r="G3138" s="42"/>
      <c r="H3138" s="42"/>
      <c r="AG3138" s="19">
        <v>3137</v>
      </c>
      <c r="AH3138" s="20">
        <v>259.19381603927633</v>
      </c>
    </row>
    <row r="3139" spans="1:34" ht="14.5" x14ac:dyDescent="0.35">
      <c r="A3139" s="34"/>
      <c r="B3139" s="35"/>
      <c r="C3139" s="36"/>
      <c r="D3139" s="37"/>
      <c r="E3139" s="36"/>
      <c r="F3139" s="42"/>
      <c r="G3139" s="42"/>
      <c r="H3139" s="42"/>
      <c r="AG3139" s="19">
        <v>3138</v>
      </c>
      <c r="AH3139" s="20">
        <v>-3163.9501617857877</v>
      </c>
    </row>
    <row r="3140" spans="1:34" ht="14.5" x14ac:dyDescent="0.35">
      <c r="A3140" s="34"/>
      <c r="B3140" s="35"/>
      <c r="C3140" s="36"/>
      <c r="D3140" s="37"/>
      <c r="E3140" s="36"/>
      <c r="F3140" s="42"/>
      <c r="G3140" s="42"/>
      <c r="H3140" s="42"/>
      <c r="AG3140" s="19">
        <v>3139</v>
      </c>
      <c r="AH3140" s="20">
        <v>-1090.8890690222361</v>
      </c>
    </row>
    <row r="3141" spans="1:34" ht="14.5" x14ac:dyDescent="0.35">
      <c r="A3141" s="34"/>
      <c r="B3141" s="35"/>
      <c r="C3141" s="36"/>
      <c r="D3141" s="37"/>
      <c r="E3141" s="36"/>
      <c r="F3141" s="42"/>
      <c r="G3141" s="42"/>
      <c r="H3141" s="42"/>
      <c r="AG3141" s="19">
        <v>3140</v>
      </c>
      <c r="AH3141" s="20">
        <v>47.615102907340315</v>
      </c>
    </row>
    <row r="3142" spans="1:34" ht="14.5" x14ac:dyDescent="0.35">
      <c r="A3142" s="34"/>
      <c r="B3142" s="35"/>
      <c r="C3142" s="36"/>
      <c r="D3142" s="37"/>
      <c r="E3142" s="36"/>
      <c r="F3142" s="42"/>
      <c r="G3142" s="42"/>
      <c r="H3142" s="42"/>
      <c r="AG3142" s="19">
        <v>3141</v>
      </c>
      <c r="AH3142" s="20">
        <v>1801.3408650896756</v>
      </c>
    </row>
    <row r="3143" spans="1:34" ht="14.5" x14ac:dyDescent="0.35">
      <c r="A3143" s="34"/>
      <c r="B3143" s="35"/>
      <c r="C3143" s="36"/>
      <c r="D3143" s="37"/>
      <c r="E3143" s="36"/>
      <c r="F3143" s="42"/>
      <c r="G3143" s="42"/>
      <c r="H3143" s="42"/>
      <c r="AG3143" s="19">
        <v>3142</v>
      </c>
      <c r="AH3143" s="20">
        <v>1336.6816718957978</v>
      </c>
    </row>
    <row r="3144" spans="1:34" ht="14.5" x14ac:dyDescent="0.35">
      <c r="A3144" s="34"/>
      <c r="B3144" s="35"/>
      <c r="C3144" s="36"/>
      <c r="D3144" s="37"/>
      <c r="E3144" s="36"/>
      <c r="F3144" s="42"/>
      <c r="G3144" s="42"/>
      <c r="H3144" s="42"/>
      <c r="AG3144" s="19">
        <v>3143</v>
      </c>
      <c r="AH3144" s="20">
        <v>1054.6958419081463</v>
      </c>
    </row>
    <row r="3145" spans="1:34" ht="14.5" x14ac:dyDescent="0.35">
      <c r="A3145" s="34"/>
      <c r="B3145" s="35"/>
      <c r="C3145" s="36"/>
      <c r="D3145" s="37"/>
      <c r="E3145" s="36"/>
      <c r="F3145" s="42"/>
      <c r="G3145" s="42"/>
      <c r="H3145" s="42"/>
      <c r="AG3145" s="19">
        <v>3144</v>
      </c>
      <c r="AH3145" s="20">
        <v>-1061.8337567414326</v>
      </c>
    </row>
    <row r="3146" spans="1:34" ht="14.5" x14ac:dyDescent="0.35">
      <c r="A3146" s="34"/>
      <c r="B3146" s="35"/>
      <c r="C3146" s="36"/>
      <c r="D3146" s="37"/>
      <c r="E3146" s="36"/>
      <c r="F3146" s="42"/>
      <c r="G3146" s="42"/>
      <c r="H3146" s="42"/>
      <c r="AG3146" s="19">
        <v>3145</v>
      </c>
      <c r="AH3146" s="20">
        <v>-1070.723941835596</v>
      </c>
    </row>
    <row r="3147" spans="1:34" ht="14.5" x14ac:dyDescent="0.35">
      <c r="A3147" s="34"/>
      <c r="B3147" s="35"/>
      <c r="C3147" s="36"/>
      <c r="D3147" s="37"/>
      <c r="E3147" s="36"/>
      <c r="F3147" s="42"/>
      <c r="G3147" s="42"/>
      <c r="H3147" s="42"/>
      <c r="AG3147" s="19">
        <v>3146</v>
      </c>
      <c r="AH3147" s="20">
        <v>729.63010222238449</v>
      </c>
    </row>
    <row r="3148" spans="1:34" ht="14.5" x14ac:dyDescent="0.35">
      <c r="A3148" s="34"/>
      <c r="B3148" s="35"/>
      <c r="C3148" s="36"/>
      <c r="D3148" s="37"/>
      <c r="E3148" s="36"/>
      <c r="F3148" s="42"/>
      <c r="G3148" s="42"/>
      <c r="H3148" s="42"/>
      <c r="AG3148" s="19">
        <v>3147</v>
      </c>
      <c r="AH3148" s="20">
        <v>-649.22850366118314</v>
      </c>
    </row>
    <row r="3149" spans="1:34" ht="14.5" x14ac:dyDescent="0.35">
      <c r="A3149" s="34"/>
      <c r="B3149" s="35"/>
      <c r="C3149" s="36"/>
      <c r="D3149" s="37"/>
      <c r="E3149" s="36"/>
      <c r="F3149" s="42"/>
      <c r="G3149" s="42"/>
      <c r="H3149" s="42"/>
      <c r="AG3149" s="19">
        <v>3148</v>
      </c>
      <c r="AH3149" s="20">
        <v>1401.6189257556366</v>
      </c>
    </row>
    <row r="3150" spans="1:34" ht="14.5" x14ac:dyDescent="0.35">
      <c r="A3150" s="34"/>
      <c r="B3150" s="35"/>
      <c r="C3150" s="36"/>
      <c r="D3150" s="37"/>
      <c r="E3150" s="36"/>
      <c r="F3150" s="42"/>
      <c r="G3150" s="42"/>
      <c r="H3150" s="42"/>
      <c r="AG3150" s="19">
        <v>3149</v>
      </c>
      <c r="AH3150" s="20">
        <v>1467.0720903572176</v>
      </c>
    </row>
    <row r="3151" spans="1:34" ht="14.5" x14ac:dyDescent="0.35">
      <c r="A3151" s="34"/>
      <c r="B3151" s="35"/>
      <c r="C3151" s="36"/>
      <c r="D3151" s="37"/>
      <c r="E3151" s="36"/>
      <c r="F3151" s="42"/>
      <c r="G3151" s="42"/>
      <c r="H3151" s="42"/>
      <c r="AG3151" s="19">
        <v>3150</v>
      </c>
      <c r="AH3151" s="20">
        <v>-162.55340852769649</v>
      </c>
    </row>
    <row r="3152" spans="1:34" ht="14.5" x14ac:dyDescent="0.35">
      <c r="A3152" s="34"/>
      <c r="B3152" s="35"/>
      <c r="C3152" s="36"/>
      <c r="D3152" s="37"/>
      <c r="E3152" s="36"/>
      <c r="F3152" s="42"/>
      <c r="G3152" s="42"/>
      <c r="H3152" s="42"/>
      <c r="AG3152" s="19">
        <v>3151</v>
      </c>
      <c r="AH3152" s="20">
        <v>-5238.2112219088913</v>
      </c>
    </row>
    <row r="3153" spans="1:34" ht="14.5" x14ac:dyDescent="0.35">
      <c r="A3153" s="34"/>
      <c r="B3153" s="35"/>
      <c r="C3153" s="36"/>
      <c r="D3153" s="37"/>
      <c r="E3153" s="36"/>
      <c r="F3153" s="42"/>
      <c r="G3153" s="42"/>
      <c r="H3153" s="42"/>
      <c r="AG3153" s="19">
        <v>3152</v>
      </c>
      <c r="AH3153" s="20">
        <v>482.33618656576732</v>
      </c>
    </row>
    <row r="3154" spans="1:34" ht="14.5" x14ac:dyDescent="0.35">
      <c r="A3154" s="34"/>
      <c r="B3154" s="35"/>
      <c r="C3154" s="36"/>
      <c r="D3154" s="37"/>
      <c r="E3154" s="36"/>
      <c r="F3154" s="42"/>
      <c r="G3154" s="42"/>
      <c r="H3154" s="42"/>
      <c r="AG3154" s="19">
        <v>3153</v>
      </c>
      <c r="AH3154" s="20">
        <v>661.76801693052812</v>
      </c>
    </row>
    <row r="3155" spans="1:34" ht="14.5" x14ac:dyDescent="0.35">
      <c r="A3155" s="34"/>
      <c r="B3155" s="35"/>
      <c r="C3155" s="36"/>
      <c r="D3155" s="37"/>
      <c r="E3155" s="36"/>
      <c r="F3155" s="42"/>
      <c r="G3155" s="42"/>
      <c r="H3155" s="42"/>
      <c r="AG3155" s="19">
        <v>3154</v>
      </c>
      <c r="AH3155" s="20">
        <v>1540.6394842299428</v>
      </c>
    </row>
    <row r="3156" spans="1:34" ht="14.5" x14ac:dyDescent="0.35">
      <c r="A3156" s="34"/>
      <c r="B3156" s="35"/>
      <c r="C3156" s="36"/>
      <c r="D3156" s="37"/>
      <c r="E3156" s="36"/>
      <c r="F3156" s="42"/>
      <c r="G3156" s="42"/>
      <c r="H3156" s="42"/>
      <c r="AG3156" s="19">
        <v>3155</v>
      </c>
      <c r="AH3156" s="20">
        <v>-2505.7791993603651</v>
      </c>
    </row>
    <row r="3157" spans="1:34" ht="14.5" x14ac:dyDescent="0.35">
      <c r="A3157" s="34"/>
      <c r="B3157" s="35"/>
      <c r="C3157" s="36"/>
      <c r="D3157" s="37"/>
      <c r="E3157" s="36"/>
      <c r="F3157" s="42"/>
      <c r="G3157" s="42"/>
      <c r="H3157" s="42"/>
      <c r="AG3157" s="19">
        <v>3156</v>
      </c>
      <c r="AH3157" s="20">
        <v>1385.1101073522057</v>
      </c>
    </row>
    <row r="3158" spans="1:34" ht="14.5" x14ac:dyDescent="0.35">
      <c r="A3158" s="34"/>
      <c r="B3158" s="35"/>
      <c r="C3158" s="36"/>
      <c r="D3158" s="37"/>
      <c r="E3158" s="36"/>
      <c r="F3158" s="42"/>
      <c r="G3158" s="42"/>
      <c r="H3158" s="42"/>
      <c r="AG3158" s="19">
        <v>3157</v>
      </c>
      <c r="AH3158" s="20">
        <v>189.64526806370566</v>
      </c>
    </row>
    <row r="3159" spans="1:34" ht="14.5" x14ac:dyDescent="0.35">
      <c r="A3159" s="34"/>
      <c r="B3159" s="35"/>
      <c r="C3159" s="36"/>
      <c r="D3159" s="37"/>
      <c r="E3159" s="36"/>
      <c r="F3159" s="42"/>
      <c r="G3159" s="42"/>
      <c r="H3159" s="42"/>
      <c r="AG3159" s="19">
        <v>3158</v>
      </c>
      <c r="AH3159" s="20">
        <v>-2734.8994442855169</v>
      </c>
    </row>
    <row r="3160" spans="1:34" ht="14.5" x14ac:dyDescent="0.35">
      <c r="A3160" s="34"/>
      <c r="B3160" s="35"/>
      <c r="C3160" s="36"/>
      <c r="D3160" s="37"/>
      <c r="E3160" s="36"/>
      <c r="F3160" s="42"/>
      <c r="G3160" s="42"/>
      <c r="H3160" s="42"/>
      <c r="AG3160" s="19">
        <v>3159</v>
      </c>
      <c r="AH3160" s="20">
        <v>1620.910010277848</v>
      </c>
    </row>
    <row r="3161" spans="1:34" ht="14.5" x14ac:dyDescent="0.35">
      <c r="A3161" s="34"/>
      <c r="B3161" s="35"/>
      <c r="C3161" s="36"/>
      <c r="D3161" s="37"/>
      <c r="E3161" s="36"/>
      <c r="F3161" s="42"/>
      <c r="G3161" s="42"/>
      <c r="H3161" s="42"/>
      <c r="AG3161" s="19">
        <v>3160</v>
      </c>
      <c r="AH3161" s="20">
        <v>-596.86760404400934</v>
      </c>
    </row>
    <row r="3162" spans="1:34" ht="14.5" x14ac:dyDescent="0.35">
      <c r="A3162" s="34"/>
      <c r="B3162" s="35"/>
      <c r="C3162" s="36"/>
      <c r="D3162" s="37"/>
      <c r="E3162" s="36"/>
      <c r="F3162" s="42"/>
      <c r="G3162" s="42"/>
      <c r="H3162" s="42"/>
      <c r="AG3162" s="19">
        <v>3161</v>
      </c>
      <c r="AH3162" s="20">
        <v>-1635.9777136144746</v>
      </c>
    </row>
    <row r="3163" spans="1:34" ht="14.5" x14ac:dyDescent="0.35">
      <c r="A3163" s="34"/>
      <c r="B3163" s="35"/>
      <c r="C3163" s="36"/>
      <c r="D3163" s="37"/>
      <c r="E3163" s="36"/>
      <c r="F3163" s="42"/>
      <c r="G3163" s="42"/>
      <c r="H3163" s="42"/>
      <c r="AG3163" s="19">
        <v>3162</v>
      </c>
      <c r="AH3163" s="20">
        <v>2219.9706853129901</v>
      </c>
    </row>
    <row r="3164" spans="1:34" ht="14.5" x14ac:dyDescent="0.35">
      <c r="A3164" s="34"/>
      <c r="B3164" s="35"/>
      <c r="C3164" s="36"/>
      <c r="D3164" s="37"/>
      <c r="E3164" s="36"/>
      <c r="F3164" s="42"/>
      <c r="G3164" s="42"/>
      <c r="H3164" s="42"/>
      <c r="AG3164" s="19">
        <v>3163</v>
      </c>
      <c r="AH3164" s="20">
        <v>-2495.7590388942267</v>
      </c>
    </row>
    <row r="3165" spans="1:34" ht="14.5" x14ac:dyDescent="0.35">
      <c r="A3165" s="34"/>
      <c r="B3165" s="35"/>
      <c r="C3165" s="36"/>
      <c r="D3165" s="37"/>
      <c r="E3165" s="36"/>
      <c r="F3165" s="42"/>
      <c r="G3165" s="42"/>
      <c r="H3165" s="42"/>
      <c r="AG3165" s="19">
        <v>3164</v>
      </c>
      <c r="AH3165" s="20">
        <v>-4509.1552829211587</v>
      </c>
    </row>
    <row r="3166" spans="1:34" ht="14.5" x14ac:dyDescent="0.35">
      <c r="A3166" s="34"/>
      <c r="B3166" s="35"/>
      <c r="C3166" s="36"/>
      <c r="D3166" s="37"/>
      <c r="E3166" s="36"/>
      <c r="F3166" s="42"/>
      <c r="G3166" s="42"/>
      <c r="H3166" s="42"/>
      <c r="AG3166" s="19">
        <v>3165</v>
      </c>
      <c r="AH3166" s="20">
        <v>764.2718102947797</v>
      </c>
    </row>
    <row r="3167" spans="1:34" ht="14.5" x14ac:dyDescent="0.35">
      <c r="A3167" s="34"/>
      <c r="B3167" s="35"/>
      <c r="C3167" s="36"/>
      <c r="D3167" s="37"/>
      <c r="E3167" s="36"/>
      <c r="F3167" s="42"/>
      <c r="G3167" s="42"/>
      <c r="H3167" s="42"/>
      <c r="AG3167" s="19">
        <v>3166</v>
      </c>
      <c r="AH3167" s="20">
        <v>2343.6550509872941</v>
      </c>
    </row>
    <row r="3168" spans="1:34" ht="14.5" x14ac:dyDescent="0.35">
      <c r="A3168" s="34"/>
      <c r="B3168" s="35"/>
      <c r="C3168" s="36"/>
      <c r="D3168" s="37"/>
      <c r="E3168" s="36"/>
      <c r="F3168" s="42"/>
      <c r="G3168" s="42"/>
      <c r="H3168" s="42"/>
      <c r="AG3168" s="19">
        <v>3167</v>
      </c>
      <c r="AH3168" s="20">
        <v>752.62590911290818</v>
      </c>
    </row>
    <row r="3169" spans="1:34" ht="14.5" x14ac:dyDescent="0.35">
      <c r="A3169" s="34"/>
      <c r="B3169" s="35"/>
      <c r="C3169" s="36"/>
      <c r="D3169" s="37"/>
      <c r="E3169" s="36"/>
      <c r="F3169" s="42"/>
      <c r="G3169" s="42"/>
      <c r="H3169" s="42"/>
      <c r="AG3169" s="19">
        <v>3168</v>
      </c>
      <c r="AH3169" s="20">
        <v>-189.36025830586146</v>
      </c>
    </row>
    <row r="3170" spans="1:34" ht="14.5" x14ac:dyDescent="0.35">
      <c r="A3170" s="34"/>
      <c r="B3170" s="35"/>
      <c r="C3170" s="36"/>
      <c r="D3170" s="37"/>
      <c r="E3170" s="36"/>
      <c r="F3170" s="42"/>
      <c r="G3170" s="42"/>
      <c r="H3170" s="42"/>
      <c r="AG3170" s="19">
        <v>3169</v>
      </c>
      <c r="AH3170" s="20">
        <v>-351.7470223901849</v>
      </c>
    </row>
    <row r="3171" spans="1:34" ht="14.5" x14ac:dyDescent="0.35">
      <c r="A3171" s="34"/>
      <c r="B3171" s="35"/>
      <c r="C3171" s="36"/>
      <c r="D3171" s="37"/>
      <c r="E3171" s="36"/>
      <c r="F3171" s="42"/>
      <c r="G3171" s="42"/>
      <c r="H3171" s="42"/>
      <c r="AG3171" s="19">
        <v>3170</v>
      </c>
      <c r="AH3171" s="20">
        <v>642.36472045182597</v>
      </c>
    </row>
    <row r="3172" spans="1:34" ht="14.5" x14ac:dyDescent="0.35">
      <c r="A3172" s="34"/>
      <c r="B3172" s="35"/>
      <c r="C3172" s="36"/>
      <c r="D3172" s="37"/>
      <c r="E3172" s="36"/>
      <c r="F3172" s="42"/>
      <c r="G3172" s="42"/>
      <c r="H3172" s="42"/>
      <c r="AG3172" s="19">
        <v>3171</v>
      </c>
      <c r="AH3172" s="20">
        <v>604.58919589089248</v>
      </c>
    </row>
    <row r="3173" spans="1:34" ht="14.5" x14ac:dyDescent="0.35">
      <c r="A3173" s="34"/>
      <c r="B3173" s="35"/>
      <c r="C3173" s="36"/>
      <c r="D3173" s="37"/>
      <c r="E3173" s="36"/>
      <c r="F3173" s="42"/>
      <c r="G3173" s="42"/>
      <c r="H3173" s="42"/>
      <c r="AG3173" s="19">
        <v>3172</v>
      </c>
      <c r="AH3173" s="20">
        <v>846.19773190336059</v>
      </c>
    </row>
    <row r="3174" spans="1:34" ht="14.5" x14ac:dyDescent="0.35">
      <c r="A3174" s="34"/>
      <c r="B3174" s="35"/>
      <c r="C3174" s="36"/>
      <c r="D3174" s="37"/>
      <c r="E3174" s="36"/>
      <c r="F3174" s="42"/>
      <c r="G3174" s="42"/>
      <c r="H3174" s="42"/>
      <c r="AG3174" s="19">
        <v>3173</v>
      </c>
      <c r="AH3174" s="20">
        <v>-788.59152275006522</v>
      </c>
    </row>
    <row r="3175" spans="1:34" ht="14.5" x14ac:dyDescent="0.35">
      <c r="A3175" s="34"/>
      <c r="B3175" s="35"/>
      <c r="C3175" s="36"/>
      <c r="D3175" s="37"/>
      <c r="E3175" s="36"/>
      <c r="F3175" s="42"/>
      <c r="G3175" s="42"/>
      <c r="H3175" s="42"/>
      <c r="AG3175" s="19">
        <v>3174</v>
      </c>
      <c r="AH3175" s="20">
        <v>758.31699610026203</v>
      </c>
    </row>
    <row r="3176" spans="1:34" ht="14.5" x14ac:dyDescent="0.35">
      <c r="A3176" s="34"/>
      <c r="B3176" s="35"/>
      <c r="C3176" s="36"/>
      <c r="D3176" s="37"/>
      <c r="E3176" s="36"/>
      <c r="F3176" s="42"/>
      <c r="G3176" s="42"/>
      <c r="H3176" s="42"/>
      <c r="AG3176" s="19">
        <v>3175</v>
      </c>
      <c r="AH3176" s="20">
        <v>2198.6412784338836</v>
      </c>
    </row>
    <row r="3177" spans="1:34" ht="14.5" x14ac:dyDescent="0.35">
      <c r="A3177" s="34"/>
      <c r="B3177" s="35"/>
      <c r="C3177" s="36"/>
      <c r="D3177" s="37"/>
      <c r="E3177" s="36"/>
      <c r="F3177" s="42"/>
      <c r="G3177" s="42"/>
      <c r="H3177" s="42"/>
      <c r="AG3177" s="19">
        <v>3176</v>
      </c>
      <c r="AH3177" s="20">
        <v>1990.7313301368215</v>
      </c>
    </row>
    <row r="3178" spans="1:34" ht="14.5" x14ac:dyDescent="0.35">
      <c r="A3178" s="34"/>
      <c r="B3178" s="35"/>
      <c r="C3178" s="36"/>
      <c r="D3178" s="37"/>
      <c r="E3178" s="36"/>
      <c r="F3178" s="42"/>
      <c r="G3178" s="42"/>
      <c r="H3178" s="42"/>
      <c r="AG3178" s="19">
        <v>3177</v>
      </c>
      <c r="AH3178" s="20">
        <v>-3395.6419149592775</v>
      </c>
    </row>
    <row r="3179" spans="1:34" ht="14.5" x14ac:dyDescent="0.35">
      <c r="A3179" s="34"/>
      <c r="B3179" s="35"/>
      <c r="C3179" s="36"/>
      <c r="D3179" s="37"/>
      <c r="E3179" s="36"/>
      <c r="F3179" s="42"/>
      <c r="G3179" s="42"/>
      <c r="H3179" s="42"/>
      <c r="AG3179" s="19">
        <v>3178</v>
      </c>
      <c r="AH3179" s="20">
        <v>-531.85560450965272</v>
      </c>
    </row>
    <row r="3180" spans="1:34" ht="14.5" x14ac:dyDescent="0.35">
      <c r="A3180" s="34"/>
      <c r="B3180" s="35"/>
      <c r="C3180" s="36"/>
      <c r="D3180" s="37"/>
      <c r="E3180" s="36"/>
      <c r="F3180" s="42"/>
      <c r="G3180" s="42"/>
      <c r="H3180" s="42"/>
      <c r="AG3180" s="19">
        <v>3179</v>
      </c>
      <c r="AH3180" s="20">
        <v>2716.7569260465725</v>
      </c>
    </row>
    <row r="3181" spans="1:34" ht="14.5" x14ac:dyDescent="0.35">
      <c r="A3181" s="34"/>
      <c r="B3181" s="35"/>
      <c r="C3181" s="36"/>
      <c r="D3181" s="37"/>
      <c r="E3181" s="36"/>
      <c r="F3181" s="42"/>
      <c r="G3181" s="42"/>
      <c r="H3181" s="42"/>
      <c r="AG3181" s="19">
        <v>3180</v>
      </c>
      <c r="AH3181" s="20">
        <v>-677.85932104755807</v>
      </c>
    </row>
    <row r="3182" spans="1:34" ht="14.5" x14ac:dyDescent="0.35">
      <c r="A3182" s="34"/>
      <c r="B3182" s="35"/>
      <c r="C3182" s="36"/>
      <c r="D3182" s="37"/>
      <c r="E3182" s="36"/>
      <c r="F3182" s="42"/>
      <c r="G3182" s="42"/>
      <c r="H3182" s="42"/>
      <c r="AG3182" s="19">
        <v>3181</v>
      </c>
      <c r="AH3182" s="20">
        <v>-5259.4837597165006</v>
      </c>
    </row>
    <row r="3183" spans="1:34" ht="14.5" x14ac:dyDescent="0.35">
      <c r="A3183" s="34"/>
      <c r="B3183" s="35"/>
      <c r="C3183" s="36"/>
      <c r="D3183" s="37"/>
      <c r="E3183" s="36"/>
      <c r="F3183" s="42"/>
      <c r="G3183" s="42"/>
      <c r="H3183" s="42"/>
      <c r="AG3183" s="19">
        <v>3182</v>
      </c>
      <c r="AH3183" s="20">
        <v>1836.6831948841057</v>
      </c>
    </row>
    <row r="3184" spans="1:34" ht="14.5" x14ac:dyDescent="0.35">
      <c r="A3184" s="34"/>
      <c r="B3184" s="35"/>
      <c r="C3184" s="36"/>
      <c r="D3184" s="37"/>
      <c r="E3184" s="36"/>
      <c r="F3184" s="42"/>
      <c r="G3184" s="42"/>
      <c r="H3184" s="42"/>
      <c r="AG3184" s="19">
        <v>3183</v>
      </c>
      <c r="AH3184" s="20">
        <v>-1038.9813765230519</v>
      </c>
    </row>
    <row r="3185" spans="1:34" ht="14.5" x14ac:dyDescent="0.35">
      <c r="A3185" s="34"/>
      <c r="B3185" s="35"/>
      <c r="C3185" s="36"/>
      <c r="D3185" s="37"/>
      <c r="E3185" s="36"/>
      <c r="F3185" s="42"/>
      <c r="G3185" s="42"/>
      <c r="H3185" s="42"/>
      <c r="AG3185" s="19">
        <v>3184</v>
      </c>
      <c r="AH3185" s="20">
        <v>1951.2704367871977</v>
      </c>
    </row>
    <row r="3186" spans="1:34" ht="14.5" x14ac:dyDescent="0.35">
      <c r="A3186" s="34"/>
      <c r="B3186" s="35"/>
      <c r="C3186" s="36"/>
      <c r="D3186" s="37"/>
      <c r="E3186" s="36"/>
      <c r="F3186" s="42"/>
      <c r="G3186" s="42"/>
      <c r="H3186" s="42"/>
      <c r="AG3186" s="19">
        <v>3185</v>
      </c>
      <c r="AH3186" s="20">
        <v>1512.9808634061974</v>
      </c>
    </row>
    <row r="3187" spans="1:34" ht="14.5" x14ac:dyDescent="0.35">
      <c r="A3187" s="34"/>
      <c r="B3187" s="35"/>
      <c r="C3187" s="36"/>
      <c r="D3187" s="37"/>
      <c r="E3187" s="36"/>
      <c r="F3187" s="42"/>
      <c r="G3187" s="42"/>
      <c r="H3187" s="42"/>
      <c r="AG3187" s="19">
        <v>3186</v>
      </c>
      <c r="AH3187" s="20">
        <v>-797.25126143444959</v>
      </c>
    </row>
    <row r="3188" spans="1:34" ht="14.5" x14ac:dyDescent="0.35">
      <c r="A3188" s="34"/>
      <c r="B3188" s="35"/>
      <c r="C3188" s="36"/>
      <c r="D3188" s="37"/>
      <c r="E3188" s="36"/>
      <c r="F3188" s="42"/>
      <c r="G3188" s="42"/>
      <c r="H3188" s="42"/>
      <c r="AG3188" s="19">
        <v>3187</v>
      </c>
      <c r="AH3188" s="20">
        <v>-744.02617248313959</v>
      </c>
    </row>
    <row r="3189" spans="1:34" ht="14.5" x14ac:dyDescent="0.35">
      <c r="A3189" s="34"/>
      <c r="B3189" s="35"/>
      <c r="C3189" s="36"/>
      <c r="D3189" s="37"/>
      <c r="E3189" s="36"/>
      <c r="F3189" s="42"/>
      <c r="G3189" s="42"/>
      <c r="H3189" s="42"/>
      <c r="AG3189" s="19">
        <v>3188</v>
      </c>
      <c r="AH3189" s="20">
        <v>-631.79284692451756</v>
      </c>
    </row>
    <row r="3190" spans="1:34" ht="14.5" x14ac:dyDescent="0.35">
      <c r="A3190" s="34"/>
      <c r="B3190" s="35"/>
      <c r="C3190" s="36"/>
      <c r="D3190" s="37"/>
      <c r="E3190" s="36"/>
      <c r="F3190" s="42"/>
      <c r="G3190" s="42"/>
      <c r="H3190" s="42"/>
      <c r="AG3190" s="19">
        <v>3189</v>
      </c>
      <c r="AH3190" s="20">
        <v>1375.5017195602356</v>
      </c>
    </row>
    <row r="3191" spans="1:34" ht="14.5" x14ac:dyDescent="0.35">
      <c r="A3191" s="34"/>
      <c r="B3191" s="35"/>
      <c r="C3191" s="36"/>
      <c r="D3191" s="37"/>
      <c r="E3191" s="36"/>
      <c r="F3191" s="42"/>
      <c r="G3191" s="42"/>
      <c r="H3191" s="42"/>
      <c r="AG3191" s="19">
        <v>3190</v>
      </c>
      <c r="AH3191" s="20">
        <v>-542.14559072731231</v>
      </c>
    </row>
    <row r="3192" spans="1:34" ht="14.5" x14ac:dyDescent="0.35">
      <c r="A3192" s="34"/>
      <c r="B3192" s="35"/>
      <c r="C3192" s="36"/>
      <c r="D3192" s="37"/>
      <c r="E3192" s="36"/>
      <c r="F3192" s="42"/>
      <c r="G3192" s="42"/>
      <c r="H3192" s="42"/>
      <c r="AG3192" s="19">
        <v>3191</v>
      </c>
      <c r="AH3192" s="20">
        <v>2088.6351383651831</v>
      </c>
    </row>
    <row r="3193" spans="1:34" ht="14.5" x14ac:dyDescent="0.35">
      <c r="A3193" s="34"/>
      <c r="B3193" s="35"/>
      <c r="C3193" s="36"/>
      <c r="D3193" s="37"/>
      <c r="E3193" s="36"/>
      <c r="F3193" s="42"/>
      <c r="G3193" s="42"/>
      <c r="H3193" s="42"/>
      <c r="AG3193" s="19">
        <v>3192</v>
      </c>
      <c r="AH3193" s="20">
        <v>755.81303150744293</v>
      </c>
    </row>
    <row r="3194" spans="1:34" ht="14.5" x14ac:dyDescent="0.35">
      <c r="A3194" s="34"/>
      <c r="B3194" s="35"/>
      <c r="C3194" s="36"/>
      <c r="D3194" s="37"/>
      <c r="E3194" s="36"/>
      <c r="F3194" s="42"/>
      <c r="G3194" s="42"/>
      <c r="H3194" s="42"/>
      <c r="AG3194" s="19">
        <v>3193</v>
      </c>
      <c r="AH3194" s="20">
        <v>733.99479753602463</v>
      </c>
    </row>
    <row r="3195" spans="1:34" ht="14.5" x14ac:dyDescent="0.35">
      <c r="A3195" s="34"/>
      <c r="B3195" s="35"/>
      <c r="C3195" s="36"/>
      <c r="D3195" s="37"/>
      <c r="E3195" s="36"/>
      <c r="F3195" s="42"/>
      <c r="G3195" s="42"/>
      <c r="H3195" s="42"/>
      <c r="AG3195" s="19">
        <v>3194</v>
      </c>
      <c r="AH3195" s="20">
        <v>941.81434646753928</v>
      </c>
    </row>
    <row r="3196" spans="1:34" ht="14.5" x14ac:dyDescent="0.35">
      <c r="A3196" s="34"/>
      <c r="B3196" s="35"/>
      <c r="C3196" s="36"/>
      <c r="D3196" s="37"/>
      <c r="E3196" s="36"/>
      <c r="F3196" s="42"/>
      <c r="G3196" s="42"/>
      <c r="H3196" s="42"/>
      <c r="AG3196" s="19">
        <v>3195</v>
      </c>
      <c r="AH3196" s="20">
        <v>4283.7849819421835</v>
      </c>
    </row>
    <row r="3197" spans="1:34" ht="14.5" x14ac:dyDescent="0.35">
      <c r="A3197" s="34"/>
      <c r="B3197" s="35"/>
      <c r="C3197" s="36"/>
      <c r="D3197" s="37"/>
      <c r="E3197" s="36"/>
      <c r="F3197" s="42"/>
      <c r="G3197" s="42"/>
      <c r="H3197" s="42"/>
      <c r="AG3197" s="19">
        <v>3196</v>
      </c>
      <c r="AH3197" s="20">
        <v>516.86402718512807</v>
      </c>
    </row>
    <row r="3198" spans="1:34" ht="14.5" x14ac:dyDescent="0.35">
      <c r="A3198" s="34"/>
      <c r="B3198" s="35"/>
      <c r="C3198" s="36"/>
      <c r="D3198" s="37"/>
      <c r="E3198" s="36"/>
      <c r="F3198" s="42"/>
      <c r="G3198" s="42"/>
      <c r="H3198" s="42"/>
      <c r="AG3198" s="19">
        <v>3197</v>
      </c>
      <c r="AH3198" s="20">
        <v>699.38375570634355</v>
      </c>
    </row>
    <row r="3199" spans="1:34" ht="14.5" x14ac:dyDescent="0.35">
      <c r="A3199" s="34"/>
      <c r="B3199" s="35"/>
      <c r="C3199" s="36"/>
      <c r="D3199" s="37"/>
      <c r="E3199" s="36"/>
      <c r="F3199" s="42"/>
      <c r="G3199" s="42"/>
      <c r="H3199" s="42"/>
      <c r="AG3199" s="19">
        <v>3198</v>
      </c>
      <c r="AH3199" s="20">
        <v>838.22351155699698</v>
      </c>
    </row>
    <row r="3200" spans="1:34" ht="14.5" x14ac:dyDescent="0.35">
      <c r="A3200" s="34"/>
      <c r="B3200" s="35"/>
      <c r="C3200" s="36"/>
      <c r="D3200" s="37"/>
      <c r="E3200" s="36"/>
      <c r="F3200" s="42"/>
      <c r="G3200" s="42"/>
      <c r="H3200" s="42"/>
      <c r="AG3200" s="19">
        <v>3199</v>
      </c>
      <c r="AH3200" s="20">
        <v>295.27224218841985</v>
      </c>
    </row>
    <row r="3201" spans="1:34" ht="14.5" x14ac:dyDescent="0.35">
      <c r="A3201" s="34"/>
      <c r="B3201" s="35"/>
      <c r="C3201" s="36"/>
      <c r="D3201" s="37"/>
      <c r="E3201" s="36"/>
      <c r="F3201" s="42"/>
      <c r="G3201" s="42"/>
      <c r="H3201" s="42"/>
      <c r="AG3201" s="19">
        <v>3200</v>
      </c>
      <c r="AH3201" s="20">
        <v>-513.28217471177527</v>
      </c>
    </row>
    <row r="3202" spans="1:34" ht="14.5" x14ac:dyDescent="0.35">
      <c r="A3202" s="34"/>
      <c r="B3202" s="35"/>
      <c r="C3202" s="36"/>
      <c r="D3202" s="37"/>
      <c r="E3202" s="36"/>
      <c r="F3202" s="42"/>
      <c r="G3202" s="42"/>
      <c r="H3202" s="42"/>
      <c r="AG3202" s="19">
        <v>3201</v>
      </c>
      <c r="AH3202" s="20">
        <v>3976.0552046368439</v>
      </c>
    </row>
    <row r="3203" spans="1:34" ht="14.5" x14ac:dyDescent="0.35">
      <c r="A3203" s="34"/>
      <c r="B3203" s="35"/>
      <c r="C3203" s="36"/>
      <c r="D3203" s="37"/>
      <c r="E3203" s="36"/>
      <c r="F3203" s="42"/>
      <c r="G3203" s="42"/>
      <c r="H3203" s="42"/>
      <c r="AG3203" s="19">
        <v>3202</v>
      </c>
      <c r="AH3203" s="20">
        <v>2519.3532364560297</v>
      </c>
    </row>
    <row r="3204" spans="1:34" ht="14.5" x14ac:dyDescent="0.35">
      <c r="A3204" s="34"/>
      <c r="B3204" s="35"/>
      <c r="C3204" s="36"/>
      <c r="D3204" s="37"/>
      <c r="E3204" s="36"/>
      <c r="F3204" s="42"/>
      <c r="G3204" s="42"/>
      <c r="H3204" s="42"/>
      <c r="AG3204" s="19">
        <v>3203</v>
      </c>
      <c r="AH3204" s="20">
        <v>561.51366695499632</v>
      </c>
    </row>
    <row r="3205" spans="1:34" ht="14.5" x14ac:dyDescent="0.35">
      <c r="A3205" s="34"/>
      <c r="B3205" s="35"/>
      <c r="C3205" s="36"/>
      <c r="D3205" s="37"/>
      <c r="E3205" s="36"/>
      <c r="F3205" s="42"/>
      <c r="G3205" s="42"/>
      <c r="H3205" s="42"/>
      <c r="AG3205" s="19">
        <v>3204</v>
      </c>
      <c r="AH3205" s="20">
        <v>438.55101047562482</v>
      </c>
    </row>
    <row r="3206" spans="1:34" ht="14.5" x14ac:dyDescent="0.35">
      <c r="A3206" s="34"/>
      <c r="B3206" s="35"/>
      <c r="C3206" s="36"/>
      <c r="D3206" s="37"/>
      <c r="E3206" s="36"/>
      <c r="F3206" s="42"/>
      <c r="G3206" s="42"/>
      <c r="H3206" s="42"/>
      <c r="AG3206" s="19">
        <v>3205</v>
      </c>
      <c r="AH3206" s="20">
        <v>337.77259579939027</v>
      </c>
    </row>
    <row r="3207" spans="1:34" ht="14.5" x14ac:dyDescent="0.35">
      <c r="A3207" s="34"/>
      <c r="B3207" s="35"/>
      <c r="C3207" s="36"/>
      <c r="D3207" s="37"/>
      <c r="E3207" s="36"/>
      <c r="F3207" s="42"/>
      <c r="G3207" s="42"/>
      <c r="H3207" s="42"/>
      <c r="AG3207" s="19">
        <v>3206</v>
      </c>
      <c r="AH3207" s="20">
        <v>2639.6204219010788</v>
      </c>
    </row>
    <row r="3208" spans="1:34" ht="14.5" x14ac:dyDescent="0.35">
      <c r="A3208" s="34"/>
      <c r="B3208" s="35"/>
      <c r="C3208" s="36"/>
      <c r="D3208" s="37"/>
      <c r="E3208" s="36"/>
      <c r="F3208" s="42"/>
      <c r="G3208" s="42"/>
      <c r="H3208" s="42"/>
      <c r="AG3208" s="19">
        <v>3207</v>
      </c>
      <c r="AH3208" s="20">
        <v>1040.8684399360084</v>
      </c>
    </row>
    <row r="3209" spans="1:34" ht="14.5" x14ac:dyDescent="0.35">
      <c r="A3209" s="34"/>
      <c r="B3209" s="35"/>
      <c r="C3209" s="36"/>
      <c r="D3209" s="37"/>
      <c r="E3209" s="36"/>
      <c r="F3209" s="42"/>
      <c r="G3209" s="42"/>
      <c r="H3209" s="42"/>
      <c r="AG3209" s="19">
        <v>3208</v>
      </c>
      <c r="AH3209" s="20">
        <v>3356.5064968067559</v>
      </c>
    </row>
    <row r="3210" spans="1:34" ht="14.5" x14ac:dyDescent="0.35">
      <c r="A3210" s="34"/>
      <c r="B3210" s="35"/>
      <c r="C3210" s="36"/>
      <c r="D3210" s="37"/>
      <c r="E3210" s="36"/>
      <c r="F3210" s="42"/>
      <c r="G3210" s="42"/>
      <c r="H3210" s="42"/>
      <c r="AG3210" s="19">
        <v>3209</v>
      </c>
      <c r="AH3210" s="20">
        <v>-1218.7717860444925</v>
      </c>
    </row>
    <row r="3211" spans="1:34" ht="14.5" x14ac:dyDescent="0.35">
      <c r="A3211" s="34"/>
      <c r="B3211" s="35"/>
      <c r="C3211" s="36"/>
      <c r="D3211" s="37"/>
      <c r="E3211" s="36"/>
      <c r="F3211" s="42"/>
      <c r="G3211" s="42"/>
      <c r="H3211" s="42"/>
      <c r="AG3211" s="19">
        <v>3210</v>
      </c>
      <c r="AH3211" s="20">
        <v>-2302.8344061686903</v>
      </c>
    </row>
    <row r="3212" spans="1:34" ht="14.5" x14ac:dyDescent="0.35">
      <c r="A3212" s="34"/>
      <c r="B3212" s="35"/>
      <c r="C3212" s="36"/>
      <c r="D3212" s="37"/>
      <c r="E3212" s="36"/>
      <c r="F3212" s="42"/>
      <c r="G3212" s="42"/>
      <c r="H3212" s="42"/>
      <c r="AG3212" s="19">
        <v>3211</v>
      </c>
      <c r="AH3212" s="20">
        <v>-1873.7168668714796</v>
      </c>
    </row>
    <row r="3213" spans="1:34" ht="14.5" x14ac:dyDescent="0.35">
      <c r="A3213" s="34"/>
      <c r="B3213" s="35"/>
      <c r="C3213" s="36"/>
      <c r="D3213" s="37"/>
      <c r="E3213" s="36"/>
      <c r="F3213" s="42"/>
      <c r="G3213" s="42"/>
      <c r="H3213" s="42"/>
      <c r="AG3213" s="19">
        <v>3212</v>
      </c>
      <c r="AH3213" s="20">
        <v>-3136.5067770688265</v>
      </c>
    </row>
    <row r="3214" spans="1:34" ht="14.5" x14ac:dyDescent="0.35">
      <c r="A3214" s="34"/>
      <c r="B3214" s="35"/>
      <c r="C3214" s="36"/>
      <c r="D3214" s="37"/>
      <c r="E3214" s="36"/>
      <c r="F3214" s="42"/>
      <c r="G3214" s="42"/>
      <c r="H3214" s="42"/>
      <c r="AG3214" s="19">
        <v>3213</v>
      </c>
      <c r="AH3214" s="20">
        <v>-3197.6287275312429</v>
      </c>
    </row>
    <row r="3215" spans="1:34" ht="14.5" x14ac:dyDescent="0.35">
      <c r="A3215" s="34"/>
      <c r="B3215" s="35"/>
      <c r="C3215" s="36"/>
      <c r="D3215" s="37"/>
      <c r="E3215" s="36"/>
      <c r="F3215" s="42"/>
      <c r="G3215" s="42"/>
      <c r="H3215" s="42"/>
      <c r="AG3215" s="19">
        <v>3214</v>
      </c>
      <c r="AH3215" s="20">
        <v>3533.2655757824791</v>
      </c>
    </row>
    <row r="3216" spans="1:34" ht="14.5" x14ac:dyDescent="0.35">
      <c r="A3216" s="34"/>
      <c r="B3216" s="35"/>
      <c r="C3216" s="36"/>
      <c r="D3216" s="37"/>
      <c r="E3216" s="36"/>
      <c r="F3216" s="42"/>
      <c r="G3216" s="42"/>
      <c r="H3216" s="42"/>
      <c r="AG3216" s="19">
        <v>3215</v>
      </c>
      <c r="AH3216" s="20">
        <v>-1137.0878249005607</v>
      </c>
    </row>
    <row r="3217" spans="1:34" ht="14.5" x14ac:dyDescent="0.35">
      <c r="A3217" s="34"/>
      <c r="B3217" s="35"/>
      <c r="C3217" s="36"/>
      <c r="D3217" s="37"/>
      <c r="E3217" s="36"/>
      <c r="F3217" s="42"/>
      <c r="G3217" s="42"/>
      <c r="H3217" s="42"/>
      <c r="AG3217" s="19">
        <v>3216</v>
      </c>
      <c r="AH3217" s="20">
        <v>382.68059201277902</v>
      </c>
    </row>
    <row r="3218" spans="1:34" ht="14.5" x14ac:dyDescent="0.35">
      <c r="A3218" s="34"/>
      <c r="B3218" s="35"/>
      <c r="C3218" s="36"/>
      <c r="D3218" s="37"/>
      <c r="E3218" s="36"/>
      <c r="F3218" s="42"/>
      <c r="G3218" s="42"/>
      <c r="H3218" s="42"/>
      <c r="AG3218" s="19">
        <v>3217</v>
      </c>
      <c r="AH3218" s="20">
        <v>-98.881851621634553</v>
      </c>
    </row>
    <row r="3219" spans="1:34" ht="14.5" x14ac:dyDescent="0.35">
      <c r="A3219" s="34"/>
      <c r="B3219" s="35"/>
      <c r="C3219" s="36"/>
      <c r="D3219" s="37"/>
      <c r="E3219" s="36"/>
      <c r="F3219" s="42"/>
      <c r="G3219" s="42"/>
      <c r="H3219" s="42"/>
      <c r="AG3219" s="19">
        <v>3218</v>
      </c>
      <c r="AH3219" s="20">
        <v>-313.1476601540175</v>
      </c>
    </row>
    <row r="3220" spans="1:34" ht="14.5" x14ac:dyDescent="0.35">
      <c r="A3220" s="34"/>
      <c r="B3220" s="35"/>
      <c r="C3220" s="36"/>
      <c r="D3220" s="37"/>
      <c r="E3220" s="36"/>
      <c r="F3220" s="42"/>
      <c r="G3220" s="42"/>
      <c r="H3220" s="42"/>
      <c r="AG3220" s="19">
        <v>3219</v>
      </c>
      <c r="AH3220" s="20">
        <v>2708.9359914538354</v>
      </c>
    </row>
    <row r="3221" spans="1:34" ht="14.5" x14ac:dyDescent="0.35">
      <c r="A3221" s="34"/>
      <c r="B3221" s="35"/>
      <c r="C3221" s="36"/>
      <c r="D3221" s="37"/>
      <c r="E3221" s="36"/>
      <c r="F3221" s="42"/>
      <c r="G3221" s="42"/>
      <c r="H3221" s="42"/>
      <c r="AG3221" s="19">
        <v>3220</v>
      </c>
      <c r="AH3221" s="20">
        <v>-5947.7178853984569</v>
      </c>
    </row>
    <row r="3222" spans="1:34" ht="14.5" x14ac:dyDescent="0.35">
      <c r="A3222" s="34"/>
      <c r="B3222" s="35"/>
      <c r="C3222" s="36"/>
      <c r="D3222" s="37"/>
      <c r="E3222" s="36"/>
      <c r="F3222" s="42"/>
      <c r="G3222" s="42"/>
      <c r="H3222" s="42"/>
      <c r="AG3222" s="19">
        <v>3221</v>
      </c>
      <c r="AH3222" s="20">
        <v>3035.5608506910075</v>
      </c>
    </row>
    <row r="3223" spans="1:34" ht="14.5" x14ac:dyDescent="0.35">
      <c r="A3223" s="34"/>
      <c r="B3223" s="35"/>
      <c r="C3223" s="36"/>
      <c r="D3223" s="37"/>
      <c r="E3223" s="36"/>
      <c r="F3223" s="42"/>
      <c r="G3223" s="42"/>
      <c r="H3223" s="42"/>
      <c r="AG3223" s="19">
        <v>3222</v>
      </c>
      <c r="AH3223" s="20">
        <v>965.85339376892421</v>
      </c>
    </row>
    <row r="3224" spans="1:34" ht="14.5" x14ac:dyDescent="0.35">
      <c r="A3224" s="34"/>
      <c r="B3224" s="35"/>
      <c r="C3224" s="36"/>
      <c r="D3224" s="37"/>
      <c r="E3224" s="36"/>
      <c r="F3224" s="42"/>
      <c r="G3224" s="42"/>
      <c r="H3224" s="42"/>
      <c r="AG3224" s="19">
        <v>3223</v>
      </c>
      <c r="AH3224" s="20">
        <v>416.65173950908809</v>
      </c>
    </row>
    <row r="3225" spans="1:34" ht="14.5" x14ac:dyDescent="0.35">
      <c r="A3225" s="34"/>
      <c r="B3225" s="35"/>
      <c r="C3225" s="36"/>
      <c r="D3225" s="37"/>
      <c r="E3225" s="36"/>
      <c r="F3225" s="42"/>
      <c r="G3225" s="42"/>
      <c r="H3225" s="42"/>
      <c r="AG3225" s="19">
        <v>3224</v>
      </c>
      <c r="AH3225" s="20">
        <v>3576.9666738790474</v>
      </c>
    </row>
    <row r="3226" spans="1:34" ht="14.5" x14ac:dyDescent="0.35">
      <c r="A3226" s="34"/>
      <c r="B3226" s="35"/>
      <c r="C3226" s="36"/>
      <c r="D3226" s="37"/>
      <c r="E3226" s="36"/>
      <c r="F3226" s="42"/>
      <c r="G3226" s="42"/>
      <c r="H3226" s="42"/>
      <c r="AG3226" s="19">
        <v>3225</v>
      </c>
      <c r="AH3226" s="20">
        <v>1022.3920008151445</v>
      </c>
    </row>
    <row r="3227" spans="1:34" ht="14.5" x14ac:dyDescent="0.35">
      <c r="A3227" s="34"/>
      <c r="B3227" s="35"/>
      <c r="C3227" s="36"/>
      <c r="D3227" s="37"/>
      <c r="E3227" s="36"/>
      <c r="F3227" s="42"/>
      <c r="G3227" s="42"/>
      <c r="H3227" s="42"/>
      <c r="AG3227" s="19">
        <v>3226</v>
      </c>
      <c r="AH3227" s="20">
        <v>-433.16454988820834</v>
      </c>
    </row>
    <row r="3228" spans="1:34" ht="14.5" x14ac:dyDescent="0.35">
      <c r="A3228" s="34"/>
      <c r="B3228" s="35"/>
      <c r="C3228" s="36"/>
      <c r="D3228" s="37"/>
      <c r="E3228" s="36"/>
      <c r="F3228" s="42"/>
      <c r="G3228" s="42"/>
      <c r="H3228" s="42"/>
      <c r="AG3228" s="19">
        <v>3227</v>
      </c>
      <c r="AH3228" s="20">
        <v>-1204.56347218521</v>
      </c>
    </row>
    <row r="3229" spans="1:34" ht="14.5" x14ac:dyDescent="0.35">
      <c r="A3229" s="34"/>
      <c r="B3229" s="35"/>
      <c r="C3229" s="36"/>
      <c r="D3229" s="37"/>
      <c r="E3229" s="36"/>
      <c r="F3229" s="42"/>
      <c r="G3229" s="42"/>
      <c r="H3229" s="42"/>
      <c r="AG3229" s="19">
        <v>3228</v>
      </c>
      <c r="AH3229" s="20">
        <v>248.30532218276645</v>
      </c>
    </row>
    <row r="3230" spans="1:34" ht="14.5" x14ac:dyDescent="0.35">
      <c r="A3230" s="34"/>
      <c r="B3230" s="35"/>
      <c r="C3230" s="36"/>
      <c r="D3230" s="37"/>
      <c r="E3230" s="36"/>
      <c r="F3230" s="42"/>
      <c r="G3230" s="42"/>
      <c r="H3230" s="42"/>
      <c r="AG3230" s="19">
        <v>3229</v>
      </c>
      <c r="AH3230" s="20">
        <v>1031.975487839587</v>
      </c>
    </row>
    <row r="3231" spans="1:34" ht="14.5" x14ac:dyDescent="0.35">
      <c r="A3231" s="34"/>
      <c r="B3231" s="35"/>
      <c r="C3231" s="36"/>
      <c r="D3231" s="37"/>
      <c r="E3231" s="36"/>
      <c r="F3231" s="42"/>
      <c r="G3231" s="42"/>
      <c r="H3231" s="42"/>
      <c r="AG3231" s="19">
        <v>3230</v>
      </c>
      <c r="AH3231" s="20">
        <v>-1245.6469848941776</v>
      </c>
    </row>
    <row r="3232" spans="1:34" ht="14.5" x14ac:dyDescent="0.35">
      <c r="A3232" s="34"/>
      <c r="B3232" s="35"/>
      <c r="C3232" s="36"/>
      <c r="D3232" s="37"/>
      <c r="E3232" s="36"/>
      <c r="F3232" s="42"/>
      <c r="G3232" s="42"/>
      <c r="H3232" s="42"/>
      <c r="AG3232" s="19">
        <v>3231</v>
      </c>
      <c r="AH3232" s="20">
        <v>-1355.9500663520455</v>
      </c>
    </row>
    <row r="3233" spans="1:34" ht="14.5" x14ac:dyDescent="0.35">
      <c r="A3233" s="34"/>
      <c r="B3233" s="35"/>
      <c r="C3233" s="36"/>
      <c r="D3233" s="37"/>
      <c r="E3233" s="36"/>
      <c r="F3233" s="42"/>
      <c r="G3233" s="42"/>
      <c r="H3233" s="42"/>
      <c r="AG3233" s="19">
        <v>3232</v>
      </c>
      <c r="AH3233" s="20">
        <v>44.552419700911742</v>
      </c>
    </row>
    <row r="3234" spans="1:34" ht="14.5" x14ac:dyDescent="0.35">
      <c r="A3234" s="34"/>
      <c r="B3234" s="35"/>
      <c r="C3234" s="36"/>
      <c r="D3234" s="37"/>
      <c r="E3234" s="36"/>
      <c r="F3234" s="42"/>
      <c r="G3234" s="42"/>
      <c r="H3234" s="42"/>
      <c r="AG3234" s="19">
        <v>3233</v>
      </c>
      <c r="AH3234" s="20">
        <v>2936.5660580630774</v>
      </c>
    </row>
    <row r="3235" spans="1:34" ht="14.5" x14ac:dyDescent="0.35">
      <c r="A3235" s="34"/>
      <c r="B3235" s="35"/>
      <c r="C3235" s="36"/>
      <c r="D3235" s="37"/>
      <c r="E3235" s="36"/>
      <c r="F3235" s="42"/>
      <c r="G3235" s="42"/>
      <c r="H3235" s="42"/>
      <c r="AG3235" s="19">
        <v>3234</v>
      </c>
      <c r="AH3235" s="20">
        <v>1369.9000847778154</v>
      </c>
    </row>
    <row r="3236" spans="1:34" ht="14.5" x14ac:dyDescent="0.35">
      <c r="A3236" s="34"/>
      <c r="B3236" s="35"/>
      <c r="C3236" s="36"/>
      <c r="D3236" s="37"/>
      <c r="E3236" s="36"/>
      <c r="F3236" s="42"/>
      <c r="G3236" s="42"/>
      <c r="H3236" s="42"/>
      <c r="AG3236" s="19">
        <v>3235</v>
      </c>
      <c r="AH3236" s="20">
        <v>-773.15849828166665</v>
      </c>
    </row>
    <row r="3237" spans="1:34" ht="14.5" x14ac:dyDescent="0.35">
      <c r="A3237" s="34"/>
      <c r="B3237" s="35"/>
      <c r="C3237" s="36"/>
      <c r="D3237" s="37"/>
      <c r="E3237" s="36"/>
      <c r="F3237" s="42"/>
      <c r="G3237" s="42"/>
      <c r="H3237" s="42"/>
      <c r="AG3237" s="19">
        <v>3236</v>
      </c>
      <c r="AH3237" s="20">
        <v>1833.9267815498895</v>
      </c>
    </row>
    <row r="3238" spans="1:34" ht="14.5" x14ac:dyDescent="0.35">
      <c r="A3238" s="34"/>
      <c r="B3238" s="35"/>
      <c r="C3238" s="36"/>
      <c r="D3238" s="37"/>
      <c r="E3238" s="36"/>
      <c r="F3238" s="42"/>
      <c r="G3238" s="42"/>
      <c r="H3238" s="42"/>
      <c r="AG3238" s="19">
        <v>3237</v>
      </c>
      <c r="AH3238" s="20">
        <v>-2918.5909542017785</v>
      </c>
    </row>
    <row r="3239" spans="1:34" ht="14.5" x14ac:dyDescent="0.35">
      <c r="A3239" s="34"/>
      <c r="B3239" s="35"/>
      <c r="C3239" s="36"/>
      <c r="D3239" s="37"/>
      <c r="E3239" s="36"/>
      <c r="F3239" s="42"/>
      <c r="G3239" s="42"/>
      <c r="H3239" s="42"/>
      <c r="AG3239" s="19">
        <v>3238</v>
      </c>
      <c r="AH3239" s="20">
        <v>165.50503370154024</v>
      </c>
    </row>
    <row r="3240" spans="1:34" ht="14.5" x14ac:dyDescent="0.35">
      <c r="A3240" s="34"/>
      <c r="B3240" s="35"/>
      <c r="C3240" s="36"/>
      <c r="D3240" s="37"/>
      <c r="E3240" s="36"/>
      <c r="F3240" s="42"/>
      <c r="G3240" s="42"/>
      <c r="H3240" s="42"/>
      <c r="AG3240" s="19">
        <v>3239</v>
      </c>
      <c r="AH3240" s="20">
        <v>1717.4053749757461</v>
      </c>
    </row>
    <row r="3241" spans="1:34" ht="14.5" x14ac:dyDescent="0.35">
      <c r="A3241" s="34"/>
      <c r="B3241" s="35"/>
      <c r="C3241" s="36"/>
      <c r="D3241" s="37"/>
      <c r="E3241" s="36"/>
      <c r="F3241" s="42"/>
      <c r="G3241" s="42"/>
      <c r="H3241" s="42"/>
      <c r="AG3241" s="19">
        <v>3240</v>
      </c>
      <c r="AH3241" s="20">
        <v>-2177.1826180357816</v>
      </c>
    </row>
    <row r="3242" spans="1:34" ht="14.5" x14ac:dyDescent="0.35">
      <c r="A3242" s="34"/>
      <c r="B3242" s="35"/>
      <c r="C3242" s="36"/>
      <c r="D3242" s="37"/>
      <c r="E3242" s="36"/>
      <c r="F3242" s="42"/>
      <c r="G3242" s="42"/>
      <c r="H3242" s="42"/>
      <c r="AG3242" s="19">
        <v>3241</v>
      </c>
      <c r="AH3242" s="20">
        <v>1186.6932205156429</v>
      </c>
    </row>
    <row r="3243" spans="1:34" ht="14.5" x14ac:dyDescent="0.35">
      <c r="A3243" s="34"/>
      <c r="B3243" s="35"/>
      <c r="C3243" s="36"/>
      <c r="D3243" s="37"/>
      <c r="E3243" s="36"/>
      <c r="F3243" s="42"/>
      <c r="G3243" s="42"/>
      <c r="H3243" s="42"/>
      <c r="AG3243" s="19">
        <v>3242</v>
      </c>
      <c r="AH3243" s="20">
        <v>956.95446221187717</v>
      </c>
    </row>
    <row r="3244" spans="1:34" ht="14.5" x14ac:dyDescent="0.35">
      <c r="A3244" s="34"/>
      <c r="B3244" s="35"/>
      <c r="C3244" s="36"/>
      <c r="D3244" s="37"/>
      <c r="E3244" s="36"/>
      <c r="F3244" s="42"/>
      <c r="G3244" s="42"/>
      <c r="H3244" s="42"/>
      <c r="AG3244" s="19">
        <v>3243</v>
      </c>
      <c r="AH3244" s="20">
        <v>-2360.669795269464</v>
      </c>
    </row>
    <row r="3245" spans="1:34" ht="14.5" x14ac:dyDescent="0.35">
      <c r="A3245" s="34"/>
      <c r="B3245" s="35"/>
      <c r="C3245" s="36"/>
      <c r="D3245" s="37"/>
      <c r="E3245" s="36"/>
      <c r="F3245" s="42"/>
      <c r="G3245" s="42"/>
      <c r="H3245" s="42"/>
      <c r="AG3245" s="19">
        <v>3244</v>
      </c>
      <c r="AH3245" s="20">
        <v>2660.6678231180308</v>
      </c>
    </row>
    <row r="3246" spans="1:34" ht="14.5" x14ac:dyDescent="0.35">
      <c r="A3246" s="34"/>
      <c r="B3246" s="35"/>
      <c r="C3246" s="36"/>
      <c r="D3246" s="37"/>
      <c r="E3246" s="36"/>
      <c r="F3246" s="42"/>
      <c r="G3246" s="42"/>
      <c r="H3246" s="42"/>
      <c r="AG3246" s="19">
        <v>3245</v>
      </c>
      <c r="AH3246" s="20">
        <v>2849.2455059803874</v>
      </c>
    </row>
    <row r="3247" spans="1:34" ht="14.5" x14ac:dyDescent="0.35">
      <c r="A3247" s="34"/>
      <c r="B3247" s="35"/>
      <c r="C3247" s="36"/>
      <c r="D3247" s="37"/>
      <c r="E3247" s="36"/>
      <c r="F3247" s="42"/>
      <c r="G3247" s="42"/>
      <c r="H3247" s="42"/>
      <c r="AG3247" s="19">
        <v>3246</v>
      </c>
      <c r="AH3247" s="20">
        <v>-74.221568382338717</v>
      </c>
    </row>
    <row r="3248" spans="1:34" ht="14.5" x14ac:dyDescent="0.35">
      <c r="A3248" s="34"/>
      <c r="B3248" s="35"/>
      <c r="C3248" s="36"/>
      <c r="D3248" s="37"/>
      <c r="E3248" s="36"/>
      <c r="F3248" s="42"/>
      <c r="G3248" s="42"/>
      <c r="H3248" s="42"/>
      <c r="AG3248" s="19">
        <v>3247</v>
      </c>
      <c r="AH3248" s="20">
        <v>4661.356286535638</v>
      </c>
    </row>
    <row r="3249" spans="1:34" ht="14.5" x14ac:dyDescent="0.35">
      <c r="A3249" s="34"/>
      <c r="B3249" s="35"/>
      <c r="C3249" s="36"/>
      <c r="D3249" s="37"/>
      <c r="E3249" s="36"/>
      <c r="F3249" s="42"/>
      <c r="G3249" s="42"/>
      <c r="H3249" s="42"/>
      <c r="AG3249" s="19">
        <v>3248</v>
      </c>
      <c r="AH3249" s="20">
        <v>-521.97237449689965</v>
      </c>
    </row>
    <row r="3250" spans="1:34" ht="14.5" x14ac:dyDescent="0.35">
      <c r="A3250" s="34"/>
      <c r="B3250" s="35"/>
      <c r="C3250" s="36"/>
      <c r="D3250" s="37"/>
      <c r="E3250" s="36"/>
      <c r="F3250" s="42"/>
      <c r="G3250" s="42"/>
      <c r="H3250" s="42"/>
      <c r="AG3250" s="19">
        <v>3249</v>
      </c>
      <c r="AH3250" s="20">
        <v>2697.2187595158057</v>
      </c>
    </row>
    <row r="3251" spans="1:34" ht="14.5" x14ac:dyDescent="0.35">
      <c r="A3251" s="34"/>
      <c r="B3251" s="35"/>
      <c r="C3251" s="36"/>
      <c r="D3251" s="37"/>
      <c r="E3251" s="36"/>
      <c r="F3251" s="42"/>
      <c r="G3251" s="42"/>
      <c r="H3251" s="42"/>
      <c r="AG3251" s="19">
        <v>3250</v>
      </c>
      <c r="AH3251" s="20">
        <v>3643.8834109405338</v>
      </c>
    </row>
    <row r="3252" spans="1:34" ht="14.5" x14ac:dyDescent="0.35">
      <c r="A3252" s="34"/>
      <c r="B3252" s="35"/>
      <c r="C3252" s="36"/>
      <c r="D3252" s="37"/>
      <c r="E3252" s="36"/>
      <c r="F3252" s="42"/>
      <c r="G3252" s="42"/>
      <c r="H3252" s="42"/>
      <c r="AG3252" s="19">
        <v>3251</v>
      </c>
      <c r="AH3252" s="20">
        <v>505.70087641509622</v>
      </c>
    </row>
    <row r="3253" spans="1:34" ht="14.5" x14ac:dyDescent="0.35">
      <c r="A3253" s="34"/>
      <c r="B3253" s="35"/>
      <c r="C3253" s="36"/>
      <c r="D3253" s="37"/>
      <c r="E3253" s="36"/>
      <c r="F3253" s="42"/>
      <c r="G3253" s="42"/>
      <c r="H3253" s="42"/>
      <c r="AG3253" s="19">
        <v>3252</v>
      </c>
      <c r="AH3253" s="20">
        <v>1734.8892134397504</v>
      </c>
    </row>
    <row r="3254" spans="1:34" ht="14.5" x14ac:dyDescent="0.35">
      <c r="A3254" s="34"/>
      <c r="B3254" s="35"/>
      <c r="C3254" s="36"/>
      <c r="D3254" s="37"/>
      <c r="E3254" s="36"/>
      <c r="F3254" s="42"/>
      <c r="G3254" s="42"/>
      <c r="H3254" s="42"/>
      <c r="AG3254" s="19">
        <v>3253</v>
      </c>
      <c r="AH3254" s="20">
        <v>513.78567462908791</v>
      </c>
    </row>
    <row r="3255" spans="1:34" ht="14.5" x14ac:dyDescent="0.35">
      <c r="A3255" s="34"/>
      <c r="B3255" s="35"/>
      <c r="C3255" s="36"/>
      <c r="D3255" s="37"/>
      <c r="E3255" s="36"/>
      <c r="F3255" s="42"/>
      <c r="G3255" s="42"/>
      <c r="H3255" s="42"/>
      <c r="AG3255" s="19">
        <v>3254</v>
      </c>
      <c r="AH3255" s="20">
        <v>-1090.1598303138119</v>
      </c>
    </row>
    <row r="3256" spans="1:34" ht="14.5" x14ac:dyDescent="0.35">
      <c r="A3256" s="34"/>
      <c r="B3256" s="35"/>
      <c r="C3256" s="36"/>
      <c r="D3256" s="37"/>
      <c r="E3256" s="36"/>
      <c r="F3256" s="42"/>
      <c r="G3256" s="42"/>
      <c r="H3256" s="42"/>
      <c r="AG3256" s="19">
        <v>3255</v>
      </c>
      <c r="AH3256" s="20">
        <v>3183.1724003910113</v>
      </c>
    </row>
    <row r="3257" spans="1:34" ht="14.5" x14ac:dyDescent="0.35">
      <c r="A3257" s="34"/>
      <c r="B3257" s="35"/>
      <c r="C3257" s="36"/>
      <c r="D3257" s="37"/>
      <c r="E3257" s="36"/>
      <c r="F3257" s="42"/>
      <c r="G3257" s="42"/>
      <c r="H3257" s="42"/>
      <c r="AG3257" s="19">
        <v>3256</v>
      </c>
      <c r="AH3257" s="20">
        <v>2611.2348023562972</v>
      </c>
    </row>
    <row r="3258" spans="1:34" ht="14.5" x14ac:dyDescent="0.35">
      <c r="A3258" s="34"/>
      <c r="B3258" s="35"/>
      <c r="C3258" s="36"/>
      <c r="D3258" s="37"/>
      <c r="E3258" s="36"/>
      <c r="F3258" s="42"/>
      <c r="G3258" s="42"/>
      <c r="H3258" s="42"/>
      <c r="AG3258" s="19">
        <v>3257</v>
      </c>
      <c r="AH3258" s="20">
        <v>-994.87931702870787</v>
      </c>
    </row>
    <row r="3259" spans="1:34" ht="14.5" x14ac:dyDescent="0.35">
      <c r="A3259" s="34"/>
      <c r="B3259" s="35"/>
      <c r="C3259" s="36"/>
      <c r="D3259" s="37"/>
      <c r="E3259" s="36"/>
      <c r="F3259" s="42"/>
      <c r="G3259" s="42"/>
      <c r="H3259" s="42"/>
      <c r="AG3259" s="19">
        <v>3258</v>
      </c>
      <c r="AH3259" s="20">
        <v>1859.9164425554104</v>
      </c>
    </row>
    <row r="3260" spans="1:34" ht="14.5" x14ac:dyDescent="0.35">
      <c r="A3260" s="34"/>
      <c r="B3260" s="35"/>
      <c r="C3260" s="36"/>
      <c r="D3260" s="37"/>
      <c r="E3260" s="36"/>
      <c r="F3260" s="42"/>
      <c r="G3260" s="42"/>
      <c r="H3260" s="42"/>
      <c r="AG3260" s="19">
        <v>3259</v>
      </c>
      <c r="AH3260" s="20">
        <v>-545.96446639561873</v>
      </c>
    </row>
    <row r="3261" spans="1:34" ht="14.5" x14ac:dyDescent="0.35">
      <c r="A3261" s="34"/>
      <c r="B3261" s="35"/>
      <c r="C3261" s="36"/>
      <c r="D3261" s="37"/>
      <c r="E3261" s="36"/>
      <c r="F3261" s="42"/>
      <c r="G3261" s="42"/>
      <c r="H3261" s="42"/>
      <c r="AG3261" s="19">
        <v>3260</v>
      </c>
      <c r="AH3261" s="20">
        <v>3621.5023561109301</v>
      </c>
    </row>
    <row r="3262" spans="1:34" ht="14.5" x14ac:dyDescent="0.35">
      <c r="A3262" s="34"/>
      <c r="B3262" s="35"/>
      <c r="C3262" s="36"/>
      <c r="D3262" s="37"/>
      <c r="E3262" s="36"/>
      <c r="F3262" s="42"/>
      <c r="G3262" s="42"/>
      <c r="H3262" s="42"/>
      <c r="AG3262" s="19">
        <v>3261</v>
      </c>
      <c r="AH3262" s="20">
        <v>-1702.2405840135968</v>
      </c>
    </row>
    <row r="3263" spans="1:34" ht="14.5" x14ac:dyDescent="0.35">
      <c r="A3263" s="34"/>
      <c r="B3263" s="35"/>
      <c r="C3263" s="36"/>
      <c r="D3263" s="37"/>
      <c r="E3263" s="36"/>
      <c r="F3263" s="42"/>
      <c r="G3263" s="42"/>
      <c r="H3263" s="42"/>
      <c r="AG3263" s="19">
        <v>3262</v>
      </c>
      <c r="AH3263" s="20">
        <v>-1293.8500291851212</v>
      </c>
    </row>
    <row r="3264" spans="1:34" ht="14.5" x14ac:dyDescent="0.35">
      <c r="A3264" s="34"/>
      <c r="B3264" s="35"/>
      <c r="C3264" s="36"/>
      <c r="D3264" s="37"/>
      <c r="E3264" s="36"/>
      <c r="F3264" s="42"/>
      <c r="G3264" s="42"/>
      <c r="H3264" s="42"/>
      <c r="AG3264" s="19">
        <v>3263</v>
      </c>
      <c r="AH3264" s="20">
        <v>39.381619156132047</v>
      </c>
    </row>
    <row r="3265" spans="1:34" ht="14.5" x14ac:dyDescent="0.35">
      <c r="A3265" s="34"/>
      <c r="B3265" s="35"/>
      <c r="C3265" s="36"/>
      <c r="D3265" s="37"/>
      <c r="E3265" s="36"/>
      <c r="F3265" s="42"/>
      <c r="G3265" s="42"/>
      <c r="H3265" s="42"/>
      <c r="AG3265" s="19">
        <v>3264</v>
      </c>
      <c r="AH3265" s="20">
        <v>2061.1453015323546</v>
      </c>
    </row>
    <row r="3266" spans="1:34" ht="14.5" x14ac:dyDescent="0.35">
      <c r="A3266" s="34"/>
      <c r="B3266" s="35"/>
      <c r="C3266" s="36"/>
      <c r="D3266" s="37"/>
      <c r="E3266" s="36"/>
      <c r="F3266" s="42"/>
      <c r="G3266" s="42"/>
      <c r="H3266" s="42"/>
      <c r="AG3266" s="19">
        <v>3265</v>
      </c>
      <c r="AH3266" s="20">
        <v>-1580.1109225941664</v>
      </c>
    </row>
    <row r="3267" spans="1:34" ht="14.5" x14ac:dyDescent="0.35">
      <c r="A3267" s="34"/>
      <c r="B3267" s="35"/>
      <c r="C3267" s="36"/>
      <c r="D3267" s="37"/>
      <c r="E3267" s="36"/>
      <c r="F3267" s="42"/>
      <c r="G3267" s="42"/>
      <c r="H3267" s="42"/>
      <c r="AG3267" s="19">
        <v>3266</v>
      </c>
      <c r="AH3267" s="20">
        <v>2514.3772334703076</v>
      </c>
    </row>
    <row r="3268" spans="1:34" ht="14.5" x14ac:dyDescent="0.35">
      <c r="A3268" s="34"/>
      <c r="B3268" s="35"/>
      <c r="C3268" s="36"/>
      <c r="D3268" s="37"/>
      <c r="E3268" s="36"/>
      <c r="F3268" s="42"/>
      <c r="G3268" s="42"/>
      <c r="H3268" s="42"/>
      <c r="AG3268" s="19">
        <v>3267</v>
      </c>
      <c r="AH3268" s="20">
        <v>-938.03069235434737</v>
      </c>
    </row>
    <row r="3269" spans="1:34" ht="14.5" x14ac:dyDescent="0.35">
      <c r="A3269" s="34"/>
      <c r="B3269" s="35"/>
      <c r="C3269" s="36"/>
      <c r="D3269" s="37"/>
      <c r="E3269" s="36"/>
      <c r="F3269" s="42"/>
      <c r="G3269" s="42"/>
      <c r="H3269" s="42"/>
      <c r="AG3269" s="19">
        <v>3268</v>
      </c>
      <c r="AH3269" s="20">
        <v>603.67449137409039</v>
      </c>
    </row>
    <row r="3270" spans="1:34" ht="14.5" x14ac:dyDescent="0.35">
      <c r="A3270" s="34"/>
      <c r="B3270" s="35"/>
      <c r="C3270" s="36"/>
      <c r="D3270" s="37"/>
      <c r="E3270" s="36"/>
      <c r="F3270" s="42"/>
      <c r="G3270" s="42"/>
      <c r="H3270" s="42"/>
      <c r="AG3270" s="19">
        <v>3269</v>
      </c>
      <c r="AH3270" s="20">
        <v>-2692.3201810722203</v>
      </c>
    </row>
    <row r="3271" spans="1:34" ht="14.5" x14ac:dyDescent="0.35">
      <c r="A3271" s="34"/>
      <c r="B3271" s="35"/>
      <c r="C3271" s="36"/>
      <c r="D3271" s="37"/>
      <c r="E3271" s="36"/>
      <c r="F3271" s="42"/>
      <c r="G3271" s="42"/>
      <c r="H3271" s="42"/>
      <c r="AG3271" s="19">
        <v>3270</v>
      </c>
      <c r="AH3271" s="20">
        <v>3234.4784009979517</v>
      </c>
    </row>
    <row r="3272" spans="1:34" ht="14.5" x14ac:dyDescent="0.35">
      <c r="A3272" s="34"/>
      <c r="B3272" s="35"/>
      <c r="C3272" s="36"/>
      <c r="D3272" s="37"/>
      <c r="E3272" s="36"/>
      <c r="F3272" s="42"/>
      <c r="G3272" s="42"/>
      <c r="H3272" s="42"/>
      <c r="AG3272" s="19">
        <v>3271</v>
      </c>
      <c r="AH3272" s="20">
        <v>4291.5260671070073</v>
      </c>
    </row>
    <row r="3273" spans="1:34" ht="14.5" x14ac:dyDescent="0.35">
      <c r="A3273" s="34"/>
      <c r="B3273" s="35"/>
      <c r="C3273" s="36"/>
      <c r="D3273" s="37"/>
      <c r="E3273" s="36"/>
      <c r="F3273" s="42"/>
      <c r="G3273" s="42"/>
      <c r="H3273" s="42"/>
      <c r="AG3273" s="19">
        <v>3272</v>
      </c>
      <c r="AH3273" s="20">
        <v>3887.0316609656584</v>
      </c>
    </row>
    <row r="3274" spans="1:34" ht="14.5" x14ac:dyDescent="0.35">
      <c r="A3274" s="34"/>
      <c r="B3274" s="35"/>
      <c r="C3274" s="36"/>
      <c r="D3274" s="37"/>
      <c r="E3274" s="36"/>
      <c r="F3274" s="42"/>
      <c r="G3274" s="42"/>
      <c r="H3274" s="42"/>
      <c r="AG3274" s="19">
        <v>3273</v>
      </c>
      <c r="AH3274" s="20">
        <v>2266.9610888912957</v>
      </c>
    </row>
    <row r="3275" spans="1:34" ht="14.5" x14ac:dyDescent="0.35">
      <c r="A3275" s="34"/>
      <c r="B3275" s="35"/>
      <c r="C3275" s="36"/>
      <c r="D3275" s="37"/>
      <c r="E3275" s="36"/>
      <c r="F3275" s="42"/>
      <c r="G3275" s="42"/>
      <c r="H3275" s="42"/>
      <c r="AG3275" s="19">
        <v>3274</v>
      </c>
      <c r="AH3275" s="20">
        <v>-533.05438788052311</v>
      </c>
    </row>
    <row r="3276" spans="1:34" ht="14.5" x14ac:dyDescent="0.35">
      <c r="A3276" s="34"/>
      <c r="B3276" s="35"/>
      <c r="C3276" s="36"/>
      <c r="D3276" s="37"/>
      <c r="E3276" s="36"/>
      <c r="F3276" s="42"/>
      <c r="G3276" s="42"/>
      <c r="H3276" s="42"/>
      <c r="AG3276" s="19">
        <v>3275</v>
      </c>
      <c r="AH3276" s="20">
        <v>2336.1112963821415</v>
      </c>
    </row>
    <row r="3277" spans="1:34" ht="14.5" x14ac:dyDescent="0.35">
      <c r="A3277" s="34"/>
      <c r="B3277" s="35"/>
      <c r="C3277" s="36"/>
      <c r="D3277" s="37"/>
      <c r="E3277" s="36"/>
      <c r="F3277" s="42"/>
      <c r="G3277" s="42"/>
      <c r="H3277" s="42"/>
      <c r="AG3277" s="19">
        <v>3276</v>
      </c>
      <c r="AH3277" s="20">
        <v>-518.07082034330665</v>
      </c>
    </row>
    <row r="3278" spans="1:34" ht="14.5" x14ac:dyDescent="0.35">
      <c r="A3278" s="34"/>
      <c r="B3278" s="35"/>
      <c r="C3278" s="36"/>
      <c r="D3278" s="37"/>
      <c r="E3278" s="36"/>
      <c r="F3278" s="42"/>
      <c r="G3278" s="42"/>
      <c r="H3278" s="42"/>
      <c r="AG3278" s="19">
        <v>3277</v>
      </c>
      <c r="AH3278" s="20">
        <v>-2527.7283308352571</v>
      </c>
    </row>
    <row r="3279" spans="1:34" ht="14.5" x14ac:dyDescent="0.35">
      <c r="A3279" s="34"/>
      <c r="B3279" s="35"/>
      <c r="C3279" s="36"/>
      <c r="D3279" s="37"/>
      <c r="E3279" s="36"/>
      <c r="F3279" s="42"/>
      <c r="G3279" s="42"/>
      <c r="H3279" s="42"/>
      <c r="AG3279" s="19">
        <v>3278</v>
      </c>
      <c r="AH3279" s="20">
        <v>2453.5178770258681</v>
      </c>
    </row>
    <row r="3280" spans="1:34" ht="14.5" x14ac:dyDescent="0.35">
      <c r="A3280" s="34"/>
      <c r="B3280" s="35"/>
      <c r="C3280" s="36"/>
      <c r="D3280" s="37"/>
      <c r="E3280" s="36"/>
      <c r="F3280" s="42"/>
      <c r="G3280" s="42"/>
      <c r="H3280" s="42"/>
      <c r="AG3280" s="19">
        <v>3279</v>
      </c>
      <c r="AH3280" s="20">
        <v>1601.3373152140973</v>
      </c>
    </row>
    <row r="3281" spans="1:34" ht="14.5" x14ac:dyDescent="0.35">
      <c r="A3281" s="34"/>
      <c r="B3281" s="35"/>
      <c r="C3281" s="36"/>
      <c r="D3281" s="37"/>
      <c r="E3281" s="36"/>
      <c r="F3281" s="42"/>
      <c r="G3281" s="42"/>
      <c r="H3281" s="42"/>
      <c r="AG3281" s="19">
        <v>3280</v>
      </c>
      <c r="AH3281" s="20">
        <v>3377.8850433532557</v>
      </c>
    </row>
    <row r="3282" spans="1:34" ht="14.5" x14ac:dyDescent="0.35">
      <c r="A3282" s="34"/>
      <c r="B3282" s="35"/>
      <c r="C3282" s="36"/>
      <c r="D3282" s="37"/>
      <c r="E3282" s="36"/>
      <c r="F3282" s="42"/>
      <c r="G3282" s="42"/>
      <c r="H3282" s="42"/>
      <c r="AG3282" s="19">
        <v>3281</v>
      </c>
      <c r="AH3282" s="20">
        <v>2013.0752377385704</v>
      </c>
    </row>
    <row r="3283" spans="1:34" ht="14.5" x14ac:dyDescent="0.35">
      <c r="A3283" s="34"/>
      <c r="B3283" s="35"/>
      <c r="C3283" s="36"/>
      <c r="D3283" s="37"/>
      <c r="E3283" s="36"/>
      <c r="F3283" s="42"/>
      <c r="G3283" s="42"/>
      <c r="H3283" s="42"/>
      <c r="AG3283" s="19">
        <v>3282</v>
      </c>
      <c r="AH3283" s="20">
        <v>1319.6723585525815</v>
      </c>
    </row>
    <row r="3284" spans="1:34" ht="14.5" x14ac:dyDescent="0.35">
      <c r="A3284" s="34"/>
      <c r="B3284" s="35"/>
      <c r="C3284" s="36"/>
      <c r="D3284" s="37"/>
      <c r="E3284" s="36"/>
      <c r="F3284" s="42"/>
      <c r="G3284" s="42"/>
      <c r="H3284" s="42"/>
      <c r="AG3284" s="19">
        <v>3283</v>
      </c>
      <c r="AH3284" s="20">
        <v>1510.7414360193884</v>
      </c>
    </row>
    <row r="3285" spans="1:34" ht="14.5" x14ac:dyDescent="0.35">
      <c r="A3285" s="34"/>
      <c r="B3285" s="35"/>
      <c r="C3285" s="36"/>
      <c r="D3285" s="37"/>
      <c r="E3285" s="36"/>
      <c r="F3285" s="42"/>
      <c r="G3285" s="42"/>
      <c r="H3285" s="42"/>
      <c r="AG3285" s="19">
        <v>3284</v>
      </c>
      <c r="AH3285" s="20">
        <v>607.17788981151102</v>
      </c>
    </row>
    <row r="3286" spans="1:34" ht="14.5" x14ac:dyDescent="0.35">
      <c r="A3286" s="34"/>
      <c r="B3286" s="35"/>
      <c r="C3286" s="36"/>
      <c r="D3286" s="37"/>
      <c r="E3286" s="36"/>
      <c r="F3286" s="42"/>
      <c r="G3286" s="42"/>
      <c r="H3286" s="42"/>
      <c r="AG3286" s="19">
        <v>3285</v>
      </c>
      <c r="AH3286" s="20">
        <v>-1752.7158930675334</v>
      </c>
    </row>
    <row r="3287" spans="1:34" ht="14.5" x14ac:dyDescent="0.35">
      <c r="A3287" s="34"/>
      <c r="B3287" s="35"/>
      <c r="C3287" s="36"/>
      <c r="D3287" s="37"/>
      <c r="E3287" s="36"/>
      <c r="F3287" s="42"/>
      <c r="G3287" s="42"/>
      <c r="H3287" s="42"/>
      <c r="AG3287" s="19">
        <v>3286</v>
      </c>
      <c r="AH3287" s="20">
        <v>1489.0681916191368</v>
      </c>
    </row>
    <row r="3288" spans="1:34" ht="14.5" x14ac:dyDescent="0.35">
      <c r="A3288" s="34"/>
      <c r="B3288" s="35"/>
      <c r="C3288" s="36"/>
      <c r="D3288" s="37"/>
      <c r="E3288" s="36"/>
      <c r="F3288" s="42"/>
      <c r="G3288" s="42"/>
      <c r="H3288" s="42"/>
      <c r="AG3288" s="19">
        <v>3287</v>
      </c>
      <c r="AH3288" s="20">
        <v>429.42584778914329</v>
      </c>
    </row>
    <row r="3289" spans="1:34" ht="14.5" x14ac:dyDescent="0.35">
      <c r="A3289" s="34"/>
      <c r="B3289" s="35"/>
      <c r="C3289" s="36"/>
      <c r="D3289" s="37"/>
      <c r="E3289" s="36"/>
      <c r="F3289" s="42"/>
      <c r="G3289" s="42"/>
      <c r="H3289" s="42"/>
      <c r="AG3289" s="19">
        <v>3288</v>
      </c>
      <c r="AH3289" s="20">
        <v>3723.6157932725127</v>
      </c>
    </row>
    <row r="3290" spans="1:34" ht="14.5" x14ac:dyDescent="0.35">
      <c r="A3290" s="34"/>
      <c r="B3290" s="35"/>
      <c r="C3290" s="36"/>
      <c r="D3290" s="37"/>
      <c r="E3290" s="36"/>
      <c r="F3290" s="42"/>
      <c r="G3290" s="42"/>
      <c r="H3290" s="42"/>
      <c r="AG3290" s="19">
        <v>3289</v>
      </c>
      <c r="AH3290" s="20">
        <v>1849.9511377182509</v>
      </c>
    </row>
    <row r="3291" spans="1:34" ht="14.5" x14ac:dyDescent="0.35">
      <c r="A3291" s="34"/>
      <c r="B3291" s="35"/>
      <c r="C3291" s="36"/>
      <c r="D3291" s="37"/>
      <c r="E3291" s="36"/>
      <c r="F3291" s="42"/>
      <c r="G3291" s="42"/>
      <c r="H3291" s="42"/>
      <c r="AG3291" s="19">
        <v>3290</v>
      </c>
      <c r="AH3291" s="20">
        <v>-2548.5875140215271</v>
      </c>
    </row>
    <row r="3292" spans="1:34" ht="14.5" x14ac:dyDescent="0.35">
      <c r="A3292" s="34"/>
      <c r="B3292" s="35"/>
      <c r="C3292" s="36"/>
      <c r="D3292" s="37"/>
      <c r="E3292" s="36"/>
      <c r="F3292" s="42"/>
      <c r="G3292" s="42"/>
      <c r="H3292" s="42"/>
      <c r="AG3292" s="19">
        <v>3291</v>
      </c>
      <c r="AH3292" s="20">
        <v>2411.8959700148598</v>
      </c>
    </row>
    <row r="3293" spans="1:34" ht="14.5" x14ac:dyDescent="0.35">
      <c r="A3293" s="34"/>
      <c r="B3293" s="35"/>
      <c r="C3293" s="36"/>
      <c r="D3293" s="37"/>
      <c r="E3293" s="36"/>
      <c r="F3293" s="42"/>
      <c r="G3293" s="42"/>
      <c r="H3293" s="42"/>
      <c r="AG3293" s="19">
        <v>3292</v>
      </c>
      <c r="AH3293" s="20">
        <v>804.63991078444678</v>
      </c>
    </row>
    <row r="3294" spans="1:34" ht="14.5" x14ac:dyDescent="0.35">
      <c r="A3294" s="34"/>
      <c r="B3294" s="35"/>
      <c r="C3294" s="36"/>
      <c r="D3294" s="37"/>
      <c r="E3294" s="36"/>
      <c r="F3294" s="42"/>
      <c r="G3294" s="42"/>
      <c r="H3294" s="42"/>
      <c r="AG3294" s="19">
        <v>3293</v>
      </c>
      <c r="AH3294" s="20">
        <v>707.61440032899486</v>
      </c>
    </row>
    <row r="3295" spans="1:34" ht="14.5" x14ac:dyDescent="0.35">
      <c r="A3295" s="34"/>
      <c r="B3295" s="35"/>
      <c r="C3295" s="36"/>
      <c r="D3295" s="37"/>
      <c r="E3295" s="36"/>
      <c r="F3295" s="42"/>
      <c r="G3295" s="42"/>
      <c r="H3295" s="42"/>
      <c r="AG3295" s="19">
        <v>3294</v>
      </c>
      <c r="AH3295" s="20">
        <v>-3749.0213072360357</v>
      </c>
    </row>
    <row r="3296" spans="1:34" ht="14.5" x14ac:dyDescent="0.35">
      <c r="A3296" s="34"/>
      <c r="B3296" s="35"/>
      <c r="C3296" s="36"/>
      <c r="D3296" s="37"/>
      <c r="E3296" s="36"/>
      <c r="F3296" s="42"/>
      <c r="G3296" s="42"/>
      <c r="H3296" s="42"/>
      <c r="AG3296" s="19">
        <v>3295</v>
      </c>
      <c r="AH3296" s="20">
        <v>2248.3890727939511</v>
      </c>
    </row>
    <row r="3297" spans="1:34" ht="14.5" x14ac:dyDescent="0.35">
      <c r="A3297" s="34"/>
      <c r="B3297" s="35"/>
      <c r="C3297" s="36"/>
      <c r="D3297" s="37"/>
      <c r="E3297" s="36"/>
      <c r="F3297" s="42"/>
      <c r="G3297" s="42"/>
      <c r="H3297" s="42"/>
      <c r="AG3297" s="19">
        <v>3296</v>
      </c>
      <c r="AH3297" s="20">
        <v>-1259.4271322100642</v>
      </c>
    </row>
    <row r="3298" spans="1:34" ht="14.5" x14ac:dyDescent="0.35">
      <c r="A3298" s="34"/>
      <c r="B3298" s="35"/>
      <c r="C3298" s="36"/>
      <c r="D3298" s="37"/>
      <c r="E3298" s="36"/>
      <c r="F3298" s="42"/>
      <c r="G3298" s="42"/>
      <c r="H3298" s="42"/>
      <c r="AG3298" s="19">
        <v>3297</v>
      </c>
      <c r="AH3298" s="20">
        <v>1880.9266884579849</v>
      </c>
    </row>
    <row r="3299" spans="1:34" ht="14.5" x14ac:dyDescent="0.35">
      <c r="A3299" s="34"/>
      <c r="B3299" s="35"/>
      <c r="C3299" s="36"/>
      <c r="D3299" s="37"/>
      <c r="E3299" s="36"/>
      <c r="F3299" s="42"/>
      <c r="G3299" s="42"/>
      <c r="H3299" s="42"/>
      <c r="AG3299" s="19">
        <v>3298</v>
      </c>
      <c r="AH3299" s="20">
        <v>1839.1873436251062</v>
      </c>
    </row>
    <row r="3300" spans="1:34" ht="14.5" x14ac:dyDescent="0.35">
      <c r="A3300" s="34"/>
      <c r="B3300" s="35"/>
      <c r="C3300" s="36"/>
      <c r="D3300" s="37"/>
      <c r="E3300" s="36"/>
      <c r="F3300" s="42"/>
      <c r="G3300" s="42"/>
      <c r="H3300" s="42"/>
      <c r="AG3300" s="19">
        <v>3299</v>
      </c>
      <c r="AH3300" s="20">
        <v>-1952.7329625521081</v>
      </c>
    </row>
    <row r="3301" spans="1:34" ht="14.5" x14ac:dyDescent="0.35">
      <c r="A3301" s="34"/>
      <c r="B3301" s="35"/>
      <c r="C3301" s="36"/>
      <c r="D3301" s="37"/>
      <c r="E3301" s="36"/>
      <c r="F3301" s="42"/>
      <c r="G3301" s="42"/>
      <c r="H3301" s="42"/>
      <c r="AG3301" s="19">
        <v>3300</v>
      </c>
      <c r="AH3301" s="20">
        <v>-3330.9323710402264</v>
      </c>
    </row>
    <row r="3302" spans="1:34" ht="14.5" x14ac:dyDescent="0.35">
      <c r="A3302" s="34"/>
      <c r="B3302" s="35"/>
      <c r="C3302" s="36"/>
      <c r="D3302" s="37"/>
      <c r="E3302" s="36"/>
      <c r="F3302" s="42"/>
      <c r="G3302" s="42"/>
      <c r="H3302" s="42"/>
      <c r="AG3302" s="19">
        <v>3301</v>
      </c>
      <c r="AH3302" s="20">
        <v>-3384.1378417860401</v>
      </c>
    </row>
    <row r="3303" spans="1:34" ht="14.5" x14ac:dyDescent="0.35">
      <c r="A3303" s="34"/>
      <c r="B3303" s="35"/>
      <c r="C3303" s="36"/>
      <c r="D3303" s="37"/>
      <c r="E3303" s="36"/>
      <c r="F3303" s="42"/>
      <c r="G3303" s="42"/>
      <c r="H3303" s="42"/>
      <c r="AG3303" s="19">
        <v>3302</v>
      </c>
      <c r="AH3303" s="20">
        <v>-385.41149448241794</v>
      </c>
    </row>
    <row r="3304" spans="1:34" ht="14.5" x14ac:dyDescent="0.35">
      <c r="A3304" s="34"/>
      <c r="B3304" s="35"/>
      <c r="C3304" s="36"/>
      <c r="D3304" s="37"/>
      <c r="E3304" s="36"/>
      <c r="F3304" s="42"/>
      <c r="G3304" s="42"/>
      <c r="H3304" s="42"/>
      <c r="AG3304" s="19">
        <v>3303</v>
      </c>
      <c r="AH3304" s="20">
        <v>-4893.9479026612416</v>
      </c>
    </row>
    <row r="3305" spans="1:34" ht="14.5" x14ac:dyDescent="0.35">
      <c r="A3305" s="34"/>
      <c r="B3305" s="35"/>
      <c r="C3305" s="36"/>
      <c r="D3305" s="37"/>
      <c r="E3305" s="36"/>
      <c r="F3305" s="42"/>
      <c r="G3305" s="42"/>
      <c r="H3305" s="42"/>
      <c r="AG3305" s="19">
        <v>3304</v>
      </c>
      <c r="AH3305" s="20">
        <v>1610.0583493042361</v>
      </c>
    </row>
    <row r="3306" spans="1:34" ht="14.5" x14ac:dyDescent="0.35">
      <c r="A3306" s="34"/>
      <c r="B3306" s="35"/>
      <c r="C3306" s="36"/>
      <c r="D3306" s="37"/>
      <c r="E3306" s="36"/>
      <c r="F3306" s="42"/>
      <c r="G3306" s="42"/>
      <c r="H3306" s="42"/>
      <c r="AG3306" s="19">
        <v>3305</v>
      </c>
      <c r="AH3306" s="20">
        <v>2816.7709574878495</v>
      </c>
    </row>
    <row r="3307" spans="1:34" ht="14.5" x14ac:dyDescent="0.35">
      <c r="A3307" s="34"/>
      <c r="B3307" s="35"/>
      <c r="C3307" s="36"/>
      <c r="D3307" s="37"/>
      <c r="E3307" s="36"/>
      <c r="F3307" s="42"/>
      <c r="G3307" s="42"/>
      <c r="H3307" s="42"/>
      <c r="AG3307" s="19">
        <v>3306</v>
      </c>
      <c r="AH3307" s="20">
        <v>-2730.1076657387562</v>
      </c>
    </row>
    <row r="3308" spans="1:34" ht="14.5" x14ac:dyDescent="0.35">
      <c r="A3308" s="34"/>
      <c r="B3308" s="35"/>
      <c r="C3308" s="36"/>
      <c r="D3308" s="37"/>
      <c r="E3308" s="36"/>
      <c r="F3308" s="42"/>
      <c r="G3308" s="42"/>
      <c r="H3308" s="42"/>
      <c r="AG3308" s="19">
        <v>3307</v>
      </c>
      <c r="AH3308" s="20">
        <v>2896.9150163266586</v>
      </c>
    </row>
    <row r="3309" spans="1:34" ht="14.5" x14ac:dyDescent="0.35">
      <c r="A3309" s="34"/>
      <c r="B3309" s="35"/>
      <c r="C3309" s="36"/>
      <c r="D3309" s="37"/>
      <c r="E3309" s="36"/>
      <c r="F3309" s="42"/>
      <c r="G3309" s="42"/>
      <c r="H3309" s="42"/>
      <c r="AG3309" s="19">
        <v>3308</v>
      </c>
      <c r="AH3309" s="20">
        <v>-218.43798683611504</v>
      </c>
    </row>
    <row r="3310" spans="1:34" ht="14.5" x14ac:dyDescent="0.35">
      <c r="A3310" s="34"/>
      <c r="B3310" s="35"/>
      <c r="C3310" s="36"/>
      <c r="D3310" s="37"/>
      <c r="E3310" s="36"/>
      <c r="F3310" s="42"/>
      <c r="G3310" s="42"/>
      <c r="H3310" s="42"/>
      <c r="AG3310" s="19">
        <v>3309</v>
      </c>
      <c r="AH3310" s="20">
        <v>3142.8401853515047</v>
      </c>
    </row>
    <row r="3311" spans="1:34" ht="14.5" x14ac:dyDescent="0.35">
      <c r="A3311" s="34"/>
      <c r="B3311" s="35"/>
      <c r="C3311" s="36"/>
      <c r="D3311" s="37"/>
      <c r="E3311" s="36"/>
      <c r="F3311" s="42"/>
      <c r="G3311" s="42"/>
      <c r="H3311" s="42"/>
      <c r="AG3311" s="19">
        <v>3310</v>
      </c>
      <c r="AH3311" s="20">
        <v>-1000.6411385281735</v>
      </c>
    </row>
    <row r="3312" spans="1:34" ht="14.5" x14ac:dyDescent="0.35">
      <c r="A3312" s="34"/>
      <c r="B3312" s="35"/>
      <c r="C3312" s="36"/>
      <c r="D3312" s="37"/>
      <c r="E3312" s="36"/>
      <c r="F3312" s="42"/>
      <c r="G3312" s="42"/>
      <c r="H3312" s="42"/>
      <c r="AG3312" s="19">
        <v>3311</v>
      </c>
      <c r="AH3312" s="20">
        <v>-1204.1343829330392</v>
      </c>
    </row>
    <row r="3313" spans="1:34" ht="14.5" x14ac:dyDescent="0.35">
      <c r="A3313" s="34"/>
      <c r="B3313" s="35"/>
      <c r="C3313" s="36"/>
      <c r="D3313" s="37"/>
      <c r="E3313" s="36"/>
      <c r="F3313" s="42"/>
      <c r="G3313" s="42"/>
      <c r="H3313" s="42"/>
      <c r="AG3313" s="19">
        <v>3312</v>
      </c>
      <c r="AH3313" s="20">
        <v>2736.8382644965995</v>
      </c>
    </row>
    <row r="3314" spans="1:34" ht="14.5" x14ac:dyDescent="0.35">
      <c r="A3314" s="34"/>
      <c r="B3314" s="35"/>
      <c r="C3314" s="36"/>
      <c r="D3314" s="37"/>
      <c r="E3314" s="36"/>
      <c r="F3314" s="42"/>
      <c r="G3314" s="42"/>
      <c r="H3314" s="42"/>
      <c r="AG3314" s="19">
        <v>3313</v>
      </c>
      <c r="AH3314" s="20">
        <v>257.13705916899585</v>
      </c>
    </row>
    <row r="3315" spans="1:34" ht="14.5" x14ac:dyDescent="0.35">
      <c r="A3315" s="34"/>
      <c r="B3315" s="35"/>
      <c r="C3315" s="36"/>
      <c r="D3315" s="37"/>
      <c r="E3315" s="36"/>
      <c r="F3315" s="42"/>
      <c r="G3315" s="42"/>
      <c r="H3315" s="42"/>
      <c r="AG3315" s="19">
        <v>3314</v>
      </c>
      <c r="AH3315" s="20">
        <v>-3770.9834767043831</v>
      </c>
    </row>
    <row r="3316" spans="1:34" ht="14.5" x14ac:dyDescent="0.35">
      <c r="A3316" s="34"/>
      <c r="B3316" s="35"/>
      <c r="C3316" s="36"/>
      <c r="D3316" s="37"/>
      <c r="E3316" s="36"/>
      <c r="F3316" s="42"/>
      <c r="G3316" s="42"/>
      <c r="H3316" s="42"/>
      <c r="AG3316" s="19">
        <v>3315</v>
      </c>
      <c r="AH3316" s="20">
        <v>-236.02074564883429</v>
      </c>
    </row>
    <row r="3317" spans="1:34" ht="14.5" x14ac:dyDescent="0.35">
      <c r="A3317" s="34"/>
      <c r="B3317" s="35"/>
      <c r="C3317" s="36"/>
      <c r="D3317" s="37"/>
      <c r="E3317" s="36"/>
      <c r="F3317" s="42"/>
      <c r="G3317" s="42"/>
      <c r="H3317" s="42"/>
      <c r="AG3317" s="19">
        <v>3316</v>
      </c>
      <c r="AH3317" s="20">
        <v>2350.5990800887162</v>
      </c>
    </row>
    <row r="3318" spans="1:34" ht="14.5" x14ac:dyDescent="0.35">
      <c r="A3318" s="34"/>
      <c r="B3318" s="35"/>
      <c r="C3318" s="36"/>
      <c r="D3318" s="37"/>
      <c r="E3318" s="36"/>
      <c r="F3318" s="42"/>
      <c r="G3318" s="42"/>
      <c r="H3318" s="42"/>
      <c r="AG3318" s="19">
        <v>3317</v>
      </c>
      <c r="AH3318" s="20">
        <v>2491.8833672412302</v>
      </c>
    </row>
    <row r="3319" spans="1:34" ht="14.5" x14ac:dyDescent="0.35">
      <c r="A3319" s="34"/>
      <c r="B3319" s="35"/>
      <c r="C3319" s="36"/>
      <c r="D3319" s="37"/>
      <c r="E3319" s="36"/>
      <c r="F3319" s="42"/>
      <c r="G3319" s="42"/>
      <c r="H3319" s="42"/>
      <c r="AG3319" s="19">
        <v>3318</v>
      </c>
      <c r="AH3319" s="20">
        <v>2536.6387442600685</v>
      </c>
    </row>
    <row r="3320" spans="1:34" ht="14.5" x14ac:dyDescent="0.35">
      <c r="A3320" s="34"/>
      <c r="B3320" s="35"/>
      <c r="C3320" s="36"/>
      <c r="D3320" s="37"/>
      <c r="E3320" s="36"/>
      <c r="F3320" s="42"/>
      <c r="G3320" s="42"/>
      <c r="H3320" s="42"/>
      <c r="AG3320" s="19">
        <v>3319</v>
      </c>
      <c r="AH3320" s="20">
        <v>-1674.338672553926</v>
      </c>
    </row>
    <row r="3321" spans="1:34" ht="14.5" x14ac:dyDescent="0.35">
      <c r="A3321" s="34"/>
      <c r="B3321" s="35"/>
      <c r="C3321" s="36"/>
      <c r="D3321" s="37"/>
      <c r="E3321" s="36"/>
      <c r="F3321" s="42"/>
      <c r="G3321" s="42"/>
      <c r="H3321" s="42"/>
      <c r="AG3321" s="19">
        <v>3320</v>
      </c>
      <c r="AH3321" s="20">
        <v>1203.5065959298754</v>
      </c>
    </row>
    <row r="3322" spans="1:34" ht="14.5" x14ac:dyDescent="0.35">
      <c r="A3322" s="34"/>
      <c r="B3322" s="35"/>
      <c r="C3322" s="36"/>
      <c r="D3322" s="37"/>
      <c r="E3322" s="36"/>
      <c r="F3322" s="42"/>
      <c r="G3322" s="42"/>
      <c r="H3322" s="42"/>
      <c r="AG3322" s="19">
        <v>3321</v>
      </c>
      <c r="AH3322" s="20">
        <v>-639.0175291390201</v>
      </c>
    </row>
    <row r="3323" spans="1:34" ht="14.5" x14ac:dyDescent="0.35">
      <c r="A3323" s="34"/>
      <c r="B3323" s="35"/>
      <c r="C3323" s="36"/>
      <c r="D3323" s="37"/>
      <c r="E3323" s="36"/>
      <c r="F3323" s="42"/>
      <c r="G3323" s="42"/>
      <c r="H3323" s="42"/>
      <c r="AG3323" s="19">
        <v>3322</v>
      </c>
      <c r="AH3323" s="20">
        <v>3691.1830504560485</v>
      </c>
    </row>
    <row r="3324" spans="1:34" ht="14.5" x14ac:dyDescent="0.35">
      <c r="A3324" s="34"/>
      <c r="B3324" s="35"/>
      <c r="C3324" s="36"/>
      <c r="D3324" s="37"/>
      <c r="E3324" s="36"/>
      <c r="F3324" s="42"/>
      <c r="G3324" s="42"/>
      <c r="H3324" s="42"/>
      <c r="AG3324" s="19">
        <v>3323</v>
      </c>
      <c r="AH3324" s="20">
        <v>1791.2633672447585</v>
      </c>
    </row>
    <row r="3325" spans="1:34" ht="14.5" x14ac:dyDescent="0.35">
      <c r="A3325" s="34"/>
      <c r="B3325" s="35"/>
      <c r="C3325" s="36"/>
      <c r="D3325" s="37"/>
      <c r="E3325" s="36"/>
      <c r="F3325" s="42"/>
      <c r="G3325" s="42"/>
      <c r="H3325" s="42"/>
      <c r="AG3325" s="19">
        <v>3324</v>
      </c>
      <c r="AH3325" s="20">
        <v>-472.53275931931256</v>
      </c>
    </row>
    <row r="3326" spans="1:34" ht="14.5" x14ac:dyDescent="0.35">
      <c r="A3326" s="34"/>
      <c r="B3326" s="35"/>
      <c r="C3326" s="36"/>
      <c r="D3326" s="37"/>
      <c r="E3326" s="36"/>
      <c r="F3326" s="42"/>
      <c r="G3326" s="42"/>
      <c r="H3326" s="42"/>
      <c r="AG3326" s="19">
        <v>3325</v>
      </c>
      <c r="AH3326" s="20">
        <v>-2587.7878826726305</v>
      </c>
    </row>
    <row r="3327" spans="1:34" ht="14.5" x14ac:dyDescent="0.35">
      <c r="A3327" s="34"/>
      <c r="B3327" s="35"/>
      <c r="C3327" s="36"/>
      <c r="D3327" s="37"/>
      <c r="E3327" s="36"/>
      <c r="F3327" s="42"/>
      <c r="G3327" s="42"/>
      <c r="H3327" s="42"/>
      <c r="AG3327" s="19">
        <v>3326</v>
      </c>
      <c r="AH3327" s="20">
        <v>2661.1428646664776</v>
      </c>
    </row>
    <row r="3328" spans="1:34" ht="14.5" x14ac:dyDescent="0.35">
      <c r="A3328" s="34"/>
      <c r="B3328" s="35"/>
      <c r="C3328" s="36"/>
      <c r="D3328" s="37"/>
      <c r="E3328" s="36"/>
      <c r="F3328" s="42"/>
      <c r="G3328" s="42"/>
      <c r="H3328" s="42"/>
      <c r="AG3328" s="19">
        <v>3327</v>
      </c>
      <c r="AH3328" s="20">
        <v>-909.87232175423901</v>
      </c>
    </row>
    <row r="3329" spans="1:34" ht="14.5" x14ac:dyDescent="0.35">
      <c r="A3329" s="34"/>
      <c r="B3329" s="35"/>
      <c r="C3329" s="36"/>
      <c r="D3329" s="37"/>
      <c r="E3329" s="36"/>
      <c r="F3329" s="42"/>
      <c r="G3329" s="42"/>
      <c r="H3329" s="42"/>
      <c r="AG3329" s="19">
        <v>3328</v>
      </c>
      <c r="AH3329" s="20">
        <v>2508.6175014225037</v>
      </c>
    </row>
    <row r="3330" spans="1:34" ht="14.5" x14ac:dyDescent="0.35">
      <c r="A3330" s="34"/>
      <c r="B3330" s="35"/>
      <c r="C3330" s="36"/>
      <c r="D3330" s="37"/>
      <c r="E3330" s="36"/>
      <c r="F3330" s="42"/>
      <c r="G3330" s="42"/>
      <c r="H3330" s="42"/>
      <c r="AG3330" s="19">
        <v>3329</v>
      </c>
      <c r="AH3330" s="20">
        <v>1833.6410249521784</v>
      </c>
    </row>
    <row r="3331" spans="1:34" ht="14.5" x14ac:dyDescent="0.35">
      <c r="A3331" s="34"/>
      <c r="B3331" s="35"/>
      <c r="C3331" s="36"/>
      <c r="D3331" s="37"/>
      <c r="E3331" s="36"/>
      <c r="F3331" s="42"/>
      <c r="G3331" s="42"/>
      <c r="H3331" s="42"/>
      <c r="AG3331" s="19">
        <v>3330</v>
      </c>
      <c r="AH3331" s="20">
        <v>3752.8370246197296</v>
      </c>
    </row>
    <row r="3332" spans="1:34" ht="14.5" x14ac:dyDescent="0.35">
      <c r="A3332" s="34"/>
      <c r="B3332" s="35"/>
      <c r="C3332" s="36"/>
      <c r="D3332" s="37"/>
      <c r="E3332" s="36"/>
      <c r="F3332" s="42"/>
      <c r="G3332" s="42"/>
      <c r="H3332" s="42"/>
      <c r="AG3332" s="19">
        <v>3331</v>
      </c>
      <c r="AH3332" s="20">
        <v>1554.9668266892991</v>
      </c>
    </row>
    <row r="3333" spans="1:34" ht="14.5" x14ac:dyDescent="0.35">
      <c r="A3333" s="34"/>
      <c r="B3333" s="35"/>
      <c r="C3333" s="36"/>
      <c r="D3333" s="37"/>
      <c r="E3333" s="36"/>
      <c r="F3333" s="42"/>
      <c r="G3333" s="42"/>
      <c r="H3333" s="42"/>
      <c r="AG3333" s="19">
        <v>3332</v>
      </c>
      <c r="AH3333" s="20">
        <v>-505.17431416033429</v>
      </c>
    </row>
    <row r="3334" spans="1:34" ht="14.5" x14ac:dyDescent="0.35">
      <c r="A3334" s="34"/>
      <c r="B3334" s="35"/>
      <c r="C3334" s="36"/>
      <c r="D3334" s="37"/>
      <c r="E3334" s="36"/>
      <c r="F3334" s="42"/>
      <c r="G3334" s="42"/>
      <c r="H3334" s="42"/>
      <c r="AG3334" s="19">
        <v>3333</v>
      </c>
      <c r="AH3334" s="20">
        <v>-128.42183064988177</v>
      </c>
    </row>
    <row r="3335" spans="1:34" ht="14.5" x14ac:dyDescent="0.35">
      <c r="A3335" s="34"/>
      <c r="B3335" s="35"/>
      <c r="C3335" s="36"/>
      <c r="D3335" s="37"/>
      <c r="E3335" s="36"/>
      <c r="F3335" s="42"/>
      <c r="G3335" s="42"/>
      <c r="H3335" s="42"/>
      <c r="AG3335" s="19">
        <v>3334</v>
      </c>
      <c r="AH3335" s="20">
        <v>-2281.7488141751478</v>
      </c>
    </row>
    <row r="3336" spans="1:34" ht="14.5" x14ac:dyDescent="0.35">
      <c r="A3336" s="34"/>
      <c r="B3336" s="35"/>
      <c r="C3336" s="36"/>
      <c r="D3336" s="37"/>
      <c r="E3336" s="36"/>
      <c r="F3336" s="42"/>
      <c r="G3336" s="42"/>
      <c r="H3336" s="42"/>
      <c r="AG3336" s="19">
        <v>3335</v>
      </c>
      <c r="AH3336" s="20">
        <v>-2896.3761230497225</v>
      </c>
    </row>
    <row r="3337" spans="1:34" ht="14.5" x14ac:dyDescent="0.35">
      <c r="A3337" s="34"/>
      <c r="B3337" s="35"/>
      <c r="C3337" s="36"/>
      <c r="D3337" s="37"/>
      <c r="E3337" s="36"/>
      <c r="F3337" s="42"/>
      <c r="G3337" s="42"/>
      <c r="H3337" s="42"/>
      <c r="AG3337" s="19">
        <v>3336</v>
      </c>
      <c r="AH3337" s="20">
        <v>575.12215907505674</v>
      </c>
    </row>
    <row r="3338" spans="1:34" ht="14.5" x14ac:dyDescent="0.35">
      <c r="A3338" s="34"/>
      <c r="B3338" s="35"/>
      <c r="C3338" s="36"/>
      <c r="D3338" s="37"/>
      <c r="E3338" s="36"/>
      <c r="F3338" s="42"/>
      <c r="G3338" s="42"/>
      <c r="H3338" s="42"/>
      <c r="AG3338" s="19">
        <v>3337</v>
      </c>
      <c r="AH3338" s="20">
        <v>-351.35540392136778</v>
      </c>
    </row>
    <row r="3339" spans="1:34" ht="14.5" x14ac:dyDescent="0.35">
      <c r="A3339" s="34"/>
      <c r="B3339" s="35"/>
      <c r="C3339" s="36"/>
      <c r="D3339" s="37"/>
      <c r="E3339" s="36"/>
      <c r="F3339" s="42"/>
      <c r="G3339" s="42"/>
      <c r="H3339" s="42"/>
      <c r="AG3339" s="19">
        <v>3338</v>
      </c>
      <c r="AH3339" s="20">
        <v>1156.7740927251618</v>
      </c>
    </row>
    <row r="3340" spans="1:34" ht="14.5" x14ac:dyDescent="0.35">
      <c r="A3340" s="34"/>
      <c r="B3340" s="35"/>
      <c r="C3340" s="36"/>
      <c r="D3340" s="37"/>
      <c r="E3340" s="36"/>
      <c r="F3340" s="42"/>
      <c r="G3340" s="42"/>
      <c r="H3340" s="42"/>
      <c r="AG3340" s="19">
        <v>3339</v>
      </c>
      <c r="AH3340" s="20">
        <v>4653.8777220164684</v>
      </c>
    </row>
    <row r="3341" spans="1:34" ht="14.5" x14ac:dyDescent="0.35">
      <c r="A3341" s="34"/>
      <c r="B3341" s="35"/>
      <c r="C3341" s="36"/>
      <c r="D3341" s="37"/>
      <c r="E3341" s="36"/>
      <c r="F3341" s="42"/>
      <c r="G3341" s="42"/>
      <c r="H3341" s="42"/>
      <c r="AG3341" s="19">
        <v>3340</v>
      </c>
      <c r="AH3341" s="20">
        <v>3805.3109926425068</v>
      </c>
    </row>
    <row r="3342" spans="1:34" ht="14.5" x14ac:dyDescent="0.35">
      <c r="A3342" s="34"/>
      <c r="B3342" s="35"/>
      <c r="C3342" s="36"/>
      <c r="D3342" s="37"/>
      <c r="E3342" s="36"/>
      <c r="F3342" s="42"/>
      <c r="G3342" s="42"/>
      <c r="H3342" s="42"/>
      <c r="AG3342" s="19">
        <v>3341</v>
      </c>
      <c r="AH3342" s="20">
        <v>1751.7863837533719</v>
      </c>
    </row>
    <row r="3343" spans="1:34" ht="14.5" x14ac:dyDescent="0.35">
      <c r="A3343" s="34"/>
      <c r="B3343" s="35"/>
      <c r="C3343" s="36"/>
      <c r="D3343" s="37"/>
      <c r="E3343" s="36"/>
      <c r="F3343" s="42"/>
      <c r="G3343" s="42"/>
      <c r="H3343" s="42"/>
      <c r="AG3343" s="19">
        <v>3342</v>
      </c>
      <c r="AH3343" s="20">
        <v>-1196.4058209797454</v>
      </c>
    </row>
    <row r="3344" spans="1:34" ht="14.5" x14ac:dyDescent="0.35">
      <c r="A3344" s="34"/>
      <c r="B3344" s="35"/>
      <c r="C3344" s="36"/>
      <c r="D3344" s="37"/>
      <c r="E3344" s="36"/>
      <c r="F3344" s="42"/>
      <c r="G3344" s="42"/>
      <c r="H3344" s="42"/>
      <c r="AG3344" s="19">
        <v>3343</v>
      </c>
      <c r="AH3344" s="20">
        <v>1073.9030567477657</v>
      </c>
    </row>
    <row r="3345" spans="1:34" ht="14.5" x14ac:dyDescent="0.35">
      <c r="A3345" s="34"/>
      <c r="B3345" s="35"/>
      <c r="C3345" s="36"/>
      <c r="D3345" s="37"/>
      <c r="E3345" s="36"/>
      <c r="F3345" s="42"/>
      <c r="G3345" s="42"/>
      <c r="H3345" s="42"/>
      <c r="AG3345" s="19">
        <v>3344</v>
      </c>
      <c r="AH3345" s="20">
        <v>283.5935147817105</v>
      </c>
    </row>
    <row r="3346" spans="1:34" ht="14.5" x14ac:dyDescent="0.35">
      <c r="A3346" s="34"/>
      <c r="B3346" s="35"/>
      <c r="C3346" s="36"/>
      <c r="D3346" s="37"/>
      <c r="E3346" s="36"/>
      <c r="F3346" s="42"/>
      <c r="G3346" s="42"/>
      <c r="H3346" s="42"/>
      <c r="AG3346" s="19">
        <v>3345</v>
      </c>
      <c r="AH3346" s="20">
        <v>1989.6904404448603</v>
      </c>
    </row>
    <row r="3347" spans="1:34" ht="14.5" x14ac:dyDescent="0.35">
      <c r="A3347" s="34"/>
      <c r="B3347" s="35"/>
      <c r="C3347" s="36"/>
      <c r="D3347" s="37"/>
      <c r="E3347" s="36"/>
      <c r="F3347" s="42"/>
      <c r="G3347" s="42"/>
      <c r="H3347" s="42"/>
      <c r="AG3347" s="19">
        <v>3346</v>
      </c>
      <c r="AH3347" s="20">
        <v>-880.71283271832408</v>
      </c>
    </row>
    <row r="3348" spans="1:34" ht="14.5" x14ac:dyDescent="0.35">
      <c r="A3348" s="34"/>
      <c r="B3348" s="35"/>
      <c r="C3348" s="36"/>
      <c r="D3348" s="37"/>
      <c r="E3348" s="36"/>
      <c r="F3348" s="42"/>
      <c r="G3348" s="42"/>
      <c r="H3348" s="42"/>
      <c r="AG3348" s="19">
        <v>3347</v>
      </c>
      <c r="AH3348" s="20">
        <v>-757.66497352464717</v>
      </c>
    </row>
    <row r="3349" spans="1:34" ht="14.5" x14ac:dyDescent="0.35">
      <c r="A3349" s="34"/>
      <c r="B3349" s="35"/>
      <c r="C3349" s="36"/>
      <c r="D3349" s="37"/>
      <c r="E3349" s="36"/>
      <c r="F3349" s="42"/>
      <c r="G3349" s="42"/>
      <c r="H3349" s="42"/>
      <c r="AG3349" s="19">
        <v>3348</v>
      </c>
      <c r="AH3349" s="20">
        <v>-360.03740324424615</v>
      </c>
    </row>
    <row r="3350" spans="1:34" ht="14.5" x14ac:dyDescent="0.35">
      <c r="A3350" s="34"/>
      <c r="B3350" s="35"/>
      <c r="C3350" s="36"/>
      <c r="D3350" s="37"/>
      <c r="E3350" s="36"/>
      <c r="F3350" s="42"/>
      <c r="G3350" s="42"/>
      <c r="H3350" s="42"/>
      <c r="AG3350" s="19">
        <v>3349</v>
      </c>
      <c r="AH3350" s="20">
        <v>928.19178870817859</v>
      </c>
    </row>
    <row r="3351" spans="1:34" ht="14.5" x14ac:dyDescent="0.35">
      <c r="A3351" s="34"/>
      <c r="B3351" s="35"/>
      <c r="C3351" s="36"/>
      <c r="D3351" s="37"/>
      <c r="E3351" s="36"/>
      <c r="F3351" s="42"/>
      <c r="G3351" s="42"/>
      <c r="H3351" s="42"/>
      <c r="AG3351" s="19">
        <v>3350</v>
      </c>
      <c r="AH3351" s="20">
        <v>3782.9159001515486</v>
      </c>
    </row>
    <row r="3352" spans="1:34" ht="14.5" x14ac:dyDescent="0.35">
      <c r="A3352" s="34"/>
      <c r="B3352" s="35"/>
      <c r="C3352" s="36"/>
      <c r="D3352" s="37"/>
      <c r="E3352" s="36"/>
      <c r="F3352" s="42"/>
      <c r="G3352" s="42"/>
      <c r="H3352" s="42"/>
      <c r="AG3352" s="19">
        <v>3351</v>
      </c>
      <c r="AH3352" s="20">
        <v>-83.012070931355368</v>
      </c>
    </row>
    <row r="3353" spans="1:34" ht="14.5" x14ac:dyDescent="0.35">
      <c r="A3353" s="34"/>
      <c r="B3353" s="35"/>
      <c r="C3353" s="36"/>
      <c r="D3353" s="37"/>
      <c r="E3353" s="36"/>
      <c r="F3353" s="42"/>
      <c r="G3353" s="42"/>
      <c r="H3353" s="42"/>
      <c r="AG3353" s="19">
        <v>3352</v>
      </c>
      <c r="AH3353" s="20">
        <v>-295.19721595251195</v>
      </c>
    </row>
    <row r="3354" spans="1:34" ht="14.5" x14ac:dyDescent="0.35">
      <c r="A3354" s="34"/>
      <c r="B3354" s="35"/>
      <c r="C3354" s="36"/>
      <c r="D3354" s="37"/>
      <c r="E3354" s="36"/>
      <c r="F3354" s="42"/>
      <c r="G3354" s="42"/>
      <c r="H3354" s="42"/>
      <c r="AG3354" s="19">
        <v>3353</v>
      </c>
      <c r="AH3354" s="20">
        <v>3869.7390269460666</v>
      </c>
    </row>
    <row r="3355" spans="1:34" ht="14.5" x14ac:dyDescent="0.35">
      <c r="A3355" s="34"/>
      <c r="B3355" s="35"/>
      <c r="C3355" s="36"/>
      <c r="D3355" s="37"/>
      <c r="E3355" s="36"/>
      <c r="F3355" s="42"/>
      <c r="G3355" s="42"/>
      <c r="H3355" s="42"/>
      <c r="AG3355" s="19">
        <v>3354</v>
      </c>
      <c r="AH3355" s="20">
        <v>1810.8207070980575</v>
      </c>
    </row>
    <row r="3356" spans="1:34" ht="14.5" x14ac:dyDescent="0.35">
      <c r="A3356" s="34"/>
      <c r="B3356" s="35"/>
      <c r="C3356" s="36"/>
      <c r="D3356" s="37"/>
      <c r="E3356" s="36"/>
      <c r="F3356" s="42"/>
      <c r="G3356" s="42"/>
      <c r="H3356" s="42"/>
      <c r="AG3356" s="19">
        <v>3355</v>
      </c>
      <c r="AH3356" s="20">
        <v>-1123.5298250146443</v>
      </c>
    </row>
    <row r="3357" spans="1:34" ht="14.5" x14ac:dyDescent="0.35">
      <c r="A3357" s="34"/>
      <c r="B3357" s="35"/>
      <c r="C3357" s="36"/>
      <c r="D3357" s="37"/>
      <c r="E3357" s="36"/>
      <c r="F3357" s="42"/>
      <c r="G3357" s="42"/>
      <c r="H3357" s="42"/>
      <c r="AG3357" s="19">
        <v>3356</v>
      </c>
      <c r="AH3357" s="20">
        <v>2379.9144826937127</v>
      </c>
    </row>
    <row r="3358" spans="1:34" ht="14.5" x14ac:dyDescent="0.35">
      <c r="A3358" s="34"/>
      <c r="B3358" s="35"/>
      <c r="C3358" s="36"/>
      <c r="D3358" s="37"/>
      <c r="E3358" s="36"/>
      <c r="F3358" s="42"/>
      <c r="G3358" s="42"/>
      <c r="H3358" s="42"/>
      <c r="AG3358" s="19">
        <v>3357</v>
      </c>
      <c r="AH3358" s="20">
        <v>983.72604569991904</v>
      </c>
    </row>
    <row r="3359" spans="1:34" ht="14.5" x14ac:dyDescent="0.35">
      <c r="A3359" s="34"/>
      <c r="B3359" s="35"/>
      <c r="C3359" s="36"/>
      <c r="D3359" s="37"/>
      <c r="E3359" s="36"/>
      <c r="F3359" s="42"/>
      <c r="G3359" s="42"/>
      <c r="H3359" s="42"/>
      <c r="AG3359" s="19">
        <v>3358</v>
      </c>
      <c r="AH3359" s="20">
        <v>4078.1026617778634</v>
      </c>
    </row>
    <row r="3360" spans="1:34" ht="14.5" x14ac:dyDescent="0.35">
      <c r="A3360" s="34"/>
      <c r="B3360" s="35"/>
      <c r="C3360" s="36"/>
      <c r="D3360" s="37"/>
      <c r="E3360" s="36"/>
      <c r="F3360" s="42"/>
      <c r="G3360" s="42"/>
      <c r="H3360" s="42"/>
      <c r="AG3360" s="19">
        <v>3359</v>
      </c>
      <c r="AH3360" s="20">
        <v>1522.1932727831386</v>
      </c>
    </row>
    <row r="3361" spans="1:34" ht="14.5" x14ac:dyDescent="0.35">
      <c r="A3361" s="34"/>
      <c r="B3361" s="35"/>
      <c r="C3361" s="36"/>
      <c r="D3361" s="37"/>
      <c r="E3361" s="36"/>
      <c r="F3361" s="42"/>
      <c r="G3361" s="42"/>
      <c r="H3361" s="42"/>
      <c r="AG3361" s="19">
        <v>3360</v>
      </c>
      <c r="AH3361" s="20">
        <v>-1858.9664338597115</v>
      </c>
    </row>
    <row r="3362" spans="1:34" ht="14.5" x14ac:dyDescent="0.35">
      <c r="A3362" s="34"/>
      <c r="B3362" s="35"/>
      <c r="C3362" s="36"/>
      <c r="D3362" s="37"/>
      <c r="E3362" s="36"/>
      <c r="F3362" s="42"/>
      <c r="G3362" s="42"/>
      <c r="H3362" s="42"/>
      <c r="AG3362" s="19">
        <v>3361</v>
      </c>
      <c r="AH3362" s="20">
        <v>359.09132582080781</v>
      </c>
    </row>
    <row r="3363" spans="1:34" ht="14.5" x14ac:dyDescent="0.35">
      <c r="A3363" s="34"/>
      <c r="B3363" s="35"/>
      <c r="C3363" s="36"/>
      <c r="D3363" s="37"/>
      <c r="E3363" s="36"/>
      <c r="F3363" s="42"/>
      <c r="G3363" s="42"/>
      <c r="H3363" s="42"/>
      <c r="AG3363" s="19">
        <v>3362</v>
      </c>
      <c r="AH3363" s="20">
        <v>1786.0230141874083</v>
      </c>
    </row>
    <row r="3364" spans="1:34" ht="14.5" x14ac:dyDescent="0.35">
      <c r="A3364" s="34"/>
      <c r="B3364" s="35"/>
      <c r="C3364" s="36"/>
      <c r="D3364" s="37"/>
      <c r="E3364" s="36"/>
      <c r="F3364" s="42"/>
      <c r="G3364" s="42"/>
      <c r="H3364" s="42"/>
      <c r="AG3364" s="19">
        <v>3363</v>
      </c>
      <c r="AH3364" s="20">
        <v>1922.7803766420038</v>
      </c>
    </row>
    <row r="3365" spans="1:34" ht="14.5" x14ac:dyDescent="0.35">
      <c r="A3365" s="34"/>
      <c r="B3365" s="35"/>
      <c r="C3365" s="36"/>
      <c r="D3365" s="37"/>
      <c r="E3365" s="36"/>
      <c r="F3365" s="42"/>
      <c r="G3365" s="42"/>
      <c r="H3365" s="42"/>
      <c r="AG3365" s="19">
        <v>3364</v>
      </c>
      <c r="AH3365" s="20">
        <v>1754.6485387581154</v>
      </c>
    </row>
    <row r="3366" spans="1:34" ht="14.5" x14ac:dyDescent="0.35">
      <c r="A3366" s="34"/>
      <c r="B3366" s="35"/>
      <c r="C3366" s="36"/>
      <c r="D3366" s="37"/>
      <c r="E3366" s="36"/>
      <c r="F3366" s="42"/>
      <c r="G3366" s="42"/>
      <c r="H3366" s="42"/>
      <c r="AG3366" s="19">
        <v>3365</v>
      </c>
      <c r="AH3366" s="20">
        <v>-208.63651951836567</v>
      </c>
    </row>
    <row r="3367" spans="1:34" ht="14.5" x14ac:dyDescent="0.35">
      <c r="A3367" s="34"/>
      <c r="B3367" s="35"/>
      <c r="C3367" s="36"/>
      <c r="D3367" s="37"/>
      <c r="E3367" s="36"/>
      <c r="F3367" s="42"/>
      <c r="G3367" s="42"/>
      <c r="H3367" s="42"/>
      <c r="AG3367" s="19">
        <v>3366</v>
      </c>
      <c r="AH3367" s="20">
        <v>-982.32756337822207</v>
      </c>
    </row>
    <row r="3368" spans="1:34" ht="14.5" x14ac:dyDescent="0.35">
      <c r="A3368" s="34"/>
      <c r="B3368" s="35"/>
      <c r="C3368" s="36"/>
      <c r="D3368" s="37"/>
      <c r="E3368" s="36"/>
      <c r="F3368" s="42"/>
      <c r="G3368" s="42"/>
      <c r="H3368" s="42"/>
      <c r="AG3368" s="19">
        <v>3367</v>
      </c>
      <c r="AH3368" s="20">
        <v>-218.31063181943415</v>
      </c>
    </row>
    <row r="3369" spans="1:34" ht="14.5" x14ac:dyDescent="0.35">
      <c r="A3369" s="34"/>
      <c r="B3369" s="35"/>
      <c r="C3369" s="36"/>
      <c r="D3369" s="37"/>
      <c r="E3369" s="36"/>
      <c r="F3369" s="42"/>
      <c r="G3369" s="42"/>
      <c r="H3369" s="42"/>
      <c r="AG3369" s="19">
        <v>3368</v>
      </c>
      <c r="AH3369" s="20">
        <v>-1280.3597038450894</v>
      </c>
    </row>
    <row r="3370" spans="1:34" ht="14.5" x14ac:dyDescent="0.35">
      <c r="A3370" s="34"/>
      <c r="B3370" s="35"/>
      <c r="C3370" s="36"/>
      <c r="D3370" s="37"/>
      <c r="E3370" s="36"/>
      <c r="F3370" s="42"/>
      <c r="G3370" s="42"/>
      <c r="H3370" s="42"/>
      <c r="AG3370" s="19">
        <v>3369</v>
      </c>
      <c r="AH3370" s="20">
        <v>4074.7105111322849</v>
      </c>
    </row>
    <row r="3371" spans="1:34" ht="14.5" x14ac:dyDescent="0.35">
      <c r="A3371" s="34"/>
      <c r="B3371" s="35"/>
      <c r="C3371" s="36"/>
      <c r="D3371" s="37"/>
      <c r="E3371" s="36"/>
      <c r="F3371" s="42"/>
      <c r="G3371" s="42"/>
      <c r="H3371" s="42"/>
      <c r="AG3371" s="19">
        <v>3370</v>
      </c>
      <c r="AH3371" s="20">
        <v>-144.64301712281605</v>
      </c>
    </row>
    <row r="3372" spans="1:34" ht="14.5" x14ac:dyDescent="0.35">
      <c r="A3372" s="34"/>
      <c r="B3372" s="35"/>
      <c r="C3372" s="36"/>
      <c r="D3372" s="37"/>
      <c r="E3372" s="36"/>
      <c r="F3372" s="42"/>
      <c r="G3372" s="42"/>
      <c r="H3372" s="42"/>
      <c r="AG3372" s="19">
        <v>3371</v>
      </c>
      <c r="AH3372" s="20">
        <v>-1715.518899885871</v>
      </c>
    </row>
    <row r="3373" spans="1:34" ht="14.5" x14ac:dyDescent="0.35">
      <c r="A3373" s="34"/>
      <c r="B3373" s="35"/>
      <c r="C3373" s="36"/>
      <c r="D3373" s="37"/>
      <c r="E3373" s="36"/>
      <c r="F3373" s="42"/>
      <c r="G3373" s="42"/>
      <c r="H3373" s="42"/>
      <c r="AG3373" s="19">
        <v>3372</v>
      </c>
      <c r="AH3373" s="20">
        <v>3034.6983274515728</v>
      </c>
    </row>
    <row r="3374" spans="1:34" ht="14.5" x14ac:dyDescent="0.35">
      <c r="A3374" s="34"/>
      <c r="B3374" s="35"/>
      <c r="C3374" s="36"/>
      <c r="D3374" s="37"/>
      <c r="E3374" s="36"/>
      <c r="F3374" s="42"/>
      <c r="G3374" s="42"/>
      <c r="H3374" s="42"/>
      <c r="AG3374" s="19">
        <v>3373</v>
      </c>
      <c r="AH3374" s="20">
        <v>1068.8936526832058</v>
      </c>
    </row>
    <row r="3375" spans="1:34" ht="14.5" x14ac:dyDescent="0.35">
      <c r="A3375" s="34"/>
      <c r="B3375" s="35"/>
      <c r="C3375" s="36"/>
      <c r="D3375" s="37"/>
      <c r="E3375" s="36"/>
      <c r="F3375" s="42"/>
      <c r="G3375" s="42"/>
      <c r="H3375" s="42"/>
      <c r="AG3375" s="19">
        <v>3374</v>
      </c>
      <c r="AH3375" s="20">
        <v>4203.0157471134335</v>
      </c>
    </row>
    <row r="3376" spans="1:34" ht="14.5" x14ac:dyDescent="0.35">
      <c r="A3376" s="34"/>
      <c r="B3376" s="35"/>
      <c r="C3376" s="36"/>
      <c r="D3376" s="37"/>
      <c r="E3376" s="36"/>
      <c r="F3376" s="42"/>
      <c r="G3376" s="42"/>
      <c r="H3376" s="42"/>
      <c r="AG3376" s="19">
        <v>3375</v>
      </c>
      <c r="AH3376" s="20">
        <v>186.13737060354526</v>
      </c>
    </row>
    <row r="3377" spans="1:34" ht="14.5" x14ac:dyDescent="0.35">
      <c r="A3377" s="34"/>
      <c r="B3377" s="35"/>
      <c r="C3377" s="36"/>
      <c r="D3377" s="37"/>
      <c r="E3377" s="36"/>
      <c r="F3377" s="42"/>
      <c r="G3377" s="42"/>
      <c r="H3377" s="42"/>
      <c r="AG3377" s="19">
        <v>3376</v>
      </c>
      <c r="AH3377" s="20">
        <v>1535.7213979164439</v>
      </c>
    </row>
    <row r="3378" spans="1:34" ht="14.5" x14ac:dyDescent="0.35">
      <c r="A3378" s="34"/>
      <c r="B3378" s="35"/>
      <c r="C3378" s="36"/>
      <c r="D3378" s="37"/>
      <c r="E3378" s="36"/>
      <c r="F3378" s="42"/>
      <c r="G3378" s="42"/>
      <c r="H3378" s="42"/>
      <c r="AG3378" s="19">
        <v>3377</v>
      </c>
      <c r="AH3378" s="20">
        <v>1076.0752084710125</v>
      </c>
    </row>
    <row r="3379" spans="1:34" ht="14.5" x14ac:dyDescent="0.35">
      <c r="A3379" s="34"/>
      <c r="B3379" s="35"/>
      <c r="C3379" s="36"/>
      <c r="D3379" s="37"/>
      <c r="E3379" s="36"/>
      <c r="F3379" s="42"/>
      <c r="G3379" s="42"/>
      <c r="H3379" s="42"/>
      <c r="AG3379" s="19">
        <v>3378</v>
      </c>
      <c r="AH3379" s="20">
        <v>-1143.3723222760129</v>
      </c>
    </row>
    <row r="3380" spans="1:34" ht="14.5" x14ac:dyDescent="0.35">
      <c r="A3380" s="34"/>
      <c r="B3380" s="35"/>
      <c r="C3380" s="36"/>
      <c r="D3380" s="37"/>
      <c r="E3380" s="36"/>
      <c r="F3380" s="42"/>
      <c r="G3380" s="42"/>
      <c r="H3380" s="42"/>
      <c r="AG3380" s="19">
        <v>3379</v>
      </c>
      <c r="AH3380" s="20">
        <v>3427.937603371261</v>
      </c>
    </row>
    <row r="3381" spans="1:34" ht="14.5" x14ac:dyDescent="0.35">
      <c r="A3381" s="34"/>
      <c r="B3381" s="35"/>
      <c r="C3381" s="36"/>
      <c r="D3381" s="37"/>
      <c r="E3381" s="36"/>
      <c r="F3381" s="42"/>
      <c r="G3381" s="42"/>
      <c r="H3381" s="42"/>
      <c r="AG3381" s="19">
        <v>3380</v>
      </c>
      <c r="AH3381" s="20">
        <v>-1289.7590982614583</v>
      </c>
    </row>
    <row r="3382" spans="1:34" ht="14.5" x14ac:dyDescent="0.35">
      <c r="A3382" s="34"/>
      <c r="B3382" s="35"/>
      <c r="C3382" s="36"/>
      <c r="D3382" s="37"/>
      <c r="E3382" s="36"/>
      <c r="F3382" s="42"/>
      <c r="G3382" s="42"/>
      <c r="H3382" s="42"/>
      <c r="AG3382" s="19">
        <v>3381</v>
      </c>
      <c r="AH3382" s="20">
        <v>120.49040196300479</v>
      </c>
    </row>
    <row r="3383" spans="1:34" ht="14.5" x14ac:dyDescent="0.35">
      <c r="A3383" s="34"/>
      <c r="B3383" s="35"/>
      <c r="C3383" s="36"/>
      <c r="D3383" s="37"/>
      <c r="E3383" s="36"/>
      <c r="F3383" s="42"/>
      <c r="G3383" s="42"/>
      <c r="H3383" s="42"/>
      <c r="AG3383" s="19">
        <v>3382</v>
      </c>
      <c r="AH3383" s="20">
        <v>2378.9563699446562</v>
      </c>
    </row>
    <row r="3384" spans="1:34" ht="14.5" x14ac:dyDescent="0.35">
      <c r="A3384" s="34"/>
      <c r="B3384" s="35"/>
      <c r="C3384" s="36"/>
      <c r="D3384" s="37"/>
      <c r="E3384" s="36"/>
      <c r="F3384" s="42"/>
      <c r="G3384" s="42"/>
      <c r="H3384" s="42"/>
      <c r="AG3384" s="19">
        <v>3383</v>
      </c>
      <c r="AH3384" s="20">
        <v>2867.2814399174681</v>
      </c>
    </row>
    <row r="3385" spans="1:34" ht="14.5" x14ac:dyDescent="0.35">
      <c r="A3385" s="34"/>
      <c r="B3385" s="35"/>
      <c r="C3385" s="36"/>
      <c r="D3385" s="37"/>
      <c r="E3385" s="36"/>
      <c r="F3385" s="42"/>
      <c r="G3385" s="42"/>
      <c r="H3385" s="42"/>
      <c r="AG3385" s="19">
        <v>3384</v>
      </c>
      <c r="AH3385" s="20">
        <v>-3408.8750689217686</v>
      </c>
    </row>
    <row r="3386" spans="1:34" ht="14.5" x14ac:dyDescent="0.35">
      <c r="A3386" s="34"/>
      <c r="B3386" s="35"/>
      <c r="C3386" s="36"/>
      <c r="D3386" s="37"/>
      <c r="E3386" s="36"/>
      <c r="F3386" s="42"/>
      <c r="G3386" s="42"/>
      <c r="H3386" s="42"/>
      <c r="AG3386" s="19">
        <v>3385</v>
      </c>
      <c r="AH3386" s="20">
        <v>-2052.1207542831939</v>
      </c>
    </row>
    <row r="3387" spans="1:34" ht="14.5" x14ac:dyDescent="0.35">
      <c r="A3387" s="34"/>
      <c r="B3387" s="35"/>
      <c r="C3387" s="36"/>
      <c r="D3387" s="37"/>
      <c r="E3387" s="36"/>
      <c r="F3387" s="42"/>
      <c r="G3387" s="42"/>
      <c r="H3387" s="42"/>
      <c r="AG3387" s="19">
        <v>3386</v>
      </c>
      <c r="AH3387" s="20">
        <v>1446.0818146764987</v>
      </c>
    </row>
    <row r="3388" spans="1:34" ht="14.5" x14ac:dyDescent="0.35">
      <c r="A3388" s="34"/>
      <c r="B3388" s="35"/>
      <c r="C3388" s="36"/>
      <c r="D3388" s="37"/>
      <c r="E3388" s="36"/>
      <c r="F3388" s="42"/>
      <c r="G3388" s="42"/>
      <c r="H3388" s="42"/>
      <c r="AG3388" s="19">
        <v>3387</v>
      </c>
      <c r="AH3388" s="20">
        <v>3563.4384135298897</v>
      </c>
    </row>
    <row r="3389" spans="1:34" ht="14.5" x14ac:dyDescent="0.35">
      <c r="A3389" s="34"/>
      <c r="B3389" s="35"/>
      <c r="C3389" s="36"/>
      <c r="D3389" s="37"/>
      <c r="E3389" s="36"/>
      <c r="F3389" s="42"/>
      <c r="G3389" s="42"/>
      <c r="H3389" s="42"/>
      <c r="AG3389" s="19">
        <v>3388</v>
      </c>
      <c r="AH3389" s="20">
        <v>-381.53575491454245</v>
      </c>
    </row>
    <row r="3390" spans="1:34" ht="14.5" x14ac:dyDescent="0.35">
      <c r="A3390" s="34"/>
      <c r="B3390" s="35"/>
      <c r="C3390" s="36"/>
      <c r="D3390" s="37"/>
      <c r="E3390" s="36"/>
      <c r="F3390" s="42"/>
      <c r="G3390" s="42"/>
      <c r="H3390" s="42"/>
      <c r="AG3390" s="19">
        <v>3389</v>
      </c>
      <c r="AH3390" s="20">
        <v>-185.89386730221048</v>
      </c>
    </row>
    <row r="3391" spans="1:34" ht="14.5" x14ac:dyDescent="0.35">
      <c r="A3391" s="34"/>
      <c r="B3391" s="35"/>
      <c r="C3391" s="36"/>
      <c r="D3391" s="37"/>
      <c r="E3391" s="36"/>
      <c r="F3391" s="42"/>
      <c r="G3391" s="42"/>
      <c r="H3391" s="42"/>
      <c r="AG3391" s="19">
        <v>3390</v>
      </c>
      <c r="AH3391" s="20">
        <v>2048.6341220441936</v>
      </c>
    </row>
    <row r="3392" spans="1:34" ht="14.5" x14ac:dyDescent="0.35">
      <c r="A3392" s="34"/>
      <c r="B3392" s="35"/>
      <c r="C3392" s="36"/>
      <c r="D3392" s="37"/>
      <c r="E3392" s="36"/>
      <c r="F3392" s="42"/>
      <c r="G3392" s="42"/>
      <c r="H3392" s="42"/>
      <c r="AG3392" s="19">
        <v>3391</v>
      </c>
      <c r="AH3392" s="20">
        <v>-1196.0038672648404</v>
      </c>
    </row>
    <row r="3393" spans="1:34" ht="14.5" x14ac:dyDescent="0.35">
      <c r="A3393" s="34"/>
      <c r="B3393" s="35"/>
      <c r="C3393" s="36"/>
      <c r="D3393" s="37"/>
      <c r="E3393" s="36"/>
      <c r="F3393" s="42"/>
      <c r="G3393" s="42"/>
      <c r="H3393" s="42"/>
      <c r="AG3393" s="19">
        <v>3392</v>
      </c>
      <c r="AH3393" s="20">
        <v>1250.8152564687232</v>
      </c>
    </row>
    <row r="3394" spans="1:34" ht="14.5" x14ac:dyDescent="0.35">
      <c r="A3394" s="34"/>
      <c r="B3394" s="35"/>
      <c r="C3394" s="36"/>
      <c r="D3394" s="37"/>
      <c r="E3394" s="36"/>
      <c r="F3394" s="42"/>
      <c r="G3394" s="42"/>
      <c r="H3394" s="42"/>
      <c r="AG3394" s="19">
        <v>3393</v>
      </c>
      <c r="AH3394" s="20">
        <v>-1040.9346247938947</v>
      </c>
    </row>
    <row r="3395" spans="1:34" ht="14.5" x14ac:dyDescent="0.35">
      <c r="A3395" s="34"/>
      <c r="B3395" s="35"/>
      <c r="C3395" s="36"/>
      <c r="D3395" s="37"/>
      <c r="E3395" s="36"/>
      <c r="F3395" s="42"/>
      <c r="G3395" s="42"/>
      <c r="H3395" s="42"/>
      <c r="AG3395" s="19">
        <v>3394</v>
      </c>
      <c r="AH3395" s="20">
        <v>-3393.0670289951076</v>
      </c>
    </row>
    <row r="3396" spans="1:34" ht="14.5" x14ac:dyDescent="0.35">
      <c r="A3396" s="34"/>
      <c r="B3396" s="35"/>
      <c r="C3396" s="36"/>
      <c r="D3396" s="37"/>
      <c r="E3396" s="36"/>
      <c r="F3396" s="42"/>
      <c r="G3396" s="42"/>
      <c r="H3396" s="42"/>
      <c r="AG3396" s="19">
        <v>3395</v>
      </c>
      <c r="AH3396" s="20">
        <v>1176.6254061337463</v>
      </c>
    </row>
    <row r="3397" spans="1:34" ht="14.5" x14ac:dyDescent="0.35">
      <c r="A3397" s="34"/>
      <c r="B3397" s="35"/>
      <c r="C3397" s="36"/>
      <c r="D3397" s="37"/>
      <c r="E3397" s="36"/>
      <c r="F3397" s="42"/>
      <c r="G3397" s="42"/>
      <c r="H3397" s="42"/>
      <c r="AG3397" s="19">
        <v>3396</v>
      </c>
      <c r="AH3397" s="20">
        <v>2048.8600632418738</v>
      </c>
    </row>
    <row r="3398" spans="1:34" ht="14.5" x14ac:dyDescent="0.35">
      <c r="A3398" s="34"/>
      <c r="B3398" s="35"/>
      <c r="C3398" s="36"/>
      <c r="D3398" s="37"/>
      <c r="E3398" s="36"/>
      <c r="F3398" s="42"/>
      <c r="G3398" s="42"/>
      <c r="H3398" s="42"/>
      <c r="AG3398" s="19">
        <v>3397</v>
      </c>
      <c r="AH3398" s="20">
        <v>-1899.0699635090211</v>
      </c>
    </row>
    <row r="3399" spans="1:34" ht="14.5" x14ac:dyDescent="0.35">
      <c r="A3399" s="34"/>
      <c r="B3399" s="35"/>
      <c r="C3399" s="36"/>
      <c r="D3399" s="37"/>
      <c r="E3399" s="36"/>
      <c r="F3399" s="42"/>
      <c r="G3399" s="42"/>
      <c r="H3399" s="42"/>
      <c r="AG3399" s="19">
        <v>3398</v>
      </c>
      <c r="AH3399" s="20">
        <v>-1794.4538005208972</v>
      </c>
    </row>
    <row r="3400" spans="1:34" ht="14.5" x14ac:dyDescent="0.35">
      <c r="A3400" s="34"/>
      <c r="B3400" s="35"/>
      <c r="C3400" s="36"/>
      <c r="D3400" s="37"/>
      <c r="E3400" s="36"/>
      <c r="F3400" s="42"/>
      <c r="G3400" s="42"/>
      <c r="H3400" s="42"/>
      <c r="AG3400" s="19">
        <v>3399</v>
      </c>
      <c r="AH3400" s="20">
        <v>-1729.5017285661022</v>
      </c>
    </row>
    <row r="3401" spans="1:34" ht="14.5" x14ac:dyDescent="0.35">
      <c r="A3401" s="34"/>
      <c r="B3401" s="35"/>
      <c r="C3401" s="36"/>
      <c r="D3401" s="37"/>
      <c r="E3401" s="36"/>
      <c r="F3401" s="42"/>
      <c r="G3401" s="42"/>
      <c r="H3401" s="42"/>
      <c r="AG3401" s="19">
        <v>3400</v>
      </c>
      <c r="AH3401" s="20">
        <v>-308.63490556575533</v>
      </c>
    </row>
    <row r="3402" spans="1:34" ht="14.5" x14ac:dyDescent="0.35">
      <c r="A3402" s="34"/>
      <c r="B3402" s="35"/>
      <c r="C3402" s="36"/>
      <c r="D3402" s="37"/>
      <c r="E3402" s="36"/>
      <c r="F3402" s="42"/>
      <c r="G3402" s="42"/>
      <c r="H3402" s="42"/>
      <c r="AG3402" s="19">
        <v>3401</v>
      </c>
      <c r="AH3402" s="20">
        <v>-1027.733893384057</v>
      </c>
    </row>
    <row r="3403" spans="1:34" ht="14.5" x14ac:dyDescent="0.35">
      <c r="A3403" s="34"/>
      <c r="B3403" s="35"/>
      <c r="C3403" s="36"/>
      <c r="D3403" s="37"/>
      <c r="E3403" s="36"/>
      <c r="F3403" s="42"/>
      <c r="G3403" s="42"/>
      <c r="H3403" s="42"/>
      <c r="AG3403" s="19">
        <v>3402</v>
      </c>
      <c r="AH3403" s="20">
        <v>-2544.9772683354458</v>
      </c>
    </row>
    <row r="3404" spans="1:34" ht="14.5" x14ac:dyDescent="0.35">
      <c r="A3404" s="34"/>
      <c r="B3404" s="35"/>
      <c r="C3404" s="36"/>
      <c r="D3404" s="37"/>
      <c r="E3404" s="36"/>
      <c r="F3404" s="42"/>
      <c r="G3404" s="42"/>
      <c r="H3404" s="42"/>
      <c r="AG3404" s="19">
        <v>3403</v>
      </c>
      <c r="AH3404" s="20">
        <v>1527.0601481645597</v>
      </c>
    </row>
    <row r="3405" spans="1:34" ht="14.5" x14ac:dyDescent="0.35">
      <c r="A3405" s="34"/>
      <c r="B3405" s="35"/>
      <c r="C3405" s="36"/>
      <c r="D3405" s="37"/>
      <c r="E3405" s="36"/>
      <c r="F3405" s="42"/>
      <c r="G3405" s="42"/>
      <c r="H3405" s="42"/>
      <c r="AG3405" s="19">
        <v>3404</v>
      </c>
      <c r="AH3405" s="20">
        <v>2983.8868134700697</v>
      </c>
    </row>
    <row r="3406" spans="1:34" ht="14.5" x14ac:dyDescent="0.35">
      <c r="A3406" s="34"/>
      <c r="B3406" s="35"/>
      <c r="C3406" s="36"/>
      <c r="D3406" s="37"/>
      <c r="E3406" s="36"/>
      <c r="F3406" s="42"/>
      <c r="G3406" s="42"/>
      <c r="H3406" s="42"/>
      <c r="AG3406" s="19">
        <v>3405</v>
      </c>
      <c r="AH3406" s="20">
        <v>-569.03956430672338</v>
      </c>
    </row>
    <row r="3407" spans="1:34" ht="14.5" x14ac:dyDescent="0.35">
      <c r="A3407" s="34"/>
      <c r="B3407" s="35"/>
      <c r="C3407" s="36"/>
      <c r="D3407" s="37"/>
      <c r="E3407" s="36"/>
      <c r="F3407" s="42"/>
      <c r="G3407" s="42"/>
      <c r="H3407" s="42"/>
      <c r="AG3407" s="19">
        <v>3406</v>
      </c>
      <c r="AH3407" s="20">
        <v>-2993.3107741238155</v>
      </c>
    </row>
    <row r="3408" spans="1:34" ht="14.5" x14ac:dyDescent="0.35">
      <c r="A3408" s="34"/>
      <c r="B3408" s="35"/>
      <c r="C3408" s="36"/>
      <c r="D3408" s="37"/>
      <c r="E3408" s="36"/>
      <c r="F3408" s="42"/>
      <c r="G3408" s="42"/>
      <c r="H3408" s="42"/>
      <c r="AG3408" s="19">
        <v>3407</v>
      </c>
      <c r="AH3408" s="20">
        <v>3233.9828054901327</v>
      </c>
    </row>
    <row r="3409" spans="1:34" ht="14.5" x14ac:dyDescent="0.35">
      <c r="A3409" s="34"/>
      <c r="B3409" s="35"/>
      <c r="C3409" s="36"/>
      <c r="D3409" s="37"/>
      <c r="E3409" s="36"/>
      <c r="F3409" s="42"/>
      <c r="G3409" s="42"/>
      <c r="H3409" s="42"/>
      <c r="AG3409" s="19">
        <v>3408</v>
      </c>
      <c r="AH3409" s="20">
        <v>1990.7422310678949</v>
      </c>
    </row>
    <row r="3410" spans="1:34" ht="14.5" x14ac:dyDescent="0.35">
      <c r="A3410" s="34"/>
      <c r="B3410" s="35"/>
      <c r="C3410" s="36"/>
      <c r="D3410" s="37"/>
      <c r="E3410" s="36"/>
      <c r="F3410" s="42"/>
      <c r="G3410" s="42"/>
      <c r="H3410" s="42"/>
      <c r="AG3410" s="19">
        <v>3409</v>
      </c>
      <c r="AH3410" s="20">
        <v>-756.74827528854803</v>
      </c>
    </row>
    <row r="3411" spans="1:34" ht="14.5" x14ac:dyDescent="0.35">
      <c r="A3411" s="34"/>
      <c r="B3411" s="35"/>
      <c r="C3411" s="36"/>
      <c r="D3411" s="37"/>
      <c r="E3411" s="36"/>
      <c r="F3411" s="42"/>
      <c r="G3411" s="42"/>
      <c r="H3411" s="42"/>
      <c r="AG3411" s="19">
        <v>3410</v>
      </c>
      <c r="AH3411" s="20">
        <v>1271.6528859725267</v>
      </c>
    </row>
    <row r="3412" spans="1:34" ht="14.5" x14ac:dyDescent="0.35">
      <c r="A3412" s="34"/>
      <c r="B3412" s="35"/>
      <c r="C3412" s="36"/>
      <c r="D3412" s="37"/>
      <c r="E3412" s="36"/>
      <c r="F3412" s="42"/>
      <c r="G3412" s="42"/>
      <c r="H3412" s="42"/>
      <c r="AG3412" s="19">
        <v>3411</v>
      </c>
      <c r="AH3412" s="20">
        <v>-1324.4228117621935</v>
      </c>
    </row>
    <row r="3413" spans="1:34" ht="14.5" x14ac:dyDescent="0.35">
      <c r="A3413" s="34"/>
      <c r="B3413" s="35"/>
      <c r="C3413" s="36"/>
      <c r="D3413" s="37"/>
      <c r="E3413" s="36"/>
      <c r="F3413" s="42"/>
      <c r="G3413" s="42"/>
      <c r="H3413" s="42"/>
      <c r="AG3413" s="19">
        <v>3412</v>
      </c>
      <c r="AH3413" s="20">
        <v>148.71273231719161</v>
      </c>
    </row>
    <row r="3414" spans="1:34" ht="14.5" x14ac:dyDescent="0.35">
      <c r="A3414" s="34"/>
      <c r="B3414" s="35"/>
      <c r="C3414" s="36"/>
      <c r="D3414" s="37"/>
      <c r="E3414" s="36"/>
      <c r="F3414" s="42"/>
      <c r="G3414" s="42"/>
      <c r="H3414" s="42"/>
      <c r="AG3414" s="19">
        <v>3413</v>
      </c>
      <c r="AH3414" s="20">
        <v>4869.2340355126898</v>
      </c>
    </row>
    <row r="3415" spans="1:34" ht="14.5" x14ac:dyDescent="0.35">
      <c r="A3415" s="34"/>
      <c r="B3415" s="35"/>
      <c r="C3415" s="36"/>
      <c r="D3415" s="37"/>
      <c r="E3415" s="36"/>
      <c r="F3415" s="42"/>
      <c r="G3415" s="42"/>
      <c r="H3415" s="42"/>
      <c r="AG3415" s="19">
        <v>3414</v>
      </c>
      <c r="AH3415" s="20">
        <v>1165.4789967938891</v>
      </c>
    </row>
    <row r="3416" spans="1:34" ht="14.5" x14ac:dyDescent="0.35">
      <c r="A3416" s="34"/>
      <c r="B3416" s="35"/>
      <c r="C3416" s="36"/>
      <c r="D3416" s="37"/>
      <c r="E3416" s="36"/>
      <c r="F3416" s="42"/>
      <c r="G3416" s="42"/>
      <c r="H3416" s="42"/>
      <c r="AG3416" s="19">
        <v>3415</v>
      </c>
      <c r="AH3416" s="20">
        <v>-295.90287330632242</v>
      </c>
    </row>
    <row r="3417" spans="1:34" ht="14.5" x14ac:dyDescent="0.35">
      <c r="A3417" s="34"/>
      <c r="B3417" s="35"/>
      <c r="C3417" s="36"/>
      <c r="D3417" s="37"/>
      <c r="E3417" s="36"/>
      <c r="F3417" s="42"/>
      <c r="G3417" s="42"/>
      <c r="H3417" s="42"/>
      <c r="AG3417" s="19">
        <v>3416</v>
      </c>
      <c r="AH3417" s="20">
        <v>2083.4455587960952</v>
      </c>
    </row>
    <row r="3418" spans="1:34" ht="14.5" x14ac:dyDescent="0.35">
      <c r="A3418" s="34"/>
      <c r="B3418" s="35"/>
      <c r="C3418" s="36"/>
      <c r="D3418" s="37"/>
      <c r="E3418" s="36"/>
      <c r="F3418" s="42"/>
      <c r="G3418" s="42"/>
      <c r="H3418" s="42"/>
      <c r="AG3418" s="19">
        <v>3417</v>
      </c>
      <c r="AH3418" s="20">
        <v>-3934.171831556323</v>
      </c>
    </row>
    <row r="3419" spans="1:34" ht="14.5" x14ac:dyDescent="0.35">
      <c r="A3419" s="34"/>
      <c r="B3419" s="35"/>
      <c r="C3419" s="36"/>
      <c r="D3419" s="37"/>
      <c r="E3419" s="36"/>
      <c r="F3419" s="42"/>
      <c r="G3419" s="42"/>
      <c r="H3419" s="42"/>
      <c r="AG3419" s="19">
        <v>3418</v>
      </c>
      <c r="AH3419" s="20">
        <v>-1431.4999207454791</v>
      </c>
    </row>
    <row r="3420" spans="1:34" ht="14.5" x14ac:dyDescent="0.35">
      <c r="A3420" s="34"/>
      <c r="B3420" s="35"/>
      <c r="C3420" s="36"/>
      <c r="D3420" s="37"/>
      <c r="E3420" s="36"/>
      <c r="F3420" s="42"/>
      <c r="G3420" s="42"/>
      <c r="H3420" s="42"/>
      <c r="AG3420" s="19">
        <v>3419</v>
      </c>
      <c r="AH3420" s="20">
        <v>3647.7169324777751</v>
      </c>
    </row>
    <row r="3421" spans="1:34" ht="14.5" x14ac:dyDescent="0.35">
      <c r="A3421" s="34"/>
      <c r="B3421" s="35"/>
      <c r="C3421" s="36"/>
      <c r="D3421" s="37"/>
      <c r="E3421" s="36"/>
      <c r="F3421" s="42"/>
      <c r="G3421" s="42"/>
      <c r="H3421" s="42"/>
      <c r="AG3421" s="19">
        <v>3420</v>
      </c>
      <c r="AH3421" s="20">
        <v>-1090.3728362788784</v>
      </c>
    </row>
    <row r="3422" spans="1:34" ht="14.5" x14ac:dyDescent="0.35">
      <c r="A3422" s="34"/>
      <c r="B3422" s="35"/>
      <c r="C3422" s="36"/>
      <c r="D3422" s="37"/>
      <c r="E3422" s="36"/>
      <c r="F3422" s="42"/>
      <c r="G3422" s="42"/>
      <c r="H3422" s="42"/>
      <c r="AG3422" s="19">
        <v>3421</v>
      </c>
      <c r="AH3422" s="20">
        <v>3690.529311932914</v>
      </c>
    </row>
    <row r="3423" spans="1:34" ht="14.5" x14ac:dyDescent="0.35">
      <c r="A3423" s="34"/>
      <c r="B3423" s="35"/>
      <c r="C3423" s="36"/>
      <c r="D3423" s="37"/>
      <c r="E3423" s="36"/>
      <c r="F3423" s="42"/>
      <c r="G3423" s="42"/>
      <c r="H3423" s="42"/>
      <c r="AG3423" s="19">
        <v>3422</v>
      </c>
      <c r="AH3423" s="20">
        <v>2626.5219565641792</v>
      </c>
    </row>
    <row r="3424" spans="1:34" ht="14.5" x14ac:dyDescent="0.35">
      <c r="A3424" s="34"/>
      <c r="B3424" s="35"/>
      <c r="C3424" s="36"/>
      <c r="D3424" s="37"/>
      <c r="E3424" s="36"/>
      <c r="F3424" s="42"/>
      <c r="G3424" s="42"/>
      <c r="H3424" s="42"/>
      <c r="AG3424" s="19">
        <v>3423</v>
      </c>
      <c r="AH3424" s="20">
        <v>4133.5203935802183</v>
      </c>
    </row>
    <row r="3425" spans="1:34" ht="14.5" x14ac:dyDescent="0.35">
      <c r="A3425" s="34"/>
      <c r="B3425" s="35"/>
      <c r="C3425" s="36"/>
      <c r="D3425" s="37"/>
      <c r="E3425" s="36"/>
      <c r="F3425" s="42"/>
      <c r="G3425" s="42"/>
      <c r="H3425" s="42"/>
      <c r="AG3425" s="19">
        <v>3424</v>
      </c>
      <c r="AH3425" s="20">
        <v>-801.46878432034305</v>
      </c>
    </row>
    <row r="3426" spans="1:34" ht="14.5" x14ac:dyDescent="0.35">
      <c r="A3426" s="34"/>
      <c r="B3426" s="35"/>
      <c r="C3426" s="36"/>
      <c r="D3426" s="37"/>
      <c r="E3426" s="36"/>
      <c r="F3426" s="42"/>
      <c r="G3426" s="42"/>
      <c r="H3426" s="42"/>
      <c r="AG3426" s="19">
        <v>3425</v>
      </c>
      <c r="AH3426" s="20">
        <v>1180.1321933178585</v>
      </c>
    </row>
    <row r="3427" spans="1:34" ht="14.5" x14ac:dyDescent="0.35">
      <c r="A3427" s="34"/>
      <c r="B3427" s="35"/>
      <c r="C3427" s="36"/>
      <c r="D3427" s="37"/>
      <c r="E3427" s="36"/>
      <c r="F3427" s="42"/>
      <c r="G3427" s="42"/>
      <c r="H3427" s="42"/>
      <c r="AG3427" s="19">
        <v>3426</v>
      </c>
      <c r="AH3427" s="20">
        <v>80.313939942531988</v>
      </c>
    </row>
    <row r="3428" spans="1:34" ht="14.5" x14ac:dyDescent="0.35">
      <c r="A3428" s="34"/>
      <c r="B3428" s="35"/>
      <c r="C3428" s="36"/>
      <c r="D3428" s="37"/>
      <c r="E3428" s="36"/>
      <c r="F3428" s="42"/>
      <c r="G3428" s="42"/>
      <c r="H3428" s="42"/>
      <c r="AG3428" s="19">
        <v>3427</v>
      </c>
      <c r="AH3428" s="20">
        <v>399.5999979350683</v>
      </c>
    </row>
    <row r="3429" spans="1:34" ht="14.5" x14ac:dyDescent="0.35">
      <c r="A3429" s="34"/>
      <c r="B3429" s="35"/>
      <c r="C3429" s="36"/>
      <c r="D3429" s="37"/>
      <c r="E3429" s="36"/>
      <c r="F3429" s="42"/>
      <c r="G3429" s="42"/>
      <c r="H3429" s="42"/>
      <c r="AG3429" s="19">
        <v>3428</v>
      </c>
      <c r="AH3429" s="20">
        <v>-280.734117987709</v>
      </c>
    </row>
    <row r="3430" spans="1:34" ht="14.5" x14ac:dyDescent="0.35">
      <c r="A3430" s="34"/>
      <c r="B3430" s="35"/>
      <c r="C3430" s="36"/>
      <c r="D3430" s="37"/>
      <c r="E3430" s="36"/>
      <c r="F3430" s="42"/>
      <c r="G3430" s="42"/>
      <c r="H3430" s="42"/>
      <c r="AG3430" s="19">
        <v>3429</v>
      </c>
      <c r="AH3430" s="20">
        <v>2488.9995187512377</v>
      </c>
    </row>
    <row r="3431" spans="1:34" ht="14.5" x14ac:dyDescent="0.35">
      <c r="A3431" s="34"/>
      <c r="B3431" s="35"/>
      <c r="C3431" s="36"/>
      <c r="D3431" s="37"/>
      <c r="E3431" s="36"/>
      <c r="F3431" s="42"/>
      <c r="G3431" s="42"/>
      <c r="H3431" s="42"/>
      <c r="AG3431" s="19">
        <v>3430</v>
      </c>
      <c r="AH3431" s="20">
        <v>2377.9721006213608</v>
      </c>
    </row>
    <row r="3432" spans="1:34" ht="14.5" x14ac:dyDescent="0.35">
      <c r="A3432" s="34"/>
      <c r="B3432" s="35"/>
      <c r="C3432" s="36"/>
      <c r="D3432" s="37"/>
      <c r="E3432" s="36"/>
      <c r="F3432" s="42"/>
      <c r="G3432" s="42"/>
      <c r="H3432" s="42"/>
      <c r="AG3432" s="19">
        <v>3431</v>
      </c>
      <c r="AH3432" s="20">
        <v>1854.6182582273473</v>
      </c>
    </row>
    <row r="3433" spans="1:34" ht="14.5" x14ac:dyDescent="0.35">
      <c r="A3433" s="34"/>
      <c r="B3433" s="35"/>
      <c r="C3433" s="36"/>
      <c r="D3433" s="37"/>
      <c r="E3433" s="36"/>
      <c r="F3433" s="42"/>
      <c r="G3433" s="42"/>
      <c r="H3433" s="42"/>
      <c r="AG3433" s="19">
        <v>3432</v>
      </c>
      <c r="AH3433" s="20">
        <v>-327.89748188899893</v>
      </c>
    </row>
    <row r="3434" spans="1:34" ht="14.5" x14ac:dyDescent="0.35">
      <c r="A3434" s="34"/>
      <c r="B3434" s="35"/>
      <c r="C3434" s="36"/>
      <c r="D3434" s="37"/>
      <c r="E3434" s="36"/>
      <c r="F3434" s="42"/>
      <c r="G3434" s="42"/>
      <c r="H3434" s="42"/>
      <c r="AG3434" s="19">
        <v>3433</v>
      </c>
      <c r="AH3434" s="20">
        <v>1616.0418148206188</v>
      </c>
    </row>
    <row r="3435" spans="1:34" ht="14.5" x14ac:dyDescent="0.35">
      <c r="A3435" s="34"/>
      <c r="B3435" s="35"/>
      <c r="C3435" s="36"/>
      <c r="D3435" s="37"/>
      <c r="E3435" s="36"/>
      <c r="F3435" s="42"/>
      <c r="G3435" s="42"/>
      <c r="H3435" s="42"/>
      <c r="AG3435" s="19">
        <v>3434</v>
      </c>
      <c r="AH3435" s="20">
        <v>1533.948559885386</v>
      </c>
    </row>
    <row r="3436" spans="1:34" ht="14.5" x14ac:dyDescent="0.35">
      <c r="A3436" s="34"/>
      <c r="B3436" s="35"/>
      <c r="C3436" s="36"/>
      <c r="D3436" s="37"/>
      <c r="E3436" s="36"/>
      <c r="F3436" s="42"/>
      <c r="G3436" s="42"/>
      <c r="H3436" s="42"/>
      <c r="AG3436" s="19">
        <v>3435</v>
      </c>
      <c r="AH3436" s="20">
        <v>2525.5877216384238</v>
      </c>
    </row>
    <row r="3437" spans="1:34" ht="14.5" x14ac:dyDescent="0.35">
      <c r="A3437" s="34"/>
      <c r="B3437" s="35"/>
      <c r="C3437" s="36"/>
      <c r="D3437" s="37"/>
      <c r="E3437" s="36"/>
      <c r="F3437" s="42"/>
      <c r="G3437" s="42"/>
      <c r="H3437" s="42"/>
      <c r="AG3437" s="19">
        <v>3436</v>
      </c>
      <c r="AH3437" s="20">
        <v>-2066.2542338247126</v>
      </c>
    </row>
    <row r="3438" spans="1:34" ht="14.5" x14ac:dyDescent="0.35">
      <c r="A3438" s="34"/>
      <c r="B3438" s="35"/>
      <c r="C3438" s="36"/>
      <c r="D3438" s="37"/>
      <c r="E3438" s="36"/>
      <c r="F3438" s="42"/>
      <c r="G3438" s="42"/>
      <c r="H3438" s="42"/>
      <c r="AG3438" s="19">
        <v>3437</v>
      </c>
      <c r="AH3438" s="20">
        <v>4226.4424112506367</v>
      </c>
    </row>
    <row r="3439" spans="1:34" ht="14.5" x14ac:dyDescent="0.35">
      <c r="A3439" s="34"/>
      <c r="B3439" s="35"/>
      <c r="C3439" s="36"/>
      <c r="D3439" s="37"/>
      <c r="E3439" s="36"/>
      <c r="F3439" s="42"/>
      <c r="G3439" s="42"/>
      <c r="H3439" s="42"/>
      <c r="AG3439" s="19">
        <v>3438</v>
      </c>
      <c r="AH3439" s="20">
        <v>1412.9729151292238</v>
      </c>
    </row>
    <row r="3440" spans="1:34" ht="14.5" x14ac:dyDescent="0.35">
      <c r="A3440" s="34"/>
      <c r="B3440" s="35"/>
      <c r="C3440" s="36"/>
      <c r="D3440" s="37"/>
      <c r="E3440" s="36"/>
      <c r="F3440" s="42"/>
      <c r="G3440" s="42"/>
      <c r="H3440" s="42"/>
      <c r="AG3440" s="19">
        <v>3439</v>
      </c>
      <c r="AH3440" s="20">
        <v>4019.6608684762309</v>
      </c>
    </row>
    <row r="3441" spans="1:34" ht="14.5" x14ac:dyDescent="0.35">
      <c r="A3441" s="34"/>
      <c r="B3441" s="35"/>
      <c r="C3441" s="36"/>
      <c r="D3441" s="37"/>
      <c r="E3441" s="36"/>
      <c r="F3441" s="42"/>
      <c r="G3441" s="42"/>
      <c r="H3441" s="42"/>
      <c r="AG3441" s="19">
        <v>3440</v>
      </c>
      <c r="AH3441" s="20">
        <v>569.66105905194468</v>
      </c>
    </row>
    <row r="3442" spans="1:34" ht="14.5" x14ac:dyDescent="0.35">
      <c r="A3442" s="34"/>
      <c r="B3442" s="35"/>
      <c r="C3442" s="36"/>
      <c r="D3442" s="37"/>
      <c r="E3442" s="36"/>
      <c r="F3442" s="42"/>
      <c r="G3442" s="42"/>
      <c r="H3442" s="42"/>
      <c r="AG3442" s="19">
        <v>3441</v>
      </c>
      <c r="AH3442" s="20">
        <v>-981.26796176285688</v>
      </c>
    </row>
    <row r="3443" spans="1:34" ht="14.5" x14ac:dyDescent="0.35">
      <c r="A3443" s="34"/>
      <c r="B3443" s="35"/>
      <c r="C3443" s="36"/>
      <c r="D3443" s="37"/>
      <c r="E3443" s="36"/>
      <c r="F3443" s="42"/>
      <c r="G3443" s="42"/>
      <c r="H3443" s="42"/>
      <c r="AG3443" s="19">
        <v>3442</v>
      </c>
      <c r="AH3443" s="20">
        <v>402.94637925676085</v>
      </c>
    </row>
    <row r="3444" spans="1:34" ht="14.5" x14ac:dyDescent="0.35">
      <c r="A3444" s="34"/>
      <c r="B3444" s="35"/>
      <c r="C3444" s="36"/>
      <c r="D3444" s="37"/>
      <c r="E3444" s="36"/>
      <c r="F3444" s="42"/>
      <c r="G3444" s="42"/>
      <c r="H3444" s="42"/>
      <c r="AG3444" s="19">
        <v>3443</v>
      </c>
      <c r="AH3444" s="20">
        <v>-43.256445831865051</v>
      </c>
    </row>
    <row r="3445" spans="1:34" ht="14.5" x14ac:dyDescent="0.35">
      <c r="A3445" s="34"/>
      <c r="B3445" s="35"/>
      <c r="C3445" s="36"/>
      <c r="D3445" s="37"/>
      <c r="E3445" s="36"/>
      <c r="F3445" s="42"/>
      <c r="G3445" s="42"/>
      <c r="H3445" s="42"/>
      <c r="AG3445" s="19">
        <v>3444</v>
      </c>
      <c r="AH3445" s="20">
        <v>-544.85690728974464</v>
      </c>
    </row>
    <row r="3446" spans="1:34" ht="14.5" x14ac:dyDescent="0.35">
      <c r="A3446" s="34"/>
      <c r="B3446" s="35"/>
      <c r="C3446" s="36"/>
      <c r="D3446" s="37"/>
      <c r="E3446" s="36"/>
      <c r="F3446" s="42"/>
      <c r="G3446" s="42"/>
      <c r="H3446" s="42"/>
      <c r="AG3446" s="19">
        <v>3445</v>
      </c>
      <c r="AH3446" s="20">
        <v>1410.0456784366831</v>
      </c>
    </row>
    <row r="3447" spans="1:34" ht="14.5" x14ac:dyDescent="0.35">
      <c r="A3447" s="34"/>
      <c r="B3447" s="35"/>
      <c r="C3447" s="36"/>
      <c r="D3447" s="37"/>
      <c r="E3447" s="36"/>
      <c r="F3447" s="42"/>
      <c r="G3447" s="42"/>
      <c r="H3447" s="42"/>
      <c r="AG3447" s="19">
        <v>3446</v>
      </c>
      <c r="AH3447" s="20">
        <v>2528.6980423008531</v>
      </c>
    </row>
    <row r="3448" spans="1:34" ht="14.5" x14ac:dyDescent="0.35">
      <c r="A3448" s="34"/>
      <c r="B3448" s="35"/>
      <c r="C3448" s="36"/>
      <c r="D3448" s="37"/>
      <c r="E3448" s="36"/>
      <c r="F3448" s="42"/>
      <c r="G3448" s="42"/>
      <c r="H3448" s="42"/>
      <c r="AG3448" s="19">
        <v>3447</v>
      </c>
      <c r="AH3448" s="20">
        <v>-1989.8284801267434</v>
      </c>
    </row>
    <row r="3449" spans="1:34" ht="14.5" x14ac:dyDescent="0.35">
      <c r="A3449" s="34"/>
      <c r="B3449" s="35"/>
      <c r="C3449" s="36"/>
      <c r="D3449" s="37"/>
      <c r="E3449" s="36"/>
      <c r="F3449" s="42"/>
      <c r="G3449" s="42"/>
      <c r="H3449" s="42"/>
      <c r="AG3449" s="19">
        <v>3448</v>
      </c>
      <c r="AH3449" s="20">
        <v>470.00067722573419</v>
      </c>
    </row>
    <row r="3450" spans="1:34" ht="14.5" x14ac:dyDescent="0.35">
      <c r="A3450" s="34"/>
      <c r="B3450" s="35"/>
      <c r="C3450" s="36"/>
      <c r="D3450" s="37"/>
      <c r="E3450" s="36"/>
      <c r="F3450" s="42"/>
      <c r="G3450" s="42"/>
      <c r="H3450" s="42"/>
      <c r="AG3450" s="19">
        <v>3449</v>
      </c>
      <c r="AH3450" s="20">
        <v>293.43040980083811</v>
      </c>
    </row>
    <row r="3451" spans="1:34" ht="14.5" x14ac:dyDescent="0.35">
      <c r="A3451" s="34"/>
      <c r="B3451" s="35"/>
      <c r="C3451" s="36"/>
      <c r="D3451" s="37"/>
      <c r="E3451" s="36"/>
      <c r="F3451" s="42"/>
      <c r="G3451" s="42"/>
      <c r="H3451" s="42"/>
      <c r="AG3451" s="19">
        <v>3450</v>
      </c>
      <c r="AH3451" s="20">
        <v>596.83378607068494</v>
      </c>
    </row>
    <row r="3452" spans="1:34" ht="14.5" x14ac:dyDescent="0.35">
      <c r="A3452" s="34"/>
      <c r="B3452" s="35"/>
      <c r="C3452" s="36"/>
      <c r="D3452" s="37"/>
      <c r="E3452" s="36"/>
      <c r="F3452" s="42"/>
      <c r="G3452" s="42"/>
      <c r="H3452" s="42"/>
      <c r="AG3452" s="19">
        <v>3451</v>
      </c>
      <c r="AH3452" s="20">
        <v>1066.6217489812616</v>
      </c>
    </row>
    <row r="3453" spans="1:34" ht="14.5" x14ac:dyDescent="0.35">
      <c r="A3453" s="34"/>
      <c r="B3453" s="35"/>
      <c r="C3453" s="36"/>
      <c r="D3453" s="37"/>
      <c r="E3453" s="36"/>
      <c r="F3453" s="42"/>
      <c r="G3453" s="42"/>
      <c r="H3453" s="42"/>
      <c r="AG3453" s="19">
        <v>3452</v>
      </c>
      <c r="AH3453" s="20">
        <v>4892.6247610058435</v>
      </c>
    </row>
    <row r="3454" spans="1:34" ht="14.5" x14ac:dyDescent="0.35">
      <c r="A3454" s="34"/>
      <c r="B3454" s="35"/>
      <c r="C3454" s="36"/>
      <c r="D3454" s="37"/>
      <c r="E3454" s="36"/>
      <c r="F3454" s="42"/>
      <c r="G3454" s="42"/>
      <c r="H3454" s="42"/>
      <c r="AG3454" s="19">
        <v>3453</v>
      </c>
      <c r="AH3454" s="20">
        <v>1325.8246023476925</v>
      </c>
    </row>
    <row r="3455" spans="1:34" ht="14.5" x14ac:dyDescent="0.35">
      <c r="A3455" s="34"/>
      <c r="B3455" s="35"/>
      <c r="C3455" s="36"/>
      <c r="D3455" s="37"/>
      <c r="E3455" s="36"/>
      <c r="F3455" s="42"/>
      <c r="G3455" s="42"/>
      <c r="H3455" s="42"/>
      <c r="AG3455" s="19">
        <v>3454</v>
      </c>
      <c r="AH3455" s="20">
        <v>-910.42373839173774</v>
      </c>
    </row>
    <row r="3456" spans="1:34" ht="14.5" x14ac:dyDescent="0.35">
      <c r="A3456" s="34"/>
      <c r="B3456" s="35"/>
      <c r="C3456" s="36"/>
      <c r="D3456" s="37"/>
      <c r="E3456" s="36"/>
      <c r="F3456" s="42"/>
      <c r="G3456" s="42"/>
      <c r="H3456" s="42"/>
      <c r="AG3456" s="19">
        <v>3455</v>
      </c>
      <c r="AH3456" s="20">
        <v>1101.3966661356217</v>
      </c>
    </row>
    <row r="3457" spans="1:34" ht="14.5" x14ac:dyDescent="0.35">
      <c r="A3457" s="34"/>
      <c r="B3457" s="35"/>
      <c r="C3457" s="36"/>
      <c r="D3457" s="37"/>
      <c r="E3457" s="36"/>
      <c r="F3457" s="42"/>
      <c r="G3457" s="42"/>
      <c r="H3457" s="42"/>
      <c r="AG3457" s="19">
        <v>3456</v>
      </c>
      <c r="AH3457" s="20">
        <v>317.59444696904063</v>
      </c>
    </row>
    <row r="3458" spans="1:34" ht="14.5" x14ac:dyDescent="0.35">
      <c r="A3458" s="34"/>
      <c r="B3458" s="35"/>
      <c r="C3458" s="36"/>
      <c r="D3458" s="37"/>
      <c r="E3458" s="36"/>
      <c r="F3458" s="42"/>
      <c r="G3458" s="42"/>
      <c r="H3458" s="42"/>
      <c r="AG3458" s="19">
        <v>3457</v>
      </c>
      <c r="AH3458" s="20">
        <v>82.807557539557195</v>
      </c>
    </row>
    <row r="3459" spans="1:34" ht="14.5" x14ac:dyDescent="0.35">
      <c r="A3459" s="34"/>
      <c r="B3459" s="35"/>
      <c r="C3459" s="36"/>
      <c r="D3459" s="37"/>
      <c r="E3459" s="36"/>
      <c r="F3459" s="42"/>
      <c r="G3459" s="42"/>
      <c r="H3459" s="42"/>
      <c r="AG3459" s="19">
        <v>3458</v>
      </c>
      <c r="AH3459" s="20">
        <v>1349.9772359640137</v>
      </c>
    </row>
    <row r="3460" spans="1:34" ht="14.5" x14ac:dyDescent="0.35">
      <c r="A3460" s="34"/>
      <c r="B3460" s="35"/>
      <c r="C3460" s="36"/>
      <c r="D3460" s="37"/>
      <c r="E3460" s="36"/>
      <c r="F3460" s="42"/>
      <c r="G3460" s="42"/>
      <c r="H3460" s="42"/>
      <c r="AG3460" s="19">
        <v>3459</v>
      </c>
      <c r="AH3460" s="20">
        <v>-2964.4528711725934</v>
      </c>
    </row>
    <row r="3461" spans="1:34" ht="14.5" x14ac:dyDescent="0.35">
      <c r="A3461" s="34"/>
      <c r="B3461" s="35"/>
      <c r="C3461" s="36"/>
      <c r="D3461" s="37"/>
      <c r="E3461" s="36"/>
      <c r="F3461" s="42"/>
      <c r="G3461" s="42"/>
      <c r="H3461" s="42"/>
      <c r="AG3461" s="19">
        <v>3460</v>
      </c>
      <c r="AH3461" s="20">
        <v>1852.6441024803589</v>
      </c>
    </row>
    <row r="3462" spans="1:34" ht="14.5" x14ac:dyDescent="0.35">
      <c r="A3462" s="34"/>
      <c r="B3462" s="35"/>
      <c r="C3462" s="36"/>
      <c r="D3462" s="37"/>
      <c r="E3462" s="36"/>
      <c r="F3462" s="42"/>
      <c r="G3462" s="42"/>
      <c r="H3462" s="42"/>
      <c r="AG3462" s="19">
        <v>3461</v>
      </c>
      <c r="AH3462" s="20">
        <v>-946.14911472385074</v>
      </c>
    </row>
    <row r="3463" spans="1:34" ht="14.5" x14ac:dyDescent="0.35">
      <c r="A3463" s="34"/>
      <c r="B3463" s="35"/>
      <c r="C3463" s="36"/>
      <c r="D3463" s="37"/>
      <c r="E3463" s="36"/>
      <c r="F3463" s="42"/>
      <c r="G3463" s="42"/>
      <c r="H3463" s="42"/>
      <c r="AG3463" s="19">
        <v>3462</v>
      </c>
      <c r="AH3463" s="20">
        <v>-1492.0355216657053</v>
      </c>
    </row>
    <row r="3464" spans="1:34" ht="14.5" x14ac:dyDescent="0.35">
      <c r="A3464" s="34"/>
      <c r="B3464" s="35"/>
      <c r="C3464" s="36"/>
      <c r="D3464" s="37"/>
      <c r="E3464" s="36"/>
      <c r="F3464" s="42"/>
      <c r="G3464" s="42"/>
      <c r="H3464" s="42"/>
      <c r="AG3464" s="19">
        <v>3463</v>
      </c>
      <c r="AH3464" s="20">
        <v>-1993.7688113188535</v>
      </c>
    </row>
    <row r="3465" spans="1:34" ht="14.5" x14ac:dyDescent="0.35">
      <c r="A3465" s="34"/>
      <c r="B3465" s="35"/>
      <c r="C3465" s="36"/>
      <c r="D3465" s="37"/>
      <c r="E3465" s="36"/>
      <c r="F3465" s="42"/>
      <c r="G3465" s="42"/>
      <c r="H3465" s="42"/>
      <c r="AG3465" s="19">
        <v>3464</v>
      </c>
      <c r="AH3465" s="20">
        <v>1523.9189566247212</v>
      </c>
    </row>
    <row r="3466" spans="1:34" ht="14.5" x14ac:dyDescent="0.35">
      <c r="A3466" s="34"/>
      <c r="B3466" s="35"/>
      <c r="C3466" s="36"/>
      <c r="D3466" s="37"/>
      <c r="E3466" s="36"/>
      <c r="F3466" s="42"/>
      <c r="G3466" s="42"/>
      <c r="H3466" s="42"/>
      <c r="AG3466" s="19">
        <v>3465</v>
      </c>
      <c r="AH3466" s="20">
        <v>602.72121906274594</v>
      </c>
    </row>
    <row r="3467" spans="1:34" ht="14.5" x14ac:dyDescent="0.35">
      <c r="A3467" s="34"/>
      <c r="B3467" s="35"/>
      <c r="C3467" s="36"/>
      <c r="D3467" s="37"/>
      <c r="E3467" s="36"/>
      <c r="F3467" s="42"/>
      <c r="G3467" s="42"/>
      <c r="H3467" s="42"/>
      <c r="AG3467" s="19">
        <v>3466</v>
      </c>
      <c r="AH3467" s="20">
        <v>4633.5119342505368</v>
      </c>
    </row>
    <row r="3468" spans="1:34" ht="14.5" x14ac:dyDescent="0.35">
      <c r="A3468" s="34"/>
      <c r="B3468" s="35"/>
      <c r="C3468" s="36"/>
      <c r="D3468" s="37"/>
      <c r="E3468" s="36"/>
      <c r="F3468" s="42"/>
      <c r="G3468" s="42"/>
      <c r="H3468" s="42"/>
      <c r="AG3468" s="19">
        <v>3467</v>
      </c>
      <c r="AH3468" s="20">
        <v>-709.99601347644375</v>
      </c>
    </row>
    <row r="3469" spans="1:34" ht="14.5" x14ac:dyDescent="0.35">
      <c r="A3469" s="34"/>
      <c r="B3469" s="35"/>
      <c r="C3469" s="36"/>
      <c r="D3469" s="37"/>
      <c r="E3469" s="36"/>
      <c r="F3469" s="42"/>
      <c r="G3469" s="42"/>
      <c r="H3469" s="42"/>
      <c r="AG3469" s="19">
        <v>3468</v>
      </c>
      <c r="AH3469" s="20">
        <v>-1775.4912695560558</v>
      </c>
    </row>
    <row r="3470" spans="1:34" ht="14.5" x14ac:dyDescent="0.35">
      <c r="A3470" s="34"/>
      <c r="B3470" s="35"/>
      <c r="C3470" s="36"/>
      <c r="D3470" s="37"/>
      <c r="E3470" s="36"/>
      <c r="F3470" s="42"/>
      <c r="G3470" s="42"/>
      <c r="H3470" s="42"/>
      <c r="AG3470" s="19">
        <v>3469</v>
      </c>
      <c r="AH3470" s="20">
        <v>3918.0328051885158</v>
      </c>
    </row>
    <row r="3471" spans="1:34" ht="14.5" x14ac:dyDescent="0.35">
      <c r="A3471" s="34"/>
      <c r="B3471" s="35"/>
      <c r="C3471" s="36"/>
      <c r="D3471" s="37"/>
      <c r="E3471" s="36"/>
      <c r="F3471" s="42"/>
      <c r="G3471" s="42"/>
      <c r="H3471" s="42"/>
      <c r="AG3471" s="19">
        <v>3470</v>
      </c>
      <c r="AH3471" s="20">
        <v>1420.3742042172478</v>
      </c>
    </row>
    <row r="3472" spans="1:34" ht="14.5" x14ac:dyDescent="0.35">
      <c r="A3472" s="34"/>
      <c r="B3472" s="35"/>
      <c r="C3472" s="36"/>
      <c r="D3472" s="37"/>
      <c r="E3472" s="36"/>
      <c r="F3472" s="42"/>
      <c r="G3472" s="42"/>
      <c r="H3472" s="42"/>
      <c r="AG3472" s="19">
        <v>3471</v>
      </c>
      <c r="AH3472" s="20">
        <v>995.43954814340304</v>
      </c>
    </row>
    <row r="3473" spans="1:34" ht="14.5" x14ac:dyDescent="0.35">
      <c r="A3473" s="34"/>
      <c r="B3473" s="35"/>
      <c r="C3473" s="36"/>
      <c r="D3473" s="37"/>
      <c r="E3473" s="36"/>
      <c r="F3473" s="42"/>
      <c r="G3473" s="42"/>
      <c r="H3473" s="42"/>
      <c r="AG3473" s="19">
        <v>3472</v>
      </c>
      <c r="AH3473" s="20">
        <v>3296.1688541356684</v>
      </c>
    </row>
    <row r="3474" spans="1:34" ht="14.5" x14ac:dyDescent="0.35">
      <c r="A3474" s="34"/>
      <c r="B3474" s="35"/>
      <c r="C3474" s="36"/>
      <c r="D3474" s="37"/>
      <c r="E3474" s="36"/>
      <c r="F3474" s="42"/>
      <c r="G3474" s="42"/>
      <c r="H3474" s="42"/>
      <c r="AG3474" s="19">
        <v>3473</v>
      </c>
      <c r="AH3474" s="20">
        <v>-1840.7088455200544</v>
      </c>
    </row>
    <row r="3475" spans="1:34" ht="14.5" x14ac:dyDescent="0.35">
      <c r="A3475" s="34"/>
      <c r="B3475" s="35"/>
      <c r="C3475" s="36"/>
      <c r="D3475" s="37"/>
      <c r="E3475" s="36"/>
      <c r="F3475" s="42"/>
      <c r="G3475" s="42"/>
      <c r="H3475" s="42"/>
      <c r="AG3475" s="19">
        <v>3474</v>
      </c>
      <c r="AH3475" s="20">
        <v>-2364.9401602395469</v>
      </c>
    </row>
    <row r="3476" spans="1:34" ht="14.5" x14ac:dyDescent="0.35">
      <c r="A3476" s="34"/>
      <c r="B3476" s="35"/>
      <c r="C3476" s="36"/>
      <c r="D3476" s="37"/>
      <c r="E3476" s="36"/>
      <c r="F3476" s="42"/>
      <c r="G3476" s="42"/>
      <c r="H3476" s="42"/>
      <c r="AG3476" s="19">
        <v>3475</v>
      </c>
      <c r="AH3476" s="20">
        <v>-788.79240307085161</v>
      </c>
    </row>
    <row r="3477" spans="1:34" ht="14.5" x14ac:dyDescent="0.35">
      <c r="A3477" s="34"/>
      <c r="B3477" s="35"/>
      <c r="C3477" s="36"/>
      <c r="D3477" s="37"/>
      <c r="E3477" s="36"/>
      <c r="F3477" s="42"/>
      <c r="G3477" s="42"/>
      <c r="H3477" s="42"/>
      <c r="AG3477" s="19">
        <v>3476</v>
      </c>
      <c r="AH3477" s="20">
        <v>-184.97753036351133</v>
      </c>
    </row>
    <row r="3478" spans="1:34" ht="14.5" x14ac:dyDescent="0.35">
      <c r="A3478" s="34"/>
      <c r="B3478" s="35"/>
      <c r="C3478" s="36"/>
      <c r="D3478" s="37"/>
      <c r="E3478" s="36"/>
      <c r="F3478" s="42"/>
      <c r="G3478" s="42"/>
      <c r="H3478" s="42"/>
      <c r="AG3478" s="19">
        <v>3477</v>
      </c>
      <c r="AH3478" s="20">
        <v>-83.220575101305712</v>
      </c>
    </row>
    <row r="3479" spans="1:34" ht="14.5" x14ac:dyDescent="0.35">
      <c r="A3479" s="34"/>
      <c r="B3479" s="35"/>
      <c r="C3479" s="36"/>
      <c r="D3479" s="37"/>
      <c r="E3479" s="36"/>
      <c r="F3479" s="42"/>
      <c r="G3479" s="42"/>
      <c r="H3479" s="42"/>
      <c r="AG3479" s="19">
        <v>3478</v>
      </c>
      <c r="AH3479" s="20">
        <v>-288.35401028275652</v>
      </c>
    </row>
    <row r="3480" spans="1:34" ht="14.5" x14ac:dyDescent="0.35">
      <c r="A3480" s="34"/>
      <c r="B3480" s="35"/>
      <c r="C3480" s="36"/>
      <c r="D3480" s="37"/>
      <c r="E3480" s="36"/>
      <c r="F3480" s="42"/>
      <c r="G3480" s="42"/>
      <c r="H3480" s="42"/>
      <c r="AG3480" s="19">
        <v>3479</v>
      </c>
      <c r="AH3480" s="20">
        <v>-1903.7956043128099</v>
      </c>
    </row>
    <row r="3481" spans="1:34" ht="14.5" x14ac:dyDescent="0.35">
      <c r="A3481" s="34"/>
      <c r="B3481" s="35"/>
      <c r="C3481" s="36"/>
      <c r="D3481" s="37"/>
      <c r="E3481" s="36"/>
      <c r="F3481" s="42"/>
      <c r="G3481" s="42"/>
      <c r="H3481" s="42"/>
      <c r="AG3481" s="19">
        <v>3480</v>
      </c>
      <c r="AH3481" s="20">
        <v>3096.7206581372579</v>
      </c>
    </row>
    <row r="3482" spans="1:34" ht="14.5" x14ac:dyDescent="0.35">
      <c r="A3482" s="34"/>
      <c r="B3482" s="35"/>
      <c r="C3482" s="36"/>
      <c r="D3482" s="37"/>
      <c r="E3482" s="36"/>
      <c r="F3482" s="42"/>
      <c r="G3482" s="42"/>
      <c r="H3482" s="42"/>
      <c r="AG3482" s="19">
        <v>3481</v>
      </c>
      <c r="AH3482" s="20">
        <v>1076.7737342883158</v>
      </c>
    </row>
    <row r="3483" spans="1:34" ht="14.5" x14ac:dyDescent="0.35">
      <c r="A3483" s="34"/>
      <c r="B3483" s="35"/>
      <c r="C3483" s="36"/>
      <c r="D3483" s="37"/>
      <c r="E3483" s="36"/>
      <c r="F3483" s="42"/>
      <c r="G3483" s="42"/>
      <c r="H3483" s="42"/>
      <c r="AG3483" s="19">
        <v>3482</v>
      </c>
      <c r="AH3483" s="20">
        <v>4659.5042961717018</v>
      </c>
    </row>
    <row r="3484" spans="1:34" ht="14.5" x14ac:dyDescent="0.35">
      <c r="A3484" s="34"/>
      <c r="B3484" s="35"/>
      <c r="C3484" s="36"/>
      <c r="D3484" s="37"/>
      <c r="E3484" s="36"/>
      <c r="F3484" s="42"/>
      <c r="G3484" s="42"/>
      <c r="H3484" s="42"/>
      <c r="AG3484" s="19">
        <v>3483</v>
      </c>
      <c r="AH3484" s="20">
        <v>-5322.2593476190514</v>
      </c>
    </row>
    <row r="3485" spans="1:34" ht="14.5" x14ac:dyDescent="0.35">
      <c r="A3485" s="34"/>
      <c r="B3485" s="35"/>
      <c r="C3485" s="36"/>
      <c r="D3485" s="37"/>
      <c r="E3485" s="36"/>
      <c r="F3485" s="42"/>
      <c r="G3485" s="42"/>
      <c r="H3485" s="42"/>
      <c r="AG3485" s="19">
        <v>3484</v>
      </c>
      <c r="AH3485" s="20">
        <v>3050.4281724369457</v>
      </c>
    </row>
    <row r="3486" spans="1:34" ht="14.5" x14ac:dyDescent="0.35">
      <c r="A3486" s="34"/>
      <c r="B3486" s="35"/>
      <c r="C3486" s="36"/>
      <c r="D3486" s="37"/>
      <c r="E3486" s="36"/>
      <c r="F3486" s="42"/>
      <c r="G3486" s="42"/>
      <c r="H3486" s="42"/>
      <c r="AG3486" s="19">
        <v>3485</v>
      </c>
      <c r="AH3486" s="20">
        <v>-3920.8914776548336</v>
      </c>
    </row>
    <row r="3487" spans="1:34" ht="14.5" x14ac:dyDescent="0.35">
      <c r="A3487" s="34"/>
      <c r="B3487" s="35"/>
      <c r="C3487" s="36"/>
      <c r="D3487" s="37"/>
      <c r="E3487" s="36"/>
      <c r="F3487" s="42"/>
      <c r="G3487" s="42"/>
      <c r="H3487" s="42"/>
      <c r="AG3487" s="19">
        <v>3486</v>
      </c>
      <c r="AH3487" s="20">
        <v>1963.8881056781718</v>
      </c>
    </row>
    <row r="3488" spans="1:34" ht="14.5" x14ac:dyDescent="0.35">
      <c r="A3488" s="34"/>
      <c r="B3488" s="35"/>
      <c r="C3488" s="36"/>
      <c r="D3488" s="37"/>
      <c r="E3488" s="36"/>
      <c r="F3488" s="42"/>
      <c r="G3488" s="42"/>
      <c r="H3488" s="42"/>
      <c r="AG3488" s="19">
        <v>3487</v>
      </c>
      <c r="AH3488" s="20">
        <v>1021.5371092152609</v>
      </c>
    </row>
    <row r="3489" spans="1:34" ht="14.5" x14ac:dyDescent="0.35">
      <c r="A3489" s="34"/>
      <c r="B3489" s="35"/>
      <c r="C3489" s="36"/>
      <c r="D3489" s="37"/>
      <c r="E3489" s="36"/>
      <c r="F3489" s="42"/>
      <c r="G3489" s="42"/>
      <c r="H3489" s="42"/>
      <c r="AG3489" s="19">
        <v>3488</v>
      </c>
      <c r="AH3489" s="20">
        <v>4311.6323772359747</v>
      </c>
    </row>
    <row r="3490" spans="1:34" ht="14.5" x14ac:dyDescent="0.35">
      <c r="A3490" s="34"/>
      <c r="B3490" s="35"/>
      <c r="C3490" s="36"/>
      <c r="D3490" s="37"/>
      <c r="E3490" s="36"/>
      <c r="F3490" s="42"/>
      <c r="G3490" s="42"/>
      <c r="H3490" s="42"/>
      <c r="AG3490" s="19">
        <v>3489</v>
      </c>
      <c r="AH3490" s="20">
        <v>-1238.7000207522826</v>
      </c>
    </row>
    <row r="3491" spans="1:34" ht="14.5" x14ac:dyDescent="0.35">
      <c r="A3491" s="34"/>
      <c r="B3491" s="35"/>
      <c r="C3491" s="36"/>
      <c r="D3491" s="37"/>
      <c r="E3491" s="36"/>
      <c r="F3491" s="42"/>
      <c r="G3491" s="42"/>
      <c r="H3491" s="42"/>
      <c r="AG3491" s="19">
        <v>3490</v>
      </c>
      <c r="AH3491" s="20">
        <v>-2659.2472484551927</v>
      </c>
    </row>
    <row r="3492" spans="1:34" ht="14.5" x14ac:dyDescent="0.35">
      <c r="A3492" s="34"/>
      <c r="B3492" s="35"/>
      <c r="C3492" s="36"/>
      <c r="D3492" s="37"/>
      <c r="E3492" s="36"/>
      <c r="F3492" s="42"/>
      <c r="G3492" s="42"/>
      <c r="H3492" s="42"/>
      <c r="AG3492" s="19">
        <v>3491</v>
      </c>
      <c r="AH3492" s="20">
        <v>468.94880344390623</v>
      </c>
    </row>
    <row r="3493" spans="1:34" ht="14.5" x14ac:dyDescent="0.35">
      <c r="A3493" s="34"/>
      <c r="B3493" s="35"/>
      <c r="C3493" s="36"/>
      <c r="D3493" s="37"/>
      <c r="E3493" s="36"/>
      <c r="F3493" s="42"/>
      <c r="G3493" s="42"/>
      <c r="H3493" s="42"/>
      <c r="AG3493" s="19">
        <v>3492</v>
      </c>
      <c r="AH3493" s="20">
        <v>1724.0618009423904</v>
      </c>
    </row>
    <row r="3494" spans="1:34" ht="14.5" x14ac:dyDescent="0.35">
      <c r="A3494" s="34"/>
      <c r="B3494" s="35"/>
      <c r="C3494" s="36"/>
      <c r="D3494" s="37"/>
      <c r="E3494" s="36"/>
      <c r="F3494" s="42"/>
      <c r="G3494" s="42"/>
      <c r="H3494" s="42"/>
      <c r="AG3494" s="19">
        <v>3493</v>
      </c>
      <c r="AH3494" s="20">
        <v>-782.32114258538513</v>
      </c>
    </row>
    <row r="3495" spans="1:34" ht="14.5" x14ac:dyDescent="0.35">
      <c r="A3495" s="34"/>
      <c r="B3495" s="35"/>
      <c r="C3495" s="36"/>
      <c r="D3495" s="37"/>
      <c r="E3495" s="36"/>
      <c r="F3495" s="42"/>
      <c r="G3495" s="42"/>
      <c r="H3495" s="42"/>
      <c r="AG3495" s="19">
        <v>3494</v>
      </c>
      <c r="AH3495" s="20">
        <v>-3214.8272834464774</v>
      </c>
    </row>
    <row r="3496" spans="1:34" ht="14.5" x14ac:dyDescent="0.35">
      <c r="A3496" s="34"/>
      <c r="B3496" s="35"/>
      <c r="C3496" s="36"/>
      <c r="D3496" s="37"/>
      <c r="E3496" s="36"/>
      <c r="F3496" s="42"/>
      <c r="G3496" s="42"/>
      <c r="H3496" s="42"/>
      <c r="AG3496" s="19">
        <v>3495</v>
      </c>
      <c r="AH3496" s="20">
        <v>1400.802494316127</v>
      </c>
    </row>
    <row r="3497" spans="1:34" ht="14.5" x14ac:dyDescent="0.35">
      <c r="A3497" s="34"/>
      <c r="B3497" s="35"/>
      <c r="C3497" s="36"/>
      <c r="D3497" s="37"/>
      <c r="E3497" s="36"/>
      <c r="F3497" s="42"/>
      <c r="G3497" s="42"/>
      <c r="H3497" s="42"/>
      <c r="AG3497" s="19">
        <v>3496</v>
      </c>
      <c r="AH3497" s="20">
        <v>-2631.385795962176</v>
      </c>
    </row>
    <row r="3498" spans="1:34" ht="14.5" x14ac:dyDescent="0.35">
      <c r="A3498" s="34"/>
      <c r="B3498" s="35"/>
      <c r="C3498" s="36"/>
      <c r="D3498" s="37"/>
      <c r="E3498" s="36"/>
      <c r="F3498" s="42"/>
      <c r="G3498" s="42"/>
      <c r="H3498" s="42"/>
      <c r="AG3498" s="19">
        <v>3497</v>
      </c>
      <c r="AH3498" s="20">
        <v>-863.6677104140565</v>
      </c>
    </row>
    <row r="3499" spans="1:34" ht="14.5" x14ac:dyDescent="0.35">
      <c r="A3499" s="34"/>
      <c r="B3499" s="35"/>
      <c r="C3499" s="36"/>
      <c r="D3499" s="37"/>
      <c r="E3499" s="36"/>
      <c r="F3499" s="42"/>
      <c r="G3499" s="42"/>
      <c r="H3499" s="42"/>
      <c r="AG3499" s="19">
        <v>3498</v>
      </c>
      <c r="AH3499" s="20">
        <v>121.3797180291138</v>
      </c>
    </row>
    <row r="3500" spans="1:34" ht="14.5" x14ac:dyDescent="0.35">
      <c r="A3500" s="34"/>
      <c r="B3500" s="35"/>
      <c r="C3500" s="36"/>
      <c r="D3500" s="37"/>
      <c r="E3500" s="36"/>
      <c r="F3500" s="42"/>
      <c r="G3500" s="42"/>
      <c r="H3500" s="42"/>
      <c r="AG3500" s="19">
        <v>3499</v>
      </c>
      <c r="AH3500" s="20">
        <v>-45.236709976252257</v>
      </c>
    </row>
    <row r="3501" spans="1:34" ht="14.5" x14ac:dyDescent="0.35">
      <c r="A3501" s="34"/>
      <c r="B3501" s="35"/>
      <c r="C3501" s="36"/>
      <c r="D3501" s="37"/>
      <c r="E3501" s="36"/>
      <c r="F3501" s="42"/>
      <c r="G3501" s="42"/>
      <c r="H3501" s="42"/>
      <c r="AG3501" s="19">
        <v>3500</v>
      </c>
      <c r="AH3501" s="20">
        <v>-1477.6823076750823</v>
      </c>
    </row>
    <row r="3502" spans="1:34" ht="14.5" x14ac:dyDescent="0.35">
      <c r="A3502" s="34"/>
      <c r="B3502" s="35"/>
      <c r="C3502" s="36"/>
      <c r="D3502" s="37"/>
      <c r="E3502" s="36"/>
      <c r="F3502" s="42"/>
      <c r="G3502" s="42"/>
      <c r="H3502" s="42"/>
      <c r="AG3502" s="19">
        <v>3501</v>
      </c>
      <c r="AH3502" s="20">
        <v>-492.59217064256228</v>
      </c>
    </row>
    <row r="3503" spans="1:34" ht="14.5" x14ac:dyDescent="0.35">
      <c r="A3503" s="34"/>
      <c r="B3503" s="35"/>
      <c r="C3503" s="36"/>
      <c r="D3503" s="37"/>
      <c r="E3503" s="36"/>
      <c r="F3503" s="42"/>
      <c r="G3503" s="42"/>
      <c r="H3503" s="42"/>
      <c r="AG3503" s="19">
        <v>3502</v>
      </c>
      <c r="AH3503" s="20">
        <v>550.69634326855385</v>
      </c>
    </row>
    <row r="3504" spans="1:34" ht="14.5" x14ac:dyDescent="0.35">
      <c r="A3504" s="34"/>
      <c r="B3504" s="35"/>
      <c r="C3504" s="36"/>
      <c r="D3504" s="37"/>
      <c r="E3504" s="36"/>
      <c r="F3504" s="42"/>
      <c r="G3504" s="42"/>
      <c r="H3504" s="42"/>
      <c r="AG3504" s="19">
        <v>3503</v>
      </c>
      <c r="AH3504" s="20">
        <v>-743.52009096872416</v>
      </c>
    </row>
    <row r="3505" spans="1:34" ht="14.5" x14ac:dyDescent="0.35">
      <c r="A3505" s="34"/>
      <c r="B3505" s="35"/>
      <c r="C3505" s="36"/>
      <c r="D3505" s="37"/>
      <c r="E3505" s="36"/>
      <c r="F3505" s="42"/>
      <c r="G3505" s="42"/>
      <c r="H3505" s="42"/>
      <c r="AG3505" s="19">
        <v>3504</v>
      </c>
      <c r="AH3505" s="20">
        <v>2806.6864959918057</v>
      </c>
    </row>
    <row r="3506" spans="1:34" ht="14.5" x14ac:dyDescent="0.35">
      <c r="A3506" s="34"/>
      <c r="B3506" s="35"/>
      <c r="C3506" s="36"/>
      <c r="D3506" s="37"/>
      <c r="E3506" s="36"/>
      <c r="F3506" s="42"/>
      <c r="G3506" s="42"/>
      <c r="H3506" s="42"/>
      <c r="AG3506" s="19">
        <v>3505</v>
      </c>
      <c r="AH3506" s="20">
        <v>-4984.8460327341236</v>
      </c>
    </row>
    <row r="3507" spans="1:34" ht="14.5" x14ac:dyDescent="0.35">
      <c r="A3507" s="34"/>
      <c r="B3507" s="35"/>
      <c r="C3507" s="36"/>
      <c r="D3507" s="37"/>
      <c r="E3507" s="36"/>
      <c r="F3507" s="42"/>
      <c r="G3507" s="42"/>
      <c r="H3507" s="42"/>
      <c r="AG3507" s="19">
        <v>3506</v>
      </c>
      <c r="AH3507" s="20">
        <v>-771.94483122585598</v>
      </c>
    </row>
    <row r="3508" spans="1:34" ht="14.5" x14ac:dyDescent="0.35">
      <c r="A3508" s="34"/>
      <c r="B3508" s="35"/>
      <c r="C3508" s="36"/>
      <c r="D3508" s="37"/>
      <c r="E3508" s="36"/>
      <c r="F3508" s="42"/>
      <c r="G3508" s="42"/>
      <c r="H3508" s="42"/>
      <c r="AG3508" s="19">
        <v>3507</v>
      </c>
      <c r="AH3508" s="20">
        <v>-640.99650544527981</v>
      </c>
    </row>
    <row r="3509" spans="1:34" ht="14.5" x14ac:dyDescent="0.35">
      <c r="A3509" s="34"/>
      <c r="B3509" s="35"/>
      <c r="C3509" s="36"/>
      <c r="D3509" s="37"/>
      <c r="E3509" s="36"/>
      <c r="F3509" s="42"/>
      <c r="G3509" s="42"/>
      <c r="H3509" s="42"/>
      <c r="AG3509" s="19">
        <v>3508</v>
      </c>
      <c r="AH3509" s="20">
        <v>696.05420308948692</v>
      </c>
    </row>
    <row r="3510" spans="1:34" ht="14.5" x14ac:dyDescent="0.35">
      <c r="A3510" s="34"/>
      <c r="B3510" s="35"/>
      <c r="C3510" s="36"/>
      <c r="D3510" s="37"/>
      <c r="E3510" s="36"/>
      <c r="F3510" s="42"/>
      <c r="G3510" s="42"/>
      <c r="H3510" s="42"/>
      <c r="AG3510" s="19">
        <v>3509</v>
      </c>
      <c r="AH3510" s="20">
        <v>-2983.0920832778179</v>
      </c>
    </row>
    <row r="3511" spans="1:34" ht="14.5" x14ac:dyDescent="0.35">
      <c r="A3511" s="34"/>
      <c r="B3511" s="35"/>
      <c r="C3511" s="36"/>
      <c r="D3511" s="37"/>
      <c r="E3511" s="36"/>
      <c r="F3511" s="42"/>
      <c r="G3511" s="42"/>
      <c r="H3511" s="42"/>
      <c r="AG3511" s="19">
        <v>3510</v>
      </c>
      <c r="AH3511" s="20">
        <v>792.58509457312584</v>
      </c>
    </row>
    <row r="3512" spans="1:34" ht="14.5" x14ac:dyDescent="0.35">
      <c r="A3512" s="34"/>
      <c r="B3512" s="35"/>
      <c r="C3512" s="36"/>
      <c r="D3512" s="37"/>
      <c r="E3512" s="36"/>
      <c r="F3512" s="42"/>
      <c r="G3512" s="42"/>
      <c r="H3512" s="42"/>
      <c r="AG3512" s="19">
        <v>3511</v>
      </c>
      <c r="AH3512" s="20">
        <v>-114.26846121440826</v>
      </c>
    </row>
    <row r="3513" spans="1:34" ht="14.5" x14ac:dyDescent="0.35">
      <c r="A3513" s="34"/>
      <c r="B3513" s="35"/>
      <c r="C3513" s="36"/>
      <c r="D3513" s="37"/>
      <c r="E3513" s="36"/>
      <c r="F3513" s="42"/>
      <c r="G3513" s="42"/>
      <c r="H3513" s="42"/>
      <c r="AG3513" s="19">
        <v>3512</v>
      </c>
      <c r="AH3513" s="20">
        <v>3661.4896981720858</v>
      </c>
    </row>
    <row r="3514" spans="1:34" ht="14.5" x14ac:dyDescent="0.35">
      <c r="A3514" s="34"/>
      <c r="B3514" s="35"/>
      <c r="C3514" s="36"/>
      <c r="D3514" s="37"/>
      <c r="E3514" s="36"/>
      <c r="F3514" s="42"/>
      <c r="G3514" s="42"/>
      <c r="H3514" s="42"/>
      <c r="AG3514" s="19">
        <v>3513</v>
      </c>
      <c r="AH3514" s="20">
        <v>-2112.6014847078072</v>
      </c>
    </row>
    <row r="3515" spans="1:34" ht="14.5" x14ac:dyDescent="0.35">
      <c r="A3515" s="34"/>
      <c r="B3515" s="35"/>
      <c r="C3515" s="36"/>
      <c r="D3515" s="37"/>
      <c r="E3515" s="36"/>
      <c r="F3515" s="42"/>
      <c r="G3515" s="42"/>
      <c r="H3515" s="42"/>
      <c r="AG3515" s="19">
        <v>3514</v>
      </c>
      <c r="AH3515" s="20">
        <v>-638.85851960779837</v>
      </c>
    </row>
    <row r="3516" spans="1:34" ht="14.5" x14ac:dyDescent="0.35">
      <c r="A3516" s="34"/>
      <c r="B3516" s="35"/>
      <c r="C3516" s="36"/>
      <c r="D3516" s="37"/>
      <c r="E3516" s="36"/>
      <c r="F3516" s="42"/>
      <c r="G3516" s="42"/>
      <c r="H3516" s="42"/>
      <c r="AG3516" s="19">
        <v>3515</v>
      </c>
      <c r="AH3516" s="20">
        <v>-3397.9403528225598</v>
      </c>
    </row>
    <row r="3517" spans="1:34" ht="14.5" x14ac:dyDescent="0.35">
      <c r="A3517" s="34"/>
      <c r="B3517" s="35"/>
      <c r="C3517" s="36"/>
      <c r="D3517" s="37"/>
      <c r="E3517" s="36"/>
      <c r="F3517" s="42"/>
      <c r="G3517" s="42"/>
      <c r="H3517" s="42"/>
      <c r="AG3517" s="19">
        <v>3516</v>
      </c>
      <c r="AH3517" s="20">
        <v>843.70340665692459</v>
      </c>
    </row>
    <row r="3518" spans="1:34" ht="14.5" x14ac:dyDescent="0.35">
      <c r="A3518" s="34"/>
      <c r="B3518" s="35"/>
      <c r="C3518" s="36"/>
      <c r="D3518" s="37"/>
      <c r="E3518" s="36"/>
      <c r="F3518" s="42"/>
      <c r="G3518" s="42"/>
      <c r="H3518" s="42"/>
      <c r="AG3518" s="19">
        <v>3517</v>
      </c>
      <c r="AH3518" s="20">
        <v>-1850.6944578931846</v>
      </c>
    </row>
    <row r="3519" spans="1:34" ht="14.5" x14ac:dyDescent="0.35">
      <c r="A3519" s="34"/>
      <c r="B3519" s="35"/>
      <c r="C3519" s="36"/>
      <c r="D3519" s="37"/>
      <c r="E3519" s="36"/>
      <c r="F3519" s="42"/>
      <c r="G3519" s="42"/>
      <c r="H3519" s="42"/>
      <c r="AG3519" s="19">
        <v>3518</v>
      </c>
      <c r="AH3519" s="20">
        <v>2450.384591117097</v>
      </c>
    </row>
    <row r="3520" spans="1:34" ht="14.5" x14ac:dyDescent="0.35">
      <c r="A3520" s="34"/>
      <c r="B3520" s="35"/>
      <c r="C3520" s="36"/>
      <c r="D3520" s="37"/>
      <c r="E3520" s="36"/>
      <c r="F3520" s="42"/>
      <c r="G3520" s="42"/>
      <c r="H3520" s="42"/>
      <c r="AG3520" s="19">
        <v>3519</v>
      </c>
      <c r="AH3520" s="20">
        <v>1203.7673251088186</v>
      </c>
    </row>
    <row r="3521" spans="1:34" ht="14.5" x14ac:dyDescent="0.35">
      <c r="A3521" s="34"/>
      <c r="B3521" s="35"/>
      <c r="C3521" s="36"/>
      <c r="D3521" s="37"/>
      <c r="E3521" s="36"/>
      <c r="F3521" s="42"/>
      <c r="G3521" s="42"/>
      <c r="H3521" s="42"/>
      <c r="AG3521" s="19">
        <v>3520</v>
      </c>
      <c r="AH3521" s="20">
        <v>4648.7005047780131</v>
      </c>
    </row>
    <row r="3522" spans="1:34" ht="14.5" x14ac:dyDescent="0.35">
      <c r="A3522" s="34"/>
      <c r="B3522" s="35"/>
      <c r="C3522" s="36"/>
      <c r="D3522" s="37"/>
      <c r="E3522" s="36"/>
      <c r="F3522" s="42"/>
      <c r="G3522" s="42"/>
      <c r="H3522" s="42"/>
      <c r="AG3522" s="19">
        <v>3521</v>
      </c>
      <c r="AH3522" s="20">
        <v>2304.4639743741645</v>
      </c>
    </row>
    <row r="3523" spans="1:34" ht="14.5" x14ac:dyDescent="0.35">
      <c r="A3523" s="34"/>
      <c r="B3523" s="35"/>
      <c r="C3523" s="36"/>
      <c r="D3523" s="37"/>
      <c r="E3523" s="36"/>
      <c r="F3523" s="42"/>
      <c r="G3523" s="42"/>
      <c r="H3523" s="42"/>
      <c r="AG3523" s="19">
        <v>3522</v>
      </c>
      <c r="AH3523" s="20">
        <v>293.45077115679828</v>
      </c>
    </row>
    <row r="3524" spans="1:34" ht="14.5" x14ac:dyDescent="0.35">
      <c r="A3524" s="34"/>
      <c r="B3524" s="35"/>
      <c r="C3524" s="36"/>
      <c r="D3524" s="37"/>
      <c r="E3524" s="36"/>
      <c r="F3524" s="42"/>
      <c r="G3524" s="42"/>
      <c r="H3524" s="42"/>
      <c r="AG3524" s="19">
        <v>3523</v>
      </c>
      <c r="AH3524" s="20">
        <v>1361.4166140746286</v>
      </c>
    </row>
    <row r="3525" spans="1:34" ht="14.5" x14ac:dyDescent="0.35">
      <c r="A3525" s="34"/>
      <c r="B3525" s="35"/>
      <c r="C3525" s="36"/>
      <c r="D3525" s="37"/>
      <c r="E3525" s="36"/>
      <c r="F3525" s="42"/>
      <c r="G3525" s="42"/>
      <c r="H3525" s="42"/>
      <c r="AG3525" s="19">
        <v>3524</v>
      </c>
      <c r="AH3525" s="20">
        <v>3826.4615288727168</v>
      </c>
    </row>
    <row r="3526" spans="1:34" ht="14.5" x14ac:dyDescent="0.35">
      <c r="A3526" s="34"/>
      <c r="B3526" s="35"/>
      <c r="C3526" s="36"/>
      <c r="D3526" s="37"/>
      <c r="E3526" s="36"/>
      <c r="F3526" s="42"/>
      <c r="G3526" s="42"/>
      <c r="H3526" s="42"/>
      <c r="AG3526" s="19">
        <v>3525</v>
      </c>
      <c r="AH3526" s="20">
        <v>984.71332941242349</v>
      </c>
    </row>
    <row r="3527" spans="1:34" ht="14.5" x14ac:dyDescent="0.35">
      <c r="A3527" s="34"/>
      <c r="B3527" s="35"/>
      <c r="C3527" s="36"/>
      <c r="D3527" s="37"/>
      <c r="E3527" s="36"/>
      <c r="F3527" s="42"/>
      <c r="G3527" s="42"/>
      <c r="H3527" s="42"/>
      <c r="AG3527" s="19">
        <v>3526</v>
      </c>
      <c r="AH3527" s="20">
        <v>1587.7257833027063</v>
      </c>
    </row>
    <row r="3528" spans="1:34" ht="14.5" x14ac:dyDescent="0.35">
      <c r="A3528" s="34"/>
      <c r="B3528" s="35"/>
      <c r="C3528" s="36"/>
      <c r="D3528" s="37"/>
      <c r="E3528" s="36"/>
      <c r="F3528" s="42"/>
      <c r="G3528" s="42"/>
      <c r="H3528" s="42"/>
      <c r="AG3528" s="19">
        <v>3527</v>
      </c>
      <c r="AH3528" s="20">
        <v>4364.7852725781595</v>
      </c>
    </row>
    <row r="3529" spans="1:34" ht="14.5" x14ac:dyDescent="0.35">
      <c r="A3529" s="34"/>
      <c r="B3529" s="35"/>
      <c r="C3529" s="36"/>
      <c r="D3529" s="37"/>
      <c r="E3529" s="36"/>
      <c r="F3529" s="42"/>
      <c r="G3529" s="42"/>
      <c r="H3529" s="42"/>
      <c r="AG3529" s="19">
        <v>3528</v>
      </c>
      <c r="AH3529" s="20">
        <v>216.51543766567838</v>
      </c>
    </row>
    <row r="3530" spans="1:34" ht="14.5" x14ac:dyDescent="0.35">
      <c r="A3530" s="34"/>
      <c r="B3530" s="35"/>
      <c r="C3530" s="36"/>
      <c r="D3530" s="37"/>
      <c r="E3530" s="36"/>
      <c r="F3530" s="42"/>
      <c r="G3530" s="42"/>
      <c r="H3530" s="42"/>
      <c r="AG3530" s="19">
        <v>3529</v>
      </c>
      <c r="AH3530" s="20">
        <v>1325.2873324476204</v>
      </c>
    </row>
    <row r="3531" spans="1:34" ht="14.5" x14ac:dyDescent="0.35">
      <c r="A3531" s="34"/>
      <c r="B3531" s="35"/>
      <c r="C3531" s="36"/>
      <c r="D3531" s="37"/>
      <c r="E3531" s="36"/>
      <c r="F3531" s="42"/>
      <c r="G3531" s="42"/>
      <c r="H3531" s="42"/>
      <c r="AG3531" s="19">
        <v>3530</v>
      </c>
      <c r="AH3531" s="20">
        <v>-49.571412689138469</v>
      </c>
    </row>
    <row r="3532" spans="1:34" ht="14.5" x14ac:dyDescent="0.35">
      <c r="A3532" s="34"/>
      <c r="B3532" s="35"/>
      <c r="C3532" s="36"/>
      <c r="D3532" s="37"/>
      <c r="E3532" s="36"/>
      <c r="F3532" s="42"/>
      <c r="G3532" s="42"/>
      <c r="H3532" s="42"/>
      <c r="AG3532" s="19">
        <v>3531</v>
      </c>
      <c r="AH3532" s="20">
        <v>2691.2533841653967</v>
      </c>
    </row>
    <row r="3533" spans="1:34" ht="14.5" x14ac:dyDescent="0.35">
      <c r="A3533" s="34"/>
      <c r="B3533" s="35"/>
      <c r="C3533" s="36"/>
      <c r="D3533" s="37"/>
      <c r="E3533" s="36"/>
      <c r="F3533" s="42"/>
      <c r="G3533" s="42"/>
      <c r="H3533" s="42"/>
      <c r="AG3533" s="19">
        <v>3532</v>
      </c>
      <c r="AH3533" s="20">
        <v>794.72398583381027</v>
      </c>
    </row>
    <row r="3534" spans="1:34" ht="14.5" x14ac:dyDescent="0.35">
      <c r="A3534" s="34"/>
      <c r="B3534" s="35"/>
      <c r="C3534" s="36"/>
      <c r="D3534" s="37"/>
      <c r="E3534" s="36"/>
      <c r="F3534" s="42"/>
      <c r="G3534" s="42"/>
      <c r="H3534" s="42"/>
      <c r="AG3534" s="19">
        <v>3533</v>
      </c>
      <c r="AH3534" s="20">
        <v>2892.3584468628715</v>
      </c>
    </row>
    <row r="3535" spans="1:34" ht="14.5" x14ac:dyDescent="0.35">
      <c r="A3535" s="34"/>
      <c r="B3535" s="35"/>
      <c r="C3535" s="36"/>
      <c r="D3535" s="37"/>
      <c r="E3535" s="36"/>
      <c r="F3535" s="42"/>
      <c r="G3535" s="42"/>
      <c r="H3535" s="42"/>
      <c r="AG3535" s="19">
        <v>3534</v>
      </c>
      <c r="AH3535" s="20">
        <v>-531.10631113728982</v>
      </c>
    </row>
    <row r="3536" spans="1:34" ht="14.5" x14ac:dyDescent="0.35">
      <c r="A3536" s="34"/>
      <c r="B3536" s="35"/>
      <c r="C3536" s="36"/>
      <c r="D3536" s="37"/>
      <c r="E3536" s="36"/>
      <c r="F3536" s="42"/>
      <c r="G3536" s="42"/>
      <c r="H3536" s="42"/>
      <c r="AG3536" s="19">
        <v>3535</v>
      </c>
      <c r="AH3536" s="20">
        <v>1698.0740540848503</v>
      </c>
    </row>
    <row r="3537" spans="1:34" ht="14.5" x14ac:dyDescent="0.35">
      <c r="A3537" s="34"/>
      <c r="B3537" s="35"/>
      <c r="C3537" s="36"/>
      <c r="D3537" s="37"/>
      <c r="E3537" s="36"/>
      <c r="F3537" s="42"/>
      <c r="G3537" s="42"/>
      <c r="H3537" s="42"/>
      <c r="AG3537" s="19">
        <v>3536</v>
      </c>
      <c r="AH3537" s="20">
        <v>2001.0476725494721</v>
      </c>
    </row>
    <row r="3538" spans="1:34" ht="14.5" x14ac:dyDescent="0.35">
      <c r="A3538" s="34"/>
      <c r="B3538" s="35"/>
      <c r="C3538" s="36"/>
      <c r="D3538" s="37"/>
      <c r="E3538" s="36"/>
      <c r="F3538" s="42"/>
      <c r="G3538" s="42"/>
      <c r="H3538" s="42"/>
      <c r="AG3538" s="19">
        <v>3537</v>
      </c>
      <c r="AH3538" s="20">
        <v>3782.4089704445705</v>
      </c>
    </row>
    <row r="3539" spans="1:34" ht="14.5" x14ac:dyDescent="0.35">
      <c r="A3539" s="34"/>
      <c r="B3539" s="35"/>
      <c r="C3539" s="36"/>
      <c r="D3539" s="37"/>
      <c r="E3539" s="36"/>
      <c r="F3539" s="42"/>
      <c r="G3539" s="42"/>
      <c r="H3539" s="42"/>
      <c r="AG3539" s="19">
        <v>3538</v>
      </c>
      <c r="AH3539" s="20">
        <v>44.554071199859663</v>
      </c>
    </row>
    <row r="3540" spans="1:34" ht="14.5" x14ac:dyDescent="0.35">
      <c r="A3540" s="34"/>
      <c r="B3540" s="35"/>
      <c r="C3540" s="36"/>
      <c r="D3540" s="37"/>
      <c r="E3540" s="36"/>
      <c r="F3540" s="42"/>
      <c r="G3540" s="42"/>
      <c r="H3540" s="42"/>
      <c r="AG3540" s="19">
        <v>3539</v>
      </c>
      <c r="AH3540" s="20">
        <v>183.37687064168435</v>
      </c>
    </row>
    <row r="3541" spans="1:34" ht="14.5" x14ac:dyDescent="0.35">
      <c r="A3541" s="34"/>
      <c r="B3541" s="35"/>
      <c r="C3541" s="36"/>
      <c r="D3541" s="37"/>
      <c r="E3541" s="36"/>
      <c r="F3541" s="42"/>
      <c r="G3541" s="42"/>
      <c r="H3541" s="42"/>
      <c r="AG3541" s="19">
        <v>3540</v>
      </c>
      <c r="AH3541" s="20">
        <v>2748.5711991210924</v>
      </c>
    </row>
    <row r="3542" spans="1:34" ht="14.5" x14ac:dyDescent="0.35">
      <c r="A3542" s="34"/>
      <c r="B3542" s="35"/>
      <c r="C3542" s="36"/>
      <c r="D3542" s="37"/>
      <c r="E3542" s="36"/>
      <c r="F3542" s="42"/>
      <c r="G3542" s="42"/>
      <c r="H3542" s="42"/>
      <c r="AG3542" s="19">
        <v>3541</v>
      </c>
      <c r="AH3542" s="20">
        <v>2347.484806830927</v>
      </c>
    </row>
    <row r="3543" spans="1:34" ht="14.5" x14ac:dyDescent="0.35">
      <c r="A3543" s="34"/>
      <c r="B3543" s="35"/>
      <c r="C3543" s="36"/>
      <c r="D3543" s="37"/>
      <c r="E3543" s="36"/>
      <c r="F3543" s="42"/>
      <c r="G3543" s="42"/>
      <c r="H3543" s="42"/>
      <c r="AG3543" s="19">
        <v>3542</v>
      </c>
      <c r="AH3543" s="20">
        <v>-4311.0955682563417</v>
      </c>
    </row>
    <row r="3544" spans="1:34" ht="14.5" x14ac:dyDescent="0.35">
      <c r="A3544" s="34"/>
      <c r="B3544" s="35"/>
      <c r="C3544" s="36"/>
      <c r="D3544" s="37"/>
      <c r="E3544" s="36"/>
      <c r="F3544" s="42"/>
      <c r="G3544" s="42"/>
      <c r="H3544" s="42"/>
      <c r="AG3544" s="19">
        <v>3543</v>
      </c>
      <c r="AH3544" s="20">
        <v>-405.23410113956828</v>
      </c>
    </row>
    <row r="3545" spans="1:34" ht="14.5" x14ac:dyDescent="0.35">
      <c r="A3545" s="34"/>
      <c r="B3545" s="35"/>
      <c r="C3545" s="36"/>
      <c r="D3545" s="37"/>
      <c r="E3545" s="36"/>
      <c r="F3545" s="42"/>
      <c r="G3545" s="42"/>
      <c r="H3545" s="42"/>
      <c r="AG3545" s="19">
        <v>3544</v>
      </c>
      <c r="AH3545" s="20">
        <v>1068.706021484441</v>
      </c>
    </row>
    <row r="3546" spans="1:34" ht="14.5" x14ac:dyDescent="0.35">
      <c r="A3546" s="34"/>
      <c r="B3546" s="35"/>
      <c r="C3546" s="36"/>
      <c r="D3546" s="37"/>
      <c r="E3546" s="36"/>
      <c r="F3546" s="42"/>
      <c r="G3546" s="42"/>
      <c r="H3546" s="42"/>
      <c r="AG3546" s="19">
        <v>3545</v>
      </c>
      <c r="AH3546" s="20">
        <v>-2432.1309990741647</v>
      </c>
    </row>
    <row r="3547" spans="1:34" ht="14.5" x14ac:dyDescent="0.35">
      <c r="A3547" s="34"/>
      <c r="B3547" s="35"/>
      <c r="C3547" s="36"/>
      <c r="D3547" s="37"/>
      <c r="E3547" s="36"/>
      <c r="F3547" s="42"/>
      <c r="G3547" s="42"/>
      <c r="H3547" s="42"/>
      <c r="AG3547" s="19">
        <v>3546</v>
      </c>
      <c r="AH3547" s="20">
        <v>930.3515504080367</v>
      </c>
    </row>
    <row r="3548" spans="1:34" ht="14.5" x14ac:dyDescent="0.35">
      <c r="A3548" s="34"/>
      <c r="B3548" s="35"/>
      <c r="C3548" s="36"/>
      <c r="D3548" s="37"/>
      <c r="E3548" s="36"/>
      <c r="F3548" s="42"/>
      <c r="G3548" s="42"/>
      <c r="H3548" s="42"/>
      <c r="AG3548" s="19">
        <v>3547</v>
      </c>
      <c r="AH3548" s="20">
        <v>-1111.6964668980024</v>
      </c>
    </row>
    <row r="3549" spans="1:34" ht="14.5" x14ac:dyDescent="0.35">
      <c r="A3549" s="34"/>
      <c r="B3549" s="35"/>
      <c r="C3549" s="36"/>
      <c r="D3549" s="37"/>
      <c r="E3549" s="36"/>
      <c r="F3549" s="42"/>
      <c r="G3549" s="42"/>
      <c r="H3549" s="42"/>
      <c r="AG3549" s="19">
        <v>3548</v>
      </c>
      <c r="AH3549" s="20">
        <v>-124.21446691711975</v>
      </c>
    </row>
    <row r="3550" spans="1:34" ht="14.5" x14ac:dyDescent="0.35">
      <c r="A3550" s="34"/>
      <c r="B3550" s="35"/>
      <c r="C3550" s="36"/>
      <c r="D3550" s="37"/>
      <c r="E3550" s="36"/>
      <c r="F3550" s="42"/>
      <c r="G3550" s="42"/>
      <c r="H3550" s="42"/>
      <c r="AG3550" s="19">
        <v>3549</v>
      </c>
      <c r="AH3550" s="20">
        <v>-2415.4205068747106</v>
      </c>
    </row>
    <row r="3551" spans="1:34" ht="14.5" x14ac:dyDescent="0.35">
      <c r="A3551" s="34"/>
      <c r="B3551" s="35"/>
      <c r="C3551" s="36"/>
      <c r="D3551" s="37"/>
      <c r="E3551" s="36"/>
      <c r="F3551" s="42"/>
      <c r="G3551" s="42"/>
      <c r="H3551" s="42"/>
      <c r="AG3551" s="19">
        <v>3550</v>
      </c>
      <c r="AH3551" s="20">
        <v>1282.7442730627943</v>
      </c>
    </row>
    <row r="3552" spans="1:34" ht="14.5" x14ac:dyDescent="0.35">
      <c r="A3552" s="34"/>
      <c r="B3552" s="35"/>
      <c r="C3552" s="36"/>
      <c r="D3552" s="37"/>
      <c r="E3552" s="36"/>
      <c r="F3552" s="42"/>
      <c r="G3552" s="42"/>
      <c r="H3552" s="42"/>
      <c r="AG3552" s="19">
        <v>3551</v>
      </c>
      <c r="AH3552" s="20">
        <v>-339.35366031443124</v>
      </c>
    </row>
    <row r="3553" spans="1:34" ht="14.5" x14ac:dyDescent="0.35">
      <c r="A3553" s="34"/>
      <c r="B3553" s="35"/>
      <c r="C3553" s="36"/>
      <c r="D3553" s="37"/>
      <c r="E3553" s="36"/>
      <c r="F3553" s="42"/>
      <c r="G3553" s="42"/>
      <c r="H3553" s="42"/>
      <c r="AG3553" s="19">
        <v>3552</v>
      </c>
      <c r="AH3553" s="20">
        <v>1043.8905939950068</v>
      </c>
    </row>
    <row r="3554" spans="1:34" ht="14.5" x14ac:dyDescent="0.35">
      <c r="A3554" s="34"/>
      <c r="B3554" s="35"/>
      <c r="C3554" s="36"/>
      <c r="D3554" s="37"/>
      <c r="E3554" s="36"/>
      <c r="F3554" s="42"/>
      <c r="G3554" s="42"/>
      <c r="H3554" s="42"/>
      <c r="AG3554" s="19">
        <v>3553</v>
      </c>
      <c r="AH3554" s="20">
        <v>3165.3818434535428</v>
      </c>
    </row>
    <row r="3555" spans="1:34" ht="14.5" x14ac:dyDescent="0.35">
      <c r="A3555" s="34"/>
      <c r="B3555" s="35"/>
      <c r="C3555" s="36"/>
      <c r="D3555" s="37"/>
      <c r="E3555" s="36"/>
      <c r="F3555" s="42"/>
      <c r="G3555" s="42"/>
      <c r="H3555" s="42"/>
      <c r="AG3555" s="19">
        <v>3554</v>
      </c>
      <c r="AH3555" s="20">
        <v>-317.23148563783701</v>
      </c>
    </row>
    <row r="3556" spans="1:34" ht="14.5" x14ac:dyDescent="0.35">
      <c r="A3556" s="34"/>
      <c r="B3556" s="35"/>
      <c r="C3556" s="36"/>
      <c r="D3556" s="37"/>
      <c r="E3556" s="36"/>
      <c r="F3556" s="42"/>
      <c r="G3556" s="42"/>
      <c r="H3556" s="42"/>
      <c r="AG3556" s="19">
        <v>3555</v>
      </c>
      <c r="AH3556" s="20">
        <v>-2513.3727628922843</v>
      </c>
    </row>
    <row r="3557" spans="1:34" ht="14.5" x14ac:dyDescent="0.35">
      <c r="A3557" s="34"/>
      <c r="B3557" s="35"/>
      <c r="C3557" s="36"/>
      <c r="D3557" s="37"/>
      <c r="E3557" s="36"/>
      <c r="F3557" s="42"/>
      <c r="G3557" s="42"/>
      <c r="H3557" s="42"/>
      <c r="AG3557" s="19">
        <v>3556</v>
      </c>
      <c r="AH3557" s="20">
        <v>-2631.3123422672602</v>
      </c>
    </row>
    <row r="3558" spans="1:34" ht="14.5" x14ac:dyDescent="0.35">
      <c r="A3558" s="34"/>
      <c r="B3558" s="35"/>
      <c r="C3558" s="36"/>
      <c r="D3558" s="37"/>
      <c r="E3558" s="36"/>
      <c r="F3558" s="42"/>
      <c r="G3558" s="42"/>
      <c r="H3558" s="42"/>
      <c r="AG3558" s="19">
        <v>3557</v>
      </c>
      <c r="AH3558" s="20">
        <v>58.062363662401879</v>
      </c>
    </row>
    <row r="3559" spans="1:34" ht="14.5" x14ac:dyDescent="0.35">
      <c r="A3559" s="34"/>
      <c r="B3559" s="35"/>
      <c r="C3559" s="36"/>
      <c r="D3559" s="37"/>
      <c r="E3559" s="36"/>
      <c r="F3559" s="42"/>
      <c r="G3559" s="42"/>
      <c r="H3559" s="42"/>
      <c r="AG3559" s="19">
        <v>3558</v>
      </c>
      <c r="AH3559" s="20">
        <v>-836.9699104765516</v>
      </c>
    </row>
    <row r="3560" spans="1:34" ht="14.5" x14ac:dyDescent="0.35">
      <c r="A3560" s="34"/>
      <c r="B3560" s="35"/>
      <c r="C3560" s="36"/>
      <c r="D3560" s="37"/>
      <c r="E3560" s="36"/>
      <c r="F3560" s="42"/>
      <c r="G3560" s="42"/>
      <c r="H3560" s="42"/>
      <c r="AG3560" s="19">
        <v>3559</v>
      </c>
      <c r="AH3560" s="20">
        <v>5623.447699394138</v>
      </c>
    </row>
    <row r="3561" spans="1:34" ht="14.5" x14ac:dyDescent="0.35">
      <c r="A3561" s="34"/>
      <c r="B3561" s="35"/>
      <c r="C3561" s="36"/>
      <c r="D3561" s="37"/>
      <c r="E3561" s="36"/>
      <c r="F3561" s="42"/>
      <c r="G3561" s="42"/>
      <c r="H3561" s="42"/>
      <c r="AG3561" s="19">
        <v>3560</v>
      </c>
      <c r="AH3561" s="20">
        <v>1825.0338867900794</v>
      </c>
    </row>
    <row r="3562" spans="1:34" ht="14.5" x14ac:dyDescent="0.35">
      <c r="A3562" s="34"/>
      <c r="B3562" s="35"/>
      <c r="C3562" s="36"/>
      <c r="D3562" s="37"/>
      <c r="E3562" s="36"/>
      <c r="F3562" s="42"/>
      <c r="G3562" s="42"/>
      <c r="H3562" s="42"/>
      <c r="AG3562" s="19">
        <v>3561</v>
      </c>
      <c r="AH3562" s="20">
        <v>2218.6361076358576</v>
      </c>
    </row>
    <row r="3563" spans="1:34" ht="14.5" x14ac:dyDescent="0.35">
      <c r="A3563" s="34"/>
      <c r="B3563" s="35"/>
      <c r="C3563" s="36"/>
      <c r="D3563" s="37"/>
      <c r="E3563" s="36"/>
      <c r="F3563" s="42"/>
      <c r="G3563" s="42"/>
      <c r="H3563" s="42"/>
      <c r="AG3563" s="19">
        <v>3562</v>
      </c>
      <c r="AH3563" s="20">
        <v>42.357390006915068</v>
      </c>
    </row>
    <row r="3564" spans="1:34" ht="14.5" x14ac:dyDescent="0.35">
      <c r="A3564" s="34"/>
      <c r="B3564" s="35"/>
      <c r="C3564" s="36"/>
      <c r="D3564" s="37"/>
      <c r="E3564" s="36"/>
      <c r="F3564" s="42"/>
      <c r="G3564" s="42"/>
      <c r="H3564" s="42"/>
      <c r="AG3564" s="19">
        <v>3563</v>
      </c>
      <c r="AH3564" s="20">
        <v>-245.33016350860197</v>
      </c>
    </row>
    <row r="3565" spans="1:34" ht="14.5" x14ac:dyDescent="0.35">
      <c r="A3565" s="34"/>
      <c r="B3565" s="35"/>
      <c r="C3565" s="36"/>
      <c r="D3565" s="37"/>
      <c r="E3565" s="36"/>
      <c r="F3565" s="42"/>
      <c r="G3565" s="42"/>
      <c r="H3565" s="42"/>
      <c r="AG3565" s="19">
        <v>3564</v>
      </c>
      <c r="AH3565" s="20">
        <v>-227.82330495903915</v>
      </c>
    </row>
    <row r="3566" spans="1:34" ht="14.5" x14ac:dyDescent="0.35">
      <c r="A3566" s="34"/>
      <c r="B3566" s="35"/>
      <c r="C3566" s="36"/>
      <c r="D3566" s="37"/>
      <c r="E3566" s="36"/>
      <c r="F3566" s="42"/>
      <c r="G3566" s="42"/>
      <c r="H3566" s="42"/>
      <c r="AG3566" s="19">
        <v>3565</v>
      </c>
      <c r="AH3566" s="20">
        <v>-2304.6477480537224</v>
      </c>
    </row>
    <row r="3567" spans="1:34" ht="14.5" x14ac:dyDescent="0.35">
      <c r="A3567" s="34"/>
      <c r="B3567" s="35"/>
      <c r="C3567" s="36"/>
      <c r="D3567" s="37"/>
      <c r="E3567" s="36"/>
      <c r="F3567" s="42"/>
      <c r="G3567" s="42"/>
      <c r="H3567" s="42"/>
      <c r="AG3567" s="19">
        <v>3566</v>
      </c>
      <c r="AH3567" s="20">
        <v>593.0904153376656</v>
      </c>
    </row>
    <row r="3568" spans="1:34" ht="14.5" x14ac:dyDescent="0.35">
      <c r="A3568" s="34"/>
      <c r="B3568" s="35"/>
      <c r="C3568" s="36"/>
      <c r="D3568" s="37"/>
      <c r="E3568" s="36"/>
      <c r="F3568" s="42"/>
      <c r="G3568" s="42"/>
      <c r="H3568" s="42"/>
      <c r="AG3568" s="19">
        <v>3567</v>
      </c>
      <c r="AH3568" s="20">
        <v>-494.60656353803853</v>
      </c>
    </row>
    <row r="3569" spans="1:34" ht="14.5" x14ac:dyDescent="0.35">
      <c r="A3569" s="34"/>
      <c r="B3569" s="35"/>
      <c r="C3569" s="36"/>
      <c r="D3569" s="37"/>
      <c r="E3569" s="36"/>
      <c r="F3569" s="42"/>
      <c r="G3569" s="42"/>
      <c r="H3569" s="42"/>
      <c r="AG3569" s="19">
        <v>3568</v>
      </c>
      <c r="AH3569" s="20">
        <v>-3312.1978634846687</v>
      </c>
    </row>
    <row r="3570" spans="1:34" ht="14.5" x14ac:dyDescent="0.35">
      <c r="A3570" s="34"/>
      <c r="B3570" s="35"/>
      <c r="C3570" s="36"/>
      <c r="D3570" s="37"/>
      <c r="E3570" s="36"/>
      <c r="F3570" s="42"/>
      <c r="G3570" s="42"/>
      <c r="H3570" s="42"/>
      <c r="AG3570" s="19">
        <v>3569</v>
      </c>
      <c r="AH3570" s="20">
        <v>2589.2730729559407</v>
      </c>
    </row>
    <row r="3571" spans="1:34" ht="14.5" x14ac:dyDescent="0.35">
      <c r="A3571" s="34"/>
      <c r="B3571" s="35"/>
      <c r="C3571" s="36"/>
      <c r="D3571" s="37"/>
      <c r="E3571" s="36"/>
      <c r="F3571" s="42"/>
      <c r="G3571" s="42"/>
      <c r="H3571" s="42"/>
      <c r="AG3571" s="19">
        <v>3570</v>
      </c>
      <c r="AH3571" s="20">
        <v>-486.69717967076059</v>
      </c>
    </row>
    <row r="3572" spans="1:34" ht="14.5" x14ac:dyDescent="0.35">
      <c r="A3572" s="34"/>
      <c r="B3572" s="35"/>
      <c r="C3572" s="36"/>
      <c r="D3572" s="37"/>
      <c r="E3572" s="36"/>
      <c r="F3572" s="42"/>
      <c r="G3572" s="42"/>
      <c r="H3572" s="42"/>
      <c r="AG3572" s="19">
        <v>3571</v>
      </c>
      <c r="AH3572" s="20">
        <v>-478.87800804490911</v>
      </c>
    </row>
    <row r="3573" spans="1:34" ht="14.5" x14ac:dyDescent="0.35">
      <c r="A3573" s="34"/>
      <c r="B3573" s="35"/>
      <c r="C3573" s="36"/>
      <c r="D3573" s="37"/>
      <c r="E3573" s="36"/>
      <c r="F3573" s="42"/>
      <c r="G3573" s="42"/>
      <c r="H3573" s="42"/>
      <c r="AG3573" s="19">
        <v>3572</v>
      </c>
      <c r="AH3573" s="20">
        <v>2596.4376228014271</v>
      </c>
    </row>
    <row r="3574" spans="1:34" ht="14.5" x14ac:dyDescent="0.35">
      <c r="A3574" s="34"/>
      <c r="B3574" s="35"/>
      <c r="C3574" s="36"/>
      <c r="D3574" s="37"/>
      <c r="E3574" s="36"/>
      <c r="F3574" s="42"/>
      <c r="G3574" s="42"/>
      <c r="H3574" s="42"/>
      <c r="AG3574" s="19">
        <v>3573</v>
      </c>
      <c r="AH3574" s="20">
        <v>-60.666568081346554</v>
      </c>
    </row>
    <row r="3575" spans="1:34" ht="14.5" x14ac:dyDescent="0.35">
      <c r="A3575" s="34"/>
      <c r="B3575" s="35"/>
      <c r="C3575" s="36"/>
      <c r="D3575" s="37"/>
      <c r="E3575" s="36"/>
      <c r="F3575" s="42"/>
      <c r="G3575" s="42"/>
      <c r="H3575" s="42"/>
      <c r="AG3575" s="19">
        <v>3574</v>
      </c>
      <c r="AH3575" s="20">
        <v>2829.7448973913783</v>
      </c>
    </row>
    <row r="3576" spans="1:34" ht="14.5" x14ac:dyDescent="0.35">
      <c r="A3576" s="34"/>
      <c r="B3576" s="35"/>
      <c r="C3576" s="36"/>
      <c r="D3576" s="37"/>
      <c r="E3576" s="36"/>
      <c r="F3576" s="42"/>
      <c r="G3576" s="42"/>
      <c r="H3576" s="42"/>
      <c r="AG3576" s="19">
        <v>3575</v>
      </c>
      <c r="AH3576" s="20">
        <v>7618.4837520352085</v>
      </c>
    </row>
    <row r="3577" spans="1:34" ht="14.5" x14ac:dyDescent="0.35">
      <c r="A3577" s="34"/>
      <c r="B3577" s="35"/>
      <c r="C3577" s="36"/>
      <c r="D3577" s="37"/>
      <c r="E3577" s="36"/>
      <c r="F3577" s="42"/>
      <c r="G3577" s="42"/>
      <c r="H3577" s="42"/>
      <c r="AG3577" s="19">
        <v>3576</v>
      </c>
      <c r="AH3577" s="20">
        <v>486.22506567783108</v>
      </c>
    </row>
    <row r="3578" spans="1:34" ht="14.5" x14ac:dyDescent="0.35">
      <c r="A3578" s="34"/>
      <c r="B3578" s="35"/>
      <c r="C3578" s="36"/>
      <c r="D3578" s="37"/>
      <c r="E3578" s="36"/>
      <c r="F3578" s="42"/>
      <c r="G3578" s="42"/>
      <c r="H3578" s="42"/>
      <c r="AG3578" s="19">
        <v>3577</v>
      </c>
      <c r="AH3578" s="20">
        <v>-1196.2621126817567</v>
      </c>
    </row>
    <row r="3579" spans="1:34" ht="14.5" x14ac:dyDescent="0.35">
      <c r="A3579" s="34"/>
      <c r="B3579" s="35"/>
      <c r="C3579" s="36"/>
      <c r="D3579" s="37"/>
      <c r="E3579" s="36"/>
      <c r="F3579" s="42"/>
      <c r="G3579" s="42"/>
      <c r="H3579" s="42"/>
      <c r="AG3579" s="19">
        <v>3578</v>
      </c>
      <c r="AH3579" s="20">
        <v>57.480025129671219</v>
      </c>
    </row>
    <row r="3580" spans="1:34" ht="14.5" x14ac:dyDescent="0.35">
      <c r="A3580" s="34"/>
      <c r="B3580" s="35"/>
      <c r="C3580" s="36"/>
      <c r="D3580" s="37"/>
      <c r="E3580" s="36"/>
      <c r="F3580" s="42"/>
      <c r="G3580" s="42"/>
      <c r="H3580" s="42"/>
      <c r="AG3580" s="19">
        <v>3579</v>
      </c>
      <c r="AH3580" s="20">
        <v>-1855.6927339082474</v>
      </c>
    </row>
    <row r="3581" spans="1:34" ht="14.5" x14ac:dyDescent="0.35">
      <c r="A3581" s="34"/>
      <c r="B3581" s="35"/>
      <c r="C3581" s="36"/>
      <c r="D3581" s="37"/>
      <c r="E3581" s="36"/>
      <c r="F3581" s="42"/>
      <c r="G3581" s="42"/>
      <c r="H3581" s="42"/>
      <c r="AG3581" s="19">
        <v>3580</v>
      </c>
      <c r="AH3581" s="20">
        <v>1762.5884414628474</v>
      </c>
    </row>
    <row r="3582" spans="1:34" ht="14.5" x14ac:dyDescent="0.35">
      <c r="A3582" s="34"/>
      <c r="B3582" s="35"/>
      <c r="C3582" s="36"/>
      <c r="D3582" s="37"/>
      <c r="E3582" s="36"/>
      <c r="F3582" s="42"/>
      <c r="G3582" s="42"/>
      <c r="H3582" s="42"/>
      <c r="AG3582" s="19">
        <v>3581</v>
      </c>
      <c r="AH3582" s="20">
        <v>-1177.4470675444522</v>
      </c>
    </row>
    <row r="3583" spans="1:34" ht="14.5" x14ac:dyDescent="0.35">
      <c r="A3583" s="34"/>
      <c r="B3583" s="35"/>
      <c r="C3583" s="36"/>
      <c r="D3583" s="37"/>
      <c r="E3583" s="36"/>
      <c r="F3583" s="42"/>
      <c r="G3583" s="42"/>
      <c r="H3583" s="42"/>
      <c r="AG3583" s="19">
        <v>3582</v>
      </c>
      <c r="AH3583" s="20">
        <v>4220.0215084955953</v>
      </c>
    </row>
    <row r="3584" spans="1:34" ht="14.5" x14ac:dyDescent="0.35">
      <c r="A3584" s="34"/>
      <c r="B3584" s="35"/>
      <c r="C3584" s="36"/>
      <c r="D3584" s="37"/>
      <c r="E3584" s="36"/>
      <c r="F3584" s="42"/>
      <c r="G3584" s="42"/>
      <c r="H3584" s="42"/>
      <c r="AG3584" s="19">
        <v>3583</v>
      </c>
      <c r="AH3584" s="20">
        <v>759.48973489754712</v>
      </c>
    </row>
    <row r="3585" spans="1:34" ht="14.5" x14ac:dyDescent="0.35">
      <c r="A3585" s="34"/>
      <c r="B3585" s="35"/>
      <c r="C3585" s="36"/>
      <c r="D3585" s="37"/>
      <c r="E3585" s="36"/>
      <c r="F3585" s="42"/>
      <c r="G3585" s="42"/>
      <c r="H3585" s="42"/>
      <c r="AG3585" s="19">
        <v>3584</v>
      </c>
      <c r="AH3585" s="20">
        <v>1677.1634318900303</v>
      </c>
    </row>
    <row r="3586" spans="1:34" ht="14.5" x14ac:dyDescent="0.35">
      <c r="A3586" s="34"/>
      <c r="B3586" s="35"/>
      <c r="C3586" s="36"/>
      <c r="D3586" s="37"/>
      <c r="E3586" s="36"/>
      <c r="F3586" s="42"/>
      <c r="G3586" s="42"/>
      <c r="H3586" s="42"/>
      <c r="AG3586" s="19">
        <v>3585</v>
      </c>
      <c r="AH3586" s="20">
        <v>1677.4295664928184</v>
      </c>
    </row>
    <row r="3587" spans="1:34" ht="14.5" x14ac:dyDescent="0.35">
      <c r="A3587" s="34"/>
      <c r="B3587" s="35"/>
      <c r="C3587" s="36"/>
      <c r="D3587" s="37"/>
      <c r="E3587" s="36"/>
      <c r="F3587" s="42"/>
      <c r="G3587" s="42"/>
      <c r="H3587" s="42"/>
      <c r="AG3587" s="19">
        <v>3586</v>
      </c>
      <c r="AH3587" s="20">
        <v>1113.6882506597872</v>
      </c>
    </row>
    <row r="3588" spans="1:34" ht="14.5" x14ac:dyDescent="0.35">
      <c r="A3588" s="34"/>
      <c r="B3588" s="35"/>
      <c r="C3588" s="36"/>
      <c r="D3588" s="37"/>
      <c r="E3588" s="36"/>
      <c r="F3588" s="42"/>
      <c r="G3588" s="42"/>
      <c r="H3588" s="42"/>
      <c r="AG3588" s="19">
        <v>3587</v>
      </c>
      <c r="AH3588" s="20">
        <v>-679.18307060628081</v>
      </c>
    </row>
    <row r="3589" spans="1:34" ht="14.5" x14ac:dyDescent="0.35">
      <c r="A3589" s="34"/>
      <c r="B3589" s="35"/>
      <c r="C3589" s="36"/>
      <c r="D3589" s="37"/>
      <c r="E3589" s="36"/>
      <c r="F3589" s="42"/>
      <c r="G3589" s="42"/>
      <c r="H3589" s="42"/>
      <c r="AG3589" s="19">
        <v>3588</v>
      </c>
      <c r="AH3589" s="20">
        <v>867.520906586102</v>
      </c>
    </row>
    <row r="3590" spans="1:34" ht="14.5" x14ac:dyDescent="0.35">
      <c r="A3590" s="34"/>
      <c r="B3590" s="35"/>
      <c r="C3590" s="36"/>
      <c r="D3590" s="37"/>
      <c r="E3590" s="36"/>
      <c r="F3590" s="42"/>
      <c r="G3590" s="42"/>
      <c r="H3590" s="42"/>
      <c r="AG3590" s="19">
        <v>3589</v>
      </c>
      <c r="AH3590" s="20">
        <v>2179.3164627046576</v>
      </c>
    </row>
    <row r="3591" spans="1:34" ht="14.5" x14ac:dyDescent="0.35">
      <c r="A3591" s="34"/>
      <c r="B3591" s="35"/>
      <c r="C3591" s="36"/>
      <c r="D3591" s="37"/>
      <c r="E3591" s="36"/>
      <c r="F3591" s="42"/>
      <c r="G3591" s="42"/>
      <c r="H3591" s="42"/>
      <c r="AG3591" s="19">
        <v>3590</v>
      </c>
      <c r="AH3591" s="20">
        <v>-516.57208695532995</v>
      </c>
    </row>
    <row r="3592" spans="1:34" ht="14.5" x14ac:dyDescent="0.35">
      <c r="A3592" s="34"/>
      <c r="B3592" s="35"/>
      <c r="C3592" s="36"/>
      <c r="D3592" s="37"/>
      <c r="E3592" s="36"/>
      <c r="F3592" s="42"/>
      <c r="G3592" s="42"/>
      <c r="H3592" s="42"/>
      <c r="AG3592" s="19">
        <v>3591</v>
      </c>
      <c r="AH3592" s="20">
        <v>364.12206835591724</v>
      </c>
    </row>
    <row r="3593" spans="1:34" ht="14.5" x14ac:dyDescent="0.35">
      <c r="A3593" s="34"/>
      <c r="B3593" s="35"/>
      <c r="C3593" s="36"/>
      <c r="D3593" s="37"/>
      <c r="E3593" s="36"/>
      <c r="F3593" s="42"/>
      <c r="G3593" s="42"/>
      <c r="H3593" s="42"/>
      <c r="AG3593" s="19">
        <v>3592</v>
      </c>
      <c r="AH3593" s="20">
        <v>-333.3134290212235</v>
      </c>
    </row>
    <row r="3594" spans="1:34" ht="14.5" x14ac:dyDescent="0.35">
      <c r="A3594" s="34"/>
      <c r="B3594" s="35"/>
      <c r="C3594" s="36"/>
      <c r="D3594" s="37"/>
      <c r="E3594" s="36"/>
      <c r="F3594" s="42"/>
      <c r="G3594" s="42"/>
      <c r="H3594" s="42"/>
      <c r="AG3594" s="19">
        <v>3593</v>
      </c>
      <c r="AH3594" s="20">
        <v>624.568968748369</v>
      </c>
    </row>
    <row r="3595" spans="1:34" ht="14.5" x14ac:dyDescent="0.35">
      <c r="A3595" s="34"/>
      <c r="B3595" s="35"/>
      <c r="C3595" s="36"/>
      <c r="D3595" s="37"/>
      <c r="E3595" s="36"/>
      <c r="F3595" s="42"/>
      <c r="G3595" s="42"/>
      <c r="H3595" s="42"/>
      <c r="AG3595" s="19">
        <v>3594</v>
      </c>
      <c r="AH3595" s="20">
        <v>-1014.1195664522911</v>
      </c>
    </row>
    <row r="3596" spans="1:34" ht="14.5" x14ac:dyDescent="0.35">
      <c r="A3596" s="34"/>
      <c r="B3596" s="35"/>
      <c r="C3596" s="36"/>
      <c r="D3596" s="37"/>
      <c r="E3596" s="36"/>
      <c r="F3596" s="42"/>
      <c r="G3596" s="42"/>
      <c r="H3596" s="42"/>
      <c r="AG3596" s="19">
        <v>3595</v>
      </c>
      <c r="AH3596" s="20">
        <v>2164.9176093293686</v>
      </c>
    </row>
    <row r="3597" spans="1:34" ht="14.5" x14ac:dyDescent="0.35">
      <c r="A3597" s="34"/>
      <c r="B3597" s="35"/>
      <c r="C3597" s="36"/>
      <c r="D3597" s="37"/>
      <c r="E3597" s="36"/>
      <c r="F3597" s="42"/>
      <c r="G3597" s="42"/>
      <c r="H3597" s="42"/>
      <c r="AG3597" s="19">
        <v>3596</v>
      </c>
      <c r="AH3597" s="20">
        <v>1291.8713517582976</v>
      </c>
    </row>
    <row r="3598" spans="1:34" ht="14.5" x14ac:dyDescent="0.35">
      <c r="A3598" s="34"/>
      <c r="B3598" s="35"/>
      <c r="C3598" s="36"/>
      <c r="D3598" s="37"/>
      <c r="E3598" s="36"/>
      <c r="F3598" s="42"/>
      <c r="G3598" s="42"/>
      <c r="H3598" s="42"/>
      <c r="AG3598" s="19">
        <v>3597</v>
      </c>
      <c r="AH3598" s="20">
        <v>4245.7433269818448</v>
      </c>
    </row>
    <row r="3599" spans="1:34" ht="14.5" x14ac:dyDescent="0.35">
      <c r="A3599" s="34"/>
      <c r="B3599" s="35"/>
      <c r="C3599" s="36"/>
      <c r="D3599" s="37"/>
      <c r="E3599" s="36"/>
      <c r="F3599" s="42"/>
      <c r="G3599" s="42"/>
      <c r="H3599" s="42"/>
      <c r="AG3599" s="19">
        <v>3598</v>
      </c>
      <c r="AH3599" s="20">
        <v>-1426.8921637061153</v>
      </c>
    </row>
    <row r="3600" spans="1:34" ht="14.5" x14ac:dyDescent="0.35">
      <c r="A3600" s="34"/>
      <c r="B3600" s="35"/>
      <c r="C3600" s="36"/>
      <c r="D3600" s="37"/>
      <c r="E3600" s="36"/>
      <c r="F3600" s="42"/>
      <c r="G3600" s="42"/>
      <c r="H3600" s="42"/>
      <c r="AG3600" s="19">
        <v>3599</v>
      </c>
      <c r="AH3600" s="20">
        <v>3460.1728012243871</v>
      </c>
    </row>
    <row r="3601" spans="1:34" ht="14.5" x14ac:dyDescent="0.35">
      <c r="A3601" s="34"/>
      <c r="B3601" s="35"/>
      <c r="C3601" s="36"/>
      <c r="D3601" s="37"/>
      <c r="E3601" s="36"/>
      <c r="F3601" s="42"/>
      <c r="G3601" s="42"/>
      <c r="H3601" s="42"/>
      <c r="AG3601" s="19">
        <v>3600</v>
      </c>
      <c r="AH3601" s="20">
        <v>-1703.0604632891266</v>
      </c>
    </row>
    <row r="3602" spans="1:34" ht="14.5" x14ac:dyDescent="0.35">
      <c r="A3602" s="34"/>
      <c r="B3602" s="35"/>
      <c r="C3602" s="36"/>
      <c r="D3602" s="37"/>
      <c r="E3602" s="36"/>
      <c r="F3602" s="42"/>
      <c r="G3602" s="42"/>
      <c r="H3602" s="42"/>
      <c r="AG3602" s="19">
        <v>3601</v>
      </c>
      <c r="AH3602" s="20">
        <v>-320.26166976776898</v>
      </c>
    </row>
    <row r="3603" spans="1:34" ht="14.5" x14ac:dyDescent="0.35">
      <c r="A3603" s="34"/>
      <c r="B3603" s="35"/>
      <c r="C3603" s="36"/>
      <c r="D3603" s="37"/>
      <c r="E3603" s="36"/>
      <c r="F3603" s="42"/>
      <c r="G3603" s="42"/>
      <c r="H3603" s="42"/>
      <c r="AG3603" s="19">
        <v>3602</v>
      </c>
      <c r="AH3603" s="20">
        <v>-1383.7965586019166</v>
      </c>
    </row>
    <row r="3604" spans="1:34" ht="14.5" x14ac:dyDescent="0.35">
      <c r="A3604" s="34"/>
      <c r="B3604" s="35"/>
      <c r="C3604" s="36"/>
      <c r="D3604" s="37"/>
      <c r="E3604" s="36"/>
      <c r="F3604" s="42"/>
      <c r="G3604" s="42"/>
      <c r="H3604" s="42"/>
      <c r="AG3604" s="19">
        <v>3603</v>
      </c>
      <c r="AH3604" s="20">
        <v>28.655204721703228</v>
      </c>
    </row>
    <row r="3605" spans="1:34" ht="14.5" x14ac:dyDescent="0.35">
      <c r="A3605" s="34"/>
      <c r="B3605" s="35"/>
      <c r="C3605" s="36"/>
      <c r="D3605" s="37"/>
      <c r="E3605" s="36"/>
      <c r="F3605" s="42"/>
      <c r="G3605" s="42"/>
      <c r="H3605" s="42"/>
      <c r="AG3605" s="19">
        <v>3604</v>
      </c>
      <c r="AH3605" s="20">
        <v>4691.4195491554592</v>
      </c>
    </row>
    <row r="3606" spans="1:34" ht="14.5" x14ac:dyDescent="0.35">
      <c r="A3606" s="34"/>
      <c r="B3606" s="35"/>
      <c r="C3606" s="36"/>
      <c r="D3606" s="37"/>
      <c r="E3606" s="36"/>
      <c r="F3606" s="42"/>
      <c r="G3606" s="42"/>
      <c r="H3606" s="42"/>
      <c r="AG3606" s="19">
        <v>3605</v>
      </c>
      <c r="AH3606" s="20">
        <v>2128.6829921749345</v>
      </c>
    </row>
    <row r="3607" spans="1:34" ht="14.5" x14ac:dyDescent="0.35">
      <c r="A3607" s="34"/>
      <c r="B3607" s="35"/>
      <c r="C3607" s="36"/>
      <c r="D3607" s="37"/>
      <c r="E3607" s="36"/>
      <c r="F3607" s="42"/>
      <c r="G3607" s="42"/>
      <c r="H3607" s="42"/>
      <c r="AG3607" s="19">
        <v>3606</v>
      </c>
      <c r="AH3607" s="20">
        <v>385.18663201293992</v>
      </c>
    </row>
    <row r="3608" spans="1:34" ht="14.5" x14ac:dyDescent="0.35">
      <c r="A3608" s="34"/>
      <c r="B3608" s="35"/>
      <c r="C3608" s="36"/>
      <c r="D3608" s="37"/>
      <c r="E3608" s="36"/>
      <c r="F3608" s="42"/>
      <c r="G3608" s="42"/>
      <c r="H3608" s="42"/>
      <c r="AG3608" s="19">
        <v>3607</v>
      </c>
      <c r="AH3608" s="20">
        <v>4650.1414890310562</v>
      </c>
    </row>
    <row r="3609" spans="1:34" ht="14.5" x14ac:dyDescent="0.35">
      <c r="A3609" s="34"/>
      <c r="B3609" s="35"/>
      <c r="C3609" s="36"/>
      <c r="D3609" s="37"/>
      <c r="E3609" s="36"/>
      <c r="F3609" s="42"/>
      <c r="G3609" s="42"/>
      <c r="H3609" s="42"/>
      <c r="AG3609" s="19">
        <v>3608</v>
      </c>
      <c r="AH3609" s="20">
        <v>-3277.3575962862064</v>
      </c>
    </row>
    <row r="3610" spans="1:34" ht="14.5" x14ac:dyDescent="0.35">
      <c r="A3610" s="34"/>
      <c r="B3610" s="35"/>
      <c r="C3610" s="36"/>
      <c r="D3610" s="37"/>
      <c r="E3610" s="36"/>
      <c r="F3610" s="42"/>
      <c r="G3610" s="42"/>
      <c r="H3610" s="42"/>
      <c r="AG3610" s="19">
        <v>3609</v>
      </c>
      <c r="AH3610" s="20">
        <v>723.50194704666114</v>
      </c>
    </row>
    <row r="3611" spans="1:34" ht="14.5" x14ac:dyDescent="0.35">
      <c r="A3611" s="34"/>
      <c r="B3611" s="35"/>
      <c r="C3611" s="36"/>
      <c r="D3611" s="37"/>
      <c r="E3611" s="36"/>
      <c r="F3611" s="42"/>
      <c r="G3611" s="42"/>
      <c r="H3611" s="42"/>
      <c r="AG3611" s="19">
        <v>3610</v>
      </c>
      <c r="AH3611" s="20">
        <v>763.82933456261435</v>
      </c>
    </row>
    <row r="3612" spans="1:34" ht="14.5" x14ac:dyDescent="0.35">
      <c r="A3612" s="34"/>
      <c r="B3612" s="35"/>
      <c r="C3612" s="36"/>
      <c r="D3612" s="37"/>
      <c r="E3612" s="36"/>
      <c r="F3612" s="42"/>
      <c r="G3612" s="42"/>
      <c r="H3612" s="42"/>
      <c r="AG3612" s="19">
        <v>3611</v>
      </c>
      <c r="AH3612" s="20">
        <v>279.46674272742308</v>
      </c>
    </row>
    <row r="3613" spans="1:34" ht="14.5" x14ac:dyDescent="0.35">
      <c r="A3613" s="34"/>
      <c r="B3613" s="35"/>
      <c r="C3613" s="36"/>
      <c r="D3613" s="37"/>
      <c r="E3613" s="36"/>
      <c r="F3613" s="42"/>
      <c r="G3613" s="42"/>
      <c r="H3613" s="42"/>
      <c r="AG3613" s="19">
        <v>3612</v>
      </c>
      <c r="AH3613" s="20">
        <v>-2750.1324981844186</v>
      </c>
    </row>
    <row r="3614" spans="1:34" ht="14.5" x14ac:dyDescent="0.35">
      <c r="A3614" s="34"/>
      <c r="B3614" s="35"/>
      <c r="C3614" s="36"/>
      <c r="D3614" s="37"/>
      <c r="E3614" s="36"/>
      <c r="F3614" s="42"/>
      <c r="G3614" s="42"/>
      <c r="H3614" s="42"/>
      <c r="AG3614" s="19">
        <v>3613</v>
      </c>
      <c r="AH3614" s="20">
        <v>3727.4422211119736</v>
      </c>
    </row>
    <row r="3615" spans="1:34" ht="14.5" x14ac:dyDescent="0.35">
      <c r="A3615" s="34"/>
      <c r="B3615" s="35"/>
      <c r="C3615" s="36"/>
      <c r="D3615" s="37"/>
      <c r="E3615" s="36"/>
      <c r="F3615" s="42"/>
      <c r="G3615" s="42"/>
      <c r="H3615" s="42"/>
      <c r="AG3615" s="19">
        <v>3614</v>
      </c>
      <c r="AH3615" s="20">
        <v>272.44581838957356</v>
      </c>
    </row>
    <row r="3616" spans="1:34" ht="14.5" x14ac:dyDescent="0.35">
      <c r="A3616" s="34"/>
      <c r="B3616" s="35"/>
      <c r="C3616" s="36"/>
      <c r="D3616" s="37"/>
      <c r="E3616" s="36"/>
      <c r="F3616" s="42"/>
      <c r="G3616" s="42"/>
      <c r="H3616" s="42"/>
      <c r="AG3616" s="19">
        <v>3615</v>
      </c>
      <c r="AH3616" s="20">
        <v>1134.3856642961985</v>
      </c>
    </row>
    <row r="3617" spans="1:34" ht="14.5" x14ac:dyDescent="0.35">
      <c r="A3617" s="34"/>
      <c r="B3617" s="35"/>
      <c r="C3617" s="36"/>
      <c r="D3617" s="37"/>
      <c r="E3617" s="36"/>
      <c r="F3617" s="42"/>
      <c r="G3617" s="42"/>
      <c r="H3617" s="42"/>
      <c r="AG3617" s="19">
        <v>3616</v>
      </c>
      <c r="AH3617" s="20">
        <v>541.35546732966895</v>
      </c>
    </row>
    <row r="3618" spans="1:34" ht="14.5" x14ac:dyDescent="0.35">
      <c r="A3618" s="34"/>
      <c r="B3618" s="35"/>
      <c r="C3618" s="36"/>
      <c r="D3618" s="37"/>
      <c r="E3618" s="36"/>
      <c r="F3618" s="42"/>
      <c r="G3618" s="42"/>
      <c r="H3618" s="42"/>
      <c r="AG3618" s="19">
        <v>3617</v>
      </c>
      <c r="AH3618" s="20">
        <v>72.144265117275665</v>
      </c>
    </row>
    <row r="3619" spans="1:34" ht="14.5" x14ac:dyDescent="0.35">
      <c r="A3619" s="34"/>
      <c r="B3619" s="35"/>
      <c r="C3619" s="36"/>
      <c r="D3619" s="37"/>
      <c r="E3619" s="36"/>
      <c r="F3619" s="42"/>
      <c r="G3619" s="42"/>
      <c r="H3619" s="42"/>
      <c r="AG3619" s="19">
        <v>3618</v>
      </c>
      <c r="AH3619" s="20">
        <v>-788.57273943852874</v>
      </c>
    </row>
    <row r="3620" spans="1:34" ht="14.5" x14ac:dyDescent="0.35">
      <c r="A3620" s="34"/>
      <c r="B3620" s="35"/>
      <c r="C3620" s="36"/>
      <c r="D3620" s="37"/>
      <c r="E3620" s="36"/>
      <c r="F3620" s="42"/>
      <c r="G3620" s="42"/>
      <c r="H3620" s="42"/>
      <c r="AG3620" s="19">
        <v>3619</v>
      </c>
      <c r="AH3620" s="20">
        <v>960.34077348548294</v>
      </c>
    </row>
    <row r="3621" spans="1:34" ht="14.5" x14ac:dyDescent="0.35">
      <c r="A3621" s="34"/>
      <c r="B3621" s="35"/>
      <c r="C3621" s="36"/>
      <c r="D3621" s="37"/>
      <c r="E3621" s="36"/>
      <c r="F3621" s="42"/>
      <c r="G3621" s="42"/>
      <c r="H3621" s="42"/>
      <c r="AG3621" s="19">
        <v>3620</v>
      </c>
      <c r="AH3621" s="20">
        <v>1664.9573566403999</v>
      </c>
    </row>
    <row r="3622" spans="1:34" ht="14.5" x14ac:dyDescent="0.35">
      <c r="A3622" s="34"/>
      <c r="B3622" s="35"/>
      <c r="C3622" s="36"/>
      <c r="D3622" s="37"/>
      <c r="E3622" s="36"/>
      <c r="F3622" s="42"/>
      <c r="G3622" s="42"/>
      <c r="H3622" s="42"/>
      <c r="AG3622" s="19">
        <v>3621</v>
      </c>
      <c r="AH3622" s="20">
        <v>2068.8225900949615</v>
      </c>
    </row>
    <row r="3623" spans="1:34" ht="14.5" x14ac:dyDescent="0.35">
      <c r="A3623" s="34"/>
      <c r="B3623" s="35"/>
      <c r="C3623" s="36"/>
      <c r="D3623" s="37"/>
      <c r="E3623" s="36"/>
      <c r="F3623" s="42"/>
      <c r="G3623" s="42"/>
      <c r="H3623" s="42"/>
      <c r="AG3623" s="19">
        <v>3622</v>
      </c>
      <c r="AH3623" s="20">
        <v>1220.2812176229643</v>
      </c>
    </row>
    <row r="3624" spans="1:34" ht="14.5" x14ac:dyDescent="0.35">
      <c r="A3624" s="34"/>
      <c r="B3624" s="35"/>
      <c r="C3624" s="36"/>
      <c r="D3624" s="37"/>
      <c r="E3624" s="36"/>
      <c r="F3624" s="42"/>
      <c r="G3624" s="42"/>
      <c r="H3624" s="42"/>
      <c r="AG3624" s="19">
        <v>3623</v>
      </c>
      <c r="AH3624" s="20">
        <v>230.73491720628141</v>
      </c>
    </row>
    <row r="3625" spans="1:34" ht="14.5" x14ac:dyDescent="0.35">
      <c r="A3625" s="34"/>
      <c r="B3625" s="35"/>
      <c r="C3625" s="36"/>
      <c r="D3625" s="37"/>
      <c r="E3625" s="36"/>
      <c r="F3625" s="42"/>
      <c r="G3625" s="42"/>
      <c r="H3625" s="42"/>
      <c r="AG3625" s="19">
        <v>3624</v>
      </c>
      <c r="AH3625" s="20">
        <v>-845.738692206015</v>
      </c>
    </row>
    <row r="3626" spans="1:34" ht="14.5" x14ac:dyDescent="0.35">
      <c r="A3626" s="34"/>
      <c r="B3626" s="35"/>
      <c r="C3626" s="36"/>
      <c r="D3626" s="37"/>
      <c r="E3626" s="36"/>
      <c r="F3626" s="42"/>
      <c r="G3626" s="42"/>
      <c r="H3626" s="42"/>
      <c r="AG3626" s="19">
        <v>3625</v>
      </c>
      <c r="AH3626" s="20">
        <v>1458.7683840080924</v>
      </c>
    </row>
    <row r="3627" spans="1:34" ht="14.5" x14ac:dyDescent="0.35">
      <c r="A3627" s="34"/>
      <c r="B3627" s="35"/>
      <c r="C3627" s="36"/>
      <c r="D3627" s="37"/>
      <c r="E3627" s="36"/>
      <c r="F3627" s="42"/>
      <c r="G3627" s="42"/>
      <c r="H3627" s="42"/>
      <c r="AG3627" s="19">
        <v>3626</v>
      </c>
      <c r="AH3627" s="20">
        <v>1232.6521535112061</v>
      </c>
    </row>
    <row r="3628" spans="1:34" ht="14.5" x14ac:dyDescent="0.35">
      <c r="A3628" s="34"/>
      <c r="B3628" s="35"/>
      <c r="C3628" s="36"/>
      <c r="D3628" s="37"/>
      <c r="E3628" s="36"/>
      <c r="F3628" s="42"/>
      <c r="G3628" s="42"/>
      <c r="H3628" s="42"/>
      <c r="AG3628" s="19">
        <v>3627</v>
      </c>
      <c r="AH3628" s="20">
        <v>-689.2363190526321</v>
      </c>
    </row>
    <row r="3629" spans="1:34" ht="14.5" x14ac:dyDescent="0.35">
      <c r="A3629" s="34"/>
      <c r="B3629" s="35"/>
      <c r="C3629" s="36"/>
      <c r="D3629" s="37"/>
      <c r="E3629" s="36"/>
      <c r="F3629" s="42"/>
      <c r="G3629" s="42"/>
      <c r="H3629" s="42"/>
      <c r="AG3629" s="19">
        <v>3628</v>
      </c>
      <c r="AH3629" s="20">
        <v>-1866.9242952210132</v>
      </c>
    </row>
    <row r="3630" spans="1:34" ht="14.5" x14ac:dyDescent="0.35">
      <c r="A3630" s="34"/>
      <c r="B3630" s="35"/>
      <c r="C3630" s="36"/>
      <c r="D3630" s="37"/>
      <c r="E3630" s="36"/>
      <c r="F3630" s="42"/>
      <c r="G3630" s="42"/>
      <c r="H3630" s="42"/>
      <c r="AG3630" s="19">
        <v>3629</v>
      </c>
      <c r="AH3630" s="20">
        <v>-1903.0449758535717</v>
      </c>
    </row>
    <row r="3631" spans="1:34" ht="14.5" x14ac:dyDescent="0.35">
      <c r="A3631" s="34"/>
      <c r="B3631" s="35"/>
      <c r="C3631" s="36"/>
      <c r="D3631" s="37"/>
      <c r="E3631" s="36"/>
      <c r="F3631" s="42"/>
      <c r="G3631" s="42"/>
      <c r="H3631" s="42"/>
      <c r="AG3631" s="19">
        <v>3630</v>
      </c>
      <c r="AH3631" s="20">
        <v>-2615.5899510313084</v>
      </c>
    </row>
    <row r="3632" spans="1:34" ht="14.5" x14ac:dyDescent="0.35">
      <c r="A3632" s="34"/>
      <c r="B3632" s="35"/>
      <c r="C3632" s="36"/>
      <c r="D3632" s="37"/>
      <c r="E3632" s="36"/>
      <c r="F3632" s="42"/>
      <c r="G3632" s="42"/>
      <c r="H3632" s="42"/>
      <c r="AG3632" s="19">
        <v>3631</v>
      </c>
      <c r="AH3632" s="20">
        <v>2333.8843023115269</v>
      </c>
    </row>
    <row r="3633" spans="1:34" ht="14.5" x14ac:dyDescent="0.35">
      <c r="A3633" s="34"/>
      <c r="B3633" s="35"/>
      <c r="C3633" s="36"/>
      <c r="D3633" s="37"/>
      <c r="E3633" s="36"/>
      <c r="F3633" s="42"/>
      <c r="G3633" s="42"/>
      <c r="H3633" s="42"/>
      <c r="AG3633" s="19">
        <v>3632</v>
      </c>
      <c r="AH3633" s="20">
        <v>889.13107950356357</v>
      </c>
    </row>
    <row r="3634" spans="1:34" ht="14.5" x14ac:dyDescent="0.35">
      <c r="A3634" s="34"/>
      <c r="B3634" s="35"/>
      <c r="C3634" s="36"/>
      <c r="D3634" s="37"/>
      <c r="E3634" s="36"/>
      <c r="F3634" s="42"/>
      <c r="G3634" s="42"/>
      <c r="H3634" s="42"/>
      <c r="AG3634" s="19">
        <v>3633</v>
      </c>
      <c r="AH3634" s="20">
        <v>2476.9577667819908</v>
      </c>
    </row>
    <row r="3635" spans="1:34" ht="14.5" x14ac:dyDescent="0.35">
      <c r="A3635" s="34"/>
      <c r="B3635" s="35"/>
      <c r="C3635" s="36"/>
      <c r="D3635" s="37"/>
      <c r="E3635" s="36"/>
      <c r="F3635" s="42"/>
      <c r="G3635" s="42"/>
      <c r="H3635" s="42"/>
      <c r="AG3635" s="19">
        <v>3634</v>
      </c>
      <c r="AH3635" s="20">
        <v>2240.4695238066847</v>
      </c>
    </row>
    <row r="3636" spans="1:34" ht="14.5" x14ac:dyDescent="0.35">
      <c r="A3636" s="34"/>
      <c r="B3636" s="35"/>
      <c r="C3636" s="36"/>
      <c r="D3636" s="37"/>
      <c r="E3636" s="36"/>
      <c r="F3636" s="42"/>
      <c r="G3636" s="42"/>
      <c r="H3636" s="42"/>
      <c r="AG3636" s="19">
        <v>3635</v>
      </c>
      <c r="AH3636" s="20">
        <v>2860.8058529830605</v>
      </c>
    </row>
    <row r="3637" spans="1:34" ht="14.5" x14ac:dyDescent="0.35">
      <c r="A3637" s="34"/>
      <c r="B3637" s="35"/>
      <c r="C3637" s="36"/>
      <c r="D3637" s="37"/>
      <c r="E3637" s="36"/>
      <c r="F3637" s="42"/>
      <c r="G3637" s="42"/>
      <c r="H3637" s="42"/>
      <c r="AG3637" s="19">
        <v>3636</v>
      </c>
      <c r="AH3637" s="20">
        <v>-117.50066765945832</v>
      </c>
    </row>
    <row r="3638" spans="1:34" ht="14.5" x14ac:dyDescent="0.35">
      <c r="A3638" s="34"/>
      <c r="B3638" s="35"/>
      <c r="C3638" s="36"/>
      <c r="D3638" s="37"/>
      <c r="E3638" s="36"/>
      <c r="F3638" s="42"/>
      <c r="G3638" s="42"/>
      <c r="H3638" s="42"/>
      <c r="AG3638" s="19">
        <v>3637</v>
      </c>
      <c r="AH3638" s="20">
        <v>-1535.5154557952128</v>
      </c>
    </row>
    <row r="3639" spans="1:34" ht="14.5" x14ac:dyDescent="0.35">
      <c r="A3639" s="34"/>
      <c r="B3639" s="35"/>
      <c r="C3639" s="36"/>
      <c r="D3639" s="37"/>
      <c r="E3639" s="36"/>
      <c r="F3639" s="42"/>
      <c r="G3639" s="42"/>
      <c r="H3639" s="42"/>
      <c r="AG3639" s="19">
        <v>3638</v>
      </c>
      <c r="AH3639" s="20">
        <v>2656.4420154014515</v>
      </c>
    </row>
    <row r="3640" spans="1:34" ht="14.5" x14ac:dyDescent="0.35">
      <c r="A3640" s="34"/>
      <c r="B3640" s="35"/>
      <c r="C3640" s="36"/>
      <c r="D3640" s="37"/>
      <c r="E3640" s="36"/>
      <c r="F3640" s="42"/>
      <c r="G3640" s="42"/>
      <c r="H3640" s="42"/>
      <c r="AG3640" s="19">
        <v>3639</v>
      </c>
      <c r="AH3640" s="20">
        <v>2617.8527666888308</v>
      </c>
    </row>
    <row r="3641" spans="1:34" ht="14.5" x14ac:dyDescent="0.35">
      <c r="A3641" s="34"/>
      <c r="B3641" s="35"/>
      <c r="C3641" s="36"/>
      <c r="D3641" s="37"/>
      <c r="E3641" s="36"/>
      <c r="F3641" s="42"/>
      <c r="G3641" s="42"/>
      <c r="H3641" s="42"/>
      <c r="AG3641" s="19">
        <v>3640</v>
      </c>
      <c r="AH3641" s="20">
        <v>93.661434638610388</v>
      </c>
    </row>
    <row r="3642" spans="1:34" ht="14.5" x14ac:dyDescent="0.35">
      <c r="A3642" s="34"/>
      <c r="B3642" s="35"/>
      <c r="C3642" s="36"/>
      <c r="D3642" s="37"/>
      <c r="E3642" s="36"/>
      <c r="F3642" s="42"/>
      <c r="G3642" s="42"/>
      <c r="H3642" s="42"/>
      <c r="AG3642" s="19">
        <v>3641</v>
      </c>
      <c r="AH3642" s="20">
        <v>2940.0280876872403</v>
      </c>
    </row>
    <row r="3643" spans="1:34" ht="14.5" x14ac:dyDescent="0.35">
      <c r="A3643" s="34"/>
      <c r="B3643" s="35"/>
      <c r="C3643" s="36"/>
      <c r="D3643" s="37"/>
      <c r="E3643" s="36"/>
      <c r="F3643" s="42"/>
      <c r="G3643" s="42"/>
      <c r="H3643" s="42"/>
      <c r="AG3643" s="19">
        <v>3642</v>
      </c>
      <c r="AH3643" s="20">
        <v>-851.7431595313551</v>
      </c>
    </row>
    <row r="3644" spans="1:34" ht="14.5" x14ac:dyDescent="0.35">
      <c r="A3644" s="34"/>
      <c r="B3644" s="35"/>
      <c r="C3644" s="36"/>
      <c r="D3644" s="37"/>
      <c r="E3644" s="36"/>
      <c r="F3644" s="42"/>
      <c r="G3644" s="42"/>
      <c r="H3644" s="42"/>
      <c r="AG3644" s="19">
        <v>3643</v>
      </c>
      <c r="AH3644" s="20">
        <v>707.67723783880342</v>
      </c>
    </row>
    <row r="3645" spans="1:34" ht="14.5" x14ac:dyDescent="0.35">
      <c r="A3645" s="34"/>
      <c r="B3645" s="35"/>
      <c r="C3645" s="36"/>
      <c r="D3645" s="37"/>
      <c r="E3645" s="36"/>
      <c r="F3645" s="42"/>
      <c r="G3645" s="42"/>
      <c r="H3645" s="42"/>
      <c r="AG3645" s="19">
        <v>3644</v>
      </c>
      <c r="AH3645" s="20">
        <v>-63.725815935064247</v>
      </c>
    </row>
    <row r="3646" spans="1:34" ht="14.5" x14ac:dyDescent="0.35">
      <c r="A3646" s="34"/>
      <c r="B3646" s="35"/>
      <c r="C3646" s="36"/>
      <c r="D3646" s="37"/>
      <c r="E3646" s="36"/>
      <c r="F3646" s="42"/>
      <c r="G3646" s="42"/>
      <c r="H3646" s="42"/>
      <c r="AG3646" s="19">
        <v>3645</v>
      </c>
      <c r="AH3646" s="20">
        <v>-1510.932158528221</v>
      </c>
    </row>
    <row r="3647" spans="1:34" ht="14.5" x14ac:dyDescent="0.35">
      <c r="A3647" s="34"/>
      <c r="B3647" s="35"/>
      <c r="C3647" s="36"/>
      <c r="D3647" s="37"/>
      <c r="E3647" s="36"/>
      <c r="F3647" s="42"/>
      <c r="G3647" s="42"/>
      <c r="H3647" s="42"/>
      <c r="AG3647" s="19">
        <v>3646</v>
      </c>
      <c r="AH3647" s="20">
        <v>2584.796684123824</v>
      </c>
    </row>
    <row r="3648" spans="1:34" ht="14.5" x14ac:dyDescent="0.35">
      <c r="A3648" s="34"/>
      <c r="B3648" s="35"/>
      <c r="C3648" s="36"/>
      <c r="D3648" s="37"/>
      <c r="E3648" s="36"/>
      <c r="F3648" s="42"/>
      <c r="G3648" s="42"/>
      <c r="H3648" s="42"/>
      <c r="AG3648" s="19">
        <v>3647</v>
      </c>
      <c r="AH3648" s="20">
        <v>-44.322650177067374</v>
      </c>
    </row>
    <row r="3649" spans="1:34" ht="14.5" x14ac:dyDescent="0.35">
      <c r="A3649" s="34"/>
      <c r="B3649" s="35"/>
      <c r="C3649" s="36"/>
      <c r="D3649" s="37"/>
      <c r="E3649" s="36"/>
      <c r="F3649" s="42"/>
      <c r="G3649" s="42"/>
      <c r="H3649" s="42"/>
      <c r="AG3649" s="19">
        <v>3648</v>
      </c>
      <c r="AH3649" s="20">
        <v>-1892.889990366499</v>
      </c>
    </row>
    <row r="3650" spans="1:34" ht="14.5" x14ac:dyDescent="0.35">
      <c r="A3650" s="34"/>
      <c r="B3650" s="35"/>
      <c r="C3650" s="36"/>
      <c r="D3650" s="37"/>
      <c r="E3650" s="36"/>
      <c r="F3650" s="42"/>
      <c r="G3650" s="42"/>
      <c r="H3650" s="42"/>
      <c r="AG3650" s="19">
        <v>3649</v>
      </c>
      <c r="AH3650" s="20">
        <v>-2935.6510323249563</v>
      </c>
    </row>
    <row r="3651" spans="1:34" ht="14.5" x14ac:dyDescent="0.35">
      <c r="A3651" s="34"/>
      <c r="B3651" s="35"/>
      <c r="C3651" s="36"/>
      <c r="D3651" s="37"/>
      <c r="E3651" s="36"/>
      <c r="F3651" s="42"/>
      <c r="G3651" s="42"/>
      <c r="H3651" s="42"/>
      <c r="AG3651" s="19">
        <v>3650</v>
      </c>
      <c r="AH3651" s="20">
        <v>559.87117850255413</v>
      </c>
    </row>
    <row r="3652" spans="1:34" ht="14.5" x14ac:dyDescent="0.35">
      <c r="A3652" s="34"/>
      <c r="B3652" s="35"/>
      <c r="C3652" s="36"/>
      <c r="D3652" s="37"/>
      <c r="E3652" s="36"/>
      <c r="F3652" s="42"/>
      <c r="G3652" s="42"/>
      <c r="H3652" s="42"/>
      <c r="AG3652" s="19">
        <v>3651</v>
      </c>
      <c r="AH3652" s="20">
        <v>-2155.4511852697005</v>
      </c>
    </row>
    <row r="3653" spans="1:34" ht="14.5" x14ac:dyDescent="0.35">
      <c r="A3653" s="34"/>
      <c r="B3653" s="35"/>
      <c r="C3653" s="36"/>
      <c r="D3653" s="37"/>
      <c r="E3653" s="36"/>
      <c r="F3653" s="42"/>
      <c r="G3653" s="42"/>
      <c r="H3653" s="42"/>
      <c r="AG3653" s="19">
        <v>3652</v>
      </c>
      <c r="AH3653" s="20">
        <v>752.52754747607969</v>
      </c>
    </row>
    <row r="3654" spans="1:34" ht="14.5" x14ac:dyDescent="0.35">
      <c r="A3654" s="34"/>
      <c r="B3654" s="35"/>
      <c r="C3654" s="36"/>
      <c r="D3654" s="37"/>
      <c r="E3654" s="36"/>
      <c r="F3654" s="42"/>
      <c r="G3654" s="42"/>
      <c r="H3654" s="42"/>
      <c r="AG3654" s="19">
        <v>3653</v>
      </c>
      <c r="AH3654" s="20">
        <v>-15.823856133508173</v>
      </c>
    </row>
    <row r="3655" spans="1:34" ht="14.5" x14ac:dyDescent="0.35">
      <c r="A3655" s="34"/>
      <c r="B3655" s="35"/>
      <c r="C3655" s="36"/>
      <c r="D3655" s="37"/>
      <c r="E3655" s="36"/>
      <c r="F3655" s="42"/>
      <c r="G3655" s="42"/>
      <c r="H3655" s="42"/>
      <c r="AG3655" s="19">
        <v>3654</v>
      </c>
      <c r="AH3655" s="20">
        <v>658.97937240109491</v>
      </c>
    </row>
    <row r="3656" spans="1:34" ht="14.5" x14ac:dyDescent="0.35">
      <c r="A3656" s="34"/>
      <c r="B3656" s="35"/>
      <c r="C3656" s="36"/>
      <c r="D3656" s="37"/>
      <c r="E3656" s="36"/>
      <c r="F3656" s="42"/>
      <c r="G3656" s="42"/>
      <c r="H3656" s="42"/>
      <c r="AG3656" s="19">
        <v>3655</v>
      </c>
      <c r="AH3656" s="20">
        <v>1352.9434287164258</v>
      </c>
    </row>
    <row r="3657" spans="1:34" ht="14.5" x14ac:dyDescent="0.35">
      <c r="A3657" s="34"/>
      <c r="B3657" s="35"/>
      <c r="C3657" s="36"/>
      <c r="D3657" s="37"/>
      <c r="E3657" s="36"/>
      <c r="F3657" s="42"/>
      <c r="G3657" s="42"/>
      <c r="H3657" s="42"/>
      <c r="AG3657" s="19">
        <v>3656</v>
      </c>
      <c r="AH3657" s="20">
        <v>-65.295239401121137</v>
      </c>
    </row>
    <row r="3658" spans="1:34" ht="14.5" x14ac:dyDescent="0.35">
      <c r="A3658" s="34"/>
      <c r="B3658" s="35"/>
      <c r="C3658" s="36"/>
      <c r="D3658" s="37"/>
      <c r="E3658" s="36"/>
      <c r="F3658" s="42"/>
      <c r="G3658" s="42"/>
      <c r="H3658" s="42"/>
      <c r="AG3658" s="19">
        <v>3657</v>
      </c>
      <c r="AH3658" s="20">
        <v>4664.2572956832882</v>
      </c>
    </row>
    <row r="3659" spans="1:34" ht="14.5" x14ac:dyDescent="0.35">
      <c r="A3659" s="34"/>
      <c r="B3659" s="35"/>
      <c r="C3659" s="36"/>
      <c r="D3659" s="37"/>
      <c r="E3659" s="36"/>
      <c r="F3659" s="42"/>
      <c r="G3659" s="42"/>
      <c r="H3659" s="42"/>
      <c r="AG3659" s="19">
        <v>3658</v>
      </c>
      <c r="AH3659" s="20">
        <v>-2170.1557136718206</v>
      </c>
    </row>
    <row r="3660" spans="1:34" ht="14.5" x14ac:dyDescent="0.35">
      <c r="A3660" s="34"/>
      <c r="B3660" s="35"/>
      <c r="C3660" s="36"/>
      <c r="D3660" s="37"/>
      <c r="E3660" s="36"/>
      <c r="F3660" s="42"/>
      <c r="G3660" s="42"/>
      <c r="H3660" s="42"/>
      <c r="AG3660" s="19">
        <v>3659</v>
      </c>
      <c r="AH3660" s="20">
        <v>-3101.8627812868017</v>
      </c>
    </row>
    <row r="3661" spans="1:34" ht="14.5" x14ac:dyDescent="0.35">
      <c r="A3661" s="34"/>
      <c r="B3661" s="35"/>
      <c r="C3661" s="36"/>
      <c r="D3661" s="37"/>
      <c r="E3661" s="36"/>
      <c r="F3661" s="42"/>
      <c r="G3661" s="42"/>
      <c r="H3661" s="42"/>
      <c r="AG3661" s="19">
        <v>3660</v>
      </c>
      <c r="AH3661" s="20">
        <v>1005.5741019839811</v>
      </c>
    </row>
    <row r="3662" spans="1:34" ht="14.5" x14ac:dyDescent="0.35">
      <c r="A3662" s="34"/>
      <c r="B3662" s="35"/>
      <c r="C3662" s="36"/>
      <c r="D3662" s="37"/>
      <c r="E3662" s="36"/>
      <c r="F3662" s="42"/>
      <c r="G3662" s="42"/>
      <c r="H3662" s="42"/>
      <c r="AG3662" s="19">
        <v>3661</v>
      </c>
      <c r="AH3662" s="20">
        <v>-360.71844622997247</v>
      </c>
    </row>
    <row r="3663" spans="1:34" ht="14.5" x14ac:dyDescent="0.35">
      <c r="A3663" s="34"/>
      <c r="B3663" s="35"/>
      <c r="C3663" s="36"/>
      <c r="D3663" s="37"/>
      <c r="E3663" s="36"/>
      <c r="F3663" s="42"/>
      <c r="G3663" s="42"/>
      <c r="H3663" s="42"/>
      <c r="AG3663" s="19">
        <v>3662</v>
      </c>
      <c r="AH3663" s="20">
        <v>-2162.3295308910156</v>
      </c>
    </row>
    <row r="3664" spans="1:34" ht="14.5" x14ac:dyDescent="0.35">
      <c r="A3664" s="34"/>
      <c r="B3664" s="35"/>
      <c r="C3664" s="36"/>
      <c r="D3664" s="37"/>
      <c r="E3664" s="36"/>
      <c r="F3664" s="42"/>
      <c r="G3664" s="42"/>
      <c r="H3664" s="42"/>
      <c r="AG3664" s="19">
        <v>3663</v>
      </c>
      <c r="AH3664" s="20">
        <v>1695.2893070759153</v>
      </c>
    </row>
    <row r="3665" spans="1:34" ht="14.5" x14ac:dyDescent="0.35">
      <c r="A3665" s="34"/>
      <c r="B3665" s="35"/>
      <c r="C3665" s="36"/>
      <c r="D3665" s="37"/>
      <c r="E3665" s="36"/>
      <c r="F3665" s="42"/>
      <c r="G3665" s="42"/>
      <c r="H3665" s="42"/>
      <c r="AG3665" s="19">
        <v>3664</v>
      </c>
      <c r="AH3665" s="20">
        <v>-763.43936443169423</v>
      </c>
    </row>
    <row r="3666" spans="1:34" ht="14.5" x14ac:dyDescent="0.35">
      <c r="A3666" s="34"/>
      <c r="B3666" s="35"/>
      <c r="C3666" s="36"/>
      <c r="D3666" s="37"/>
      <c r="E3666" s="36"/>
      <c r="F3666" s="42"/>
      <c r="G3666" s="42"/>
      <c r="H3666" s="42"/>
      <c r="AG3666" s="19">
        <v>3665</v>
      </c>
      <c r="AH3666" s="20">
        <v>-1648.4451075789409</v>
      </c>
    </row>
    <row r="3667" spans="1:34" ht="14.5" x14ac:dyDescent="0.35">
      <c r="A3667" s="34"/>
      <c r="B3667" s="35"/>
      <c r="C3667" s="36"/>
      <c r="D3667" s="37"/>
      <c r="E3667" s="36"/>
      <c r="F3667" s="42"/>
      <c r="G3667" s="42"/>
      <c r="H3667" s="42"/>
      <c r="AG3667" s="19">
        <v>3666</v>
      </c>
      <c r="AH3667" s="20">
        <v>-292.86827713490806</v>
      </c>
    </row>
    <row r="3668" spans="1:34" ht="14.5" x14ac:dyDescent="0.35">
      <c r="A3668" s="34"/>
      <c r="B3668" s="35"/>
      <c r="C3668" s="36"/>
      <c r="D3668" s="37"/>
      <c r="E3668" s="36"/>
      <c r="F3668" s="42"/>
      <c r="G3668" s="42"/>
      <c r="H3668" s="42"/>
      <c r="AG3668" s="19">
        <v>3667</v>
      </c>
      <c r="AH3668" s="20">
        <v>-3262.7478079746161</v>
      </c>
    </row>
    <row r="3669" spans="1:34" ht="14.5" x14ac:dyDescent="0.35">
      <c r="A3669" s="34"/>
      <c r="B3669" s="35"/>
      <c r="C3669" s="36"/>
      <c r="D3669" s="37"/>
      <c r="E3669" s="36"/>
      <c r="F3669" s="42"/>
      <c r="G3669" s="42"/>
      <c r="H3669" s="42"/>
      <c r="AG3669" s="19">
        <v>3668</v>
      </c>
      <c r="AH3669" s="20">
        <v>-2858.0939120881308</v>
      </c>
    </row>
    <row r="3670" spans="1:34" ht="14.5" x14ac:dyDescent="0.35">
      <c r="A3670" s="34"/>
      <c r="B3670" s="35"/>
      <c r="C3670" s="36"/>
      <c r="D3670" s="37"/>
      <c r="E3670" s="36"/>
      <c r="F3670" s="42"/>
      <c r="G3670" s="42"/>
      <c r="H3670" s="42"/>
      <c r="AG3670" s="19">
        <v>3669</v>
      </c>
      <c r="AH3670" s="20">
        <v>277.43005595096008</v>
      </c>
    </row>
    <row r="3671" spans="1:34" ht="14.5" x14ac:dyDescent="0.35">
      <c r="A3671" s="34"/>
      <c r="B3671" s="35"/>
      <c r="C3671" s="36"/>
      <c r="D3671" s="37"/>
      <c r="E3671" s="36"/>
      <c r="F3671" s="42"/>
      <c r="G3671" s="42"/>
      <c r="H3671" s="42"/>
      <c r="AG3671" s="19">
        <v>3670</v>
      </c>
      <c r="AH3671" s="20">
        <v>4470.1017769500495</v>
      </c>
    </row>
    <row r="3672" spans="1:34" ht="14.5" x14ac:dyDescent="0.35">
      <c r="A3672" s="34"/>
      <c r="B3672" s="35"/>
      <c r="C3672" s="36"/>
      <c r="D3672" s="37"/>
      <c r="E3672" s="36"/>
      <c r="F3672" s="42"/>
      <c r="G3672" s="42"/>
      <c r="H3672" s="42"/>
      <c r="AG3672" s="19">
        <v>3671</v>
      </c>
      <c r="AH3672" s="20">
        <v>-2203.5404201677984</v>
      </c>
    </row>
    <row r="3673" spans="1:34" ht="14.5" x14ac:dyDescent="0.35">
      <c r="A3673" s="34"/>
      <c r="B3673" s="35"/>
      <c r="C3673" s="36"/>
      <c r="D3673" s="37"/>
      <c r="E3673" s="36"/>
      <c r="F3673" s="42"/>
      <c r="G3673" s="42"/>
      <c r="H3673" s="42"/>
      <c r="AG3673" s="19">
        <v>3672</v>
      </c>
      <c r="AH3673" s="20">
        <v>1056.1719554389445</v>
      </c>
    </row>
    <row r="3674" spans="1:34" ht="14.5" x14ac:dyDescent="0.35">
      <c r="A3674" s="34"/>
      <c r="B3674" s="35"/>
      <c r="C3674" s="36"/>
      <c r="D3674" s="37"/>
      <c r="E3674" s="36"/>
      <c r="F3674" s="42"/>
      <c r="G3674" s="42"/>
      <c r="H3674" s="42"/>
      <c r="AG3674" s="19">
        <v>3673</v>
      </c>
      <c r="AH3674" s="20">
        <v>1387.078947395717</v>
      </c>
    </row>
    <row r="3675" spans="1:34" ht="14.5" x14ac:dyDescent="0.35">
      <c r="A3675" s="34"/>
      <c r="B3675" s="35"/>
      <c r="C3675" s="36"/>
      <c r="D3675" s="37"/>
      <c r="E3675" s="36"/>
      <c r="F3675" s="42"/>
      <c r="G3675" s="42"/>
      <c r="H3675" s="42"/>
      <c r="AG3675" s="19">
        <v>3674</v>
      </c>
      <c r="AH3675" s="20">
        <v>1634.0441885050325</v>
      </c>
    </row>
    <row r="3676" spans="1:34" ht="14.5" x14ac:dyDescent="0.35">
      <c r="A3676" s="34"/>
      <c r="B3676" s="35"/>
      <c r="C3676" s="36"/>
      <c r="D3676" s="37"/>
      <c r="E3676" s="36"/>
      <c r="F3676" s="42"/>
      <c r="G3676" s="42"/>
      <c r="H3676" s="42"/>
      <c r="AG3676" s="19">
        <v>3675</v>
      </c>
      <c r="AH3676" s="20">
        <v>864.68190415250854</v>
      </c>
    </row>
    <row r="3677" spans="1:34" ht="14.5" x14ac:dyDescent="0.35">
      <c r="A3677" s="34"/>
      <c r="B3677" s="35"/>
      <c r="C3677" s="36"/>
      <c r="D3677" s="37"/>
      <c r="E3677" s="36"/>
      <c r="F3677" s="42"/>
      <c r="G3677" s="42"/>
      <c r="H3677" s="42"/>
      <c r="AG3677" s="19">
        <v>3676</v>
      </c>
      <c r="AH3677" s="20">
        <v>-2587.7167481219722</v>
      </c>
    </row>
    <row r="3678" spans="1:34" ht="14.5" x14ac:dyDescent="0.35">
      <c r="A3678" s="34"/>
      <c r="B3678" s="35"/>
      <c r="C3678" s="36"/>
      <c r="D3678" s="37"/>
      <c r="E3678" s="36"/>
      <c r="F3678" s="42"/>
      <c r="G3678" s="42"/>
      <c r="H3678" s="42"/>
      <c r="AG3678" s="19">
        <v>3677</v>
      </c>
      <c r="AH3678" s="20">
        <v>1365.6621680055559</v>
      </c>
    </row>
    <row r="3679" spans="1:34" ht="14.5" x14ac:dyDescent="0.35">
      <c r="A3679" s="34"/>
      <c r="B3679" s="35"/>
      <c r="C3679" s="36"/>
      <c r="D3679" s="37"/>
      <c r="E3679" s="36"/>
      <c r="F3679" s="42"/>
      <c r="G3679" s="42"/>
      <c r="H3679" s="42"/>
      <c r="AG3679" s="19">
        <v>3678</v>
      </c>
      <c r="AH3679" s="20">
        <v>-449.58797061758963</v>
      </c>
    </row>
    <row r="3680" spans="1:34" ht="14.5" x14ac:dyDescent="0.35">
      <c r="A3680" s="34"/>
      <c r="B3680" s="35"/>
      <c r="C3680" s="36"/>
      <c r="D3680" s="37"/>
      <c r="E3680" s="36"/>
      <c r="F3680" s="42"/>
      <c r="G3680" s="42"/>
      <c r="H3680" s="42"/>
      <c r="AG3680" s="19">
        <v>3679</v>
      </c>
      <c r="AH3680" s="20">
        <v>3739.6082020841209</v>
      </c>
    </row>
    <row r="3681" spans="1:34" ht="14.5" x14ac:dyDescent="0.35">
      <c r="A3681" s="34"/>
      <c r="B3681" s="35"/>
      <c r="C3681" s="36"/>
      <c r="D3681" s="37"/>
      <c r="E3681" s="36"/>
      <c r="F3681" s="42"/>
      <c r="G3681" s="42"/>
      <c r="H3681" s="42"/>
      <c r="AG3681" s="19">
        <v>3680</v>
      </c>
      <c r="AH3681" s="20">
        <v>897.78678095719556</v>
      </c>
    </row>
    <row r="3682" spans="1:34" ht="14.5" x14ac:dyDescent="0.35">
      <c r="A3682" s="34"/>
      <c r="B3682" s="35"/>
      <c r="C3682" s="36"/>
      <c r="D3682" s="37"/>
      <c r="E3682" s="36"/>
      <c r="F3682" s="42"/>
      <c r="G3682" s="42"/>
      <c r="H3682" s="42"/>
      <c r="AG3682" s="19">
        <v>3681</v>
      </c>
      <c r="AH3682" s="20">
        <v>3340.3478020774901</v>
      </c>
    </row>
    <row r="3683" spans="1:34" ht="14.5" x14ac:dyDescent="0.35">
      <c r="A3683" s="34"/>
      <c r="B3683" s="35"/>
      <c r="C3683" s="36"/>
      <c r="D3683" s="37"/>
      <c r="E3683" s="36"/>
      <c r="F3683" s="42"/>
      <c r="G3683" s="42"/>
      <c r="H3683" s="42"/>
      <c r="AG3683" s="19">
        <v>3682</v>
      </c>
      <c r="AH3683" s="20">
        <v>1358.6655942634902</v>
      </c>
    </row>
    <row r="3684" spans="1:34" ht="14.5" x14ac:dyDescent="0.35">
      <c r="A3684" s="34"/>
      <c r="B3684" s="35"/>
      <c r="C3684" s="36"/>
      <c r="D3684" s="37"/>
      <c r="E3684" s="36"/>
      <c r="F3684" s="42"/>
      <c r="G3684" s="42"/>
      <c r="H3684" s="42"/>
      <c r="AG3684" s="19">
        <v>3683</v>
      </c>
      <c r="AH3684" s="20">
        <v>-422.23365034987825</v>
      </c>
    </row>
    <row r="3685" spans="1:34" ht="14.5" x14ac:dyDescent="0.35">
      <c r="A3685" s="34"/>
      <c r="B3685" s="35"/>
      <c r="C3685" s="36"/>
      <c r="D3685" s="37"/>
      <c r="E3685" s="36"/>
      <c r="F3685" s="42"/>
      <c r="G3685" s="42"/>
      <c r="H3685" s="42"/>
      <c r="AG3685" s="19">
        <v>3684</v>
      </c>
      <c r="AH3685" s="20">
        <v>-1004.9325140335466</v>
      </c>
    </row>
    <row r="3686" spans="1:34" ht="14.5" x14ac:dyDescent="0.35">
      <c r="A3686" s="34"/>
      <c r="B3686" s="35"/>
      <c r="C3686" s="36"/>
      <c r="D3686" s="37"/>
      <c r="E3686" s="36"/>
      <c r="F3686" s="42"/>
      <c r="G3686" s="42"/>
      <c r="H3686" s="42"/>
      <c r="AG3686" s="19">
        <v>3685</v>
      </c>
      <c r="AH3686" s="20">
        <v>-2253.9667876020671</v>
      </c>
    </row>
    <row r="3687" spans="1:34" ht="14.5" x14ac:dyDescent="0.35">
      <c r="A3687" s="34"/>
      <c r="B3687" s="35"/>
      <c r="C3687" s="36"/>
      <c r="D3687" s="37"/>
      <c r="E3687" s="36"/>
      <c r="F3687" s="42"/>
      <c r="G3687" s="42"/>
      <c r="H3687" s="42"/>
      <c r="AG3687" s="19">
        <v>3686</v>
      </c>
      <c r="AH3687" s="20">
        <v>-1482.1867746446662</v>
      </c>
    </row>
    <row r="3688" spans="1:34" ht="14.5" x14ac:dyDescent="0.35">
      <c r="A3688" s="34"/>
      <c r="B3688" s="35"/>
      <c r="C3688" s="36"/>
      <c r="D3688" s="37"/>
      <c r="E3688" s="36"/>
      <c r="F3688" s="42"/>
      <c r="G3688" s="42"/>
      <c r="H3688" s="42"/>
      <c r="AG3688" s="19">
        <v>3687</v>
      </c>
      <c r="AH3688" s="20">
        <v>-972.84562553626733</v>
      </c>
    </row>
    <row r="3689" spans="1:34" ht="14.5" x14ac:dyDescent="0.35">
      <c r="A3689" s="34"/>
      <c r="B3689" s="35"/>
      <c r="C3689" s="36"/>
      <c r="D3689" s="37"/>
      <c r="E3689" s="36"/>
      <c r="F3689" s="42"/>
      <c r="G3689" s="42"/>
      <c r="H3689" s="42"/>
      <c r="AG3689" s="19">
        <v>3688</v>
      </c>
      <c r="AH3689" s="20">
        <v>-700.26222181086723</v>
      </c>
    </row>
    <row r="3690" spans="1:34" ht="14.5" x14ac:dyDescent="0.35">
      <c r="A3690" s="34"/>
      <c r="B3690" s="35"/>
      <c r="C3690" s="36"/>
      <c r="D3690" s="37"/>
      <c r="E3690" s="36"/>
      <c r="F3690" s="42"/>
      <c r="G3690" s="42"/>
      <c r="H3690" s="42"/>
      <c r="AG3690" s="19">
        <v>3689</v>
      </c>
      <c r="AH3690" s="20">
        <v>-3450.2642490574171</v>
      </c>
    </row>
    <row r="3691" spans="1:34" ht="14.5" x14ac:dyDescent="0.35">
      <c r="A3691" s="34"/>
      <c r="B3691" s="35"/>
      <c r="C3691" s="36"/>
      <c r="D3691" s="37"/>
      <c r="E3691" s="36"/>
      <c r="F3691" s="42"/>
      <c r="G3691" s="42"/>
      <c r="H3691" s="42"/>
      <c r="AG3691" s="19">
        <v>3690</v>
      </c>
      <c r="AH3691" s="20">
        <v>-1299.8346082667276</v>
      </c>
    </row>
    <row r="3692" spans="1:34" ht="14.5" x14ac:dyDescent="0.35">
      <c r="A3692" s="34"/>
      <c r="B3692" s="35"/>
      <c r="C3692" s="36"/>
      <c r="D3692" s="37"/>
      <c r="E3692" s="36"/>
      <c r="F3692" s="42"/>
      <c r="G3692" s="42"/>
      <c r="H3692" s="42"/>
      <c r="AG3692" s="19">
        <v>3691</v>
      </c>
      <c r="AH3692" s="20">
        <v>-275.54659098270616</v>
      </c>
    </row>
    <row r="3693" spans="1:34" ht="14.5" x14ac:dyDescent="0.35">
      <c r="A3693" s="34"/>
      <c r="B3693" s="35"/>
      <c r="C3693" s="36"/>
      <c r="D3693" s="37"/>
      <c r="E3693" s="36"/>
      <c r="F3693" s="42"/>
      <c r="G3693" s="42"/>
      <c r="H3693" s="42"/>
      <c r="AG3693" s="19">
        <v>3692</v>
      </c>
      <c r="AH3693" s="20">
        <v>-1493.1022314137233</v>
      </c>
    </row>
    <row r="3694" spans="1:34" ht="14.5" x14ac:dyDescent="0.35">
      <c r="A3694" s="34"/>
      <c r="B3694" s="35"/>
      <c r="C3694" s="36"/>
      <c r="D3694" s="37"/>
      <c r="E3694" s="36"/>
      <c r="F3694" s="42"/>
      <c r="G3694" s="42"/>
      <c r="H3694" s="42"/>
      <c r="AG3694" s="19">
        <v>3693</v>
      </c>
      <c r="AH3694" s="20">
        <v>2211.1712147740382</v>
      </c>
    </row>
    <row r="3695" spans="1:34" ht="14.5" x14ac:dyDescent="0.35">
      <c r="A3695" s="34"/>
      <c r="B3695" s="35"/>
      <c r="C3695" s="36"/>
      <c r="D3695" s="37"/>
      <c r="E3695" s="36"/>
      <c r="F3695" s="42"/>
      <c r="G3695" s="42"/>
      <c r="H3695" s="42"/>
      <c r="AG3695" s="19">
        <v>3694</v>
      </c>
      <c r="AH3695" s="20">
        <v>2298.4849162431015</v>
      </c>
    </row>
    <row r="3696" spans="1:34" ht="14.5" x14ac:dyDescent="0.35">
      <c r="A3696" s="34"/>
      <c r="B3696" s="35"/>
      <c r="C3696" s="36"/>
      <c r="D3696" s="37"/>
      <c r="E3696" s="36"/>
      <c r="F3696" s="42"/>
      <c r="G3696" s="42"/>
      <c r="H3696" s="42"/>
      <c r="AG3696" s="19">
        <v>3695</v>
      </c>
      <c r="AH3696" s="20">
        <v>-354.95966975904656</v>
      </c>
    </row>
    <row r="3697" spans="1:34" ht="14.5" x14ac:dyDescent="0.35">
      <c r="A3697" s="34"/>
      <c r="B3697" s="35"/>
      <c r="C3697" s="36"/>
      <c r="D3697" s="37"/>
      <c r="E3697" s="36"/>
      <c r="F3697" s="42"/>
      <c r="G3697" s="42"/>
      <c r="H3697" s="42"/>
      <c r="AG3697" s="19">
        <v>3696</v>
      </c>
      <c r="AH3697" s="20">
        <v>700.61760130364939</v>
      </c>
    </row>
    <row r="3698" spans="1:34" ht="14.5" x14ac:dyDescent="0.35">
      <c r="A3698" s="34"/>
      <c r="B3698" s="35"/>
      <c r="C3698" s="36"/>
      <c r="D3698" s="37"/>
      <c r="E3698" s="36"/>
      <c r="F3698" s="42"/>
      <c r="G3698" s="42"/>
      <c r="H3698" s="42"/>
      <c r="AG3698" s="19">
        <v>3697</v>
      </c>
      <c r="AH3698" s="20">
        <v>1044.8361954787108</v>
      </c>
    </row>
    <row r="3699" spans="1:34" ht="14.5" x14ac:dyDescent="0.35">
      <c r="A3699" s="34"/>
      <c r="B3699" s="35"/>
      <c r="C3699" s="36"/>
      <c r="D3699" s="37"/>
      <c r="E3699" s="36"/>
      <c r="F3699" s="42"/>
      <c r="G3699" s="42"/>
      <c r="H3699" s="42"/>
      <c r="AG3699" s="19">
        <v>3698</v>
      </c>
      <c r="AH3699" s="20">
        <v>-1386.5549605717981</v>
      </c>
    </row>
    <row r="3700" spans="1:34" ht="14.5" x14ac:dyDescent="0.35">
      <c r="A3700" s="34"/>
      <c r="B3700" s="35"/>
      <c r="C3700" s="36"/>
      <c r="D3700" s="37"/>
      <c r="E3700" s="36"/>
      <c r="F3700" s="42"/>
      <c r="G3700" s="42"/>
      <c r="H3700" s="42"/>
      <c r="AG3700" s="19">
        <v>3699</v>
      </c>
      <c r="AH3700" s="20">
        <v>2569.1428495034893</v>
      </c>
    </row>
    <row r="3701" spans="1:34" ht="14.5" x14ac:dyDescent="0.35">
      <c r="A3701" s="34"/>
      <c r="B3701" s="35"/>
      <c r="C3701" s="36"/>
      <c r="D3701" s="37"/>
      <c r="E3701" s="36"/>
      <c r="F3701" s="42"/>
      <c r="G3701" s="42"/>
      <c r="H3701" s="42"/>
      <c r="AG3701" s="19">
        <v>3700</v>
      </c>
      <c r="AH3701" s="20">
        <v>963.17657224972822</v>
      </c>
    </row>
    <row r="3702" spans="1:34" ht="14.5" x14ac:dyDescent="0.35">
      <c r="A3702" s="34"/>
      <c r="B3702" s="35"/>
      <c r="C3702" s="36"/>
      <c r="D3702" s="37"/>
      <c r="E3702" s="36"/>
      <c r="F3702" s="42"/>
      <c r="G3702" s="42"/>
      <c r="H3702" s="42"/>
      <c r="AG3702" s="19">
        <v>3701</v>
      </c>
      <c r="AH3702" s="20">
        <v>-1145.7554689809876</v>
      </c>
    </row>
    <row r="3703" spans="1:34" ht="14.5" x14ac:dyDescent="0.35">
      <c r="A3703" s="34"/>
      <c r="B3703" s="35"/>
      <c r="C3703" s="36"/>
      <c r="D3703" s="37"/>
      <c r="E3703" s="36"/>
      <c r="F3703" s="42"/>
      <c r="G3703" s="42"/>
      <c r="H3703" s="42"/>
      <c r="AG3703" s="19">
        <v>3702</v>
      </c>
      <c r="AH3703" s="20">
        <v>2238.6871640225231</v>
      </c>
    </row>
    <row r="3704" spans="1:34" ht="14.5" x14ac:dyDescent="0.35">
      <c r="A3704" s="34"/>
      <c r="B3704" s="35"/>
      <c r="C3704" s="36"/>
      <c r="D3704" s="37"/>
      <c r="E3704" s="36"/>
      <c r="F3704" s="42"/>
      <c r="G3704" s="42"/>
      <c r="H3704" s="42"/>
      <c r="AG3704" s="19">
        <v>3703</v>
      </c>
      <c r="AH3704" s="20">
        <v>-268.74152403307386</v>
      </c>
    </row>
    <row r="3705" spans="1:34" ht="14.5" x14ac:dyDescent="0.35">
      <c r="A3705" s="34"/>
      <c r="B3705" s="35"/>
      <c r="C3705" s="36"/>
      <c r="D3705" s="37"/>
      <c r="E3705" s="36"/>
      <c r="F3705" s="42"/>
      <c r="G3705" s="42"/>
      <c r="H3705" s="42"/>
      <c r="AG3705" s="19">
        <v>3704</v>
      </c>
      <c r="AH3705" s="20">
        <v>486.64597729464907</v>
      </c>
    </row>
    <row r="3706" spans="1:34" ht="14.5" x14ac:dyDescent="0.35">
      <c r="A3706" s="34"/>
      <c r="B3706" s="35"/>
      <c r="C3706" s="36"/>
      <c r="D3706" s="37"/>
      <c r="E3706" s="36"/>
      <c r="F3706" s="42"/>
      <c r="G3706" s="42"/>
      <c r="H3706" s="42"/>
      <c r="AG3706" s="19">
        <v>3705</v>
      </c>
      <c r="AH3706" s="20">
        <v>1531.1751635983796</v>
      </c>
    </row>
    <row r="3707" spans="1:34" ht="14.5" x14ac:dyDescent="0.35">
      <c r="A3707" s="34"/>
      <c r="B3707" s="35"/>
      <c r="C3707" s="36"/>
      <c r="D3707" s="37"/>
      <c r="E3707" s="36"/>
      <c r="F3707" s="42"/>
      <c r="G3707" s="42"/>
      <c r="H3707" s="42"/>
      <c r="AG3707" s="19">
        <v>3706</v>
      </c>
      <c r="AH3707" s="20">
        <v>-468.54055004746118</v>
      </c>
    </row>
    <row r="3708" spans="1:34" ht="14.5" x14ac:dyDescent="0.35">
      <c r="A3708" s="34"/>
      <c r="B3708" s="35"/>
      <c r="C3708" s="36"/>
      <c r="D3708" s="37"/>
      <c r="E3708" s="36"/>
      <c r="F3708" s="42"/>
      <c r="G3708" s="42"/>
      <c r="H3708" s="42"/>
      <c r="AG3708" s="19">
        <v>3707</v>
      </c>
      <c r="AH3708" s="20">
        <v>-716.44001299134788</v>
      </c>
    </row>
    <row r="3709" spans="1:34" ht="14.5" x14ac:dyDescent="0.35">
      <c r="A3709" s="34"/>
      <c r="B3709" s="35"/>
      <c r="C3709" s="36"/>
      <c r="D3709" s="37"/>
      <c r="E3709" s="36"/>
      <c r="F3709" s="42"/>
      <c r="G3709" s="42"/>
      <c r="H3709" s="42"/>
      <c r="AG3709" s="19">
        <v>3708</v>
      </c>
      <c r="AH3709" s="20">
        <v>3378.4938709295784</v>
      </c>
    </row>
    <row r="3710" spans="1:34" ht="14.5" x14ac:dyDescent="0.35">
      <c r="A3710" s="34"/>
      <c r="B3710" s="35"/>
      <c r="C3710" s="36"/>
      <c r="D3710" s="37"/>
      <c r="E3710" s="36"/>
      <c r="F3710" s="42"/>
      <c r="G3710" s="42"/>
      <c r="H3710" s="42"/>
      <c r="AG3710" s="19">
        <v>3709</v>
      </c>
      <c r="AH3710" s="20">
        <v>-1265.9502545688804</v>
      </c>
    </row>
    <row r="3711" spans="1:34" ht="14.5" x14ac:dyDescent="0.35">
      <c r="A3711" s="34"/>
      <c r="B3711" s="35"/>
      <c r="C3711" s="36"/>
      <c r="D3711" s="37"/>
      <c r="E3711" s="36"/>
      <c r="F3711" s="42"/>
      <c r="G3711" s="42"/>
      <c r="H3711" s="42"/>
      <c r="AG3711" s="19">
        <v>3710</v>
      </c>
      <c r="AH3711" s="20">
        <v>333.64682083837806</v>
      </c>
    </row>
    <row r="3712" spans="1:34" ht="14.5" x14ac:dyDescent="0.35">
      <c r="A3712" s="34"/>
      <c r="B3712" s="35"/>
      <c r="C3712" s="36"/>
      <c r="D3712" s="37"/>
      <c r="E3712" s="36"/>
      <c r="F3712" s="42"/>
      <c r="G3712" s="42"/>
      <c r="H3712" s="42"/>
      <c r="AG3712" s="19">
        <v>3711</v>
      </c>
      <c r="AH3712" s="20">
        <v>6526.9271646434008</v>
      </c>
    </row>
    <row r="3713" spans="1:34" ht="14.5" x14ac:dyDescent="0.35">
      <c r="A3713" s="34"/>
      <c r="B3713" s="35"/>
      <c r="C3713" s="36"/>
      <c r="D3713" s="37"/>
      <c r="E3713" s="36"/>
      <c r="F3713" s="42"/>
      <c r="G3713" s="42"/>
      <c r="H3713" s="42"/>
      <c r="AG3713" s="19">
        <v>3712</v>
      </c>
      <c r="AH3713" s="20">
        <v>245.49751892008265</v>
      </c>
    </row>
    <row r="3714" spans="1:34" ht="14.5" x14ac:dyDescent="0.35">
      <c r="A3714" s="34"/>
      <c r="B3714" s="35"/>
      <c r="C3714" s="36"/>
      <c r="D3714" s="37"/>
      <c r="E3714" s="36"/>
      <c r="F3714" s="42"/>
      <c r="G3714" s="42"/>
      <c r="H3714" s="42"/>
      <c r="AG3714" s="19">
        <v>3713</v>
      </c>
      <c r="AH3714" s="20">
        <v>1989.7823541337173</v>
      </c>
    </row>
    <row r="3715" spans="1:34" ht="14.5" x14ac:dyDescent="0.35">
      <c r="A3715" s="34"/>
      <c r="B3715" s="35"/>
      <c r="C3715" s="36"/>
      <c r="D3715" s="37"/>
      <c r="E3715" s="36"/>
      <c r="F3715" s="42"/>
      <c r="G3715" s="42"/>
      <c r="H3715" s="42"/>
      <c r="AG3715" s="19">
        <v>3714</v>
      </c>
      <c r="AH3715" s="20">
        <v>-2370.1880907990217</v>
      </c>
    </row>
    <row r="3716" spans="1:34" ht="14.5" x14ac:dyDescent="0.35">
      <c r="A3716" s="34"/>
      <c r="B3716" s="35"/>
      <c r="C3716" s="36"/>
      <c r="D3716" s="37"/>
      <c r="E3716" s="36"/>
      <c r="F3716" s="42"/>
      <c r="G3716" s="42"/>
      <c r="H3716" s="42"/>
      <c r="AG3716" s="19">
        <v>3715</v>
      </c>
      <c r="AH3716" s="20">
        <v>1957.5393820575816</v>
      </c>
    </row>
    <row r="3717" spans="1:34" ht="14.5" x14ac:dyDescent="0.35">
      <c r="A3717" s="34"/>
      <c r="B3717" s="35"/>
      <c r="C3717" s="36"/>
      <c r="D3717" s="37"/>
      <c r="E3717" s="36"/>
      <c r="F3717" s="42"/>
      <c r="G3717" s="42"/>
      <c r="H3717" s="42"/>
      <c r="AG3717" s="19">
        <v>3716</v>
      </c>
      <c r="AH3717" s="20">
        <v>2720.0989059895778</v>
      </c>
    </row>
    <row r="3718" spans="1:34" ht="14.5" x14ac:dyDescent="0.35">
      <c r="A3718" s="34"/>
      <c r="B3718" s="35"/>
      <c r="C3718" s="36"/>
      <c r="D3718" s="37"/>
      <c r="E3718" s="36"/>
      <c r="F3718" s="42"/>
      <c r="G3718" s="42"/>
      <c r="H3718" s="42"/>
      <c r="AG3718" s="19">
        <v>3717</v>
      </c>
      <c r="AH3718" s="20">
        <v>-1274.3967554264832</v>
      </c>
    </row>
    <row r="3719" spans="1:34" ht="14.5" x14ac:dyDescent="0.35">
      <c r="A3719" s="34"/>
      <c r="B3719" s="35"/>
      <c r="C3719" s="36"/>
      <c r="D3719" s="37"/>
      <c r="E3719" s="36"/>
      <c r="F3719" s="42"/>
      <c r="G3719" s="42"/>
      <c r="H3719" s="42"/>
      <c r="AG3719" s="19">
        <v>3718</v>
      </c>
      <c r="AH3719" s="20">
        <v>811.02292659471709</v>
      </c>
    </row>
    <row r="3720" spans="1:34" ht="14.5" x14ac:dyDescent="0.35">
      <c r="A3720" s="34"/>
      <c r="B3720" s="35"/>
      <c r="C3720" s="36"/>
      <c r="D3720" s="37"/>
      <c r="E3720" s="36"/>
      <c r="F3720" s="42"/>
      <c r="G3720" s="42"/>
      <c r="H3720" s="42"/>
      <c r="AG3720" s="19">
        <v>3719</v>
      </c>
      <c r="AH3720" s="20">
        <v>3629.5745691456227</v>
      </c>
    </row>
    <row r="3721" spans="1:34" ht="14.5" x14ac:dyDescent="0.35">
      <c r="A3721" s="34"/>
      <c r="B3721" s="35"/>
      <c r="C3721" s="36"/>
      <c r="D3721" s="37"/>
      <c r="E3721" s="36"/>
      <c r="F3721" s="42"/>
      <c r="G3721" s="42"/>
      <c r="H3721" s="42"/>
      <c r="AG3721" s="19">
        <v>3720</v>
      </c>
      <c r="AH3721" s="20">
        <v>2406.9314413409825</v>
      </c>
    </row>
    <row r="3722" spans="1:34" ht="14.5" x14ac:dyDescent="0.35">
      <c r="A3722" s="34"/>
      <c r="B3722" s="35"/>
      <c r="C3722" s="36"/>
      <c r="D3722" s="37"/>
      <c r="E3722" s="36"/>
      <c r="F3722" s="42"/>
      <c r="G3722" s="42"/>
      <c r="H3722" s="42"/>
      <c r="AG3722" s="19">
        <v>3721</v>
      </c>
      <c r="AH3722" s="20">
        <v>-2528.8517473491256</v>
      </c>
    </row>
    <row r="3723" spans="1:34" ht="14.5" x14ac:dyDescent="0.35">
      <c r="A3723" s="34"/>
      <c r="B3723" s="35"/>
      <c r="C3723" s="36"/>
      <c r="D3723" s="37"/>
      <c r="E3723" s="36"/>
      <c r="F3723" s="42"/>
      <c r="G3723" s="42"/>
      <c r="H3723" s="42"/>
      <c r="AG3723" s="19">
        <v>3722</v>
      </c>
      <c r="AH3723" s="20">
        <v>-1866.8743461394804</v>
      </c>
    </row>
    <row r="3724" spans="1:34" ht="14.5" x14ac:dyDescent="0.35">
      <c r="A3724" s="34"/>
      <c r="B3724" s="35"/>
      <c r="C3724" s="36"/>
      <c r="D3724" s="37"/>
      <c r="E3724" s="36"/>
      <c r="F3724" s="42"/>
      <c r="G3724" s="42"/>
      <c r="H3724" s="42"/>
      <c r="AG3724" s="19">
        <v>3723</v>
      </c>
      <c r="AH3724" s="20">
        <v>2914.1558064551896</v>
      </c>
    </row>
    <row r="3725" spans="1:34" ht="14.5" x14ac:dyDescent="0.35">
      <c r="A3725" s="34"/>
      <c r="B3725" s="35"/>
      <c r="C3725" s="36"/>
      <c r="D3725" s="37"/>
      <c r="E3725" s="36"/>
      <c r="F3725" s="42"/>
      <c r="G3725" s="42"/>
      <c r="H3725" s="42"/>
      <c r="AG3725" s="19">
        <v>3724</v>
      </c>
      <c r="AH3725" s="20">
        <v>1108.6426384146102</v>
      </c>
    </row>
    <row r="3726" spans="1:34" ht="14.5" x14ac:dyDescent="0.35">
      <c r="A3726" s="34"/>
      <c r="B3726" s="35"/>
      <c r="C3726" s="36"/>
      <c r="D3726" s="37"/>
      <c r="E3726" s="36"/>
      <c r="F3726" s="42"/>
      <c r="G3726" s="42"/>
      <c r="H3726" s="42"/>
      <c r="AG3726" s="19">
        <v>3725</v>
      </c>
      <c r="AH3726" s="20">
        <v>-3108.5758745746339</v>
      </c>
    </row>
    <row r="3727" spans="1:34" ht="14.5" x14ac:dyDescent="0.35">
      <c r="A3727" s="34"/>
      <c r="B3727" s="35"/>
      <c r="C3727" s="36"/>
      <c r="D3727" s="37"/>
      <c r="E3727" s="36"/>
      <c r="F3727" s="42"/>
      <c r="G3727" s="42"/>
      <c r="H3727" s="42"/>
      <c r="AG3727" s="19">
        <v>3726</v>
      </c>
      <c r="AH3727" s="20">
        <v>365.31994369815897</v>
      </c>
    </row>
    <row r="3728" spans="1:34" ht="14.5" x14ac:dyDescent="0.35">
      <c r="A3728" s="34"/>
      <c r="B3728" s="35"/>
      <c r="C3728" s="36"/>
      <c r="D3728" s="37"/>
      <c r="E3728" s="36"/>
      <c r="F3728" s="42"/>
      <c r="G3728" s="42"/>
      <c r="H3728" s="42"/>
      <c r="AG3728" s="19">
        <v>3727</v>
      </c>
      <c r="AH3728" s="20">
        <v>2103.6452292707932</v>
      </c>
    </row>
    <row r="3729" spans="1:34" ht="14.5" x14ac:dyDescent="0.35">
      <c r="A3729" s="34"/>
      <c r="B3729" s="35"/>
      <c r="C3729" s="36"/>
      <c r="D3729" s="37"/>
      <c r="E3729" s="36"/>
      <c r="F3729" s="42"/>
      <c r="G3729" s="42"/>
      <c r="H3729" s="42"/>
      <c r="AG3729" s="19">
        <v>3728</v>
      </c>
      <c r="AH3729" s="20">
        <v>1638.8500071989524</v>
      </c>
    </row>
    <row r="3730" spans="1:34" ht="14.5" x14ac:dyDescent="0.35">
      <c r="A3730" s="34"/>
      <c r="B3730" s="35"/>
      <c r="C3730" s="36"/>
      <c r="D3730" s="37"/>
      <c r="E3730" s="36"/>
      <c r="F3730" s="42"/>
      <c r="G3730" s="42"/>
      <c r="H3730" s="42"/>
      <c r="AG3730" s="19">
        <v>3729</v>
      </c>
      <c r="AH3730" s="20">
        <v>302.74231189512136</v>
      </c>
    </row>
    <row r="3731" spans="1:34" ht="14.5" x14ac:dyDescent="0.35">
      <c r="A3731" s="34"/>
      <c r="B3731" s="35"/>
      <c r="C3731" s="36"/>
      <c r="D3731" s="37"/>
      <c r="E3731" s="36"/>
      <c r="F3731" s="42"/>
      <c r="G3731" s="42"/>
      <c r="H3731" s="42"/>
      <c r="AG3731" s="19">
        <v>3730</v>
      </c>
      <c r="AH3731" s="20">
        <v>2256.1021761546472</v>
      </c>
    </row>
    <row r="3732" spans="1:34" ht="14.5" x14ac:dyDescent="0.35">
      <c r="A3732" s="34"/>
      <c r="B3732" s="35"/>
      <c r="C3732" s="36"/>
      <c r="D3732" s="37"/>
      <c r="E3732" s="36"/>
      <c r="F3732" s="42"/>
      <c r="G3732" s="42"/>
      <c r="H3732" s="42"/>
      <c r="AG3732" s="19">
        <v>3731</v>
      </c>
      <c r="AH3732" s="20">
        <v>2590.0692213653501</v>
      </c>
    </row>
    <row r="3733" spans="1:34" ht="14.5" x14ac:dyDescent="0.35">
      <c r="A3733" s="34"/>
      <c r="B3733" s="35"/>
      <c r="C3733" s="36"/>
      <c r="D3733" s="37"/>
      <c r="E3733" s="36"/>
      <c r="F3733" s="42"/>
      <c r="G3733" s="42"/>
      <c r="H3733" s="42"/>
      <c r="AG3733" s="19">
        <v>3732</v>
      </c>
      <c r="AH3733" s="20">
        <v>1334.6880955111099</v>
      </c>
    </row>
    <row r="3734" spans="1:34" ht="14.5" x14ac:dyDescent="0.35">
      <c r="A3734" s="34"/>
      <c r="B3734" s="35"/>
      <c r="C3734" s="36"/>
      <c r="D3734" s="37"/>
      <c r="E3734" s="36"/>
      <c r="F3734" s="42"/>
      <c r="G3734" s="42"/>
      <c r="H3734" s="42"/>
      <c r="AG3734" s="19">
        <v>3733</v>
      </c>
      <c r="AH3734" s="20">
        <v>-1482.571376878826</v>
      </c>
    </row>
    <row r="3735" spans="1:34" ht="14.5" x14ac:dyDescent="0.35">
      <c r="A3735" s="34"/>
      <c r="B3735" s="35"/>
      <c r="C3735" s="36"/>
      <c r="D3735" s="37"/>
      <c r="E3735" s="36"/>
      <c r="F3735" s="42"/>
      <c r="G3735" s="42"/>
      <c r="H3735" s="42"/>
      <c r="AG3735" s="19">
        <v>3734</v>
      </c>
      <c r="AH3735" s="20">
        <v>178.56410568965612</v>
      </c>
    </row>
    <row r="3736" spans="1:34" ht="14.5" x14ac:dyDescent="0.35">
      <c r="A3736" s="34"/>
      <c r="B3736" s="35"/>
      <c r="C3736" s="36"/>
      <c r="D3736" s="37"/>
      <c r="E3736" s="36"/>
      <c r="F3736" s="42"/>
      <c r="G3736" s="42"/>
      <c r="H3736" s="42"/>
      <c r="AG3736" s="19">
        <v>3735</v>
      </c>
      <c r="AH3736" s="20">
        <v>-5253.0353639384193</v>
      </c>
    </row>
    <row r="3737" spans="1:34" ht="14.5" x14ac:dyDescent="0.35">
      <c r="A3737" s="34"/>
      <c r="B3737" s="35"/>
      <c r="C3737" s="36"/>
      <c r="D3737" s="37"/>
      <c r="E3737" s="36"/>
      <c r="F3737" s="42"/>
      <c r="G3737" s="42"/>
      <c r="H3737" s="42"/>
      <c r="AG3737" s="19">
        <v>3736</v>
      </c>
      <c r="AH3737" s="20">
        <v>-359.12665225642019</v>
      </c>
    </row>
    <row r="3738" spans="1:34" ht="14.5" x14ac:dyDescent="0.35">
      <c r="A3738" s="34"/>
      <c r="B3738" s="35"/>
      <c r="C3738" s="36"/>
      <c r="D3738" s="37"/>
      <c r="E3738" s="36"/>
      <c r="F3738" s="42"/>
      <c r="G3738" s="42"/>
      <c r="H3738" s="42"/>
      <c r="AG3738" s="19">
        <v>3737</v>
      </c>
      <c r="AH3738" s="20">
        <v>-1401.7364977286238</v>
      </c>
    </row>
    <row r="3739" spans="1:34" ht="14.5" x14ac:dyDescent="0.35">
      <c r="A3739" s="34"/>
      <c r="B3739" s="35"/>
      <c r="C3739" s="36"/>
      <c r="D3739" s="37"/>
      <c r="E3739" s="36"/>
      <c r="F3739" s="42"/>
      <c r="G3739" s="42"/>
      <c r="H3739" s="42"/>
      <c r="AG3739" s="19">
        <v>3738</v>
      </c>
      <c r="AH3739" s="20">
        <v>-2243.1120791235207</v>
      </c>
    </row>
    <row r="3740" spans="1:34" ht="14.5" x14ac:dyDescent="0.35">
      <c r="A3740" s="34"/>
      <c r="B3740" s="35"/>
      <c r="C3740" s="36"/>
      <c r="D3740" s="37"/>
      <c r="E3740" s="36"/>
      <c r="F3740" s="42"/>
      <c r="G3740" s="42"/>
      <c r="H3740" s="42"/>
      <c r="AG3740" s="19">
        <v>3739</v>
      </c>
      <c r="AH3740" s="20">
        <v>3868.2532937221067</v>
      </c>
    </row>
    <row r="3741" spans="1:34" ht="14.5" x14ac:dyDescent="0.35">
      <c r="A3741" s="34"/>
      <c r="B3741" s="35"/>
      <c r="C3741" s="36"/>
      <c r="D3741" s="37"/>
      <c r="E3741" s="36"/>
      <c r="F3741" s="42"/>
      <c r="G3741" s="42"/>
      <c r="H3741" s="42"/>
      <c r="AG3741" s="19">
        <v>3740</v>
      </c>
      <c r="AH3741" s="20">
        <v>-4323.1124876907761</v>
      </c>
    </row>
    <row r="3742" spans="1:34" ht="14.5" x14ac:dyDescent="0.35">
      <c r="A3742" s="34"/>
      <c r="B3742" s="35"/>
      <c r="C3742" s="36"/>
      <c r="D3742" s="37"/>
      <c r="E3742" s="36"/>
      <c r="F3742" s="42"/>
      <c r="G3742" s="42"/>
      <c r="H3742" s="42"/>
      <c r="AG3742" s="19">
        <v>3741</v>
      </c>
      <c r="AH3742" s="20">
        <v>-993.92199117390692</v>
      </c>
    </row>
    <row r="3743" spans="1:34" ht="14.5" x14ac:dyDescent="0.35">
      <c r="A3743" s="34"/>
      <c r="B3743" s="35"/>
      <c r="C3743" s="36"/>
      <c r="D3743" s="37"/>
      <c r="E3743" s="36"/>
      <c r="F3743" s="42"/>
      <c r="G3743" s="42"/>
      <c r="H3743" s="42"/>
      <c r="AG3743" s="19">
        <v>3742</v>
      </c>
      <c r="AH3743" s="20">
        <v>-1329.6579389480682</v>
      </c>
    </row>
    <row r="3744" spans="1:34" ht="14.5" x14ac:dyDescent="0.35">
      <c r="A3744" s="34"/>
      <c r="B3744" s="35"/>
      <c r="C3744" s="36"/>
      <c r="D3744" s="37"/>
      <c r="E3744" s="36"/>
      <c r="F3744" s="42"/>
      <c r="G3744" s="42"/>
      <c r="H3744" s="42"/>
      <c r="AG3744" s="19">
        <v>3743</v>
      </c>
      <c r="AH3744" s="20">
        <v>3952.2337112252862</v>
      </c>
    </row>
    <row r="3745" spans="1:34" ht="14.5" x14ac:dyDescent="0.35">
      <c r="A3745" s="34"/>
      <c r="B3745" s="35"/>
      <c r="C3745" s="36"/>
      <c r="D3745" s="37"/>
      <c r="E3745" s="36"/>
      <c r="F3745" s="42"/>
      <c r="G3745" s="42"/>
      <c r="H3745" s="42"/>
      <c r="AG3745" s="19">
        <v>3744</v>
      </c>
      <c r="AH3745" s="20">
        <v>1496.5025374052793</v>
      </c>
    </row>
    <row r="3746" spans="1:34" ht="14.5" x14ac:dyDescent="0.35">
      <c r="A3746" s="34"/>
      <c r="B3746" s="35"/>
      <c r="C3746" s="36"/>
      <c r="D3746" s="37"/>
      <c r="E3746" s="36"/>
      <c r="F3746" s="42"/>
      <c r="G3746" s="42"/>
      <c r="H3746" s="42"/>
      <c r="AG3746" s="19">
        <v>3745</v>
      </c>
      <c r="AH3746" s="20">
        <v>238.78600670445996</v>
      </c>
    </row>
    <row r="3747" spans="1:34" ht="14.5" x14ac:dyDescent="0.35">
      <c r="A3747" s="34"/>
      <c r="B3747" s="35"/>
      <c r="C3747" s="36"/>
      <c r="D3747" s="37"/>
      <c r="E3747" s="36"/>
      <c r="F3747" s="42"/>
      <c r="G3747" s="42"/>
      <c r="H3747" s="42"/>
      <c r="AG3747" s="19">
        <v>3746</v>
      </c>
      <c r="AH3747" s="20">
        <v>3028.3472617076454</v>
      </c>
    </row>
    <row r="3748" spans="1:34" ht="14.5" x14ac:dyDescent="0.35">
      <c r="A3748" s="34"/>
      <c r="B3748" s="35"/>
      <c r="C3748" s="36"/>
      <c r="D3748" s="37"/>
      <c r="E3748" s="36"/>
      <c r="F3748" s="42"/>
      <c r="G3748" s="42"/>
      <c r="H3748" s="42"/>
      <c r="AG3748" s="19">
        <v>3747</v>
      </c>
      <c r="AH3748" s="20">
        <v>-517.45354218556099</v>
      </c>
    </row>
    <row r="3749" spans="1:34" ht="14.5" x14ac:dyDescent="0.35">
      <c r="A3749" s="34"/>
      <c r="B3749" s="35"/>
      <c r="C3749" s="36"/>
      <c r="D3749" s="37"/>
      <c r="E3749" s="36"/>
      <c r="F3749" s="42"/>
      <c r="G3749" s="42"/>
      <c r="H3749" s="42"/>
      <c r="AG3749" s="19">
        <v>3748</v>
      </c>
      <c r="AH3749" s="20">
        <v>3410.6656284625269</v>
      </c>
    </row>
    <row r="3750" spans="1:34" ht="14.5" x14ac:dyDescent="0.35">
      <c r="A3750" s="34"/>
      <c r="B3750" s="35"/>
      <c r="C3750" s="36"/>
      <c r="D3750" s="37"/>
      <c r="E3750" s="36"/>
      <c r="F3750" s="42"/>
      <c r="G3750" s="42"/>
      <c r="H3750" s="42"/>
      <c r="AG3750" s="19">
        <v>3749</v>
      </c>
      <c r="AH3750" s="20">
        <v>497.58557761040652</v>
      </c>
    </row>
    <row r="3751" spans="1:34" ht="14.5" x14ac:dyDescent="0.35">
      <c r="A3751" s="34"/>
      <c r="B3751" s="35"/>
      <c r="C3751" s="36"/>
      <c r="D3751" s="37"/>
      <c r="E3751" s="36"/>
      <c r="F3751" s="42"/>
      <c r="G3751" s="42"/>
      <c r="H3751" s="42"/>
      <c r="AG3751" s="19">
        <v>3750</v>
      </c>
      <c r="AH3751" s="20">
        <v>1564.9478554905838</v>
      </c>
    </row>
    <row r="3752" spans="1:34" ht="14.5" x14ac:dyDescent="0.35">
      <c r="A3752" s="34"/>
      <c r="B3752" s="35"/>
      <c r="C3752" s="36"/>
      <c r="D3752" s="37"/>
      <c r="E3752" s="36"/>
      <c r="F3752" s="42"/>
      <c r="G3752" s="42"/>
      <c r="H3752" s="42"/>
      <c r="AG3752" s="19">
        <v>3751</v>
      </c>
      <c r="AH3752" s="20">
        <v>-1348.7614441894423</v>
      </c>
    </row>
    <row r="3753" spans="1:34" ht="14.5" x14ac:dyDescent="0.35">
      <c r="A3753" s="34"/>
      <c r="B3753" s="35"/>
      <c r="C3753" s="36"/>
      <c r="D3753" s="37"/>
      <c r="E3753" s="36"/>
      <c r="F3753" s="42"/>
      <c r="G3753" s="42"/>
      <c r="H3753" s="42"/>
      <c r="AG3753" s="19">
        <v>3752</v>
      </c>
      <c r="AH3753" s="20">
        <v>1745.9935154579441</v>
      </c>
    </row>
    <row r="3754" spans="1:34" ht="14.5" x14ac:dyDescent="0.35">
      <c r="A3754" s="34"/>
      <c r="B3754" s="35"/>
      <c r="C3754" s="36"/>
      <c r="D3754" s="37"/>
      <c r="E3754" s="36"/>
      <c r="F3754" s="42"/>
      <c r="G3754" s="42"/>
      <c r="H3754" s="42"/>
      <c r="AG3754" s="19">
        <v>3753</v>
      </c>
      <c r="AH3754" s="20">
        <v>1817.2862890631864</v>
      </c>
    </row>
    <row r="3755" spans="1:34" ht="14.5" x14ac:dyDescent="0.35">
      <c r="A3755" s="34"/>
      <c r="B3755" s="35"/>
      <c r="C3755" s="36"/>
      <c r="D3755" s="37"/>
      <c r="E3755" s="36"/>
      <c r="F3755" s="42"/>
      <c r="G3755" s="42"/>
      <c r="H3755" s="42"/>
      <c r="AG3755" s="19">
        <v>3754</v>
      </c>
      <c r="AH3755" s="20">
        <v>-987.19335194214273</v>
      </c>
    </row>
    <row r="3756" spans="1:34" ht="14.5" x14ac:dyDescent="0.35">
      <c r="A3756" s="34"/>
      <c r="B3756" s="35"/>
      <c r="C3756" s="36"/>
      <c r="D3756" s="37"/>
      <c r="E3756" s="36"/>
      <c r="F3756" s="42"/>
      <c r="G3756" s="42"/>
      <c r="H3756" s="42"/>
      <c r="AG3756" s="19">
        <v>3755</v>
      </c>
      <c r="AH3756" s="20">
        <v>5225.4909964387716</v>
      </c>
    </row>
    <row r="3757" spans="1:34" ht="14.5" x14ac:dyDescent="0.35">
      <c r="A3757" s="34"/>
      <c r="B3757" s="35"/>
      <c r="C3757" s="36"/>
      <c r="D3757" s="37"/>
      <c r="E3757" s="36"/>
      <c r="F3757" s="42"/>
      <c r="G3757" s="42"/>
      <c r="H3757" s="42"/>
      <c r="AG3757" s="19">
        <v>3756</v>
      </c>
      <c r="AH3757" s="20">
        <v>-5278.5255998881985</v>
      </c>
    </row>
    <row r="3758" spans="1:34" ht="14.5" x14ac:dyDescent="0.35">
      <c r="A3758" s="34"/>
      <c r="B3758" s="35"/>
      <c r="C3758" s="36"/>
      <c r="D3758" s="37"/>
      <c r="E3758" s="36"/>
      <c r="F3758" s="42"/>
      <c r="G3758" s="42"/>
      <c r="H3758" s="42"/>
      <c r="AG3758" s="19">
        <v>3757</v>
      </c>
      <c r="AH3758" s="20">
        <v>-1166.1381558030848</v>
      </c>
    </row>
    <row r="3759" spans="1:34" ht="14.5" x14ac:dyDescent="0.35">
      <c r="A3759" s="34"/>
      <c r="B3759" s="35"/>
      <c r="C3759" s="36"/>
      <c r="D3759" s="37"/>
      <c r="E3759" s="36"/>
      <c r="F3759" s="42"/>
      <c r="G3759" s="42"/>
      <c r="H3759" s="42"/>
      <c r="AG3759" s="19">
        <v>3758</v>
      </c>
      <c r="AH3759" s="20">
        <v>-581.15353472888251</v>
      </c>
    </row>
    <row r="3760" spans="1:34" ht="14.5" x14ac:dyDescent="0.35">
      <c r="A3760" s="34"/>
      <c r="B3760" s="35"/>
      <c r="C3760" s="36"/>
      <c r="D3760" s="37"/>
      <c r="E3760" s="36"/>
      <c r="F3760" s="42"/>
      <c r="G3760" s="42"/>
      <c r="H3760" s="42"/>
      <c r="AG3760" s="19">
        <v>3759</v>
      </c>
      <c r="AH3760" s="20">
        <v>1192.939167522753</v>
      </c>
    </row>
    <row r="3761" spans="1:34" ht="14.5" x14ac:dyDescent="0.35">
      <c r="A3761" s="34"/>
      <c r="B3761" s="35"/>
      <c r="C3761" s="36"/>
      <c r="D3761" s="37"/>
      <c r="E3761" s="36"/>
      <c r="F3761" s="42"/>
      <c r="G3761" s="42"/>
      <c r="H3761" s="42"/>
      <c r="AG3761" s="19">
        <v>3760</v>
      </c>
      <c r="AH3761" s="20">
        <v>-224.60424249857039</v>
      </c>
    </row>
    <row r="3762" spans="1:34" ht="14.5" x14ac:dyDescent="0.35">
      <c r="A3762" s="34"/>
      <c r="B3762" s="35"/>
      <c r="C3762" s="36"/>
      <c r="D3762" s="37"/>
      <c r="E3762" s="36"/>
      <c r="F3762" s="42"/>
      <c r="G3762" s="42"/>
      <c r="H3762" s="42"/>
      <c r="AG3762" s="19">
        <v>3761</v>
      </c>
      <c r="AH3762" s="20">
        <v>1409.0220379256637</v>
      </c>
    </row>
    <row r="3763" spans="1:34" ht="14.5" x14ac:dyDescent="0.35">
      <c r="A3763" s="34"/>
      <c r="B3763" s="35"/>
      <c r="C3763" s="36"/>
      <c r="D3763" s="37"/>
      <c r="E3763" s="36"/>
      <c r="F3763" s="42"/>
      <c r="G3763" s="42"/>
      <c r="H3763" s="42"/>
      <c r="AG3763" s="19">
        <v>3762</v>
      </c>
      <c r="AH3763" s="20">
        <v>-736.84789081859685</v>
      </c>
    </row>
    <row r="3764" spans="1:34" ht="14.5" x14ac:dyDescent="0.35">
      <c r="A3764" s="34"/>
      <c r="B3764" s="35"/>
      <c r="C3764" s="36"/>
      <c r="D3764" s="37"/>
      <c r="E3764" s="36"/>
      <c r="F3764" s="42"/>
      <c r="G3764" s="42"/>
      <c r="H3764" s="42"/>
      <c r="AG3764" s="19">
        <v>3763</v>
      </c>
      <c r="AH3764" s="20">
        <v>522.85165725906882</v>
      </c>
    </row>
    <row r="3765" spans="1:34" ht="14.5" x14ac:dyDescent="0.35">
      <c r="A3765" s="34"/>
      <c r="B3765" s="35"/>
      <c r="C3765" s="36"/>
      <c r="D3765" s="37"/>
      <c r="E3765" s="36"/>
      <c r="F3765" s="42"/>
      <c r="G3765" s="42"/>
      <c r="H3765" s="42"/>
      <c r="AG3765" s="19">
        <v>3764</v>
      </c>
      <c r="AH3765" s="20">
        <v>1880.7442087738712</v>
      </c>
    </row>
    <row r="3766" spans="1:34" ht="14.5" x14ac:dyDescent="0.35">
      <c r="A3766" s="34"/>
      <c r="B3766" s="35"/>
      <c r="C3766" s="36"/>
      <c r="D3766" s="37"/>
      <c r="E3766" s="36"/>
      <c r="F3766" s="42"/>
      <c r="G3766" s="42"/>
      <c r="H3766" s="42"/>
      <c r="AG3766" s="19">
        <v>3765</v>
      </c>
      <c r="AH3766" s="20">
        <v>1.1986765762696336</v>
      </c>
    </row>
    <row r="3767" spans="1:34" ht="14.5" x14ac:dyDescent="0.35">
      <c r="A3767" s="34"/>
      <c r="B3767" s="35"/>
      <c r="C3767" s="36"/>
      <c r="D3767" s="37"/>
      <c r="E3767" s="36"/>
      <c r="F3767" s="42"/>
      <c r="G3767" s="42"/>
      <c r="H3767" s="42"/>
      <c r="AG3767" s="19">
        <v>3766</v>
      </c>
      <c r="AH3767" s="20">
        <v>-2986.1719992476951</v>
      </c>
    </row>
    <row r="3768" spans="1:34" ht="14.5" x14ac:dyDescent="0.35">
      <c r="A3768" s="34"/>
      <c r="B3768" s="35"/>
      <c r="C3768" s="36"/>
      <c r="D3768" s="37"/>
      <c r="E3768" s="36"/>
      <c r="F3768" s="42"/>
      <c r="G3768" s="42"/>
      <c r="H3768" s="42"/>
      <c r="AG3768" s="19">
        <v>3767</v>
      </c>
      <c r="AH3768" s="20">
        <v>-1384.2507202284824</v>
      </c>
    </row>
    <row r="3769" spans="1:34" ht="14.5" x14ac:dyDescent="0.35">
      <c r="A3769" s="34"/>
      <c r="B3769" s="35"/>
      <c r="C3769" s="36"/>
      <c r="D3769" s="37"/>
      <c r="E3769" s="36"/>
      <c r="F3769" s="42"/>
      <c r="G3769" s="42"/>
      <c r="H3769" s="42"/>
      <c r="AG3769" s="19">
        <v>3768</v>
      </c>
      <c r="AH3769" s="20">
        <v>-2232.709253525129</v>
      </c>
    </row>
    <row r="3770" spans="1:34" ht="14.5" x14ac:dyDescent="0.35">
      <c r="A3770" s="34"/>
      <c r="B3770" s="35"/>
      <c r="C3770" s="36"/>
      <c r="D3770" s="37"/>
      <c r="E3770" s="36"/>
      <c r="F3770" s="42"/>
      <c r="G3770" s="42"/>
      <c r="H3770" s="42"/>
      <c r="AG3770" s="19">
        <v>3769</v>
      </c>
      <c r="AH3770" s="20">
        <v>3883.0233618356574</v>
      </c>
    </row>
    <row r="3771" spans="1:34" ht="14.5" x14ac:dyDescent="0.35">
      <c r="A3771" s="34"/>
      <c r="B3771" s="35"/>
      <c r="C3771" s="36"/>
      <c r="D3771" s="37"/>
      <c r="E3771" s="36"/>
      <c r="F3771" s="42"/>
      <c r="G3771" s="42"/>
      <c r="H3771" s="42"/>
      <c r="AG3771" s="19">
        <v>3770</v>
      </c>
      <c r="AH3771" s="20">
        <v>2565.0606787523197</v>
      </c>
    </row>
    <row r="3772" spans="1:34" ht="14.5" x14ac:dyDescent="0.35">
      <c r="A3772" s="34"/>
      <c r="B3772" s="35"/>
      <c r="C3772" s="36"/>
      <c r="D3772" s="37"/>
      <c r="E3772" s="36"/>
      <c r="F3772" s="42"/>
      <c r="G3772" s="42"/>
      <c r="H3772" s="42"/>
      <c r="AG3772" s="19">
        <v>3771</v>
      </c>
      <c r="AH3772" s="20">
        <v>-2519.4588338186099</v>
      </c>
    </row>
    <row r="3773" spans="1:34" ht="14.5" x14ac:dyDescent="0.35">
      <c r="A3773" s="34"/>
      <c r="B3773" s="35"/>
      <c r="C3773" s="36"/>
      <c r="D3773" s="37"/>
      <c r="E3773" s="36"/>
      <c r="F3773" s="42"/>
      <c r="G3773" s="42"/>
      <c r="H3773" s="42"/>
      <c r="AG3773" s="19">
        <v>3772</v>
      </c>
      <c r="AH3773" s="20">
        <v>1318.7394790603103</v>
      </c>
    </row>
    <row r="3774" spans="1:34" ht="14.5" x14ac:dyDescent="0.35">
      <c r="A3774" s="34"/>
      <c r="B3774" s="35"/>
      <c r="C3774" s="36"/>
      <c r="D3774" s="37"/>
      <c r="E3774" s="36"/>
      <c r="F3774" s="42"/>
      <c r="G3774" s="42"/>
      <c r="H3774" s="42"/>
      <c r="AG3774" s="19">
        <v>3773</v>
      </c>
      <c r="AH3774" s="20">
        <v>156.10286449029567</v>
      </c>
    </row>
    <row r="3775" spans="1:34" ht="14.5" x14ac:dyDescent="0.35">
      <c r="A3775" s="34"/>
      <c r="B3775" s="35"/>
      <c r="C3775" s="36"/>
      <c r="D3775" s="37"/>
      <c r="E3775" s="36"/>
      <c r="F3775" s="42"/>
      <c r="G3775" s="42"/>
      <c r="H3775" s="42"/>
      <c r="AG3775" s="19">
        <v>3774</v>
      </c>
      <c r="AH3775" s="20">
        <v>-1654.8041728951946</v>
      </c>
    </row>
    <row r="3776" spans="1:34" ht="14.5" x14ac:dyDescent="0.35">
      <c r="A3776" s="34"/>
      <c r="B3776" s="35"/>
      <c r="C3776" s="36"/>
      <c r="D3776" s="37"/>
      <c r="E3776" s="36"/>
      <c r="F3776" s="42"/>
      <c r="G3776" s="42"/>
      <c r="H3776" s="42"/>
      <c r="AG3776" s="19">
        <v>3775</v>
      </c>
      <c r="AH3776" s="20">
        <v>489.10164784312713</v>
      </c>
    </row>
    <row r="3777" spans="1:34" ht="14.5" x14ac:dyDescent="0.35">
      <c r="A3777" s="34"/>
      <c r="B3777" s="35"/>
      <c r="C3777" s="36"/>
      <c r="D3777" s="37"/>
      <c r="E3777" s="36"/>
      <c r="F3777" s="42"/>
      <c r="G3777" s="42"/>
      <c r="H3777" s="42"/>
      <c r="AG3777" s="19">
        <v>3776</v>
      </c>
      <c r="AH3777" s="20">
        <v>1374.521977148456</v>
      </c>
    </row>
    <row r="3778" spans="1:34" ht="14.5" x14ac:dyDescent="0.35">
      <c r="A3778" s="34"/>
      <c r="B3778" s="35"/>
      <c r="C3778" s="36"/>
      <c r="D3778" s="37"/>
      <c r="E3778" s="36"/>
      <c r="F3778" s="42"/>
      <c r="G3778" s="42"/>
      <c r="H3778" s="42"/>
      <c r="AG3778" s="19">
        <v>3777</v>
      </c>
      <c r="AH3778" s="20">
        <v>3433.8661286853403</v>
      </c>
    </row>
    <row r="3779" spans="1:34" ht="14.5" x14ac:dyDescent="0.35">
      <c r="A3779" s="34"/>
      <c r="B3779" s="35"/>
      <c r="C3779" s="36"/>
      <c r="D3779" s="37"/>
      <c r="E3779" s="36"/>
      <c r="F3779" s="42"/>
      <c r="G3779" s="42"/>
      <c r="H3779" s="42"/>
      <c r="AG3779" s="19">
        <v>3778</v>
      </c>
      <c r="AH3779" s="20">
        <v>3238.8827135165047</v>
      </c>
    </row>
    <row r="3780" spans="1:34" ht="14.5" x14ac:dyDescent="0.35">
      <c r="A3780" s="34"/>
      <c r="B3780" s="35"/>
      <c r="C3780" s="36"/>
      <c r="D3780" s="37"/>
      <c r="E3780" s="36"/>
      <c r="F3780" s="42"/>
      <c r="G3780" s="42"/>
      <c r="H3780" s="42"/>
      <c r="AG3780" s="19">
        <v>3779</v>
      </c>
      <c r="AH3780" s="20">
        <v>1230.6357648315177</v>
      </c>
    </row>
    <row r="3781" spans="1:34" ht="14.5" x14ac:dyDescent="0.35">
      <c r="A3781" s="34"/>
      <c r="B3781" s="35"/>
      <c r="C3781" s="36"/>
      <c r="D3781" s="37"/>
      <c r="E3781" s="36"/>
      <c r="F3781" s="42"/>
      <c r="G3781" s="42"/>
      <c r="H3781" s="42"/>
      <c r="AG3781" s="19">
        <v>3780</v>
      </c>
      <c r="AH3781" s="20">
        <v>-270.97387675698729</v>
      </c>
    </row>
    <row r="3782" spans="1:34" ht="14.5" x14ac:dyDescent="0.35">
      <c r="A3782" s="34"/>
      <c r="B3782" s="35"/>
      <c r="C3782" s="36"/>
      <c r="D3782" s="37"/>
      <c r="E3782" s="36"/>
      <c r="F3782" s="42"/>
      <c r="G3782" s="42"/>
      <c r="H3782" s="42"/>
      <c r="AG3782" s="19">
        <v>3781</v>
      </c>
      <c r="AH3782" s="20">
        <v>1597.2042148320973</v>
      </c>
    </row>
    <row r="3783" spans="1:34" ht="14.5" x14ac:dyDescent="0.35">
      <c r="A3783" s="34"/>
      <c r="B3783" s="35"/>
      <c r="C3783" s="36"/>
      <c r="D3783" s="37"/>
      <c r="E3783" s="36"/>
      <c r="F3783" s="42"/>
      <c r="G3783" s="42"/>
      <c r="H3783" s="42"/>
      <c r="AG3783" s="19">
        <v>3782</v>
      </c>
      <c r="AH3783" s="20">
        <v>-2362.9779809479828</v>
      </c>
    </row>
    <row r="3784" spans="1:34" ht="14.5" x14ac:dyDescent="0.35">
      <c r="A3784" s="34"/>
      <c r="B3784" s="35"/>
      <c r="C3784" s="36"/>
      <c r="D3784" s="37"/>
      <c r="E3784" s="36"/>
      <c r="F3784" s="42"/>
      <c r="G3784" s="42"/>
      <c r="H3784" s="42"/>
      <c r="AG3784" s="19">
        <v>3783</v>
      </c>
      <c r="AH3784" s="20">
        <v>2045.9452139215891</v>
      </c>
    </row>
    <row r="3785" spans="1:34" ht="14.5" x14ac:dyDescent="0.35">
      <c r="A3785" s="34"/>
      <c r="B3785" s="35"/>
      <c r="C3785" s="36"/>
      <c r="D3785" s="37"/>
      <c r="E3785" s="36"/>
      <c r="F3785" s="42"/>
      <c r="G3785" s="42"/>
      <c r="H3785" s="42"/>
      <c r="AG3785" s="19">
        <v>3784</v>
      </c>
      <c r="AH3785" s="20">
        <v>1389.9875152974403</v>
      </c>
    </row>
    <row r="3786" spans="1:34" ht="14.5" x14ac:dyDescent="0.35">
      <c r="A3786" s="34"/>
      <c r="B3786" s="35"/>
      <c r="C3786" s="36"/>
      <c r="D3786" s="37"/>
      <c r="E3786" s="36"/>
      <c r="F3786" s="42"/>
      <c r="G3786" s="42"/>
      <c r="H3786" s="42"/>
      <c r="AG3786" s="19">
        <v>3785</v>
      </c>
      <c r="AH3786" s="20">
        <v>-3160.1311820146902</v>
      </c>
    </row>
    <row r="3787" spans="1:34" ht="14.5" x14ac:dyDescent="0.35">
      <c r="A3787" s="34"/>
      <c r="B3787" s="35"/>
      <c r="C3787" s="36"/>
      <c r="D3787" s="37"/>
      <c r="E3787" s="36"/>
      <c r="F3787" s="42"/>
      <c r="G3787" s="42"/>
      <c r="H3787" s="42"/>
      <c r="AG3787" s="19">
        <v>3786</v>
      </c>
      <c r="AH3787" s="20">
        <v>750.20381852669357</v>
      </c>
    </row>
    <row r="3788" spans="1:34" ht="14.5" x14ac:dyDescent="0.35">
      <c r="A3788" s="34"/>
      <c r="B3788" s="35"/>
      <c r="C3788" s="36"/>
      <c r="D3788" s="37"/>
      <c r="E3788" s="36"/>
      <c r="F3788" s="42"/>
      <c r="G3788" s="42"/>
      <c r="H3788" s="42"/>
      <c r="AG3788" s="19">
        <v>3787</v>
      </c>
      <c r="AH3788" s="20">
        <v>-1420.2233150749148</v>
      </c>
    </row>
    <row r="3789" spans="1:34" ht="14.5" x14ac:dyDescent="0.35">
      <c r="A3789" s="34"/>
      <c r="B3789" s="35"/>
      <c r="C3789" s="36"/>
      <c r="D3789" s="37"/>
      <c r="E3789" s="36"/>
      <c r="F3789" s="42"/>
      <c r="G3789" s="42"/>
      <c r="H3789" s="42"/>
      <c r="AG3789" s="19">
        <v>3788</v>
      </c>
      <c r="AH3789" s="20">
        <v>2528.5252182973136</v>
      </c>
    </row>
    <row r="3790" spans="1:34" ht="14.5" x14ac:dyDescent="0.35">
      <c r="A3790" s="34"/>
      <c r="B3790" s="35"/>
      <c r="C3790" s="36"/>
      <c r="D3790" s="37"/>
      <c r="E3790" s="36"/>
      <c r="F3790" s="42"/>
      <c r="G3790" s="42"/>
      <c r="H3790" s="42"/>
      <c r="AG3790" s="19">
        <v>3789</v>
      </c>
      <c r="AH3790" s="20">
        <v>-1287.9510089872729</v>
      </c>
    </row>
    <row r="3791" spans="1:34" ht="14.5" x14ac:dyDescent="0.35">
      <c r="A3791" s="34"/>
      <c r="B3791" s="35"/>
      <c r="C3791" s="36"/>
      <c r="D3791" s="37"/>
      <c r="E3791" s="36"/>
      <c r="F3791" s="42"/>
      <c r="G3791" s="42"/>
      <c r="H3791" s="42"/>
      <c r="AG3791" s="19">
        <v>3790</v>
      </c>
      <c r="AH3791" s="20">
        <v>-2052.0607507675568</v>
      </c>
    </row>
    <row r="3792" spans="1:34" ht="14.5" x14ac:dyDescent="0.35">
      <c r="A3792" s="34"/>
      <c r="B3792" s="35"/>
      <c r="C3792" s="36"/>
      <c r="D3792" s="37"/>
      <c r="E3792" s="36"/>
      <c r="F3792" s="42"/>
      <c r="G3792" s="42"/>
      <c r="H3792" s="42"/>
      <c r="AG3792" s="19">
        <v>3791</v>
      </c>
      <c r="AH3792" s="20">
        <v>-2671.0099576514181</v>
      </c>
    </row>
    <row r="3793" spans="1:34" ht="14.5" x14ac:dyDescent="0.35">
      <c r="A3793" s="34"/>
      <c r="B3793" s="35"/>
      <c r="C3793" s="36"/>
      <c r="D3793" s="37"/>
      <c r="E3793" s="36"/>
      <c r="F3793" s="42"/>
      <c r="G3793" s="42"/>
      <c r="H3793" s="42"/>
      <c r="AG3793" s="19">
        <v>3792</v>
      </c>
      <c r="AH3793" s="20">
        <v>3527.4459855780287</v>
      </c>
    </row>
    <row r="3794" spans="1:34" ht="14.5" x14ac:dyDescent="0.35">
      <c r="A3794" s="34"/>
      <c r="B3794" s="35"/>
      <c r="C3794" s="36"/>
      <c r="D3794" s="37"/>
      <c r="E3794" s="36"/>
      <c r="F3794" s="42"/>
      <c r="G3794" s="42"/>
      <c r="H3794" s="42"/>
      <c r="AG3794" s="19">
        <v>3793</v>
      </c>
      <c r="AH3794" s="20">
        <v>1492.1971048394796</v>
      </c>
    </row>
    <row r="3795" spans="1:34" ht="14.5" x14ac:dyDescent="0.35">
      <c r="A3795" s="34"/>
      <c r="B3795" s="35"/>
      <c r="C3795" s="36"/>
      <c r="D3795" s="37"/>
      <c r="E3795" s="36"/>
      <c r="F3795" s="42"/>
      <c r="G3795" s="42"/>
      <c r="H3795" s="42"/>
      <c r="AG3795" s="19">
        <v>3794</v>
      </c>
      <c r="AH3795" s="20">
        <v>5178.9523550446384</v>
      </c>
    </row>
    <row r="3796" spans="1:34" ht="14.5" x14ac:dyDescent="0.35">
      <c r="A3796" s="34"/>
      <c r="B3796" s="35"/>
      <c r="C3796" s="36"/>
      <c r="D3796" s="37"/>
      <c r="E3796" s="36"/>
      <c r="F3796" s="42"/>
      <c r="G3796" s="42"/>
      <c r="H3796" s="42"/>
      <c r="AG3796" s="19">
        <v>3795</v>
      </c>
      <c r="AH3796" s="20">
        <v>5156.9694890950595</v>
      </c>
    </row>
    <row r="3797" spans="1:34" ht="14.5" x14ac:dyDescent="0.35">
      <c r="A3797" s="34"/>
      <c r="B3797" s="35"/>
      <c r="C3797" s="36"/>
      <c r="D3797" s="37"/>
      <c r="E3797" s="36"/>
      <c r="F3797" s="42"/>
      <c r="G3797" s="42"/>
      <c r="H3797" s="42"/>
      <c r="AG3797" s="19">
        <v>3796</v>
      </c>
      <c r="AH3797" s="20">
        <v>-249.82777237419526</v>
      </c>
    </row>
    <row r="3798" spans="1:34" ht="14.5" x14ac:dyDescent="0.35">
      <c r="A3798" s="34"/>
      <c r="B3798" s="35"/>
      <c r="C3798" s="36"/>
      <c r="D3798" s="37"/>
      <c r="E3798" s="36"/>
      <c r="F3798" s="42"/>
      <c r="G3798" s="42"/>
      <c r="H3798" s="42"/>
      <c r="AG3798" s="19">
        <v>3797</v>
      </c>
      <c r="AH3798" s="20">
        <v>2445.447566291989</v>
      </c>
    </row>
    <row r="3799" spans="1:34" ht="14.5" x14ac:dyDescent="0.35">
      <c r="A3799" s="34"/>
      <c r="B3799" s="35"/>
      <c r="C3799" s="36"/>
      <c r="D3799" s="37"/>
      <c r="E3799" s="36"/>
      <c r="F3799" s="42"/>
      <c r="G3799" s="42"/>
      <c r="H3799" s="42"/>
      <c r="AG3799" s="19">
        <v>3798</v>
      </c>
      <c r="AH3799" s="20">
        <v>4074.5728862172496</v>
      </c>
    </row>
    <row r="3800" spans="1:34" ht="14.5" x14ac:dyDescent="0.35">
      <c r="A3800" s="34"/>
      <c r="B3800" s="35"/>
      <c r="C3800" s="36"/>
      <c r="D3800" s="37"/>
      <c r="E3800" s="36"/>
      <c r="F3800" s="42"/>
      <c r="G3800" s="42"/>
      <c r="H3800" s="42"/>
      <c r="AG3800" s="19">
        <v>3799</v>
      </c>
      <c r="AH3800" s="20">
        <v>1288.1655103966884</v>
      </c>
    </row>
    <row r="3801" spans="1:34" ht="14.5" x14ac:dyDescent="0.35">
      <c r="A3801" s="34"/>
      <c r="B3801" s="35"/>
      <c r="C3801" s="36"/>
      <c r="D3801" s="37"/>
      <c r="E3801" s="36"/>
      <c r="F3801" s="42"/>
      <c r="G3801" s="42"/>
      <c r="H3801" s="42"/>
      <c r="AG3801" s="19">
        <v>3800</v>
      </c>
      <c r="AH3801" s="20">
        <v>2553.4389249027759</v>
      </c>
    </row>
    <row r="3802" spans="1:34" ht="14.5" x14ac:dyDescent="0.35">
      <c r="A3802" s="34"/>
      <c r="B3802" s="35"/>
      <c r="C3802" s="36"/>
      <c r="D3802" s="37"/>
      <c r="E3802" s="36"/>
      <c r="F3802" s="42"/>
      <c r="G3802" s="42"/>
      <c r="H3802" s="42"/>
      <c r="AG3802" s="19">
        <v>3801</v>
      </c>
      <c r="AH3802" s="20">
        <v>2572.1406866309367</v>
      </c>
    </row>
    <row r="3803" spans="1:34" ht="14.5" x14ac:dyDescent="0.35">
      <c r="A3803" s="34"/>
      <c r="B3803" s="35"/>
      <c r="C3803" s="36"/>
      <c r="D3803" s="37"/>
      <c r="E3803" s="36"/>
      <c r="F3803" s="42"/>
      <c r="G3803" s="42"/>
      <c r="H3803" s="42"/>
      <c r="AG3803" s="19">
        <v>3802</v>
      </c>
      <c r="AH3803" s="20">
        <v>-2526.6117040463891</v>
      </c>
    </row>
    <row r="3804" spans="1:34" ht="14.5" x14ac:dyDescent="0.35">
      <c r="A3804" s="34"/>
      <c r="B3804" s="35"/>
      <c r="C3804" s="36"/>
      <c r="D3804" s="37"/>
      <c r="E3804" s="36"/>
      <c r="F3804" s="42"/>
      <c r="G3804" s="42"/>
      <c r="H3804" s="42"/>
      <c r="AG3804" s="19">
        <v>3803</v>
      </c>
      <c r="AH3804" s="20">
        <v>-1010.789061999797</v>
      </c>
    </row>
    <row r="3805" spans="1:34" ht="14.5" x14ac:dyDescent="0.35">
      <c r="A3805" s="34"/>
      <c r="B3805" s="35"/>
      <c r="C3805" s="36"/>
      <c r="D3805" s="37"/>
      <c r="E3805" s="36"/>
      <c r="F3805" s="42"/>
      <c r="G3805" s="42"/>
      <c r="H3805" s="42"/>
      <c r="AG3805" s="19">
        <v>3804</v>
      </c>
      <c r="AH3805" s="20">
        <v>0.94133725939826718</v>
      </c>
    </row>
    <row r="3806" spans="1:34" ht="14.5" x14ac:dyDescent="0.35">
      <c r="A3806" s="34"/>
      <c r="B3806" s="35"/>
      <c r="C3806" s="36"/>
      <c r="D3806" s="37"/>
      <c r="E3806" s="36"/>
      <c r="F3806" s="42"/>
      <c r="G3806" s="42"/>
      <c r="H3806" s="42"/>
      <c r="AG3806" s="19">
        <v>3805</v>
      </c>
      <c r="AH3806" s="20">
        <v>743.51608686857185</v>
      </c>
    </row>
    <row r="3807" spans="1:34" ht="14.5" x14ac:dyDescent="0.35">
      <c r="A3807" s="34"/>
      <c r="B3807" s="35"/>
      <c r="C3807" s="36"/>
      <c r="D3807" s="37"/>
      <c r="E3807" s="36"/>
      <c r="F3807" s="42"/>
      <c r="G3807" s="42"/>
      <c r="H3807" s="42"/>
      <c r="AG3807" s="19">
        <v>3806</v>
      </c>
      <c r="AH3807" s="20">
        <v>460.97768297416997</v>
      </c>
    </row>
    <row r="3808" spans="1:34" ht="14.5" x14ac:dyDescent="0.35">
      <c r="A3808" s="34"/>
      <c r="B3808" s="35"/>
      <c r="C3808" s="36"/>
      <c r="D3808" s="37"/>
      <c r="E3808" s="36"/>
      <c r="F3808" s="42"/>
      <c r="G3808" s="42"/>
      <c r="H3808" s="42"/>
      <c r="AG3808" s="19">
        <v>3807</v>
      </c>
      <c r="AH3808" s="20">
        <v>502.98588096042852</v>
      </c>
    </row>
    <row r="3809" spans="1:34" ht="14.5" x14ac:dyDescent="0.35">
      <c r="A3809" s="34"/>
      <c r="B3809" s="35"/>
      <c r="C3809" s="36"/>
      <c r="D3809" s="37"/>
      <c r="E3809" s="36"/>
      <c r="F3809" s="42"/>
      <c r="G3809" s="42"/>
      <c r="H3809" s="42"/>
      <c r="AG3809" s="19">
        <v>3808</v>
      </c>
      <c r="AH3809" s="20">
        <v>-5768.4497591059599</v>
      </c>
    </row>
    <row r="3810" spans="1:34" ht="14.5" x14ac:dyDescent="0.35">
      <c r="A3810" s="34"/>
      <c r="B3810" s="35"/>
      <c r="C3810" s="36"/>
      <c r="D3810" s="37"/>
      <c r="E3810" s="36"/>
      <c r="F3810" s="42"/>
      <c r="G3810" s="42"/>
      <c r="H3810" s="42"/>
      <c r="AG3810" s="19">
        <v>3809</v>
      </c>
      <c r="AH3810" s="20">
        <v>186.11249936353551</v>
      </c>
    </row>
    <row r="3811" spans="1:34" ht="14.5" x14ac:dyDescent="0.35">
      <c r="A3811" s="34"/>
      <c r="B3811" s="35"/>
      <c r="C3811" s="36"/>
      <c r="D3811" s="37"/>
      <c r="E3811" s="36"/>
      <c r="F3811" s="42"/>
      <c r="G3811" s="42"/>
      <c r="H3811" s="42"/>
      <c r="AG3811" s="19">
        <v>3810</v>
      </c>
      <c r="AH3811" s="20">
        <v>1553.7575854675113</v>
      </c>
    </row>
    <row r="3812" spans="1:34" ht="14.5" x14ac:dyDescent="0.35">
      <c r="A3812" s="34"/>
      <c r="B3812" s="35"/>
      <c r="C3812" s="36"/>
      <c r="D3812" s="37"/>
      <c r="E3812" s="36"/>
      <c r="F3812" s="42"/>
      <c r="G3812" s="42"/>
      <c r="H3812" s="42"/>
      <c r="AG3812" s="19">
        <v>3811</v>
      </c>
      <c r="AH3812" s="20">
        <v>-4378.5200957801826</v>
      </c>
    </row>
    <row r="3813" spans="1:34" ht="14.5" x14ac:dyDescent="0.35">
      <c r="A3813" s="34"/>
      <c r="B3813" s="35"/>
      <c r="C3813" s="36"/>
      <c r="D3813" s="37"/>
      <c r="E3813" s="36"/>
      <c r="F3813" s="42"/>
      <c r="G3813" s="42"/>
      <c r="H3813" s="42"/>
      <c r="AG3813" s="19">
        <v>3812</v>
      </c>
      <c r="AH3813" s="20">
        <v>5116.2381170726694</v>
      </c>
    </row>
    <row r="3814" spans="1:34" ht="14.5" x14ac:dyDescent="0.35">
      <c r="A3814" s="34"/>
      <c r="B3814" s="35"/>
      <c r="C3814" s="36"/>
      <c r="D3814" s="37"/>
      <c r="E3814" s="36"/>
      <c r="F3814" s="42"/>
      <c r="G3814" s="42"/>
      <c r="H3814" s="42"/>
      <c r="AG3814" s="19">
        <v>3813</v>
      </c>
      <c r="AH3814" s="20">
        <v>-1253.214221101472</v>
      </c>
    </row>
    <row r="3815" spans="1:34" ht="14.5" x14ac:dyDescent="0.35">
      <c r="A3815" s="34"/>
      <c r="B3815" s="35"/>
      <c r="C3815" s="36"/>
      <c r="D3815" s="37"/>
      <c r="E3815" s="36"/>
      <c r="F3815" s="42"/>
      <c r="G3815" s="42"/>
      <c r="H3815" s="42"/>
      <c r="AG3815" s="19">
        <v>3814</v>
      </c>
      <c r="AH3815" s="20">
        <v>2168.4906997786006</v>
      </c>
    </row>
    <row r="3816" spans="1:34" ht="14.5" x14ac:dyDescent="0.35">
      <c r="A3816" s="34"/>
      <c r="B3816" s="35"/>
      <c r="C3816" s="36"/>
      <c r="D3816" s="37"/>
      <c r="E3816" s="36"/>
      <c r="F3816" s="42"/>
      <c r="G3816" s="42"/>
      <c r="H3816" s="42"/>
      <c r="AG3816" s="19">
        <v>3815</v>
      </c>
      <c r="AH3816" s="20">
        <v>-3714.9110659679282</v>
      </c>
    </row>
    <row r="3817" spans="1:34" ht="14.5" x14ac:dyDescent="0.35">
      <c r="A3817" s="34"/>
      <c r="B3817" s="35"/>
      <c r="C3817" s="36"/>
      <c r="D3817" s="37"/>
      <c r="E3817" s="36"/>
      <c r="F3817" s="42"/>
      <c r="G3817" s="42"/>
      <c r="H3817" s="42"/>
      <c r="AG3817" s="19">
        <v>3816</v>
      </c>
      <c r="AH3817" s="20">
        <v>2411.3917134336143</v>
      </c>
    </row>
    <row r="3818" spans="1:34" ht="14.5" x14ac:dyDescent="0.35">
      <c r="A3818" s="34"/>
      <c r="B3818" s="35"/>
      <c r="C3818" s="36"/>
      <c r="D3818" s="37"/>
      <c r="E3818" s="36"/>
      <c r="F3818" s="42"/>
      <c r="G3818" s="42"/>
      <c r="H3818" s="42"/>
      <c r="AG3818" s="19">
        <v>3817</v>
      </c>
      <c r="AH3818" s="20">
        <v>471.90632096547</v>
      </c>
    </row>
    <row r="3819" spans="1:34" ht="14.5" x14ac:dyDescent="0.35">
      <c r="A3819" s="34"/>
      <c r="B3819" s="35"/>
      <c r="C3819" s="36"/>
      <c r="D3819" s="37"/>
      <c r="E3819" s="36"/>
      <c r="F3819" s="42"/>
      <c r="G3819" s="42"/>
      <c r="H3819" s="42"/>
      <c r="AG3819" s="19">
        <v>3818</v>
      </c>
      <c r="AH3819" s="20">
        <v>-385.43501483961683</v>
      </c>
    </row>
    <row r="3820" spans="1:34" ht="14.5" x14ac:dyDescent="0.35">
      <c r="A3820" s="34"/>
      <c r="B3820" s="35"/>
      <c r="C3820" s="36"/>
      <c r="D3820" s="37"/>
      <c r="E3820" s="36"/>
      <c r="F3820" s="42"/>
      <c r="G3820" s="42"/>
      <c r="H3820" s="42"/>
      <c r="AG3820" s="19">
        <v>3819</v>
      </c>
      <c r="AH3820" s="20">
        <v>-1153.143807762702</v>
      </c>
    </row>
    <row r="3821" spans="1:34" ht="14.5" x14ac:dyDescent="0.35">
      <c r="A3821" s="34"/>
      <c r="B3821" s="35"/>
      <c r="C3821" s="36"/>
      <c r="D3821" s="37"/>
      <c r="E3821" s="36"/>
      <c r="F3821" s="42"/>
      <c r="G3821" s="42"/>
      <c r="H3821" s="42"/>
      <c r="AG3821" s="19">
        <v>3820</v>
      </c>
      <c r="AH3821" s="20">
        <v>764.33132480344739</v>
      </c>
    </row>
    <row r="3822" spans="1:34" ht="14.5" x14ac:dyDescent="0.35">
      <c r="A3822" s="34"/>
      <c r="B3822" s="35"/>
      <c r="C3822" s="36"/>
      <c r="D3822" s="37"/>
      <c r="E3822" s="36"/>
      <c r="F3822" s="42"/>
      <c r="G3822" s="42"/>
      <c r="H3822" s="42"/>
      <c r="AG3822" s="19">
        <v>3821</v>
      </c>
      <c r="AH3822" s="20">
        <v>-835.36779834813728</v>
      </c>
    </row>
    <row r="3823" spans="1:34" ht="14.5" x14ac:dyDescent="0.35">
      <c r="A3823" s="34"/>
      <c r="B3823" s="35"/>
      <c r="C3823" s="36"/>
      <c r="D3823" s="37"/>
      <c r="E3823" s="36"/>
      <c r="F3823" s="42"/>
      <c r="G3823" s="42"/>
      <c r="H3823" s="42"/>
      <c r="AG3823" s="19">
        <v>3822</v>
      </c>
      <c r="AH3823" s="20">
        <v>2172.6333118178813</v>
      </c>
    </row>
    <row r="3824" spans="1:34" ht="14.5" x14ac:dyDescent="0.35">
      <c r="A3824" s="34"/>
      <c r="B3824" s="35"/>
      <c r="C3824" s="36"/>
      <c r="D3824" s="37"/>
      <c r="E3824" s="36"/>
      <c r="F3824" s="42"/>
      <c r="G3824" s="42"/>
      <c r="H3824" s="42"/>
      <c r="AG3824" s="19">
        <v>3823</v>
      </c>
      <c r="AH3824" s="20">
        <v>-1858.8693718202951</v>
      </c>
    </row>
    <row r="3825" spans="1:34" ht="14.5" x14ac:dyDescent="0.35">
      <c r="A3825" s="34"/>
      <c r="B3825" s="35"/>
      <c r="C3825" s="36"/>
      <c r="D3825" s="37"/>
      <c r="E3825" s="36"/>
      <c r="F3825" s="42"/>
      <c r="G3825" s="42"/>
      <c r="H3825" s="42"/>
      <c r="AG3825" s="19">
        <v>3824</v>
      </c>
      <c r="AH3825" s="20">
        <v>274.61828578619981</v>
      </c>
    </row>
    <row r="3826" spans="1:34" ht="14.5" x14ac:dyDescent="0.35">
      <c r="A3826" s="34"/>
      <c r="B3826" s="35"/>
      <c r="C3826" s="36"/>
      <c r="D3826" s="37"/>
      <c r="E3826" s="36"/>
      <c r="F3826" s="42"/>
      <c r="G3826" s="42"/>
      <c r="H3826" s="42"/>
      <c r="AG3826" s="19">
        <v>3825</v>
      </c>
      <c r="AH3826" s="20">
        <v>5.6187531745856063</v>
      </c>
    </row>
    <row r="3827" spans="1:34" ht="14.5" x14ac:dyDescent="0.35">
      <c r="A3827" s="34"/>
      <c r="B3827" s="35"/>
      <c r="C3827" s="36"/>
      <c r="D3827" s="37"/>
      <c r="E3827" s="36"/>
      <c r="F3827" s="42"/>
      <c r="G3827" s="42"/>
      <c r="H3827" s="42"/>
      <c r="AG3827" s="19">
        <v>3826</v>
      </c>
      <c r="AH3827" s="20">
        <v>2822.8383002684582</v>
      </c>
    </row>
    <row r="3828" spans="1:34" ht="14.5" x14ac:dyDescent="0.35">
      <c r="A3828" s="34"/>
      <c r="B3828" s="35"/>
      <c r="C3828" s="36"/>
      <c r="D3828" s="37"/>
      <c r="E3828" s="36"/>
      <c r="F3828" s="42"/>
      <c r="G3828" s="42"/>
      <c r="H3828" s="42"/>
      <c r="AG3828" s="19">
        <v>3827</v>
      </c>
      <c r="AH3828" s="20">
        <v>431.2638929901882</v>
      </c>
    </row>
    <row r="3829" spans="1:34" ht="14.5" x14ac:dyDescent="0.35">
      <c r="A3829" s="34"/>
      <c r="B3829" s="35"/>
      <c r="C3829" s="36"/>
      <c r="D3829" s="37"/>
      <c r="E3829" s="36"/>
      <c r="F3829" s="42"/>
      <c r="G3829" s="42"/>
      <c r="H3829" s="42"/>
      <c r="AG3829" s="19">
        <v>3828</v>
      </c>
      <c r="AH3829" s="20">
        <v>2516.202645941562</v>
      </c>
    </row>
    <row r="3830" spans="1:34" ht="14.5" x14ac:dyDescent="0.35">
      <c r="A3830" s="34"/>
      <c r="B3830" s="35"/>
      <c r="C3830" s="36"/>
      <c r="D3830" s="37"/>
      <c r="E3830" s="36"/>
      <c r="F3830" s="42"/>
      <c r="G3830" s="42"/>
      <c r="H3830" s="42"/>
      <c r="AG3830" s="19">
        <v>3829</v>
      </c>
      <c r="AH3830" s="20">
        <v>664.91619097405339</v>
      </c>
    </row>
    <row r="3831" spans="1:34" ht="14.5" x14ac:dyDescent="0.35">
      <c r="A3831" s="34"/>
      <c r="B3831" s="35"/>
      <c r="C3831" s="36"/>
      <c r="D3831" s="37"/>
      <c r="E3831" s="36"/>
      <c r="F3831" s="42"/>
      <c r="G3831" s="42"/>
      <c r="H3831" s="42"/>
      <c r="AG3831" s="19">
        <v>3830</v>
      </c>
      <c r="AH3831" s="20">
        <v>1305.7690954201896</v>
      </c>
    </row>
    <row r="3832" spans="1:34" ht="14.5" x14ac:dyDescent="0.35">
      <c r="A3832" s="34"/>
      <c r="B3832" s="35"/>
      <c r="C3832" s="36"/>
      <c r="D3832" s="37"/>
      <c r="E3832" s="36"/>
      <c r="F3832" s="42"/>
      <c r="G3832" s="42"/>
      <c r="H3832" s="42"/>
      <c r="AG3832" s="19">
        <v>3831</v>
      </c>
      <c r="AH3832" s="20">
        <v>1929.6332737668533</v>
      </c>
    </row>
    <row r="3833" spans="1:34" ht="14.5" x14ac:dyDescent="0.35">
      <c r="A3833" s="34"/>
      <c r="B3833" s="35"/>
      <c r="C3833" s="36"/>
      <c r="D3833" s="37"/>
      <c r="E3833" s="36"/>
      <c r="F3833" s="42"/>
      <c r="G3833" s="42"/>
      <c r="H3833" s="42"/>
      <c r="AG3833" s="19">
        <v>3832</v>
      </c>
      <c r="AH3833" s="20">
        <v>-1556.3582735536636</v>
      </c>
    </row>
    <row r="3834" spans="1:34" ht="14.5" x14ac:dyDescent="0.35">
      <c r="A3834" s="34"/>
      <c r="B3834" s="35"/>
      <c r="C3834" s="36"/>
      <c r="D3834" s="37"/>
      <c r="E3834" s="36"/>
      <c r="F3834" s="42"/>
      <c r="G3834" s="42"/>
      <c r="H3834" s="42"/>
      <c r="AG3834" s="19">
        <v>3833</v>
      </c>
      <c r="AH3834" s="20">
        <v>-381.56811258883187</v>
      </c>
    </row>
    <row r="3835" spans="1:34" ht="14.5" x14ac:dyDescent="0.35">
      <c r="A3835" s="34"/>
      <c r="B3835" s="35"/>
      <c r="C3835" s="36"/>
      <c r="D3835" s="37"/>
      <c r="E3835" s="36"/>
      <c r="F3835" s="42"/>
      <c r="G3835" s="42"/>
      <c r="H3835" s="42"/>
      <c r="AG3835" s="19">
        <v>3834</v>
      </c>
      <c r="AH3835" s="20">
        <v>292.1064600256488</v>
      </c>
    </row>
    <row r="3836" spans="1:34" ht="14.5" x14ac:dyDescent="0.35">
      <c r="A3836" s="34"/>
      <c r="B3836" s="35"/>
      <c r="C3836" s="36"/>
      <c r="D3836" s="37"/>
      <c r="E3836" s="36"/>
      <c r="F3836" s="42"/>
      <c r="G3836" s="42"/>
      <c r="H3836" s="42"/>
      <c r="AG3836" s="19">
        <v>3835</v>
      </c>
      <c r="AH3836" s="20">
        <v>-701.23840152587263</v>
      </c>
    </row>
    <row r="3837" spans="1:34" ht="14.5" x14ac:dyDescent="0.35">
      <c r="A3837" s="34"/>
      <c r="B3837" s="35"/>
      <c r="C3837" s="36"/>
      <c r="D3837" s="37"/>
      <c r="E3837" s="36"/>
      <c r="F3837" s="42"/>
      <c r="G3837" s="42"/>
      <c r="H3837" s="42"/>
      <c r="AG3837" s="19">
        <v>3836</v>
      </c>
      <c r="AH3837" s="20">
        <v>-190.7613675250995</v>
      </c>
    </row>
    <row r="3838" spans="1:34" ht="14.5" x14ac:dyDescent="0.35">
      <c r="A3838" s="34"/>
      <c r="B3838" s="35"/>
      <c r="C3838" s="36"/>
      <c r="D3838" s="37"/>
      <c r="E3838" s="36"/>
      <c r="F3838" s="42"/>
      <c r="G3838" s="42"/>
      <c r="H3838" s="42"/>
      <c r="AG3838" s="19">
        <v>3837</v>
      </c>
      <c r="AH3838" s="20">
        <v>-765.90644352237723</v>
      </c>
    </row>
    <row r="3839" spans="1:34" ht="14.5" x14ac:dyDescent="0.35">
      <c r="A3839" s="34"/>
      <c r="B3839" s="35"/>
      <c r="C3839" s="36"/>
      <c r="D3839" s="37"/>
      <c r="E3839" s="36"/>
      <c r="F3839" s="42"/>
      <c r="G3839" s="42"/>
      <c r="H3839" s="42"/>
      <c r="AG3839" s="19">
        <v>3838</v>
      </c>
      <c r="AH3839" s="20">
        <v>232.31616441027359</v>
      </c>
    </row>
    <row r="3840" spans="1:34" ht="14.5" x14ac:dyDescent="0.35">
      <c r="A3840" s="34"/>
      <c r="B3840" s="35"/>
      <c r="C3840" s="36"/>
      <c r="D3840" s="37"/>
      <c r="E3840" s="36"/>
      <c r="F3840" s="42"/>
      <c r="G3840" s="42"/>
      <c r="H3840" s="42"/>
      <c r="AG3840" s="19">
        <v>3839</v>
      </c>
      <c r="AH3840" s="20">
        <v>754.12282673458367</v>
      </c>
    </row>
    <row r="3841" spans="1:34" ht="14.5" x14ac:dyDescent="0.35">
      <c r="A3841" s="34"/>
      <c r="B3841" s="35"/>
      <c r="C3841" s="36"/>
      <c r="D3841" s="37"/>
      <c r="E3841" s="36"/>
      <c r="F3841" s="42"/>
      <c r="G3841" s="42"/>
      <c r="H3841" s="42"/>
      <c r="AG3841" s="19">
        <v>3840</v>
      </c>
      <c r="AH3841" s="20">
        <v>1504.2015012275006</v>
      </c>
    </row>
    <row r="3842" spans="1:34" ht="14.5" x14ac:dyDescent="0.35">
      <c r="A3842" s="34"/>
      <c r="B3842" s="35"/>
      <c r="C3842" s="36"/>
      <c r="D3842" s="37"/>
      <c r="E3842" s="36"/>
      <c r="F3842" s="42"/>
      <c r="G3842" s="42"/>
      <c r="H3842" s="42"/>
      <c r="AG3842" s="19">
        <v>3841</v>
      </c>
      <c r="AH3842" s="20">
        <v>-308.90076950398389</v>
      </c>
    </row>
    <row r="3843" spans="1:34" ht="14.5" x14ac:dyDescent="0.35">
      <c r="A3843" s="34"/>
      <c r="B3843" s="35"/>
      <c r="C3843" s="36"/>
      <c r="D3843" s="37"/>
      <c r="E3843" s="36"/>
      <c r="F3843" s="42"/>
      <c r="G3843" s="42"/>
      <c r="H3843" s="42"/>
      <c r="AG3843" s="19">
        <v>3842</v>
      </c>
      <c r="AH3843" s="20">
        <v>1056.9008189342064</v>
      </c>
    </row>
    <row r="3844" spans="1:34" ht="14.5" x14ac:dyDescent="0.35">
      <c r="A3844" s="34"/>
      <c r="B3844" s="35"/>
      <c r="C3844" s="36"/>
      <c r="D3844" s="37"/>
      <c r="E3844" s="36"/>
      <c r="F3844" s="42"/>
      <c r="G3844" s="42"/>
      <c r="H3844" s="42"/>
      <c r="AG3844" s="19">
        <v>3843</v>
      </c>
      <c r="AH3844" s="20">
        <v>-2179.8190721916435</v>
      </c>
    </row>
    <row r="3845" spans="1:34" ht="14.5" x14ac:dyDescent="0.35">
      <c r="A3845" s="34"/>
      <c r="B3845" s="35"/>
      <c r="C3845" s="36"/>
      <c r="D3845" s="37"/>
      <c r="E3845" s="36"/>
      <c r="F3845" s="42"/>
      <c r="G3845" s="42"/>
      <c r="H3845" s="42"/>
      <c r="AG3845" s="19">
        <v>3844</v>
      </c>
      <c r="AH3845" s="20">
        <v>532.75780292071488</v>
      </c>
    </row>
    <row r="3846" spans="1:34" ht="14.5" x14ac:dyDescent="0.35">
      <c r="A3846" s="34"/>
      <c r="B3846" s="35"/>
      <c r="C3846" s="36"/>
      <c r="D3846" s="37"/>
      <c r="E3846" s="36"/>
      <c r="F3846" s="42"/>
      <c r="G3846" s="42"/>
      <c r="H3846" s="42"/>
      <c r="AG3846" s="19">
        <v>3845</v>
      </c>
      <c r="AH3846" s="20">
        <v>58.51289575636946</v>
      </c>
    </row>
    <row r="3847" spans="1:34" ht="14.5" x14ac:dyDescent="0.35">
      <c r="A3847" s="34"/>
      <c r="B3847" s="35"/>
      <c r="C3847" s="36"/>
      <c r="D3847" s="37"/>
      <c r="E3847" s="36"/>
      <c r="F3847" s="42"/>
      <c r="G3847" s="42"/>
      <c r="H3847" s="42"/>
      <c r="AG3847" s="19">
        <v>3846</v>
      </c>
      <c r="AH3847" s="20">
        <v>1532.2131146177551</v>
      </c>
    </row>
    <row r="3848" spans="1:34" ht="14.5" x14ac:dyDescent="0.35">
      <c r="A3848" s="34"/>
      <c r="B3848" s="35"/>
      <c r="C3848" s="36"/>
      <c r="D3848" s="37"/>
      <c r="E3848" s="36"/>
      <c r="F3848" s="42"/>
      <c r="G3848" s="42"/>
      <c r="H3848" s="42"/>
      <c r="AG3848" s="19">
        <v>3847</v>
      </c>
      <c r="AH3848" s="20">
        <v>1402.8559589562242</v>
      </c>
    </row>
    <row r="3849" spans="1:34" ht="14.5" x14ac:dyDescent="0.35">
      <c r="A3849" s="34"/>
      <c r="B3849" s="35"/>
      <c r="C3849" s="36"/>
      <c r="D3849" s="37"/>
      <c r="E3849" s="36"/>
      <c r="F3849" s="42"/>
      <c r="G3849" s="42"/>
      <c r="H3849" s="42"/>
      <c r="AG3849" s="19">
        <v>3848</v>
      </c>
      <c r="AH3849" s="20">
        <v>475.43371062075164</v>
      </c>
    </row>
    <row r="3850" spans="1:34" ht="14.5" x14ac:dyDescent="0.35">
      <c r="A3850" s="34"/>
      <c r="B3850" s="35"/>
      <c r="C3850" s="36"/>
      <c r="D3850" s="37"/>
      <c r="E3850" s="36"/>
      <c r="F3850" s="42"/>
      <c r="G3850" s="42"/>
      <c r="H3850" s="42"/>
      <c r="AG3850" s="19">
        <v>3849</v>
      </c>
      <c r="AH3850" s="20">
        <v>-596.29273911723953</v>
      </c>
    </row>
    <row r="3851" spans="1:34" ht="14.5" x14ac:dyDescent="0.35">
      <c r="A3851" s="34"/>
      <c r="B3851" s="35"/>
      <c r="C3851" s="36"/>
      <c r="D3851" s="37"/>
      <c r="E3851" s="36"/>
      <c r="F3851" s="42"/>
      <c r="G3851" s="42"/>
      <c r="H3851" s="42"/>
      <c r="AG3851" s="19">
        <v>3850</v>
      </c>
      <c r="AH3851" s="20">
        <v>25.081572398881065</v>
      </c>
    </row>
    <row r="3852" spans="1:34" ht="14.5" x14ac:dyDescent="0.35">
      <c r="A3852" s="34"/>
      <c r="B3852" s="35"/>
      <c r="C3852" s="36"/>
      <c r="D3852" s="37"/>
      <c r="E3852" s="36"/>
      <c r="F3852" s="42"/>
      <c r="G3852" s="42"/>
      <c r="H3852" s="42"/>
      <c r="AG3852" s="19">
        <v>3851</v>
      </c>
      <c r="AH3852" s="20">
        <v>281.10286922150391</v>
      </c>
    </row>
    <row r="3853" spans="1:34" ht="14.5" x14ac:dyDescent="0.35">
      <c r="A3853" s="34"/>
      <c r="B3853" s="35"/>
      <c r="C3853" s="36"/>
      <c r="D3853" s="37"/>
      <c r="E3853" s="36"/>
      <c r="F3853" s="42"/>
      <c r="G3853" s="42"/>
      <c r="H3853" s="42"/>
      <c r="AG3853" s="19">
        <v>3852</v>
      </c>
      <c r="AH3853" s="20">
        <v>2268.9324199596531</v>
      </c>
    </row>
    <row r="3854" spans="1:34" ht="14.5" x14ac:dyDescent="0.35">
      <c r="A3854" s="34"/>
      <c r="B3854" s="35"/>
      <c r="C3854" s="36"/>
      <c r="D3854" s="37"/>
      <c r="E3854" s="36"/>
      <c r="F3854" s="42"/>
      <c r="G3854" s="42"/>
      <c r="H3854" s="42"/>
      <c r="AG3854" s="19">
        <v>3853</v>
      </c>
      <c r="AH3854" s="20">
        <v>976.56609585547767</v>
      </c>
    </row>
    <row r="3855" spans="1:34" ht="14.5" x14ac:dyDescent="0.35">
      <c r="A3855" s="34"/>
      <c r="B3855" s="35"/>
      <c r="C3855" s="36"/>
      <c r="D3855" s="37"/>
      <c r="E3855" s="36"/>
      <c r="F3855" s="42"/>
      <c r="G3855" s="42"/>
      <c r="H3855" s="42"/>
      <c r="AG3855" s="19">
        <v>3854</v>
      </c>
      <c r="AH3855" s="20">
        <v>-956.40168927263176</v>
      </c>
    </row>
    <row r="3856" spans="1:34" ht="14.5" x14ac:dyDescent="0.35">
      <c r="A3856" s="34"/>
      <c r="B3856" s="35"/>
      <c r="C3856" s="36"/>
      <c r="D3856" s="37"/>
      <c r="E3856" s="36"/>
      <c r="F3856" s="42"/>
      <c r="G3856" s="42"/>
      <c r="H3856" s="42"/>
      <c r="AG3856" s="19">
        <v>3855</v>
      </c>
      <c r="AH3856" s="20">
        <v>482.8249534721931</v>
      </c>
    </row>
    <row r="3857" spans="1:34" ht="14.5" x14ac:dyDescent="0.35">
      <c r="A3857" s="34"/>
      <c r="B3857" s="35"/>
      <c r="C3857" s="36"/>
      <c r="D3857" s="37"/>
      <c r="E3857" s="36"/>
      <c r="F3857" s="42"/>
      <c r="G3857" s="42"/>
      <c r="H3857" s="42"/>
      <c r="AG3857" s="19">
        <v>3856</v>
      </c>
      <c r="AH3857" s="20">
        <v>1983.6587041098367</v>
      </c>
    </row>
    <row r="3858" spans="1:34" ht="14.5" x14ac:dyDescent="0.35">
      <c r="A3858" s="34"/>
      <c r="B3858" s="35"/>
      <c r="C3858" s="36"/>
      <c r="D3858" s="37"/>
      <c r="E3858" s="36"/>
      <c r="F3858" s="42"/>
      <c r="G3858" s="42"/>
      <c r="H3858" s="42"/>
      <c r="AG3858" s="19">
        <v>3857</v>
      </c>
      <c r="AH3858" s="20">
        <v>2505.1104525372007</v>
      </c>
    </row>
    <row r="3859" spans="1:34" ht="14.5" x14ac:dyDescent="0.35">
      <c r="A3859" s="34"/>
      <c r="B3859" s="35"/>
      <c r="C3859" s="36"/>
      <c r="D3859" s="37"/>
      <c r="E3859" s="36"/>
      <c r="F3859" s="42"/>
      <c r="G3859" s="42"/>
      <c r="H3859" s="42"/>
      <c r="AG3859" s="19">
        <v>3858</v>
      </c>
      <c r="AH3859" s="20">
        <v>-2001.6642452345907</v>
      </c>
    </row>
    <row r="3860" spans="1:34" ht="14.5" x14ac:dyDescent="0.35">
      <c r="A3860" s="34"/>
      <c r="B3860" s="35"/>
      <c r="C3860" s="36"/>
      <c r="D3860" s="37"/>
      <c r="E3860" s="36"/>
      <c r="F3860" s="42"/>
      <c r="G3860" s="42"/>
      <c r="H3860" s="42"/>
      <c r="AG3860" s="19">
        <v>3859</v>
      </c>
      <c r="AH3860" s="20">
        <v>681.56275140216871</v>
      </c>
    </row>
    <row r="3861" spans="1:34" ht="14.5" x14ac:dyDescent="0.35">
      <c r="A3861" s="34"/>
      <c r="B3861" s="35"/>
      <c r="C3861" s="36"/>
      <c r="D3861" s="37"/>
      <c r="E3861" s="36"/>
      <c r="F3861" s="42"/>
      <c r="G3861" s="42"/>
      <c r="H3861" s="42"/>
      <c r="AG3861" s="19">
        <v>3860</v>
      </c>
      <c r="AH3861" s="20">
        <v>4050.8863989622591</v>
      </c>
    </row>
    <row r="3862" spans="1:34" ht="14.5" x14ac:dyDescent="0.35">
      <c r="A3862" s="34"/>
      <c r="B3862" s="35"/>
      <c r="C3862" s="36"/>
      <c r="D3862" s="37"/>
      <c r="E3862" s="36"/>
      <c r="F3862" s="42"/>
      <c r="G3862" s="42"/>
      <c r="H3862" s="42"/>
      <c r="AG3862" s="19">
        <v>3861</v>
      </c>
      <c r="AH3862" s="20">
        <v>1011.4623746361035</v>
      </c>
    </row>
    <row r="3863" spans="1:34" ht="14.5" x14ac:dyDescent="0.35">
      <c r="A3863" s="34"/>
      <c r="B3863" s="35"/>
      <c r="C3863" s="36"/>
      <c r="D3863" s="37"/>
      <c r="E3863" s="36"/>
      <c r="F3863" s="42"/>
      <c r="G3863" s="42"/>
      <c r="H3863" s="42"/>
      <c r="AG3863" s="19">
        <v>3862</v>
      </c>
      <c r="AH3863" s="20">
        <v>2234.2625087267324</v>
      </c>
    </row>
    <row r="3864" spans="1:34" ht="14.5" x14ac:dyDescent="0.35">
      <c r="A3864" s="34"/>
      <c r="B3864" s="35"/>
      <c r="C3864" s="36"/>
      <c r="D3864" s="37"/>
      <c r="E3864" s="36"/>
      <c r="F3864" s="42"/>
      <c r="G3864" s="42"/>
      <c r="H3864" s="42"/>
      <c r="AG3864" s="19">
        <v>3863</v>
      </c>
      <c r="AH3864" s="20">
        <v>-372.41691060563932</v>
      </c>
    </row>
    <row r="3865" spans="1:34" ht="14.5" x14ac:dyDescent="0.35">
      <c r="A3865" s="34"/>
      <c r="B3865" s="35"/>
      <c r="C3865" s="36"/>
      <c r="D3865" s="37"/>
      <c r="E3865" s="36"/>
      <c r="F3865" s="42"/>
      <c r="G3865" s="42"/>
      <c r="H3865" s="42"/>
      <c r="AG3865" s="19">
        <v>3864</v>
      </c>
      <c r="AH3865" s="20">
        <v>1726.4613013504245</v>
      </c>
    </row>
    <row r="3866" spans="1:34" ht="14.5" x14ac:dyDescent="0.35">
      <c r="A3866" s="34"/>
      <c r="B3866" s="35"/>
      <c r="C3866" s="36"/>
      <c r="D3866" s="37"/>
      <c r="E3866" s="36"/>
      <c r="F3866" s="42"/>
      <c r="G3866" s="42"/>
      <c r="H3866" s="42"/>
      <c r="AG3866" s="19">
        <v>3865</v>
      </c>
      <c r="AH3866" s="20">
        <v>-1897.6739615906861</v>
      </c>
    </row>
    <row r="3867" spans="1:34" ht="14.5" x14ac:dyDescent="0.35">
      <c r="A3867" s="34"/>
      <c r="B3867" s="35"/>
      <c r="C3867" s="36"/>
      <c r="D3867" s="37"/>
      <c r="E3867" s="36"/>
      <c r="F3867" s="42"/>
      <c r="G3867" s="42"/>
      <c r="H3867" s="42"/>
      <c r="AG3867" s="19">
        <v>3866</v>
      </c>
      <c r="AH3867" s="20">
        <v>-1717.0949240504149</v>
      </c>
    </row>
    <row r="3868" spans="1:34" ht="14.5" x14ac:dyDescent="0.35">
      <c r="A3868" s="34"/>
      <c r="B3868" s="35"/>
      <c r="C3868" s="36"/>
      <c r="D3868" s="37"/>
      <c r="E3868" s="36"/>
      <c r="F3868" s="42"/>
      <c r="G3868" s="42"/>
      <c r="H3868" s="42"/>
      <c r="AG3868" s="19">
        <v>3867</v>
      </c>
      <c r="AH3868" s="20">
        <v>-1788.978380141052</v>
      </c>
    </row>
    <row r="3869" spans="1:34" ht="14.5" x14ac:dyDescent="0.35">
      <c r="A3869" s="34"/>
      <c r="B3869" s="35"/>
      <c r="C3869" s="36"/>
      <c r="D3869" s="37"/>
      <c r="E3869" s="36"/>
      <c r="F3869" s="42"/>
      <c r="G3869" s="42"/>
      <c r="H3869" s="42"/>
      <c r="AG3869" s="19">
        <v>3868</v>
      </c>
      <c r="AH3869" s="20">
        <v>-2761.7333531395848</v>
      </c>
    </row>
    <row r="3870" spans="1:34" ht="14.5" x14ac:dyDescent="0.35">
      <c r="A3870" s="34"/>
      <c r="B3870" s="35"/>
      <c r="C3870" s="36"/>
      <c r="D3870" s="37"/>
      <c r="E3870" s="36"/>
      <c r="F3870" s="42"/>
      <c r="G3870" s="42"/>
      <c r="H3870" s="42"/>
      <c r="AG3870" s="19">
        <v>3869</v>
      </c>
      <c r="AH3870" s="20">
        <v>-1583.698245221354</v>
      </c>
    </row>
    <row r="3871" spans="1:34" ht="14.5" x14ac:dyDescent="0.35">
      <c r="A3871" s="34"/>
      <c r="B3871" s="35"/>
      <c r="C3871" s="36"/>
      <c r="D3871" s="37"/>
      <c r="E3871" s="36"/>
      <c r="F3871" s="42"/>
      <c r="G3871" s="42"/>
      <c r="H3871" s="42"/>
      <c r="AG3871" s="19">
        <v>3870</v>
      </c>
      <c r="AH3871" s="20">
        <v>-1519.2116021957727</v>
      </c>
    </row>
    <row r="3872" spans="1:34" ht="14.5" x14ac:dyDescent="0.35">
      <c r="A3872" s="34"/>
      <c r="B3872" s="35"/>
      <c r="C3872" s="36"/>
      <c r="D3872" s="37"/>
      <c r="E3872" s="36"/>
      <c r="F3872" s="42"/>
      <c r="G3872" s="42"/>
      <c r="H3872" s="42"/>
      <c r="AG3872" s="19">
        <v>3871</v>
      </c>
      <c r="AH3872" s="20">
        <v>-3422.9731574024659</v>
      </c>
    </row>
    <row r="3873" spans="1:34" ht="14.5" x14ac:dyDescent="0.35">
      <c r="A3873" s="34"/>
      <c r="B3873" s="35"/>
      <c r="C3873" s="36"/>
      <c r="D3873" s="37"/>
      <c r="E3873" s="36"/>
      <c r="F3873" s="42"/>
      <c r="G3873" s="42"/>
      <c r="H3873" s="42"/>
      <c r="AG3873" s="19">
        <v>3872</v>
      </c>
      <c r="AH3873" s="20">
        <v>-3059.3463818911277</v>
      </c>
    </row>
    <row r="3874" spans="1:34" ht="14.5" x14ac:dyDescent="0.35">
      <c r="A3874" s="34"/>
      <c r="B3874" s="35"/>
      <c r="C3874" s="36"/>
      <c r="D3874" s="37"/>
      <c r="E3874" s="36"/>
      <c r="F3874" s="42"/>
      <c r="G3874" s="42"/>
      <c r="H3874" s="42"/>
      <c r="AG3874" s="19">
        <v>3873</v>
      </c>
      <c r="AH3874" s="20">
        <v>-1342.9032978296689</v>
      </c>
    </row>
    <row r="3875" spans="1:34" ht="14.5" x14ac:dyDescent="0.35">
      <c r="A3875" s="34"/>
      <c r="B3875" s="35"/>
      <c r="C3875" s="36"/>
      <c r="D3875" s="37"/>
      <c r="E3875" s="36"/>
      <c r="F3875" s="42"/>
      <c r="G3875" s="42"/>
      <c r="H3875" s="42"/>
      <c r="AG3875" s="19">
        <v>3874</v>
      </c>
      <c r="AH3875" s="20">
        <v>-2187.0175857354911</v>
      </c>
    </row>
    <row r="3876" spans="1:34" ht="14.5" x14ac:dyDescent="0.35">
      <c r="A3876" s="34"/>
      <c r="B3876" s="35"/>
      <c r="C3876" s="36"/>
      <c r="D3876" s="37"/>
      <c r="E3876" s="36"/>
      <c r="F3876" s="42"/>
      <c r="G3876" s="42"/>
      <c r="H3876" s="42"/>
      <c r="AG3876" s="19">
        <v>3875</v>
      </c>
      <c r="AH3876" s="20">
        <v>-1919.0213915623624</v>
      </c>
    </row>
    <row r="3877" spans="1:34" ht="14.5" x14ac:dyDescent="0.35">
      <c r="A3877" s="34"/>
      <c r="B3877" s="35"/>
      <c r="C3877" s="36"/>
      <c r="D3877" s="37"/>
      <c r="E3877" s="36"/>
      <c r="F3877" s="42"/>
      <c r="G3877" s="42"/>
      <c r="H3877" s="42"/>
      <c r="AG3877" s="19">
        <v>3876</v>
      </c>
      <c r="AH3877" s="20">
        <v>2026.7511126787147</v>
      </c>
    </row>
    <row r="3878" spans="1:34" ht="14.5" x14ac:dyDescent="0.35">
      <c r="A3878" s="34"/>
      <c r="B3878" s="35"/>
      <c r="C3878" s="36"/>
      <c r="D3878" s="37"/>
      <c r="E3878" s="36"/>
      <c r="F3878" s="42"/>
      <c r="G3878" s="42"/>
      <c r="H3878" s="42"/>
      <c r="AG3878" s="19">
        <v>3877</v>
      </c>
      <c r="AH3878" s="20">
        <v>-486.96436172973091</v>
      </c>
    </row>
    <row r="3879" spans="1:34" ht="14.5" x14ac:dyDescent="0.35">
      <c r="A3879" s="34"/>
      <c r="B3879" s="35"/>
      <c r="C3879" s="36"/>
      <c r="D3879" s="37"/>
      <c r="E3879" s="36"/>
      <c r="F3879" s="42"/>
      <c r="G3879" s="42"/>
      <c r="H3879" s="42"/>
      <c r="AG3879" s="19">
        <v>3878</v>
      </c>
      <c r="AH3879" s="20">
        <v>-2839.9920564002027</v>
      </c>
    </row>
    <row r="3880" spans="1:34" ht="14.5" x14ac:dyDescent="0.35">
      <c r="A3880" s="34"/>
      <c r="B3880" s="35"/>
      <c r="C3880" s="36"/>
      <c r="D3880" s="37"/>
      <c r="E3880" s="36"/>
      <c r="F3880" s="42"/>
      <c r="G3880" s="42"/>
      <c r="H3880" s="42"/>
      <c r="AG3880" s="19">
        <v>3879</v>
      </c>
      <c r="AH3880" s="20">
        <v>-2054.1537001109928</v>
      </c>
    </row>
    <row r="3881" spans="1:34" ht="14.5" x14ac:dyDescent="0.35">
      <c r="A3881" s="34"/>
      <c r="B3881" s="35"/>
      <c r="C3881" s="36"/>
      <c r="D3881" s="37"/>
      <c r="E3881" s="36"/>
      <c r="F3881" s="42"/>
      <c r="G3881" s="42"/>
      <c r="H3881" s="42"/>
      <c r="AG3881" s="19">
        <v>3880</v>
      </c>
      <c r="AH3881" s="20">
        <v>3586.0284077274223</v>
      </c>
    </row>
    <row r="3882" spans="1:34" ht="14.5" x14ac:dyDescent="0.35">
      <c r="A3882" s="34"/>
      <c r="B3882" s="35"/>
      <c r="C3882" s="36"/>
      <c r="D3882" s="37"/>
      <c r="E3882" s="36"/>
      <c r="F3882" s="42"/>
      <c r="G3882" s="42"/>
      <c r="H3882" s="42"/>
      <c r="AG3882" s="19">
        <v>3881</v>
      </c>
      <c r="AH3882" s="20">
        <v>3347.5297546645784</v>
      </c>
    </row>
    <row r="3883" spans="1:34" ht="14.5" x14ac:dyDescent="0.35">
      <c r="A3883" s="34"/>
      <c r="B3883" s="35"/>
      <c r="C3883" s="36"/>
      <c r="D3883" s="37"/>
      <c r="E3883" s="36"/>
      <c r="F3883" s="42"/>
      <c r="G3883" s="42"/>
      <c r="H3883" s="42"/>
      <c r="AG3883" s="19">
        <v>3882</v>
      </c>
      <c r="AH3883" s="20">
        <v>833.12307706346917</v>
      </c>
    </row>
    <row r="3884" spans="1:34" ht="14.5" x14ac:dyDescent="0.35">
      <c r="A3884" s="34"/>
      <c r="B3884" s="35"/>
      <c r="C3884" s="36"/>
      <c r="D3884" s="37"/>
      <c r="E3884" s="36"/>
      <c r="F3884" s="42"/>
      <c r="G3884" s="42"/>
      <c r="H3884" s="42"/>
      <c r="AG3884" s="19">
        <v>3883</v>
      </c>
      <c r="AH3884" s="20">
        <v>-3016.0156674324162</v>
      </c>
    </row>
    <row r="3885" spans="1:34" ht="14.5" x14ac:dyDescent="0.35">
      <c r="A3885" s="34"/>
      <c r="B3885" s="35"/>
      <c r="C3885" s="36"/>
      <c r="D3885" s="37"/>
      <c r="E3885" s="36"/>
      <c r="F3885" s="42"/>
      <c r="G3885" s="42"/>
      <c r="H3885" s="42"/>
      <c r="AG3885" s="19">
        <v>3884</v>
      </c>
      <c r="AH3885" s="20">
        <v>3213.0349628805861</v>
      </c>
    </row>
    <row r="3886" spans="1:34" ht="14.5" x14ac:dyDescent="0.35">
      <c r="A3886" s="34"/>
      <c r="B3886" s="35"/>
      <c r="C3886" s="36"/>
      <c r="D3886" s="37"/>
      <c r="E3886" s="36"/>
      <c r="F3886" s="42"/>
      <c r="G3886" s="42"/>
      <c r="H3886" s="42"/>
      <c r="AG3886" s="19">
        <v>3885</v>
      </c>
      <c r="AH3886" s="20">
        <v>3650.7903073863299</v>
      </c>
    </row>
    <row r="3887" spans="1:34" ht="14.5" x14ac:dyDescent="0.35">
      <c r="A3887" s="34"/>
      <c r="B3887" s="35"/>
      <c r="C3887" s="36"/>
      <c r="D3887" s="37"/>
      <c r="E3887" s="36"/>
      <c r="F3887" s="42"/>
      <c r="G3887" s="42"/>
      <c r="H3887" s="42"/>
      <c r="AG3887" s="19">
        <v>3886</v>
      </c>
      <c r="AH3887" s="20">
        <v>-1717.5069401859103</v>
      </c>
    </row>
    <row r="3888" spans="1:34" ht="14.5" x14ac:dyDescent="0.35">
      <c r="A3888" s="34"/>
      <c r="B3888" s="35"/>
      <c r="C3888" s="36"/>
      <c r="D3888" s="37"/>
      <c r="E3888" s="36"/>
      <c r="F3888" s="42"/>
      <c r="G3888" s="42"/>
      <c r="H3888" s="42"/>
      <c r="AG3888" s="19">
        <v>3887</v>
      </c>
      <c r="AH3888" s="20">
        <v>-4758.5455941889795</v>
      </c>
    </row>
    <row r="3889" spans="1:34" ht="14.5" x14ac:dyDescent="0.35">
      <c r="A3889" s="34"/>
      <c r="B3889" s="35"/>
      <c r="C3889" s="36"/>
      <c r="D3889" s="37"/>
      <c r="E3889" s="36"/>
      <c r="F3889" s="42"/>
      <c r="G3889" s="42"/>
      <c r="H3889" s="42"/>
      <c r="AG3889" s="19">
        <v>3888</v>
      </c>
      <c r="AH3889" s="20">
        <v>-3597.2583108781546</v>
      </c>
    </row>
    <row r="3890" spans="1:34" ht="14.5" x14ac:dyDescent="0.35">
      <c r="A3890" s="34"/>
      <c r="B3890" s="35"/>
      <c r="C3890" s="36"/>
      <c r="D3890" s="37"/>
      <c r="E3890" s="36"/>
      <c r="F3890" s="42"/>
      <c r="G3890" s="42"/>
      <c r="H3890" s="42"/>
      <c r="AG3890" s="19">
        <v>3889</v>
      </c>
      <c r="AH3890" s="20">
        <v>3669.7425306454688</v>
      </c>
    </row>
    <row r="3891" spans="1:34" ht="14.5" x14ac:dyDescent="0.35">
      <c r="A3891" s="34"/>
      <c r="B3891" s="35"/>
      <c r="C3891" s="36"/>
      <c r="D3891" s="37"/>
      <c r="E3891" s="36"/>
      <c r="F3891" s="42"/>
      <c r="G3891" s="42"/>
      <c r="H3891" s="42"/>
      <c r="AG3891" s="19">
        <v>3890</v>
      </c>
      <c r="AH3891" s="20">
        <v>1910.8809066896681</v>
      </c>
    </row>
    <row r="3892" spans="1:34" ht="14.5" x14ac:dyDescent="0.35">
      <c r="A3892" s="34"/>
      <c r="B3892" s="35"/>
      <c r="C3892" s="36"/>
      <c r="D3892" s="37"/>
      <c r="E3892" s="36"/>
      <c r="F3892" s="42"/>
      <c r="G3892" s="42"/>
      <c r="H3892" s="42"/>
      <c r="AG3892" s="19">
        <v>3891</v>
      </c>
      <c r="AH3892" s="20">
        <v>-1490.5681609974843</v>
      </c>
    </row>
    <row r="3893" spans="1:34" ht="14.5" x14ac:dyDescent="0.35">
      <c r="A3893" s="34"/>
      <c r="B3893" s="35"/>
      <c r="C3893" s="36"/>
      <c r="D3893" s="37"/>
      <c r="E3893" s="36"/>
      <c r="F3893" s="42"/>
      <c r="G3893" s="42"/>
      <c r="H3893" s="42"/>
      <c r="AG3893" s="19">
        <v>3892</v>
      </c>
      <c r="AH3893" s="20">
        <v>936.88837548055221</v>
      </c>
    </row>
    <row r="3894" spans="1:34" ht="14.5" x14ac:dyDescent="0.35">
      <c r="A3894" s="34"/>
      <c r="B3894" s="35"/>
      <c r="C3894" s="36"/>
      <c r="D3894" s="37"/>
      <c r="E3894" s="36"/>
      <c r="F3894" s="42"/>
      <c r="G3894" s="42"/>
      <c r="H3894" s="42"/>
      <c r="AG3894" s="19">
        <v>3893</v>
      </c>
      <c r="AH3894" s="20">
        <v>1469.0881012274149</v>
      </c>
    </row>
    <row r="3895" spans="1:34" ht="14.5" x14ac:dyDescent="0.35">
      <c r="A3895" s="34"/>
      <c r="B3895" s="35"/>
      <c r="C3895" s="36"/>
      <c r="D3895" s="37"/>
      <c r="E3895" s="36"/>
      <c r="F3895" s="42"/>
      <c r="G3895" s="42"/>
      <c r="H3895" s="42"/>
      <c r="AG3895" s="19">
        <v>3894</v>
      </c>
      <c r="AH3895" s="20">
        <v>-1250.4847895617866</v>
      </c>
    </row>
    <row r="3896" spans="1:34" ht="14.5" x14ac:dyDescent="0.35">
      <c r="A3896" s="34"/>
      <c r="B3896" s="35"/>
      <c r="C3896" s="36"/>
      <c r="D3896" s="37"/>
      <c r="E3896" s="36"/>
      <c r="F3896" s="42"/>
      <c r="G3896" s="42"/>
      <c r="H3896" s="42"/>
      <c r="AG3896" s="19">
        <v>3895</v>
      </c>
      <c r="AH3896" s="20">
        <v>1554.0329755706312</v>
      </c>
    </row>
    <row r="3897" spans="1:34" ht="14.5" x14ac:dyDescent="0.35">
      <c r="A3897" s="34"/>
      <c r="B3897" s="35"/>
      <c r="C3897" s="36"/>
      <c r="D3897" s="37"/>
      <c r="E3897" s="36"/>
      <c r="F3897" s="42"/>
      <c r="G3897" s="42"/>
      <c r="H3897" s="42"/>
      <c r="AG3897" s="19">
        <v>3896</v>
      </c>
      <c r="AH3897" s="20">
        <v>-3594.3550499621874</v>
      </c>
    </row>
    <row r="3898" spans="1:34" ht="14.5" x14ac:dyDescent="0.35">
      <c r="A3898" s="34"/>
      <c r="B3898" s="35"/>
      <c r="C3898" s="36"/>
      <c r="D3898" s="37"/>
      <c r="E3898" s="36"/>
      <c r="F3898" s="42"/>
      <c r="G3898" s="42"/>
      <c r="H3898" s="42"/>
      <c r="AG3898" s="19">
        <v>3897</v>
      </c>
      <c r="AH3898" s="20">
        <v>2157.4596042250564</v>
      </c>
    </row>
    <row r="3899" spans="1:34" ht="14.5" x14ac:dyDescent="0.35">
      <c r="A3899" s="34"/>
      <c r="B3899" s="35"/>
      <c r="C3899" s="36"/>
      <c r="D3899" s="37"/>
      <c r="E3899" s="36"/>
      <c r="F3899" s="42"/>
      <c r="G3899" s="42"/>
      <c r="H3899" s="42"/>
      <c r="AG3899" s="19">
        <v>3898</v>
      </c>
      <c r="AH3899" s="20">
        <v>509.81009640900413</v>
      </c>
    </row>
    <row r="3900" spans="1:34" ht="14.5" x14ac:dyDescent="0.35">
      <c r="A3900" s="34"/>
      <c r="B3900" s="35"/>
      <c r="C3900" s="36"/>
      <c r="D3900" s="37"/>
      <c r="E3900" s="36"/>
      <c r="F3900" s="42"/>
      <c r="G3900" s="42"/>
      <c r="H3900" s="42"/>
      <c r="AG3900" s="19">
        <v>3899</v>
      </c>
      <c r="AH3900" s="20">
        <v>281.57435612356028</v>
      </c>
    </row>
    <row r="3901" spans="1:34" ht="14.5" x14ac:dyDescent="0.35">
      <c r="A3901" s="34"/>
      <c r="B3901" s="35"/>
      <c r="C3901" s="36"/>
      <c r="D3901" s="37"/>
      <c r="E3901" s="36"/>
      <c r="F3901" s="42"/>
      <c r="G3901" s="42"/>
      <c r="H3901" s="42"/>
      <c r="AG3901" s="19">
        <v>3900</v>
      </c>
      <c r="AH3901" s="20">
        <v>-183.6240164282836</v>
      </c>
    </row>
    <row r="3902" spans="1:34" ht="14.5" x14ac:dyDescent="0.35">
      <c r="A3902" s="34"/>
      <c r="B3902" s="35"/>
      <c r="C3902" s="36"/>
      <c r="D3902" s="37"/>
      <c r="E3902" s="36"/>
      <c r="F3902" s="42"/>
      <c r="G3902" s="42"/>
      <c r="H3902" s="42"/>
      <c r="AG3902" s="19">
        <v>3901</v>
      </c>
      <c r="AH3902" s="20">
        <v>889.47042463461071</v>
      </c>
    </row>
    <row r="3903" spans="1:34" ht="14.5" x14ac:dyDescent="0.35">
      <c r="A3903" s="34"/>
      <c r="B3903" s="35"/>
      <c r="C3903" s="36"/>
      <c r="D3903" s="37"/>
      <c r="E3903" s="36"/>
      <c r="F3903" s="42"/>
      <c r="G3903" s="42"/>
      <c r="H3903" s="42"/>
      <c r="AG3903" s="19">
        <v>3902</v>
      </c>
      <c r="AH3903" s="20">
        <v>915.3702130066788</v>
      </c>
    </row>
    <row r="3904" spans="1:34" ht="14.5" x14ac:dyDescent="0.35">
      <c r="A3904" s="34"/>
      <c r="B3904" s="35"/>
      <c r="C3904" s="36"/>
      <c r="D3904" s="37"/>
      <c r="E3904" s="36"/>
      <c r="F3904" s="42"/>
      <c r="G3904" s="42"/>
      <c r="H3904" s="42"/>
      <c r="AG3904" s="19">
        <v>3903</v>
      </c>
      <c r="AH3904" s="20">
        <v>1857.4868583829054</v>
      </c>
    </row>
    <row r="3905" spans="1:34" ht="14.5" x14ac:dyDescent="0.35">
      <c r="A3905" s="34"/>
      <c r="B3905" s="35"/>
      <c r="C3905" s="36"/>
      <c r="D3905" s="37"/>
      <c r="E3905" s="36"/>
      <c r="F3905" s="42"/>
      <c r="G3905" s="42"/>
      <c r="H3905" s="42"/>
      <c r="AG3905" s="19">
        <v>3904</v>
      </c>
      <c r="AH3905" s="20">
        <v>2932.0003482334209</v>
      </c>
    </row>
    <row r="3906" spans="1:34" ht="14.5" x14ac:dyDescent="0.35">
      <c r="A3906" s="34"/>
      <c r="B3906" s="35"/>
      <c r="C3906" s="36"/>
      <c r="D3906" s="37"/>
      <c r="E3906" s="36"/>
      <c r="F3906" s="42"/>
      <c r="G3906" s="42"/>
      <c r="H3906" s="42"/>
      <c r="AG3906" s="19">
        <v>3905</v>
      </c>
      <c r="AH3906" s="20">
        <v>3811.9338063728792</v>
      </c>
    </row>
    <row r="3907" spans="1:34" ht="14.5" x14ac:dyDescent="0.35">
      <c r="A3907" s="34"/>
      <c r="B3907" s="35"/>
      <c r="C3907" s="36"/>
      <c r="D3907" s="37"/>
      <c r="E3907" s="36"/>
      <c r="F3907" s="42"/>
      <c r="G3907" s="42"/>
      <c r="H3907" s="42"/>
      <c r="AG3907" s="19">
        <v>3906</v>
      </c>
      <c r="AH3907" s="20">
        <v>2322.2478059090986</v>
      </c>
    </row>
    <row r="3908" spans="1:34" ht="14.5" x14ac:dyDescent="0.35">
      <c r="A3908" s="34"/>
      <c r="B3908" s="35"/>
      <c r="C3908" s="36"/>
      <c r="D3908" s="37"/>
      <c r="E3908" s="36"/>
      <c r="F3908" s="42"/>
      <c r="G3908" s="42"/>
      <c r="H3908" s="42"/>
      <c r="AG3908" s="19">
        <v>3907</v>
      </c>
      <c r="AH3908" s="20">
        <v>405.29922380137049</v>
      </c>
    </row>
    <row r="3909" spans="1:34" ht="14.5" x14ac:dyDescent="0.35">
      <c r="A3909" s="34"/>
      <c r="B3909" s="35"/>
      <c r="C3909" s="36"/>
      <c r="D3909" s="37"/>
      <c r="E3909" s="36"/>
      <c r="F3909" s="42"/>
      <c r="G3909" s="42"/>
      <c r="H3909" s="42"/>
      <c r="AG3909" s="19">
        <v>3908</v>
      </c>
      <c r="AH3909" s="20">
        <v>-2478.8134895565527</v>
      </c>
    </row>
    <row r="3910" spans="1:34" ht="14.5" x14ac:dyDescent="0.35">
      <c r="A3910" s="34"/>
      <c r="B3910" s="35"/>
      <c r="C3910" s="36"/>
      <c r="D3910" s="37"/>
      <c r="E3910" s="36"/>
      <c r="F3910" s="42"/>
      <c r="G3910" s="42"/>
      <c r="H3910" s="42"/>
      <c r="AG3910" s="19">
        <v>3909</v>
      </c>
      <c r="AH3910" s="20">
        <v>350.30410586053688</v>
      </c>
    </row>
    <row r="3911" spans="1:34" ht="14.5" x14ac:dyDescent="0.35">
      <c r="A3911" s="34"/>
      <c r="B3911" s="35"/>
      <c r="C3911" s="36"/>
      <c r="D3911" s="37"/>
      <c r="E3911" s="36"/>
      <c r="F3911" s="42"/>
      <c r="G3911" s="42"/>
      <c r="H3911" s="42"/>
      <c r="AG3911" s="19">
        <v>3910</v>
      </c>
      <c r="AH3911" s="20">
        <v>-1373.3053767142992</v>
      </c>
    </row>
    <row r="3912" spans="1:34" ht="14.5" x14ac:dyDescent="0.35">
      <c r="A3912" s="34"/>
      <c r="B3912" s="35"/>
      <c r="C3912" s="36"/>
      <c r="D3912" s="37"/>
      <c r="E3912" s="36"/>
      <c r="F3912" s="42"/>
      <c r="G3912" s="42"/>
      <c r="H3912" s="42"/>
      <c r="AG3912" s="19">
        <v>3911</v>
      </c>
      <c r="AH3912" s="20">
        <v>-60.800287656025944</v>
      </c>
    </row>
    <row r="3913" spans="1:34" ht="14.5" x14ac:dyDescent="0.35">
      <c r="A3913" s="34"/>
      <c r="B3913" s="35"/>
      <c r="C3913" s="36"/>
      <c r="D3913" s="37"/>
      <c r="E3913" s="36"/>
      <c r="F3913" s="42"/>
      <c r="G3913" s="42"/>
      <c r="H3913" s="42"/>
      <c r="AG3913" s="19">
        <v>3912</v>
      </c>
      <c r="AH3913" s="20">
        <v>-2819.2951267204535</v>
      </c>
    </row>
    <row r="3914" spans="1:34" ht="14.5" x14ac:dyDescent="0.35">
      <c r="A3914" s="34"/>
      <c r="B3914" s="35"/>
      <c r="C3914" s="36"/>
      <c r="D3914" s="37"/>
      <c r="E3914" s="36"/>
      <c r="F3914" s="42"/>
      <c r="G3914" s="42"/>
      <c r="H3914" s="42"/>
      <c r="AG3914" s="19">
        <v>3913</v>
      </c>
      <c r="AH3914" s="20">
        <v>-1676.2828782345775</v>
      </c>
    </row>
    <row r="3915" spans="1:34" ht="14.5" x14ac:dyDescent="0.35">
      <c r="A3915" s="34"/>
      <c r="B3915" s="35"/>
      <c r="C3915" s="36"/>
      <c r="D3915" s="37"/>
      <c r="E3915" s="36"/>
      <c r="F3915" s="42"/>
      <c r="G3915" s="42"/>
      <c r="H3915" s="42"/>
      <c r="AG3915" s="19">
        <v>3914</v>
      </c>
      <c r="AH3915" s="20">
        <v>-1519.3801585530614</v>
      </c>
    </row>
    <row r="3916" spans="1:34" ht="14.5" x14ac:dyDescent="0.35">
      <c r="A3916" s="34"/>
      <c r="B3916" s="35"/>
      <c r="C3916" s="36"/>
      <c r="D3916" s="37"/>
      <c r="E3916" s="36"/>
      <c r="F3916" s="42"/>
      <c r="G3916" s="42"/>
      <c r="H3916" s="42"/>
      <c r="AG3916" s="19">
        <v>3915</v>
      </c>
      <c r="AH3916" s="20">
        <v>142.57362757456585</v>
      </c>
    </row>
    <row r="3917" spans="1:34" ht="14.5" x14ac:dyDescent="0.35">
      <c r="A3917" s="34"/>
      <c r="B3917" s="35"/>
      <c r="C3917" s="36"/>
      <c r="D3917" s="37"/>
      <c r="E3917" s="36"/>
      <c r="F3917" s="42"/>
      <c r="G3917" s="42"/>
      <c r="H3917" s="42"/>
      <c r="AG3917" s="19">
        <v>3916</v>
      </c>
      <c r="AH3917" s="20">
        <v>750.24959986608394</v>
      </c>
    </row>
    <row r="3918" spans="1:34" ht="14.5" x14ac:dyDescent="0.35">
      <c r="A3918" s="34"/>
      <c r="B3918" s="35"/>
      <c r="C3918" s="36"/>
      <c r="D3918" s="37"/>
      <c r="E3918" s="36"/>
      <c r="F3918" s="42"/>
      <c r="G3918" s="42"/>
      <c r="H3918" s="42"/>
      <c r="AG3918" s="19">
        <v>3917</v>
      </c>
      <c r="AH3918" s="20">
        <v>4470.5978398283269</v>
      </c>
    </row>
    <row r="3919" spans="1:34" ht="14.5" x14ac:dyDescent="0.35">
      <c r="A3919" s="34"/>
      <c r="B3919" s="35"/>
      <c r="C3919" s="36"/>
      <c r="D3919" s="37"/>
      <c r="E3919" s="36"/>
      <c r="F3919" s="42"/>
      <c r="G3919" s="42"/>
      <c r="H3919" s="42"/>
      <c r="AG3919" s="19">
        <v>3918</v>
      </c>
      <c r="AH3919" s="20">
        <v>-281.38350243827125</v>
      </c>
    </row>
    <row r="3920" spans="1:34" ht="14.5" x14ac:dyDescent="0.35">
      <c r="A3920" s="34"/>
      <c r="B3920" s="35"/>
      <c r="C3920" s="36"/>
      <c r="D3920" s="37"/>
      <c r="E3920" s="36"/>
      <c r="F3920" s="42"/>
      <c r="G3920" s="42"/>
      <c r="H3920" s="42"/>
      <c r="AG3920" s="19">
        <v>3919</v>
      </c>
      <c r="AH3920" s="20">
        <v>-169.86113287306063</v>
      </c>
    </row>
    <row r="3921" spans="1:34" ht="14.5" x14ac:dyDescent="0.35">
      <c r="A3921" s="34"/>
      <c r="B3921" s="35"/>
      <c r="C3921" s="36"/>
      <c r="D3921" s="37"/>
      <c r="E3921" s="36"/>
      <c r="F3921" s="42"/>
      <c r="G3921" s="42"/>
      <c r="H3921" s="42"/>
      <c r="AG3921" s="19">
        <v>3920</v>
      </c>
      <c r="AH3921" s="20">
        <v>2112.9561597885695</v>
      </c>
    </row>
    <row r="3922" spans="1:34" ht="14.5" x14ac:dyDescent="0.35">
      <c r="A3922" s="34"/>
      <c r="B3922" s="35"/>
      <c r="C3922" s="36"/>
      <c r="D3922" s="37"/>
      <c r="E3922" s="36"/>
      <c r="F3922" s="42"/>
      <c r="G3922" s="42"/>
      <c r="H3922" s="42"/>
      <c r="AG3922" s="19">
        <v>3921</v>
      </c>
      <c r="AH3922" s="20">
        <v>309.74323197371115</v>
      </c>
    </row>
    <row r="3923" spans="1:34" ht="14.5" x14ac:dyDescent="0.35">
      <c r="A3923" s="34"/>
      <c r="B3923" s="35"/>
      <c r="C3923" s="36"/>
      <c r="D3923" s="37"/>
      <c r="E3923" s="36"/>
      <c r="F3923" s="42"/>
      <c r="G3923" s="42"/>
      <c r="H3923" s="42"/>
      <c r="AG3923" s="19">
        <v>3922</v>
      </c>
      <c r="AH3923" s="20">
        <v>325.85160767493051</v>
      </c>
    </row>
    <row r="3924" spans="1:34" ht="14.5" x14ac:dyDescent="0.35">
      <c r="A3924" s="34"/>
      <c r="B3924" s="35"/>
      <c r="C3924" s="36"/>
      <c r="D3924" s="37"/>
      <c r="E3924" s="36"/>
      <c r="F3924" s="42"/>
      <c r="G3924" s="42"/>
      <c r="H3924" s="42"/>
      <c r="AG3924" s="19">
        <v>3923</v>
      </c>
      <c r="AH3924" s="20">
        <v>189.89668994726424</v>
      </c>
    </row>
    <row r="3925" spans="1:34" ht="14.5" x14ac:dyDescent="0.35">
      <c r="A3925" s="34"/>
      <c r="B3925" s="35"/>
      <c r="C3925" s="36"/>
      <c r="D3925" s="37"/>
      <c r="E3925" s="36"/>
      <c r="F3925" s="42"/>
      <c r="G3925" s="42"/>
      <c r="H3925" s="42"/>
      <c r="AG3925" s="19">
        <v>3924</v>
      </c>
      <c r="AH3925" s="20">
        <v>1417.9901352510408</v>
      </c>
    </row>
    <row r="3926" spans="1:34" ht="14.5" x14ac:dyDescent="0.35">
      <c r="A3926" s="34"/>
      <c r="B3926" s="35"/>
      <c r="C3926" s="36"/>
      <c r="D3926" s="37"/>
      <c r="E3926" s="36"/>
      <c r="F3926" s="42"/>
      <c r="G3926" s="42"/>
      <c r="H3926" s="42"/>
      <c r="AG3926" s="19">
        <v>3925</v>
      </c>
      <c r="AH3926" s="20">
        <v>-2113.0108084991994</v>
      </c>
    </row>
    <row r="3927" spans="1:34" ht="14.5" x14ac:dyDescent="0.35">
      <c r="A3927" s="34"/>
      <c r="B3927" s="35"/>
      <c r="C3927" s="36"/>
      <c r="D3927" s="37"/>
      <c r="E3927" s="36"/>
      <c r="F3927" s="42"/>
      <c r="G3927" s="42"/>
      <c r="H3927" s="42"/>
      <c r="AG3927" s="19">
        <v>3926</v>
      </c>
      <c r="AH3927" s="20">
        <v>219.45424866596119</v>
      </c>
    </row>
    <row r="3928" spans="1:34" ht="14.5" x14ac:dyDescent="0.35">
      <c r="A3928" s="34"/>
      <c r="B3928" s="35"/>
      <c r="C3928" s="36"/>
      <c r="D3928" s="37"/>
      <c r="E3928" s="36"/>
      <c r="F3928" s="42"/>
      <c r="G3928" s="42"/>
      <c r="H3928" s="42"/>
      <c r="AG3928" s="19">
        <v>3927</v>
      </c>
      <c r="AH3928" s="20">
        <v>-4257.1621539716598</v>
      </c>
    </row>
    <row r="3929" spans="1:34" ht="14.5" x14ac:dyDescent="0.35">
      <c r="A3929" s="34"/>
      <c r="B3929" s="35"/>
      <c r="C3929" s="36"/>
      <c r="D3929" s="37"/>
      <c r="E3929" s="36"/>
      <c r="F3929" s="42"/>
      <c r="G3929" s="42"/>
      <c r="H3929" s="42"/>
      <c r="AG3929" s="19">
        <v>3928</v>
      </c>
      <c r="AH3929" s="20">
        <v>1271.7673763240268</v>
      </c>
    </row>
    <row r="3930" spans="1:34" ht="14.5" x14ac:dyDescent="0.35">
      <c r="A3930" s="34"/>
      <c r="B3930" s="35"/>
      <c r="C3930" s="36"/>
      <c r="D3930" s="37"/>
      <c r="E3930" s="36"/>
      <c r="F3930" s="42"/>
      <c r="G3930" s="42"/>
      <c r="H3930" s="42"/>
      <c r="AG3930" s="19">
        <v>3929</v>
      </c>
      <c r="AH3930" s="20">
        <v>1360.8041344813137</v>
      </c>
    </row>
    <row r="3931" spans="1:34" ht="14.5" x14ac:dyDescent="0.35">
      <c r="A3931" s="34"/>
      <c r="B3931" s="35"/>
      <c r="C3931" s="36"/>
      <c r="D3931" s="37"/>
      <c r="E3931" s="36"/>
      <c r="F3931" s="42"/>
      <c r="G3931" s="42"/>
      <c r="H3931" s="42"/>
      <c r="AG3931" s="19">
        <v>3930</v>
      </c>
      <c r="AH3931" s="20">
        <v>1604.4970928308917</v>
      </c>
    </row>
    <row r="3932" spans="1:34" ht="14.5" x14ac:dyDescent="0.35">
      <c r="A3932" s="34"/>
      <c r="B3932" s="35"/>
      <c r="C3932" s="36"/>
      <c r="D3932" s="37"/>
      <c r="E3932" s="36"/>
      <c r="F3932" s="42"/>
      <c r="G3932" s="42"/>
      <c r="H3932" s="42"/>
      <c r="AG3932" s="19">
        <v>3931</v>
      </c>
      <c r="AH3932" s="20">
        <v>3762.8423232358423</v>
      </c>
    </row>
    <row r="3933" spans="1:34" ht="14.5" x14ac:dyDescent="0.35">
      <c r="A3933" s="34"/>
      <c r="B3933" s="35"/>
      <c r="C3933" s="36"/>
      <c r="D3933" s="37"/>
      <c r="E3933" s="36"/>
      <c r="F3933" s="42"/>
      <c r="G3933" s="42"/>
      <c r="H3933" s="42"/>
      <c r="AG3933" s="19">
        <v>3932</v>
      </c>
      <c r="AH3933" s="20">
        <v>-125.14600629906664</v>
      </c>
    </row>
    <row r="3934" spans="1:34" ht="14.5" x14ac:dyDescent="0.35">
      <c r="A3934" s="34"/>
      <c r="B3934" s="35"/>
      <c r="C3934" s="36"/>
      <c r="D3934" s="37"/>
      <c r="E3934" s="36"/>
      <c r="F3934" s="42"/>
      <c r="G3934" s="42"/>
      <c r="H3934" s="42"/>
      <c r="AG3934" s="19">
        <v>3933</v>
      </c>
      <c r="AH3934" s="20">
        <v>342.34542383212084</v>
      </c>
    </row>
    <row r="3935" spans="1:34" ht="14.5" x14ac:dyDescent="0.35">
      <c r="A3935" s="34"/>
      <c r="B3935" s="35"/>
      <c r="C3935" s="36"/>
      <c r="D3935" s="37"/>
      <c r="E3935" s="36"/>
      <c r="F3935" s="42"/>
      <c r="G3935" s="42"/>
      <c r="H3935" s="42"/>
      <c r="AG3935" s="19">
        <v>3934</v>
      </c>
      <c r="AH3935" s="20">
        <v>1104.1454062996847</v>
      </c>
    </row>
    <row r="3936" spans="1:34" ht="14.5" x14ac:dyDescent="0.35">
      <c r="A3936" s="34"/>
      <c r="B3936" s="35"/>
      <c r="C3936" s="36"/>
      <c r="D3936" s="37"/>
      <c r="E3936" s="36"/>
      <c r="F3936" s="42"/>
      <c r="G3936" s="42"/>
      <c r="H3936" s="42"/>
      <c r="AG3936" s="19">
        <v>3935</v>
      </c>
      <c r="AH3936" s="20">
        <v>-1257.7144789022618</v>
      </c>
    </row>
    <row r="3937" spans="1:34" ht="14.5" x14ac:dyDescent="0.35">
      <c r="A3937" s="34"/>
      <c r="B3937" s="35"/>
      <c r="C3937" s="36"/>
      <c r="D3937" s="37"/>
      <c r="E3937" s="36"/>
      <c r="F3937" s="42"/>
      <c r="G3937" s="42"/>
      <c r="H3937" s="42"/>
      <c r="AG3937" s="19">
        <v>3936</v>
      </c>
      <c r="AH3937" s="20">
        <v>-102.12913211749435</v>
      </c>
    </row>
    <row r="3938" spans="1:34" ht="14.5" x14ac:dyDescent="0.35">
      <c r="A3938" s="34"/>
      <c r="B3938" s="35"/>
      <c r="C3938" s="36"/>
      <c r="D3938" s="37"/>
      <c r="E3938" s="36"/>
      <c r="F3938" s="42"/>
      <c r="G3938" s="42"/>
      <c r="H3938" s="42"/>
      <c r="AG3938" s="19">
        <v>3937</v>
      </c>
      <c r="AH3938" s="20">
        <v>-357.12002811805752</v>
      </c>
    </row>
    <row r="3939" spans="1:34" ht="14.5" x14ac:dyDescent="0.35">
      <c r="A3939" s="34"/>
      <c r="B3939" s="35"/>
      <c r="C3939" s="36"/>
      <c r="D3939" s="37"/>
      <c r="E3939" s="36"/>
      <c r="F3939" s="42"/>
      <c r="G3939" s="42"/>
      <c r="H3939" s="42"/>
      <c r="AG3939" s="19">
        <v>3938</v>
      </c>
      <c r="AH3939" s="20">
        <v>2485.6129288852444</v>
      </c>
    </row>
    <row r="3940" spans="1:34" ht="14.5" x14ac:dyDescent="0.35">
      <c r="A3940" s="34"/>
      <c r="B3940" s="35"/>
      <c r="C3940" s="36"/>
      <c r="D3940" s="37"/>
      <c r="E3940" s="36"/>
      <c r="F3940" s="42"/>
      <c r="G3940" s="42"/>
      <c r="H3940" s="42"/>
      <c r="AG3940" s="19">
        <v>3939</v>
      </c>
      <c r="AH3940" s="20">
        <v>1802.0482064739538</v>
      </c>
    </row>
    <row r="3941" spans="1:34" ht="14.5" x14ac:dyDescent="0.35">
      <c r="A3941" s="34"/>
      <c r="B3941" s="35"/>
      <c r="C3941" s="36"/>
      <c r="D3941" s="37"/>
      <c r="E3941" s="36"/>
      <c r="F3941" s="42"/>
      <c r="G3941" s="42"/>
      <c r="H3941" s="42"/>
      <c r="AG3941" s="19">
        <v>3940</v>
      </c>
      <c r="AH3941" s="20">
        <v>-1998.3253056351293</v>
      </c>
    </row>
    <row r="3942" spans="1:34" ht="14.5" x14ac:dyDescent="0.35">
      <c r="A3942" s="34"/>
      <c r="B3942" s="35"/>
      <c r="C3942" s="36"/>
      <c r="D3942" s="37"/>
      <c r="E3942" s="36"/>
      <c r="F3942" s="42"/>
      <c r="G3942" s="42"/>
      <c r="H3942" s="42"/>
      <c r="AG3942" s="19">
        <v>3941</v>
      </c>
      <c r="AH3942" s="20">
        <v>1051.3058948088787</v>
      </c>
    </row>
    <row r="3943" spans="1:34" ht="14.5" x14ac:dyDescent="0.35">
      <c r="A3943" s="34"/>
      <c r="B3943" s="35"/>
      <c r="C3943" s="36"/>
      <c r="D3943" s="37"/>
      <c r="E3943" s="36"/>
      <c r="F3943" s="42"/>
      <c r="G3943" s="42"/>
      <c r="H3943" s="42"/>
      <c r="AG3943" s="19">
        <v>3942</v>
      </c>
      <c r="AH3943" s="20">
        <v>800.4873089962299</v>
      </c>
    </row>
    <row r="3944" spans="1:34" ht="14.5" x14ac:dyDescent="0.35">
      <c r="A3944" s="34"/>
      <c r="B3944" s="35"/>
      <c r="C3944" s="36"/>
      <c r="D3944" s="37"/>
      <c r="E3944" s="36"/>
      <c r="F3944" s="42"/>
      <c r="G3944" s="42"/>
      <c r="H3944" s="42"/>
      <c r="AG3944" s="19">
        <v>3943</v>
      </c>
      <c r="AH3944" s="20">
        <v>826.77912303947778</v>
      </c>
    </row>
    <row r="3945" spans="1:34" ht="14.5" x14ac:dyDescent="0.35">
      <c r="A3945" s="34"/>
      <c r="B3945" s="35"/>
      <c r="C3945" s="36"/>
      <c r="D3945" s="37"/>
      <c r="E3945" s="36"/>
      <c r="F3945" s="42"/>
      <c r="G3945" s="42"/>
      <c r="H3945" s="42"/>
      <c r="AG3945" s="19">
        <v>3944</v>
      </c>
      <c r="AH3945" s="20">
        <v>3047.4954387460257</v>
      </c>
    </row>
    <row r="3946" spans="1:34" ht="14.5" x14ac:dyDescent="0.35">
      <c r="A3946" s="34"/>
      <c r="B3946" s="35"/>
      <c r="C3946" s="36"/>
      <c r="D3946" s="37"/>
      <c r="E3946" s="36"/>
      <c r="F3946" s="42"/>
      <c r="G3946" s="42"/>
      <c r="H3946" s="42"/>
      <c r="AG3946" s="19">
        <v>3945</v>
      </c>
      <c r="AH3946" s="20">
        <v>1790.2083390900007</v>
      </c>
    </row>
    <row r="3947" spans="1:34" ht="14.5" x14ac:dyDescent="0.35">
      <c r="A3947" s="34"/>
      <c r="B3947" s="35"/>
      <c r="C3947" s="36"/>
      <c r="D3947" s="37"/>
      <c r="E3947" s="36"/>
      <c r="F3947" s="42"/>
      <c r="G3947" s="42"/>
      <c r="H3947" s="42"/>
      <c r="AG3947" s="19">
        <v>3946</v>
      </c>
      <c r="AH3947" s="20">
        <v>-1842.0146916899678</v>
      </c>
    </row>
    <row r="3948" spans="1:34" ht="14.5" x14ac:dyDescent="0.35">
      <c r="A3948" s="34"/>
      <c r="B3948" s="35"/>
      <c r="C3948" s="36"/>
      <c r="D3948" s="37"/>
      <c r="E3948" s="36"/>
      <c r="F3948" s="42"/>
      <c r="G3948" s="42"/>
      <c r="H3948" s="42"/>
      <c r="AG3948" s="19">
        <v>3947</v>
      </c>
      <c r="AH3948" s="20">
        <v>-1179.6866341483953</v>
      </c>
    </row>
    <row r="3949" spans="1:34" ht="14.5" x14ac:dyDescent="0.35">
      <c r="A3949" s="34"/>
      <c r="B3949" s="35"/>
      <c r="C3949" s="36"/>
      <c r="D3949" s="37"/>
      <c r="E3949" s="36"/>
      <c r="F3949" s="42"/>
      <c r="G3949" s="42"/>
      <c r="H3949" s="42"/>
      <c r="AG3949" s="19">
        <v>3948</v>
      </c>
      <c r="AH3949" s="20">
        <v>-1437.7906718650438</v>
      </c>
    </row>
    <row r="3950" spans="1:34" ht="14.5" x14ac:dyDescent="0.35">
      <c r="A3950" s="34"/>
      <c r="B3950" s="35"/>
      <c r="C3950" s="36"/>
      <c r="D3950" s="37"/>
      <c r="E3950" s="36"/>
      <c r="F3950" s="42"/>
      <c r="G3950" s="42"/>
      <c r="H3950" s="42"/>
      <c r="AG3950" s="19">
        <v>3949</v>
      </c>
      <c r="AH3950" s="20">
        <v>3491.3583125689893</v>
      </c>
    </row>
    <row r="3951" spans="1:34" ht="14.5" x14ac:dyDescent="0.35">
      <c r="A3951" s="34"/>
      <c r="B3951" s="35"/>
      <c r="C3951" s="36"/>
      <c r="D3951" s="37"/>
      <c r="E3951" s="36"/>
      <c r="F3951" s="42"/>
      <c r="G3951" s="42"/>
      <c r="H3951" s="42"/>
      <c r="AG3951" s="19">
        <v>3950</v>
      </c>
      <c r="AH3951" s="20">
        <v>-1083.2400039401214</v>
      </c>
    </row>
    <row r="3952" spans="1:34" ht="14.5" x14ac:dyDescent="0.35">
      <c r="A3952" s="34"/>
      <c r="B3952" s="35"/>
      <c r="C3952" s="36"/>
      <c r="D3952" s="37"/>
      <c r="E3952" s="36"/>
      <c r="F3952" s="42"/>
      <c r="G3952" s="42"/>
      <c r="H3952" s="42"/>
      <c r="AG3952" s="19">
        <v>3951</v>
      </c>
      <c r="AH3952" s="20">
        <v>2193.3099850691597</v>
      </c>
    </row>
    <row r="3953" spans="1:34" ht="14.5" x14ac:dyDescent="0.35">
      <c r="A3953" s="34"/>
      <c r="B3953" s="35"/>
      <c r="C3953" s="36"/>
      <c r="D3953" s="37"/>
      <c r="E3953" s="36"/>
      <c r="F3953" s="42"/>
      <c r="G3953" s="42"/>
      <c r="H3953" s="42"/>
      <c r="AG3953" s="19">
        <v>3952</v>
      </c>
      <c r="AH3953" s="20">
        <v>-51.126887969929442</v>
      </c>
    </row>
    <row r="3954" spans="1:34" ht="14.5" x14ac:dyDescent="0.35">
      <c r="A3954" s="34"/>
      <c r="B3954" s="35"/>
      <c r="C3954" s="36"/>
      <c r="D3954" s="37"/>
      <c r="E3954" s="36"/>
      <c r="F3954" s="42"/>
      <c r="G3954" s="42"/>
      <c r="H3954" s="42"/>
      <c r="AG3954" s="19">
        <v>3953</v>
      </c>
      <c r="AH3954" s="20">
        <v>1875.6054852728328</v>
      </c>
    </row>
    <row r="3955" spans="1:34" ht="14.5" x14ac:dyDescent="0.35">
      <c r="A3955" s="34"/>
      <c r="B3955" s="35"/>
      <c r="C3955" s="36"/>
      <c r="D3955" s="37"/>
      <c r="E3955" s="36"/>
      <c r="F3955" s="42"/>
      <c r="G3955" s="42"/>
      <c r="H3955" s="42"/>
      <c r="AG3955" s="19">
        <v>3954</v>
      </c>
      <c r="AH3955" s="20">
        <v>-2956.2266120823092</v>
      </c>
    </row>
    <row r="3956" spans="1:34" ht="14.5" x14ac:dyDescent="0.35">
      <c r="A3956" s="34"/>
      <c r="B3956" s="35"/>
      <c r="C3956" s="36"/>
      <c r="D3956" s="37"/>
      <c r="E3956" s="36"/>
      <c r="F3956" s="42"/>
      <c r="G3956" s="42"/>
      <c r="H3956" s="42"/>
      <c r="AG3956" s="19">
        <v>3955</v>
      </c>
      <c r="AH3956" s="20">
        <v>806.68417210087182</v>
      </c>
    </row>
    <row r="3957" spans="1:34" ht="14.5" x14ac:dyDescent="0.35">
      <c r="A3957" s="34"/>
      <c r="B3957" s="35"/>
      <c r="C3957" s="36"/>
      <c r="D3957" s="37"/>
      <c r="E3957" s="36"/>
      <c r="F3957" s="42"/>
      <c r="G3957" s="42"/>
      <c r="H3957" s="42"/>
      <c r="AG3957" s="19">
        <v>3956</v>
      </c>
      <c r="AH3957" s="20">
        <v>-3052.1277658099466</v>
      </c>
    </row>
    <row r="3958" spans="1:34" ht="14.5" x14ac:dyDescent="0.35">
      <c r="A3958" s="34"/>
      <c r="B3958" s="35"/>
      <c r="C3958" s="36"/>
      <c r="D3958" s="37"/>
      <c r="E3958" s="36"/>
      <c r="F3958" s="42"/>
      <c r="G3958" s="42"/>
      <c r="H3958" s="42"/>
      <c r="AG3958" s="19">
        <v>3957</v>
      </c>
      <c r="AH3958" s="20">
        <v>988.41677788070615</v>
      </c>
    </row>
    <row r="3959" spans="1:34" ht="14.5" x14ac:dyDescent="0.35">
      <c r="A3959" s="34"/>
      <c r="B3959" s="35"/>
      <c r="C3959" s="36"/>
      <c r="D3959" s="37"/>
      <c r="E3959" s="36"/>
      <c r="F3959" s="42"/>
      <c r="G3959" s="42"/>
      <c r="H3959" s="42"/>
      <c r="AG3959" s="19">
        <v>3958</v>
      </c>
      <c r="AH3959" s="20">
        <v>1768.0194780889124</v>
      </c>
    </row>
    <row r="3960" spans="1:34" ht="14.5" x14ac:dyDescent="0.35">
      <c r="A3960" s="34"/>
      <c r="B3960" s="35"/>
      <c r="C3960" s="36"/>
      <c r="D3960" s="37"/>
      <c r="E3960" s="36"/>
      <c r="F3960" s="42"/>
      <c r="G3960" s="42"/>
      <c r="H3960" s="42"/>
      <c r="AG3960" s="19">
        <v>3959</v>
      </c>
      <c r="AH3960" s="20">
        <v>-1098.4298268898119</v>
      </c>
    </row>
    <row r="3961" spans="1:34" ht="14.5" x14ac:dyDescent="0.35">
      <c r="A3961" s="34"/>
      <c r="B3961" s="35"/>
      <c r="C3961" s="36"/>
      <c r="D3961" s="37"/>
      <c r="E3961" s="36"/>
      <c r="F3961" s="42"/>
      <c r="G3961" s="42"/>
      <c r="H3961" s="42"/>
      <c r="AG3961" s="19">
        <v>3960</v>
      </c>
      <c r="AH3961" s="20">
        <v>1566.6046515800929</v>
      </c>
    </row>
    <row r="3962" spans="1:34" ht="14.5" x14ac:dyDescent="0.35">
      <c r="A3962" s="34"/>
      <c r="B3962" s="35"/>
      <c r="C3962" s="36"/>
      <c r="D3962" s="37"/>
      <c r="E3962" s="36"/>
      <c r="F3962" s="42"/>
      <c r="G3962" s="42"/>
      <c r="H3962" s="42"/>
      <c r="AG3962" s="19">
        <v>3961</v>
      </c>
      <c r="AH3962" s="20">
        <v>-328.98601260442962</v>
      </c>
    </row>
    <row r="3963" spans="1:34" ht="14.5" x14ac:dyDescent="0.35">
      <c r="A3963" s="34"/>
      <c r="B3963" s="35"/>
      <c r="C3963" s="36"/>
      <c r="D3963" s="37"/>
      <c r="E3963" s="36"/>
      <c r="F3963" s="42"/>
      <c r="G3963" s="42"/>
      <c r="H3963" s="42"/>
      <c r="AG3963" s="19">
        <v>3962</v>
      </c>
      <c r="AH3963" s="20">
        <v>-937.35492881173718</v>
      </c>
    </row>
    <row r="3964" spans="1:34" ht="14.5" x14ac:dyDescent="0.35">
      <c r="A3964" s="34"/>
      <c r="B3964" s="35"/>
      <c r="C3964" s="36"/>
      <c r="D3964" s="37"/>
      <c r="E3964" s="36"/>
      <c r="F3964" s="42"/>
      <c r="G3964" s="42"/>
      <c r="H3964" s="42"/>
      <c r="AG3964" s="19">
        <v>3963</v>
      </c>
      <c r="AH3964" s="20">
        <v>-3636.7002884368335</v>
      </c>
    </row>
    <row r="3965" spans="1:34" ht="14.5" x14ac:dyDescent="0.35">
      <c r="A3965" s="34"/>
      <c r="B3965" s="35"/>
      <c r="C3965" s="36"/>
      <c r="D3965" s="37"/>
      <c r="E3965" s="36"/>
      <c r="F3965" s="42"/>
      <c r="G3965" s="42"/>
      <c r="H3965" s="42"/>
      <c r="AG3965" s="19">
        <v>3964</v>
      </c>
      <c r="AH3965" s="20">
        <v>1251.1753577701327</v>
      </c>
    </row>
    <row r="3966" spans="1:34" ht="14.5" x14ac:dyDescent="0.35">
      <c r="A3966" s="34"/>
      <c r="B3966" s="35"/>
      <c r="C3966" s="36"/>
      <c r="D3966" s="37"/>
      <c r="E3966" s="36"/>
      <c r="F3966" s="42"/>
      <c r="G3966" s="42"/>
      <c r="H3966" s="42"/>
      <c r="AG3966" s="19">
        <v>3965</v>
      </c>
      <c r="AH3966" s="20">
        <v>629.65910726625543</v>
      </c>
    </row>
    <row r="3967" spans="1:34" ht="14.5" x14ac:dyDescent="0.35">
      <c r="A3967" s="34"/>
      <c r="B3967" s="35"/>
      <c r="C3967" s="36"/>
      <c r="D3967" s="37"/>
      <c r="E3967" s="36"/>
      <c r="F3967" s="42"/>
      <c r="G3967" s="42"/>
      <c r="H3967" s="42"/>
      <c r="AG3967" s="19">
        <v>3966</v>
      </c>
      <c r="AH3967" s="20">
        <v>-770.1907707965529</v>
      </c>
    </row>
    <row r="3968" spans="1:34" ht="14.5" x14ac:dyDescent="0.35">
      <c r="A3968" s="34"/>
      <c r="B3968" s="35"/>
      <c r="C3968" s="36"/>
      <c r="D3968" s="37"/>
      <c r="E3968" s="36"/>
      <c r="F3968" s="42"/>
      <c r="G3968" s="42"/>
      <c r="H3968" s="42"/>
      <c r="AG3968" s="19">
        <v>3967</v>
      </c>
      <c r="AH3968" s="20">
        <v>-1369.5543591460487</v>
      </c>
    </row>
    <row r="3969" spans="1:34" ht="14.5" x14ac:dyDescent="0.35">
      <c r="A3969" s="34"/>
      <c r="B3969" s="35"/>
      <c r="C3969" s="36"/>
      <c r="D3969" s="37"/>
      <c r="E3969" s="36"/>
      <c r="F3969" s="42"/>
      <c r="G3969" s="42"/>
      <c r="H3969" s="42"/>
      <c r="AG3969" s="19">
        <v>3968</v>
      </c>
      <c r="AH3969" s="20">
        <v>1680.8791211106961</v>
      </c>
    </row>
    <row r="3970" spans="1:34" ht="14.5" x14ac:dyDescent="0.35">
      <c r="A3970" s="34"/>
      <c r="B3970" s="35"/>
      <c r="C3970" s="36"/>
      <c r="D3970" s="37"/>
      <c r="E3970" s="36"/>
      <c r="F3970" s="42"/>
      <c r="G3970" s="42"/>
      <c r="H3970" s="42"/>
      <c r="AG3970" s="19">
        <v>3969</v>
      </c>
      <c r="AH3970" s="20">
        <v>1586.8036633337022</v>
      </c>
    </row>
    <row r="3971" spans="1:34" ht="14.5" x14ac:dyDescent="0.35">
      <c r="A3971" s="34"/>
      <c r="B3971" s="35"/>
      <c r="C3971" s="36"/>
      <c r="D3971" s="37"/>
      <c r="E3971" s="36"/>
      <c r="F3971" s="42"/>
      <c r="G3971" s="42"/>
      <c r="H3971" s="42"/>
      <c r="AG3971" s="19">
        <v>3970</v>
      </c>
      <c r="AH3971" s="20">
        <v>-844.11184508291717</v>
      </c>
    </row>
    <row r="3972" spans="1:34" ht="14.5" x14ac:dyDescent="0.35">
      <c r="A3972" s="34"/>
      <c r="B3972" s="35"/>
      <c r="C3972" s="36"/>
      <c r="D3972" s="37"/>
      <c r="E3972" s="36"/>
      <c r="F3972" s="42"/>
      <c r="G3972" s="42"/>
      <c r="H3972" s="42"/>
      <c r="AG3972" s="19">
        <v>3971</v>
      </c>
      <c r="AH3972" s="20">
        <v>-2965.5617021250318</v>
      </c>
    </row>
    <row r="3973" spans="1:34" ht="14.5" x14ac:dyDescent="0.35">
      <c r="A3973" s="34"/>
      <c r="B3973" s="35"/>
      <c r="C3973" s="36"/>
      <c r="D3973" s="37"/>
      <c r="E3973" s="36"/>
      <c r="F3973" s="42"/>
      <c r="G3973" s="42"/>
      <c r="H3973" s="42"/>
      <c r="AG3973" s="19">
        <v>3972</v>
      </c>
      <c r="AH3973" s="20">
        <v>2287.6767953200251</v>
      </c>
    </row>
    <row r="3974" spans="1:34" ht="14.5" x14ac:dyDescent="0.35">
      <c r="A3974" s="34"/>
      <c r="B3974" s="35"/>
      <c r="C3974" s="36"/>
      <c r="D3974" s="37"/>
      <c r="E3974" s="36"/>
      <c r="F3974" s="42"/>
      <c r="G3974" s="42"/>
      <c r="H3974" s="42"/>
      <c r="AG3974" s="19">
        <v>3973</v>
      </c>
      <c r="AH3974" s="20">
        <v>-584.98277718134318</v>
      </c>
    </row>
    <row r="3975" spans="1:34" ht="14.5" x14ac:dyDescent="0.35">
      <c r="A3975" s="34"/>
      <c r="B3975" s="35"/>
      <c r="C3975" s="36"/>
      <c r="D3975" s="37"/>
      <c r="E3975" s="36"/>
      <c r="F3975" s="42"/>
      <c r="G3975" s="42"/>
      <c r="H3975" s="42"/>
      <c r="AG3975" s="19">
        <v>3974</v>
      </c>
      <c r="AH3975" s="20">
        <v>1431.4857271921244</v>
      </c>
    </row>
    <row r="3976" spans="1:34" ht="14.5" x14ac:dyDescent="0.35">
      <c r="A3976" s="34"/>
      <c r="B3976" s="35"/>
      <c r="C3976" s="36"/>
      <c r="D3976" s="37"/>
      <c r="E3976" s="36"/>
      <c r="F3976" s="42"/>
      <c r="G3976" s="42"/>
      <c r="H3976" s="42"/>
      <c r="AG3976" s="19">
        <v>3975</v>
      </c>
      <c r="AH3976" s="20">
        <v>323.03619560293691</v>
      </c>
    </row>
    <row r="3977" spans="1:34" ht="14.5" x14ac:dyDescent="0.35">
      <c r="A3977" s="34"/>
      <c r="B3977" s="35"/>
      <c r="C3977" s="36"/>
      <c r="D3977" s="37"/>
      <c r="E3977" s="36"/>
      <c r="F3977" s="42"/>
      <c r="G3977" s="42"/>
      <c r="H3977" s="42"/>
      <c r="AG3977" s="19">
        <v>3976</v>
      </c>
      <c r="AH3977" s="20">
        <v>-2039.840383755308</v>
      </c>
    </row>
    <row r="3978" spans="1:34" ht="14.5" x14ac:dyDescent="0.35">
      <c r="A3978" s="34"/>
      <c r="B3978" s="35"/>
      <c r="C3978" s="36"/>
      <c r="D3978" s="37"/>
      <c r="E3978" s="36"/>
      <c r="F3978" s="42"/>
      <c r="G3978" s="42"/>
      <c r="H3978" s="42"/>
      <c r="AG3978" s="19">
        <v>3977</v>
      </c>
      <c r="AH3978" s="20">
        <v>-662.07651400742043</v>
      </c>
    </row>
    <row r="3979" spans="1:34" ht="14.5" x14ac:dyDescent="0.35">
      <c r="A3979" s="34"/>
      <c r="B3979" s="35"/>
      <c r="C3979" s="36"/>
      <c r="D3979" s="37"/>
      <c r="E3979" s="36"/>
      <c r="F3979" s="42"/>
      <c r="G3979" s="42"/>
      <c r="H3979" s="42"/>
      <c r="AG3979" s="19">
        <v>3978</v>
      </c>
      <c r="AH3979" s="20">
        <v>-1929.5260420337661</v>
      </c>
    </row>
    <row r="3980" spans="1:34" ht="14.5" x14ac:dyDescent="0.35">
      <c r="A3980" s="34"/>
      <c r="B3980" s="35"/>
      <c r="C3980" s="36"/>
      <c r="D3980" s="37"/>
      <c r="E3980" s="36"/>
      <c r="F3980" s="42"/>
      <c r="G3980" s="42"/>
      <c r="H3980" s="42"/>
      <c r="AG3980" s="19">
        <v>3979</v>
      </c>
      <c r="AH3980" s="20">
        <v>-3949.4230295155785</v>
      </c>
    </row>
    <row r="3981" spans="1:34" ht="14.5" x14ac:dyDescent="0.35">
      <c r="A3981" s="34"/>
      <c r="B3981" s="35"/>
      <c r="C3981" s="36"/>
      <c r="D3981" s="37"/>
      <c r="E3981" s="36"/>
      <c r="F3981" s="42"/>
      <c r="G3981" s="42"/>
      <c r="H3981" s="42"/>
      <c r="AG3981" s="19">
        <v>3980</v>
      </c>
      <c r="AH3981" s="20">
        <v>-2524.1854411982513</v>
      </c>
    </row>
    <row r="3982" spans="1:34" ht="14.5" x14ac:dyDescent="0.35">
      <c r="A3982" s="34"/>
      <c r="B3982" s="35"/>
      <c r="C3982" s="36"/>
      <c r="D3982" s="37"/>
      <c r="E3982" s="36"/>
      <c r="F3982" s="42"/>
      <c r="G3982" s="42"/>
      <c r="H3982" s="42"/>
      <c r="AG3982" s="19">
        <v>3981</v>
      </c>
      <c r="AH3982" s="20">
        <v>-1096.9725010852826</v>
      </c>
    </row>
    <row r="3983" spans="1:34" ht="14.5" x14ac:dyDescent="0.35">
      <c r="A3983" s="34"/>
      <c r="B3983" s="35"/>
      <c r="C3983" s="36"/>
      <c r="D3983" s="37"/>
      <c r="E3983" s="36"/>
      <c r="F3983" s="42"/>
      <c r="G3983" s="42"/>
      <c r="H3983" s="42"/>
      <c r="AG3983" s="19">
        <v>3982</v>
      </c>
      <c r="AH3983" s="20">
        <v>314.32286106040675</v>
      </c>
    </row>
    <row r="3984" spans="1:34" ht="14.5" x14ac:dyDescent="0.35">
      <c r="A3984" s="34"/>
      <c r="B3984" s="35"/>
      <c r="C3984" s="36"/>
      <c r="D3984" s="37"/>
      <c r="E3984" s="36"/>
      <c r="F3984" s="42"/>
      <c r="G3984" s="42"/>
      <c r="H3984" s="42"/>
      <c r="AG3984" s="19">
        <v>3983</v>
      </c>
      <c r="AH3984" s="20">
        <v>2411.8648423664335</v>
      </c>
    </row>
    <row r="3985" spans="1:34" ht="14.5" x14ac:dyDescent="0.35">
      <c r="A3985" s="34"/>
      <c r="B3985" s="35"/>
      <c r="C3985" s="36"/>
      <c r="D3985" s="37"/>
      <c r="E3985" s="36"/>
      <c r="F3985" s="42"/>
      <c r="G3985" s="42"/>
      <c r="H3985" s="42"/>
      <c r="AG3985" s="19">
        <v>3984</v>
      </c>
      <c r="AH3985" s="20">
        <v>-1838.0054979541976</v>
      </c>
    </row>
    <row r="3986" spans="1:34" ht="14.5" x14ac:dyDescent="0.35">
      <c r="A3986" s="34"/>
      <c r="B3986" s="35"/>
      <c r="C3986" s="36"/>
      <c r="D3986" s="37"/>
      <c r="E3986" s="36"/>
      <c r="F3986" s="42"/>
      <c r="G3986" s="42"/>
      <c r="H3986" s="42"/>
      <c r="AG3986" s="19">
        <v>3985</v>
      </c>
      <c r="AH3986" s="20">
        <v>2386.3474993972741</v>
      </c>
    </row>
    <row r="3987" spans="1:34" ht="14.5" x14ac:dyDescent="0.35">
      <c r="A3987" s="34"/>
      <c r="B3987" s="35"/>
      <c r="C3987" s="36"/>
      <c r="D3987" s="37"/>
      <c r="E3987" s="36"/>
      <c r="F3987" s="42"/>
      <c r="G3987" s="42"/>
      <c r="H3987" s="42"/>
      <c r="AG3987" s="19">
        <v>3986</v>
      </c>
      <c r="AH3987" s="20">
        <v>3161.0457517286627</v>
      </c>
    </row>
    <row r="3988" spans="1:34" ht="14.5" x14ac:dyDescent="0.35">
      <c r="A3988" s="34"/>
      <c r="B3988" s="35"/>
      <c r="C3988" s="36"/>
      <c r="D3988" s="37"/>
      <c r="E3988" s="36"/>
      <c r="F3988" s="42"/>
      <c r="G3988" s="42"/>
      <c r="H3988" s="42"/>
      <c r="AG3988" s="19">
        <v>3987</v>
      </c>
      <c r="AH3988" s="20">
        <v>-691.10448993547743</v>
      </c>
    </row>
    <row r="3989" spans="1:34" ht="14.5" x14ac:dyDescent="0.35">
      <c r="A3989" s="34"/>
      <c r="B3989" s="35"/>
      <c r="C3989" s="36"/>
      <c r="D3989" s="37"/>
      <c r="E3989" s="36"/>
      <c r="F3989" s="42"/>
      <c r="G3989" s="42"/>
      <c r="H3989" s="42"/>
      <c r="AG3989" s="19">
        <v>3988</v>
      </c>
      <c r="AH3989" s="20">
        <v>1310.3169656365908</v>
      </c>
    </row>
    <row r="3990" spans="1:34" ht="14.5" x14ac:dyDescent="0.35">
      <c r="A3990" s="34"/>
      <c r="B3990" s="35"/>
      <c r="C3990" s="36"/>
      <c r="D3990" s="37"/>
      <c r="E3990" s="36"/>
      <c r="F3990" s="42"/>
      <c r="G3990" s="42"/>
      <c r="H3990" s="42"/>
      <c r="AG3990" s="19">
        <v>3989</v>
      </c>
      <c r="AH3990" s="20">
        <v>-2352.1117625447864</v>
      </c>
    </row>
    <row r="3991" spans="1:34" ht="14.5" x14ac:dyDescent="0.35">
      <c r="A3991" s="34"/>
      <c r="B3991" s="35"/>
      <c r="C3991" s="36"/>
      <c r="D3991" s="37"/>
      <c r="E3991" s="36"/>
      <c r="F3991" s="42"/>
      <c r="G3991" s="42"/>
      <c r="H3991" s="42"/>
      <c r="AG3991" s="19">
        <v>3990</v>
      </c>
      <c r="AH3991" s="20">
        <v>1679.2573465192772</v>
      </c>
    </row>
    <row r="3992" spans="1:34" ht="14.5" x14ac:dyDescent="0.35">
      <c r="A3992" s="34"/>
      <c r="B3992" s="35"/>
      <c r="C3992" s="36"/>
      <c r="D3992" s="37"/>
      <c r="E3992" s="36"/>
      <c r="F3992" s="42"/>
      <c r="G3992" s="42"/>
      <c r="H3992" s="42"/>
      <c r="AG3992" s="19">
        <v>3991</v>
      </c>
      <c r="AH3992" s="20">
        <v>3811.7947600529906</v>
      </c>
    </row>
    <row r="3993" spans="1:34" ht="14.5" x14ac:dyDescent="0.35">
      <c r="A3993" s="34"/>
      <c r="B3993" s="35"/>
      <c r="C3993" s="36"/>
      <c r="D3993" s="37"/>
      <c r="E3993" s="36"/>
      <c r="F3993" s="42"/>
      <c r="G3993" s="42"/>
      <c r="H3993" s="42"/>
      <c r="AG3993" s="19">
        <v>3992</v>
      </c>
      <c r="AH3993" s="20">
        <v>737.25542646764711</v>
      </c>
    </row>
    <row r="3994" spans="1:34" ht="14.5" x14ac:dyDescent="0.35">
      <c r="A3994" s="34"/>
      <c r="B3994" s="35"/>
      <c r="C3994" s="36"/>
      <c r="D3994" s="37"/>
      <c r="E3994" s="36"/>
      <c r="F3994" s="42"/>
      <c r="G3994" s="42"/>
      <c r="H3994" s="42"/>
      <c r="AG3994" s="19">
        <v>3993</v>
      </c>
      <c r="AH3994" s="20">
        <v>669.80922169260373</v>
      </c>
    </row>
    <row r="3995" spans="1:34" ht="14.5" x14ac:dyDescent="0.35">
      <c r="A3995" s="34"/>
      <c r="B3995" s="35"/>
      <c r="C3995" s="36"/>
      <c r="D3995" s="37"/>
      <c r="E3995" s="36"/>
      <c r="F3995" s="42"/>
      <c r="G3995" s="42"/>
      <c r="H3995" s="42"/>
      <c r="AG3995" s="19">
        <v>3994</v>
      </c>
      <c r="AH3995" s="20">
        <v>-1751.4198729056254</v>
      </c>
    </row>
    <row r="3996" spans="1:34" ht="14.5" x14ac:dyDescent="0.35">
      <c r="A3996" s="34"/>
      <c r="B3996" s="35"/>
      <c r="C3996" s="36"/>
      <c r="D3996" s="37"/>
      <c r="E3996" s="36"/>
      <c r="F3996" s="42"/>
      <c r="G3996" s="42"/>
      <c r="H3996" s="42"/>
      <c r="AG3996" s="19">
        <v>3995</v>
      </c>
      <c r="AH3996" s="20">
        <v>-422.19062779597238</v>
      </c>
    </row>
    <row r="3997" spans="1:34" ht="14.5" x14ac:dyDescent="0.35">
      <c r="A3997" s="34"/>
      <c r="B3997" s="35"/>
      <c r="C3997" s="36"/>
      <c r="D3997" s="37"/>
      <c r="E3997" s="36"/>
      <c r="F3997" s="42"/>
      <c r="G3997" s="42"/>
      <c r="H3997" s="42"/>
      <c r="AG3997" s="19">
        <v>3996</v>
      </c>
      <c r="AH3997" s="20">
        <v>2285.4893925756664</v>
      </c>
    </row>
    <row r="3998" spans="1:34" ht="14.5" x14ac:dyDescent="0.35">
      <c r="A3998" s="34"/>
      <c r="B3998" s="35"/>
      <c r="C3998" s="36"/>
      <c r="D3998" s="37"/>
      <c r="E3998" s="36"/>
      <c r="F3998" s="42"/>
      <c r="G3998" s="42"/>
      <c r="H3998" s="42"/>
      <c r="AG3998" s="19">
        <v>3997</v>
      </c>
      <c r="AH3998" s="20">
        <v>-1194.0319183252375</v>
      </c>
    </row>
    <row r="3999" spans="1:34" ht="14.5" x14ac:dyDescent="0.35">
      <c r="A3999" s="34"/>
      <c r="B3999" s="35"/>
      <c r="C3999" s="36"/>
      <c r="D3999" s="37"/>
      <c r="E3999" s="36"/>
      <c r="F3999" s="42"/>
      <c r="G3999" s="42"/>
      <c r="H3999" s="42"/>
      <c r="AG3999" s="19">
        <v>3998</v>
      </c>
      <c r="AH3999" s="20">
        <v>41.945128932828993</v>
      </c>
    </row>
    <row r="4000" spans="1:34" ht="14.5" x14ac:dyDescent="0.35">
      <c r="A4000" s="34"/>
      <c r="B4000" s="35"/>
      <c r="C4000" s="36"/>
      <c r="D4000" s="37"/>
      <c r="E4000" s="36"/>
      <c r="F4000" s="42"/>
      <c r="G4000" s="42"/>
      <c r="H4000" s="42"/>
      <c r="AG4000" s="19">
        <v>3999</v>
      </c>
      <c r="AH4000" s="20">
        <v>2455.4577188987309</v>
      </c>
    </row>
    <row r="4001" spans="1:34" ht="14.5" x14ac:dyDescent="0.35">
      <c r="A4001" s="34"/>
      <c r="B4001" s="35"/>
      <c r="C4001" s="36"/>
      <c r="D4001" s="37"/>
      <c r="E4001" s="36"/>
      <c r="F4001" s="42"/>
      <c r="G4001" s="42"/>
      <c r="H4001" s="42"/>
      <c r="AG4001" s="19">
        <v>4000</v>
      </c>
      <c r="AH4001" s="20">
        <v>471.19092158735873</v>
      </c>
    </row>
    <row r="4002" spans="1:34" ht="14.5" x14ac:dyDescent="0.35">
      <c r="A4002" s="34"/>
      <c r="B4002" s="35"/>
      <c r="C4002" s="36"/>
      <c r="D4002" s="37"/>
      <c r="E4002" s="36"/>
      <c r="F4002" s="42"/>
      <c r="G4002" s="42"/>
      <c r="H4002" s="42"/>
      <c r="AG4002" s="19">
        <v>4001</v>
      </c>
      <c r="AH4002" s="20">
        <v>7456.6571690007586</v>
      </c>
    </row>
    <row r="4003" spans="1:34" ht="14.5" x14ac:dyDescent="0.35">
      <c r="A4003" s="34"/>
      <c r="B4003" s="35"/>
      <c r="C4003" s="36"/>
      <c r="D4003" s="37"/>
      <c r="E4003" s="36"/>
      <c r="F4003" s="42"/>
      <c r="G4003" s="42"/>
      <c r="H4003" s="42"/>
      <c r="AG4003" s="19">
        <v>4002</v>
      </c>
      <c r="AH4003" s="20">
        <v>-1715.1850279388757</v>
      </c>
    </row>
    <row r="4004" spans="1:34" ht="14.5" x14ac:dyDescent="0.35">
      <c r="A4004" s="34"/>
      <c r="B4004" s="35"/>
      <c r="C4004" s="36"/>
      <c r="D4004" s="37"/>
      <c r="E4004" s="36"/>
      <c r="F4004" s="42"/>
      <c r="G4004" s="42"/>
      <c r="H4004" s="42"/>
      <c r="AG4004" s="19">
        <v>4003</v>
      </c>
      <c r="AH4004" s="20">
        <v>-35.829481467949734</v>
      </c>
    </row>
    <row r="4005" spans="1:34" ht="14.5" x14ac:dyDescent="0.35">
      <c r="A4005" s="34"/>
      <c r="B4005" s="35"/>
      <c r="C4005" s="36"/>
      <c r="D4005" s="37"/>
      <c r="E4005" s="36"/>
      <c r="F4005" s="42"/>
      <c r="G4005" s="42"/>
      <c r="H4005" s="42"/>
      <c r="AG4005" s="19">
        <v>4004</v>
      </c>
      <c r="AH4005" s="20">
        <v>-279.6041712836365</v>
      </c>
    </row>
    <row r="4006" spans="1:34" ht="14.5" x14ac:dyDescent="0.35">
      <c r="A4006" s="34"/>
      <c r="B4006" s="35"/>
      <c r="C4006" s="36"/>
      <c r="D4006" s="37"/>
      <c r="E4006" s="36"/>
      <c r="F4006" s="42"/>
      <c r="G4006" s="42"/>
      <c r="H4006" s="42"/>
      <c r="AG4006" s="19">
        <v>4005</v>
      </c>
      <c r="AH4006" s="20">
        <v>-968.44344903354431</v>
      </c>
    </row>
    <row r="4007" spans="1:34" ht="14.5" x14ac:dyDescent="0.35">
      <c r="A4007" s="34"/>
      <c r="B4007" s="35"/>
      <c r="C4007" s="36"/>
      <c r="D4007" s="37"/>
      <c r="E4007" s="36"/>
      <c r="F4007" s="42"/>
      <c r="G4007" s="42"/>
      <c r="H4007" s="42"/>
      <c r="AG4007" s="19">
        <v>4006</v>
      </c>
      <c r="AH4007" s="20">
        <v>2495.4319905707498</v>
      </c>
    </row>
    <row r="4008" spans="1:34" ht="14.5" x14ac:dyDescent="0.35">
      <c r="A4008" s="34"/>
      <c r="B4008" s="35"/>
      <c r="C4008" s="36"/>
      <c r="D4008" s="37"/>
      <c r="E4008" s="36"/>
      <c r="F4008" s="42"/>
      <c r="G4008" s="42"/>
      <c r="H4008" s="42"/>
      <c r="AG4008" s="19">
        <v>4007</v>
      </c>
      <c r="AH4008" s="20">
        <v>-788.19120984389701</v>
      </c>
    </row>
    <row r="4009" spans="1:34" ht="14.5" x14ac:dyDescent="0.35">
      <c r="A4009" s="34"/>
      <c r="B4009" s="35"/>
      <c r="C4009" s="36"/>
      <c r="D4009" s="37"/>
      <c r="E4009" s="36"/>
      <c r="F4009" s="42"/>
      <c r="G4009" s="42"/>
      <c r="H4009" s="42"/>
      <c r="AG4009" s="19">
        <v>4008</v>
      </c>
      <c r="AH4009" s="20">
        <v>759.3267681434329</v>
      </c>
    </row>
    <row r="4010" spans="1:34" ht="14.5" x14ac:dyDescent="0.35">
      <c r="A4010" s="34"/>
      <c r="B4010" s="35"/>
      <c r="C4010" s="36"/>
      <c r="D4010" s="37"/>
      <c r="E4010" s="36"/>
      <c r="F4010" s="42"/>
      <c r="G4010" s="42"/>
      <c r="H4010" s="42"/>
      <c r="AG4010" s="19">
        <v>4009</v>
      </c>
      <c r="AH4010" s="20">
        <v>1896.6093948699784</v>
      </c>
    </row>
    <row r="4011" spans="1:34" ht="14.5" x14ac:dyDescent="0.35">
      <c r="A4011" s="34"/>
      <c r="B4011" s="35"/>
      <c r="C4011" s="36"/>
      <c r="D4011" s="37"/>
      <c r="E4011" s="36"/>
      <c r="F4011" s="42"/>
      <c r="G4011" s="42"/>
      <c r="H4011" s="42"/>
      <c r="AG4011" s="19">
        <v>4010</v>
      </c>
      <c r="AH4011" s="20">
        <v>557.04826423341422</v>
      </c>
    </row>
    <row r="4012" spans="1:34" ht="14.5" x14ac:dyDescent="0.35">
      <c r="A4012" s="34"/>
      <c r="B4012" s="35"/>
      <c r="C4012" s="36"/>
      <c r="D4012" s="37"/>
      <c r="E4012" s="36"/>
      <c r="F4012" s="42"/>
      <c r="G4012" s="42"/>
      <c r="H4012" s="42"/>
      <c r="AG4012" s="19">
        <v>4011</v>
      </c>
      <c r="AH4012" s="20">
        <v>-1490.4054046558006</v>
      </c>
    </row>
    <row r="4013" spans="1:34" ht="14.5" x14ac:dyDescent="0.35">
      <c r="A4013" s="34"/>
      <c r="B4013" s="35"/>
      <c r="C4013" s="36"/>
      <c r="D4013" s="37"/>
      <c r="E4013" s="36"/>
      <c r="F4013" s="42"/>
      <c r="G4013" s="42"/>
      <c r="H4013" s="42"/>
      <c r="AG4013" s="19">
        <v>4012</v>
      </c>
      <c r="AH4013" s="20">
        <v>3013.0985214779312</v>
      </c>
    </row>
    <row r="4014" spans="1:34" ht="14.5" x14ac:dyDescent="0.35">
      <c r="A4014" s="34"/>
      <c r="B4014" s="35"/>
      <c r="C4014" s="36"/>
      <c r="D4014" s="37"/>
      <c r="E4014" s="36"/>
      <c r="F4014" s="42"/>
      <c r="G4014" s="42"/>
      <c r="H4014" s="42"/>
      <c r="AG4014" s="19">
        <v>4013</v>
      </c>
      <c r="AH4014" s="20">
        <v>2004.3698887497949</v>
      </c>
    </row>
    <row r="4015" spans="1:34" ht="14.5" x14ac:dyDescent="0.35">
      <c r="A4015" s="34"/>
      <c r="B4015" s="35"/>
      <c r="C4015" s="36"/>
      <c r="D4015" s="37"/>
      <c r="E4015" s="36"/>
      <c r="F4015" s="42"/>
      <c r="G4015" s="42"/>
      <c r="H4015" s="42"/>
      <c r="AG4015" s="19">
        <v>4014</v>
      </c>
      <c r="AH4015" s="20">
        <v>-4999.106445617912</v>
      </c>
    </row>
    <row r="4016" spans="1:34" ht="14.5" x14ac:dyDescent="0.35">
      <c r="A4016" s="34"/>
      <c r="B4016" s="35"/>
      <c r="C4016" s="36"/>
      <c r="D4016" s="37"/>
      <c r="E4016" s="36"/>
      <c r="F4016" s="42"/>
      <c r="G4016" s="42"/>
      <c r="H4016" s="42"/>
      <c r="AG4016" s="19">
        <v>4015</v>
      </c>
      <c r="AH4016" s="20">
        <v>-1105.1603134515581</v>
      </c>
    </row>
    <row r="4017" spans="1:34" ht="14.5" x14ac:dyDescent="0.35">
      <c r="A4017" s="34"/>
      <c r="B4017" s="35"/>
      <c r="C4017" s="36"/>
      <c r="D4017" s="37"/>
      <c r="E4017" s="36"/>
      <c r="F4017" s="42"/>
      <c r="G4017" s="42"/>
      <c r="H4017" s="42"/>
      <c r="AG4017" s="19">
        <v>4016</v>
      </c>
      <c r="AH4017" s="20">
        <v>250.31117317851485</v>
      </c>
    </row>
    <row r="4018" spans="1:34" ht="14.5" x14ac:dyDescent="0.35">
      <c r="A4018" s="34"/>
      <c r="B4018" s="35"/>
      <c r="C4018" s="36"/>
      <c r="D4018" s="37"/>
      <c r="E4018" s="36"/>
      <c r="F4018" s="42"/>
      <c r="G4018" s="42"/>
      <c r="H4018" s="42"/>
      <c r="AG4018" s="19">
        <v>4017</v>
      </c>
      <c r="AH4018" s="20">
        <v>1320.2706614089789</v>
      </c>
    </row>
    <row r="4019" spans="1:34" ht="14.5" x14ac:dyDescent="0.35">
      <c r="A4019" s="34"/>
      <c r="B4019" s="35"/>
      <c r="C4019" s="36"/>
      <c r="D4019" s="37"/>
      <c r="E4019" s="36"/>
      <c r="F4019" s="42"/>
      <c r="G4019" s="42"/>
      <c r="H4019" s="42"/>
      <c r="AG4019" s="19">
        <v>4018</v>
      </c>
      <c r="AH4019" s="20">
        <v>-1530.1476490908653</v>
      </c>
    </row>
    <row r="4020" spans="1:34" ht="14.5" x14ac:dyDescent="0.35">
      <c r="A4020" s="34"/>
      <c r="B4020" s="35"/>
      <c r="C4020" s="36"/>
      <c r="D4020" s="37"/>
      <c r="E4020" s="36"/>
      <c r="F4020" s="42"/>
      <c r="G4020" s="42"/>
      <c r="H4020" s="42"/>
      <c r="AG4020" s="19">
        <v>4019</v>
      </c>
      <c r="AH4020" s="20">
        <v>136.4349859236678</v>
      </c>
    </row>
    <row r="4021" spans="1:34" ht="14.5" x14ac:dyDescent="0.35">
      <c r="A4021" s="34"/>
      <c r="B4021" s="35"/>
      <c r="C4021" s="36"/>
      <c r="D4021" s="37"/>
      <c r="E4021" s="36"/>
      <c r="F4021" s="42"/>
      <c r="G4021" s="42"/>
      <c r="H4021" s="42"/>
      <c r="AG4021" s="19">
        <v>4020</v>
      </c>
      <c r="AH4021" s="20">
        <v>-117.26688762895577</v>
      </c>
    </row>
    <row r="4022" spans="1:34" ht="14.5" x14ac:dyDescent="0.35">
      <c r="A4022" s="34"/>
      <c r="B4022" s="35"/>
      <c r="C4022" s="36"/>
      <c r="D4022" s="37"/>
      <c r="E4022" s="36"/>
      <c r="F4022" s="42"/>
      <c r="G4022" s="42"/>
      <c r="H4022" s="42"/>
      <c r="AG4022" s="19">
        <v>4021</v>
      </c>
      <c r="AH4022" s="20">
        <v>-1807.1915667945893</v>
      </c>
    </row>
    <row r="4023" spans="1:34" ht="14.5" x14ac:dyDescent="0.35">
      <c r="A4023" s="34"/>
      <c r="B4023" s="35"/>
      <c r="C4023" s="36"/>
      <c r="D4023" s="37"/>
      <c r="E4023" s="36"/>
      <c r="F4023" s="42"/>
      <c r="G4023" s="42"/>
      <c r="H4023" s="42"/>
      <c r="AG4023" s="19">
        <v>4022</v>
      </c>
      <c r="AH4023" s="20">
        <v>2076.4757915706896</v>
      </c>
    </row>
    <row r="4024" spans="1:34" ht="14.5" x14ac:dyDescent="0.35">
      <c r="A4024" s="34"/>
      <c r="B4024" s="35"/>
      <c r="C4024" s="36"/>
      <c r="D4024" s="37"/>
      <c r="E4024" s="36"/>
      <c r="F4024" s="42"/>
      <c r="G4024" s="42"/>
      <c r="H4024" s="42"/>
      <c r="AG4024" s="19">
        <v>4023</v>
      </c>
      <c r="AH4024" s="20">
        <v>-340.74930909036624</v>
      </c>
    </row>
    <row r="4025" spans="1:34" ht="14.5" x14ac:dyDescent="0.35">
      <c r="A4025" s="34"/>
      <c r="B4025" s="35"/>
      <c r="C4025" s="36"/>
      <c r="D4025" s="37"/>
      <c r="E4025" s="36"/>
      <c r="F4025" s="42"/>
      <c r="G4025" s="42"/>
      <c r="H4025" s="42"/>
      <c r="AG4025" s="19">
        <v>4024</v>
      </c>
      <c r="AH4025" s="20">
        <v>1088.8876739958394</v>
      </c>
    </row>
    <row r="4026" spans="1:34" ht="14.5" x14ac:dyDescent="0.35">
      <c r="A4026" s="34"/>
      <c r="B4026" s="35"/>
      <c r="C4026" s="36"/>
      <c r="D4026" s="37"/>
      <c r="E4026" s="36"/>
      <c r="F4026" s="42"/>
      <c r="G4026" s="42"/>
      <c r="H4026" s="42"/>
      <c r="AG4026" s="19">
        <v>4025</v>
      </c>
      <c r="AH4026" s="20">
        <v>2353.1360135117729</v>
      </c>
    </row>
    <row r="4027" spans="1:34" ht="14.5" x14ac:dyDescent="0.35">
      <c r="A4027" s="34"/>
      <c r="B4027" s="35"/>
      <c r="C4027" s="36"/>
      <c r="D4027" s="37"/>
      <c r="E4027" s="36"/>
      <c r="F4027" s="42"/>
      <c r="G4027" s="42"/>
      <c r="H4027" s="42"/>
      <c r="AG4027" s="19">
        <v>4026</v>
      </c>
      <c r="AH4027" s="20">
        <v>174.85556295475524</v>
      </c>
    </row>
    <row r="4028" spans="1:34" ht="14.5" x14ac:dyDescent="0.35">
      <c r="A4028" s="34"/>
      <c r="B4028" s="35"/>
      <c r="C4028" s="36"/>
      <c r="D4028" s="37"/>
      <c r="E4028" s="36"/>
      <c r="F4028" s="42"/>
      <c r="G4028" s="42"/>
      <c r="H4028" s="42"/>
      <c r="AG4028" s="19">
        <v>4027</v>
      </c>
      <c r="AH4028" s="20">
        <v>1108.6667666443539</v>
      </c>
    </row>
    <row r="4029" spans="1:34" ht="14.5" x14ac:dyDescent="0.35">
      <c r="A4029" s="34"/>
      <c r="B4029" s="35"/>
      <c r="C4029" s="36"/>
      <c r="D4029" s="37"/>
      <c r="E4029" s="36"/>
      <c r="F4029" s="42"/>
      <c r="G4029" s="42"/>
      <c r="H4029" s="42"/>
      <c r="AG4029" s="19">
        <v>4028</v>
      </c>
      <c r="AH4029" s="20">
        <v>-96.263178603636845</v>
      </c>
    </row>
    <row r="4030" spans="1:34" ht="14.5" x14ac:dyDescent="0.35">
      <c r="A4030" s="34"/>
      <c r="B4030" s="35"/>
      <c r="C4030" s="36"/>
      <c r="D4030" s="37"/>
      <c r="E4030" s="36"/>
      <c r="F4030" s="42"/>
      <c r="G4030" s="42"/>
      <c r="H4030" s="42"/>
      <c r="AG4030" s="19">
        <v>4029</v>
      </c>
      <c r="AH4030" s="20">
        <v>-880.08402501853584</v>
      </c>
    </row>
    <row r="4031" spans="1:34" ht="14.5" x14ac:dyDescent="0.35">
      <c r="A4031" s="34"/>
      <c r="B4031" s="35"/>
      <c r="C4031" s="36"/>
      <c r="D4031" s="37"/>
      <c r="E4031" s="36"/>
      <c r="F4031" s="42"/>
      <c r="G4031" s="42"/>
      <c r="H4031" s="42"/>
      <c r="AG4031" s="19">
        <v>4030</v>
      </c>
      <c r="AH4031" s="20">
        <v>-1464.549817701075</v>
      </c>
    </row>
    <row r="4032" spans="1:34" ht="14.5" x14ac:dyDescent="0.35">
      <c r="A4032" s="34"/>
      <c r="B4032" s="35"/>
      <c r="C4032" s="36"/>
      <c r="D4032" s="37"/>
      <c r="E4032" s="36"/>
      <c r="F4032" s="42"/>
      <c r="G4032" s="42"/>
      <c r="H4032" s="42"/>
      <c r="AG4032" s="19">
        <v>4031</v>
      </c>
      <c r="AH4032" s="20">
        <v>-553.95817408403809</v>
      </c>
    </row>
    <row r="4033" spans="1:34" ht="14.5" x14ac:dyDescent="0.35">
      <c r="A4033" s="34"/>
      <c r="B4033" s="35"/>
      <c r="C4033" s="36"/>
      <c r="D4033" s="37"/>
      <c r="E4033" s="36"/>
      <c r="F4033" s="42"/>
      <c r="G4033" s="42"/>
      <c r="H4033" s="42"/>
      <c r="AG4033" s="19">
        <v>4032</v>
      </c>
      <c r="AH4033" s="20">
        <v>1503.6756548952908</v>
      </c>
    </row>
    <row r="4034" spans="1:34" ht="14.5" x14ac:dyDescent="0.35">
      <c r="A4034" s="34"/>
      <c r="B4034" s="35"/>
      <c r="C4034" s="36"/>
      <c r="D4034" s="37"/>
      <c r="E4034" s="36"/>
      <c r="F4034" s="42"/>
      <c r="G4034" s="42"/>
      <c r="H4034" s="42"/>
      <c r="AG4034" s="19">
        <v>4033</v>
      </c>
      <c r="AH4034" s="20">
        <v>-1943.4294553869729</v>
      </c>
    </row>
    <row r="4035" spans="1:34" ht="14.5" x14ac:dyDescent="0.35">
      <c r="A4035" s="34"/>
      <c r="B4035" s="35"/>
      <c r="C4035" s="36"/>
      <c r="D4035" s="37"/>
      <c r="E4035" s="36"/>
      <c r="F4035" s="42"/>
      <c r="G4035" s="42"/>
      <c r="H4035" s="42"/>
      <c r="AG4035" s="19">
        <v>4034</v>
      </c>
      <c r="AH4035" s="20">
        <v>1101.6824624423787</v>
      </c>
    </row>
    <row r="4036" spans="1:34" ht="14.5" x14ac:dyDescent="0.35">
      <c r="A4036" s="34"/>
      <c r="B4036" s="35"/>
      <c r="C4036" s="36"/>
      <c r="D4036" s="37"/>
      <c r="E4036" s="36"/>
      <c r="F4036" s="42"/>
      <c r="G4036" s="42"/>
      <c r="H4036" s="42"/>
      <c r="AG4036" s="19">
        <v>4035</v>
      </c>
      <c r="AH4036" s="20">
        <v>-3448.0106193365395</v>
      </c>
    </row>
    <row r="4037" spans="1:34" ht="14.5" x14ac:dyDescent="0.35">
      <c r="A4037" s="34"/>
      <c r="B4037" s="35"/>
      <c r="C4037" s="36"/>
      <c r="D4037" s="37"/>
      <c r="E4037" s="36"/>
      <c r="F4037" s="42"/>
      <c r="G4037" s="42"/>
      <c r="H4037" s="42"/>
      <c r="AG4037" s="19">
        <v>4036</v>
      </c>
      <c r="AH4037" s="20">
        <v>7871.3590375757431</v>
      </c>
    </row>
    <row r="4038" spans="1:34" ht="14.5" x14ac:dyDescent="0.35">
      <c r="A4038" s="34"/>
      <c r="B4038" s="35"/>
      <c r="C4038" s="36"/>
      <c r="D4038" s="37"/>
      <c r="E4038" s="36"/>
      <c r="F4038" s="42"/>
      <c r="G4038" s="42"/>
      <c r="H4038" s="42"/>
      <c r="AG4038" s="19">
        <v>4037</v>
      </c>
      <c r="AH4038" s="20">
        <v>61.619958514381494</v>
      </c>
    </row>
    <row r="4039" spans="1:34" ht="14.5" x14ac:dyDescent="0.35">
      <c r="A4039" s="34"/>
      <c r="B4039" s="35"/>
      <c r="C4039" s="36"/>
      <c r="D4039" s="37"/>
      <c r="E4039" s="36"/>
      <c r="F4039" s="42"/>
      <c r="G4039" s="42"/>
      <c r="H4039" s="42"/>
      <c r="AG4039" s="19">
        <v>4038</v>
      </c>
      <c r="AH4039" s="20">
        <v>1753.4361309887338</v>
      </c>
    </row>
    <row r="4040" spans="1:34" ht="14.5" x14ac:dyDescent="0.35">
      <c r="A4040" s="34"/>
      <c r="B4040" s="35"/>
      <c r="C4040" s="36"/>
      <c r="D4040" s="37"/>
      <c r="E4040" s="36"/>
      <c r="F4040" s="42"/>
      <c r="G4040" s="42"/>
      <c r="H4040" s="42"/>
      <c r="AG4040" s="19">
        <v>4039</v>
      </c>
      <c r="AH4040" s="20">
        <v>2732.5629358646315</v>
      </c>
    </row>
    <row r="4041" spans="1:34" ht="14.5" x14ac:dyDescent="0.35">
      <c r="A4041" s="34"/>
      <c r="B4041" s="35"/>
      <c r="C4041" s="36"/>
      <c r="D4041" s="37"/>
      <c r="E4041" s="36"/>
      <c r="F4041" s="42"/>
      <c r="G4041" s="42"/>
      <c r="H4041" s="42"/>
      <c r="AG4041" s="19">
        <v>4040</v>
      </c>
      <c r="AH4041" s="20">
        <v>764.68214206151595</v>
      </c>
    </row>
    <row r="4042" spans="1:34" ht="14.5" x14ac:dyDescent="0.35">
      <c r="A4042" s="34"/>
      <c r="B4042" s="35"/>
      <c r="C4042" s="36"/>
      <c r="D4042" s="37"/>
      <c r="E4042" s="36"/>
      <c r="F4042" s="42"/>
      <c r="G4042" s="42"/>
      <c r="H4042" s="42"/>
      <c r="AG4042" s="19">
        <v>4041</v>
      </c>
      <c r="AH4042" s="20">
        <v>-3706.64244510751</v>
      </c>
    </row>
    <row r="4043" spans="1:34" ht="14.5" x14ac:dyDescent="0.35">
      <c r="A4043" s="34"/>
      <c r="B4043" s="35"/>
      <c r="C4043" s="36"/>
      <c r="D4043" s="37"/>
      <c r="E4043" s="36"/>
      <c r="F4043" s="42"/>
      <c r="G4043" s="42"/>
      <c r="H4043" s="42"/>
      <c r="AG4043" s="19">
        <v>4042</v>
      </c>
      <c r="AH4043" s="20">
        <v>1261.9043662095271</v>
      </c>
    </row>
    <row r="4044" spans="1:34" ht="14.5" x14ac:dyDescent="0.35">
      <c r="A4044" s="34"/>
      <c r="B4044" s="35"/>
      <c r="C4044" s="36"/>
      <c r="D4044" s="37"/>
      <c r="E4044" s="36"/>
      <c r="F4044" s="42"/>
      <c r="G4044" s="42"/>
      <c r="H4044" s="42"/>
      <c r="AG4044" s="19">
        <v>4043</v>
      </c>
      <c r="AH4044" s="20">
        <v>-262.82135590574291</v>
      </c>
    </row>
    <row r="4045" spans="1:34" ht="14.5" x14ac:dyDescent="0.35">
      <c r="A4045" s="34"/>
      <c r="B4045" s="35"/>
      <c r="C4045" s="36"/>
      <c r="D4045" s="37"/>
      <c r="E4045" s="36"/>
      <c r="F4045" s="42"/>
      <c r="G4045" s="42"/>
      <c r="H4045" s="42"/>
      <c r="AG4045" s="19">
        <v>4044</v>
      </c>
      <c r="AH4045" s="20">
        <v>-1726.9164763880437</v>
      </c>
    </row>
    <row r="4046" spans="1:34" ht="14.5" x14ac:dyDescent="0.35">
      <c r="A4046" s="34"/>
      <c r="B4046" s="35"/>
      <c r="C4046" s="36"/>
      <c r="D4046" s="37"/>
      <c r="E4046" s="36"/>
      <c r="F4046" s="42"/>
      <c r="G4046" s="42"/>
      <c r="H4046" s="42"/>
      <c r="AG4046" s="19">
        <v>4045</v>
      </c>
      <c r="AH4046" s="20">
        <v>790.21395857113396</v>
      </c>
    </row>
    <row r="4047" spans="1:34" ht="14.5" x14ac:dyDescent="0.35">
      <c r="A4047" s="34"/>
      <c r="B4047" s="35"/>
      <c r="C4047" s="36"/>
      <c r="D4047" s="37"/>
      <c r="E4047" s="36"/>
      <c r="F4047" s="42"/>
      <c r="G4047" s="42"/>
      <c r="H4047" s="42"/>
      <c r="AG4047" s="19">
        <v>4046</v>
      </c>
      <c r="AH4047" s="20">
        <v>998.92451215435176</v>
      </c>
    </row>
    <row r="4048" spans="1:34" ht="14.5" x14ac:dyDescent="0.35">
      <c r="A4048" s="34"/>
      <c r="B4048" s="35"/>
      <c r="C4048" s="36"/>
      <c r="D4048" s="37"/>
      <c r="E4048" s="36"/>
      <c r="F4048" s="42"/>
      <c r="G4048" s="42"/>
      <c r="H4048" s="42"/>
      <c r="AG4048" s="19">
        <v>4047</v>
      </c>
      <c r="AH4048" s="20">
        <v>-2906.4482827656134</v>
      </c>
    </row>
    <row r="4049" spans="1:34" ht="14.5" x14ac:dyDescent="0.35">
      <c r="A4049" s="34"/>
      <c r="B4049" s="35"/>
      <c r="C4049" s="36"/>
      <c r="D4049" s="37"/>
      <c r="E4049" s="36"/>
      <c r="F4049" s="42"/>
      <c r="G4049" s="42"/>
      <c r="H4049" s="42"/>
      <c r="AG4049" s="19">
        <v>4048</v>
      </c>
      <c r="AH4049" s="20">
        <v>1030.386586153511</v>
      </c>
    </row>
    <row r="4050" spans="1:34" ht="14.5" x14ac:dyDescent="0.35">
      <c r="A4050" s="34"/>
      <c r="B4050" s="35"/>
      <c r="C4050" s="36"/>
      <c r="D4050" s="37"/>
      <c r="E4050" s="36"/>
      <c r="F4050" s="42"/>
      <c r="G4050" s="42"/>
      <c r="H4050" s="42"/>
      <c r="AG4050" s="19">
        <v>4049</v>
      </c>
      <c r="AH4050" s="20">
        <v>1746.065663652621</v>
      </c>
    </row>
    <row r="4051" spans="1:34" ht="14.5" x14ac:dyDescent="0.35">
      <c r="A4051" s="34"/>
      <c r="B4051" s="35"/>
      <c r="C4051" s="36"/>
      <c r="D4051" s="37"/>
      <c r="E4051" s="36"/>
      <c r="F4051" s="42"/>
      <c r="G4051" s="42"/>
      <c r="H4051" s="42"/>
      <c r="AG4051" s="19">
        <v>4050</v>
      </c>
      <c r="AH4051" s="20">
        <v>-373.014687289395</v>
      </c>
    </row>
    <row r="4052" spans="1:34" ht="14.5" x14ac:dyDescent="0.35">
      <c r="A4052" s="34"/>
      <c r="B4052" s="35"/>
      <c r="C4052" s="36"/>
      <c r="D4052" s="37"/>
      <c r="E4052" s="36"/>
      <c r="F4052" s="42"/>
      <c r="G4052" s="42"/>
      <c r="H4052" s="42"/>
      <c r="AG4052" s="19">
        <v>4051</v>
      </c>
      <c r="AH4052" s="20">
        <v>-3345.5785510485503</v>
      </c>
    </row>
    <row r="4053" spans="1:34" ht="14.5" x14ac:dyDescent="0.35">
      <c r="A4053" s="34"/>
      <c r="B4053" s="35"/>
      <c r="C4053" s="36"/>
      <c r="D4053" s="37"/>
      <c r="E4053" s="36"/>
      <c r="F4053" s="42"/>
      <c r="G4053" s="42"/>
      <c r="H4053" s="42"/>
      <c r="AG4053" s="19">
        <v>4052</v>
      </c>
      <c r="AH4053" s="20">
        <v>-358.50753600456136</v>
      </c>
    </row>
    <row r="4054" spans="1:34" ht="14.5" x14ac:dyDescent="0.35">
      <c r="A4054" s="34"/>
      <c r="B4054" s="35"/>
      <c r="C4054" s="36"/>
      <c r="D4054" s="37"/>
      <c r="E4054" s="36"/>
      <c r="F4054" s="42"/>
      <c r="G4054" s="42"/>
      <c r="H4054" s="42"/>
      <c r="AG4054" s="19">
        <v>4053</v>
      </c>
      <c r="AH4054" s="20">
        <v>1379.7000357642564</v>
      </c>
    </row>
    <row r="4055" spans="1:34" ht="14.5" x14ac:dyDescent="0.35">
      <c r="A4055" s="34"/>
      <c r="B4055" s="35"/>
      <c r="C4055" s="36"/>
      <c r="D4055" s="37"/>
      <c r="E4055" s="36"/>
      <c r="F4055" s="42"/>
      <c r="G4055" s="42"/>
      <c r="H4055" s="42"/>
      <c r="AG4055" s="19">
        <v>4054</v>
      </c>
      <c r="AH4055" s="20">
        <v>2175.5047107271021</v>
      </c>
    </row>
    <row r="4056" spans="1:34" ht="14.5" x14ac:dyDescent="0.35">
      <c r="A4056" s="34"/>
      <c r="B4056" s="35"/>
      <c r="C4056" s="36"/>
      <c r="D4056" s="37"/>
      <c r="E4056" s="36"/>
      <c r="F4056" s="42"/>
      <c r="G4056" s="42"/>
      <c r="H4056" s="42"/>
      <c r="AG4056" s="19">
        <v>4055</v>
      </c>
      <c r="AH4056" s="20">
        <v>-396.96796085871603</v>
      </c>
    </row>
    <row r="4057" spans="1:34" ht="14.5" x14ac:dyDescent="0.35">
      <c r="A4057" s="34"/>
      <c r="B4057" s="35"/>
      <c r="C4057" s="36"/>
      <c r="D4057" s="37"/>
      <c r="E4057" s="36"/>
      <c r="F4057" s="42"/>
      <c r="G4057" s="42"/>
      <c r="H4057" s="42"/>
      <c r="AG4057" s="19">
        <v>4056</v>
      </c>
      <c r="AH4057" s="20">
        <v>2183.2069565087209</v>
      </c>
    </row>
    <row r="4058" spans="1:34" ht="14.5" x14ac:dyDescent="0.35">
      <c r="A4058" s="34"/>
      <c r="B4058" s="35"/>
      <c r="C4058" s="36"/>
      <c r="D4058" s="37"/>
      <c r="E4058" s="36"/>
      <c r="F4058" s="42"/>
      <c r="G4058" s="42"/>
      <c r="H4058" s="42"/>
      <c r="AG4058" s="19">
        <v>4057</v>
      </c>
      <c r="AH4058" s="20">
        <v>1061.4463532016382</v>
      </c>
    </row>
    <row r="4059" spans="1:34" ht="14.5" x14ac:dyDescent="0.35">
      <c r="A4059" s="34"/>
      <c r="B4059" s="35"/>
      <c r="C4059" s="36"/>
      <c r="D4059" s="37"/>
      <c r="E4059" s="36"/>
      <c r="F4059" s="42"/>
      <c r="G4059" s="42"/>
      <c r="H4059" s="42"/>
      <c r="AG4059" s="19">
        <v>4058</v>
      </c>
      <c r="AH4059" s="20">
        <v>6659.6795854905704</v>
      </c>
    </row>
    <row r="4060" spans="1:34" ht="14.5" x14ac:dyDescent="0.35">
      <c r="A4060" s="34"/>
      <c r="B4060" s="35"/>
      <c r="C4060" s="36"/>
      <c r="D4060" s="37"/>
      <c r="E4060" s="36"/>
      <c r="F4060" s="42"/>
      <c r="G4060" s="42"/>
      <c r="H4060" s="42"/>
      <c r="AG4060" s="19">
        <v>4059</v>
      </c>
      <c r="AH4060" s="20">
        <v>3440.8488588380019</v>
      </c>
    </row>
    <row r="4061" spans="1:34" ht="14.5" x14ac:dyDescent="0.35">
      <c r="A4061" s="34"/>
      <c r="B4061" s="35"/>
      <c r="C4061" s="36"/>
      <c r="D4061" s="37"/>
      <c r="E4061" s="36"/>
      <c r="F4061" s="42"/>
      <c r="G4061" s="42"/>
      <c r="H4061" s="42"/>
      <c r="AG4061" s="19">
        <v>4060</v>
      </c>
      <c r="AH4061" s="20">
        <v>1496.8421193054814</v>
      </c>
    </row>
    <row r="4062" spans="1:34" ht="14.5" x14ac:dyDescent="0.35">
      <c r="A4062" s="34"/>
      <c r="B4062" s="35"/>
      <c r="C4062" s="36"/>
      <c r="D4062" s="37"/>
      <c r="E4062" s="36"/>
      <c r="F4062" s="42"/>
      <c r="G4062" s="42"/>
      <c r="H4062" s="42"/>
      <c r="AG4062" s="19">
        <v>4061</v>
      </c>
      <c r="AH4062" s="20">
        <v>1445.8302492194348</v>
      </c>
    </row>
    <row r="4063" spans="1:34" ht="14.5" x14ac:dyDescent="0.35">
      <c r="A4063" s="34"/>
      <c r="B4063" s="35"/>
      <c r="C4063" s="36"/>
      <c r="D4063" s="37"/>
      <c r="E4063" s="36"/>
      <c r="F4063" s="42"/>
      <c r="G4063" s="42"/>
      <c r="H4063" s="42"/>
      <c r="AG4063" s="19">
        <v>4062</v>
      </c>
      <c r="AH4063" s="20">
        <v>99.727887294686695</v>
      </c>
    </row>
    <row r="4064" spans="1:34" ht="14.5" x14ac:dyDescent="0.35">
      <c r="A4064" s="34"/>
      <c r="B4064" s="35"/>
      <c r="C4064" s="36"/>
      <c r="D4064" s="37"/>
      <c r="E4064" s="36"/>
      <c r="F4064" s="42"/>
      <c r="G4064" s="42"/>
      <c r="H4064" s="42"/>
      <c r="AG4064" s="19">
        <v>4063</v>
      </c>
      <c r="AH4064" s="20">
        <v>-2846.2573493145924</v>
      </c>
    </row>
    <row r="4065" spans="1:34" ht="14.5" x14ac:dyDescent="0.35">
      <c r="A4065" s="34"/>
      <c r="B4065" s="35"/>
      <c r="C4065" s="36"/>
      <c r="D4065" s="37"/>
      <c r="E4065" s="36"/>
      <c r="F4065" s="42"/>
      <c r="G4065" s="42"/>
      <c r="H4065" s="42"/>
      <c r="AG4065" s="19">
        <v>4064</v>
      </c>
      <c r="AH4065" s="20">
        <v>-2088.6881776145419</v>
      </c>
    </row>
    <row r="4066" spans="1:34" ht="14.5" x14ac:dyDescent="0.35">
      <c r="A4066" s="34"/>
      <c r="B4066" s="35"/>
      <c r="C4066" s="36"/>
      <c r="D4066" s="37"/>
      <c r="E4066" s="36"/>
      <c r="F4066" s="42"/>
      <c r="G4066" s="42"/>
      <c r="H4066" s="42"/>
      <c r="AG4066" s="19">
        <v>4065</v>
      </c>
      <c r="AH4066" s="20">
        <v>-2600.717246443598</v>
      </c>
    </row>
    <row r="4067" spans="1:34" ht="14.5" x14ac:dyDescent="0.35">
      <c r="A4067" s="34"/>
      <c r="B4067" s="35"/>
      <c r="C4067" s="36"/>
      <c r="D4067" s="37"/>
      <c r="E4067" s="36"/>
      <c r="F4067" s="42"/>
      <c r="G4067" s="42"/>
      <c r="H4067" s="42"/>
      <c r="AG4067" s="19">
        <v>4066</v>
      </c>
      <c r="AH4067" s="20">
        <v>-553.38027767653466</v>
      </c>
    </row>
    <row r="4068" spans="1:34" ht="14.5" x14ac:dyDescent="0.35">
      <c r="A4068" s="34"/>
      <c r="B4068" s="35"/>
      <c r="C4068" s="36"/>
      <c r="D4068" s="37"/>
      <c r="E4068" s="36"/>
      <c r="F4068" s="42"/>
      <c r="G4068" s="42"/>
      <c r="H4068" s="42"/>
      <c r="AG4068" s="19">
        <v>4067</v>
      </c>
      <c r="AH4068" s="20">
        <v>1648.7885667297521</v>
      </c>
    </row>
    <row r="4069" spans="1:34" ht="14.5" x14ac:dyDescent="0.35">
      <c r="A4069" s="34"/>
      <c r="B4069" s="35"/>
      <c r="C4069" s="36"/>
      <c r="D4069" s="37"/>
      <c r="E4069" s="36"/>
      <c r="F4069" s="42"/>
      <c r="G4069" s="42"/>
      <c r="H4069" s="42"/>
      <c r="AG4069" s="19">
        <v>4068</v>
      </c>
      <c r="AH4069" s="20">
        <v>-342.67592036509308</v>
      </c>
    </row>
    <row r="4070" spans="1:34" ht="14.5" x14ac:dyDescent="0.35">
      <c r="A4070" s="34"/>
      <c r="B4070" s="35"/>
      <c r="C4070" s="36"/>
      <c r="D4070" s="37"/>
      <c r="E4070" s="36"/>
      <c r="F4070" s="42"/>
      <c r="G4070" s="42"/>
      <c r="H4070" s="42"/>
      <c r="AG4070" s="19">
        <v>4069</v>
      </c>
      <c r="AH4070" s="20">
        <v>-1336.5872647733511</v>
      </c>
    </row>
    <row r="4071" spans="1:34" ht="14.5" x14ac:dyDescent="0.35">
      <c r="A4071" s="34"/>
      <c r="B4071" s="35"/>
      <c r="C4071" s="36"/>
      <c r="D4071" s="37"/>
      <c r="E4071" s="36"/>
      <c r="F4071" s="42"/>
      <c r="G4071" s="42"/>
      <c r="H4071" s="42"/>
      <c r="AG4071" s="19">
        <v>4070</v>
      </c>
      <c r="AH4071" s="20">
        <v>-4237.2741554174099</v>
      </c>
    </row>
    <row r="4072" spans="1:34" ht="14.5" x14ac:dyDescent="0.35">
      <c r="A4072" s="34"/>
      <c r="B4072" s="35"/>
      <c r="C4072" s="36"/>
      <c r="D4072" s="37"/>
      <c r="E4072" s="36"/>
      <c r="F4072" s="42"/>
      <c r="G4072" s="42"/>
      <c r="H4072" s="42"/>
      <c r="AG4072" s="19">
        <v>4071</v>
      </c>
      <c r="AH4072" s="20">
        <v>-3589.8858431335461</v>
      </c>
    </row>
    <row r="4073" spans="1:34" ht="14.5" x14ac:dyDescent="0.35">
      <c r="A4073" s="34"/>
      <c r="B4073" s="35"/>
      <c r="C4073" s="36"/>
      <c r="D4073" s="37"/>
      <c r="E4073" s="36"/>
      <c r="F4073" s="42"/>
      <c r="G4073" s="42"/>
      <c r="H4073" s="42"/>
      <c r="AG4073" s="19">
        <v>4072</v>
      </c>
      <c r="AH4073" s="20">
        <v>-1887.2573118023563</v>
      </c>
    </row>
    <row r="4074" spans="1:34" ht="14.5" x14ac:dyDescent="0.35">
      <c r="A4074" s="34"/>
      <c r="B4074" s="35"/>
      <c r="C4074" s="36"/>
      <c r="D4074" s="37"/>
      <c r="E4074" s="36"/>
      <c r="F4074" s="42"/>
      <c r="G4074" s="42"/>
      <c r="H4074" s="42"/>
      <c r="AG4074" s="19">
        <v>4073</v>
      </c>
      <c r="AH4074" s="20">
        <v>1304.91340373771</v>
      </c>
    </row>
    <row r="4075" spans="1:34" ht="14.5" x14ac:dyDescent="0.35">
      <c r="A4075" s="34"/>
      <c r="B4075" s="35"/>
      <c r="C4075" s="36"/>
      <c r="D4075" s="37"/>
      <c r="E4075" s="36"/>
      <c r="F4075" s="42"/>
      <c r="G4075" s="42"/>
      <c r="H4075" s="42"/>
      <c r="AG4075" s="19">
        <v>4074</v>
      </c>
      <c r="AH4075" s="20">
        <v>-1267.001795620344</v>
      </c>
    </row>
    <row r="4076" spans="1:34" ht="14.5" x14ac:dyDescent="0.35">
      <c r="A4076" s="34"/>
      <c r="B4076" s="35"/>
      <c r="C4076" s="36"/>
      <c r="D4076" s="37"/>
      <c r="E4076" s="36"/>
      <c r="F4076" s="42"/>
      <c r="G4076" s="42"/>
      <c r="H4076" s="42"/>
      <c r="AG4076" s="19">
        <v>4075</v>
      </c>
      <c r="AH4076" s="20">
        <v>739.30623367776047</v>
      </c>
    </row>
    <row r="4077" spans="1:34" ht="14.5" x14ac:dyDescent="0.35">
      <c r="A4077" s="34"/>
      <c r="B4077" s="35"/>
      <c r="C4077" s="36"/>
      <c r="D4077" s="37"/>
      <c r="E4077" s="36"/>
      <c r="F4077" s="42"/>
      <c r="G4077" s="42"/>
      <c r="H4077" s="42"/>
      <c r="AG4077" s="19">
        <v>4076</v>
      </c>
      <c r="AH4077" s="20">
        <v>-269.83679424712449</v>
      </c>
    </row>
    <row r="4078" spans="1:34" ht="14.5" x14ac:dyDescent="0.35">
      <c r="A4078" s="34"/>
      <c r="B4078" s="35"/>
      <c r="C4078" s="36"/>
      <c r="D4078" s="37"/>
      <c r="E4078" s="36"/>
      <c r="F4078" s="42"/>
      <c r="G4078" s="42"/>
      <c r="H4078" s="42"/>
      <c r="AG4078" s="19">
        <v>4077</v>
      </c>
      <c r="AH4078" s="20">
        <v>1171.3851675922872</v>
      </c>
    </row>
    <row r="4079" spans="1:34" ht="14.5" x14ac:dyDescent="0.35">
      <c r="A4079" s="34"/>
      <c r="B4079" s="35"/>
      <c r="C4079" s="36"/>
      <c r="D4079" s="37"/>
      <c r="E4079" s="36"/>
      <c r="F4079" s="42"/>
      <c r="G4079" s="42"/>
      <c r="H4079" s="42"/>
      <c r="AG4079" s="19">
        <v>4078</v>
      </c>
      <c r="AH4079" s="20">
        <v>4284.4934495989055</v>
      </c>
    </row>
    <row r="4080" spans="1:34" ht="14.5" x14ac:dyDescent="0.35">
      <c r="A4080" s="34"/>
      <c r="B4080" s="35"/>
      <c r="C4080" s="36"/>
      <c r="D4080" s="37"/>
      <c r="E4080" s="36"/>
      <c r="F4080" s="42"/>
      <c r="G4080" s="42"/>
      <c r="H4080" s="42"/>
      <c r="AG4080" s="19">
        <v>4079</v>
      </c>
      <c r="AH4080" s="20">
        <v>-3942.3376789916383</v>
      </c>
    </row>
    <row r="4081" spans="1:34" ht="14.5" x14ac:dyDescent="0.35">
      <c r="A4081" s="34"/>
      <c r="B4081" s="35"/>
      <c r="C4081" s="36"/>
      <c r="D4081" s="37"/>
      <c r="E4081" s="36"/>
      <c r="F4081" s="42"/>
      <c r="G4081" s="42"/>
      <c r="H4081" s="42"/>
      <c r="AG4081" s="19">
        <v>4080</v>
      </c>
      <c r="AH4081" s="20">
        <v>-404.4594014348242</v>
      </c>
    </row>
    <row r="4082" spans="1:34" ht="14.5" x14ac:dyDescent="0.35">
      <c r="A4082" s="34"/>
      <c r="B4082" s="35"/>
      <c r="C4082" s="36"/>
      <c r="D4082" s="37"/>
      <c r="E4082" s="36"/>
      <c r="F4082" s="42"/>
      <c r="G4082" s="42"/>
      <c r="H4082" s="42"/>
      <c r="AG4082" s="19">
        <v>4081</v>
      </c>
      <c r="AH4082" s="20">
        <v>-1405.493790260592</v>
      </c>
    </row>
    <row r="4083" spans="1:34" ht="14.5" x14ac:dyDescent="0.35">
      <c r="A4083" s="34"/>
      <c r="B4083" s="35"/>
      <c r="C4083" s="36"/>
      <c r="D4083" s="37"/>
      <c r="E4083" s="36"/>
      <c r="F4083" s="42"/>
      <c r="G4083" s="42"/>
      <c r="H4083" s="42"/>
      <c r="AG4083" s="19">
        <v>4082</v>
      </c>
      <c r="AH4083" s="20">
        <v>382.3024434597346</v>
      </c>
    </row>
    <row r="4084" spans="1:34" ht="14.5" x14ac:dyDescent="0.35">
      <c r="A4084" s="34"/>
      <c r="B4084" s="35"/>
      <c r="C4084" s="36"/>
      <c r="D4084" s="37"/>
      <c r="E4084" s="36"/>
      <c r="F4084" s="42"/>
      <c r="G4084" s="42"/>
      <c r="H4084" s="42"/>
      <c r="AG4084" s="19">
        <v>4083</v>
      </c>
      <c r="AH4084" s="20">
        <v>-318.43833745448882</v>
      </c>
    </row>
    <row r="4085" spans="1:34" ht="14.5" x14ac:dyDescent="0.35">
      <c r="A4085" s="34"/>
      <c r="B4085" s="35"/>
      <c r="C4085" s="36"/>
      <c r="D4085" s="37"/>
      <c r="E4085" s="36"/>
      <c r="F4085" s="42"/>
      <c r="G4085" s="42"/>
      <c r="H4085" s="42"/>
      <c r="AG4085" s="19">
        <v>4084</v>
      </c>
      <c r="AH4085" s="20">
        <v>-4439.4469698762132</v>
      </c>
    </row>
    <row r="4086" spans="1:34" ht="14.5" x14ac:dyDescent="0.35">
      <c r="A4086" s="34"/>
      <c r="B4086" s="35"/>
      <c r="C4086" s="36"/>
      <c r="D4086" s="37"/>
      <c r="E4086" s="36"/>
      <c r="F4086" s="42"/>
      <c r="G4086" s="42"/>
      <c r="H4086" s="42"/>
      <c r="AG4086" s="19">
        <v>4085</v>
      </c>
      <c r="AH4086" s="20">
        <v>199.95694294181965</v>
      </c>
    </row>
    <row r="4087" spans="1:34" ht="14.5" x14ac:dyDescent="0.35">
      <c r="A4087" s="34"/>
      <c r="B4087" s="35"/>
      <c r="C4087" s="36"/>
      <c r="D4087" s="37"/>
      <c r="E4087" s="36"/>
      <c r="F4087" s="42"/>
      <c r="G4087" s="42"/>
      <c r="H4087" s="42"/>
      <c r="AG4087" s="19">
        <v>4086</v>
      </c>
      <c r="AH4087" s="20">
        <v>-39.677109431832775</v>
      </c>
    </row>
    <row r="4088" spans="1:34" ht="14.5" x14ac:dyDescent="0.35">
      <c r="A4088" s="34"/>
      <c r="B4088" s="35"/>
      <c r="C4088" s="36"/>
      <c r="D4088" s="37"/>
      <c r="E4088" s="36"/>
      <c r="F4088" s="42"/>
      <c r="G4088" s="42"/>
      <c r="H4088" s="42"/>
      <c r="AG4088" s="19">
        <v>4087</v>
      </c>
      <c r="AH4088" s="20">
        <v>-1590.396985023714</v>
      </c>
    </row>
    <row r="4089" spans="1:34" ht="14.5" x14ac:dyDescent="0.35">
      <c r="A4089" s="34"/>
      <c r="B4089" s="35"/>
      <c r="C4089" s="36"/>
      <c r="D4089" s="37"/>
      <c r="E4089" s="36"/>
      <c r="F4089" s="42"/>
      <c r="G4089" s="42"/>
      <c r="H4089" s="42"/>
      <c r="AG4089" s="19">
        <v>4088</v>
      </c>
      <c r="AH4089" s="20">
        <v>1052.5650909544988</v>
      </c>
    </row>
    <row r="4090" spans="1:34" ht="14.5" x14ac:dyDescent="0.35">
      <c r="A4090" s="34"/>
      <c r="B4090" s="35"/>
      <c r="C4090" s="36"/>
      <c r="D4090" s="37"/>
      <c r="E4090" s="36"/>
      <c r="F4090" s="42"/>
      <c r="G4090" s="42"/>
      <c r="H4090" s="42"/>
      <c r="AG4090" s="19">
        <v>4089</v>
      </c>
      <c r="AH4090" s="20">
        <v>323.0923137945386</v>
      </c>
    </row>
    <row r="4091" spans="1:34" ht="14.5" x14ac:dyDescent="0.35">
      <c r="A4091" s="34"/>
      <c r="B4091" s="35"/>
      <c r="C4091" s="36"/>
      <c r="D4091" s="37"/>
      <c r="E4091" s="36"/>
      <c r="F4091" s="42"/>
      <c r="G4091" s="42"/>
      <c r="H4091" s="42"/>
      <c r="AG4091" s="19">
        <v>4090</v>
      </c>
      <c r="AH4091" s="20">
        <v>5954.4832744789992</v>
      </c>
    </row>
    <row r="4092" spans="1:34" ht="14.5" x14ac:dyDescent="0.35">
      <c r="A4092" s="34"/>
      <c r="B4092" s="35"/>
      <c r="C4092" s="36"/>
      <c r="D4092" s="37"/>
      <c r="E4092" s="36"/>
      <c r="F4092" s="42"/>
      <c r="G4092" s="42"/>
      <c r="H4092" s="42"/>
      <c r="AG4092" s="19">
        <v>4091</v>
      </c>
      <c r="AH4092" s="20">
        <v>-4666.722972313888</v>
      </c>
    </row>
    <row r="4093" spans="1:34" ht="14.5" x14ac:dyDescent="0.35">
      <c r="A4093" s="34"/>
      <c r="B4093" s="35"/>
      <c r="C4093" s="36"/>
      <c r="D4093" s="37"/>
      <c r="E4093" s="36"/>
      <c r="F4093" s="42"/>
      <c r="G4093" s="42"/>
      <c r="H4093" s="42"/>
      <c r="AG4093" s="19">
        <v>4092</v>
      </c>
      <c r="AH4093" s="20">
        <v>462.59306106511559</v>
      </c>
    </row>
    <row r="4094" spans="1:34" ht="14.5" x14ac:dyDescent="0.35">
      <c r="A4094" s="34"/>
      <c r="B4094" s="35"/>
      <c r="C4094" s="36"/>
      <c r="D4094" s="37"/>
      <c r="E4094" s="36"/>
      <c r="F4094" s="42"/>
      <c r="G4094" s="42"/>
      <c r="H4094" s="42"/>
      <c r="AG4094" s="19">
        <v>4093</v>
      </c>
      <c r="AH4094" s="20">
        <v>-1214.5941981836236</v>
      </c>
    </row>
    <row r="4095" spans="1:34" ht="14.5" x14ac:dyDescent="0.35">
      <c r="A4095" s="34"/>
      <c r="B4095" s="35"/>
      <c r="C4095" s="36"/>
      <c r="D4095" s="37"/>
      <c r="E4095" s="36"/>
      <c r="F4095" s="42"/>
      <c r="G4095" s="42"/>
      <c r="H4095" s="42"/>
      <c r="AG4095" s="19">
        <v>4094</v>
      </c>
      <c r="AH4095" s="20">
        <v>-807.8128144446116</v>
      </c>
    </row>
    <row r="4096" spans="1:34" ht="14.5" x14ac:dyDescent="0.35">
      <c r="A4096" s="34"/>
      <c r="B4096" s="35"/>
      <c r="C4096" s="36"/>
      <c r="D4096" s="37"/>
      <c r="E4096" s="36"/>
      <c r="F4096" s="42"/>
      <c r="G4096" s="42"/>
      <c r="H4096" s="42"/>
      <c r="AG4096" s="19">
        <v>4095</v>
      </c>
      <c r="AH4096" s="20">
        <v>1592.0596248552749</v>
      </c>
    </row>
    <row r="4097" spans="1:34" ht="14.5" x14ac:dyDescent="0.35">
      <c r="A4097" s="34"/>
      <c r="B4097" s="35"/>
      <c r="C4097" s="36"/>
      <c r="D4097" s="37"/>
      <c r="E4097" s="36"/>
      <c r="F4097" s="42"/>
      <c r="G4097" s="42"/>
      <c r="H4097" s="42"/>
      <c r="AG4097" s="19">
        <v>4096</v>
      </c>
      <c r="AH4097" s="20">
        <v>3214.1150623360913</v>
      </c>
    </row>
    <row r="4098" spans="1:34" ht="14.5" x14ac:dyDescent="0.35">
      <c r="A4098" s="34"/>
      <c r="B4098" s="35"/>
      <c r="C4098" s="36"/>
      <c r="D4098" s="37"/>
      <c r="E4098" s="36"/>
      <c r="F4098" s="42"/>
      <c r="G4098" s="42"/>
      <c r="H4098" s="42"/>
      <c r="AG4098" s="19">
        <v>4097</v>
      </c>
      <c r="AH4098" s="20">
        <v>-918.98820257386024</v>
      </c>
    </row>
    <row r="4099" spans="1:34" ht="14.5" x14ac:dyDescent="0.35">
      <c r="A4099" s="34"/>
      <c r="B4099" s="35"/>
      <c r="C4099" s="36"/>
      <c r="D4099" s="37"/>
      <c r="E4099" s="36"/>
      <c r="F4099" s="42"/>
      <c r="G4099" s="42"/>
      <c r="H4099" s="42"/>
      <c r="AG4099" s="19">
        <v>4098</v>
      </c>
      <c r="AH4099" s="20">
        <v>-1743.2327389997042</v>
      </c>
    </row>
    <row r="4100" spans="1:34" ht="14.5" x14ac:dyDescent="0.35">
      <c r="A4100" s="34"/>
      <c r="B4100" s="35"/>
      <c r="C4100" s="36"/>
      <c r="D4100" s="37"/>
      <c r="E4100" s="36"/>
      <c r="F4100" s="42"/>
      <c r="G4100" s="42"/>
      <c r="H4100" s="42"/>
      <c r="AG4100" s="19">
        <v>4099</v>
      </c>
      <c r="AH4100" s="20">
        <v>520.95041054052376</v>
      </c>
    </row>
    <row r="4101" spans="1:34" ht="14.5" x14ac:dyDescent="0.35">
      <c r="A4101" s="34"/>
      <c r="B4101" s="35"/>
      <c r="C4101" s="36"/>
      <c r="D4101" s="37"/>
      <c r="E4101" s="36"/>
      <c r="F4101" s="42"/>
      <c r="G4101" s="42"/>
      <c r="H4101" s="42"/>
      <c r="AG4101" s="19">
        <v>4100</v>
      </c>
      <c r="AH4101" s="20">
        <v>1181.4494142538026</v>
      </c>
    </row>
    <row r="4102" spans="1:34" ht="14.5" x14ac:dyDescent="0.35">
      <c r="A4102" s="34"/>
      <c r="B4102" s="35"/>
      <c r="C4102" s="36"/>
      <c r="D4102" s="37"/>
      <c r="E4102" s="36"/>
      <c r="F4102" s="42"/>
      <c r="G4102" s="42"/>
      <c r="H4102" s="42"/>
      <c r="AG4102" s="19">
        <v>4101</v>
      </c>
      <c r="AH4102" s="20">
        <v>2095.1395551359178</v>
      </c>
    </row>
    <row r="4103" spans="1:34" ht="14.5" x14ac:dyDescent="0.35">
      <c r="A4103" s="34"/>
      <c r="B4103" s="35"/>
      <c r="C4103" s="36"/>
      <c r="D4103" s="37"/>
      <c r="E4103" s="36"/>
      <c r="F4103" s="42"/>
      <c r="G4103" s="42"/>
      <c r="H4103" s="42"/>
      <c r="AG4103" s="19">
        <v>4102</v>
      </c>
      <c r="AH4103" s="20">
        <v>1526.6575924018562</v>
      </c>
    </row>
    <row r="4104" spans="1:34" ht="14.5" x14ac:dyDescent="0.35">
      <c r="A4104" s="34"/>
      <c r="B4104" s="35"/>
      <c r="C4104" s="36"/>
      <c r="D4104" s="37"/>
      <c r="E4104" s="36"/>
      <c r="F4104" s="42"/>
      <c r="G4104" s="42"/>
      <c r="H4104" s="42"/>
      <c r="AG4104" s="19">
        <v>4103</v>
      </c>
      <c r="AH4104" s="20">
        <v>-214.96242968069026</v>
      </c>
    </row>
    <row r="4105" spans="1:34" ht="14.5" x14ac:dyDescent="0.35">
      <c r="A4105" s="34"/>
      <c r="B4105" s="35"/>
      <c r="C4105" s="36"/>
      <c r="D4105" s="37"/>
      <c r="E4105" s="36"/>
      <c r="F4105" s="42"/>
      <c r="G4105" s="42"/>
      <c r="H4105" s="42"/>
      <c r="AG4105" s="19">
        <v>4104</v>
      </c>
      <c r="AH4105" s="20">
        <v>-1067.2170072092715</v>
      </c>
    </row>
    <row r="4106" spans="1:34" ht="14.5" x14ac:dyDescent="0.35">
      <c r="A4106" s="34"/>
      <c r="B4106" s="35"/>
      <c r="C4106" s="36"/>
      <c r="D4106" s="37"/>
      <c r="E4106" s="36"/>
      <c r="F4106" s="42"/>
      <c r="G4106" s="42"/>
      <c r="H4106" s="42"/>
      <c r="AG4106" s="19">
        <v>4105</v>
      </c>
      <c r="AH4106" s="20">
        <v>-387.78754681311722</v>
      </c>
    </row>
    <row r="4107" spans="1:34" ht="14.5" x14ac:dyDescent="0.35">
      <c r="A4107" s="34"/>
      <c r="B4107" s="35"/>
      <c r="C4107" s="36"/>
      <c r="D4107" s="37"/>
      <c r="E4107" s="36"/>
      <c r="F4107" s="42"/>
      <c r="G4107" s="42"/>
      <c r="H4107" s="42"/>
      <c r="AG4107" s="19">
        <v>4106</v>
      </c>
      <c r="AH4107" s="20">
        <v>-3787.3058922739028</v>
      </c>
    </row>
    <row r="4108" spans="1:34" ht="14.5" x14ac:dyDescent="0.35">
      <c r="A4108" s="34"/>
      <c r="B4108" s="35"/>
      <c r="C4108" s="36"/>
      <c r="D4108" s="37"/>
      <c r="E4108" s="36"/>
      <c r="F4108" s="42"/>
      <c r="G4108" s="42"/>
      <c r="H4108" s="42"/>
      <c r="AG4108" s="19">
        <v>4107</v>
      </c>
      <c r="AH4108" s="20">
        <v>-2216.1806687936728</v>
      </c>
    </row>
    <row r="4109" spans="1:34" ht="14.5" x14ac:dyDescent="0.35">
      <c r="A4109" s="34"/>
      <c r="B4109" s="35"/>
      <c r="C4109" s="36"/>
      <c r="D4109" s="37"/>
      <c r="E4109" s="36"/>
      <c r="F4109" s="42"/>
      <c r="G4109" s="42"/>
      <c r="H4109" s="42"/>
      <c r="AG4109" s="19">
        <v>4108</v>
      </c>
      <c r="AH4109" s="20">
        <v>2393.082586236922</v>
      </c>
    </row>
    <row r="4110" spans="1:34" ht="14.5" x14ac:dyDescent="0.35">
      <c r="A4110" s="34"/>
      <c r="B4110" s="35"/>
      <c r="C4110" s="36"/>
      <c r="D4110" s="37"/>
      <c r="E4110" s="36"/>
      <c r="F4110" s="42"/>
      <c r="G4110" s="42"/>
      <c r="H4110" s="42"/>
      <c r="AG4110" s="19">
        <v>4109</v>
      </c>
      <c r="AH4110" s="20">
        <v>401.92595882132241</v>
      </c>
    </row>
    <row r="4111" spans="1:34" ht="14.5" x14ac:dyDescent="0.35">
      <c r="A4111" s="34"/>
      <c r="B4111" s="35"/>
      <c r="C4111" s="36"/>
      <c r="D4111" s="37"/>
      <c r="E4111" s="36"/>
      <c r="F4111" s="42"/>
      <c r="G4111" s="42"/>
      <c r="H4111" s="42"/>
      <c r="AG4111" s="19">
        <v>4110</v>
      </c>
      <c r="AH4111" s="20">
        <v>-1863.6770719009171</v>
      </c>
    </row>
    <row r="4112" spans="1:34" ht="14.5" x14ac:dyDescent="0.35">
      <c r="A4112" s="34"/>
      <c r="B4112" s="35"/>
      <c r="C4112" s="36"/>
      <c r="D4112" s="37"/>
      <c r="E4112" s="36"/>
      <c r="F4112" s="42"/>
      <c r="G4112" s="42"/>
      <c r="H4112" s="42"/>
      <c r="AG4112" s="19">
        <v>4111</v>
      </c>
      <c r="AH4112" s="20">
        <v>3133.6597890151324</v>
      </c>
    </row>
    <row r="4113" spans="1:34" ht="14.5" x14ac:dyDescent="0.35">
      <c r="A4113" s="34"/>
      <c r="B4113" s="35"/>
      <c r="C4113" s="36"/>
      <c r="D4113" s="37"/>
      <c r="E4113" s="36"/>
      <c r="F4113" s="42"/>
      <c r="G4113" s="42"/>
      <c r="H4113" s="42"/>
      <c r="AG4113" s="19">
        <v>4112</v>
      </c>
      <c r="AH4113" s="20">
        <v>1668.3378133783779</v>
      </c>
    </row>
    <row r="4114" spans="1:34" ht="14.5" x14ac:dyDescent="0.35">
      <c r="A4114" s="34"/>
      <c r="B4114" s="35"/>
      <c r="C4114" s="36"/>
      <c r="D4114" s="37"/>
      <c r="E4114" s="36"/>
      <c r="F4114" s="42"/>
      <c r="G4114" s="42"/>
      <c r="H4114" s="42"/>
      <c r="AG4114" s="19">
        <v>4113</v>
      </c>
      <c r="AH4114" s="20">
        <v>746.74804481884485</v>
      </c>
    </row>
    <row r="4115" spans="1:34" ht="14.5" x14ac:dyDescent="0.35">
      <c r="A4115" s="34"/>
      <c r="B4115" s="35"/>
      <c r="C4115" s="36"/>
      <c r="D4115" s="37"/>
      <c r="E4115" s="36"/>
      <c r="F4115" s="42"/>
      <c r="G4115" s="42"/>
      <c r="H4115" s="42"/>
      <c r="AG4115" s="19">
        <v>4114</v>
      </c>
      <c r="AH4115" s="20">
        <v>-1840.2673639411271</v>
      </c>
    </row>
    <row r="4116" spans="1:34" ht="14.5" x14ac:dyDescent="0.35">
      <c r="A4116" s="34"/>
      <c r="B4116" s="35"/>
      <c r="C4116" s="36"/>
      <c r="D4116" s="37"/>
      <c r="E4116" s="36"/>
      <c r="F4116" s="42"/>
      <c r="G4116" s="42"/>
      <c r="H4116" s="42"/>
      <c r="AG4116" s="19">
        <v>4115</v>
      </c>
      <c r="AH4116" s="20">
        <v>2738.1928555996337</v>
      </c>
    </row>
    <row r="4117" spans="1:34" ht="14.5" x14ac:dyDescent="0.35">
      <c r="A4117" s="34"/>
      <c r="B4117" s="35"/>
      <c r="C4117" s="36"/>
      <c r="D4117" s="37"/>
      <c r="E4117" s="36"/>
      <c r="F4117" s="42"/>
      <c r="G4117" s="42"/>
      <c r="H4117" s="42"/>
      <c r="AG4117" s="19">
        <v>4116</v>
      </c>
      <c r="AH4117" s="20">
        <v>2447.2382704176898</v>
      </c>
    </row>
    <row r="4118" spans="1:34" ht="14.5" x14ac:dyDescent="0.35">
      <c r="A4118" s="34"/>
      <c r="B4118" s="35"/>
      <c r="C4118" s="36"/>
      <c r="D4118" s="37"/>
      <c r="E4118" s="36"/>
      <c r="F4118" s="42"/>
      <c r="G4118" s="42"/>
      <c r="H4118" s="42"/>
      <c r="AG4118" s="19">
        <v>4117</v>
      </c>
      <c r="AH4118" s="20">
        <v>1886.1640238457576</v>
      </c>
    </row>
    <row r="4119" spans="1:34" ht="14.5" x14ac:dyDescent="0.35">
      <c r="A4119" s="34"/>
      <c r="B4119" s="35"/>
      <c r="C4119" s="36"/>
      <c r="D4119" s="37"/>
      <c r="E4119" s="36"/>
      <c r="F4119" s="42"/>
      <c r="G4119" s="42"/>
      <c r="H4119" s="42"/>
      <c r="AG4119" s="19">
        <v>4118</v>
      </c>
      <c r="AH4119" s="20">
        <v>-1522.9317314471834</v>
      </c>
    </row>
    <row r="4120" spans="1:34" ht="14.5" x14ac:dyDescent="0.35">
      <c r="A4120" s="34"/>
      <c r="B4120" s="35"/>
      <c r="C4120" s="36"/>
      <c r="D4120" s="37"/>
      <c r="E4120" s="36"/>
      <c r="F4120" s="42"/>
      <c r="G4120" s="42"/>
      <c r="H4120" s="42"/>
      <c r="AG4120" s="19">
        <v>4119</v>
      </c>
      <c r="AH4120" s="20">
        <v>3866.1471230681282</v>
      </c>
    </row>
    <row r="4121" spans="1:34" ht="14.5" x14ac:dyDescent="0.35">
      <c r="A4121" s="34"/>
      <c r="B4121" s="35"/>
      <c r="C4121" s="36"/>
      <c r="D4121" s="37"/>
      <c r="E4121" s="36"/>
      <c r="F4121" s="42"/>
      <c r="G4121" s="42"/>
      <c r="H4121" s="42"/>
      <c r="AG4121" s="19">
        <v>4120</v>
      </c>
      <c r="AH4121" s="20">
        <v>1409.7873547090624</v>
      </c>
    </row>
    <row r="4122" spans="1:34" ht="14.5" x14ac:dyDescent="0.35">
      <c r="A4122" s="34"/>
      <c r="B4122" s="35"/>
      <c r="C4122" s="36"/>
      <c r="D4122" s="37"/>
      <c r="E4122" s="36"/>
      <c r="F4122" s="42"/>
      <c r="G4122" s="42"/>
      <c r="H4122" s="42"/>
      <c r="AG4122" s="19">
        <v>4121</v>
      </c>
      <c r="AH4122" s="20">
        <v>437.05145903704306</v>
      </c>
    </row>
    <row r="4123" spans="1:34" ht="14.5" x14ac:dyDescent="0.35">
      <c r="A4123" s="34"/>
      <c r="B4123" s="35"/>
      <c r="C4123" s="36"/>
      <c r="D4123" s="37"/>
      <c r="E4123" s="36"/>
      <c r="F4123" s="42"/>
      <c r="G4123" s="42"/>
      <c r="H4123" s="42"/>
      <c r="AG4123" s="19">
        <v>4122</v>
      </c>
      <c r="AH4123" s="20">
        <v>-2849.1916811054693</v>
      </c>
    </row>
    <row r="4124" spans="1:34" ht="14.5" x14ac:dyDescent="0.35">
      <c r="A4124" s="34"/>
      <c r="B4124" s="35"/>
      <c r="C4124" s="36"/>
      <c r="D4124" s="37"/>
      <c r="E4124" s="36"/>
      <c r="F4124" s="42"/>
      <c r="G4124" s="42"/>
      <c r="H4124" s="42"/>
      <c r="AG4124" s="19">
        <v>4123</v>
      </c>
      <c r="AH4124" s="20">
        <v>-80.212355297731278</v>
      </c>
    </row>
    <row r="4125" spans="1:34" ht="14.5" x14ac:dyDescent="0.35">
      <c r="A4125" s="34"/>
      <c r="B4125" s="35"/>
      <c r="C4125" s="36"/>
      <c r="D4125" s="37"/>
      <c r="E4125" s="36"/>
      <c r="F4125" s="42"/>
      <c r="G4125" s="42"/>
      <c r="H4125" s="42"/>
      <c r="AG4125" s="19">
        <v>4124</v>
      </c>
      <c r="AH4125" s="20">
        <v>-1317.1069477745491</v>
      </c>
    </row>
    <row r="4126" spans="1:34" ht="14.5" x14ac:dyDescent="0.35">
      <c r="A4126" s="34"/>
      <c r="B4126" s="35"/>
      <c r="C4126" s="36"/>
      <c r="D4126" s="37"/>
      <c r="E4126" s="36"/>
      <c r="F4126" s="42"/>
      <c r="G4126" s="42"/>
      <c r="H4126" s="42"/>
      <c r="AG4126" s="19">
        <v>4125</v>
      </c>
      <c r="AH4126" s="20">
        <v>-997.32146665292771</v>
      </c>
    </row>
    <row r="4127" spans="1:34" ht="14.5" x14ac:dyDescent="0.35">
      <c r="A4127" s="34"/>
      <c r="B4127" s="35"/>
      <c r="C4127" s="36"/>
      <c r="D4127" s="37"/>
      <c r="E4127" s="36"/>
      <c r="F4127" s="42"/>
      <c r="G4127" s="42"/>
      <c r="H4127" s="42"/>
      <c r="AG4127" s="19">
        <v>4126</v>
      </c>
      <c r="AH4127" s="20">
        <v>-994.24389478683929</v>
      </c>
    </row>
    <row r="4128" spans="1:34" ht="14.5" x14ac:dyDescent="0.35">
      <c r="A4128" s="34"/>
      <c r="B4128" s="35"/>
      <c r="C4128" s="36"/>
      <c r="D4128" s="37"/>
      <c r="E4128" s="36"/>
      <c r="F4128" s="42"/>
      <c r="G4128" s="42"/>
      <c r="H4128" s="42"/>
      <c r="AG4128" s="19">
        <v>4127</v>
      </c>
      <c r="AH4128" s="20">
        <v>-2494.4537554880967</v>
      </c>
    </row>
    <row r="4129" spans="1:34" ht="14.5" x14ac:dyDescent="0.35">
      <c r="A4129" s="34"/>
      <c r="B4129" s="35"/>
      <c r="C4129" s="36"/>
      <c r="D4129" s="37"/>
      <c r="E4129" s="36"/>
      <c r="F4129" s="42"/>
      <c r="G4129" s="42"/>
      <c r="H4129" s="42"/>
      <c r="AG4129" s="19">
        <v>4128</v>
      </c>
      <c r="AH4129" s="20">
        <v>462.79048843487726</v>
      </c>
    </row>
    <row r="4130" spans="1:34" ht="14.5" x14ac:dyDescent="0.35">
      <c r="A4130" s="34"/>
      <c r="B4130" s="35"/>
      <c r="C4130" s="36"/>
      <c r="D4130" s="37"/>
      <c r="E4130" s="36"/>
      <c r="F4130" s="42"/>
      <c r="G4130" s="42"/>
      <c r="H4130" s="42"/>
      <c r="AG4130" s="19">
        <v>4129</v>
      </c>
      <c r="AH4130" s="20">
        <v>2237.90894306582</v>
      </c>
    </row>
    <row r="4131" spans="1:34" ht="14.5" x14ac:dyDescent="0.35">
      <c r="A4131" s="34"/>
      <c r="B4131" s="35"/>
      <c r="C4131" s="36"/>
      <c r="D4131" s="37"/>
      <c r="E4131" s="36"/>
      <c r="F4131" s="42"/>
      <c r="G4131" s="42"/>
      <c r="H4131" s="42"/>
      <c r="AG4131" s="19">
        <v>4130</v>
      </c>
      <c r="AH4131" s="20">
        <v>604.01475130940707</v>
      </c>
    </row>
    <row r="4132" spans="1:34" ht="14.5" x14ac:dyDescent="0.35">
      <c r="A4132" s="34"/>
      <c r="B4132" s="35"/>
      <c r="C4132" s="36"/>
      <c r="D4132" s="37"/>
      <c r="E4132" s="36"/>
      <c r="F4132" s="42"/>
      <c r="G4132" s="42"/>
      <c r="H4132" s="42"/>
      <c r="AG4132" s="19">
        <v>4131</v>
      </c>
      <c r="AH4132" s="20">
        <v>-1820.8625124544935</v>
      </c>
    </row>
    <row r="4133" spans="1:34" ht="14.5" x14ac:dyDescent="0.35">
      <c r="A4133" s="34"/>
      <c r="B4133" s="35"/>
      <c r="C4133" s="36"/>
      <c r="D4133" s="37"/>
      <c r="E4133" s="36"/>
      <c r="F4133" s="42"/>
      <c r="G4133" s="42"/>
      <c r="H4133" s="42"/>
      <c r="AG4133" s="19">
        <v>4132</v>
      </c>
      <c r="AH4133" s="20">
        <v>-143.91495396818965</v>
      </c>
    </row>
    <row r="4134" spans="1:34" ht="14.5" x14ac:dyDescent="0.35">
      <c r="A4134" s="34"/>
      <c r="B4134" s="35"/>
      <c r="C4134" s="36"/>
      <c r="D4134" s="37"/>
      <c r="E4134" s="36"/>
      <c r="F4134" s="42"/>
      <c r="G4134" s="42"/>
      <c r="H4134" s="42"/>
      <c r="AG4134" s="19">
        <v>4133</v>
      </c>
      <c r="AH4134" s="20">
        <v>12.859815658798084</v>
      </c>
    </row>
    <row r="4135" spans="1:34" ht="14.5" x14ac:dyDescent="0.35">
      <c r="A4135" s="34"/>
      <c r="B4135" s="35"/>
      <c r="C4135" s="36"/>
      <c r="D4135" s="37"/>
      <c r="E4135" s="36"/>
      <c r="F4135" s="42"/>
      <c r="G4135" s="42"/>
      <c r="H4135" s="42"/>
      <c r="AG4135" s="19">
        <v>4134</v>
      </c>
      <c r="AH4135" s="20">
        <v>299.75212431898012</v>
      </c>
    </row>
    <row r="4136" spans="1:34" ht="14.5" x14ac:dyDescent="0.35">
      <c r="A4136" s="34"/>
      <c r="B4136" s="35"/>
      <c r="C4136" s="36"/>
      <c r="D4136" s="37"/>
      <c r="E4136" s="36"/>
      <c r="F4136" s="42"/>
      <c r="G4136" s="42"/>
      <c r="H4136" s="42"/>
      <c r="AG4136" s="19">
        <v>4135</v>
      </c>
      <c r="AH4136" s="20">
        <v>3981.0295180169778</v>
      </c>
    </row>
    <row r="4137" spans="1:34" ht="14.5" x14ac:dyDescent="0.35">
      <c r="A4137" s="34"/>
      <c r="B4137" s="35"/>
      <c r="C4137" s="36"/>
      <c r="D4137" s="37"/>
      <c r="E4137" s="36"/>
      <c r="F4137" s="42"/>
      <c r="G4137" s="42"/>
      <c r="H4137" s="42"/>
      <c r="AG4137" s="19">
        <v>4136</v>
      </c>
      <c r="AH4137" s="20">
        <v>-332.89663536162749</v>
      </c>
    </row>
    <row r="4138" spans="1:34" ht="14.5" x14ac:dyDescent="0.35">
      <c r="A4138" s="34"/>
      <c r="B4138" s="35"/>
      <c r="C4138" s="36"/>
      <c r="D4138" s="37"/>
      <c r="E4138" s="36"/>
      <c r="F4138" s="42"/>
      <c r="G4138" s="42"/>
      <c r="H4138" s="42"/>
      <c r="AG4138" s="19">
        <v>4137</v>
      </c>
      <c r="AH4138" s="20">
        <v>3768.2676459193981</v>
      </c>
    </row>
    <row r="4139" spans="1:34" ht="14.5" x14ac:dyDescent="0.35">
      <c r="A4139" s="34"/>
      <c r="B4139" s="35"/>
      <c r="C4139" s="36"/>
      <c r="D4139" s="37"/>
      <c r="E4139" s="36"/>
      <c r="F4139" s="42"/>
      <c r="G4139" s="42"/>
      <c r="H4139" s="42"/>
      <c r="AG4139" s="19">
        <v>4138</v>
      </c>
      <c r="AH4139" s="20">
        <v>-319.76149461616313</v>
      </c>
    </row>
    <row r="4140" spans="1:34" ht="14.5" x14ac:dyDescent="0.35">
      <c r="A4140" s="34"/>
      <c r="B4140" s="35"/>
      <c r="C4140" s="36"/>
      <c r="D4140" s="37"/>
      <c r="E4140" s="36"/>
      <c r="F4140" s="42"/>
      <c r="G4140" s="42"/>
      <c r="H4140" s="42"/>
      <c r="AG4140" s="19">
        <v>4139</v>
      </c>
      <c r="AH4140" s="20">
        <v>-1505.0805647909301</v>
      </c>
    </row>
    <row r="4141" spans="1:34" ht="14.5" x14ac:dyDescent="0.35">
      <c r="A4141" s="34"/>
      <c r="B4141" s="35"/>
      <c r="C4141" s="36"/>
      <c r="D4141" s="37"/>
      <c r="E4141" s="36"/>
      <c r="F4141" s="42"/>
      <c r="G4141" s="42"/>
      <c r="H4141" s="42"/>
      <c r="AG4141" s="19">
        <v>4140</v>
      </c>
      <c r="AH4141" s="20">
        <v>-4868.7253245073853</v>
      </c>
    </row>
    <row r="4142" spans="1:34" ht="14.5" x14ac:dyDescent="0.35">
      <c r="A4142" s="34"/>
      <c r="B4142" s="35"/>
      <c r="C4142" s="36"/>
      <c r="D4142" s="37"/>
      <c r="E4142" s="36"/>
      <c r="F4142" s="42"/>
      <c r="G4142" s="42"/>
      <c r="H4142" s="42"/>
      <c r="AG4142" s="19">
        <v>4141</v>
      </c>
      <c r="AH4142" s="20">
        <v>1644.0531120824276</v>
      </c>
    </row>
    <row r="4143" spans="1:34" ht="14.5" x14ac:dyDescent="0.35">
      <c r="A4143" s="34"/>
      <c r="B4143" s="35"/>
      <c r="C4143" s="36"/>
      <c r="D4143" s="37"/>
      <c r="E4143" s="36"/>
      <c r="F4143" s="42"/>
      <c r="G4143" s="42"/>
      <c r="H4143" s="42"/>
      <c r="AG4143" s="19">
        <v>4142</v>
      </c>
      <c r="AH4143" s="20">
        <v>3562.1389472319838</v>
      </c>
    </row>
    <row r="4144" spans="1:34" ht="14.5" x14ac:dyDescent="0.35">
      <c r="A4144" s="34"/>
      <c r="B4144" s="35"/>
      <c r="C4144" s="36"/>
      <c r="D4144" s="37"/>
      <c r="E4144" s="36"/>
      <c r="F4144" s="42"/>
      <c r="G4144" s="42"/>
      <c r="H4144" s="42"/>
      <c r="AG4144" s="19">
        <v>4143</v>
      </c>
      <c r="AH4144" s="20">
        <v>-2981.1620604138243</v>
      </c>
    </row>
    <row r="4145" spans="1:34" ht="14.5" x14ac:dyDescent="0.35">
      <c r="A4145" s="34"/>
      <c r="B4145" s="35"/>
      <c r="C4145" s="36"/>
      <c r="D4145" s="37"/>
      <c r="E4145" s="36"/>
      <c r="F4145" s="42"/>
      <c r="G4145" s="42"/>
      <c r="H4145" s="42"/>
      <c r="AG4145" s="19">
        <v>4144</v>
      </c>
      <c r="AH4145" s="20">
        <v>3142.7041918134569</v>
      </c>
    </row>
    <row r="4146" spans="1:34" ht="14.5" x14ac:dyDescent="0.35">
      <c r="A4146" s="34"/>
      <c r="B4146" s="35"/>
      <c r="C4146" s="36"/>
      <c r="D4146" s="37"/>
      <c r="E4146" s="36"/>
      <c r="F4146" s="42"/>
      <c r="G4146" s="42"/>
      <c r="H4146" s="42"/>
      <c r="AG4146" s="19">
        <v>4145</v>
      </c>
      <c r="AH4146" s="20">
        <v>-1939.3870005193496</v>
      </c>
    </row>
    <row r="4147" spans="1:34" ht="14.5" x14ac:dyDescent="0.35">
      <c r="A4147" s="34"/>
      <c r="B4147" s="35"/>
      <c r="C4147" s="36"/>
      <c r="D4147" s="37"/>
      <c r="E4147" s="36"/>
      <c r="F4147" s="42"/>
      <c r="G4147" s="42"/>
      <c r="H4147" s="42"/>
      <c r="AG4147" s="19">
        <v>4146</v>
      </c>
      <c r="AH4147" s="20">
        <v>778.02443391843326</v>
      </c>
    </row>
    <row r="4148" spans="1:34" ht="14.5" x14ac:dyDescent="0.35">
      <c r="A4148" s="34"/>
      <c r="B4148" s="35"/>
      <c r="C4148" s="36"/>
      <c r="D4148" s="37"/>
      <c r="E4148" s="36"/>
      <c r="F4148" s="42"/>
      <c r="G4148" s="42"/>
      <c r="H4148" s="42"/>
      <c r="AG4148" s="19">
        <v>4147</v>
      </c>
      <c r="AH4148" s="20">
        <v>723.79083380483371</v>
      </c>
    </row>
    <row r="4149" spans="1:34" ht="14.5" x14ac:dyDescent="0.35">
      <c r="A4149" s="34"/>
      <c r="B4149" s="35"/>
      <c r="C4149" s="36"/>
      <c r="D4149" s="37"/>
      <c r="E4149" s="36"/>
      <c r="F4149" s="42"/>
      <c r="G4149" s="42"/>
      <c r="H4149" s="42"/>
      <c r="AG4149" s="19">
        <v>4148</v>
      </c>
      <c r="AH4149" s="20">
        <v>26.201223828652473</v>
      </c>
    </row>
    <row r="4150" spans="1:34" ht="14.5" x14ac:dyDescent="0.35">
      <c r="A4150" s="34"/>
      <c r="B4150" s="35"/>
      <c r="C4150" s="36"/>
      <c r="D4150" s="37"/>
      <c r="E4150" s="36"/>
      <c r="F4150" s="42"/>
      <c r="G4150" s="42"/>
      <c r="H4150" s="42"/>
      <c r="AG4150" s="19">
        <v>4149</v>
      </c>
      <c r="AH4150" s="20">
        <v>2535.5510641386072</v>
      </c>
    </row>
    <row r="4151" spans="1:34" ht="14.5" x14ac:dyDescent="0.35">
      <c r="A4151" s="34"/>
      <c r="B4151" s="35"/>
      <c r="C4151" s="36"/>
      <c r="D4151" s="37"/>
      <c r="E4151" s="36"/>
      <c r="F4151" s="42"/>
      <c r="G4151" s="42"/>
      <c r="H4151" s="42"/>
      <c r="AG4151" s="19">
        <v>4150</v>
      </c>
      <c r="AH4151" s="20">
        <v>561.77955133226862</v>
      </c>
    </row>
    <row r="4152" spans="1:34" ht="14.5" x14ac:dyDescent="0.35">
      <c r="A4152" s="34"/>
      <c r="B4152" s="35"/>
      <c r="C4152" s="36"/>
      <c r="D4152" s="37"/>
      <c r="E4152" s="36"/>
      <c r="F4152" s="42"/>
      <c r="G4152" s="42"/>
      <c r="H4152" s="42"/>
      <c r="AG4152" s="19">
        <v>4151</v>
      </c>
      <c r="AH4152" s="20">
        <v>1329.6584239289712</v>
      </c>
    </row>
    <row r="4153" spans="1:34" ht="14.5" x14ac:dyDescent="0.35">
      <c r="A4153" s="34"/>
      <c r="B4153" s="35"/>
      <c r="C4153" s="36"/>
      <c r="D4153" s="37"/>
      <c r="E4153" s="36"/>
      <c r="F4153" s="42"/>
      <c r="G4153" s="42"/>
      <c r="H4153" s="42"/>
      <c r="AG4153" s="19">
        <v>4152</v>
      </c>
      <c r="AH4153" s="20">
        <v>902.85341699779383</v>
      </c>
    </row>
    <row r="4154" spans="1:34" ht="14.5" x14ac:dyDescent="0.35">
      <c r="A4154" s="34"/>
      <c r="B4154" s="35"/>
      <c r="C4154" s="36"/>
      <c r="D4154" s="37"/>
      <c r="E4154" s="36"/>
      <c r="F4154" s="42"/>
      <c r="G4154" s="42"/>
      <c r="H4154" s="42"/>
      <c r="AG4154" s="19">
        <v>4153</v>
      </c>
      <c r="AH4154" s="20">
        <v>-11.123623952014441</v>
      </c>
    </row>
    <row r="4155" spans="1:34" ht="14.5" x14ac:dyDescent="0.35">
      <c r="A4155" s="34"/>
      <c r="B4155" s="35"/>
      <c r="C4155" s="36"/>
      <c r="D4155" s="37"/>
      <c r="E4155" s="36"/>
      <c r="F4155" s="42"/>
      <c r="G4155" s="42"/>
      <c r="H4155" s="42"/>
      <c r="AG4155" s="19">
        <v>4154</v>
      </c>
      <c r="AH4155" s="20">
        <v>3036.2247509033432</v>
      </c>
    </row>
    <row r="4156" spans="1:34" ht="14.5" x14ac:dyDescent="0.35">
      <c r="A4156" s="34"/>
      <c r="B4156" s="35"/>
      <c r="C4156" s="36"/>
      <c r="D4156" s="37"/>
      <c r="E4156" s="36"/>
      <c r="F4156" s="42"/>
      <c r="G4156" s="42"/>
      <c r="H4156" s="42"/>
      <c r="AG4156" s="19">
        <v>4155</v>
      </c>
      <c r="AH4156" s="20">
        <v>-1134.7679901376198</v>
      </c>
    </row>
    <row r="4157" spans="1:34" ht="14.5" x14ac:dyDescent="0.35">
      <c r="A4157" s="34"/>
      <c r="B4157" s="35"/>
      <c r="C4157" s="36"/>
      <c r="D4157" s="37"/>
      <c r="E4157" s="36"/>
      <c r="F4157" s="42"/>
      <c r="G4157" s="42"/>
      <c r="H4157" s="42"/>
      <c r="AG4157" s="19">
        <v>4156</v>
      </c>
      <c r="AH4157" s="20">
        <v>2857.3480384277432</v>
      </c>
    </row>
    <row r="4158" spans="1:34" ht="14.5" x14ac:dyDescent="0.35">
      <c r="A4158" s="34"/>
      <c r="B4158" s="35"/>
      <c r="C4158" s="36"/>
      <c r="D4158" s="37"/>
      <c r="E4158" s="36"/>
      <c r="F4158" s="42"/>
      <c r="G4158" s="42"/>
      <c r="H4158" s="42"/>
      <c r="AG4158" s="19">
        <v>4157</v>
      </c>
      <c r="AH4158" s="20">
        <v>-2857.4722534664711</v>
      </c>
    </row>
    <row r="4159" spans="1:34" ht="14.5" x14ac:dyDescent="0.35">
      <c r="A4159" s="34"/>
      <c r="B4159" s="35"/>
      <c r="C4159" s="36"/>
      <c r="D4159" s="37"/>
      <c r="E4159" s="36"/>
      <c r="F4159" s="42"/>
      <c r="G4159" s="42"/>
      <c r="H4159" s="42"/>
      <c r="AG4159" s="19">
        <v>4158</v>
      </c>
      <c r="AH4159" s="20">
        <v>1139.1403655305555</v>
      </c>
    </row>
    <row r="4160" spans="1:34" ht="14.5" x14ac:dyDescent="0.35">
      <c r="A4160" s="34"/>
      <c r="B4160" s="35"/>
      <c r="C4160" s="36"/>
      <c r="D4160" s="37"/>
      <c r="E4160" s="36"/>
      <c r="F4160" s="42"/>
      <c r="G4160" s="42"/>
      <c r="H4160" s="42"/>
      <c r="AG4160" s="19">
        <v>4159</v>
      </c>
      <c r="AH4160" s="20">
        <v>-1128.4404556219019</v>
      </c>
    </row>
    <row r="4161" spans="1:34" ht="14.5" x14ac:dyDescent="0.35">
      <c r="A4161" s="34"/>
      <c r="B4161" s="35"/>
      <c r="C4161" s="36"/>
      <c r="D4161" s="37"/>
      <c r="E4161" s="36"/>
      <c r="F4161" s="42"/>
      <c r="G4161" s="42"/>
      <c r="H4161" s="42"/>
      <c r="AG4161" s="19">
        <v>4160</v>
      </c>
      <c r="AH4161" s="20">
        <v>-2885.5929805813807</v>
      </c>
    </row>
    <row r="4162" spans="1:34" ht="14.5" x14ac:dyDescent="0.35">
      <c r="A4162" s="34"/>
      <c r="B4162" s="35"/>
      <c r="C4162" s="36"/>
      <c r="D4162" s="37"/>
      <c r="E4162" s="36"/>
      <c r="F4162" s="42"/>
      <c r="G4162" s="42"/>
      <c r="H4162" s="42"/>
      <c r="AG4162" s="19">
        <v>4161</v>
      </c>
      <c r="AH4162" s="20">
        <v>-37.589790128260574</v>
      </c>
    </row>
    <row r="4163" spans="1:34" ht="14.5" x14ac:dyDescent="0.35">
      <c r="A4163" s="34"/>
      <c r="B4163" s="35"/>
      <c r="C4163" s="36"/>
      <c r="D4163" s="37"/>
      <c r="E4163" s="36"/>
      <c r="F4163" s="42"/>
      <c r="G4163" s="42"/>
      <c r="H4163" s="42"/>
      <c r="AG4163" s="19">
        <v>4162</v>
      </c>
      <c r="AH4163" s="20">
        <v>-1207.1148067121605</v>
      </c>
    </row>
    <row r="4164" spans="1:34" ht="14.5" x14ac:dyDescent="0.35">
      <c r="A4164" s="34"/>
      <c r="B4164" s="35"/>
      <c r="C4164" s="36"/>
      <c r="D4164" s="37"/>
      <c r="E4164" s="36"/>
      <c r="F4164" s="42"/>
      <c r="G4164" s="42"/>
      <c r="H4164" s="42"/>
      <c r="AG4164" s="19">
        <v>4163</v>
      </c>
      <c r="AH4164" s="20">
        <v>-1154.8823004499338</v>
      </c>
    </row>
    <row r="4165" spans="1:34" ht="14.5" x14ac:dyDescent="0.35">
      <c r="A4165" s="34"/>
      <c r="B4165" s="35"/>
      <c r="C4165" s="36"/>
      <c r="D4165" s="37"/>
      <c r="E4165" s="36"/>
      <c r="F4165" s="42"/>
      <c r="G4165" s="42"/>
      <c r="H4165" s="42"/>
      <c r="AG4165" s="19">
        <v>4164</v>
      </c>
      <c r="AH4165" s="20">
        <v>3571.6293484985508</v>
      </c>
    </row>
    <row r="4166" spans="1:34" ht="14.5" x14ac:dyDescent="0.35">
      <c r="A4166" s="34"/>
      <c r="B4166" s="35"/>
      <c r="C4166" s="36"/>
      <c r="D4166" s="37"/>
      <c r="E4166" s="36"/>
      <c r="F4166" s="42"/>
      <c r="G4166" s="42"/>
      <c r="H4166" s="42"/>
      <c r="AG4166" s="19">
        <v>4165</v>
      </c>
      <c r="AH4166" s="20">
        <v>-161.6416133918521</v>
      </c>
    </row>
    <row r="4167" spans="1:34" ht="14.5" x14ac:dyDescent="0.35">
      <c r="A4167" s="34"/>
      <c r="B4167" s="35"/>
      <c r="C4167" s="36"/>
      <c r="D4167" s="37"/>
      <c r="E4167" s="36"/>
      <c r="F4167" s="42"/>
      <c r="G4167" s="42"/>
      <c r="H4167" s="42"/>
      <c r="AG4167" s="19">
        <v>4166</v>
      </c>
      <c r="AH4167" s="20">
        <v>-236.9334549924377</v>
      </c>
    </row>
    <row r="4168" spans="1:34" ht="14.5" x14ac:dyDescent="0.35">
      <c r="A4168" s="34"/>
      <c r="B4168" s="35"/>
      <c r="C4168" s="36"/>
      <c r="D4168" s="37"/>
      <c r="E4168" s="36"/>
      <c r="F4168" s="42"/>
      <c r="G4168" s="42"/>
      <c r="H4168" s="42"/>
      <c r="AG4168" s="19">
        <v>4167</v>
      </c>
      <c r="AH4168" s="20">
        <v>3260.9765039825352</v>
      </c>
    </row>
    <row r="4169" spans="1:34" ht="14.5" x14ac:dyDescent="0.35">
      <c r="A4169" s="34"/>
      <c r="B4169" s="35"/>
      <c r="C4169" s="36"/>
      <c r="D4169" s="37"/>
      <c r="E4169" s="36"/>
      <c r="F4169" s="42"/>
      <c r="G4169" s="42"/>
      <c r="H4169" s="42"/>
      <c r="AG4169" s="19">
        <v>4168</v>
      </c>
      <c r="AH4169" s="20">
        <v>-2951.3656274267464</v>
      </c>
    </row>
    <row r="4170" spans="1:34" ht="14.5" x14ac:dyDescent="0.35">
      <c r="A4170" s="34"/>
      <c r="B4170" s="35"/>
      <c r="C4170" s="36"/>
      <c r="D4170" s="37"/>
      <c r="E4170" s="36"/>
      <c r="F4170" s="42"/>
      <c r="G4170" s="42"/>
      <c r="H4170" s="42"/>
      <c r="AG4170" s="19">
        <v>4169</v>
      </c>
      <c r="AH4170" s="20">
        <v>1035.6763389181951</v>
      </c>
    </row>
    <row r="4171" spans="1:34" ht="14.5" x14ac:dyDescent="0.35">
      <c r="A4171" s="34"/>
      <c r="B4171" s="35"/>
      <c r="C4171" s="36"/>
      <c r="D4171" s="37"/>
      <c r="E4171" s="36"/>
      <c r="F4171" s="42"/>
      <c r="G4171" s="42"/>
      <c r="H4171" s="42"/>
      <c r="AG4171" s="19">
        <v>4170</v>
      </c>
      <c r="AH4171" s="20">
        <v>-2665.7242388432555</v>
      </c>
    </row>
    <row r="4172" spans="1:34" ht="14.5" x14ac:dyDescent="0.35">
      <c r="A4172" s="34"/>
      <c r="B4172" s="35"/>
      <c r="C4172" s="36"/>
      <c r="D4172" s="37"/>
      <c r="E4172" s="36"/>
      <c r="F4172" s="42"/>
      <c r="G4172" s="42"/>
      <c r="H4172" s="42"/>
      <c r="AG4172" s="19">
        <v>4171</v>
      </c>
      <c r="AH4172" s="20">
        <v>1355.8509770283461</v>
      </c>
    </row>
    <row r="4173" spans="1:34" ht="14.5" x14ac:dyDescent="0.35">
      <c r="A4173" s="34"/>
      <c r="B4173" s="35"/>
      <c r="C4173" s="36"/>
      <c r="D4173" s="37"/>
      <c r="E4173" s="36"/>
      <c r="F4173" s="42"/>
      <c r="G4173" s="42"/>
      <c r="H4173" s="42"/>
      <c r="AG4173" s="19">
        <v>4172</v>
      </c>
      <c r="AH4173" s="20">
        <v>-500.62824291263649</v>
      </c>
    </row>
    <row r="4174" spans="1:34" ht="14.5" x14ac:dyDescent="0.35">
      <c r="A4174" s="34"/>
      <c r="B4174" s="35"/>
      <c r="C4174" s="36"/>
      <c r="D4174" s="37"/>
      <c r="E4174" s="36"/>
      <c r="F4174" s="42"/>
      <c r="G4174" s="42"/>
      <c r="H4174" s="42"/>
      <c r="AG4174" s="19">
        <v>4173</v>
      </c>
      <c r="AH4174" s="20">
        <v>469.98143462152484</v>
      </c>
    </row>
    <row r="4175" spans="1:34" ht="14.5" x14ac:dyDescent="0.35">
      <c r="A4175" s="34"/>
      <c r="B4175" s="35"/>
      <c r="C4175" s="36"/>
      <c r="D4175" s="37"/>
      <c r="E4175" s="36"/>
      <c r="F4175" s="42"/>
      <c r="G4175" s="42"/>
      <c r="H4175" s="42"/>
      <c r="AG4175" s="19">
        <v>4174</v>
      </c>
      <c r="AH4175" s="20">
        <v>1133.8706739808395</v>
      </c>
    </row>
    <row r="4176" spans="1:34" ht="14.5" x14ac:dyDescent="0.35">
      <c r="A4176" s="34"/>
      <c r="B4176" s="35"/>
      <c r="C4176" s="36"/>
      <c r="D4176" s="37"/>
      <c r="E4176" s="36"/>
      <c r="F4176" s="42"/>
      <c r="G4176" s="42"/>
      <c r="H4176" s="42"/>
      <c r="AG4176" s="19">
        <v>4175</v>
      </c>
      <c r="AH4176" s="20">
        <v>-440.69118426091285</v>
      </c>
    </row>
    <row r="4177" spans="1:34" ht="14.5" x14ac:dyDescent="0.35">
      <c r="A4177" s="34"/>
      <c r="B4177" s="35"/>
      <c r="C4177" s="36"/>
      <c r="D4177" s="37"/>
      <c r="E4177" s="36"/>
      <c r="F4177" s="42"/>
      <c r="G4177" s="42"/>
      <c r="H4177" s="42"/>
      <c r="AG4177" s="19">
        <v>4176</v>
      </c>
      <c r="AH4177" s="20">
        <v>112.41349686654803</v>
      </c>
    </row>
    <row r="4178" spans="1:34" ht="14.5" x14ac:dyDescent="0.35">
      <c r="A4178" s="34"/>
      <c r="B4178" s="35"/>
      <c r="C4178" s="36"/>
      <c r="D4178" s="37"/>
      <c r="E4178" s="36"/>
      <c r="F4178" s="42"/>
      <c r="G4178" s="42"/>
      <c r="H4178" s="42"/>
      <c r="AG4178" s="19">
        <v>4177</v>
      </c>
      <c r="AH4178" s="20">
        <v>-1576.3736750795017</v>
      </c>
    </row>
    <row r="4179" spans="1:34" ht="14.5" x14ac:dyDescent="0.35">
      <c r="A4179" s="34"/>
      <c r="B4179" s="35"/>
      <c r="C4179" s="36"/>
      <c r="D4179" s="37"/>
      <c r="E4179" s="36"/>
      <c r="F4179" s="42"/>
      <c r="G4179" s="42"/>
      <c r="H4179" s="42"/>
      <c r="AG4179" s="19">
        <v>4178</v>
      </c>
      <c r="AH4179" s="20">
        <v>1527.3807064769169</v>
      </c>
    </row>
    <row r="4180" spans="1:34" ht="14.5" x14ac:dyDescent="0.35">
      <c r="A4180" s="34"/>
      <c r="B4180" s="35"/>
      <c r="C4180" s="36"/>
      <c r="D4180" s="37"/>
      <c r="E4180" s="36"/>
      <c r="F4180" s="42"/>
      <c r="G4180" s="42"/>
      <c r="H4180" s="42"/>
      <c r="AG4180" s="19">
        <v>4179</v>
      </c>
      <c r="AH4180" s="20">
        <v>-499.72301296363611</v>
      </c>
    </row>
    <row r="4181" spans="1:34" ht="14.5" x14ac:dyDescent="0.35">
      <c r="A4181" s="34"/>
      <c r="B4181" s="35"/>
      <c r="C4181" s="36"/>
      <c r="D4181" s="37"/>
      <c r="E4181" s="36"/>
      <c r="F4181" s="42"/>
      <c r="G4181" s="42"/>
      <c r="H4181" s="42"/>
      <c r="AG4181" s="19">
        <v>4180</v>
      </c>
      <c r="AH4181" s="20">
        <v>-387.04529986882204</v>
      </c>
    </row>
    <row r="4182" spans="1:34" ht="14.5" x14ac:dyDescent="0.35">
      <c r="A4182" s="34"/>
      <c r="B4182" s="35"/>
      <c r="C4182" s="36"/>
      <c r="D4182" s="37"/>
      <c r="E4182" s="36"/>
      <c r="F4182" s="42"/>
      <c r="G4182" s="42"/>
      <c r="H4182" s="42"/>
      <c r="AG4182" s="19">
        <v>4181</v>
      </c>
      <c r="AH4182" s="20">
        <v>-765.68332599443829</v>
      </c>
    </row>
    <row r="4183" spans="1:34" ht="14.5" x14ac:dyDescent="0.35">
      <c r="A4183" s="34"/>
      <c r="B4183" s="35"/>
      <c r="C4183" s="36"/>
      <c r="D4183" s="37"/>
      <c r="E4183" s="36"/>
      <c r="F4183" s="42"/>
      <c r="G4183" s="42"/>
      <c r="H4183" s="42"/>
      <c r="AG4183" s="19">
        <v>4182</v>
      </c>
      <c r="AH4183" s="20">
        <v>1369.6552442990799</v>
      </c>
    </row>
    <row r="4184" spans="1:34" ht="14.5" x14ac:dyDescent="0.35">
      <c r="A4184" s="34"/>
      <c r="B4184" s="35"/>
      <c r="C4184" s="36"/>
      <c r="D4184" s="37"/>
      <c r="E4184" s="36"/>
      <c r="F4184" s="42"/>
      <c r="G4184" s="42"/>
      <c r="H4184" s="42"/>
      <c r="AG4184" s="19">
        <v>4183</v>
      </c>
      <c r="AH4184" s="20">
        <v>-1885.9644870070958</v>
      </c>
    </row>
    <row r="4185" spans="1:34" ht="14.5" x14ac:dyDescent="0.35">
      <c r="A4185" s="34"/>
      <c r="B4185" s="35"/>
      <c r="C4185" s="36"/>
      <c r="D4185" s="37"/>
      <c r="E4185" s="36"/>
      <c r="F4185" s="42"/>
      <c r="G4185" s="42"/>
      <c r="H4185" s="42"/>
      <c r="AG4185" s="19">
        <v>4184</v>
      </c>
      <c r="AH4185" s="20">
        <v>2966.9854203571608</v>
      </c>
    </row>
    <row r="4186" spans="1:34" ht="14.5" x14ac:dyDescent="0.35">
      <c r="A4186" s="34"/>
      <c r="B4186" s="35"/>
      <c r="C4186" s="36"/>
      <c r="D4186" s="37"/>
      <c r="E4186" s="36"/>
      <c r="F4186" s="42"/>
      <c r="G4186" s="42"/>
      <c r="H4186" s="42"/>
      <c r="AG4186" s="19">
        <v>4185</v>
      </c>
      <c r="AH4186" s="20">
        <v>1621.9047046173439</v>
      </c>
    </row>
    <row r="4187" spans="1:34" ht="14.5" x14ac:dyDescent="0.35">
      <c r="A4187" s="34"/>
      <c r="B4187" s="35"/>
      <c r="C4187" s="36"/>
      <c r="D4187" s="37"/>
      <c r="E4187" s="36"/>
      <c r="F4187" s="42"/>
      <c r="G4187" s="42"/>
      <c r="H4187" s="42"/>
      <c r="AG4187" s="19">
        <v>4186</v>
      </c>
      <c r="AH4187" s="20">
        <v>4217.0846908736576</v>
      </c>
    </row>
    <row r="4188" spans="1:34" ht="14.5" x14ac:dyDescent="0.35">
      <c r="A4188" s="34"/>
      <c r="B4188" s="35"/>
      <c r="C4188" s="36"/>
      <c r="D4188" s="37"/>
      <c r="E4188" s="36"/>
      <c r="F4188" s="42"/>
      <c r="G4188" s="42"/>
      <c r="H4188" s="42"/>
      <c r="AG4188" s="19">
        <v>4187</v>
      </c>
      <c r="AH4188" s="20">
        <v>-563.64197833481444</v>
      </c>
    </row>
    <row r="4189" spans="1:34" ht="14.5" x14ac:dyDescent="0.35">
      <c r="A4189" s="34"/>
      <c r="B4189" s="35"/>
      <c r="C4189" s="36"/>
      <c r="D4189" s="37"/>
      <c r="E4189" s="36"/>
      <c r="F4189" s="42"/>
      <c r="G4189" s="42"/>
      <c r="H4189" s="42"/>
      <c r="AG4189" s="19">
        <v>4188</v>
      </c>
      <c r="AH4189" s="20">
        <v>244.67749222641876</v>
      </c>
    </row>
    <row r="4190" spans="1:34" ht="14.5" x14ac:dyDescent="0.35">
      <c r="A4190" s="34"/>
      <c r="B4190" s="35"/>
      <c r="C4190" s="36"/>
      <c r="D4190" s="37"/>
      <c r="E4190" s="36"/>
      <c r="F4190" s="42"/>
      <c r="G4190" s="42"/>
      <c r="H4190" s="42"/>
      <c r="AG4190" s="19">
        <v>4189</v>
      </c>
      <c r="AH4190" s="20">
        <v>3165.163390401422</v>
      </c>
    </row>
    <row r="4191" spans="1:34" ht="14.5" x14ac:dyDescent="0.35">
      <c r="A4191" s="34"/>
      <c r="B4191" s="35"/>
      <c r="C4191" s="36"/>
      <c r="D4191" s="37"/>
      <c r="E4191" s="36"/>
      <c r="F4191" s="42"/>
      <c r="G4191" s="42"/>
      <c r="H4191" s="42"/>
      <c r="AG4191" s="19">
        <v>4190</v>
      </c>
      <c r="AH4191" s="20">
        <v>4086.0258935832198</v>
      </c>
    </row>
    <row r="4192" spans="1:34" ht="14.5" x14ac:dyDescent="0.35">
      <c r="A4192" s="34"/>
      <c r="B4192" s="35"/>
      <c r="C4192" s="36"/>
      <c r="D4192" s="37"/>
      <c r="E4192" s="36"/>
      <c r="F4192" s="42"/>
      <c r="G4192" s="42"/>
      <c r="H4192" s="42"/>
      <c r="AG4192" s="19">
        <v>4191</v>
      </c>
      <c r="AH4192" s="20">
        <v>2510.5350885738831</v>
      </c>
    </row>
    <row r="4193" spans="1:34" ht="14.5" x14ac:dyDescent="0.35">
      <c r="A4193" s="34"/>
      <c r="B4193" s="35"/>
      <c r="C4193" s="36"/>
      <c r="D4193" s="37"/>
      <c r="E4193" s="36"/>
      <c r="F4193" s="42"/>
      <c r="G4193" s="42"/>
      <c r="H4193" s="42"/>
      <c r="AG4193" s="19">
        <v>4192</v>
      </c>
      <c r="AH4193" s="20">
        <v>1678.3010412888857</v>
      </c>
    </row>
    <row r="4194" spans="1:34" ht="14.5" x14ac:dyDescent="0.35">
      <c r="A4194" s="34"/>
      <c r="B4194" s="35"/>
      <c r="C4194" s="36"/>
      <c r="D4194" s="37"/>
      <c r="E4194" s="36"/>
      <c r="F4194" s="42"/>
      <c r="G4194" s="42"/>
      <c r="H4194" s="42"/>
      <c r="AG4194" s="19">
        <v>4193</v>
      </c>
      <c r="AH4194" s="20">
        <v>-1386.6677128823958</v>
      </c>
    </row>
    <row r="4195" spans="1:34" ht="14.5" x14ac:dyDescent="0.35">
      <c r="A4195" s="34"/>
      <c r="B4195" s="35"/>
      <c r="C4195" s="36"/>
      <c r="D4195" s="37"/>
      <c r="E4195" s="36"/>
      <c r="F4195" s="42"/>
      <c r="G4195" s="42"/>
      <c r="H4195" s="42"/>
      <c r="AG4195" s="19">
        <v>4194</v>
      </c>
      <c r="AH4195" s="20">
        <v>1526.9104121283401</v>
      </c>
    </row>
    <row r="4196" spans="1:34" ht="14.5" x14ac:dyDescent="0.35">
      <c r="A4196" s="34"/>
      <c r="B4196" s="35"/>
      <c r="C4196" s="36"/>
      <c r="D4196" s="37"/>
      <c r="E4196" s="36"/>
      <c r="F4196" s="42"/>
      <c r="G4196" s="42"/>
      <c r="H4196" s="42"/>
      <c r="AG4196" s="19">
        <v>4195</v>
      </c>
      <c r="AH4196" s="20">
        <v>2609.2998877436844</v>
      </c>
    </row>
    <row r="4197" spans="1:34" ht="14.5" x14ac:dyDescent="0.35">
      <c r="A4197" s="34"/>
      <c r="B4197" s="35"/>
      <c r="C4197" s="36"/>
      <c r="D4197" s="37"/>
      <c r="E4197" s="36"/>
      <c r="F4197" s="42"/>
      <c r="G4197" s="42"/>
      <c r="H4197" s="42"/>
      <c r="AG4197" s="19">
        <v>4196</v>
      </c>
      <c r="AH4197" s="20">
        <v>-290.55388341980114</v>
      </c>
    </row>
    <row r="4198" spans="1:34" ht="14.5" x14ac:dyDescent="0.35">
      <c r="A4198" s="34"/>
      <c r="B4198" s="35"/>
      <c r="C4198" s="36"/>
      <c r="D4198" s="37"/>
      <c r="E4198" s="36"/>
      <c r="F4198" s="42"/>
      <c r="G4198" s="42"/>
      <c r="H4198" s="42"/>
      <c r="AG4198" s="19">
        <v>4197</v>
      </c>
      <c r="AH4198" s="20">
        <v>1916.5902111361424</v>
      </c>
    </row>
    <row r="4199" spans="1:34" ht="14.5" x14ac:dyDescent="0.35">
      <c r="A4199" s="34"/>
      <c r="B4199" s="35"/>
      <c r="C4199" s="36"/>
      <c r="D4199" s="37"/>
      <c r="E4199" s="36"/>
      <c r="F4199" s="42"/>
      <c r="G4199" s="42"/>
      <c r="H4199" s="42"/>
      <c r="AG4199" s="19">
        <v>4198</v>
      </c>
      <c r="AH4199" s="20">
        <v>497.18829899425259</v>
      </c>
    </row>
    <row r="4200" spans="1:34" ht="14.5" x14ac:dyDescent="0.35">
      <c r="A4200" s="34"/>
      <c r="B4200" s="35"/>
      <c r="C4200" s="36"/>
      <c r="D4200" s="37"/>
      <c r="E4200" s="36"/>
      <c r="F4200" s="42"/>
      <c r="G4200" s="42"/>
      <c r="H4200" s="42"/>
      <c r="AG4200" s="19">
        <v>4199</v>
      </c>
      <c r="AH4200" s="20">
        <v>-1126.3517370838858</v>
      </c>
    </row>
    <row r="4201" spans="1:34" ht="14.5" x14ac:dyDescent="0.35">
      <c r="A4201" s="34"/>
      <c r="B4201" s="35"/>
      <c r="C4201" s="36"/>
      <c r="D4201" s="37"/>
      <c r="E4201" s="36"/>
      <c r="F4201" s="42"/>
      <c r="G4201" s="42"/>
      <c r="H4201" s="42"/>
      <c r="AG4201" s="19">
        <v>4200</v>
      </c>
      <c r="AH4201" s="20">
        <v>2760.053578145451</v>
      </c>
    </row>
    <row r="4202" spans="1:34" ht="14.5" x14ac:dyDescent="0.35">
      <c r="A4202" s="34"/>
      <c r="B4202" s="35"/>
      <c r="C4202" s="36"/>
      <c r="D4202" s="37"/>
      <c r="E4202" s="36"/>
      <c r="F4202" s="42"/>
      <c r="G4202" s="42"/>
      <c r="H4202" s="42"/>
      <c r="AG4202" s="19">
        <v>4201</v>
      </c>
      <c r="AH4202" s="20">
        <v>915.343963409862</v>
      </c>
    </row>
    <row r="4203" spans="1:34" ht="14.5" x14ac:dyDescent="0.35">
      <c r="A4203" s="34"/>
      <c r="B4203" s="35"/>
      <c r="C4203" s="36"/>
      <c r="D4203" s="37"/>
      <c r="E4203" s="36"/>
      <c r="F4203" s="42"/>
      <c r="G4203" s="42"/>
      <c r="H4203" s="42"/>
      <c r="AG4203" s="19">
        <v>4202</v>
      </c>
      <c r="AH4203" s="20">
        <v>2866.4630191474794</v>
      </c>
    </row>
    <row r="4204" spans="1:34" ht="14.5" x14ac:dyDescent="0.35">
      <c r="A4204" s="34"/>
      <c r="B4204" s="35"/>
      <c r="C4204" s="36"/>
      <c r="D4204" s="37"/>
      <c r="E4204" s="36"/>
      <c r="F4204" s="42"/>
      <c r="G4204" s="42"/>
      <c r="H4204" s="42"/>
      <c r="AG4204" s="19">
        <v>4203</v>
      </c>
      <c r="AH4204" s="20">
        <v>-1665.032780004133</v>
      </c>
    </row>
    <row r="4205" spans="1:34" ht="14.5" x14ac:dyDescent="0.35">
      <c r="A4205" s="34"/>
      <c r="B4205" s="35"/>
      <c r="C4205" s="36"/>
      <c r="D4205" s="37"/>
      <c r="E4205" s="36"/>
      <c r="F4205" s="42"/>
      <c r="G4205" s="42"/>
      <c r="H4205" s="42"/>
      <c r="AG4205" s="19">
        <v>4204</v>
      </c>
      <c r="AH4205" s="20">
        <v>1772.4216628800041</v>
      </c>
    </row>
    <row r="4206" spans="1:34" ht="14.5" x14ac:dyDescent="0.35">
      <c r="A4206" s="34"/>
      <c r="B4206" s="35"/>
      <c r="C4206" s="36"/>
      <c r="D4206" s="37"/>
      <c r="E4206" s="36"/>
      <c r="F4206" s="42"/>
      <c r="G4206" s="42"/>
      <c r="H4206" s="42"/>
      <c r="AG4206" s="19">
        <v>4205</v>
      </c>
      <c r="AH4206" s="20">
        <v>-2533.7934422489034</v>
      </c>
    </row>
    <row r="4207" spans="1:34" ht="14.5" x14ac:dyDescent="0.35">
      <c r="A4207" s="34"/>
      <c r="B4207" s="35"/>
      <c r="C4207" s="36"/>
      <c r="D4207" s="37"/>
      <c r="E4207" s="36"/>
      <c r="F4207" s="42"/>
      <c r="G4207" s="42"/>
      <c r="H4207" s="42"/>
      <c r="AG4207" s="19">
        <v>4206</v>
      </c>
      <c r="AH4207" s="20">
        <v>1421.7826354684557</v>
      </c>
    </row>
    <row r="4208" spans="1:34" ht="14.5" x14ac:dyDescent="0.35">
      <c r="A4208" s="34"/>
      <c r="B4208" s="35"/>
      <c r="C4208" s="36"/>
      <c r="D4208" s="37"/>
      <c r="E4208" s="36"/>
      <c r="F4208" s="42"/>
      <c r="G4208" s="42"/>
      <c r="H4208" s="42"/>
      <c r="AG4208" s="19">
        <v>4207</v>
      </c>
      <c r="AH4208" s="20">
        <v>-781.21377492215856</v>
      </c>
    </row>
    <row r="4209" spans="1:34" ht="14.5" x14ac:dyDescent="0.35">
      <c r="A4209" s="34"/>
      <c r="B4209" s="35"/>
      <c r="C4209" s="36"/>
      <c r="D4209" s="37"/>
      <c r="E4209" s="36"/>
      <c r="F4209" s="42"/>
      <c r="G4209" s="42"/>
      <c r="H4209" s="42"/>
      <c r="AG4209" s="19">
        <v>4208</v>
      </c>
      <c r="AH4209" s="20">
        <v>1521.8592940594424</v>
      </c>
    </row>
    <row r="4210" spans="1:34" ht="14.5" x14ac:dyDescent="0.35">
      <c r="A4210" s="34"/>
      <c r="B4210" s="35"/>
      <c r="C4210" s="36"/>
      <c r="D4210" s="37"/>
      <c r="E4210" s="36"/>
      <c r="F4210" s="42"/>
      <c r="G4210" s="42"/>
      <c r="H4210" s="42"/>
      <c r="AG4210" s="19">
        <v>4209</v>
      </c>
      <c r="AH4210" s="20">
        <v>1106.5057986541872</v>
      </c>
    </row>
    <row r="4211" spans="1:34" ht="14.5" x14ac:dyDescent="0.35">
      <c r="A4211" s="34"/>
      <c r="B4211" s="35"/>
      <c r="C4211" s="36"/>
      <c r="D4211" s="37"/>
      <c r="E4211" s="36"/>
      <c r="F4211" s="42"/>
      <c r="G4211" s="42"/>
      <c r="H4211" s="42"/>
      <c r="AG4211" s="19">
        <v>4210</v>
      </c>
      <c r="AH4211" s="20">
        <v>-2927.5813344381309</v>
      </c>
    </row>
    <row r="4212" spans="1:34" ht="14.5" x14ac:dyDescent="0.35">
      <c r="A4212" s="34"/>
      <c r="B4212" s="35"/>
      <c r="C4212" s="36"/>
      <c r="D4212" s="37"/>
      <c r="E4212" s="36"/>
      <c r="F4212" s="42"/>
      <c r="G4212" s="42"/>
      <c r="H4212" s="42"/>
      <c r="AG4212" s="19">
        <v>4211</v>
      </c>
      <c r="AH4212" s="20">
        <v>-1424.5143808886892</v>
      </c>
    </row>
    <row r="4213" spans="1:34" ht="14.5" x14ac:dyDescent="0.35">
      <c r="A4213" s="34"/>
      <c r="B4213" s="35"/>
      <c r="C4213" s="36"/>
      <c r="D4213" s="37"/>
      <c r="E4213" s="36"/>
      <c r="F4213" s="42"/>
      <c r="G4213" s="42"/>
      <c r="H4213" s="42"/>
      <c r="AG4213" s="19">
        <v>4212</v>
      </c>
      <c r="AH4213" s="20">
        <v>1069.465696082515</v>
      </c>
    </row>
    <row r="4214" spans="1:34" ht="14.5" x14ac:dyDescent="0.35">
      <c r="A4214" s="34"/>
      <c r="B4214" s="35"/>
      <c r="C4214" s="36"/>
      <c r="D4214" s="37"/>
      <c r="E4214" s="36"/>
      <c r="F4214" s="42"/>
      <c r="G4214" s="42"/>
      <c r="H4214" s="42"/>
      <c r="AG4214" s="19">
        <v>4213</v>
      </c>
      <c r="AH4214" s="20">
        <v>-1936.2462513798698</v>
      </c>
    </row>
    <row r="4215" spans="1:34" ht="14.5" x14ac:dyDescent="0.35">
      <c r="A4215" s="34"/>
      <c r="B4215" s="35"/>
      <c r="C4215" s="36"/>
      <c r="D4215" s="37"/>
      <c r="E4215" s="36"/>
      <c r="F4215" s="42"/>
      <c r="G4215" s="42"/>
      <c r="H4215" s="42"/>
      <c r="AG4215" s="19">
        <v>4214</v>
      </c>
      <c r="AH4215" s="20">
        <v>-557.47360907151847</v>
      </c>
    </row>
    <row r="4216" spans="1:34" ht="14.5" x14ac:dyDescent="0.35">
      <c r="A4216" s="34"/>
      <c r="B4216" s="35"/>
      <c r="C4216" s="36"/>
      <c r="D4216" s="37"/>
      <c r="E4216" s="36"/>
      <c r="F4216" s="42"/>
      <c r="G4216" s="42"/>
      <c r="H4216" s="42"/>
      <c r="AG4216" s="19">
        <v>4215</v>
      </c>
      <c r="AH4216" s="20">
        <v>-1692.1129853477153</v>
      </c>
    </row>
    <row r="4217" spans="1:34" ht="14.5" x14ac:dyDescent="0.35">
      <c r="A4217" s="34"/>
      <c r="B4217" s="35"/>
      <c r="C4217" s="36"/>
      <c r="D4217" s="37"/>
      <c r="E4217" s="36"/>
      <c r="F4217" s="42"/>
      <c r="G4217" s="42"/>
      <c r="H4217" s="42"/>
      <c r="AG4217" s="19">
        <v>4216</v>
      </c>
      <c r="AH4217" s="20">
        <v>-777.38552266957163</v>
      </c>
    </row>
    <row r="4218" spans="1:34" ht="14.5" x14ac:dyDescent="0.35">
      <c r="A4218" s="34"/>
      <c r="B4218" s="35"/>
      <c r="C4218" s="36"/>
      <c r="D4218" s="37"/>
      <c r="E4218" s="36"/>
      <c r="F4218" s="42"/>
      <c r="G4218" s="42"/>
      <c r="H4218" s="42"/>
      <c r="AG4218" s="19">
        <v>4217</v>
      </c>
      <c r="AH4218" s="20">
        <v>-1155.6513510914672</v>
      </c>
    </row>
    <row r="4219" spans="1:34" ht="14.5" x14ac:dyDescent="0.35">
      <c r="A4219" s="34"/>
      <c r="B4219" s="35"/>
      <c r="C4219" s="36"/>
      <c r="D4219" s="37"/>
      <c r="E4219" s="36"/>
      <c r="F4219" s="42"/>
      <c r="G4219" s="42"/>
      <c r="H4219" s="42"/>
      <c r="AG4219" s="19">
        <v>4218</v>
      </c>
      <c r="AH4219" s="20">
        <v>1759.5819520467408</v>
      </c>
    </row>
    <row r="4220" spans="1:34" ht="14.5" x14ac:dyDescent="0.35">
      <c r="A4220" s="34"/>
      <c r="B4220" s="35"/>
      <c r="C4220" s="36"/>
      <c r="D4220" s="37"/>
      <c r="E4220" s="36"/>
      <c r="F4220" s="42"/>
      <c r="G4220" s="42"/>
      <c r="H4220" s="42"/>
      <c r="AG4220" s="19">
        <v>4219</v>
      </c>
      <c r="AH4220" s="20">
        <v>545.24737453418777</v>
      </c>
    </row>
    <row r="4221" spans="1:34" ht="14.5" x14ac:dyDescent="0.35">
      <c r="A4221" s="34"/>
      <c r="B4221" s="35"/>
      <c r="C4221" s="36"/>
      <c r="D4221" s="37"/>
      <c r="E4221" s="36"/>
      <c r="F4221" s="42"/>
      <c r="G4221" s="42"/>
      <c r="H4221" s="42"/>
      <c r="AG4221" s="19">
        <v>4220</v>
      </c>
      <c r="AH4221" s="20">
        <v>4537.869746657042</v>
      </c>
    </row>
    <row r="4222" spans="1:34" ht="14.5" x14ac:dyDescent="0.35">
      <c r="A4222" s="34"/>
      <c r="B4222" s="35"/>
      <c r="C4222" s="36"/>
      <c r="D4222" s="37"/>
      <c r="E4222" s="36"/>
      <c r="F4222" s="42"/>
      <c r="G4222" s="42"/>
      <c r="H4222" s="42"/>
      <c r="AG4222" s="19">
        <v>4221</v>
      </c>
      <c r="AH4222" s="20">
        <v>2903.2670296839669</v>
      </c>
    </row>
    <row r="4223" spans="1:34" ht="14.5" x14ac:dyDescent="0.35">
      <c r="A4223" s="34"/>
      <c r="B4223" s="35"/>
      <c r="C4223" s="36"/>
      <c r="D4223" s="37"/>
      <c r="E4223" s="36"/>
      <c r="F4223" s="42"/>
      <c r="G4223" s="42"/>
      <c r="H4223" s="42"/>
      <c r="AG4223" s="19">
        <v>4222</v>
      </c>
      <c r="AH4223" s="20">
        <v>1131.082598340849</v>
      </c>
    </row>
    <row r="4224" spans="1:34" ht="14.5" x14ac:dyDescent="0.35">
      <c r="A4224" s="34"/>
      <c r="B4224" s="35"/>
      <c r="C4224" s="36"/>
      <c r="D4224" s="37"/>
      <c r="E4224" s="36"/>
      <c r="F4224" s="42"/>
      <c r="G4224" s="42"/>
      <c r="H4224" s="42"/>
      <c r="AG4224" s="19">
        <v>4223</v>
      </c>
      <c r="AH4224" s="20">
        <v>-201.84924033580165</v>
      </c>
    </row>
    <row r="4225" spans="1:34" ht="14.5" x14ac:dyDescent="0.35">
      <c r="A4225" s="34"/>
      <c r="B4225" s="35"/>
      <c r="C4225" s="36"/>
      <c r="D4225" s="37"/>
      <c r="E4225" s="36"/>
      <c r="F4225" s="42"/>
      <c r="G4225" s="42"/>
      <c r="H4225" s="42"/>
      <c r="AG4225" s="19">
        <v>4224</v>
      </c>
      <c r="AH4225" s="20">
        <v>-2297.0796091666002</v>
      </c>
    </row>
    <row r="4226" spans="1:34" ht="14.5" x14ac:dyDescent="0.35">
      <c r="A4226" s="34"/>
      <c r="B4226" s="35"/>
      <c r="C4226" s="36"/>
      <c r="D4226" s="37"/>
      <c r="E4226" s="36"/>
      <c r="F4226" s="42"/>
      <c r="G4226" s="42"/>
      <c r="H4226" s="42"/>
      <c r="AG4226" s="19">
        <v>4225</v>
      </c>
      <c r="AH4226" s="20">
        <v>-382.38584575886279</v>
      </c>
    </row>
    <row r="4227" spans="1:34" ht="14.5" x14ac:dyDescent="0.35">
      <c r="A4227" s="34"/>
      <c r="B4227" s="35"/>
      <c r="C4227" s="36"/>
      <c r="D4227" s="37"/>
      <c r="E4227" s="36"/>
      <c r="F4227" s="42"/>
      <c r="G4227" s="42"/>
      <c r="H4227" s="42"/>
      <c r="AG4227" s="19">
        <v>4226</v>
      </c>
      <c r="AH4227" s="20">
        <v>162.85794480855236</v>
      </c>
    </row>
    <row r="4228" spans="1:34" ht="14.5" x14ac:dyDescent="0.35">
      <c r="A4228" s="34"/>
      <c r="B4228" s="35"/>
      <c r="C4228" s="36"/>
      <c r="D4228" s="37"/>
      <c r="E4228" s="36"/>
      <c r="F4228" s="42"/>
      <c r="G4228" s="42"/>
      <c r="H4228" s="42"/>
      <c r="AG4228" s="19">
        <v>4227</v>
      </c>
      <c r="AH4228" s="20">
        <v>1634.1188430177522</v>
      </c>
    </row>
    <row r="4229" spans="1:34" ht="14.5" x14ac:dyDescent="0.35">
      <c r="A4229" s="34"/>
      <c r="B4229" s="35"/>
      <c r="C4229" s="36"/>
      <c r="D4229" s="37"/>
      <c r="E4229" s="36"/>
      <c r="F4229" s="42"/>
      <c r="G4229" s="42"/>
      <c r="H4229" s="42"/>
      <c r="AG4229" s="19">
        <v>4228</v>
      </c>
      <c r="AH4229" s="20">
        <v>-2960.9822345032749</v>
      </c>
    </row>
    <row r="4230" spans="1:34" ht="14.5" x14ac:dyDescent="0.35">
      <c r="A4230" s="34"/>
      <c r="B4230" s="35"/>
      <c r="C4230" s="36"/>
      <c r="D4230" s="37"/>
      <c r="E4230" s="36"/>
      <c r="F4230" s="42"/>
      <c r="G4230" s="42"/>
      <c r="H4230" s="42"/>
      <c r="AG4230" s="19">
        <v>4229</v>
      </c>
      <c r="AH4230" s="20">
        <v>4057.2898679155401</v>
      </c>
    </row>
    <row r="4231" spans="1:34" ht="14.5" x14ac:dyDescent="0.35">
      <c r="A4231" s="34"/>
      <c r="B4231" s="35"/>
      <c r="C4231" s="36"/>
      <c r="D4231" s="37"/>
      <c r="E4231" s="36"/>
      <c r="F4231" s="42"/>
      <c r="G4231" s="42"/>
      <c r="H4231" s="42"/>
      <c r="AG4231" s="19">
        <v>4230</v>
      </c>
      <c r="AH4231" s="20">
        <v>-1950.5913159245963</v>
      </c>
    </row>
    <row r="4232" spans="1:34" ht="14.5" x14ac:dyDescent="0.35">
      <c r="A4232" s="34"/>
      <c r="B4232" s="35"/>
      <c r="C4232" s="36"/>
      <c r="D4232" s="37"/>
      <c r="E4232" s="36"/>
      <c r="F4232" s="42"/>
      <c r="G4232" s="42"/>
      <c r="H4232" s="42"/>
      <c r="AG4232" s="19">
        <v>4231</v>
      </c>
      <c r="AH4232" s="20">
        <v>1107.0123999598554</v>
      </c>
    </row>
    <row r="4233" spans="1:34" ht="14.5" x14ac:dyDescent="0.35">
      <c r="A4233" s="34"/>
      <c r="B4233" s="35"/>
      <c r="C4233" s="36"/>
      <c r="D4233" s="37"/>
      <c r="E4233" s="36"/>
      <c r="F4233" s="42"/>
      <c r="G4233" s="42"/>
      <c r="H4233" s="42"/>
      <c r="AG4233" s="19">
        <v>4232</v>
      </c>
      <c r="AH4233" s="20">
        <v>1648.5186064905547</v>
      </c>
    </row>
    <row r="4234" spans="1:34" ht="14.5" x14ac:dyDescent="0.35">
      <c r="A4234" s="34"/>
      <c r="B4234" s="35"/>
      <c r="C4234" s="36"/>
      <c r="D4234" s="37"/>
      <c r="E4234" s="36"/>
      <c r="F4234" s="42"/>
      <c r="G4234" s="42"/>
      <c r="H4234" s="42"/>
      <c r="AG4234" s="19">
        <v>4233</v>
      </c>
      <c r="AH4234" s="20">
        <v>4710.9473165356931</v>
      </c>
    </row>
    <row r="4235" spans="1:34" ht="14.5" x14ac:dyDescent="0.35">
      <c r="A4235" s="34"/>
      <c r="B4235" s="35"/>
      <c r="C4235" s="36"/>
      <c r="D4235" s="37"/>
      <c r="E4235" s="36"/>
      <c r="F4235" s="42"/>
      <c r="G4235" s="42"/>
      <c r="H4235" s="42"/>
      <c r="AG4235" s="19">
        <v>4234</v>
      </c>
      <c r="AH4235" s="20">
        <v>-425.32985108817826</v>
      </c>
    </row>
    <row r="4236" spans="1:34" ht="14.5" x14ac:dyDescent="0.35">
      <c r="A4236" s="34"/>
      <c r="B4236" s="35"/>
      <c r="C4236" s="36"/>
      <c r="D4236" s="37"/>
      <c r="E4236" s="36"/>
      <c r="F4236" s="42"/>
      <c r="G4236" s="42"/>
      <c r="H4236" s="42"/>
      <c r="AG4236" s="19">
        <v>4235</v>
      </c>
      <c r="AH4236" s="20">
        <v>-4165.8880021038158</v>
      </c>
    </row>
    <row r="4237" spans="1:34" ht="14.5" x14ac:dyDescent="0.35">
      <c r="A4237" s="34"/>
      <c r="B4237" s="35"/>
      <c r="C4237" s="36"/>
      <c r="D4237" s="37"/>
      <c r="E4237" s="36"/>
      <c r="F4237" s="42"/>
      <c r="G4237" s="42"/>
      <c r="H4237" s="42"/>
      <c r="AG4237" s="19">
        <v>4236</v>
      </c>
      <c r="AH4237" s="20">
        <v>-1394.8951411169699</v>
      </c>
    </row>
    <row r="4238" spans="1:34" ht="14.5" x14ac:dyDescent="0.35">
      <c r="A4238" s="34"/>
      <c r="B4238" s="35"/>
      <c r="C4238" s="36"/>
      <c r="D4238" s="37"/>
      <c r="E4238" s="36"/>
      <c r="F4238" s="42"/>
      <c r="G4238" s="42"/>
      <c r="H4238" s="42"/>
      <c r="AG4238" s="19">
        <v>4237</v>
      </c>
      <c r="AH4238" s="20">
        <v>-605.69922225660048</v>
      </c>
    </row>
    <row r="4239" spans="1:34" ht="14.5" x14ac:dyDescent="0.35">
      <c r="A4239" s="34"/>
      <c r="B4239" s="35"/>
      <c r="C4239" s="36"/>
      <c r="D4239" s="37"/>
      <c r="E4239" s="36"/>
      <c r="F4239" s="42"/>
      <c r="G4239" s="42"/>
      <c r="H4239" s="42"/>
      <c r="AG4239" s="19">
        <v>4238</v>
      </c>
      <c r="AH4239" s="20">
        <v>-23.979864946672649</v>
      </c>
    </row>
    <row r="4240" spans="1:34" ht="14.5" x14ac:dyDescent="0.35">
      <c r="A4240" s="34"/>
      <c r="B4240" s="35"/>
      <c r="C4240" s="36"/>
      <c r="D4240" s="37"/>
      <c r="E4240" s="36"/>
      <c r="F4240" s="42"/>
      <c r="G4240" s="42"/>
      <c r="H4240" s="42"/>
      <c r="AG4240" s="19">
        <v>4239</v>
      </c>
      <c r="AH4240" s="20">
        <v>-1768.3449602917788</v>
      </c>
    </row>
    <row r="4241" spans="1:34" ht="14.5" x14ac:dyDescent="0.35">
      <c r="A4241" s="34"/>
      <c r="B4241" s="35"/>
      <c r="C4241" s="36"/>
      <c r="D4241" s="37"/>
      <c r="E4241" s="36"/>
      <c r="F4241" s="42"/>
      <c r="G4241" s="42"/>
      <c r="H4241" s="42"/>
      <c r="AG4241" s="19">
        <v>4240</v>
      </c>
      <c r="AH4241" s="20">
        <v>-1248.0832011878397</v>
      </c>
    </row>
    <row r="4242" spans="1:34" ht="14.5" x14ac:dyDescent="0.35">
      <c r="A4242" s="34"/>
      <c r="B4242" s="35"/>
      <c r="C4242" s="36"/>
      <c r="D4242" s="37"/>
      <c r="E4242" s="36"/>
      <c r="F4242" s="42"/>
      <c r="G4242" s="42"/>
      <c r="H4242" s="42"/>
      <c r="AG4242" s="19">
        <v>4241</v>
      </c>
      <c r="AH4242" s="20">
        <v>1660.8305427676714</v>
      </c>
    </row>
    <row r="4243" spans="1:34" ht="14.5" x14ac:dyDescent="0.35">
      <c r="A4243" s="34"/>
      <c r="B4243" s="35"/>
      <c r="C4243" s="36"/>
      <c r="D4243" s="37"/>
      <c r="E4243" s="36"/>
      <c r="F4243" s="42"/>
      <c r="G4243" s="42"/>
      <c r="H4243" s="42"/>
      <c r="AG4243" s="19">
        <v>4242</v>
      </c>
      <c r="AH4243" s="20">
        <v>-3146.1607198915599</v>
      </c>
    </row>
    <row r="4244" spans="1:34" ht="14.5" x14ac:dyDescent="0.35">
      <c r="A4244" s="34"/>
      <c r="B4244" s="35"/>
      <c r="C4244" s="36"/>
      <c r="D4244" s="37"/>
      <c r="E4244" s="36"/>
      <c r="F4244" s="42"/>
      <c r="G4244" s="42"/>
      <c r="H4244" s="42"/>
      <c r="AG4244" s="19">
        <v>4243</v>
      </c>
      <c r="AH4244" s="20">
        <v>4191.829251025134</v>
      </c>
    </row>
    <row r="4245" spans="1:34" ht="14.5" x14ac:dyDescent="0.35">
      <c r="A4245" s="34"/>
      <c r="B4245" s="35"/>
      <c r="C4245" s="36"/>
      <c r="D4245" s="37"/>
      <c r="E4245" s="36"/>
      <c r="F4245" s="42"/>
      <c r="G4245" s="42"/>
      <c r="H4245" s="42"/>
      <c r="AG4245" s="19">
        <v>4244</v>
      </c>
      <c r="AH4245" s="20">
        <v>2564.2563753231848</v>
      </c>
    </row>
    <row r="4246" spans="1:34" ht="14.5" x14ac:dyDescent="0.35">
      <c r="A4246" s="34"/>
      <c r="B4246" s="35"/>
      <c r="C4246" s="36"/>
      <c r="D4246" s="37"/>
      <c r="E4246" s="36"/>
      <c r="F4246" s="42"/>
      <c r="G4246" s="42"/>
      <c r="H4246" s="42"/>
      <c r="AG4246" s="19">
        <v>4245</v>
      </c>
      <c r="AH4246" s="20">
        <v>241.71890015523408</v>
      </c>
    </row>
    <row r="4247" spans="1:34" ht="14.5" x14ac:dyDescent="0.35">
      <c r="A4247" s="34"/>
      <c r="B4247" s="35"/>
      <c r="C4247" s="36"/>
      <c r="D4247" s="37"/>
      <c r="E4247" s="36"/>
      <c r="F4247" s="42"/>
      <c r="G4247" s="42"/>
      <c r="H4247" s="42"/>
      <c r="AG4247" s="19">
        <v>4246</v>
      </c>
      <c r="AH4247" s="20">
        <v>-1849.5255165324891</v>
      </c>
    </row>
    <row r="4248" spans="1:34" ht="14.5" x14ac:dyDescent="0.35">
      <c r="A4248" s="34"/>
      <c r="B4248" s="35"/>
      <c r="C4248" s="36"/>
      <c r="D4248" s="37"/>
      <c r="E4248" s="36"/>
      <c r="F4248" s="42"/>
      <c r="G4248" s="42"/>
      <c r="H4248" s="42"/>
      <c r="AG4248" s="19">
        <v>4247</v>
      </c>
      <c r="AH4248" s="20">
        <v>809.01601083711739</v>
      </c>
    </row>
    <row r="4249" spans="1:34" ht="14.5" x14ac:dyDescent="0.35">
      <c r="A4249" s="34"/>
      <c r="B4249" s="35"/>
      <c r="C4249" s="36"/>
      <c r="D4249" s="37"/>
      <c r="E4249" s="36"/>
      <c r="F4249" s="42"/>
      <c r="G4249" s="42"/>
      <c r="H4249" s="42"/>
      <c r="AG4249" s="19">
        <v>4248</v>
      </c>
      <c r="AH4249" s="20">
        <v>2812.4277160535512</v>
      </c>
    </row>
    <row r="4250" spans="1:34" ht="14.5" x14ac:dyDescent="0.35">
      <c r="A4250" s="34"/>
      <c r="B4250" s="35"/>
      <c r="C4250" s="36"/>
      <c r="D4250" s="37"/>
      <c r="E4250" s="36"/>
      <c r="F4250" s="42"/>
      <c r="G4250" s="42"/>
      <c r="H4250" s="42"/>
      <c r="AG4250" s="19">
        <v>4249</v>
      </c>
      <c r="AH4250" s="20">
        <v>2998.7593666648022</v>
      </c>
    </row>
    <row r="4251" spans="1:34" ht="14.5" x14ac:dyDescent="0.35">
      <c r="A4251" s="34"/>
      <c r="B4251" s="35"/>
      <c r="C4251" s="36"/>
      <c r="D4251" s="37"/>
      <c r="E4251" s="36"/>
      <c r="F4251" s="42"/>
      <c r="G4251" s="42"/>
      <c r="H4251" s="42"/>
      <c r="AG4251" s="19">
        <v>4250</v>
      </c>
      <c r="AH4251" s="20">
        <v>1397.4183993667743</v>
      </c>
    </row>
    <row r="4252" spans="1:34" ht="14.5" x14ac:dyDescent="0.35">
      <c r="A4252" s="34"/>
      <c r="B4252" s="35"/>
      <c r="C4252" s="36"/>
      <c r="D4252" s="37"/>
      <c r="E4252" s="36"/>
      <c r="F4252" s="42"/>
      <c r="G4252" s="42"/>
      <c r="H4252" s="42"/>
      <c r="AG4252" s="19">
        <v>4251</v>
      </c>
      <c r="AH4252" s="20">
        <v>-531.82489843788085</v>
      </c>
    </row>
    <row r="4253" spans="1:34" ht="14.5" x14ac:dyDescent="0.35">
      <c r="A4253" s="34"/>
      <c r="B4253" s="35"/>
      <c r="C4253" s="36"/>
      <c r="D4253" s="37"/>
      <c r="E4253" s="36"/>
      <c r="F4253" s="42"/>
      <c r="G4253" s="42"/>
      <c r="H4253" s="42"/>
      <c r="AG4253" s="19">
        <v>4252</v>
      </c>
      <c r="AH4253" s="20">
        <v>-206.28943628499752</v>
      </c>
    </row>
    <row r="4254" spans="1:34" ht="14.5" x14ac:dyDescent="0.35">
      <c r="A4254" s="34"/>
      <c r="B4254" s="35"/>
      <c r="C4254" s="36"/>
      <c r="D4254" s="37"/>
      <c r="E4254" s="36"/>
      <c r="F4254" s="42"/>
      <c r="G4254" s="42"/>
      <c r="H4254" s="42"/>
      <c r="AG4254" s="19">
        <v>4253</v>
      </c>
      <c r="AH4254" s="20">
        <v>586.27138546741116</v>
      </c>
    </row>
    <row r="4255" spans="1:34" ht="14.5" x14ac:dyDescent="0.35">
      <c r="A4255" s="34"/>
      <c r="B4255" s="35"/>
      <c r="C4255" s="36"/>
      <c r="D4255" s="37"/>
      <c r="E4255" s="36"/>
      <c r="F4255" s="42"/>
      <c r="G4255" s="42"/>
      <c r="H4255" s="42"/>
      <c r="AG4255" s="19">
        <v>4254</v>
      </c>
      <c r="AH4255" s="20">
        <v>135.18690711468014</v>
      </c>
    </row>
    <row r="4256" spans="1:34" ht="14.5" x14ac:dyDescent="0.35">
      <c r="A4256" s="34"/>
      <c r="B4256" s="35"/>
      <c r="C4256" s="36"/>
      <c r="D4256" s="37"/>
      <c r="E4256" s="36"/>
      <c r="F4256" s="42"/>
      <c r="G4256" s="42"/>
      <c r="H4256" s="42"/>
      <c r="AG4256" s="19">
        <v>4255</v>
      </c>
      <c r="AH4256" s="20">
        <v>25.532793194687997</v>
      </c>
    </row>
    <row r="4257" spans="1:34" ht="14.5" x14ac:dyDescent="0.35">
      <c r="A4257" s="34"/>
      <c r="B4257" s="35"/>
      <c r="C4257" s="36"/>
      <c r="D4257" s="37"/>
      <c r="E4257" s="36"/>
      <c r="F4257" s="42"/>
      <c r="G4257" s="42"/>
      <c r="H4257" s="42"/>
      <c r="AG4257" s="19">
        <v>4256</v>
      </c>
      <c r="AH4257" s="20">
        <v>332.48939371729728</v>
      </c>
    </row>
    <row r="4258" spans="1:34" ht="14.5" x14ac:dyDescent="0.35">
      <c r="A4258" s="34"/>
      <c r="B4258" s="35"/>
      <c r="C4258" s="36"/>
      <c r="D4258" s="37"/>
      <c r="E4258" s="36"/>
      <c r="F4258" s="42"/>
      <c r="G4258" s="42"/>
      <c r="H4258" s="42"/>
      <c r="AG4258" s="19">
        <v>4257</v>
      </c>
      <c r="AH4258" s="20">
        <v>-4497.8029254102503</v>
      </c>
    </row>
    <row r="4259" spans="1:34" ht="14.5" x14ac:dyDescent="0.35">
      <c r="A4259" s="34"/>
      <c r="B4259" s="35"/>
      <c r="C4259" s="36"/>
      <c r="D4259" s="37"/>
      <c r="E4259" s="36"/>
      <c r="F4259" s="42"/>
      <c r="G4259" s="42"/>
      <c r="H4259" s="42"/>
      <c r="AG4259" s="19">
        <v>4258</v>
      </c>
      <c r="AH4259" s="20">
        <v>991.23719301882079</v>
      </c>
    </row>
    <row r="4260" spans="1:34" ht="14.5" x14ac:dyDescent="0.35">
      <c r="A4260" s="34"/>
      <c r="B4260" s="35"/>
      <c r="C4260" s="36"/>
      <c r="D4260" s="37"/>
      <c r="E4260" s="36"/>
      <c r="F4260" s="42"/>
      <c r="G4260" s="42"/>
      <c r="H4260" s="42"/>
      <c r="AG4260" s="19">
        <v>4259</v>
      </c>
      <c r="AH4260" s="20">
        <v>-904.70536959554602</v>
      </c>
    </row>
    <row r="4261" spans="1:34" ht="14.5" x14ac:dyDescent="0.35">
      <c r="A4261" s="34"/>
      <c r="B4261" s="35"/>
      <c r="C4261" s="36"/>
      <c r="D4261" s="37"/>
      <c r="E4261" s="36"/>
      <c r="F4261" s="42"/>
      <c r="G4261" s="42"/>
      <c r="H4261" s="42"/>
      <c r="AG4261" s="19">
        <v>4260</v>
      </c>
      <c r="AH4261" s="20">
        <v>-442.46609204993473</v>
      </c>
    </row>
    <row r="4262" spans="1:34" ht="14.5" x14ac:dyDescent="0.35">
      <c r="A4262" s="34"/>
      <c r="B4262" s="35"/>
      <c r="C4262" s="36"/>
      <c r="D4262" s="37"/>
      <c r="E4262" s="36"/>
      <c r="F4262" s="42"/>
      <c r="G4262" s="42"/>
      <c r="H4262" s="42"/>
      <c r="AG4262" s="19">
        <v>4261</v>
      </c>
      <c r="AH4262" s="20">
        <v>1137.9474837636551</v>
      </c>
    </row>
    <row r="4263" spans="1:34" ht="14.5" x14ac:dyDescent="0.35">
      <c r="A4263" s="34"/>
      <c r="B4263" s="35"/>
      <c r="C4263" s="36"/>
      <c r="D4263" s="37"/>
      <c r="E4263" s="36"/>
      <c r="F4263" s="42"/>
      <c r="G4263" s="42"/>
      <c r="H4263" s="42"/>
      <c r="AG4263" s="19">
        <v>4262</v>
      </c>
      <c r="AH4263" s="20">
        <v>564.54748633182896</v>
      </c>
    </row>
    <row r="4264" spans="1:34" ht="14.5" x14ac:dyDescent="0.35">
      <c r="A4264" s="34"/>
      <c r="B4264" s="35"/>
      <c r="C4264" s="36"/>
      <c r="D4264" s="37"/>
      <c r="E4264" s="36"/>
      <c r="F4264" s="42"/>
      <c r="G4264" s="42"/>
      <c r="H4264" s="42"/>
      <c r="AG4264" s="19">
        <v>4263</v>
      </c>
      <c r="AH4264" s="20">
        <v>1052.8391052489742</v>
      </c>
    </row>
    <row r="4265" spans="1:34" ht="14.5" x14ac:dyDescent="0.35">
      <c r="A4265" s="34"/>
      <c r="B4265" s="35"/>
      <c r="C4265" s="36"/>
      <c r="D4265" s="37"/>
      <c r="E4265" s="36"/>
      <c r="F4265" s="42"/>
      <c r="G4265" s="42"/>
      <c r="H4265" s="42"/>
      <c r="AG4265" s="19">
        <v>4264</v>
      </c>
      <c r="AH4265" s="20">
        <v>862.76155124531658</v>
      </c>
    </row>
    <row r="4266" spans="1:34" ht="14.5" x14ac:dyDescent="0.35">
      <c r="A4266" s="34"/>
      <c r="B4266" s="35"/>
      <c r="C4266" s="36"/>
      <c r="D4266" s="37"/>
      <c r="E4266" s="36"/>
      <c r="F4266" s="42"/>
      <c r="G4266" s="42"/>
      <c r="H4266" s="42"/>
      <c r="AG4266" s="19">
        <v>4265</v>
      </c>
      <c r="AH4266" s="20">
        <v>1477.6257884062352</v>
      </c>
    </row>
    <row r="4267" spans="1:34" ht="14.5" x14ac:dyDescent="0.35">
      <c r="A4267" s="34"/>
      <c r="B4267" s="35"/>
      <c r="C4267" s="36"/>
      <c r="D4267" s="37"/>
      <c r="E4267" s="36"/>
      <c r="F4267" s="42"/>
      <c r="G4267" s="42"/>
      <c r="H4267" s="42"/>
      <c r="AG4267" s="19">
        <v>4266</v>
      </c>
      <c r="AH4267" s="20">
        <v>-490.33937128591737</v>
      </c>
    </row>
    <row r="4268" spans="1:34" ht="14.5" x14ac:dyDescent="0.35">
      <c r="A4268" s="34"/>
      <c r="B4268" s="35"/>
      <c r="C4268" s="36"/>
      <c r="D4268" s="37"/>
      <c r="E4268" s="36"/>
      <c r="F4268" s="42"/>
      <c r="G4268" s="42"/>
      <c r="H4268" s="42"/>
      <c r="AG4268" s="19">
        <v>4267</v>
      </c>
      <c r="AH4268" s="20">
        <v>1117.3886541471734</v>
      </c>
    </row>
    <row r="4269" spans="1:34" ht="14.5" x14ac:dyDescent="0.35">
      <c r="A4269" s="34"/>
      <c r="B4269" s="35"/>
      <c r="C4269" s="36"/>
      <c r="D4269" s="37"/>
      <c r="E4269" s="36"/>
      <c r="F4269" s="42"/>
      <c r="G4269" s="42"/>
      <c r="H4269" s="42"/>
      <c r="AG4269" s="19">
        <v>4268</v>
      </c>
      <c r="AH4269" s="20">
        <v>1635.4110943211538</v>
      </c>
    </row>
    <row r="4270" spans="1:34" ht="14.5" x14ac:dyDescent="0.35">
      <c r="A4270" s="34"/>
      <c r="B4270" s="35"/>
      <c r="C4270" s="36"/>
      <c r="D4270" s="37"/>
      <c r="E4270" s="36"/>
      <c r="F4270" s="42"/>
      <c r="G4270" s="42"/>
      <c r="H4270" s="42"/>
      <c r="AG4270" s="19">
        <v>4269</v>
      </c>
      <c r="AH4270" s="20">
        <v>1754.0310240218068</v>
      </c>
    </row>
    <row r="4271" spans="1:34" ht="14.5" x14ac:dyDescent="0.35">
      <c r="A4271" s="34"/>
      <c r="B4271" s="35"/>
      <c r="C4271" s="36"/>
      <c r="D4271" s="37"/>
      <c r="E4271" s="36"/>
      <c r="F4271" s="42"/>
      <c r="G4271" s="42"/>
      <c r="H4271" s="42"/>
      <c r="AG4271" s="19">
        <v>4270</v>
      </c>
      <c r="AH4271" s="20">
        <v>-199.4570358089606</v>
      </c>
    </row>
    <row r="4272" spans="1:34" ht="14.5" x14ac:dyDescent="0.35">
      <c r="A4272" s="34"/>
      <c r="B4272" s="35"/>
      <c r="C4272" s="36"/>
      <c r="D4272" s="37"/>
      <c r="E4272" s="36"/>
      <c r="F4272" s="42"/>
      <c r="G4272" s="42"/>
      <c r="H4272" s="42"/>
      <c r="AG4272" s="19">
        <v>4271</v>
      </c>
      <c r="AH4272" s="20">
        <v>190.83115468029092</v>
      </c>
    </row>
    <row r="4273" spans="1:34" ht="14.5" x14ac:dyDescent="0.35">
      <c r="A4273" s="34"/>
      <c r="B4273" s="35"/>
      <c r="C4273" s="36"/>
      <c r="D4273" s="37"/>
      <c r="E4273" s="36"/>
      <c r="F4273" s="42"/>
      <c r="G4273" s="42"/>
      <c r="H4273" s="42"/>
      <c r="AG4273" s="19">
        <v>4272</v>
      </c>
      <c r="AH4273" s="20">
        <v>-597.2162507448179</v>
      </c>
    </row>
    <row r="4274" spans="1:34" ht="14.5" x14ac:dyDescent="0.35">
      <c r="A4274" s="34"/>
      <c r="B4274" s="35"/>
      <c r="C4274" s="36"/>
      <c r="D4274" s="37"/>
      <c r="E4274" s="36"/>
      <c r="F4274" s="42"/>
      <c r="G4274" s="42"/>
      <c r="H4274" s="42"/>
      <c r="AG4274" s="19">
        <v>4273</v>
      </c>
      <c r="AH4274" s="20">
        <v>4793.7111590901823</v>
      </c>
    </row>
    <row r="4275" spans="1:34" ht="14.5" x14ac:dyDescent="0.35">
      <c r="A4275" s="34"/>
      <c r="B4275" s="35"/>
      <c r="C4275" s="36"/>
      <c r="D4275" s="37"/>
      <c r="E4275" s="36"/>
      <c r="F4275" s="42"/>
      <c r="G4275" s="42"/>
      <c r="H4275" s="42"/>
      <c r="AG4275" s="19">
        <v>4274</v>
      </c>
      <c r="AH4275" s="20">
        <v>963.17904938839547</v>
      </c>
    </row>
    <row r="4276" spans="1:34" ht="14.5" x14ac:dyDescent="0.35">
      <c r="A4276" s="34"/>
      <c r="B4276" s="35"/>
      <c r="C4276" s="36"/>
      <c r="D4276" s="37"/>
      <c r="E4276" s="36"/>
      <c r="F4276" s="42"/>
      <c r="G4276" s="42"/>
      <c r="H4276" s="42"/>
      <c r="AG4276" s="19">
        <v>4275</v>
      </c>
      <c r="AH4276" s="20">
        <v>-1602.3395299152426</v>
      </c>
    </row>
    <row r="4277" spans="1:34" ht="14.5" x14ac:dyDescent="0.35">
      <c r="A4277" s="34"/>
      <c r="B4277" s="35"/>
      <c r="C4277" s="36"/>
      <c r="D4277" s="37"/>
      <c r="E4277" s="36"/>
      <c r="F4277" s="42"/>
      <c r="G4277" s="42"/>
      <c r="H4277" s="42"/>
      <c r="AG4277" s="19">
        <v>4276</v>
      </c>
      <c r="AH4277" s="20">
        <v>1180.5629059174735</v>
      </c>
    </row>
    <row r="4278" spans="1:34" ht="14.5" x14ac:dyDescent="0.35">
      <c r="A4278" s="34"/>
      <c r="B4278" s="35"/>
      <c r="C4278" s="36"/>
      <c r="D4278" s="37"/>
      <c r="E4278" s="36"/>
      <c r="F4278" s="42"/>
      <c r="G4278" s="42"/>
      <c r="H4278" s="42"/>
      <c r="AG4278" s="19">
        <v>4277</v>
      </c>
      <c r="AH4278" s="20">
        <v>466.73222474582076</v>
      </c>
    </row>
    <row r="4279" spans="1:34" ht="14.5" x14ac:dyDescent="0.35">
      <c r="A4279" s="34"/>
      <c r="B4279" s="35"/>
      <c r="C4279" s="36"/>
      <c r="D4279" s="37"/>
      <c r="E4279" s="36"/>
      <c r="F4279" s="42"/>
      <c r="G4279" s="42"/>
      <c r="H4279" s="42"/>
      <c r="AG4279" s="19">
        <v>4278</v>
      </c>
      <c r="AH4279" s="20">
        <v>-209.4229986032588</v>
      </c>
    </row>
    <row r="4280" spans="1:34" ht="14.5" x14ac:dyDescent="0.35">
      <c r="A4280" s="34"/>
      <c r="B4280" s="35"/>
      <c r="C4280" s="36"/>
      <c r="D4280" s="37"/>
      <c r="E4280" s="36"/>
      <c r="F4280" s="42"/>
      <c r="G4280" s="42"/>
      <c r="H4280" s="42"/>
      <c r="AG4280" s="19">
        <v>4279</v>
      </c>
      <c r="AH4280" s="20">
        <v>-297.30743894637413</v>
      </c>
    </row>
    <row r="4281" spans="1:34" ht="14.5" x14ac:dyDescent="0.35">
      <c r="A4281" s="34"/>
      <c r="B4281" s="35"/>
      <c r="C4281" s="36"/>
      <c r="D4281" s="37"/>
      <c r="E4281" s="36"/>
      <c r="F4281" s="42"/>
      <c r="G4281" s="42"/>
      <c r="H4281" s="42"/>
      <c r="AG4281" s="19">
        <v>4280</v>
      </c>
      <c r="AH4281" s="20">
        <v>2665.7770940471842</v>
      </c>
    </row>
    <row r="4282" spans="1:34" ht="14.5" x14ac:dyDescent="0.35">
      <c r="A4282" s="34"/>
      <c r="B4282" s="35"/>
      <c r="C4282" s="36"/>
      <c r="D4282" s="37"/>
      <c r="E4282" s="36"/>
      <c r="F4282" s="42"/>
      <c r="G4282" s="42"/>
      <c r="H4282" s="42"/>
      <c r="AG4282" s="19">
        <v>4281</v>
      </c>
      <c r="AH4282" s="20">
        <v>-492.83578638054445</v>
      </c>
    </row>
    <row r="4283" spans="1:34" ht="14.5" x14ac:dyDescent="0.35">
      <c r="A4283" s="34"/>
      <c r="B4283" s="35"/>
      <c r="C4283" s="36"/>
      <c r="D4283" s="37"/>
      <c r="E4283" s="36"/>
      <c r="F4283" s="42"/>
      <c r="G4283" s="42"/>
      <c r="H4283" s="42"/>
      <c r="AG4283" s="19">
        <v>4282</v>
      </c>
      <c r="AH4283" s="20">
        <v>-1181.9745831797359</v>
      </c>
    </row>
    <row r="4284" spans="1:34" ht="14.5" x14ac:dyDescent="0.35">
      <c r="A4284" s="34"/>
      <c r="B4284" s="35"/>
      <c r="C4284" s="36"/>
      <c r="D4284" s="37"/>
      <c r="E4284" s="36"/>
      <c r="F4284" s="42"/>
      <c r="G4284" s="42"/>
      <c r="H4284" s="42"/>
      <c r="AG4284" s="19">
        <v>4283</v>
      </c>
      <c r="AH4284" s="20">
        <v>-1533.3154102750132</v>
      </c>
    </row>
    <row r="4285" spans="1:34" ht="14.5" x14ac:dyDescent="0.35">
      <c r="A4285" s="34"/>
      <c r="B4285" s="35"/>
      <c r="C4285" s="36"/>
      <c r="D4285" s="37"/>
      <c r="E4285" s="36"/>
      <c r="F4285" s="42"/>
      <c r="G4285" s="42"/>
      <c r="H4285" s="42"/>
      <c r="AG4285" s="19">
        <v>4284</v>
      </c>
      <c r="AH4285" s="20">
        <v>-339.80489551168529</v>
      </c>
    </row>
    <row r="4286" spans="1:34" ht="14.5" x14ac:dyDescent="0.35">
      <c r="A4286" s="34"/>
      <c r="B4286" s="35"/>
      <c r="C4286" s="36"/>
      <c r="D4286" s="37"/>
      <c r="E4286" s="36"/>
      <c r="F4286" s="42"/>
      <c r="G4286" s="42"/>
      <c r="H4286" s="42"/>
      <c r="AG4286" s="19">
        <v>4285</v>
      </c>
      <c r="AH4286" s="20">
        <v>-1794.8899213253596</v>
      </c>
    </row>
    <row r="4287" spans="1:34" ht="14.5" x14ac:dyDescent="0.35">
      <c r="A4287" s="34"/>
      <c r="B4287" s="35"/>
      <c r="C4287" s="36"/>
      <c r="D4287" s="37"/>
      <c r="E4287" s="36"/>
      <c r="F4287" s="42"/>
      <c r="G4287" s="42"/>
      <c r="H4287" s="42"/>
      <c r="AG4287" s="19">
        <v>4286</v>
      </c>
      <c r="AH4287" s="20">
        <v>-219.12983457537547</v>
      </c>
    </row>
    <row r="4288" spans="1:34" ht="14.5" x14ac:dyDescent="0.35">
      <c r="A4288" s="34"/>
      <c r="B4288" s="35"/>
      <c r="C4288" s="36"/>
      <c r="D4288" s="37"/>
      <c r="E4288" s="36"/>
      <c r="F4288" s="42"/>
      <c r="G4288" s="42"/>
      <c r="H4288" s="42"/>
      <c r="AG4288" s="19">
        <v>4287</v>
      </c>
      <c r="AH4288" s="20">
        <v>2260.0715808931723</v>
      </c>
    </row>
    <row r="4289" spans="1:34" ht="14.5" x14ac:dyDescent="0.35">
      <c r="A4289" s="34"/>
      <c r="B4289" s="35"/>
      <c r="C4289" s="36"/>
      <c r="D4289" s="37"/>
      <c r="E4289" s="36"/>
      <c r="F4289" s="42"/>
      <c r="G4289" s="42"/>
      <c r="H4289" s="42"/>
      <c r="AG4289" s="19">
        <v>4288</v>
      </c>
      <c r="AH4289" s="20">
        <v>-1036.2964179157213</v>
      </c>
    </row>
    <row r="4290" spans="1:34" ht="14.5" x14ac:dyDescent="0.35">
      <c r="A4290" s="34"/>
      <c r="B4290" s="35"/>
      <c r="C4290" s="36"/>
      <c r="D4290" s="37"/>
      <c r="E4290" s="36"/>
      <c r="F4290" s="42"/>
      <c r="G4290" s="42"/>
      <c r="H4290" s="42"/>
      <c r="AG4290" s="19">
        <v>4289</v>
      </c>
      <c r="AH4290" s="20">
        <v>1497.9999551309481</v>
      </c>
    </row>
    <row r="4291" spans="1:34" ht="14.5" x14ac:dyDescent="0.35">
      <c r="A4291" s="34"/>
      <c r="B4291" s="35"/>
      <c r="C4291" s="36"/>
      <c r="D4291" s="37"/>
      <c r="E4291" s="36"/>
      <c r="F4291" s="42"/>
      <c r="G4291" s="42"/>
      <c r="H4291" s="42"/>
      <c r="AG4291" s="19">
        <v>4290</v>
      </c>
      <c r="AH4291" s="20">
        <v>-4475.4025533727236</v>
      </c>
    </row>
    <row r="4292" spans="1:34" ht="14.5" x14ac:dyDescent="0.35">
      <c r="A4292" s="34"/>
      <c r="B4292" s="35"/>
      <c r="C4292" s="36"/>
      <c r="D4292" s="37"/>
      <c r="E4292" s="36"/>
      <c r="F4292" s="42"/>
      <c r="G4292" s="42"/>
      <c r="H4292" s="42"/>
      <c r="AG4292" s="19">
        <v>4291</v>
      </c>
      <c r="AH4292" s="20">
        <v>-2863.782891849889</v>
      </c>
    </row>
    <row r="4293" spans="1:34" ht="14.5" x14ac:dyDescent="0.35">
      <c r="A4293" s="34"/>
      <c r="B4293" s="35"/>
      <c r="C4293" s="36"/>
      <c r="D4293" s="37"/>
      <c r="E4293" s="36"/>
      <c r="F4293" s="42"/>
      <c r="G4293" s="42"/>
      <c r="H4293" s="42"/>
      <c r="AG4293" s="19">
        <v>4292</v>
      </c>
      <c r="AH4293" s="20">
        <v>-1857.3205726710623</v>
      </c>
    </row>
    <row r="4294" spans="1:34" ht="14.5" x14ac:dyDescent="0.35">
      <c r="A4294" s="34"/>
      <c r="B4294" s="35"/>
      <c r="C4294" s="36"/>
      <c r="D4294" s="37"/>
      <c r="E4294" s="36"/>
      <c r="F4294" s="42"/>
      <c r="G4294" s="42"/>
      <c r="H4294" s="42"/>
      <c r="AG4294" s="19">
        <v>4293</v>
      </c>
      <c r="AH4294" s="20">
        <v>3140.6833823497691</v>
      </c>
    </row>
    <row r="4295" spans="1:34" ht="14.5" x14ac:dyDescent="0.35">
      <c r="A4295" s="34"/>
      <c r="B4295" s="35"/>
      <c r="C4295" s="36"/>
      <c r="D4295" s="37"/>
      <c r="E4295" s="36"/>
      <c r="F4295" s="42"/>
      <c r="G4295" s="42"/>
      <c r="H4295" s="42"/>
      <c r="AG4295" s="19">
        <v>4294</v>
      </c>
      <c r="AH4295" s="20">
        <v>-994.98048508231432</v>
      </c>
    </row>
    <row r="4296" spans="1:34" ht="14.5" x14ac:dyDescent="0.35">
      <c r="A4296" s="34"/>
      <c r="B4296" s="35"/>
      <c r="C4296" s="36"/>
      <c r="D4296" s="37"/>
      <c r="E4296" s="36"/>
      <c r="F4296" s="42"/>
      <c r="G4296" s="42"/>
      <c r="H4296" s="42"/>
      <c r="AG4296" s="19">
        <v>4295</v>
      </c>
      <c r="AH4296" s="20">
        <v>2764.1921452744427</v>
      </c>
    </row>
    <row r="4297" spans="1:34" ht="14.5" x14ac:dyDescent="0.35">
      <c r="A4297" s="34"/>
      <c r="B4297" s="35"/>
      <c r="C4297" s="36"/>
      <c r="D4297" s="37"/>
      <c r="E4297" s="36"/>
      <c r="F4297" s="42"/>
      <c r="G4297" s="42"/>
      <c r="H4297" s="42"/>
      <c r="AG4297" s="19">
        <v>4296</v>
      </c>
      <c r="AH4297" s="20">
        <v>1212.3000897674006</v>
      </c>
    </row>
    <row r="4298" spans="1:34" ht="14.5" x14ac:dyDescent="0.35">
      <c r="A4298" s="34"/>
      <c r="B4298" s="35"/>
      <c r="C4298" s="36"/>
      <c r="D4298" s="37"/>
      <c r="E4298" s="36"/>
      <c r="F4298" s="42"/>
      <c r="G4298" s="42"/>
      <c r="H4298" s="42"/>
      <c r="AG4298" s="19">
        <v>4297</v>
      </c>
      <c r="AH4298" s="20">
        <v>616.23557976443681</v>
      </c>
    </row>
    <row r="4299" spans="1:34" ht="14.5" x14ac:dyDescent="0.35">
      <c r="A4299" s="34"/>
      <c r="B4299" s="35"/>
      <c r="C4299" s="36"/>
      <c r="D4299" s="37"/>
      <c r="E4299" s="36"/>
      <c r="F4299" s="42"/>
      <c r="G4299" s="42"/>
      <c r="H4299" s="42"/>
      <c r="AG4299" s="19">
        <v>4298</v>
      </c>
      <c r="AH4299" s="20">
        <v>1351.5373676107331</v>
      </c>
    </row>
    <row r="4300" spans="1:34" ht="14.5" x14ac:dyDescent="0.35">
      <c r="A4300" s="34"/>
      <c r="B4300" s="35"/>
      <c r="C4300" s="36"/>
      <c r="D4300" s="37"/>
      <c r="E4300" s="36"/>
      <c r="F4300" s="42"/>
      <c r="G4300" s="42"/>
      <c r="H4300" s="42"/>
      <c r="AG4300" s="19">
        <v>4299</v>
      </c>
      <c r="AH4300" s="20">
        <v>447.56018488768979</v>
      </c>
    </row>
    <row r="4301" spans="1:34" ht="14.5" x14ac:dyDescent="0.35">
      <c r="A4301" s="34"/>
      <c r="B4301" s="35"/>
      <c r="C4301" s="36"/>
      <c r="D4301" s="37"/>
      <c r="E4301" s="36"/>
      <c r="F4301" s="42"/>
      <c r="G4301" s="42"/>
      <c r="H4301" s="42"/>
      <c r="AG4301" s="19">
        <v>4300</v>
      </c>
      <c r="AH4301" s="20">
        <v>5370.0191393938303</v>
      </c>
    </row>
    <row r="4302" spans="1:34" ht="14.5" x14ac:dyDescent="0.35">
      <c r="A4302" s="34"/>
      <c r="B4302" s="35"/>
      <c r="C4302" s="36"/>
      <c r="D4302" s="37"/>
      <c r="E4302" s="36"/>
      <c r="F4302" s="42"/>
      <c r="G4302" s="42"/>
      <c r="H4302" s="42"/>
      <c r="AG4302" s="19">
        <v>4301</v>
      </c>
      <c r="AH4302" s="20">
        <v>-467.78369668687532</v>
      </c>
    </row>
    <row r="4303" spans="1:34" ht="14.5" x14ac:dyDescent="0.35">
      <c r="A4303" s="34"/>
      <c r="B4303" s="35"/>
      <c r="C4303" s="36"/>
      <c r="D4303" s="37"/>
      <c r="E4303" s="36"/>
      <c r="F4303" s="42"/>
      <c r="G4303" s="42"/>
      <c r="H4303" s="42"/>
      <c r="AG4303" s="19">
        <v>4302</v>
      </c>
      <c r="AH4303" s="20">
        <v>690.73144849775554</v>
      </c>
    </row>
    <row r="4304" spans="1:34" ht="14.5" x14ac:dyDescent="0.35">
      <c r="A4304" s="34"/>
      <c r="B4304" s="35"/>
      <c r="C4304" s="36"/>
      <c r="D4304" s="37"/>
      <c r="E4304" s="36"/>
      <c r="F4304" s="42"/>
      <c r="G4304" s="42"/>
      <c r="H4304" s="42"/>
      <c r="AG4304" s="19">
        <v>4303</v>
      </c>
      <c r="AH4304" s="20">
        <v>-1674.3408822154026</v>
      </c>
    </row>
    <row r="4305" spans="1:34" ht="14.5" x14ac:dyDescent="0.35">
      <c r="A4305" s="34"/>
      <c r="B4305" s="35"/>
      <c r="C4305" s="36"/>
      <c r="D4305" s="37"/>
      <c r="E4305" s="36"/>
      <c r="F4305" s="42"/>
      <c r="G4305" s="42"/>
      <c r="H4305" s="42"/>
      <c r="AG4305" s="19">
        <v>4304</v>
      </c>
      <c r="AH4305" s="20">
        <v>45.662644441096575</v>
      </c>
    </row>
    <row r="4306" spans="1:34" ht="14.5" x14ac:dyDescent="0.35">
      <c r="A4306" s="34"/>
      <c r="B4306" s="35"/>
      <c r="C4306" s="36"/>
      <c r="D4306" s="37"/>
      <c r="E4306" s="36"/>
      <c r="F4306" s="42"/>
      <c r="G4306" s="42"/>
      <c r="H4306" s="42"/>
      <c r="AG4306" s="19">
        <v>4305</v>
      </c>
      <c r="AH4306" s="20">
        <v>-764.21415071703927</v>
      </c>
    </row>
    <row r="4307" spans="1:34" ht="14.5" x14ac:dyDescent="0.35">
      <c r="A4307" s="34"/>
      <c r="B4307" s="35"/>
      <c r="C4307" s="36"/>
      <c r="D4307" s="37"/>
      <c r="E4307" s="36"/>
      <c r="F4307" s="42"/>
      <c r="G4307" s="42"/>
      <c r="H4307" s="42"/>
      <c r="AG4307" s="19">
        <v>4306</v>
      </c>
      <c r="AH4307" s="20">
        <v>-1528.81894204643</v>
      </c>
    </row>
    <row r="4308" spans="1:34" ht="14.5" x14ac:dyDescent="0.35">
      <c r="A4308" s="34"/>
      <c r="B4308" s="35"/>
      <c r="C4308" s="36"/>
      <c r="D4308" s="37"/>
      <c r="E4308" s="36"/>
      <c r="F4308" s="42"/>
      <c r="G4308" s="42"/>
      <c r="H4308" s="42"/>
      <c r="AG4308" s="19">
        <v>4307</v>
      </c>
      <c r="AH4308" s="20">
        <v>4965.1818112143583</v>
      </c>
    </row>
    <row r="4309" spans="1:34" ht="14.5" x14ac:dyDescent="0.35">
      <c r="A4309" s="34"/>
      <c r="B4309" s="35"/>
      <c r="C4309" s="36"/>
      <c r="D4309" s="37"/>
      <c r="E4309" s="36"/>
      <c r="F4309" s="42"/>
      <c r="G4309" s="42"/>
      <c r="H4309" s="42"/>
      <c r="AG4309" s="19">
        <v>4308</v>
      </c>
      <c r="AH4309" s="20">
        <v>2981.2247850726467</v>
      </c>
    </row>
    <row r="4310" spans="1:34" ht="14.5" x14ac:dyDescent="0.35">
      <c r="A4310" s="34"/>
      <c r="B4310" s="35"/>
      <c r="C4310" s="36"/>
      <c r="D4310" s="37"/>
      <c r="E4310" s="36"/>
      <c r="F4310" s="42"/>
      <c r="G4310" s="42"/>
      <c r="H4310" s="42"/>
      <c r="AG4310" s="19">
        <v>4309</v>
      </c>
      <c r="AH4310" s="20">
        <v>1873.4524822568615</v>
      </c>
    </row>
    <row r="4311" spans="1:34" ht="14.5" x14ac:dyDescent="0.35">
      <c r="A4311" s="34"/>
      <c r="B4311" s="35"/>
      <c r="C4311" s="36"/>
      <c r="D4311" s="37"/>
      <c r="E4311" s="36"/>
      <c r="F4311" s="42"/>
      <c r="G4311" s="42"/>
      <c r="H4311" s="42"/>
      <c r="AG4311" s="19">
        <v>4310</v>
      </c>
      <c r="AH4311" s="20">
        <v>2528.643778551233</v>
      </c>
    </row>
    <row r="4312" spans="1:34" ht="14.5" x14ac:dyDescent="0.35">
      <c r="A4312" s="34"/>
      <c r="B4312" s="35"/>
      <c r="C4312" s="36"/>
      <c r="D4312" s="37"/>
      <c r="E4312" s="36"/>
      <c r="F4312" s="42"/>
      <c r="G4312" s="42"/>
      <c r="H4312" s="42"/>
      <c r="AG4312" s="19">
        <v>4311</v>
      </c>
      <c r="AH4312" s="20">
        <v>190.64208490977231</v>
      </c>
    </row>
    <row r="4313" spans="1:34" ht="14.5" x14ac:dyDescent="0.35">
      <c r="A4313" s="34"/>
      <c r="B4313" s="35"/>
      <c r="C4313" s="36"/>
      <c r="D4313" s="37"/>
      <c r="E4313" s="36"/>
      <c r="F4313" s="42"/>
      <c r="G4313" s="42"/>
      <c r="H4313" s="42"/>
      <c r="AG4313" s="19">
        <v>4312</v>
      </c>
      <c r="AH4313" s="20">
        <v>-420.81762250947207</v>
      </c>
    </row>
    <row r="4314" spans="1:34" ht="14.5" x14ac:dyDescent="0.35">
      <c r="A4314" s="34"/>
      <c r="B4314" s="35"/>
      <c r="C4314" s="36"/>
      <c r="D4314" s="37"/>
      <c r="E4314" s="36"/>
      <c r="F4314" s="42"/>
      <c r="G4314" s="42"/>
      <c r="H4314" s="42"/>
      <c r="AG4314" s="19">
        <v>4313</v>
      </c>
      <c r="AH4314" s="20">
        <v>3620.6522852927055</v>
      </c>
    </row>
    <row r="4315" spans="1:34" ht="14.5" x14ac:dyDescent="0.35">
      <c r="A4315" s="34"/>
      <c r="B4315" s="35"/>
      <c r="C4315" s="36"/>
      <c r="D4315" s="37"/>
      <c r="E4315" s="36"/>
      <c r="F4315" s="42"/>
      <c r="G4315" s="42"/>
      <c r="H4315" s="42"/>
      <c r="AG4315" s="19">
        <v>4314</v>
      </c>
      <c r="AH4315" s="20">
        <v>3170.0904261372907</v>
      </c>
    </row>
    <row r="4316" spans="1:34" ht="14.5" x14ac:dyDescent="0.35">
      <c r="A4316" s="34"/>
      <c r="B4316" s="35"/>
      <c r="C4316" s="36"/>
      <c r="D4316" s="37"/>
      <c r="E4316" s="36"/>
      <c r="F4316" s="42"/>
      <c r="G4316" s="42"/>
      <c r="H4316" s="42"/>
      <c r="AG4316" s="19">
        <v>4315</v>
      </c>
      <c r="AH4316" s="20">
        <v>-1627.9640745773638</v>
      </c>
    </row>
    <row r="4317" spans="1:34" ht="14.5" x14ac:dyDescent="0.35">
      <c r="A4317" s="34"/>
      <c r="B4317" s="35"/>
      <c r="C4317" s="36"/>
      <c r="D4317" s="37"/>
      <c r="E4317" s="36"/>
      <c r="F4317" s="42"/>
      <c r="G4317" s="42"/>
      <c r="H4317" s="42"/>
      <c r="AG4317" s="19">
        <v>4316</v>
      </c>
      <c r="AH4317" s="20">
        <v>2842.6506712390624</v>
      </c>
    </row>
    <row r="4318" spans="1:34" ht="14.5" x14ac:dyDescent="0.35">
      <c r="A4318" s="34"/>
      <c r="B4318" s="35"/>
      <c r="C4318" s="36"/>
      <c r="D4318" s="37"/>
      <c r="E4318" s="36"/>
      <c r="F4318" s="42"/>
      <c r="G4318" s="42"/>
      <c r="H4318" s="42"/>
      <c r="AG4318" s="19">
        <v>4317</v>
      </c>
      <c r="AH4318" s="20">
        <v>2336.4301462609642</v>
      </c>
    </row>
    <row r="4319" spans="1:34" ht="14.5" x14ac:dyDescent="0.35">
      <c r="A4319" s="34"/>
      <c r="B4319" s="35"/>
      <c r="C4319" s="36"/>
      <c r="D4319" s="37"/>
      <c r="E4319" s="36"/>
      <c r="F4319" s="42"/>
      <c r="G4319" s="42"/>
      <c r="H4319" s="42"/>
      <c r="AG4319" s="19">
        <v>4318</v>
      </c>
      <c r="AH4319" s="20">
        <v>-35.515535492124741</v>
      </c>
    </row>
    <row r="4320" spans="1:34" ht="14.5" x14ac:dyDescent="0.35">
      <c r="A4320" s="34"/>
      <c r="B4320" s="35"/>
      <c r="C4320" s="36"/>
      <c r="D4320" s="37"/>
      <c r="E4320" s="36"/>
      <c r="F4320" s="42"/>
      <c r="G4320" s="42"/>
      <c r="H4320" s="42"/>
      <c r="AG4320" s="19">
        <v>4319</v>
      </c>
      <c r="AH4320" s="20">
        <v>3217.9920353409793</v>
      </c>
    </row>
    <row r="4321" spans="1:34" ht="14.5" x14ac:dyDescent="0.35">
      <c r="A4321" s="34"/>
      <c r="B4321" s="35"/>
      <c r="C4321" s="36"/>
      <c r="D4321" s="37"/>
      <c r="E4321" s="36"/>
      <c r="F4321" s="42"/>
      <c r="G4321" s="42"/>
      <c r="H4321" s="42"/>
      <c r="AG4321" s="19">
        <v>4320</v>
      </c>
      <c r="AH4321" s="20">
        <v>136.85779200931677</v>
      </c>
    </row>
    <row r="4322" spans="1:34" ht="14.5" x14ac:dyDescent="0.35">
      <c r="A4322" s="34"/>
      <c r="B4322" s="35"/>
      <c r="C4322" s="36"/>
      <c r="D4322" s="37"/>
      <c r="E4322" s="36"/>
      <c r="F4322" s="42"/>
      <c r="G4322" s="42"/>
      <c r="H4322" s="42"/>
      <c r="AG4322" s="19">
        <v>4321</v>
      </c>
      <c r="AH4322" s="20">
        <v>-1640.3511241410015</v>
      </c>
    </row>
    <row r="4323" spans="1:34" ht="14.5" x14ac:dyDescent="0.35">
      <c r="A4323" s="34"/>
      <c r="B4323" s="35"/>
      <c r="C4323" s="36"/>
      <c r="D4323" s="37"/>
      <c r="E4323" s="36"/>
      <c r="F4323" s="42"/>
      <c r="G4323" s="42"/>
      <c r="H4323" s="42"/>
      <c r="AG4323" s="19">
        <v>4322</v>
      </c>
      <c r="AH4323" s="20">
        <v>78.337928461483443</v>
      </c>
    </row>
    <row r="4324" spans="1:34" ht="14.5" x14ac:dyDescent="0.35">
      <c r="A4324" s="34"/>
      <c r="B4324" s="35"/>
      <c r="C4324" s="36"/>
      <c r="D4324" s="37"/>
      <c r="E4324" s="36"/>
      <c r="F4324" s="42"/>
      <c r="G4324" s="42"/>
      <c r="H4324" s="42"/>
      <c r="AG4324" s="19">
        <v>4323</v>
      </c>
      <c r="AH4324" s="20">
        <v>2271.1906995613258</v>
      </c>
    </row>
    <row r="4325" spans="1:34" ht="14.5" x14ac:dyDescent="0.35">
      <c r="A4325" s="34"/>
      <c r="B4325" s="35"/>
      <c r="C4325" s="36"/>
      <c r="D4325" s="37"/>
      <c r="E4325" s="36"/>
      <c r="F4325" s="42"/>
      <c r="G4325" s="42"/>
      <c r="H4325" s="42"/>
      <c r="AG4325" s="19">
        <v>4324</v>
      </c>
      <c r="AH4325" s="20">
        <v>-1598.3444547007589</v>
      </c>
    </row>
    <row r="4326" spans="1:34" ht="14.5" x14ac:dyDescent="0.35">
      <c r="A4326" s="34"/>
      <c r="B4326" s="35"/>
      <c r="C4326" s="36"/>
      <c r="D4326" s="37"/>
      <c r="E4326" s="36"/>
      <c r="F4326" s="42"/>
      <c r="G4326" s="42"/>
      <c r="H4326" s="42"/>
      <c r="AG4326" s="19">
        <v>4325</v>
      </c>
      <c r="AH4326" s="20">
        <v>3516.8549427328417</v>
      </c>
    </row>
    <row r="4327" spans="1:34" ht="14.5" x14ac:dyDescent="0.35">
      <c r="A4327" s="34"/>
      <c r="B4327" s="35"/>
      <c r="C4327" s="36"/>
      <c r="D4327" s="37"/>
      <c r="E4327" s="36"/>
      <c r="F4327" s="42"/>
      <c r="G4327" s="42"/>
      <c r="H4327" s="42"/>
      <c r="AG4327" s="19">
        <v>4326</v>
      </c>
      <c r="AH4327" s="20">
        <v>2455.0815462584037</v>
      </c>
    </row>
    <row r="4328" spans="1:34" ht="14.5" x14ac:dyDescent="0.35">
      <c r="A4328" s="34"/>
      <c r="B4328" s="35"/>
      <c r="C4328" s="36"/>
      <c r="D4328" s="37"/>
      <c r="E4328" s="36"/>
      <c r="F4328" s="42"/>
      <c r="G4328" s="42"/>
      <c r="H4328" s="42"/>
      <c r="AG4328" s="19">
        <v>4327</v>
      </c>
      <c r="AH4328" s="20">
        <v>1455.4493921712171</v>
      </c>
    </row>
    <row r="4329" spans="1:34" ht="14.5" x14ac:dyDescent="0.35">
      <c r="A4329" s="34"/>
      <c r="B4329" s="35"/>
      <c r="C4329" s="36"/>
      <c r="D4329" s="37"/>
      <c r="E4329" s="36"/>
      <c r="F4329" s="42"/>
      <c r="G4329" s="42"/>
      <c r="H4329" s="42"/>
      <c r="AG4329" s="19">
        <v>4328</v>
      </c>
      <c r="AH4329" s="20">
        <v>-263.42980333524616</v>
      </c>
    </row>
    <row r="4330" spans="1:34" ht="14.5" x14ac:dyDescent="0.35">
      <c r="A4330" s="34"/>
      <c r="B4330" s="35"/>
      <c r="C4330" s="36"/>
      <c r="D4330" s="37"/>
      <c r="E4330" s="36"/>
      <c r="F4330" s="42"/>
      <c r="G4330" s="42"/>
      <c r="H4330" s="42"/>
      <c r="AG4330" s="19">
        <v>4329</v>
      </c>
      <c r="AH4330" s="20">
        <v>3524.662869172038</v>
      </c>
    </row>
    <row r="4331" spans="1:34" ht="14.5" x14ac:dyDescent="0.35">
      <c r="A4331" s="34"/>
      <c r="B4331" s="35"/>
      <c r="C4331" s="36"/>
      <c r="D4331" s="37"/>
      <c r="E4331" s="36"/>
      <c r="F4331" s="42"/>
      <c r="G4331" s="42"/>
      <c r="H4331" s="42"/>
      <c r="AG4331" s="19">
        <v>4330</v>
      </c>
      <c r="AH4331" s="20">
        <v>1795.0667228202299</v>
      </c>
    </row>
    <row r="4332" spans="1:34" ht="14.5" x14ac:dyDescent="0.35">
      <c r="A4332" s="34"/>
      <c r="B4332" s="35"/>
      <c r="C4332" s="36"/>
      <c r="D4332" s="37"/>
      <c r="E4332" s="36"/>
      <c r="F4332" s="42"/>
      <c r="G4332" s="42"/>
      <c r="H4332" s="42"/>
      <c r="AG4332" s="19">
        <v>4331</v>
      </c>
      <c r="AH4332" s="20">
        <v>-3283.295371429952</v>
      </c>
    </row>
    <row r="4333" spans="1:34" ht="14.5" x14ac:dyDescent="0.35">
      <c r="A4333" s="34"/>
      <c r="B4333" s="35"/>
      <c r="C4333" s="36"/>
      <c r="D4333" s="37"/>
      <c r="E4333" s="36"/>
      <c r="F4333" s="42"/>
      <c r="G4333" s="42"/>
      <c r="H4333" s="42"/>
      <c r="AG4333" s="19">
        <v>4332</v>
      </c>
      <c r="AH4333" s="20">
        <v>1935.5366365007592</v>
      </c>
    </row>
    <row r="4334" spans="1:34" ht="14.5" x14ac:dyDescent="0.35">
      <c r="A4334" s="34"/>
      <c r="B4334" s="35"/>
      <c r="C4334" s="36"/>
      <c r="D4334" s="37"/>
      <c r="E4334" s="36"/>
      <c r="F4334" s="42"/>
      <c r="G4334" s="42"/>
      <c r="H4334" s="42"/>
      <c r="AG4334" s="19">
        <v>4333</v>
      </c>
      <c r="AH4334" s="20">
        <v>3278.3466658189259</v>
      </c>
    </row>
    <row r="4335" spans="1:34" ht="14.5" x14ac:dyDescent="0.35">
      <c r="A4335" s="34"/>
      <c r="B4335" s="35"/>
      <c r="C4335" s="36"/>
      <c r="D4335" s="37"/>
      <c r="E4335" s="36"/>
      <c r="F4335" s="42"/>
      <c r="G4335" s="42"/>
      <c r="H4335" s="42"/>
      <c r="AG4335" s="19">
        <v>4334</v>
      </c>
      <c r="AH4335" s="20">
        <v>-731.42832875037971</v>
      </c>
    </row>
    <row r="4336" spans="1:34" ht="14.5" x14ac:dyDescent="0.35">
      <c r="A4336" s="34"/>
      <c r="B4336" s="35"/>
      <c r="C4336" s="36"/>
      <c r="D4336" s="37"/>
      <c r="E4336" s="36"/>
      <c r="F4336" s="42"/>
      <c r="G4336" s="42"/>
      <c r="H4336" s="42"/>
      <c r="AG4336" s="19">
        <v>4335</v>
      </c>
      <c r="AH4336" s="20">
        <v>-3967.7311010289986</v>
      </c>
    </row>
    <row r="4337" spans="1:34" ht="14.5" x14ac:dyDescent="0.35">
      <c r="A4337" s="34"/>
      <c r="B4337" s="35"/>
      <c r="C4337" s="36"/>
      <c r="D4337" s="37"/>
      <c r="E4337" s="36"/>
      <c r="F4337" s="42"/>
      <c r="G4337" s="42"/>
      <c r="H4337" s="42"/>
      <c r="AG4337" s="19">
        <v>4336</v>
      </c>
      <c r="AH4337" s="20">
        <v>3154.6794408555274</v>
      </c>
    </row>
    <row r="4338" spans="1:34" ht="14.5" x14ac:dyDescent="0.35">
      <c r="A4338" s="34"/>
      <c r="B4338" s="35"/>
      <c r="C4338" s="36"/>
      <c r="D4338" s="37"/>
      <c r="E4338" s="36"/>
      <c r="F4338" s="42"/>
      <c r="G4338" s="42"/>
      <c r="H4338" s="42"/>
      <c r="AG4338" s="19">
        <v>4337</v>
      </c>
      <c r="AH4338" s="20">
        <v>-2585.2213458102192</v>
      </c>
    </row>
    <row r="4339" spans="1:34" ht="14.5" x14ac:dyDescent="0.35">
      <c r="A4339" s="34"/>
      <c r="B4339" s="35"/>
      <c r="C4339" s="36"/>
      <c r="D4339" s="37"/>
      <c r="E4339" s="36"/>
      <c r="F4339" s="42"/>
      <c r="G4339" s="42"/>
      <c r="H4339" s="42"/>
      <c r="AG4339" s="19">
        <v>4338</v>
      </c>
      <c r="AH4339" s="20">
        <v>-4526.499257355129</v>
      </c>
    </row>
    <row r="4340" spans="1:34" ht="14.5" x14ac:dyDescent="0.35">
      <c r="A4340" s="34"/>
      <c r="B4340" s="35"/>
      <c r="C4340" s="36"/>
      <c r="D4340" s="37"/>
      <c r="E4340" s="36"/>
      <c r="F4340" s="42"/>
      <c r="G4340" s="42"/>
      <c r="H4340" s="42"/>
      <c r="AG4340" s="19">
        <v>4339</v>
      </c>
      <c r="AH4340" s="20">
        <v>-806.79577973411256</v>
      </c>
    </row>
    <row r="4341" spans="1:34" ht="14.5" x14ac:dyDescent="0.35">
      <c r="A4341" s="34"/>
      <c r="B4341" s="35"/>
      <c r="C4341" s="36"/>
      <c r="D4341" s="37"/>
      <c r="E4341" s="36"/>
      <c r="F4341" s="42"/>
      <c r="G4341" s="42"/>
      <c r="H4341" s="42"/>
      <c r="AG4341" s="19">
        <v>4340</v>
      </c>
      <c r="AH4341" s="20">
        <v>1564.9853879992336</v>
      </c>
    </row>
    <row r="4342" spans="1:34" ht="14.5" x14ac:dyDescent="0.35">
      <c r="A4342" s="34"/>
      <c r="B4342" s="35"/>
      <c r="C4342" s="36"/>
      <c r="D4342" s="37"/>
      <c r="E4342" s="36"/>
      <c r="F4342" s="42"/>
      <c r="G4342" s="42"/>
      <c r="H4342" s="42"/>
      <c r="AG4342" s="19">
        <v>4341</v>
      </c>
      <c r="AH4342" s="20">
        <v>-1131.8228847957175</v>
      </c>
    </row>
    <row r="4343" spans="1:34" ht="14.5" x14ac:dyDescent="0.35">
      <c r="A4343" s="34"/>
      <c r="B4343" s="35"/>
      <c r="C4343" s="36"/>
      <c r="D4343" s="37"/>
      <c r="E4343" s="36"/>
      <c r="F4343" s="42"/>
      <c r="G4343" s="42"/>
      <c r="H4343" s="42"/>
      <c r="AG4343" s="19">
        <v>4342</v>
      </c>
      <c r="AH4343" s="20">
        <v>-361.07865781133177</v>
      </c>
    </row>
    <row r="4344" spans="1:34" ht="14.5" x14ac:dyDescent="0.35">
      <c r="A4344" s="34"/>
      <c r="B4344" s="35"/>
      <c r="C4344" s="36"/>
      <c r="D4344" s="37"/>
      <c r="E4344" s="36"/>
      <c r="F4344" s="42"/>
      <c r="G4344" s="42"/>
      <c r="H4344" s="42"/>
      <c r="AG4344" s="19">
        <v>4343</v>
      </c>
      <c r="AH4344" s="20">
        <v>209.72899350075767</v>
      </c>
    </row>
    <row r="4345" spans="1:34" ht="14.5" x14ac:dyDescent="0.35">
      <c r="A4345" s="34"/>
      <c r="B4345" s="35"/>
      <c r="C4345" s="36"/>
      <c r="D4345" s="37"/>
      <c r="E4345" s="36"/>
      <c r="F4345" s="42"/>
      <c r="G4345" s="42"/>
      <c r="H4345" s="42"/>
      <c r="AG4345" s="19">
        <v>4344</v>
      </c>
      <c r="AH4345" s="20">
        <v>-1985.3218954594697</v>
      </c>
    </row>
    <row r="4346" spans="1:34" ht="14.5" x14ac:dyDescent="0.35">
      <c r="A4346" s="34"/>
      <c r="B4346" s="35"/>
      <c r="C4346" s="36"/>
      <c r="D4346" s="37"/>
      <c r="E4346" s="36"/>
      <c r="F4346" s="42"/>
      <c r="G4346" s="42"/>
      <c r="H4346" s="42"/>
      <c r="AG4346" s="19">
        <v>4345</v>
      </c>
      <c r="AH4346" s="20">
        <v>-1076.6434604980964</v>
      </c>
    </row>
    <row r="4347" spans="1:34" ht="14.5" x14ac:dyDescent="0.35">
      <c r="A4347" s="34"/>
      <c r="B4347" s="35"/>
      <c r="C4347" s="36"/>
      <c r="D4347" s="37"/>
      <c r="E4347" s="36"/>
      <c r="F4347" s="42"/>
      <c r="G4347" s="42"/>
      <c r="H4347" s="42"/>
      <c r="AG4347" s="19">
        <v>4346</v>
      </c>
      <c r="AH4347" s="20">
        <v>-1690.9514571104353</v>
      </c>
    </row>
    <row r="4348" spans="1:34" ht="14.5" x14ac:dyDescent="0.35">
      <c r="A4348" s="34"/>
      <c r="B4348" s="35"/>
      <c r="C4348" s="36"/>
      <c r="D4348" s="37"/>
      <c r="E4348" s="36"/>
      <c r="F4348" s="42"/>
      <c r="G4348" s="42"/>
      <c r="H4348" s="42"/>
      <c r="AG4348" s="19">
        <v>4347</v>
      </c>
      <c r="AH4348" s="20">
        <v>2985.4903025008648</v>
      </c>
    </row>
    <row r="4349" spans="1:34" ht="14.5" x14ac:dyDescent="0.35">
      <c r="A4349" s="34"/>
      <c r="B4349" s="35"/>
      <c r="C4349" s="36"/>
      <c r="D4349" s="37"/>
      <c r="E4349" s="36"/>
      <c r="F4349" s="42"/>
      <c r="G4349" s="42"/>
      <c r="H4349" s="42"/>
      <c r="AG4349" s="19">
        <v>4348</v>
      </c>
      <c r="AH4349" s="20">
        <v>-800.28988435120391</v>
      </c>
    </row>
    <row r="4350" spans="1:34" ht="14.5" x14ac:dyDescent="0.35">
      <c r="A4350" s="34"/>
      <c r="B4350" s="35"/>
      <c r="C4350" s="36"/>
      <c r="D4350" s="37"/>
      <c r="E4350" s="36"/>
      <c r="F4350" s="42"/>
      <c r="G4350" s="42"/>
      <c r="H4350" s="42"/>
      <c r="AG4350" s="19">
        <v>4349</v>
      </c>
      <c r="AH4350" s="20">
        <v>3138.381200449131</v>
      </c>
    </row>
    <row r="4351" spans="1:34" ht="14.5" x14ac:dyDescent="0.35">
      <c r="A4351" s="34"/>
      <c r="B4351" s="35"/>
      <c r="C4351" s="36"/>
      <c r="D4351" s="37"/>
      <c r="E4351" s="36"/>
      <c r="F4351" s="42"/>
      <c r="G4351" s="42"/>
      <c r="H4351" s="42"/>
      <c r="AG4351" s="19">
        <v>4350</v>
      </c>
      <c r="AH4351" s="20">
        <v>-2975.5222284489419</v>
      </c>
    </row>
    <row r="4352" spans="1:34" ht="14.5" x14ac:dyDescent="0.35">
      <c r="A4352" s="34"/>
      <c r="B4352" s="35"/>
      <c r="C4352" s="36"/>
      <c r="D4352" s="37"/>
      <c r="E4352" s="36"/>
      <c r="F4352" s="42"/>
      <c r="G4352" s="42"/>
      <c r="H4352" s="42"/>
      <c r="AG4352" s="19">
        <v>4351</v>
      </c>
      <c r="AH4352" s="20">
        <v>-4230.1464296430049</v>
      </c>
    </row>
    <row r="4353" spans="1:34" ht="14.5" x14ac:dyDescent="0.35">
      <c r="A4353" s="34"/>
      <c r="B4353" s="35"/>
      <c r="C4353" s="36"/>
      <c r="D4353" s="37"/>
      <c r="E4353" s="36"/>
      <c r="F4353" s="42"/>
      <c r="G4353" s="42"/>
      <c r="H4353" s="42"/>
      <c r="AG4353" s="19">
        <v>4352</v>
      </c>
      <c r="AH4353" s="20">
        <v>-318.9460378946132</v>
      </c>
    </row>
    <row r="4354" spans="1:34" ht="14.5" x14ac:dyDescent="0.35">
      <c r="A4354" s="34"/>
      <c r="B4354" s="35"/>
      <c r="C4354" s="36"/>
      <c r="D4354" s="37"/>
      <c r="E4354" s="36"/>
      <c r="F4354" s="42"/>
      <c r="G4354" s="42"/>
      <c r="H4354" s="42"/>
      <c r="AG4354" s="19">
        <v>4353</v>
      </c>
      <c r="AH4354" s="20">
        <v>3898.5970190370567</v>
      </c>
    </row>
    <row r="4355" spans="1:34" ht="14.5" x14ac:dyDescent="0.35">
      <c r="A4355" s="34"/>
      <c r="B4355" s="35"/>
      <c r="C4355" s="36"/>
      <c r="D4355" s="37"/>
      <c r="E4355" s="36"/>
      <c r="F4355" s="42"/>
      <c r="G4355" s="42"/>
      <c r="H4355" s="42"/>
      <c r="AG4355" s="19">
        <v>4354</v>
      </c>
      <c r="AH4355" s="20">
        <v>2319.263612967758</v>
      </c>
    </row>
    <row r="4356" spans="1:34" ht="14.5" x14ac:dyDescent="0.35">
      <c r="A4356" s="34"/>
      <c r="B4356" s="35"/>
      <c r="C4356" s="36"/>
      <c r="D4356" s="37"/>
      <c r="E4356" s="36"/>
      <c r="F4356" s="42"/>
      <c r="G4356" s="42"/>
      <c r="H4356" s="42"/>
      <c r="AG4356" s="19">
        <v>4355</v>
      </c>
      <c r="AH4356" s="20">
        <v>4413.5893226994804</v>
      </c>
    </row>
    <row r="4357" spans="1:34" ht="14.5" x14ac:dyDescent="0.35">
      <c r="A4357" s="34"/>
      <c r="B4357" s="35"/>
      <c r="C4357" s="36"/>
      <c r="D4357" s="37"/>
      <c r="E4357" s="36"/>
      <c r="F4357" s="42"/>
      <c r="G4357" s="42"/>
      <c r="H4357" s="42"/>
      <c r="AG4357" s="19">
        <v>4356</v>
      </c>
      <c r="AH4357" s="20">
        <v>1653.3805954661493</v>
      </c>
    </row>
    <row r="4358" spans="1:34" ht="14.5" x14ac:dyDescent="0.35">
      <c r="A4358" s="34"/>
      <c r="B4358" s="35"/>
      <c r="C4358" s="36"/>
      <c r="D4358" s="37"/>
      <c r="E4358" s="36"/>
      <c r="F4358" s="42"/>
      <c r="G4358" s="42"/>
      <c r="H4358" s="42"/>
      <c r="AG4358" s="19">
        <v>4357</v>
      </c>
      <c r="AH4358" s="20">
        <v>115.68923656109297</v>
      </c>
    </row>
    <row r="4359" spans="1:34" ht="14.5" x14ac:dyDescent="0.35">
      <c r="A4359" s="34"/>
      <c r="B4359" s="35"/>
      <c r="C4359" s="36"/>
      <c r="D4359" s="37"/>
      <c r="E4359" s="36"/>
      <c r="F4359" s="42"/>
      <c r="G4359" s="42"/>
      <c r="H4359" s="42"/>
      <c r="AG4359" s="19">
        <v>4358</v>
      </c>
      <c r="AH4359" s="20">
        <v>-1932.9155078791275</v>
      </c>
    </row>
    <row r="4360" spans="1:34" ht="14.5" x14ac:dyDescent="0.35">
      <c r="A4360" s="34"/>
      <c r="B4360" s="35"/>
      <c r="C4360" s="36"/>
      <c r="D4360" s="37"/>
      <c r="E4360" s="36"/>
      <c r="F4360" s="42"/>
      <c r="G4360" s="42"/>
      <c r="H4360" s="42"/>
      <c r="AG4360" s="19">
        <v>4359</v>
      </c>
      <c r="AH4360" s="20">
        <v>736.22691628127495</v>
      </c>
    </row>
    <row r="4361" spans="1:34" ht="14.5" x14ac:dyDescent="0.35">
      <c r="A4361" s="34"/>
      <c r="B4361" s="35"/>
      <c r="C4361" s="36"/>
      <c r="D4361" s="37"/>
      <c r="E4361" s="36"/>
      <c r="F4361" s="42"/>
      <c r="G4361" s="42"/>
      <c r="H4361" s="42"/>
      <c r="AG4361" s="19">
        <v>4360</v>
      </c>
      <c r="AH4361" s="20">
        <v>4763.2397685475662</v>
      </c>
    </row>
    <row r="4362" spans="1:34" ht="14.5" x14ac:dyDescent="0.35">
      <c r="A4362" s="34"/>
      <c r="B4362" s="35"/>
      <c r="C4362" s="36"/>
      <c r="D4362" s="37"/>
      <c r="E4362" s="36"/>
      <c r="F4362" s="42"/>
      <c r="G4362" s="42"/>
      <c r="H4362" s="42"/>
      <c r="AG4362" s="19">
        <v>4361</v>
      </c>
      <c r="AH4362" s="20">
        <v>1080.220769206647</v>
      </c>
    </row>
    <row r="4363" spans="1:34" ht="14.5" x14ac:dyDescent="0.35">
      <c r="A4363" s="34"/>
      <c r="B4363" s="35"/>
      <c r="C4363" s="36"/>
      <c r="D4363" s="37"/>
      <c r="E4363" s="36"/>
      <c r="F4363" s="42"/>
      <c r="G4363" s="42"/>
      <c r="H4363" s="42"/>
      <c r="AG4363" s="19">
        <v>4362</v>
      </c>
      <c r="AH4363" s="20">
        <v>-486.28807843143233</v>
      </c>
    </row>
    <row r="4364" spans="1:34" ht="14.5" x14ac:dyDescent="0.35">
      <c r="A4364" s="34"/>
      <c r="B4364" s="35"/>
      <c r="C4364" s="36"/>
      <c r="D4364" s="37"/>
      <c r="E4364" s="36"/>
      <c r="F4364" s="42"/>
      <c r="G4364" s="42"/>
      <c r="H4364" s="42"/>
      <c r="AG4364" s="19">
        <v>4363</v>
      </c>
      <c r="AH4364" s="20">
        <v>-1616.5088439257593</v>
      </c>
    </row>
    <row r="4365" spans="1:34" ht="14.5" x14ac:dyDescent="0.35">
      <c r="A4365" s="34"/>
      <c r="B4365" s="35"/>
      <c r="C4365" s="36"/>
      <c r="D4365" s="37"/>
      <c r="E4365" s="36"/>
      <c r="F4365" s="42"/>
      <c r="G4365" s="42"/>
      <c r="H4365" s="42"/>
      <c r="AG4365" s="19">
        <v>4364</v>
      </c>
      <c r="AH4365" s="20">
        <v>110.16569626480037</v>
      </c>
    </row>
    <row r="4366" spans="1:34" ht="14.5" x14ac:dyDescent="0.35">
      <c r="A4366" s="34"/>
      <c r="B4366" s="35"/>
      <c r="C4366" s="36"/>
      <c r="D4366" s="37"/>
      <c r="E4366" s="36"/>
      <c r="F4366" s="42"/>
      <c r="G4366" s="42"/>
      <c r="H4366" s="42"/>
      <c r="AG4366" s="19">
        <v>4365</v>
      </c>
      <c r="AH4366" s="20">
        <v>-480.90785204861294</v>
      </c>
    </row>
    <row r="4367" spans="1:34" ht="14.5" x14ac:dyDescent="0.35">
      <c r="A4367" s="34"/>
      <c r="B4367" s="35"/>
      <c r="C4367" s="36"/>
      <c r="D4367" s="37"/>
      <c r="E4367" s="36"/>
      <c r="F4367" s="42"/>
      <c r="G4367" s="42"/>
      <c r="H4367" s="42"/>
      <c r="AG4367" s="19">
        <v>4366</v>
      </c>
      <c r="AH4367" s="20">
        <v>-1533.314543198841</v>
      </c>
    </row>
    <row r="4368" spans="1:34" ht="14.5" x14ac:dyDescent="0.35">
      <c r="A4368" s="34"/>
      <c r="B4368" s="35"/>
      <c r="C4368" s="36"/>
      <c r="D4368" s="37"/>
      <c r="E4368" s="36"/>
      <c r="F4368" s="42"/>
      <c r="G4368" s="42"/>
      <c r="H4368" s="42"/>
      <c r="AG4368" s="19">
        <v>4367</v>
      </c>
      <c r="AH4368" s="20">
        <v>-1604.8815911096322</v>
      </c>
    </row>
    <row r="4369" spans="1:34" ht="14.5" x14ac:dyDescent="0.35">
      <c r="A4369" s="34"/>
      <c r="B4369" s="35"/>
      <c r="C4369" s="36"/>
      <c r="D4369" s="37"/>
      <c r="E4369" s="36"/>
      <c r="F4369" s="42"/>
      <c r="G4369" s="42"/>
      <c r="H4369" s="42"/>
      <c r="AG4369" s="19">
        <v>4368</v>
      </c>
      <c r="AH4369" s="20">
        <v>912.66886578965773</v>
      </c>
    </row>
    <row r="4370" spans="1:34" ht="14.5" x14ac:dyDescent="0.35">
      <c r="A4370" s="34"/>
      <c r="B4370" s="35"/>
      <c r="C4370" s="36"/>
      <c r="D4370" s="37"/>
      <c r="E4370" s="36"/>
      <c r="F4370" s="42"/>
      <c r="G4370" s="42"/>
      <c r="H4370" s="42"/>
      <c r="AG4370" s="19">
        <v>4369</v>
      </c>
      <c r="AH4370" s="20">
        <v>1536.5003725456706</v>
      </c>
    </row>
    <row r="4371" spans="1:34" ht="14.5" x14ac:dyDescent="0.35">
      <c r="A4371" s="34"/>
      <c r="B4371" s="35"/>
      <c r="C4371" s="36"/>
      <c r="D4371" s="37"/>
      <c r="E4371" s="36"/>
      <c r="F4371" s="42"/>
      <c r="G4371" s="42"/>
      <c r="H4371" s="42"/>
      <c r="AG4371" s="19">
        <v>4370</v>
      </c>
      <c r="AH4371" s="20">
        <v>3381.0858472128152</v>
      </c>
    </row>
    <row r="4372" spans="1:34" ht="14.5" x14ac:dyDescent="0.35">
      <c r="A4372" s="34"/>
      <c r="B4372" s="35"/>
      <c r="C4372" s="36"/>
      <c r="D4372" s="37"/>
      <c r="E4372" s="36"/>
      <c r="F4372" s="42"/>
      <c r="G4372" s="42"/>
      <c r="H4372" s="42"/>
      <c r="AG4372" s="19">
        <v>4371</v>
      </c>
      <c r="AH4372" s="20">
        <v>3742.9008579697925</v>
      </c>
    </row>
    <row r="4373" spans="1:34" ht="14.5" x14ac:dyDescent="0.35">
      <c r="A4373" s="34"/>
      <c r="B4373" s="35"/>
      <c r="C4373" s="36"/>
      <c r="D4373" s="37"/>
      <c r="E4373" s="36"/>
      <c r="F4373" s="42"/>
      <c r="G4373" s="42"/>
      <c r="H4373" s="42"/>
      <c r="AG4373" s="19">
        <v>4372</v>
      </c>
      <c r="AH4373" s="20">
        <v>-338.04884416618307</v>
      </c>
    </row>
    <row r="4374" spans="1:34" ht="14.5" x14ac:dyDescent="0.35">
      <c r="A4374" s="34"/>
      <c r="B4374" s="35"/>
      <c r="C4374" s="36"/>
      <c r="D4374" s="37"/>
      <c r="E4374" s="36"/>
      <c r="F4374" s="42"/>
      <c r="G4374" s="42"/>
      <c r="H4374" s="42"/>
      <c r="AG4374" s="19">
        <v>4373</v>
      </c>
      <c r="AH4374" s="20">
        <v>4160.5569697629207</v>
      </c>
    </row>
    <row r="4375" spans="1:34" ht="14.5" x14ac:dyDescent="0.35">
      <c r="A4375" s="34"/>
      <c r="B4375" s="35"/>
      <c r="C4375" s="36"/>
      <c r="D4375" s="37"/>
      <c r="E4375" s="36"/>
      <c r="F4375" s="42"/>
      <c r="G4375" s="42"/>
      <c r="H4375" s="42"/>
      <c r="AG4375" s="19">
        <v>4374</v>
      </c>
      <c r="AH4375" s="20">
        <v>867.74404261393749</v>
      </c>
    </row>
    <row r="4376" spans="1:34" ht="14.5" x14ac:dyDescent="0.35">
      <c r="A4376" s="34"/>
      <c r="B4376" s="35"/>
      <c r="C4376" s="36"/>
      <c r="D4376" s="37"/>
      <c r="E4376" s="36"/>
      <c r="F4376" s="42"/>
      <c r="G4376" s="42"/>
      <c r="H4376" s="42"/>
      <c r="AG4376" s="19">
        <v>4375</v>
      </c>
      <c r="AH4376" s="20">
        <v>-1843.8822700184162</v>
      </c>
    </row>
    <row r="4377" spans="1:34" ht="14.5" x14ac:dyDescent="0.35">
      <c r="A4377" s="34"/>
      <c r="B4377" s="35"/>
      <c r="C4377" s="36"/>
      <c r="D4377" s="37"/>
      <c r="E4377" s="36"/>
      <c r="F4377" s="42"/>
      <c r="G4377" s="42"/>
      <c r="H4377" s="42"/>
      <c r="AG4377" s="19">
        <v>4376</v>
      </c>
      <c r="AH4377" s="20">
        <v>4609.9114676020154</v>
      </c>
    </row>
    <row r="4378" spans="1:34" ht="14.5" x14ac:dyDescent="0.35">
      <c r="A4378" s="34"/>
      <c r="B4378" s="35"/>
      <c r="C4378" s="36"/>
      <c r="D4378" s="37"/>
      <c r="E4378" s="36"/>
      <c r="F4378" s="42"/>
      <c r="G4378" s="42"/>
      <c r="H4378" s="42"/>
      <c r="AG4378" s="19">
        <v>4377</v>
      </c>
      <c r="AH4378" s="20">
        <v>-430.72985106293623</v>
      </c>
    </row>
    <row r="4379" spans="1:34" ht="14.5" x14ac:dyDescent="0.35">
      <c r="A4379" s="34"/>
      <c r="B4379" s="35"/>
      <c r="C4379" s="36"/>
      <c r="D4379" s="37"/>
      <c r="E4379" s="36"/>
      <c r="F4379" s="42"/>
      <c r="G4379" s="42"/>
      <c r="H4379" s="42"/>
      <c r="AG4379" s="19">
        <v>4378</v>
      </c>
      <c r="AH4379" s="20">
        <v>4410.7675256726843</v>
      </c>
    </row>
    <row r="4380" spans="1:34" ht="14.5" x14ac:dyDescent="0.35">
      <c r="A4380" s="34"/>
      <c r="B4380" s="35"/>
      <c r="C4380" s="36"/>
      <c r="D4380" s="37"/>
      <c r="E4380" s="36"/>
      <c r="F4380" s="42"/>
      <c r="G4380" s="42"/>
      <c r="H4380" s="42"/>
      <c r="AG4380" s="19">
        <v>4379</v>
      </c>
      <c r="AH4380" s="20">
        <v>280.80923438252512</v>
      </c>
    </row>
    <row r="4381" spans="1:34" ht="14.5" x14ac:dyDescent="0.35">
      <c r="A4381" s="34"/>
      <c r="B4381" s="35"/>
      <c r="C4381" s="36"/>
      <c r="D4381" s="37"/>
      <c r="E4381" s="36"/>
      <c r="F4381" s="42"/>
      <c r="G4381" s="42"/>
      <c r="H4381" s="42"/>
      <c r="AG4381" s="19">
        <v>4380</v>
      </c>
      <c r="AH4381" s="20">
        <v>799.4760352609369</v>
      </c>
    </row>
    <row r="4382" spans="1:34" ht="14.5" x14ac:dyDescent="0.35">
      <c r="A4382" s="34"/>
      <c r="B4382" s="35"/>
      <c r="C4382" s="36"/>
      <c r="D4382" s="37"/>
      <c r="E4382" s="36"/>
      <c r="F4382" s="42"/>
      <c r="G4382" s="42"/>
      <c r="H4382" s="42"/>
      <c r="AG4382" s="19">
        <v>4381</v>
      </c>
      <c r="AH4382" s="20">
        <v>2044.9096946765615</v>
      </c>
    </row>
    <row r="4383" spans="1:34" ht="14.5" x14ac:dyDescent="0.35">
      <c r="A4383" s="34"/>
      <c r="B4383" s="35"/>
      <c r="C4383" s="36"/>
      <c r="D4383" s="37"/>
      <c r="E4383" s="36"/>
      <c r="F4383" s="42"/>
      <c r="G4383" s="42"/>
      <c r="H4383" s="42"/>
      <c r="AG4383" s="19">
        <v>4382</v>
      </c>
      <c r="AH4383" s="20">
        <v>-696.67921177593325</v>
      </c>
    </row>
    <row r="4384" spans="1:34" ht="14.5" x14ac:dyDescent="0.35">
      <c r="A4384" s="34"/>
      <c r="B4384" s="35"/>
      <c r="C4384" s="36"/>
      <c r="D4384" s="37"/>
      <c r="E4384" s="36"/>
      <c r="F4384" s="42"/>
      <c r="G4384" s="42"/>
      <c r="H4384" s="42"/>
      <c r="AG4384" s="19">
        <v>4383</v>
      </c>
      <c r="AH4384" s="20">
        <v>1984.4684459707537</v>
      </c>
    </row>
    <row r="4385" spans="1:34" ht="14.5" x14ac:dyDescent="0.35">
      <c r="A4385" s="34"/>
      <c r="B4385" s="35"/>
      <c r="C4385" s="36"/>
      <c r="D4385" s="37"/>
      <c r="E4385" s="36"/>
      <c r="F4385" s="42"/>
      <c r="G4385" s="42"/>
      <c r="H4385" s="42"/>
      <c r="AG4385" s="19">
        <v>4384</v>
      </c>
      <c r="AH4385" s="20">
        <v>-3011.5685743831677</v>
      </c>
    </row>
    <row r="4386" spans="1:34" ht="14.5" x14ac:dyDescent="0.35">
      <c r="A4386" s="34"/>
      <c r="B4386" s="35"/>
      <c r="C4386" s="36"/>
      <c r="D4386" s="37"/>
      <c r="E4386" s="36"/>
      <c r="F4386" s="42"/>
      <c r="G4386" s="42"/>
      <c r="H4386" s="42"/>
      <c r="AG4386" s="19">
        <v>4385</v>
      </c>
      <c r="AH4386" s="20">
        <v>217.49961710579512</v>
      </c>
    </row>
    <row r="4387" spans="1:34" ht="14.5" x14ac:dyDescent="0.35">
      <c r="A4387" s="34"/>
      <c r="B4387" s="35"/>
      <c r="C4387" s="36"/>
      <c r="D4387" s="37"/>
      <c r="E4387" s="36"/>
      <c r="F4387" s="42"/>
      <c r="G4387" s="42"/>
      <c r="H4387" s="42"/>
      <c r="AG4387" s="19">
        <v>4386</v>
      </c>
      <c r="AH4387" s="20">
        <v>-3150.8941505059452</v>
      </c>
    </row>
    <row r="4388" spans="1:34" ht="14.5" x14ac:dyDescent="0.35">
      <c r="A4388" s="34"/>
      <c r="B4388" s="35"/>
      <c r="C4388" s="36"/>
      <c r="D4388" s="37"/>
      <c r="E4388" s="36"/>
      <c r="F4388" s="42"/>
      <c r="G4388" s="42"/>
      <c r="H4388" s="42"/>
      <c r="AG4388" s="19">
        <v>4387</v>
      </c>
      <c r="AH4388" s="20">
        <v>2194.9289711440665</v>
      </c>
    </row>
    <row r="4389" spans="1:34" ht="14.5" x14ac:dyDescent="0.35">
      <c r="A4389" s="34"/>
      <c r="B4389" s="35"/>
      <c r="C4389" s="36"/>
      <c r="D4389" s="37"/>
      <c r="E4389" s="36"/>
      <c r="F4389" s="42"/>
      <c r="G4389" s="42"/>
      <c r="H4389" s="42"/>
      <c r="AG4389" s="19">
        <v>4388</v>
      </c>
      <c r="AH4389" s="20">
        <v>-1130.5203410429151</v>
      </c>
    </row>
    <row r="4390" spans="1:34" ht="14.5" x14ac:dyDescent="0.35">
      <c r="A4390" s="34"/>
      <c r="B4390" s="35"/>
      <c r="C4390" s="36"/>
      <c r="D4390" s="37"/>
      <c r="E4390" s="36"/>
      <c r="F4390" s="42"/>
      <c r="G4390" s="42"/>
      <c r="H4390" s="42"/>
      <c r="AG4390" s="19">
        <v>4389</v>
      </c>
      <c r="AH4390" s="20">
        <v>-1536.8098507138097</v>
      </c>
    </row>
    <row r="4391" spans="1:34" ht="14.5" x14ac:dyDescent="0.35">
      <c r="A4391" s="34"/>
      <c r="B4391" s="35"/>
      <c r="C4391" s="36"/>
      <c r="D4391" s="37"/>
      <c r="E4391" s="36"/>
      <c r="F4391" s="42"/>
      <c r="G4391" s="42"/>
      <c r="H4391" s="42"/>
      <c r="AG4391" s="19">
        <v>4390</v>
      </c>
      <c r="AH4391" s="20">
        <v>3186.8494943406222</v>
      </c>
    </row>
    <row r="4392" spans="1:34" ht="14.5" x14ac:dyDescent="0.35">
      <c r="A4392" s="34"/>
      <c r="B4392" s="35"/>
      <c r="C4392" s="36"/>
      <c r="D4392" s="37"/>
      <c r="E4392" s="36"/>
      <c r="F4392" s="42"/>
      <c r="G4392" s="42"/>
      <c r="H4392" s="42"/>
      <c r="AG4392" s="19">
        <v>4391</v>
      </c>
      <c r="AH4392" s="20">
        <v>1057.5461776221978</v>
      </c>
    </row>
    <row r="4393" spans="1:34" ht="14.5" x14ac:dyDescent="0.35">
      <c r="A4393" s="34"/>
      <c r="B4393" s="35"/>
      <c r="C4393" s="36"/>
      <c r="D4393" s="37"/>
      <c r="E4393" s="36"/>
      <c r="F4393" s="42"/>
      <c r="G4393" s="42"/>
      <c r="H4393" s="42"/>
      <c r="AG4393" s="19">
        <v>4392</v>
      </c>
      <c r="AH4393" s="20">
        <v>-447.28863523610499</v>
      </c>
    </row>
    <row r="4394" spans="1:34" ht="14.5" x14ac:dyDescent="0.35">
      <c r="A4394" s="34"/>
      <c r="B4394" s="35"/>
      <c r="C4394" s="36"/>
      <c r="D4394" s="37"/>
      <c r="E4394" s="36"/>
      <c r="F4394" s="42"/>
      <c r="G4394" s="42"/>
      <c r="H4394" s="42"/>
      <c r="AG4394" s="19">
        <v>4393</v>
      </c>
      <c r="AH4394" s="20">
        <v>-2131.8774916784801</v>
      </c>
    </row>
    <row r="4395" spans="1:34" ht="14.5" x14ac:dyDescent="0.35">
      <c r="A4395" s="34"/>
      <c r="B4395" s="35"/>
      <c r="C4395" s="36"/>
      <c r="D4395" s="37"/>
      <c r="E4395" s="36"/>
      <c r="F4395" s="42"/>
      <c r="G4395" s="42"/>
      <c r="H4395" s="42"/>
      <c r="AG4395" s="19">
        <v>4394</v>
      </c>
      <c r="AH4395" s="20">
        <v>-425.92732782951538</v>
      </c>
    </row>
    <row r="4396" spans="1:34" ht="14.5" x14ac:dyDescent="0.35">
      <c r="A4396" s="34"/>
      <c r="B4396" s="35"/>
      <c r="C4396" s="36"/>
      <c r="D4396" s="37"/>
      <c r="E4396" s="36"/>
      <c r="F4396" s="42"/>
      <c r="G4396" s="42"/>
      <c r="H4396" s="42"/>
      <c r="AG4396" s="19">
        <v>4395</v>
      </c>
      <c r="AH4396" s="20">
        <v>1666.2728618557421</v>
      </c>
    </row>
    <row r="4397" spans="1:34" ht="14.5" x14ac:dyDescent="0.35">
      <c r="A4397" s="34"/>
      <c r="B4397" s="35"/>
      <c r="C4397" s="36"/>
      <c r="D4397" s="37"/>
      <c r="E4397" s="36"/>
      <c r="F4397" s="42"/>
      <c r="G4397" s="42"/>
      <c r="H4397" s="42"/>
      <c r="AG4397" s="19">
        <v>4396</v>
      </c>
      <c r="AH4397" s="20">
        <v>-638.08031259505788</v>
      </c>
    </row>
    <row r="4398" spans="1:34" ht="14.5" x14ac:dyDescent="0.35">
      <c r="A4398" s="34"/>
      <c r="B4398" s="35"/>
      <c r="C4398" s="36"/>
      <c r="D4398" s="37"/>
      <c r="E4398" s="36"/>
      <c r="F4398" s="42"/>
      <c r="G4398" s="42"/>
      <c r="H4398" s="42"/>
      <c r="AG4398" s="19">
        <v>4397</v>
      </c>
      <c r="AH4398" s="20">
        <v>8.1796224770948243</v>
      </c>
    </row>
    <row r="4399" spans="1:34" ht="14.5" x14ac:dyDescent="0.35">
      <c r="A4399" s="34"/>
      <c r="B4399" s="35"/>
      <c r="C4399" s="36"/>
      <c r="D4399" s="37"/>
      <c r="E4399" s="36"/>
      <c r="F4399" s="42"/>
      <c r="G4399" s="42"/>
      <c r="H4399" s="42"/>
      <c r="AG4399" s="19">
        <v>4398</v>
      </c>
      <c r="AH4399" s="20">
        <v>3363.8842648111799</v>
      </c>
    </row>
    <row r="4400" spans="1:34" ht="14.5" x14ac:dyDescent="0.35">
      <c r="A4400" s="34"/>
      <c r="B4400" s="35"/>
      <c r="C4400" s="36"/>
      <c r="D4400" s="37"/>
      <c r="E4400" s="36"/>
      <c r="F4400" s="42"/>
      <c r="G4400" s="42"/>
      <c r="H4400" s="42"/>
      <c r="AG4400" s="19">
        <v>4399</v>
      </c>
      <c r="AH4400" s="20">
        <v>937.34308425198606</v>
      </c>
    </row>
    <row r="4401" spans="1:34" ht="14.5" x14ac:dyDescent="0.35">
      <c r="A4401" s="34"/>
      <c r="B4401" s="35"/>
      <c r="C4401" s="36"/>
      <c r="D4401" s="37"/>
      <c r="E4401" s="36"/>
      <c r="F4401" s="42"/>
      <c r="G4401" s="42"/>
      <c r="H4401" s="42"/>
      <c r="AG4401" s="19">
        <v>4400</v>
      </c>
      <c r="AH4401" s="20">
        <v>-2724.6309300096</v>
      </c>
    </row>
    <row r="4402" spans="1:34" ht="14.5" x14ac:dyDescent="0.35">
      <c r="A4402" s="34"/>
      <c r="B4402" s="35"/>
      <c r="C4402" s="36"/>
      <c r="D4402" s="37"/>
      <c r="E4402" s="36"/>
      <c r="F4402" s="42"/>
      <c r="G4402" s="42"/>
      <c r="H4402" s="42"/>
      <c r="AG4402" s="19">
        <v>4401</v>
      </c>
      <c r="AH4402" s="20">
        <v>-631.37124438206797</v>
      </c>
    </row>
    <row r="4403" spans="1:34" ht="14.5" x14ac:dyDescent="0.35">
      <c r="A4403" s="34"/>
      <c r="B4403" s="35"/>
      <c r="C4403" s="36"/>
      <c r="D4403" s="37"/>
      <c r="E4403" s="36"/>
      <c r="F4403" s="42"/>
      <c r="G4403" s="42"/>
      <c r="H4403" s="42"/>
      <c r="AG4403" s="19">
        <v>4402</v>
      </c>
      <c r="AH4403" s="20">
        <v>-1261.4055711599594</v>
      </c>
    </row>
    <row r="4404" spans="1:34" ht="14.5" x14ac:dyDescent="0.35">
      <c r="A4404" s="34"/>
      <c r="B4404" s="35"/>
      <c r="C4404" s="36"/>
      <c r="D4404" s="37"/>
      <c r="E4404" s="36"/>
      <c r="F4404" s="42"/>
      <c r="G4404" s="42"/>
      <c r="H4404" s="42"/>
      <c r="AG4404" s="19">
        <v>4403</v>
      </c>
      <c r="AH4404" s="20">
        <v>-5425.6772681889861</v>
      </c>
    </row>
    <row r="4405" spans="1:34" ht="14.5" x14ac:dyDescent="0.35">
      <c r="A4405" s="34"/>
      <c r="B4405" s="35"/>
      <c r="C4405" s="36"/>
      <c r="D4405" s="37"/>
      <c r="E4405" s="36"/>
      <c r="F4405" s="42"/>
      <c r="G4405" s="42"/>
      <c r="H4405" s="42"/>
      <c r="AG4405" s="19">
        <v>4404</v>
      </c>
      <c r="AH4405" s="20">
        <v>2888.5799425530568</v>
      </c>
    </row>
    <row r="4406" spans="1:34" ht="14.5" x14ac:dyDescent="0.35">
      <c r="A4406" s="34"/>
      <c r="B4406" s="35"/>
      <c r="C4406" s="36"/>
      <c r="D4406" s="37"/>
      <c r="E4406" s="36"/>
      <c r="F4406" s="42"/>
      <c r="G4406" s="42"/>
      <c r="H4406" s="42"/>
      <c r="AG4406" s="19">
        <v>4405</v>
      </c>
      <c r="AH4406" s="20">
        <v>-586.46948991305339</v>
      </c>
    </row>
    <row r="4407" spans="1:34" ht="14.5" x14ac:dyDescent="0.35">
      <c r="A4407" s="34"/>
      <c r="B4407" s="35"/>
      <c r="C4407" s="36"/>
      <c r="D4407" s="37"/>
      <c r="E4407" s="36"/>
      <c r="F4407" s="42"/>
      <c r="G4407" s="42"/>
      <c r="H4407" s="42"/>
      <c r="AG4407" s="19">
        <v>4406</v>
      </c>
      <c r="AH4407" s="20">
        <v>-1582.3181891386141</v>
      </c>
    </row>
    <row r="4408" spans="1:34" ht="14.5" x14ac:dyDescent="0.35">
      <c r="A4408" s="34"/>
      <c r="B4408" s="35"/>
      <c r="C4408" s="36"/>
      <c r="D4408" s="37"/>
      <c r="E4408" s="36"/>
      <c r="F4408" s="42"/>
      <c r="G4408" s="42"/>
      <c r="H4408" s="42"/>
      <c r="AG4408" s="19">
        <v>4407</v>
      </c>
      <c r="AH4408" s="20">
        <v>-2768.1179851973652</v>
      </c>
    </row>
    <row r="4409" spans="1:34" ht="14.5" x14ac:dyDescent="0.35">
      <c r="A4409" s="34"/>
      <c r="B4409" s="35"/>
      <c r="C4409" s="36"/>
      <c r="D4409" s="37"/>
      <c r="E4409" s="36"/>
      <c r="F4409" s="42"/>
      <c r="G4409" s="42"/>
      <c r="H4409" s="42"/>
      <c r="AG4409" s="19">
        <v>4408</v>
      </c>
      <c r="AH4409" s="20">
        <v>594.0161872133275</v>
      </c>
    </row>
    <row r="4410" spans="1:34" ht="14.5" x14ac:dyDescent="0.35">
      <c r="A4410" s="34"/>
      <c r="B4410" s="35"/>
      <c r="C4410" s="36"/>
      <c r="D4410" s="37"/>
      <c r="E4410" s="36"/>
      <c r="F4410" s="42"/>
      <c r="G4410" s="42"/>
      <c r="H4410" s="42"/>
      <c r="AG4410" s="19">
        <v>4409</v>
      </c>
      <c r="AH4410" s="20">
        <v>4373.3544962651904</v>
      </c>
    </row>
    <row r="4411" spans="1:34" ht="14.5" x14ac:dyDescent="0.35">
      <c r="A4411" s="34"/>
      <c r="B4411" s="35"/>
      <c r="C4411" s="36"/>
      <c r="D4411" s="37"/>
      <c r="E4411" s="36"/>
      <c r="F4411" s="42"/>
      <c r="G4411" s="42"/>
      <c r="H4411" s="42"/>
      <c r="AG4411" s="19">
        <v>4410</v>
      </c>
      <c r="AH4411" s="20">
        <v>2310.4543226539554</v>
      </c>
    </row>
    <row r="4412" spans="1:34" ht="14.5" x14ac:dyDescent="0.35">
      <c r="A4412" s="34"/>
      <c r="B4412" s="35"/>
      <c r="C4412" s="36"/>
      <c r="D4412" s="37"/>
      <c r="E4412" s="36"/>
      <c r="F4412" s="42"/>
      <c r="G4412" s="42"/>
      <c r="H4412" s="42"/>
      <c r="AG4412" s="19">
        <v>4411</v>
      </c>
      <c r="AH4412" s="20">
        <v>2153.0288275846415</v>
      </c>
    </row>
    <row r="4413" spans="1:34" ht="14.5" x14ac:dyDescent="0.35">
      <c r="A4413" s="34"/>
      <c r="B4413" s="35"/>
      <c r="C4413" s="36"/>
      <c r="D4413" s="37"/>
      <c r="E4413" s="36"/>
      <c r="F4413" s="42"/>
      <c r="G4413" s="42"/>
      <c r="H4413" s="42"/>
      <c r="AG4413" s="19">
        <v>4412</v>
      </c>
      <c r="AH4413" s="20">
        <v>330.0752347865585</v>
      </c>
    </row>
    <row r="4414" spans="1:34" ht="14.5" x14ac:dyDescent="0.35">
      <c r="A4414" s="34"/>
      <c r="B4414" s="35"/>
      <c r="C4414" s="36"/>
      <c r="D4414" s="37"/>
      <c r="E4414" s="36"/>
      <c r="F4414" s="42"/>
      <c r="G4414" s="42"/>
      <c r="H4414" s="42"/>
      <c r="AG4414" s="19">
        <v>4413</v>
      </c>
      <c r="AH4414" s="20">
        <v>1136.7268116623293</v>
      </c>
    </row>
    <row r="4415" spans="1:34" ht="14.5" x14ac:dyDescent="0.35">
      <c r="A4415" s="34"/>
      <c r="B4415" s="35"/>
      <c r="C4415" s="36"/>
      <c r="D4415" s="37"/>
      <c r="E4415" s="36"/>
      <c r="F4415" s="42"/>
      <c r="G4415" s="42"/>
      <c r="H4415" s="42"/>
      <c r="AG4415" s="19">
        <v>4414</v>
      </c>
      <c r="AH4415" s="20">
        <v>7373.7639875491068</v>
      </c>
    </row>
    <row r="4416" spans="1:34" ht="14.5" x14ac:dyDescent="0.35">
      <c r="A4416" s="34"/>
      <c r="B4416" s="35"/>
      <c r="C4416" s="36"/>
      <c r="D4416" s="37"/>
      <c r="E4416" s="36"/>
      <c r="F4416" s="42"/>
      <c r="G4416" s="42"/>
      <c r="H4416" s="42"/>
      <c r="AG4416" s="19">
        <v>4415</v>
      </c>
      <c r="AH4416" s="20">
        <v>-1373.2486673033532</v>
      </c>
    </row>
    <row r="4417" spans="1:34" ht="14.5" x14ac:dyDescent="0.35">
      <c r="A4417" s="34"/>
      <c r="B4417" s="35"/>
      <c r="C4417" s="36"/>
      <c r="D4417" s="37"/>
      <c r="E4417" s="36"/>
      <c r="F4417" s="42"/>
      <c r="G4417" s="42"/>
      <c r="H4417" s="42"/>
      <c r="AG4417" s="19">
        <v>4416</v>
      </c>
      <c r="AH4417" s="20">
        <v>495.86611445350479</v>
      </c>
    </row>
    <row r="4418" spans="1:34" ht="14.5" x14ac:dyDescent="0.35">
      <c r="A4418" s="34"/>
      <c r="B4418" s="35"/>
      <c r="C4418" s="36"/>
      <c r="D4418" s="37"/>
      <c r="E4418" s="36"/>
      <c r="F4418" s="42"/>
      <c r="G4418" s="42"/>
      <c r="H4418" s="42"/>
      <c r="AG4418" s="19">
        <v>4417</v>
      </c>
      <c r="AH4418" s="20">
        <v>-239.74782318336503</v>
      </c>
    </row>
    <row r="4419" spans="1:34" ht="14.5" x14ac:dyDescent="0.35">
      <c r="A4419" s="34"/>
      <c r="B4419" s="35"/>
      <c r="C4419" s="36"/>
      <c r="D4419" s="37"/>
      <c r="E4419" s="36"/>
      <c r="F4419" s="42"/>
      <c r="G4419" s="42"/>
      <c r="H4419" s="42"/>
      <c r="AG4419" s="19">
        <v>4418</v>
      </c>
      <c r="AH4419" s="20">
        <v>-698.83667746369679</v>
      </c>
    </row>
    <row r="4420" spans="1:34" ht="14.5" x14ac:dyDescent="0.35">
      <c r="A4420" s="34"/>
      <c r="B4420" s="35"/>
      <c r="C4420" s="36"/>
      <c r="D4420" s="37"/>
      <c r="E4420" s="36"/>
      <c r="F4420" s="42"/>
      <c r="G4420" s="42"/>
      <c r="H4420" s="42"/>
      <c r="AG4420" s="19">
        <v>4419</v>
      </c>
      <c r="AH4420" s="20">
        <v>3427.2875941142702</v>
      </c>
    </row>
    <row r="4421" spans="1:34" ht="14.5" x14ac:dyDescent="0.35">
      <c r="A4421" s="34"/>
      <c r="B4421" s="35"/>
      <c r="C4421" s="36"/>
      <c r="D4421" s="37"/>
      <c r="E4421" s="36"/>
      <c r="F4421" s="42"/>
      <c r="G4421" s="42"/>
      <c r="H4421" s="42"/>
      <c r="AG4421" s="19">
        <v>4420</v>
      </c>
      <c r="AH4421" s="20">
        <v>1136.083327371083</v>
      </c>
    </row>
    <row r="4422" spans="1:34" ht="14.5" x14ac:dyDescent="0.35">
      <c r="A4422" s="34"/>
      <c r="B4422" s="35"/>
      <c r="C4422" s="36"/>
      <c r="D4422" s="37"/>
      <c r="E4422" s="36"/>
      <c r="F4422" s="42"/>
      <c r="G4422" s="42"/>
      <c r="H4422" s="42"/>
      <c r="AG4422" s="19">
        <v>4421</v>
      </c>
      <c r="AH4422" s="20">
        <v>2395.9798969017411</v>
      </c>
    </row>
    <row r="4423" spans="1:34" ht="14.5" x14ac:dyDescent="0.35">
      <c r="A4423" s="34"/>
      <c r="B4423" s="35"/>
      <c r="C4423" s="36"/>
      <c r="D4423" s="37"/>
      <c r="E4423" s="36"/>
      <c r="F4423" s="42"/>
      <c r="G4423" s="42"/>
      <c r="H4423" s="42"/>
      <c r="AG4423" s="19">
        <v>4422</v>
      </c>
      <c r="AH4423" s="20">
        <v>8.7017329705312818</v>
      </c>
    </row>
    <row r="4424" spans="1:34" ht="14.5" x14ac:dyDescent="0.35">
      <c r="A4424" s="34"/>
      <c r="B4424" s="35"/>
      <c r="C4424" s="36"/>
      <c r="D4424" s="37"/>
      <c r="E4424" s="36"/>
      <c r="F4424" s="42"/>
      <c r="G4424" s="42"/>
      <c r="H4424" s="42"/>
      <c r="AG4424" s="19">
        <v>4423</v>
      </c>
      <c r="AH4424" s="20">
        <v>2030.3466141460472</v>
      </c>
    </row>
    <row r="4425" spans="1:34" ht="14.5" x14ac:dyDescent="0.35">
      <c r="A4425" s="34"/>
      <c r="B4425" s="35"/>
      <c r="C4425" s="36"/>
      <c r="D4425" s="37"/>
      <c r="E4425" s="36"/>
      <c r="F4425" s="42"/>
      <c r="G4425" s="42"/>
      <c r="H4425" s="42"/>
      <c r="AG4425" s="19">
        <v>4424</v>
      </c>
      <c r="AH4425" s="20">
        <v>-2197.0509393023676</v>
      </c>
    </row>
    <row r="4426" spans="1:34" ht="14.5" x14ac:dyDescent="0.35">
      <c r="A4426" s="34"/>
      <c r="B4426" s="35"/>
      <c r="C4426" s="36"/>
      <c r="D4426" s="37"/>
      <c r="E4426" s="36"/>
      <c r="F4426" s="42"/>
      <c r="G4426" s="42"/>
      <c r="H4426" s="42"/>
      <c r="AG4426" s="19">
        <v>4425</v>
      </c>
      <c r="AH4426" s="20">
        <v>1112.5695084490376</v>
      </c>
    </row>
    <row r="4427" spans="1:34" ht="14.5" x14ac:dyDescent="0.35">
      <c r="A4427" s="34"/>
      <c r="B4427" s="35"/>
      <c r="C4427" s="36"/>
      <c r="D4427" s="37"/>
      <c r="E4427" s="36"/>
      <c r="F4427" s="42"/>
      <c r="G4427" s="42"/>
      <c r="H4427" s="42"/>
      <c r="AG4427" s="19">
        <v>4426</v>
      </c>
      <c r="AH4427" s="20">
        <v>4015.2549061774816</v>
      </c>
    </row>
    <row r="4428" spans="1:34" ht="14.5" x14ac:dyDescent="0.35">
      <c r="A4428" s="34"/>
      <c r="B4428" s="35"/>
      <c r="C4428" s="36"/>
      <c r="D4428" s="37"/>
      <c r="E4428" s="36"/>
      <c r="F4428" s="42"/>
      <c r="G4428" s="42"/>
      <c r="H4428" s="42"/>
      <c r="AG4428" s="19">
        <v>4427</v>
      </c>
      <c r="AH4428" s="20">
        <v>-740.45539552678565</v>
      </c>
    </row>
    <row r="4429" spans="1:34" ht="14.5" x14ac:dyDescent="0.35">
      <c r="A4429" s="34"/>
      <c r="B4429" s="35"/>
      <c r="C4429" s="36"/>
      <c r="D4429" s="37"/>
      <c r="E4429" s="36"/>
      <c r="F4429" s="42"/>
      <c r="G4429" s="42"/>
      <c r="H4429" s="42"/>
      <c r="AG4429" s="19">
        <v>4428</v>
      </c>
      <c r="AH4429" s="20">
        <v>196.70412129397212</v>
      </c>
    </row>
    <row r="4430" spans="1:34" ht="14.5" x14ac:dyDescent="0.35">
      <c r="A4430" s="34"/>
      <c r="B4430" s="35"/>
      <c r="C4430" s="36"/>
      <c r="D4430" s="37"/>
      <c r="E4430" s="36"/>
      <c r="F4430" s="42"/>
      <c r="G4430" s="42"/>
      <c r="H4430" s="42"/>
      <c r="AG4430" s="19">
        <v>4429</v>
      </c>
      <c r="AH4430" s="20">
        <v>2239.092428702455</v>
      </c>
    </row>
    <row r="4431" spans="1:34" ht="14.5" x14ac:dyDescent="0.35">
      <c r="A4431" s="34"/>
      <c r="B4431" s="35"/>
      <c r="C4431" s="36"/>
      <c r="D4431" s="37"/>
      <c r="E4431" s="36"/>
      <c r="F4431" s="42"/>
      <c r="G4431" s="42"/>
      <c r="H4431" s="42"/>
      <c r="AG4431" s="19">
        <v>4430</v>
      </c>
      <c r="AH4431" s="20">
        <v>1590.4961929157041</v>
      </c>
    </row>
    <row r="4432" spans="1:34" ht="14.5" x14ac:dyDescent="0.35">
      <c r="A4432" s="34"/>
      <c r="B4432" s="35"/>
      <c r="C4432" s="36"/>
      <c r="D4432" s="37"/>
      <c r="E4432" s="36"/>
      <c r="F4432" s="42"/>
      <c r="G4432" s="42"/>
      <c r="H4432" s="42"/>
      <c r="AG4432" s="19">
        <v>4431</v>
      </c>
      <c r="AH4432" s="20">
        <v>1767.7486856582263</v>
      </c>
    </row>
    <row r="4433" spans="1:34" ht="14.5" x14ac:dyDescent="0.35">
      <c r="A4433" s="34"/>
      <c r="B4433" s="35"/>
      <c r="C4433" s="36"/>
      <c r="D4433" s="37"/>
      <c r="E4433" s="36"/>
      <c r="F4433" s="42"/>
      <c r="G4433" s="42"/>
      <c r="H4433" s="42"/>
      <c r="AG4433" s="19">
        <v>4432</v>
      </c>
      <c r="AH4433" s="20">
        <v>1302.6442415847334</v>
      </c>
    </row>
    <row r="4434" spans="1:34" ht="14.5" x14ac:dyDescent="0.35">
      <c r="A4434" s="34"/>
      <c r="B4434" s="35"/>
      <c r="C4434" s="36"/>
      <c r="D4434" s="37"/>
      <c r="E4434" s="36"/>
      <c r="F4434" s="42"/>
      <c r="G4434" s="42"/>
      <c r="H4434" s="42"/>
      <c r="AG4434" s="19">
        <v>4433</v>
      </c>
      <c r="AH4434" s="20">
        <v>2184.5951991922439</v>
      </c>
    </row>
    <row r="4435" spans="1:34" ht="14.5" x14ac:dyDescent="0.35">
      <c r="A4435" s="34"/>
      <c r="B4435" s="35"/>
      <c r="C4435" s="36"/>
      <c r="D4435" s="37"/>
      <c r="E4435" s="36"/>
      <c r="F4435" s="42"/>
      <c r="G4435" s="42"/>
      <c r="H4435" s="42"/>
      <c r="AG4435" s="19">
        <v>4434</v>
      </c>
      <c r="AH4435" s="20">
        <v>387.93408589693581</v>
      </c>
    </row>
    <row r="4436" spans="1:34" ht="14.5" x14ac:dyDescent="0.35">
      <c r="A4436" s="34"/>
      <c r="B4436" s="35"/>
      <c r="C4436" s="36"/>
      <c r="D4436" s="37"/>
      <c r="E4436" s="36"/>
      <c r="F4436" s="42"/>
      <c r="G4436" s="42"/>
      <c r="H4436" s="42"/>
      <c r="AG4436" s="19">
        <v>4435</v>
      </c>
      <c r="AH4436" s="20">
        <v>1068.3012209889562</v>
      </c>
    </row>
    <row r="4437" spans="1:34" ht="14.5" x14ac:dyDescent="0.35">
      <c r="A4437" s="34"/>
      <c r="B4437" s="35"/>
      <c r="C4437" s="36"/>
      <c r="D4437" s="37"/>
      <c r="E4437" s="36"/>
      <c r="F4437" s="42"/>
      <c r="G4437" s="42"/>
      <c r="H4437" s="42"/>
      <c r="AG4437" s="19">
        <v>4436</v>
      </c>
      <c r="AH4437" s="20">
        <v>307.43229100544232</v>
      </c>
    </row>
    <row r="4438" spans="1:34" ht="14.5" x14ac:dyDescent="0.35">
      <c r="A4438" s="34"/>
      <c r="B4438" s="35"/>
      <c r="C4438" s="36"/>
      <c r="D4438" s="37"/>
      <c r="E4438" s="36"/>
      <c r="F4438" s="42"/>
      <c r="G4438" s="42"/>
      <c r="H4438" s="42"/>
      <c r="AG4438" s="19">
        <v>4437</v>
      </c>
      <c r="AH4438" s="20">
        <v>2857.2974005056985</v>
      </c>
    </row>
    <row r="4439" spans="1:34" ht="14.5" x14ac:dyDescent="0.35">
      <c r="A4439" s="34"/>
      <c r="B4439" s="35"/>
      <c r="C4439" s="36"/>
      <c r="D4439" s="37"/>
      <c r="E4439" s="36"/>
      <c r="F4439" s="42"/>
      <c r="G4439" s="42"/>
      <c r="H4439" s="42"/>
      <c r="AG4439" s="19">
        <v>4438</v>
      </c>
      <c r="AH4439" s="20">
        <v>673.07304395731035</v>
      </c>
    </row>
    <row r="4440" spans="1:34" ht="14.5" x14ac:dyDescent="0.35">
      <c r="A4440" s="34"/>
      <c r="B4440" s="35"/>
      <c r="C4440" s="36"/>
      <c r="D4440" s="37"/>
      <c r="E4440" s="36"/>
      <c r="F4440" s="42"/>
      <c r="G4440" s="42"/>
      <c r="H4440" s="42"/>
      <c r="AG4440" s="19">
        <v>4439</v>
      </c>
      <c r="AH4440" s="20">
        <v>-3315.3356422908378</v>
      </c>
    </row>
    <row r="4441" spans="1:34" ht="14.5" x14ac:dyDescent="0.35">
      <c r="A4441" s="34"/>
      <c r="B4441" s="35"/>
      <c r="C4441" s="36"/>
      <c r="D4441" s="37"/>
      <c r="E4441" s="36"/>
      <c r="F4441" s="42"/>
      <c r="G4441" s="42"/>
      <c r="H4441" s="42"/>
      <c r="AG4441" s="19">
        <v>4440</v>
      </c>
      <c r="AH4441" s="20">
        <v>135.14548379328011</v>
      </c>
    </row>
    <row r="4442" spans="1:34" ht="14.5" x14ac:dyDescent="0.35">
      <c r="A4442" s="34"/>
      <c r="B4442" s="35"/>
      <c r="C4442" s="36"/>
      <c r="D4442" s="37"/>
      <c r="E4442" s="36"/>
      <c r="F4442" s="42"/>
      <c r="G4442" s="42"/>
      <c r="H4442" s="42"/>
      <c r="AG4442" s="19">
        <v>4441</v>
      </c>
      <c r="AH4442" s="20">
        <v>2817.2403847521732</v>
      </c>
    </row>
    <row r="4443" spans="1:34" ht="14.5" x14ac:dyDescent="0.35">
      <c r="A4443" s="34"/>
      <c r="B4443" s="35"/>
      <c r="C4443" s="36"/>
      <c r="D4443" s="37"/>
      <c r="E4443" s="36"/>
      <c r="F4443" s="42"/>
      <c r="G4443" s="42"/>
      <c r="H4443" s="42"/>
      <c r="AG4443" s="19">
        <v>4442</v>
      </c>
      <c r="AH4443" s="20">
        <v>-1434.9521807188755</v>
      </c>
    </row>
    <row r="4444" spans="1:34" ht="14.5" x14ac:dyDescent="0.35">
      <c r="A4444" s="34"/>
      <c r="B4444" s="35"/>
      <c r="C4444" s="36"/>
      <c r="D4444" s="37"/>
      <c r="E4444" s="36"/>
      <c r="F4444" s="42"/>
      <c r="G4444" s="42"/>
      <c r="H4444" s="42"/>
      <c r="AG4444" s="19">
        <v>4443</v>
      </c>
      <c r="AH4444" s="20">
        <v>-3082.9161421832741</v>
      </c>
    </row>
    <row r="4445" spans="1:34" ht="14.5" x14ac:dyDescent="0.35">
      <c r="A4445" s="34"/>
      <c r="B4445" s="35"/>
      <c r="C4445" s="36"/>
      <c r="D4445" s="37"/>
      <c r="E4445" s="36"/>
      <c r="F4445" s="42"/>
      <c r="G4445" s="42"/>
      <c r="H4445" s="42"/>
      <c r="AG4445" s="19">
        <v>4444</v>
      </c>
      <c r="AH4445" s="20">
        <v>-206.44788906990965</v>
      </c>
    </row>
    <row r="4446" spans="1:34" ht="14.5" x14ac:dyDescent="0.35">
      <c r="A4446" s="34"/>
      <c r="B4446" s="35"/>
      <c r="C4446" s="36"/>
      <c r="D4446" s="37"/>
      <c r="E4446" s="36"/>
      <c r="F4446" s="42"/>
      <c r="G4446" s="42"/>
      <c r="H4446" s="42"/>
      <c r="AG4446" s="19">
        <v>4445</v>
      </c>
      <c r="AH4446" s="20">
        <v>-2682.7485443494661</v>
      </c>
    </row>
    <row r="4447" spans="1:34" ht="14.5" x14ac:dyDescent="0.35">
      <c r="A4447" s="34"/>
      <c r="B4447" s="35"/>
      <c r="C4447" s="36"/>
      <c r="D4447" s="37"/>
      <c r="E4447" s="36"/>
      <c r="F4447" s="42"/>
      <c r="G4447" s="42"/>
      <c r="H4447" s="42"/>
      <c r="AG4447" s="19">
        <v>4446</v>
      </c>
      <c r="AH4447" s="20">
        <v>4377.1425249910226</v>
      </c>
    </row>
    <row r="4448" spans="1:34" ht="14.5" x14ac:dyDescent="0.35">
      <c r="A4448" s="34"/>
      <c r="B4448" s="35"/>
      <c r="C4448" s="36"/>
      <c r="D4448" s="37"/>
      <c r="E4448" s="36"/>
      <c r="F4448" s="42"/>
      <c r="G4448" s="42"/>
      <c r="H4448" s="42"/>
      <c r="AG4448" s="19">
        <v>4447</v>
      </c>
      <c r="AH4448" s="20">
        <v>1370.3178309653686</v>
      </c>
    </row>
    <row r="4449" spans="1:34" ht="14.5" x14ac:dyDescent="0.35">
      <c r="A4449" s="34"/>
      <c r="B4449" s="35"/>
      <c r="C4449" s="36"/>
      <c r="D4449" s="37"/>
      <c r="E4449" s="36"/>
      <c r="F4449" s="42"/>
      <c r="G4449" s="42"/>
      <c r="H4449" s="42"/>
      <c r="AG4449" s="19">
        <v>4448</v>
      </c>
      <c r="AH4449" s="20">
        <v>-155.2131122885998</v>
      </c>
    </row>
    <row r="4450" spans="1:34" ht="14.5" x14ac:dyDescent="0.35">
      <c r="A4450" s="34"/>
      <c r="B4450" s="35"/>
      <c r="C4450" s="36"/>
      <c r="D4450" s="37"/>
      <c r="E4450" s="36"/>
      <c r="F4450" s="42"/>
      <c r="G4450" s="42"/>
      <c r="H4450" s="42"/>
      <c r="AG4450" s="19">
        <v>4449</v>
      </c>
      <c r="AH4450" s="20">
        <v>2419.9135534063189</v>
      </c>
    </row>
    <row r="4451" spans="1:34" ht="14.5" x14ac:dyDescent="0.35">
      <c r="A4451" s="34"/>
      <c r="B4451" s="35"/>
      <c r="C4451" s="36"/>
      <c r="D4451" s="37"/>
      <c r="E4451" s="36"/>
      <c r="F4451" s="42"/>
      <c r="G4451" s="42"/>
      <c r="H4451" s="42"/>
      <c r="AG4451" s="19">
        <v>4450</v>
      </c>
      <c r="AH4451" s="20">
        <v>484.51737518337006</v>
      </c>
    </row>
    <row r="4452" spans="1:34" ht="14.5" x14ac:dyDescent="0.35">
      <c r="A4452" s="34"/>
      <c r="B4452" s="35"/>
      <c r="C4452" s="36"/>
      <c r="D4452" s="37"/>
      <c r="E4452" s="36"/>
      <c r="F4452" s="42"/>
      <c r="G4452" s="42"/>
      <c r="H4452" s="42"/>
      <c r="AG4452" s="19">
        <v>4451</v>
      </c>
      <c r="AH4452" s="20">
        <v>1644.6413107739043</v>
      </c>
    </row>
    <row r="4453" spans="1:34" ht="14.5" x14ac:dyDescent="0.35">
      <c r="A4453" s="34"/>
      <c r="B4453" s="35"/>
      <c r="C4453" s="36"/>
      <c r="D4453" s="37"/>
      <c r="E4453" s="36"/>
      <c r="F4453" s="42"/>
      <c r="G4453" s="42"/>
      <c r="H4453" s="42"/>
      <c r="AG4453" s="19">
        <v>4452</v>
      </c>
      <c r="AH4453" s="20">
        <v>4.4610807828232169</v>
      </c>
    </row>
    <row r="4454" spans="1:34" ht="14.5" x14ac:dyDescent="0.35">
      <c r="A4454" s="34"/>
      <c r="B4454" s="35"/>
      <c r="C4454" s="36"/>
      <c r="D4454" s="37"/>
      <c r="E4454" s="36"/>
      <c r="F4454" s="42"/>
      <c r="G4454" s="42"/>
      <c r="H4454" s="42"/>
      <c r="AG4454" s="19">
        <v>4453</v>
      </c>
      <c r="AH4454" s="20">
        <v>5286.3245327216837</v>
      </c>
    </row>
    <row r="4455" spans="1:34" ht="14.5" x14ac:dyDescent="0.35">
      <c r="A4455" s="34"/>
      <c r="B4455" s="35"/>
      <c r="C4455" s="36"/>
      <c r="D4455" s="37"/>
      <c r="E4455" s="36"/>
      <c r="F4455" s="42"/>
      <c r="G4455" s="42"/>
      <c r="H4455" s="42"/>
      <c r="AG4455" s="19">
        <v>4454</v>
      </c>
      <c r="AH4455" s="20">
        <v>-933.99798779178786</v>
      </c>
    </row>
    <row r="4456" spans="1:34" ht="14.5" x14ac:dyDescent="0.35">
      <c r="A4456" s="34"/>
      <c r="B4456" s="35"/>
      <c r="C4456" s="36"/>
      <c r="D4456" s="37"/>
      <c r="E4456" s="36"/>
      <c r="F4456" s="42"/>
      <c r="G4456" s="42"/>
      <c r="H4456" s="42"/>
      <c r="AG4456" s="19">
        <v>4455</v>
      </c>
      <c r="AH4456" s="20">
        <v>-3376.8380501229817</v>
      </c>
    </row>
    <row r="4457" spans="1:34" ht="14.5" x14ac:dyDescent="0.35">
      <c r="A4457" s="34"/>
      <c r="B4457" s="35"/>
      <c r="C4457" s="36"/>
      <c r="D4457" s="37"/>
      <c r="E4457" s="36"/>
      <c r="F4457" s="42"/>
      <c r="G4457" s="42"/>
      <c r="H4457" s="42"/>
      <c r="AG4457" s="19">
        <v>4456</v>
      </c>
      <c r="AH4457" s="20">
        <v>1489.7469907391576</v>
      </c>
    </row>
    <row r="4458" spans="1:34" ht="14.5" x14ac:dyDescent="0.35">
      <c r="A4458" s="34"/>
      <c r="B4458" s="35"/>
      <c r="C4458" s="36"/>
      <c r="D4458" s="37"/>
      <c r="E4458" s="36"/>
      <c r="F4458" s="42"/>
      <c r="G4458" s="42"/>
      <c r="H4458" s="42"/>
      <c r="AG4458" s="19">
        <v>4457</v>
      </c>
      <c r="AH4458" s="20">
        <v>415.95724956262666</v>
      </c>
    </row>
    <row r="4459" spans="1:34" ht="14.5" x14ac:dyDescent="0.35">
      <c r="A4459" s="34"/>
      <c r="B4459" s="35"/>
      <c r="C4459" s="36"/>
      <c r="D4459" s="37"/>
      <c r="E4459" s="36"/>
      <c r="F4459" s="42"/>
      <c r="G4459" s="42"/>
      <c r="H4459" s="42"/>
      <c r="AG4459" s="19">
        <v>4458</v>
      </c>
      <c r="AH4459" s="20">
        <v>1331.4565757659896</v>
      </c>
    </row>
    <row r="4460" spans="1:34" ht="14.5" x14ac:dyDescent="0.35">
      <c r="A4460" s="34"/>
      <c r="B4460" s="35"/>
      <c r="C4460" s="36"/>
      <c r="D4460" s="37"/>
      <c r="E4460" s="36"/>
      <c r="F4460" s="42"/>
      <c r="G4460" s="42"/>
      <c r="H4460" s="42"/>
      <c r="AG4460" s="19">
        <v>4459</v>
      </c>
      <c r="AH4460" s="20">
        <v>3705.4866224130851</v>
      </c>
    </row>
    <row r="4461" spans="1:34" ht="14.5" x14ac:dyDescent="0.35">
      <c r="A4461" s="34"/>
      <c r="B4461" s="35"/>
      <c r="C4461" s="36"/>
      <c r="D4461" s="37"/>
      <c r="E4461" s="36"/>
      <c r="F4461" s="42"/>
      <c r="G4461" s="42"/>
      <c r="H4461" s="42"/>
      <c r="AG4461" s="19">
        <v>4460</v>
      </c>
      <c r="AH4461" s="20">
        <v>-1523.5220032508396</v>
      </c>
    </row>
    <row r="4462" spans="1:34" ht="14.5" x14ac:dyDescent="0.35">
      <c r="A4462" s="34"/>
      <c r="B4462" s="35"/>
      <c r="C4462" s="36"/>
      <c r="D4462" s="37"/>
      <c r="E4462" s="36"/>
      <c r="F4462" s="42"/>
      <c r="G4462" s="42"/>
      <c r="H4462" s="42"/>
      <c r="AG4462" s="19">
        <v>4461</v>
      </c>
      <c r="AH4462" s="20">
        <v>-3347.5305163815697</v>
      </c>
    </row>
    <row r="4463" spans="1:34" ht="14.5" x14ac:dyDescent="0.35">
      <c r="A4463" s="34"/>
      <c r="B4463" s="35"/>
      <c r="C4463" s="36"/>
      <c r="D4463" s="37"/>
      <c r="E4463" s="36"/>
      <c r="F4463" s="42"/>
      <c r="G4463" s="42"/>
      <c r="H4463" s="42"/>
      <c r="AG4463" s="19">
        <v>4462</v>
      </c>
      <c r="AH4463" s="20">
        <v>-252.50535847347129</v>
      </c>
    </row>
    <row r="4464" spans="1:34" ht="14.5" x14ac:dyDescent="0.35">
      <c r="A4464" s="34"/>
      <c r="B4464" s="35"/>
      <c r="C4464" s="36"/>
      <c r="D4464" s="37"/>
      <c r="E4464" s="36"/>
      <c r="F4464" s="42"/>
      <c r="G4464" s="42"/>
      <c r="H4464" s="42"/>
      <c r="AG4464" s="19">
        <v>4463</v>
      </c>
      <c r="AH4464" s="20">
        <v>3710.5915817816103</v>
      </c>
    </row>
    <row r="4465" spans="1:34" ht="14.5" x14ac:dyDescent="0.35">
      <c r="A4465" s="34"/>
      <c r="B4465" s="35"/>
      <c r="C4465" s="36"/>
      <c r="D4465" s="37"/>
      <c r="E4465" s="36"/>
      <c r="F4465" s="42"/>
      <c r="G4465" s="42"/>
      <c r="H4465" s="42"/>
      <c r="AG4465" s="19">
        <v>4464</v>
      </c>
      <c r="AH4465" s="20">
        <v>2742.8851482618443</v>
      </c>
    </row>
    <row r="4466" spans="1:34" ht="14.5" x14ac:dyDescent="0.35">
      <c r="A4466" s="34"/>
      <c r="B4466" s="35"/>
      <c r="C4466" s="36"/>
      <c r="D4466" s="37"/>
      <c r="E4466" s="36"/>
      <c r="F4466" s="42"/>
      <c r="G4466" s="42"/>
      <c r="H4466" s="42"/>
      <c r="AG4466" s="19">
        <v>4465</v>
      </c>
      <c r="AH4466" s="20">
        <v>2135.2218151837219</v>
      </c>
    </row>
    <row r="4467" spans="1:34" ht="14.5" x14ac:dyDescent="0.35">
      <c r="A4467" s="34"/>
      <c r="B4467" s="35"/>
      <c r="C4467" s="36"/>
      <c r="D4467" s="37"/>
      <c r="E4467" s="36"/>
      <c r="F4467" s="42"/>
      <c r="G4467" s="42"/>
      <c r="H4467" s="42"/>
      <c r="AG4467" s="19">
        <v>4466</v>
      </c>
      <c r="AH4467" s="20">
        <v>2829.0463073131191</v>
      </c>
    </row>
    <row r="4468" spans="1:34" ht="14.5" x14ac:dyDescent="0.35">
      <c r="A4468" s="34"/>
      <c r="B4468" s="35"/>
      <c r="C4468" s="36"/>
      <c r="D4468" s="37"/>
      <c r="E4468" s="36"/>
      <c r="F4468" s="42"/>
      <c r="G4468" s="42"/>
      <c r="H4468" s="42"/>
      <c r="AG4468" s="19">
        <v>4467</v>
      </c>
      <c r="AH4468" s="20">
        <v>4365.9163778146512</v>
      </c>
    </row>
    <row r="4469" spans="1:34" ht="14.5" x14ac:dyDescent="0.35">
      <c r="A4469" s="34"/>
      <c r="B4469" s="35"/>
      <c r="C4469" s="36"/>
      <c r="D4469" s="37"/>
      <c r="E4469" s="36"/>
      <c r="F4469" s="42"/>
      <c r="G4469" s="42"/>
      <c r="H4469" s="42"/>
      <c r="AG4469" s="19">
        <v>4468</v>
      </c>
      <c r="AH4469" s="20">
        <v>344.35619555116921</v>
      </c>
    </row>
    <row r="4470" spans="1:34" ht="14.5" x14ac:dyDescent="0.35">
      <c r="A4470" s="34"/>
      <c r="B4470" s="35"/>
      <c r="C4470" s="36"/>
      <c r="D4470" s="37"/>
      <c r="E4470" s="36"/>
      <c r="F4470" s="42"/>
      <c r="G4470" s="42"/>
      <c r="H4470" s="42"/>
      <c r="AG4470" s="19">
        <v>4469</v>
      </c>
      <c r="AH4470" s="20">
        <v>-1801.3117003502987</v>
      </c>
    </row>
    <row r="4471" spans="1:34" ht="14.5" x14ac:dyDescent="0.35">
      <c r="A4471" s="34"/>
      <c r="B4471" s="35"/>
      <c r="C4471" s="36"/>
      <c r="D4471" s="37"/>
      <c r="E4471" s="36"/>
      <c r="F4471" s="42"/>
      <c r="G4471" s="42"/>
      <c r="H4471" s="42"/>
      <c r="AG4471" s="19">
        <v>4470</v>
      </c>
      <c r="AH4471" s="20">
        <v>2048.6971240874886</v>
      </c>
    </row>
    <row r="4472" spans="1:34" ht="14.5" x14ac:dyDescent="0.35">
      <c r="A4472" s="34"/>
      <c r="B4472" s="35"/>
      <c r="C4472" s="36"/>
      <c r="D4472" s="37"/>
      <c r="E4472" s="36"/>
      <c r="F4472" s="42"/>
      <c r="G4472" s="42"/>
      <c r="H4472" s="42"/>
      <c r="AG4472" s="19">
        <v>4471</v>
      </c>
      <c r="AH4472" s="20">
        <v>564.28879766219063</v>
      </c>
    </row>
    <row r="4473" spans="1:34" ht="14.5" x14ac:dyDescent="0.35">
      <c r="A4473" s="34"/>
      <c r="B4473" s="35"/>
      <c r="C4473" s="36"/>
      <c r="D4473" s="37"/>
      <c r="E4473" s="36"/>
      <c r="F4473" s="42"/>
      <c r="G4473" s="42"/>
      <c r="H4473" s="42"/>
      <c r="AG4473" s="19">
        <v>4472</v>
      </c>
      <c r="AH4473" s="20">
        <v>-5132.2645296574265</v>
      </c>
    </row>
    <row r="4474" spans="1:34" ht="14.5" x14ac:dyDescent="0.35">
      <c r="A4474" s="34"/>
      <c r="B4474" s="35"/>
      <c r="C4474" s="36"/>
      <c r="D4474" s="37"/>
      <c r="E4474" s="36"/>
      <c r="F4474" s="42"/>
      <c r="G4474" s="42"/>
      <c r="H4474" s="42"/>
      <c r="AG4474" s="19">
        <v>4473</v>
      </c>
      <c r="AH4474" s="20">
        <v>2223.03479700868</v>
      </c>
    </row>
    <row r="4475" spans="1:34" ht="14.5" x14ac:dyDescent="0.35">
      <c r="A4475" s="34"/>
      <c r="B4475" s="35"/>
      <c r="C4475" s="36"/>
      <c r="D4475" s="37"/>
      <c r="E4475" s="36"/>
      <c r="F4475" s="42"/>
      <c r="G4475" s="42"/>
      <c r="H4475" s="42"/>
      <c r="AG4475" s="19">
        <v>4474</v>
      </c>
      <c r="AH4475" s="20">
        <v>1786.8753566694793</v>
      </c>
    </row>
    <row r="4476" spans="1:34" ht="14.5" x14ac:dyDescent="0.35">
      <c r="A4476" s="34"/>
      <c r="B4476" s="35"/>
      <c r="C4476" s="36"/>
      <c r="D4476" s="37"/>
      <c r="E4476" s="36"/>
      <c r="F4476" s="42"/>
      <c r="G4476" s="42"/>
      <c r="H4476" s="42"/>
      <c r="AG4476" s="19">
        <v>4475</v>
      </c>
      <c r="AH4476" s="20">
        <v>1857.6648988542465</v>
      </c>
    </row>
    <row r="4477" spans="1:34" ht="14.5" x14ac:dyDescent="0.35">
      <c r="A4477" s="34"/>
      <c r="B4477" s="35"/>
      <c r="C4477" s="36"/>
      <c r="D4477" s="37"/>
      <c r="E4477" s="36"/>
      <c r="F4477" s="42"/>
      <c r="G4477" s="42"/>
      <c r="H4477" s="42"/>
      <c r="AG4477" s="19">
        <v>4476</v>
      </c>
      <c r="AH4477" s="20">
        <v>1569.0828933336909</v>
      </c>
    </row>
    <row r="4478" spans="1:34" ht="14.5" x14ac:dyDescent="0.35">
      <c r="A4478" s="34"/>
      <c r="B4478" s="35"/>
      <c r="C4478" s="36"/>
      <c r="D4478" s="37"/>
      <c r="E4478" s="36"/>
      <c r="F4478" s="42"/>
      <c r="G4478" s="42"/>
      <c r="H4478" s="42"/>
      <c r="AG4478" s="19">
        <v>4477</v>
      </c>
      <c r="AH4478" s="20">
        <v>-1845.600188314733</v>
      </c>
    </row>
    <row r="4479" spans="1:34" ht="14.5" x14ac:dyDescent="0.35">
      <c r="A4479" s="34"/>
      <c r="B4479" s="35"/>
      <c r="C4479" s="36"/>
      <c r="D4479" s="37"/>
      <c r="E4479" s="36"/>
      <c r="F4479" s="42"/>
      <c r="G4479" s="42"/>
      <c r="H4479" s="42"/>
      <c r="AG4479" s="19">
        <v>4478</v>
      </c>
      <c r="AH4479" s="20">
        <v>2833.5105256683441</v>
      </c>
    </row>
    <row r="4480" spans="1:34" ht="14.5" x14ac:dyDescent="0.35">
      <c r="A4480" s="34"/>
      <c r="B4480" s="35"/>
      <c r="C4480" s="36"/>
      <c r="D4480" s="37"/>
      <c r="E4480" s="36"/>
      <c r="F4480" s="42"/>
      <c r="G4480" s="42"/>
      <c r="H4480" s="42"/>
      <c r="AG4480" s="19">
        <v>4479</v>
      </c>
      <c r="AH4480" s="20">
        <v>1730.2369007719201</v>
      </c>
    </row>
    <row r="4481" spans="1:34" ht="14.5" x14ac:dyDescent="0.35">
      <c r="A4481" s="34"/>
      <c r="B4481" s="35"/>
      <c r="C4481" s="36"/>
      <c r="D4481" s="37"/>
      <c r="E4481" s="36"/>
      <c r="F4481" s="42"/>
      <c r="G4481" s="42"/>
      <c r="H4481" s="42"/>
      <c r="AG4481" s="19">
        <v>4480</v>
      </c>
      <c r="AH4481" s="20">
        <v>3939.6809849342762</v>
      </c>
    </row>
    <row r="4482" spans="1:34" ht="14.5" x14ac:dyDescent="0.35">
      <c r="A4482" s="34"/>
      <c r="B4482" s="35"/>
      <c r="C4482" s="36"/>
      <c r="D4482" s="37"/>
      <c r="E4482" s="36"/>
      <c r="F4482" s="42"/>
      <c r="G4482" s="42"/>
      <c r="H4482" s="42"/>
      <c r="AG4482" s="19">
        <v>4481</v>
      </c>
      <c r="AH4482" s="20">
        <v>2292.9733453601948</v>
      </c>
    </row>
    <row r="4483" spans="1:34" ht="14.5" x14ac:dyDescent="0.35">
      <c r="A4483" s="34"/>
      <c r="B4483" s="35"/>
      <c r="C4483" s="36"/>
      <c r="D4483" s="37"/>
      <c r="E4483" s="36"/>
      <c r="F4483" s="42"/>
      <c r="G4483" s="42"/>
      <c r="H4483" s="42"/>
      <c r="AG4483" s="19">
        <v>4482</v>
      </c>
      <c r="AH4483" s="20">
        <v>-498.04520063622994</v>
      </c>
    </row>
    <row r="4484" spans="1:34" ht="14.5" x14ac:dyDescent="0.35">
      <c r="A4484" s="34"/>
      <c r="B4484" s="35"/>
      <c r="C4484" s="36"/>
      <c r="D4484" s="37"/>
      <c r="E4484" s="36"/>
      <c r="F4484" s="42"/>
      <c r="G4484" s="42"/>
      <c r="H4484" s="42"/>
      <c r="AG4484" s="19">
        <v>4483</v>
      </c>
      <c r="AH4484" s="20">
        <v>1972.9875405159314</v>
      </c>
    </row>
    <row r="4485" spans="1:34" ht="14.5" x14ac:dyDescent="0.35">
      <c r="A4485" s="34"/>
      <c r="B4485" s="35"/>
      <c r="C4485" s="36"/>
      <c r="D4485" s="37"/>
      <c r="E4485" s="36"/>
      <c r="F4485" s="42"/>
      <c r="G4485" s="42"/>
      <c r="H4485" s="42"/>
      <c r="AG4485" s="19">
        <v>4484</v>
      </c>
      <c r="AH4485" s="20">
        <v>-1964.261270634631</v>
      </c>
    </row>
    <row r="4486" spans="1:34" ht="14.5" x14ac:dyDescent="0.35">
      <c r="A4486" s="34"/>
      <c r="B4486" s="35"/>
      <c r="C4486" s="36"/>
      <c r="D4486" s="37"/>
      <c r="E4486" s="36"/>
      <c r="F4486" s="42"/>
      <c r="G4486" s="42"/>
      <c r="H4486" s="42"/>
      <c r="AG4486" s="19">
        <v>4485</v>
      </c>
      <c r="AH4486" s="20">
        <v>272.99544346628301</v>
      </c>
    </row>
    <row r="4487" spans="1:34" ht="14.5" x14ac:dyDescent="0.35">
      <c r="A4487" s="34"/>
      <c r="B4487" s="35"/>
      <c r="C4487" s="36"/>
      <c r="D4487" s="37"/>
      <c r="E4487" s="36"/>
      <c r="F4487" s="42"/>
      <c r="G4487" s="42"/>
      <c r="H4487" s="42"/>
      <c r="AG4487" s="19">
        <v>4486</v>
      </c>
      <c r="AH4487" s="20">
        <v>1651.3948370069463</v>
      </c>
    </row>
    <row r="4488" spans="1:34" ht="14.5" x14ac:dyDescent="0.35">
      <c r="A4488" s="34"/>
      <c r="B4488" s="35"/>
      <c r="C4488" s="36"/>
      <c r="D4488" s="37"/>
      <c r="E4488" s="36"/>
      <c r="F4488" s="42"/>
      <c r="G4488" s="42"/>
      <c r="H4488" s="42"/>
      <c r="AG4488" s="19">
        <v>4487</v>
      </c>
      <c r="AH4488" s="20">
        <v>-829.12090281876976</v>
      </c>
    </row>
    <row r="4489" spans="1:34" ht="14.5" x14ac:dyDescent="0.35">
      <c r="A4489" s="34"/>
      <c r="B4489" s="35"/>
      <c r="C4489" s="36"/>
      <c r="D4489" s="37"/>
      <c r="E4489" s="36"/>
      <c r="F4489" s="42"/>
      <c r="G4489" s="42"/>
      <c r="H4489" s="42"/>
      <c r="AG4489" s="19">
        <v>4488</v>
      </c>
      <c r="AH4489" s="20">
        <v>-1833.4228438464986</v>
      </c>
    </row>
    <row r="4490" spans="1:34" ht="14.5" x14ac:dyDescent="0.35">
      <c r="A4490" s="34"/>
      <c r="B4490" s="35"/>
      <c r="C4490" s="36"/>
      <c r="D4490" s="37"/>
      <c r="E4490" s="36"/>
      <c r="F4490" s="42"/>
      <c r="G4490" s="42"/>
      <c r="H4490" s="42"/>
      <c r="AG4490" s="19">
        <v>4489</v>
      </c>
      <c r="AH4490" s="20">
        <v>-630.43823569830943</v>
      </c>
    </row>
    <row r="4491" spans="1:34" ht="14.5" x14ac:dyDescent="0.35">
      <c r="A4491" s="34"/>
      <c r="B4491" s="35"/>
      <c r="C4491" s="36"/>
      <c r="D4491" s="37"/>
      <c r="E4491" s="36"/>
      <c r="F4491" s="42"/>
      <c r="G4491" s="42"/>
      <c r="H4491" s="42"/>
      <c r="AG4491" s="19">
        <v>4490</v>
      </c>
      <c r="AH4491" s="20">
        <v>-178.94428115605803</v>
      </c>
    </row>
    <row r="4492" spans="1:34" ht="14.5" x14ac:dyDescent="0.35">
      <c r="A4492" s="34"/>
      <c r="B4492" s="35"/>
      <c r="C4492" s="36"/>
      <c r="D4492" s="37"/>
      <c r="E4492" s="36"/>
      <c r="F4492" s="42"/>
      <c r="G4492" s="42"/>
      <c r="H4492" s="42"/>
      <c r="AG4492" s="19">
        <v>4491</v>
      </c>
      <c r="AH4492" s="20">
        <v>-1188.4123120455747</v>
      </c>
    </row>
    <row r="4493" spans="1:34" ht="14.5" x14ac:dyDescent="0.35">
      <c r="A4493" s="34"/>
      <c r="B4493" s="35"/>
      <c r="C4493" s="36"/>
      <c r="D4493" s="37"/>
      <c r="E4493" s="36"/>
      <c r="F4493" s="42"/>
      <c r="G4493" s="42"/>
      <c r="H4493" s="42"/>
      <c r="AG4493" s="19">
        <v>4492</v>
      </c>
      <c r="AH4493" s="20">
        <v>2896.6330493953892</v>
      </c>
    </row>
    <row r="4494" spans="1:34" ht="14.5" x14ac:dyDescent="0.35">
      <c r="A4494" s="34"/>
      <c r="B4494" s="35"/>
      <c r="C4494" s="36"/>
      <c r="D4494" s="37"/>
      <c r="E4494" s="36"/>
      <c r="F4494" s="42"/>
      <c r="G4494" s="42"/>
      <c r="H4494" s="42"/>
      <c r="AG4494" s="19">
        <v>4493</v>
      </c>
      <c r="AH4494" s="20">
        <v>170.2999203504051</v>
      </c>
    </row>
    <row r="4495" spans="1:34" ht="14.5" x14ac:dyDescent="0.35">
      <c r="A4495" s="34"/>
      <c r="B4495" s="35"/>
      <c r="C4495" s="36"/>
      <c r="D4495" s="37"/>
      <c r="E4495" s="36"/>
      <c r="F4495" s="42"/>
      <c r="G4495" s="42"/>
      <c r="H4495" s="42"/>
      <c r="AG4495" s="19">
        <v>4494</v>
      </c>
      <c r="AH4495" s="20">
        <v>3922.2032296837947</v>
      </c>
    </row>
    <row r="4496" spans="1:34" ht="14.5" x14ac:dyDescent="0.35">
      <c r="A4496" s="34"/>
      <c r="B4496" s="35"/>
      <c r="C4496" s="36"/>
      <c r="D4496" s="37"/>
      <c r="E4496" s="36"/>
      <c r="F4496" s="42"/>
      <c r="G4496" s="42"/>
      <c r="H4496" s="42"/>
      <c r="AG4496" s="19">
        <v>4495</v>
      </c>
      <c r="AH4496" s="20">
        <v>445.65372515549245</v>
      </c>
    </row>
    <row r="4497" spans="1:34" ht="14.5" x14ac:dyDescent="0.35">
      <c r="A4497" s="34"/>
      <c r="B4497" s="35"/>
      <c r="C4497" s="36"/>
      <c r="D4497" s="37"/>
      <c r="E4497" s="36"/>
      <c r="F4497" s="42"/>
      <c r="G4497" s="42"/>
      <c r="H4497" s="42"/>
      <c r="AG4497" s="19">
        <v>4496</v>
      </c>
      <c r="AH4497" s="20">
        <v>836.66883507210264</v>
      </c>
    </row>
    <row r="4498" spans="1:34" ht="14.5" x14ac:dyDescent="0.35">
      <c r="A4498" s="34"/>
      <c r="B4498" s="35"/>
      <c r="C4498" s="36"/>
      <c r="D4498" s="37"/>
      <c r="E4498" s="36"/>
      <c r="F4498" s="42"/>
      <c r="G4498" s="42"/>
      <c r="H4498" s="42"/>
      <c r="AG4498" s="19">
        <v>4497</v>
      </c>
      <c r="AH4498" s="20">
        <v>707.89940829460784</v>
      </c>
    </row>
    <row r="4499" spans="1:34" ht="14.5" x14ac:dyDescent="0.35">
      <c r="A4499" s="34"/>
      <c r="B4499" s="35"/>
      <c r="C4499" s="36"/>
      <c r="D4499" s="37"/>
      <c r="E4499" s="36"/>
      <c r="F4499" s="42"/>
      <c r="G4499" s="42"/>
      <c r="H4499" s="42"/>
      <c r="AG4499" s="19">
        <v>4498</v>
      </c>
      <c r="AH4499" s="20">
        <v>-1302.2447776498136</v>
      </c>
    </row>
    <row r="4500" spans="1:34" ht="14.5" x14ac:dyDescent="0.35">
      <c r="A4500" s="34"/>
      <c r="B4500" s="35"/>
      <c r="C4500" s="36"/>
      <c r="D4500" s="37"/>
      <c r="E4500" s="36"/>
      <c r="F4500" s="42"/>
      <c r="G4500" s="42"/>
      <c r="H4500" s="42"/>
      <c r="AG4500" s="19">
        <v>4499</v>
      </c>
      <c r="AH4500" s="20">
        <v>4978.8098853283091</v>
      </c>
    </row>
    <row r="4501" spans="1:34" ht="14.5" x14ac:dyDescent="0.35">
      <c r="A4501" s="34"/>
      <c r="B4501" s="35"/>
      <c r="C4501" s="36"/>
      <c r="D4501" s="37"/>
      <c r="E4501" s="36"/>
      <c r="F4501" s="42"/>
      <c r="G4501" s="42"/>
      <c r="H4501" s="42"/>
      <c r="AG4501" s="19">
        <v>4500</v>
      </c>
      <c r="AH4501" s="20">
        <v>5289.0009053337271</v>
      </c>
    </row>
    <row r="4502" spans="1:34" ht="14.5" x14ac:dyDescent="0.35">
      <c r="A4502" s="34"/>
      <c r="B4502" s="35"/>
      <c r="C4502" s="36"/>
      <c r="D4502" s="37"/>
      <c r="E4502" s="36"/>
      <c r="F4502" s="42"/>
      <c r="G4502" s="42"/>
      <c r="H4502" s="42"/>
      <c r="AG4502" s="19">
        <v>4501</v>
      </c>
      <c r="AH4502" s="20">
        <v>-2179.9625300425232</v>
      </c>
    </row>
    <row r="4503" spans="1:34" ht="14.5" x14ac:dyDescent="0.35">
      <c r="A4503" s="34"/>
      <c r="B4503" s="35"/>
      <c r="C4503" s="36"/>
      <c r="D4503" s="37"/>
      <c r="E4503" s="36"/>
      <c r="F4503" s="42"/>
      <c r="G4503" s="42"/>
      <c r="H4503" s="42"/>
      <c r="AG4503" s="19">
        <v>4502</v>
      </c>
      <c r="AH4503" s="20">
        <v>-983.11316454639723</v>
      </c>
    </row>
    <row r="4504" spans="1:34" ht="14.5" x14ac:dyDescent="0.35">
      <c r="A4504" s="34"/>
      <c r="B4504" s="35"/>
      <c r="C4504" s="36"/>
      <c r="D4504" s="37"/>
      <c r="E4504" s="36"/>
      <c r="F4504" s="42"/>
      <c r="G4504" s="42"/>
      <c r="H4504" s="42"/>
      <c r="AG4504" s="19">
        <v>4503</v>
      </c>
      <c r="AH4504" s="20">
        <v>2281.7121887439143</v>
      </c>
    </row>
    <row r="4505" spans="1:34" ht="14.5" x14ac:dyDescent="0.35">
      <c r="A4505" s="34"/>
      <c r="B4505" s="35"/>
      <c r="C4505" s="36"/>
      <c r="D4505" s="37"/>
      <c r="E4505" s="36"/>
      <c r="F4505" s="42"/>
      <c r="G4505" s="42"/>
      <c r="H4505" s="42"/>
      <c r="AG4505" s="19">
        <v>4504</v>
      </c>
      <c r="AH4505" s="20">
        <v>-1024.5685804363234</v>
      </c>
    </row>
    <row r="4506" spans="1:34" ht="14.5" x14ac:dyDescent="0.35">
      <c r="A4506" s="34"/>
      <c r="B4506" s="35"/>
      <c r="C4506" s="36"/>
      <c r="D4506" s="37"/>
      <c r="E4506" s="36"/>
      <c r="F4506" s="42"/>
      <c r="G4506" s="42"/>
      <c r="H4506" s="42"/>
      <c r="AG4506" s="19">
        <v>4505</v>
      </c>
      <c r="AH4506" s="20">
        <v>237.60417262462244</v>
      </c>
    </row>
    <row r="4507" spans="1:34" ht="14.5" x14ac:dyDescent="0.35">
      <c r="A4507" s="34"/>
      <c r="B4507" s="35"/>
      <c r="C4507" s="36"/>
      <c r="D4507" s="37"/>
      <c r="E4507" s="36"/>
      <c r="F4507" s="42"/>
      <c r="G4507" s="42"/>
      <c r="H4507" s="42"/>
      <c r="AG4507" s="19">
        <v>4506</v>
      </c>
      <c r="AH4507" s="20">
        <v>-969.45617471810351</v>
      </c>
    </row>
    <row r="4508" spans="1:34" ht="14.5" x14ac:dyDescent="0.35">
      <c r="A4508" s="34"/>
      <c r="B4508" s="35"/>
      <c r="C4508" s="36"/>
      <c r="D4508" s="37"/>
      <c r="E4508" s="36"/>
      <c r="F4508" s="42"/>
      <c r="G4508" s="42"/>
      <c r="H4508" s="42"/>
      <c r="AG4508" s="19">
        <v>4507</v>
      </c>
      <c r="AH4508" s="20">
        <v>-1145.115362377401</v>
      </c>
    </row>
    <row r="4509" spans="1:34" ht="14.5" x14ac:dyDescent="0.35">
      <c r="A4509" s="34"/>
      <c r="B4509" s="35"/>
      <c r="C4509" s="36"/>
      <c r="D4509" s="37"/>
      <c r="E4509" s="36"/>
      <c r="F4509" s="42"/>
      <c r="G4509" s="42"/>
      <c r="H4509" s="42"/>
      <c r="AG4509" s="19">
        <v>4508</v>
      </c>
      <c r="AH4509" s="20">
        <v>-296.74749277134396</v>
      </c>
    </row>
    <row r="4510" spans="1:34" ht="14.5" x14ac:dyDescent="0.35">
      <c r="A4510" s="34"/>
      <c r="B4510" s="35"/>
      <c r="C4510" s="36"/>
      <c r="D4510" s="37"/>
      <c r="E4510" s="36"/>
      <c r="F4510" s="42"/>
      <c r="G4510" s="42"/>
      <c r="H4510" s="42"/>
      <c r="AG4510" s="19">
        <v>4509</v>
      </c>
      <c r="AH4510" s="20">
        <v>-1664.2066571929774</v>
      </c>
    </row>
    <row r="4511" spans="1:34" ht="14.5" x14ac:dyDescent="0.35">
      <c r="A4511" s="34"/>
      <c r="B4511" s="35"/>
      <c r="C4511" s="36"/>
      <c r="D4511" s="37"/>
      <c r="E4511" s="36"/>
      <c r="F4511" s="42"/>
      <c r="G4511" s="42"/>
      <c r="H4511" s="42"/>
      <c r="AG4511" s="19">
        <v>4510</v>
      </c>
      <c r="AH4511" s="20">
        <v>111.42540507683668</v>
      </c>
    </row>
    <row r="4512" spans="1:34" ht="14.5" x14ac:dyDescent="0.35">
      <c r="A4512" s="34"/>
      <c r="B4512" s="35"/>
      <c r="C4512" s="36"/>
      <c r="D4512" s="37"/>
      <c r="E4512" s="36"/>
      <c r="F4512" s="42"/>
      <c r="G4512" s="42"/>
      <c r="H4512" s="42"/>
      <c r="AG4512" s="19">
        <v>4511</v>
      </c>
      <c r="AH4512" s="20">
        <v>271.79302995103876</v>
      </c>
    </row>
    <row r="4513" spans="1:34" ht="14.5" x14ac:dyDescent="0.35">
      <c r="A4513" s="34"/>
      <c r="B4513" s="35"/>
      <c r="C4513" s="36"/>
      <c r="D4513" s="37"/>
      <c r="E4513" s="36"/>
      <c r="F4513" s="42"/>
      <c r="G4513" s="42"/>
      <c r="H4513" s="42"/>
      <c r="AG4513" s="19">
        <v>4512</v>
      </c>
      <c r="AH4513" s="20">
        <v>3801.1458736774653</v>
      </c>
    </row>
    <row r="4514" spans="1:34" ht="14.5" x14ac:dyDescent="0.35">
      <c r="A4514" s="34"/>
      <c r="B4514" s="35"/>
      <c r="C4514" s="36"/>
      <c r="D4514" s="37"/>
      <c r="E4514" s="36"/>
      <c r="F4514" s="42"/>
      <c r="G4514" s="42"/>
      <c r="H4514" s="42"/>
      <c r="AG4514" s="19">
        <v>4513</v>
      </c>
      <c r="AH4514" s="20">
        <v>114.66834577821999</v>
      </c>
    </row>
    <row r="4515" spans="1:34" ht="14.5" x14ac:dyDescent="0.35">
      <c r="A4515" s="34"/>
      <c r="B4515" s="35"/>
      <c r="C4515" s="36"/>
      <c r="D4515" s="37"/>
      <c r="E4515" s="36"/>
      <c r="F4515" s="42"/>
      <c r="G4515" s="42"/>
      <c r="H4515" s="42"/>
      <c r="AG4515" s="19">
        <v>4514</v>
      </c>
      <c r="AH4515" s="20">
        <v>1185.9893375695401</v>
      </c>
    </row>
    <row r="4516" spans="1:34" ht="14.5" x14ac:dyDescent="0.35">
      <c r="A4516" s="34"/>
      <c r="B4516" s="35"/>
      <c r="C4516" s="36"/>
      <c r="D4516" s="37"/>
      <c r="E4516" s="36"/>
      <c r="F4516" s="42"/>
      <c r="G4516" s="42"/>
      <c r="H4516" s="42"/>
      <c r="AG4516" s="19">
        <v>4515</v>
      </c>
      <c r="AH4516" s="20">
        <v>2304.5360357048603</v>
      </c>
    </row>
    <row r="4517" spans="1:34" ht="14.5" x14ac:dyDescent="0.35">
      <c r="A4517" s="34"/>
      <c r="B4517" s="35"/>
      <c r="C4517" s="36"/>
      <c r="D4517" s="37"/>
      <c r="E4517" s="36"/>
      <c r="F4517" s="42"/>
      <c r="G4517" s="42"/>
      <c r="H4517" s="42"/>
      <c r="AG4517" s="19">
        <v>4516</v>
      </c>
      <c r="AH4517" s="20">
        <v>547.91242725583913</v>
      </c>
    </row>
    <row r="4518" spans="1:34" ht="14.5" x14ac:dyDescent="0.35">
      <c r="A4518" s="34"/>
      <c r="B4518" s="35"/>
      <c r="C4518" s="36"/>
      <c r="D4518" s="37"/>
      <c r="E4518" s="36"/>
      <c r="F4518" s="42"/>
      <c r="G4518" s="42"/>
      <c r="H4518" s="42"/>
      <c r="AG4518" s="19">
        <v>4517</v>
      </c>
      <c r="AH4518" s="20">
        <v>204.52728175283261</v>
      </c>
    </row>
    <row r="4519" spans="1:34" ht="14.5" x14ac:dyDescent="0.35">
      <c r="A4519" s="34"/>
      <c r="B4519" s="35"/>
      <c r="C4519" s="36"/>
      <c r="D4519" s="37"/>
      <c r="E4519" s="36"/>
      <c r="F4519" s="42"/>
      <c r="G4519" s="42"/>
      <c r="H4519" s="42"/>
      <c r="AG4519" s="19">
        <v>4518</v>
      </c>
      <c r="AH4519" s="20">
        <v>1539.5127275124605</v>
      </c>
    </row>
    <row r="4520" spans="1:34" ht="14.5" x14ac:dyDescent="0.35">
      <c r="A4520" s="34"/>
      <c r="B4520" s="35"/>
      <c r="C4520" s="36"/>
      <c r="D4520" s="37"/>
      <c r="E4520" s="36"/>
      <c r="F4520" s="42"/>
      <c r="G4520" s="42"/>
      <c r="H4520" s="42"/>
      <c r="AG4520" s="19">
        <v>4519</v>
      </c>
      <c r="AH4520" s="20">
        <v>2583.8509509343962</v>
      </c>
    </row>
    <row r="4521" spans="1:34" ht="14.5" x14ac:dyDescent="0.35">
      <c r="A4521" s="34"/>
      <c r="B4521" s="35"/>
      <c r="C4521" s="36"/>
      <c r="D4521" s="37"/>
      <c r="E4521" s="36"/>
      <c r="F4521" s="42"/>
      <c r="G4521" s="42"/>
      <c r="H4521" s="42"/>
      <c r="AG4521" s="19">
        <v>4520</v>
      </c>
      <c r="AH4521" s="20">
        <v>-1100.1254910424198</v>
      </c>
    </row>
    <row r="4522" spans="1:34" ht="14.5" x14ac:dyDescent="0.35">
      <c r="A4522" s="34"/>
      <c r="B4522" s="35"/>
      <c r="C4522" s="36"/>
      <c r="D4522" s="37"/>
      <c r="E4522" s="36"/>
      <c r="F4522" s="42"/>
      <c r="G4522" s="42"/>
      <c r="H4522" s="42"/>
      <c r="AG4522" s="19">
        <v>4521</v>
      </c>
      <c r="AH4522" s="20">
        <v>2183.4857576082672</v>
      </c>
    </row>
    <row r="4523" spans="1:34" ht="14.5" x14ac:dyDescent="0.35">
      <c r="A4523" s="34"/>
      <c r="B4523" s="35"/>
      <c r="C4523" s="36"/>
      <c r="D4523" s="37"/>
      <c r="E4523" s="36"/>
      <c r="F4523" s="42"/>
      <c r="G4523" s="42"/>
      <c r="H4523" s="42"/>
      <c r="AG4523" s="19">
        <v>4522</v>
      </c>
      <c r="AH4523" s="20">
        <v>-453.38594309599483</v>
      </c>
    </row>
    <row r="4524" spans="1:34" ht="14.5" x14ac:dyDescent="0.35">
      <c r="A4524" s="34"/>
      <c r="B4524" s="35"/>
      <c r="C4524" s="36"/>
      <c r="D4524" s="37"/>
      <c r="E4524" s="36"/>
      <c r="F4524" s="42"/>
      <c r="G4524" s="42"/>
      <c r="H4524" s="42"/>
      <c r="AG4524" s="19">
        <v>4523</v>
      </c>
      <c r="AH4524" s="20">
        <v>-759.95627182251314</v>
      </c>
    </row>
    <row r="4525" spans="1:34" ht="14.5" x14ac:dyDescent="0.35">
      <c r="A4525" s="34"/>
      <c r="B4525" s="35"/>
      <c r="C4525" s="36"/>
      <c r="D4525" s="37"/>
      <c r="E4525" s="36"/>
      <c r="F4525" s="42"/>
      <c r="G4525" s="42"/>
      <c r="H4525" s="42"/>
      <c r="AG4525" s="19">
        <v>4524</v>
      </c>
      <c r="AH4525" s="20">
        <v>2213.8333805914626</v>
      </c>
    </row>
    <row r="4526" spans="1:34" ht="14.5" x14ac:dyDescent="0.35">
      <c r="A4526" s="34"/>
      <c r="B4526" s="35"/>
      <c r="C4526" s="36"/>
      <c r="D4526" s="37"/>
      <c r="E4526" s="36"/>
      <c r="F4526" s="42"/>
      <c r="G4526" s="42"/>
      <c r="H4526" s="42"/>
      <c r="AG4526" s="19">
        <v>4525</v>
      </c>
      <c r="AH4526" s="20">
        <v>939.45321459118441</v>
      </c>
    </row>
    <row r="4527" spans="1:34" ht="14.5" x14ac:dyDescent="0.35">
      <c r="A4527" s="34"/>
      <c r="B4527" s="35"/>
      <c r="C4527" s="36"/>
      <c r="D4527" s="37"/>
      <c r="E4527" s="36"/>
      <c r="F4527" s="42"/>
      <c r="G4527" s="42"/>
      <c r="H4527" s="42"/>
      <c r="AG4527" s="19">
        <v>4526</v>
      </c>
      <c r="AH4527" s="20">
        <v>1246.785408586996</v>
      </c>
    </row>
    <row r="4528" spans="1:34" ht="14.5" x14ac:dyDescent="0.35">
      <c r="A4528" s="34"/>
      <c r="B4528" s="35"/>
      <c r="C4528" s="36"/>
      <c r="D4528" s="37"/>
      <c r="E4528" s="36"/>
      <c r="F4528" s="42"/>
      <c r="G4528" s="42"/>
      <c r="H4528" s="42"/>
      <c r="AG4528" s="19">
        <v>4527</v>
      </c>
      <c r="AH4528" s="20">
        <v>-2005.8129518079147</v>
      </c>
    </row>
    <row r="4529" spans="1:34" ht="14.5" x14ac:dyDescent="0.35">
      <c r="A4529" s="34"/>
      <c r="B4529" s="35"/>
      <c r="C4529" s="36"/>
      <c r="D4529" s="37"/>
      <c r="E4529" s="36"/>
      <c r="F4529" s="42"/>
      <c r="G4529" s="42"/>
      <c r="H4529" s="42"/>
      <c r="AG4529" s="19">
        <v>4528</v>
      </c>
      <c r="AH4529" s="20">
        <v>5505.9554404243199</v>
      </c>
    </row>
    <row r="4530" spans="1:34" ht="14.5" x14ac:dyDescent="0.35">
      <c r="A4530" s="34"/>
      <c r="B4530" s="35"/>
      <c r="C4530" s="36"/>
      <c r="D4530" s="37"/>
      <c r="E4530" s="36"/>
      <c r="F4530" s="42"/>
      <c r="G4530" s="42"/>
      <c r="H4530" s="42"/>
      <c r="AG4530" s="19">
        <v>4529</v>
      </c>
      <c r="AH4530" s="20">
        <v>-1331.4068737370917</v>
      </c>
    </row>
    <row r="4531" spans="1:34" ht="14.5" x14ac:dyDescent="0.35">
      <c r="A4531" s="34"/>
      <c r="B4531" s="35"/>
      <c r="C4531" s="36"/>
      <c r="D4531" s="37"/>
      <c r="E4531" s="36"/>
      <c r="F4531" s="42"/>
      <c r="G4531" s="42"/>
      <c r="H4531" s="42"/>
      <c r="AG4531" s="19">
        <v>4530</v>
      </c>
      <c r="AH4531" s="20">
        <v>-164.84396599446228</v>
      </c>
    </row>
    <row r="4532" spans="1:34" ht="14.5" x14ac:dyDescent="0.35">
      <c r="A4532" s="34"/>
      <c r="B4532" s="35"/>
      <c r="C4532" s="36"/>
      <c r="D4532" s="37"/>
      <c r="E4532" s="36"/>
      <c r="F4532" s="42"/>
      <c r="G4532" s="42"/>
      <c r="H4532" s="42"/>
      <c r="AG4532" s="19">
        <v>4531</v>
      </c>
      <c r="AH4532" s="20">
        <v>676.5481885974973</v>
      </c>
    </row>
    <row r="4533" spans="1:34" ht="14.5" x14ac:dyDescent="0.35">
      <c r="A4533" s="34"/>
      <c r="B4533" s="35"/>
      <c r="C4533" s="36"/>
      <c r="D4533" s="37"/>
      <c r="E4533" s="36"/>
      <c r="F4533" s="42"/>
      <c r="G4533" s="42"/>
      <c r="H4533" s="42"/>
      <c r="AG4533" s="19">
        <v>4532</v>
      </c>
      <c r="AH4533" s="20">
        <v>1794.5307472536156</v>
      </c>
    </row>
    <row r="4534" spans="1:34" ht="14.5" x14ac:dyDescent="0.35">
      <c r="A4534" s="34"/>
      <c r="B4534" s="35"/>
      <c r="C4534" s="36"/>
      <c r="D4534" s="37"/>
      <c r="E4534" s="36"/>
      <c r="F4534" s="42"/>
      <c r="G4534" s="42"/>
      <c r="H4534" s="42"/>
      <c r="AG4534" s="19">
        <v>4533</v>
      </c>
      <c r="AH4534" s="20">
        <v>2620.309849912665</v>
      </c>
    </row>
    <row r="4535" spans="1:34" ht="14.5" x14ac:dyDescent="0.35">
      <c r="A4535" s="34"/>
      <c r="B4535" s="35"/>
      <c r="C4535" s="36"/>
      <c r="D4535" s="37"/>
      <c r="E4535" s="36"/>
      <c r="F4535" s="42"/>
      <c r="G4535" s="42"/>
      <c r="H4535" s="42"/>
      <c r="AG4535" s="19">
        <v>4534</v>
      </c>
      <c r="AH4535" s="20">
        <v>-663.90873213038799</v>
      </c>
    </row>
    <row r="4536" spans="1:34" ht="14.5" x14ac:dyDescent="0.35">
      <c r="A4536" s="34"/>
      <c r="B4536" s="35"/>
      <c r="C4536" s="36"/>
      <c r="D4536" s="37"/>
      <c r="E4536" s="36"/>
      <c r="F4536" s="42"/>
      <c r="G4536" s="42"/>
      <c r="H4536" s="42"/>
      <c r="AG4536" s="19">
        <v>4535</v>
      </c>
      <c r="AH4536" s="20">
        <v>1440.0374789276734</v>
      </c>
    </row>
    <row r="4537" spans="1:34" ht="14.5" x14ac:dyDescent="0.35">
      <c r="A4537" s="34"/>
      <c r="B4537" s="35"/>
      <c r="C4537" s="36"/>
      <c r="D4537" s="37"/>
      <c r="E4537" s="36"/>
      <c r="F4537" s="42"/>
      <c r="G4537" s="42"/>
      <c r="H4537" s="42"/>
      <c r="AG4537" s="19">
        <v>4536</v>
      </c>
      <c r="AH4537" s="20">
        <v>-2355.0439861281438</v>
      </c>
    </row>
    <row r="4538" spans="1:34" ht="14.5" x14ac:dyDescent="0.35">
      <c r="A4538" s="34"/>
      <c r="B4538" s="35"/>
      <c r="C4538" s="36"/>
      <c r="D4538" s="37"/>
      <c r="E4538" s="36"/>
      <c r="F4538" s="42"/>
      <c r="G4538" s="42"/>
      <c r="H4538" s="42"/>
      <c r="AG4538" s="19">
        <v>4537</v>
      </c>
      <c r="AH4538" s="20">
        <v>1235.74835368713</v>
      </c>
    </row>
    <row r="4539" spans="1:34" ht="14.5" x14ac:dyDescent="0.35">
      <c r="A4539" s="34"/>
      <c r="B4539" s="35"/>
      <c r="C4539" s="36"/>
      <c r="D4539" s="37"/>
      <c r="E4539" s="36"/>
      <c r="F4539" s="42"/>
      <c r="G4539" s="42"/>
      <c r="H4539" s="42"/>
      <c r="AG4539" s="19">
        <v>4538</v>
      </c>
      <c r="AH4539" s="20">
        <v>3585.1744941760635</v>
      </c>
    </row>
    <row r="4540" spans="1:34" ht="14.5" x14ac:dyDescent="0.35">
      <c r="A4540" s="34"/>
      <c r="B4540" s="35"/>
      <c r="C4540" s="36"/>
      <c r="D4540" s="37"/>
      <c r="E4540" s="36"/>
      <c r="F4540" s="42"/>
      <c r="G4540" s="42"/>
      <c r="H4540" s="42"/>
      <c r="AG4540" s="19">
        <v>4539</v>
      </c>
      <c r="AH4540" s="20">
        <v>-133.26000978771225</v>
      </c>
    </row>
    <row r="4541" spans="1:34" ht="14.5" x14ac:dyDescent="0.35">
      <c r="A4541" s="34"/>
      <c r="B4541" s="35"/>
      <c r="C4541" s="36"/>
      <c r="D4541" s="37"/>
      <c r="E4541" s="36"/>
      <c r="F4541" s="42"/>
      <c r="G4541" s="42"/>
      <c r="H4541" s="42"/>
      <c r="AG4541" s="19">
        <v>4540</v>
      </c>
      <c r="AH4541" s="20">
        <v>-2836.547110374328</v>
      </c>
    </row>
    <row r="4542" spans="1:34" ht="14.5" x14ac:dyDescent="0.35">
      <c r="A4542" s="34"/>
      <c r="B4542" s="35"/>
      <c r="C4542" s="36"/>
      <c r="D4542" s="37"/>
      <c r="E4542" s="36"/>
      <c r="F4542" s="42"/>
      <c r="G4542" s="42"/>
      <c r="H4542" s="42"/>
      <c r="AG4542" s="19">
        <v>4541</v>
      </c>
      <c r="AH4542" s="20">
        <v>895.15691830613446</v>
      </c>
    </row>
    <row r="4543" spans="1:34" ht="14.5" x14ac:dyDescent="0.35">
      <c r="A4543" s="34"/>
      <c r="B4543" s="35"/>
      <c r="C4543" s="36"/>
      <c r="D4543" s="37"/>
      <c r="E4543" s="36"/>
      <c r="F4543" s="42"/>
      <c r="G4543" s="42"/>
      <c r="H4543" s="42"/>
      <c r="AG4543" s="19">
        <v>4542</v>
      </c>
      <c r="AH4543" s="20">
        <v>-2180.6947253606513</v>
      </c>
    </row>
    <row r="4544" spans="1:34" ht="14.5" x14ac:dyDescent="0.35">
      <c r="A4544" s="34"/>
      <c r="B4544" s="35"/>
      <c r="C4544" s="36"/>
      <c r="D4544" s="37"/>
      <c r="E4544" s="36"/>
      <c r="F4544" s="42"/>
      <c r="G4544" s="42"/>
      <c r="H4544" s="42"/>
      <c r="AG4544" s="19">
        <v>4543</v>
      </c>
      <c r="AH4544" s="20">
        <v>-2964.7199501978312</v>
      </c>
    </row>
    <row r="4545" spans="1:34" ht="14.5" x14ac:dyDescent="0.35">
      <c r="A4545" s="34"/>
      <c r="B4545" s="35"/>
      <c r="C4545" s="36"/>
      <c r="D4545" s="37"/>
      <c r="E4545" s="36"/>
      <c r="F4545" s="42"/>
      <c r="G4545" s="42"/>
      <c r="H4545" s="42"/>
      <c r="AG4545" s="19">
        <v>4544</v>
      </c>
      <c r="AH4545" s="20">
        <v>-200.06196886572985</v>
      </c>
    </row>
    <row r="4546" spans="1:34" ht="14.5" x14ac:dyDescent="0.35">
      <c r="A4546" s="34"/>
      <c r="B4546" s="35"/>
      <c r="C4546" s="36"/>
      <c r="D4546" s="37"/>
      <c r="E4546" s="36"/>
      <c r="F4546" s="42"/>
      <c r="G4546" s="42"/>
      <c r="H4546" s="42"/>
      <c r="AG4546" s="19">
        <v>4545</v>
      </c>
      <c r="AH4546" s="20">
        <v>13.751286411251215</v>
      </c>
    </row>
    <row r="4547" spans="1:34" ht="14.5" x14ac:dyDescent="0.35">
      <c r="A4547" s="34"/>
      <c r="B4547" s="35"/>
      <c r="C4547" s="36"/>
      <c r="D4547" s="37"/>
      <c r="E4547" s="36"/>
      <c r="F4547" s="42"/>
      <c r="G4547" s="42"/>
      <c r="H4547" s="42"/>
      <c r="AG4547" s="19">
        <v>4546</v>
      </c>
      <c r="AH4547" s="20">
        <v>-1637.7392968245379</v>
      </c>
    </row>
    <row r="4548" spans="1:34" ht="14.5" x14ac:dyDescent="0.35">
      <c r="A4548" s="34"/>
      <c r="B4548" s="35"/>
      <c r="C4548" s="36"/>
      <c r="D4548" s="37"/>
      <c r="E4548" s="36"/>
      <c r="F4548" s="42"/>
      <c r="G4548" s="42"/>
      <c r="H4548" s="42"/>
      <c r="AG4548" s="19">
        <v>4547</v>
      </c>
      <c r="AH4548" s="20">
        <v>1794.1465115279625</v>
      </c>
    </row>
    <row r="4549" spans="1:34" ht="14.5" x14ac:dyDescent="0.35">
      <c r="A4549" s="34"/>
      <c r="B4549" s="35"/>
      <c r="C4549" s="36"/>
      <c r="D4549" s="37"/>
      <c r="E4549" s="36"/>
      <c r="F4549" s="42"/>
      <c r="G4549" s="42"/>
      <c r="H4549" s="42"/>
      <c r="AG4549" s="19">
        <v>4548</v>
      </c>
      <c r="AH4549" s="20">
        <v>-4025.0509735397509</v>
      </c>
    </row>
    <row r="4550" spans="1:34" ht="14.5" x14ac:dyDescent="0.35">
      <c r="A4550" s="34"/>
      <c r="B4550" s="35"/>
      <c r="C4550" s="36"/>
      <c r="D4550" s="37"/>
      <c r="E4550" s="36"/>
      <c r="F4550" s="42"/>
      <c r="G4550" s="42"/>
      <c r="H4550" s="42"/>
      <c r="AG4550" s="19">
        <v>4549</v>
      </c>
      <c r="AH4550" s="20">
        <v>-1268.1383610069111</v>
      </c>
    </row>
    <row r="4551" spans="1:34" ht="14.5" x14ac:dyDescent="0.35">
      <c r="A4551" s="34"/>
      <c r="B4551" s="35"/>
      <c r="C4551" s="36"/>
      <c r="D4551" s="37"/>
      <c r="E4551" s="36"/>
      <c r="F4551" s="42"/>
      <c r="G4551" s="42"/>
      <c r="H4551" s="42"/>
      <c r="AG4551" s="19">
        <v>4550</v>
      </c>
      <c r="AH4551" s="20">
        <v>2294.3009882886709</v>
      </c>
    </row>
    <row r="4552" spans="1:34" ht="14.5" x14ac:dyDescent="0.35">
      <c r="A4552" s="34"/>
      <c r="B4552" s="35"/>
      <c r="C4552" s="36"/>
      <c r="D4552" s="37"/>
      <c r="E4552" s="36"/>
      <c r="F4552" s="42"/>
      <c r="G4552" s="42"/>
      <c r="H4552" s="42"/>
      <c r="AG4552" s="19">
        <v>4551</v>
      </c>
      <c r="AH4552" s="20">
        <v>-1310.6421436408923</v>
      </c>
    </row>
    <row r="4553" spans="1:34" ht="14.5" x14ac:dyDescent="0.35">
      <c r="A4553" s="34"/>
      <c r="B4553" s="35"/>
      <c r="C4553" s="36"/>
      <c r="D4553" s="37"/>
      <c r="E4553" s="36"/>
      <c r="F4553" s="42"/>
      <c r="G4553" s="42"/>
      <c r="H4553" s="42"/>
      <c r="AG4553" s="19">
        <v>4552</v>
      </c>
      <c r="AH4553" s="20">
        <v>2950.9335750362698</v>
      </c>
    </row>
    <row r="4554" spans="1:34" ht="14.5" x14ac:dyDescent="0.35">
      <c r="A4554" s="34"/>
      <c r="B4554" s="35"/>
      <c r="C4554" s="36"/>
      <c r="D4554" s="37"/>
      <c r="E4554" s="36"/>
      <c r="F4554" s="42"/>
      <c r="G4554" s="42"/>
      <c r="H4554" s="42"/>
      <c r="AG4554" s="19">
        <v>4553</v>
      </c>
      <c r="AH4554" s="20">
        <v>1573.7661465271731</v>
      </c>
    </row>
    <row r="4555" spans="1:34" ht="14.5" x14ac:dyDescent="0.35">
      <c r="A4555" s="34"/>
      <c r="B4555" s="35"/>
      <c r="C4555" s="36"/>
      <c r="D4555" s="37"/>
      <c r="E4555" s="36"/>
      <c r="F4555" s="42"/>
      <c r="G4555" s="42"/>
      <c r="H4555" s="42"/>
      <c r="AG4555" s="19">
        <v>4554</v>
      </c>
      <c r="AH4555" s="20">
        <v>-3140.3237913557136</v>
      </c>
    </row>
    <row r="4556" spans="1:34" ht="14.5" x14ac:dyDescent="0.35">
      <c r="A4556" s="34"/>
      <c r="B4556" s="35"/>
      <c r="C4556" s="36"/>
      <c r="D4556" s="37"/>
      <c r="E4556" s="36"/>
      <c r="F4556" s="42"/>
      <c r="G4556" s="42"/>
      <c r="H4556" s="42"/>
      <c r="AG4556" s="19">
        <v>4555</v>
      </c>
      <c r="AH4556" s="20">
        <v>370.67008618325201</v>
      </c>
    </row>
    <row r="4557" spans="1:34" ht="14.5" x14ac:dyDescent="0.35">
      <c r="A4557" s="34"/>
      <c r="B4557" s="35"/>
      <c r="C4557" s="36"/>
      <c r="D4557" s="37"/>
      <c r="E4557" s="36"/>
      <c r="F4557" s="42"/>
      <c r="G4557" s="42"/>
      <c r="H4557" s="42"/>
      <c r="AG4557" s="19">
        <v>4556</v>
      </c>
      <c r="AH4557" s="20">
        <v>1899.1264619112833</v>
      </c>
    </row>
    <row r="4558" spans="1:34" ht="14.5" x14ac:dyDescent="0.35">
      <c r="A4558" s="34"/>
      <c r="B4558" s="35"/>
      <c r="C4558" s="36"/>
      <c r="D4558" s="37"/>
      <c r="E4558" s="36"/>
      <c r="F4558" s="42"/>
      <c r="G4558" s="42"/>
      <c r="H4558" s="42"/>
      <c r="AG4558" s="19">
        <v>4557</v>
      </c>
      <c r="AH4558" s="20">
        <v>-1029.3544273373809</v>
      </c>
    </row>
    <row r="4559" spans="1:34" ht="14.5" x14ac:dyDescent="0.35">
      <c r="A4559" s="34"/>
      <c r="B4559" s="35"/>
      <c r="C4559" s="36"/>
      <c r="D4559" s="37"/>
      <c r="E4559" s="36"/>
      <c r="F4559" s="42"/>
      <c r="G4559" s="42"/>
      <c r="H4559" s="42"/>
      <c r="AG4559" s="19">
        <v>4558</v>
      </c>
      <c r="AH4559" s="20">
        <v>107.35791903868954</v>
      </c>
    </row>
    <row r="4560" spans="1:34" ht="14.5" x14ac:dyDescent="0.35">
      <c r="A4560" s="34"/>
      <c r="B4560" s="35"/>
      <c r="C4560" s="36"/>
      <c r="D4560" s="37"/>
      <c r="E4560" s="36"/>
      <c r="F4560" s="42"/>
      <c r="G4560" s="42"/>
      <c r="H4560" s="42"/>
      <c r="AG4560" s="19">
        <v>4559</v>
      </c>
      <c r="AH4560" s="20">
        <v>1274.8420713678856</v>
      </c>
    </row>
    <row r="4561" spans="1:34" ht="14.5" x14ac:dyDescent="0.35">
      <c r="A4561" s="34"/>
      <c r="B4561" s="35"/>
      <c r="C4561" s="36"/>
      <c r="D4561" s="37"/>
      <c r="E4561" s="36"/>
      <c r="F4561" s="42"/>
      <c r="G4561" s="42"/>
      <c r="H4561" s="42"/>
      <c r="AG4561" s="19">
        <v>4560</v>
      </c>
      <c r="AH4561" s="20">
        <v>4742.7088841563982</v>
      </c>
    </row>
    <row r="4562" spans="1:34" ht="14.5" x14ac:dyDescent="0.35">
      <c r="A4562" s="34"/>
      <c r="B4562" s="35"/>
      <c r="C4562" s="36"/>
      <c r="D4562" s="37"/>
      <c r="E4562" s="36"/>
      <c r="F4562" s="42"/>
      <c r="G4562" s="42"/>
      <c r="H4562" s="42"/>
      <c r="AG4562" s="19">
        <v>4561</v>
      </c>
      <c r="AH4562" s="20">
        <v>778.40277164669715</v>
      </c>
    </row>
    <row r="4563" spans="1:34" ht="14.5" x14ac:dyDescent="0.35">
      <c r="A4563" s="34"/>
      <c r="B4563" s="35"/>
      <c r="C4563" s="36"/>
      <c r="D4563" s="37"/>
      <c r="E4563" s="36"/>
      <c r="F4563" s="42"/>
      <c r="G4563" s="42"/>
      <c r="H4563" s="42"/>
      <c r="AG4563" s="19">
        <v>4562</v>
      </c>
      <c r="AH4563" s="20">
        <v>1299.4291324260898</v>
      </c>
    </row>
    <row r="4564" spans="1:34" ht="14.5" x14ac:dyDescent="0.35">
      <c r="A4564" s="34"/>
      <c r="B4564" s="35"/>
      <c r="C4564" s="36"/>
      <c r="D4564" s="37"/>
      <c r="E4564" s="36"/>
      <c r="F4564" s="42"/>
      <c r="G4564" s="42"/>
      <c r="H4564" s="42"/>
      <c r="AG4564" s="19">
        <v>4563</v>
      </c>
      <c r="AH4564" s="20">
        <v>-514.16304166173063</v>
      </c>
    </row>
    <row r="4565" spans="1:34" ht="14.5" x14ac:dyDescent="0.35">
      <c r="A4565" s="34"/>
      <c r="B4565" s="35"/>
      <c r="C4565" s="36"/>
      <c r="D4565" s="37"/>
      <c r="E4565" s="36"/>
      <c r="F4565" s="42"/>
      <c r="G4565" s="42"/>
      <c r="H4565" s="42"/>
      <c r="AG4565" s="19">
        <v>4564</v>
      </c>
      <c r="AH4565" s="20">
        <v>2738.3816471387295</v>
      </c>
    </row>
    <row r="4566" spans="1:34" ht="14.5" x14ac:dyDescent="0.35">
      <c r="A4566" s="34"/>
      <c r="B4566" s="35"/>
      <c r="C4566" s="36"/>
      <c r="D4566" s="37"/>
      <c r="E4566" s="36"/>
      <c r="F4566" s="42"/>
      <c r="G4566" s="42"/>
      <c r="H4566" s="42"/>
      <c r="AG4566" s="19">
        <v>4565</v>
      </c>
      <c r="AH4566" s="20">
        <v>732.85943904162286</v>
      </c>
    </row>
    <row r="4567" spans="1:34" ht="14.5" x14ac:dyDescent="0.35">
      <c r="A4567" s="34"/>
      <c r="B4567" s="35"/>
      <c r="C4567" s="36"/>
      <c r="D4567" s="37"/>
      <c r="E4567" s="36"/>
      <c r="F4567" s="42"/>
      <c r="G4567" s="42"/>
      <c r="H4567" s="42"/>
      <c r="AG4567" s="19">
        <v>4566</v>
      </c>
      <c r="AH4567" s="20">
        <v>865.79713563496739</v>
      </c>
    </row>
    <row r="4568" spans="1:34" ht="14.5" x14ac:dyDescent="0.35">
      <c r="A4568" s="34"/>
      <c r="B4568" s="35"/>
      <c r="C4568" s="36"/>
      <c r="D4568" s="37"/>
      <c r="E4568" s="36"/>
      <c r="F4568" s="42"/>
      <c r="G4568" s="42"/>
      <c r="H4568" s="42"/>
      <c r="AG4568" s="19">
        <v>4567</v>
      </c>
      <c r="AH4568" s="20">
        <v>572.17686923005783</v>
      </c>
    </row>
    <row r="4569" spans="1:34" ht="14.5" x14ac:dyDescent="0.35">
      <c r="A4569" s="34"/>
      <c r="B4569" s="35"/>
      <c r="C4569" s="36"/>
      <c r="D4569" s="37"/>
      <c r="E4569" s="36"/>
      <c r="F4569" s="42"/>
      <c r="G4569" s="42"/>
      <c r="H4569" s="42"/>
      <c r="AG4569" s="19">
        <v>4568</v>
      </c>
      <c r="AH4569" s="20">
        <v>-2089.8607538740384</v>
      </c>
    </row>
    <row r="4570" spans="1:34" ht="14.5" x14ac:dyDescent="0.35">
      <c r="A4570" s="34"/>
      <c r="B4570" s="35"/>
      <c r="C4570" s="36"/>
      <c r="D4570" s="37"/>
      <c r="E4570" s="36"/>
      <c r="F4570" s="42"/>
      <c r="G4570" s="42"/>
      <c r="H4570" s="42"/>
      <c r="AG4570" s="19">
        <v>4569</v>
      </c>
      <c r="AH4570" s="20">
        <v>-1697.2316989201715</v>
      </c>
    </row>
    <row r="4571" spans="1:34" ht="14.5" x14ac:dyDescent="0.35">
      <c r="A4571" s="34"/>
      <c r="B4571" s="35"/>
      <c r="C4571" s="36"/>
      <c r="D4571" s="37"/>
      <c r="E4571" s="36"/>
      <c r="F4571" s="42"/>
      <c r="G4571" s="42"/>
      <c r="H4571" s="42"/>
      <c r="AG4571" s="19">
        <v>4570</v>
      </c>
      <c r="AH4571" s="20">
        <v>1535.2369791343456</v>
      </c>
    </row>
    <row r="4572" spans="1:34" ht="14.5" x14ac:dyDescent="0.35">
      <c r="A4572" s="34"/>
      <c r="B4572" s="35"/>
      <c r="C4572" s="36"/>
      <c r="D4572" s="37"/>
      <c r="E4572" s="36"/>
      <c r="F4572" s="42"/>
      <c r="G4572" s="42"/>
      <c r="H4572" s="42"/>
      <c r="AG4572" s="19">
        <v>4571</v>
      </c>
      <c r="AH4572" s="20">
        <v>1463.5501861551654</v>
      </c>
    </row>
    <row r="4573" spans="1:34" ht="14.5" x14ac:dyDescent="0.35">
      <c r="A4573" s="34"/>
      <c r="B4573" s="35"/>
      <c r="C4573" s="36"/>
      <c r="D4573" s="37"/>
      <c r="E4573" s="36"/>
      <c r="F4573" s="42"/>
      <c r="G4573" s="42"/>
      <c r="H4573" s="42"/>
      <c r="AG4573" s="19">
        <v>4572</v>
      </c>
      <c r="AH4573" s="20">
        <v>2039.5531178649721</v>
      </c>
    </row>
    <row r="4574" spans="1:34" ht="14.5" x14ac:dyDescent="0.35">
      <c r="A4574" s="34"/>
      <c r="B4574" s="35"/>
      <c r="C4574" s="36"/>
      <c r="D4574" s="37"/>
      <c r="E4574" s="36"/>
      <c r="F4574" s="42"/>
      <c r="G4574" s="42"/>
      <c r="H4574" s="42"/>
      <c r="AG4574" s="19">
        <v>4573</v>
      </c>
      <c r="AH4574" s="20">
        <v>2863.8263663594084</v>
      </c>
    </row>
    <row r="4575" spans="1:34" ht="14.5" x14ac:dyDescent="0.35">
      <c r="A4575" s="34"/>
      <c r="B4575" s="35"/>
      <c r="C4575" s="36"/>
      <c r="D4575" s="37"/>
      <c r="E4575" s="36"/>
      <c r="F4575" s="42"/>
      <c r="G4575" s="42"/>
      <c r="H4575" s="42"/>
      <c r="AG4575" s="19">
        <v>4574</v>
      </c>
      <c r="AH4575" s="20">
        <v>-338.79970552115475</v>
      </c>
    </row>
    <row r="4576" spans="1:34" ht="14.5" x14ac:dyDescent="0.35">
      <c r="A4576" s="34"/>
      <c r="B4576" s="35"/>
      <c r="C4576" s="36"/>
      <c r="D4576" s="37"/>
      <c r="E4576" s="36"/>
      <c r="F4576" s="42"/>
      <c r="G4576" s="42"/>
      <c r="H4576" s="42"/>
      <c r="AG4576" s="19">
        <v>4575</v>
      </c>
      <c r="AH4576" s="20">
        <v>1749.4676552586732</v>
      </c>
    </row>
    <row r="4577" spans="1:34" ht="14.5" x14ac:dyDescent="0.35">
      <c r="A4577" s="34"/>
      <c r="B4577" s="35"/>
      <c r="C4577" s="36"/>
      <c r="D4577" s="37"/>
      <c r="E4577" s="36"/>
      <c r="F4577" s="42"/>
      <c r="G4577" s="42"/>
      <c r="H4577" s="42"/>
      <c r="AG4577" s="19">
        <v>4576</v>
      </c>
      <c r="AH4577" s="20">
        <v>2322.9815469948444</v>
      </c>
    </row>
    <row r="4578" spans="1:34" ht="14.5" x14ac:dyDescent="0.35">
      <c r="A4578" s="34"/>
      <c r="B4578" s="35"/>
      <c r="C4578" s="36"/>
      <c r="D4578" s="37"/>
      <c r="E4578" s="36"/>
      <c r="F4578" s="42"/>
      <c r="G4578" s="42"/>
      <c r="H4578" s="42"/>
      <c r="AG4578" s="19">
        <v>4577</v>
      </c>
      <c r="AH4578" s="20">
        <v>-2519.8774317656148</v>
      </c>
    </row>
    <row r="4579" spans="1:34" ht="14.5" x14ac:dyDescent="0.35">
      <c r="A4579" s="34"/>
      <c r="B4579" s="35"/>
      <c r="C4579" s="36"/>
      <c r="D4579" s="37"/>
      <c r="E4579" s="36"/>
      <c r="F4579" s="42"/>
      <c r="G4579" s="42"/>
      <c r="H4579" s="42"/>
      <c r="AG4579" s="19">
        <v>4578</v>
      </c>
      <c r="AH4579" s="20">
        <v>-1057.1139462010688</v>
      </c>
    </row>
    <row r="4580" spans="1:34" ht="14.5" x14ac:dyDescent="0.35">
      <c r="A4580" s="34"/>
      <c r="B4580" s="35"/>
      <c r="C4580" s="36"/>
      <c r="D4580" s="37"/>
      <c r="E4580" s="36"/>
      <c r="F4580" s="42"/>
      <c r="G4580" s="42"/>
      <c r="H4580" s="42"/>
      <c r="AG4580" s="19">
        <v>4579</v>
      </c>
      <c r="AH4580" s="20">
        <v>1734.7714193551817</v>
      </c>
    </row>
    <row r="4581" spans="1:34" ht="14.5" x14ac:dyDescent="0.35">
      <c r="A4581" s="34"/>
      <c r="B4581" s="35"/>
      <c r="C4581" s="36"/>
      <c r="D4581" s="37"/>
      <c r="E4581" s="36"/>
      <c r="F4581" s="42"/>
      <c r="G4581" s="42"/>
      <c r="H4581" s="42"/>
      <c r="AG4581" s="19">
        <v>4580</v>
      </c>
      <c r="AH4581" s="20">
        <v>475.07325396869913</v>
      </c>
    </row>
    <row r="4582" spans="1:34" ht="14.5" x14ac:dyDescent="0.35">
      <c r="A4582" s="34"/>
      <c r="B4582" s="35"/>
      <c r="C4582" s="36"/>
      <c r="D4582" s="37"/>
      <c r="E4582" s="36"/>
      <c r="F4582" s="42"/>
      <c r="G4582" s="42"/>
      <c r="H4582" s="42"/>
      <c r="AG4582" s="19">
        <v>4581</v>
      </c>
      <c r="AH4582" s="20">
        <v>1097.1240501230579</v>
      </c>
    </row>
    <row r="4583" spans="1:34" ht="14.5" x14ac:dyDescent="0.35">
      <c r="A4583" s="34"/>
      <c r="B4583" s="35"/>
      <c r="C4583" s="36"/>
      <c r="D4583" s="37"/>
      <c r="E4583" s="36"/>
      <c r="F4583" s="42"/>
      <c r="G4583" s="42"/>
      <c r="H4583" s="42"/>
      <c r="AG4583" s="19">
        <v>4582</v>
      </c>
      <c r="AH4583" s="20">
        <v>-44.064718685405524</v>
      </c>
    </row>
    <row r="4584" spans="1:34" ht="14.5" x14ac:dyDescent="0.35">
      <c r="A4584" s="34"/>
      <c r="B4584" s="35"/>
      <c r="C4584" s="36"/>
      <c r="D4584" s="37"/>
      <c r="E4584" s="36"/>
      <c r="F4584" s="42"/>
      <c r="G4584" s="42"/>
      <c r="H4584" s="42"/>
      <c r="AG4584" s="19">
        <v>4583</v>
      </c>
      <c r="AH4584" s="20">
        <v>2026.794536328968</v>
      </c>
    </row>
    <row r="4585" spans="1:34" ht="14.5" x14ac:dyDescent="0.35">
      <c r="A4585" s="34"/>
      <c r="B4585" s="35"/>
      <c r="C4585" s="36"/>
      <c r="D4585" s="37"/>
      <c r="E4585" s="36"/>
      <c r="F4585" s="42"/>
      <c r="G4585" s="42"/>
      <c r="H4585" s="42"/>
      <c r="AG4585" s="19">
        <v>4584</v>
      </c>
      <c r="AH4585" s="20">
        <v>-1531.4779617532133</v>
      </c>
    </row>
    <row r="4586" spans="1:34" ht="14.5" x14ac:dyDescent="0.35">
      <c r="A4586" s="34"/>
      <c r="B4586" s="35"/>
      <c r="C4586" s="36"/>
      <c r="D4586" s="37"/>
      <c r="E4586" s="36"/>
      <c r="F4586" s="42"/>
      <c r="G4586" s="42"/>
      <c r="H4586" s="42"/>
      <c r="AG4586" s="19">
        <v>4585</v>
      </c>
      <c r="AH4586" s="20">
        <v>-2612.9250363947331</v>
      </c>
    </row>
    <row r="4587" spans="1:34" ht="14.5" x14ac:dyDescent="0.35">
      <c r="A4587" s="34"/>
      <c r="B4587" s="35"/>
      <c r="C4587" s="36"/>
      <c r="D4587" s="37"/>
      <c r="E4587" s="36"/>
      <c r="F4587" s="42"/>
      <c r="G4587" s="42"/>
      <c r="H4587" s="42"/>
      <c r="AG4587" s="19">
        <v>4586</v>
      </c>
      <c r="AH4587" s="20">
        <v>37.772233053718651</v>
      </c>
    </row>
    <row r="4588" spans="1:34" ht="14.5" x14ac:dyDescent="0.35">
      <c r="A4588" s="34"/>
      <c r="B4588" s="35"/>
      <c r="C4588" s="36"/>
      <c r="D4588" s="37"/>
      <c r="E4588" s="36"/>
      <c r="F4588" s="42"/>
      <c r="G4588" s="42"/>
      <c r="H4588" s="42"/>
      <c r="AG4588" s="19">
        <v>4587</v>
      </c>
      <c r="AH4588" s="20">
        <v>1608.2794633288036</v>
      </c>
    </row>
    <row r="4589" spans="1:34" ht="14.5" x14ac:dyDescent="0.35">
      <c r="A4589" s="34"/>
      <c r="B4589" s="35"/>
      <c r="C4589" s="36"/>
      <c r="D4589" s="37"/>
      <c r="E4589" s="36"/>
      <c r="F4589" s="42"/>
      <c r="G4589" s="42"/>
      <c r="H4589" s="42"/>
      <c r="AG4589" s="19">
        <v>4588</v>
      </c>
      <c r="AH4589" s="20">
        <v>1528.706310412228</v>
      </c>
    </row>
    <row r="4590" spans="1:34" ht="14.5" x14ac:dyDescent="0.35">
      <c r="A4590" s="34"/>
      <c r="B4590" s="35"/>
      <c r="C4590" s="36"/>
      <c r="D4590" s="37"/>
      <c r="E4590" s="36"/>
      <c r="F4590" s="42"/>
      <c r="G4590" s="42"/>
      <c r="H4590" s="42"/>
      <c r="AG4590" s="19">
        <v>4589</v>
      </c>
      <c r="AH4590" s="20">
        <v>167.76085768745654</v>
      </c>
    </row>
    <row r="4591" spans="1:34" ht="14.5" x14ac:dyDescent="0.35">
      <c r="A4591" s="34"/>
      <c r="B4591" s="35"/>
      <c r="C4591" s="36"/>
      <c r="D4591" s="37"/>
      <c r="E4591" s="36"/>
      <c r="F4591" s="42"/>
      <c r="G4591" s="42"/>
      <c r="H4591" s="42"/>
      <c r="AG4591" s="19">
        <v>4590</v>
      </c>
      <c r="AH4591" s="20">
        <v>-1123.6649317259278</v>
      </c>
    </row>
    <row r="4592" spans="1:34" ht="14.5" x14ac:dyDescent="0.35">
      <c r="A4592" s="34"/>
      <c r="B4592" s="35"/>
      <c r="C4592" s="36"/>
      <c r="D4592" s="37"/>
      <c r="E4592" s="36"/>
      <c r="F4592" s="42"/>
      <c r="G4592" s="42"/>
      <c r="H4592" s="42"/>
      <c r="AG4592" s="19">
        <v>4591</v>
      </c>
      <c r="AH4592" s="20">
        <v>-1760.4743039246403</v>
      </c>
    </row>
    <row r="4593" spans="1:34" ht="14.5" x14ac:dyDescent="0.35">
      <c r="A4593" s="34"/>
      <c r="B4593" s="35"/>
      <c r="C4593" s="36"/>
      <c r="D4593" s="37"/>
      <c r="E4593" s="36"/>
      <c r="F4593" s="42"/>
      <c r="G4593" s="42"/>
      <c r="H4593" s="42"/>
      <c r="AG4593" s="19">
        <v>4592</v>
      </c>
      <c r="AH4593" s="20">
        <v>373.75255615016152</v>
      </c>
    </row>
    <row r="4594" spans="1:34" ht="14.5" x14ac:dyDescent="0.35">
      <c r="A4594" s="34"/>
      <c r="B4594" s="35"/>
      <c r="C4594" s="36"/>
      <c r="D4594" s="37"/>
      <c r="E4594" s="36"/>
      <c r="F4594" s="42"/>
      <c r="G4594" s="42"/>
      <c r="H4594" s="42"/>
      <c r="AG4594" s="19">
        <v>4593</v>
      </c>
      <c r="AH4594" s="20">
        <v>-2422.728378841774</v>
      </c>
    </row>
    <row r="4595" spans="1:34" ht="14.5" x14ac:dyDescent="0.35">
      <c r="A4595" s="34"/>
      <c r="B4595" s="35"/>
      <c r="C4595" s="36"/>
      <c r="D4595" s="37"/>
      <c r="E4595" s="36"/>
      <c r="F4595" s="42"/>
      <c r="G4595" s="42"/>
      <c r="H4595" s="42"/>
      <c r="AG4595" s="19">
        <v>4594</v>
      </c>
      <c r="AH4595" s="20">
        <v>736.46285385336898</v>
      </c>
    </row>
    <row r="4596" spans="1:34" ht="14.5" x14ac:dyDescent="0.35">
      <c r="A4596" s="34"/>
      <c r="B4596" s="35"/>
      <c r="C4596" s="36"/>
      <c r="D4596" s="37"/>
      <c r="E4596" s="36"/>
      <c r="F4596" s="42"/>
      <c r="G4596" s="42"/>
      <c r="H4596" s="42"/>
      <c r="AG4596" s="19">
        <v>4595</v>
      </c>
      <c r="AH4596" s="20">
        <v>2600.4557290341286</v>
      </c>
    </row>
    <row r="4597" spans="1:34" ht="14.5" x14ac:dyDescent="0.35">
      <c r="A4597" s="34"/>
      <c r="B4597" s="35"/>
      <c r="C4597" s="36"/>
      <c r="D4597" s="37"/>
      <c r="E4597" s="36"/>
      <c r="F4597" s="42"/>
      <c r="G4597" s="42"/>
      <c r="H4597" s="42"/>
      <c r="AG4597" s="19">
        <v>4596</v>
      </c>
      <c r="AH4597" s="20">
        <v>-1648.0861466933582</v>
      </c>
    </row>
    <row r="4598" spans="1:34" ht="14.5" x14ac:dyDescent="0.35">
      <c r="A4598" s="34"/>
      <c r="B4598" s="35"/>
      <c r="C4598" s="36"/>
      <c r="D4598" s="37"/>
      <c r="E4598" s="36"/>
      <c r="F4598" s="42"/>
      <c r="G4598" s="42"/>
      <c r="H4598" s="42"/>
      <c r="AG4598" s="19">
        <v>4597</v>
      </c>
      <c r="AH4598" s="20">
        <v>1019.7208566764202</v>
      </c>
    </row>
    <row r="4599" spans="1:34" ht="14.5" x14ac:dyDescent="0.35">
      <c r="A4599" s="34"/>
      <c r="B4599" s="35"/>
      <c r="C4599" s="36"/>
      <c r="D4599" s="37"/>
      <c r="E4599" s="36"/>
      <c r="F4599" s="42"/>
      <c r="G4599" s="42"/>
      <c r="H4599" s="42"/>
      <c r="AG4599" s="19">
        <v>4598</v>
      </c>
      <c r="AH4599" s="20">
        <v>1076.950717415612</v>
      </c>
    </row>
    <row r="4600" spans="1:34" ht="14.5" x14ac:dyDescent="0.35">
      <c r="A4600" s="34"/>
      <c r="B4600" s="35"/>
      <c r="C4600" s="36"/>
      <c r="D4600" s="37"/>
      <c r="E4600" s="36"/>
      <c r="F4600" s="42"/>
      <c r="G4600" s="42"/>
      <c r="H4600" s="42"/>
      <c r="AG4600" s="19">
        <v>4599</v>
      </c>
      <c r="AH4600" s="20">
        <v>-1073.8971561638887</v>
      </c>
    </row>
    <row r="4601" spans="1:34" ht="14.5" x14ac:dyDescent="0.35">
      <c r="A4601" s="34"/>
      <c r="B4601" s="35"/>
      <c r="C4601" s="36"/>
      <c r="D4601" s="37"/>
      <c r="E4601" s="36"/>
      <c r="F4601" s="42"/>
      <c r="G4601" s="42"/>
      <c r="H4601" s="42"/>
      <c r="AG4601" s="19">
        <v>4600</v>
      </c>
      <c r="AH4601" s="20">
        <v>1899.0933473937669</v>
      </c>
    </row>
    <row r="4602" spans="1:34" ht="14.5" x14ac:dyDescent="0.35">
      <c r="A4602" s="34"/>
      <c r="B4602" s="35"/>
      <c r="C4602" s="36"/>
      <c r="D4602" s="37"/>
      <c r="E4602" s="36"/>
      <c r="F4602" s="42"/>
      <c r="G4602" s="42"/>
      <c r="H4602" s="42"/>
      <c r="AG4602" s="19">
        <v>4601</v>
      </c>
      <c r="AH4602" s="20">
        <v>2575.9669246754656</v>
      </c>
    </row>
    <row r="4603" spans="1:34" ht="14.5" x14ac:dyDescent="0.35">
      <c r="A4603" s="34"/>
      <c r="B4603" s="35"/>
      <c r="C4603" s="36"/>
      <c r="D4603" s="37"/>
      <c r="E4603" s="36"/>
      <c r="F4603" s="42"/>
      <c r="G4603" s="42"/>
      <c r="H4603" s="42"/>
      <c r="AG4603" s="19">
        <v>4602</v>
      </c>
      <c r="AH4603" s="20">
        <v>2382.3874171029111</v>
      </c>
    </row>
    <row r="4604" spans="1:34" ht="14.5" x14ac:dyDescent="0.35">
      <c r="A4604" s="34"/>
      <c r="B4604" s="35"/>
      <c r="C4604" s="36"/>
      <c r="D4604" s="37"/>
      <c r="E4604" s="36"/>
      <c r="F4604" s="42"/>
      <c r="G4604" s="42"/>
      <c r="H4604" s="42"/>
      <c r="AG4604" s="19">
        <v>4603</v>
      </c>
      <c r="AH4604" s="20">
        <v>-2167.4078443118751</v>
      </c>
    </row>
    <row r="4605" spans="1:34" ht="14.5" x14ac:dyDescent="0.35">
      <c r="A4605" s="34"/>
      <c r="B4605" s="35"/>
      <c r="C4605" s="36"/>
      <c r="D4605" s="37"/>
      <c r="E4605" s="36"/>
      <c r="F4605" s="42"/>
      <c r="G4605" s="42"/>
      <c r="H4605" s="42"/>
      <c r="AG4605" s="19">
        <v>4604</v>
      </c>
      <c r="AH4605" s="20">
        <v>-47.814865383312849</v>
      </c>
    </row>
    <row r="4606" spans="1:34" ht="14.5" x14ac:dyDescent="0.35">
      <c r="A4606" s="34"/>
      <c r="B4606" s="35"/>
      <c r="C4606" s="36"/>
      <c r="D4606" s="37"/>
      <c r="E4606" s="36"/>
      <c r="F4606" s="42"/>
      <c r="G4606" s="42"/>
      <c r="H4606" s="42"/>
      <c r="AG4606" s="19">
        <v>4605</v>
      </c>
      <c r="AH4606" s="20">
        <v>682.19862135851008</v>
      </c>
    </row>
    <row r="4607" spans="1:34" ht="14.5" x14ac:dyDescent="0.35">
      <c r="A4607" s="34"/>
      <c r="B4607" s="35"/>
      <c r="C4607" s="36"/>
      <c r="D4607" s="37"/>
      <c r="E4607" s="36"/>
      <c r="F4607" s="42"/>
      <c r="G4607" s="42"/>
      <c r="H4607" s="42"/>
      <c r="AG4607" s="19">
        <v>4606</v>
      </c>
      <c r="AH4607" s="20">
        <v>-839.68775961883648</v>
      </c>
    </row>
    <row r="4608" spans="1:34" ht="14.5" x14ac:dyDescent="0.35">
      <c r="A4608" s="34"/>
      <c r="B4608" s="35"/>
      <c r="C4608" s="36"/>
      <c r="D4608" s="37"/>
      <c r="E4608" s="36"/>
      <c r="F4608" s="42"/>
      <c r="G4608" s="42"/>
      <c r="H4608" s="42"/>
      <c r="AG4608" s="19">
        <v>4607</v>
      </c>
      <c r="AH4608" s="20">
        <v>-1008.7695204615836</v>
      </c>
    </row>
    <row r="4609" spans="1:34" ht="14.5" x14ac:dyDescent="0.35">
      <c r="A4609" s="34"/>
      <c r="B4609" s="35"/>
      <c r="C4609" s="36"/>
      <c r="D4609" s="37"/>
      <c r="E4609" s="36"/>
      <c r="F4609" s="42"/>
      <c r="G4609" s="42"/>
      <c r="H4609" s="42"/>
      <c r="AG4609" s="19">
        <v>4608</v>
      </c>
      <c r="AH4609" s="20">
        <v>1666.724009341322</v>
      </c>
    </row>
    <row r="4610" spans="1:34" ht="14.5" x14ac:dyDescent="0.35">
      <c r="A4610" s="34"/>
      <c r="B4610" s="35"/>
      <c r="C4610" s="36"/>
      <c r="D4610" s="37"/>
      <c r="E4610" s="36"/>
      <c r="F4610" s="42"/>
      <c r="G4610" s="42"/>
      <c r="H4610" s="42"/>
      <c r="AG4610" s="19">
        <v>4609</v>
      </c>
      <c r="AH4610" s="20">
        <v>1313.3667489806876</v>
      </c>
    </row>
    <row r="4611" spans="1:34" ht="14.5" x14ac:dyDescent="0.35">
      <c r="A4611" s="34"/>
      <c r="B4611" s="35"/>
      <c r="C4611" s="36"/>
      <c r="D4611" s="37"/>
      <c r="E4611" s="36"/>
      <c r="F4611" s="42"/>
      <c r="G4611" s="42"/>
      <c r="H4611" s="42"/>
      <c r="AG4611" s="19">
        <v>4610</v>
      </c>
      <c r="AH4611" s="20">
        <v>-3303.0943063875525</v>
      </c>
    </row>
    <row r="4612" spans="1:34" ht="14.5" x14ac:dyDescent="0.35">
      <c r="A4612" s="34"/>
      <c r="B4612" s="35"/>
      <c r="C4612" s="36"/>
      <c r="D4612" s="37"/>
      <c r="E4612" s="36"/>
      <c r="F4612" s="42"/>
      <c r="G4612" s="42"/>
      <c r="H4612" s="42"/>
      <c r="AG4612" s="19">
        <v>4611</v>
      </c>
      <c r="AH4612" s="20">
        <v>1698.5724702680318</v>
      </c>
    </row>
    <row r="4613" spans="1:34" ht="14.5" x14ac:dyDescent="0.35">
      <c r="A4613" s="34"/>
      <c r="B4613" s="35"/>
      <c r="C4613" s="36"/>
      <c r="D4613" s="37"/>
      <c r="E4613" s="36"/>
      <c r="F4613" s="42"/>
      <c r="G4613" s="42"/>
      <c r="H4613" s="42"/>
      <c r="AG4613" s="19">
        <v>4612</v>
      </c>
      <c r="AH4613" s="20">
        <v>-256.04406586169847</v>
      </c>
    </row>
    <row r="4614" spans="1:34" ht="14.5" x14ac:dyDescent="0.35">
      <c r="A4614" s="34"/>
      <c r="B4614" s="35"/>
      <c r="C4614" s="36"/>
      <c r="D4614" s="37"/>
      <c r="E4614" s="36"/>
      <c r="F4614" s="42"/>
      <c r="G4614" s="42"/>
      <c r="H4614" s="42"/>
      <c r="AG4614" s="19">
        <v>4613</v>
      </c>
      <c r="AH4614" s="20">
        <v>-3519.1396091459223</v>
      </c>
    </row>
    <row r="4615" spans="1:34" ht="14.5" x14ac:dyDescent="0.35">
      <c r="A4615" s="34"/>
      <c r="B4615" s="35"/>
      <c r="C4615" s="36"/>
      <c r="D4615" s="37"/>
      <c r="E4615" s="36"/>
      <c r="F4615" s="42"/>
      <c r="G4615" s="42"/>
      <c r="H4615" s="42"/>
      <c r="AG4615" s="19">
        <v>4614</v>
      </c>
      <c r="AH4615" s="20">
        <v>-3661.9730804305186</v>
      </c>
    </row>
    <row r="4616" spans="1:34" ht="14.5" x14ac:dyDescent="0.35">
      <c r="A4616" s="34"/>
      <c r="B4616" s="35"/>
      <c r="C4616" s="36"/>
      <c r="D4616" s="37"/>
      <c r="E4616" s="36"/>
      <c r="F4616" s="42"/>
      <c r="G4616" s="42"/>
      <c r="H4616" s="42"/>
      <c r="AG4616" s="19">
        <v>4615</v>
      </c>
      <c r="AH4616" s="20">
        <v>-2480.5226107716198</v>
      </c>
    </row>
    <row r="4617" spans="1:34" ht="14.5" x14ac:dyDescent="0.35">
      <c r="A4617" s="34"/>
      <c r="B4617" s="35"/>
      <c r="C4617" s="36"/>
      <c r="D4617" s="37"/>
      <c r="E4617" s="36"/>
      <c r="F4617" s="42"/>
      <c r="G4617" s="42"/>
      <c r="H4617" s="42"/>
      <c r="AG4617" s="19">
        <v>4616</v>
      </c>
      <c r="AH4617" s="20">
        <v>2376.8911835816148</v>
      </c>
    </row>
    <row r="4618" spans="1:34" ht="14.5" x14ac:dyDescent="0.35">
      <c r="A4618" s="34"/>
      <c r="B4618" s="35"/>
      <c r="C4618" s="36"/>
      <c r="D4618" s="37"/>
      <c r="E4618" s="36"/>
      <c r="F4618" s="42"/>
      <c r="G4618" s="42"/>
      <c r="H4618" s="42"/>
      <c r="AG4618" s="19">
        <v>4617</v>
      </c>
      <c r="AH4618" s="20">
        <v>364.67148431700127</v>
      </c>
    </row>
    <row r="4619" spans="1:34" ht="14.5" x14ac:dyDescent="0.35">
      <c r="A4619" s="34"/>
      <c r="B4619" s="35"/>
      <c r="C4619" s="36"/>
      <c r="D4619" s="37"/>
      <c r="E4619" s="36"/>
      <c r="F4619" s="42"/>
      <c r="G4619" s="42"/>
      <c r="H4619" s="42"/>
      <c r="AG4619" s="19">
        <v>4618</v>
      </c>
      <c r="AH4619" s="20">
        <v>-1214.7245011201014</v>
      </c>
    </row>
    <row r="4620" spans="1:34" ht="14.5" x14ac:dyDescent="0.35">
      <c r="A4620" s="34"/>
      <c r="B4620" s="35"/>
      <c r="C4620" s="36"/>
      <c r="D4620" s="37"/>
      <c r="E4620" s="36"/>
      <c r="F4620" s="42"/>
      <c r="G4620" s="42"/>
      <c r="H4620" s="42"/>
      <c r="AG4620" s="19">
        <v>4619</v>
      </c>
      <c r="AH4620" s="20">
        <v>40.326736849108045</v>
      </c>
    </row>
    <row r="4621" spans="1:34" ht="14.5" x14ac:dyDescent="0.35">
      <c r="A4621" s="34"/>
      <c r="B4621" s="35"/>
      <c r="C4621" s="36"/>
      <c r="D4621" s="37"/>
      <c r="E4621" s="36"/>
      <c r="F4621" s="42"/>
      <c r="G4621" s="42"/>
      <c r="H4621" s="42"/>
      <c r="AG4621" s="19">
        <v>4620</v>
      </c>
      <c r="AH4621" s="20">
        <v>-105.48865924392055</v>
      </c>
    </row>
    <row r="4622" spans="1:34" ht="14.5" x14ac:dyDescent="0.35">
      <c r="A4622" s="34"/>
      <c r="B4622" s="35"/>
      <c r="C4622" s="36"/>
      <c r="D4622" s="37"/>
      <c r="E4622" s="36"/>
      <c r="F4622" s="42"/>
      <c r="G4622" s="42"/>
      <c r="H4622" s="42"/>
      <c r="AG4622" s="19">
        <v>4621</v>
      </c>
      <c r="AH4622" s="20">
        <v>435.70736969698743</v>
      </c>
    </row>
    <row r="4623" spans="1:34" ht="14.5" x14ac:dyDescent="0.35">
      <c r="A4623" s="34"/>
      <c r="B4623" s="35"/>
      <c r="C4623" s="36"/>
      <c r="D4623" s="37"/>
      <c r="E4623" s="36"/>
      <c r="F4623" s="42"/>
      <c r="G4623" s="42"/>
      <c r="H4623" s="42"/>
      <c r="AG4623" s="19">
        <v>4622</v>
      </c>
      <c r="AH4623" s="20">
        <v>1096.6585246558136</v>
      </c>
    </row>
    <row r="4624" spans="1:34" ht="14.5" x14ac:dyDescent="0.35">
      <c r="A4624" s="34"/>
      <c r="B4624" s="35"/>
      <c r="C4624" s="36"/>
      <c r="D4624" s="37"/>
      <c r="E4624" s="36"/>
      <c r="F4624" s="42"/>
      <c r="G4624" s="42"/>
      <c r="H4624" s="42"/>
      <c r="AG4624" s="19">
        <v>4623</v>
      </c>
      <c r="AH4624" s="20">
        <v>-131.33267434739747</v>
      </c>
    </row>
    <row r="4625" spans="1:34" ht="14.5" x14ac:dyDescent="0.35">
      <c r="A4625" s="34"/>
      <c r="B4625" s="35"/>
      <c r="C4625" s="36"/>
      <c r="D4625" s="37"/>
      <c r="E4625" s="36"/>
      <c r="F4625" s="42"/>
      <c r="G4625" s="42"/>
      <c r="H4625" s="42"/>
      <c r="AG4625" s="19">
        <v>4624</v>
      </c>
      <c r="AH4625" s="20">
        <v>-517.52358506599558</v>
      </c>
    </row>
    <row r="4626" spans="1:34" ht="14.5" x14ac:dyDescent="0.35">
      <c r="A4626" s="34"/>
      <c r="B4626" s="35"/>
      <c r="C4626" s="36"/>
      <c r="D4626" s="37"/>
      <c r="E4626" s="36"/>
      <c r="F4626" s="42"/>
      <c r="G4626" s="42"/>
      <c r="H4626" s="42"/>
      <c r="AG4626" s="19">
        <v>4625</v>
      </c>
      <c r="AH4626" s="20">
        <v>-2612.9693901089868</v>
      </c>
    </row>
    <row r="4627" spans="1:34" ht="14.5" x14ac:dyDescent="0.35">
      <c r="A4627" s="34"/>
      <c r="B4627" s="35"/>
      <c r="C4627" s="36"/>
      <c r="D4627" s="37"/>
      <c r="E4627" s="36"/>
      <c r="F4627" s="42"/>
      <c r="G4627" s="42"/>
      <c r="H4627" s="42"/>
      <c r="AG4627" s="19">
        <v>4626</v>
      </c>
      <c r="AH4627" s="20">
        <v>-632.91980360337971</v>
      </c>
    </row>
    <row r="4628" spans="1:34" ht="14.5" x14ac:dyDescent="0.35">
      <c r="A4628" s="34"/>
      <c r="B4628" s="35"/>
      <c r="C4628" s="36"/>
      <c r="D4628" s="37"/>
      <c r="E4628" s="36"/>
      <c r="F4628" s="42"/>
      <c r="G4628" s="42"/>
      <c r="H4628" s="42"/>
      <c r="AG4628" s="19">
        <v>4627</v>
      </c>
      <c r="AH4628" s="20">
        <v>-340.09564256610298</v>
      </c>
    </row>
    <row r="4629" spans="1:34" ht="14.5" x14ac:dyDescent="0.35">
      <c r="A4629" s="34"/>
      <c r="B4629" s="35"/>
      <c r="C4629" s="36"/>
      <c r="D4629" s="37"/>
      <c r="E4629" s="36"/>
      <c r="F4629" s="42"/>
      <c r="G4629" s="42"/>
      <c r="H4629" s="42"/>
      <c r="AG4629" s="19">
        <v>4628</v>
      </c>
      <c r="AH4629" s="20">
        <v>868.31483718766867</v>
      </c>
    </row>
    <row r="4630" spans="1:34" ht="14.5" x14ac:dyDescent="0.35">
      <c r="A4630" s="34"/>
      <c r="B4630" s="35"/>
      <c r="C4630" s="36"/>
      <c r="D4630" s="37"/>
      <c r="E4630" s="36"/>
      <c r="F4630" s="42"/>
      <c r="G4630" s="42"/>
      <c r="H4630" s="42"/>
      <c r="AG4630" s="19">
        <v>4629</v>
      </c>
      <c r="AH4630" s="20">
        <v>2561.5347072860022</v>
      </c>
    </row>
    <row r="4631" spans="1:34" ht="14.5" x14ac:dyDescent="0.35">
      <c r="A4631" s="34"/>
      <c r="B4631" s="35"/>
      <c r="C4631" s="36"/>
      <c r="D4631" s="37"/>
      <c r="E4631" s="36"/>
      <c r="F4631" s="42"/>
      <c r="G4631" s="42"/>
      <c r="H4631" s="42"/>
      <c r="AG4631" s="19">
        <v>4630</v>
      </c>
      <c r="AH4631" s="20">
        <v>-1517.3332507063535</v>
      </c>
    </row>
    <row r="4632" spans="1:34" ht="14.5" x14ac:dyDescent="0.35">
      <c r="A4632" s="34"/>
      <c r="B4632" s="35"/>
      <c r="C4632" s="36"/>
      <c r="D4632" s="37"/>
      <c r="E4632" s="36"/>
      <c r="F4632" s="42"/>
      <c r="G4632" s="42"/>
      <c r="H4632" s="42"/>
      <c r="AG4632" s="19">
        <v>4631</v>
      </c>
      <c r="AH4632" s="20">
        <v>2366.0432128635771</v>
      </c>
    </row>
    <row r="4633" spans="1:34" ht="14.5" x14ac:dyDescent="0.35">
      <c r="A4633" s="34"/>
      <c r="B4633" s="35"/>
      <c r="C4633" s="36"/>
      <c r="D4633" s="37"/>
      <c r="E4633" s="36"/>
      <c r="F4633" s="42"/>
      <c r="G4633" s="42"/>
      <c r="H4633" s="42"/>
      <c r="AG4633" s="19">
        <v>4632</v>
      </c>
      <c r="AH4633" s="20">
        <v>543.94554520631618</v>
      </c>
    </row>
    <row r="4634" spans="1:34" ht="14.5" x14ac:dyDescent="0.35">
      <c r="A4634" s="34"/>
      <c r="B4634" s="35"/>
      <c r="C4634" s="36"/>
      <c r="D4634" s="37"/>
      <c r="E4634" s="36"/>
      <c r="F4634" s="42"/>
      <c r="G4634" s="42"/>
      <c r="H4634" s="42"/>
      <c r="AG4634" s="19">
        <v>4633</v>
      </c>
      <c r="AH4634" s="20">
        <v>377.7646056167265</v>
      </c>
    </row>
    <row r="4635" spans="1:34" ht="14.5" x14ac:dyDescent="0.35">
      <c r="A4635" s="34"/>
      <c r="B4635" s="35"/>
      <c r="C4635" s="36"/>
      <c r="D4635" s="37"/>
      <c r="E4635" s="36"/>
      <c r="F4635" s="42"/>
      <c r="G4635" s="42"/>
      <c r="H4635" s="42"/>
      <c r="AG4635" s="19">
        <v>4634</v>
      </c>
      <c r="AH4635" s="20">
        <v>-1504.5434966944465</v>
      </c>
    </row>
    <row r="4636" spans="1:34" ht="14.5" x14ac:dyDescent="0.35">
      <c r="A4636" s="34"/>
      <c r="B4636" s="35"/>
      <c r="C4636" s="36"/>
      <c r="D4636" s="37"/>
      <c r="E4636" s="36"/>
      <c r="F4636" s="42"/>
      <c r="G4636" s="42"/>
      <c r="H4636" s="42"/>
      <c r="AG4636" s="19">
        <v>4635</v>
      </c>
      <c r="AH4636" s="20">
        <v>-132.67396255707826</v>
      </c>
    </row>
    <row r="4637" spans="1:34" ht="14.5" x14ac:dyDescent="0.35">
      <c r="A4637" s="34"/>
      <c r="B4637" s="35"/>
      <c r="C4637" s="36"/>
      <c r="D4637" s="37"/>
      <c r="E4637" s="36"/>
      <c r="F4637" s="42"/>
      <c r="G4637" s="42"/>
      <c r="H4637" s="42"/>
      <c r="AG4637" s="19">
        <v>4636</v>
      </c>
      <c r="AH4637" s="20">
        <v>2222.7675984446187</v>
      </c>
    </row>
    <row r="4638" spans="1:34" ht="14.5" x14ac:dyDescent="0.35">
      <c r="A4638" s="34"/>
      <c r="B4638" s="35"/>
      <c r="C4638" s="36"/>
      <c r="D4638" s="37"/>
      <c r="E4638" s="36"/>
      <c r="F4638" s="42"/>
      <c r="G4638" s="42"/>
      <c r="H4638" s="42"/>
      <c r="AG4638" s="19">
        <v>4637</v>
      </c>
      <c r="AH4638" s="20">
        <v>4125.5186532691077</v>
      </c>
    </row>
    <row r="4639" spans="1:34" ht="14.5" x14ac:dyDescent="0.35">
      <c r="A4639" s="34"/>
      <c r="B4639" s="35"/>
      <c r="C4639" s="36"/>
      <c r="D4639" s="37"/>
      <c r="E4639" s="36"/>
      <c r="F4639" s="42"/>
      <c r="G4639" s="42"/>
      <c r="H4639" s="42"/>
      <c r="AG4639" s="19">
        <v>4638</v>
      </c>
      <c r="AH4639" s="20">
        <v>1477.44971985757</v>
      </c>
    </row>
    <row r="4640" spans="1:34" ht="14.5" x14ac:dyDescent="0.35">
      <c r="A4640" s="34"/>
      <c r="B4640" s="35"/>
      <c r="C4640" s="36"/>
      <c r="D4640" s="37"/>
      <c r="E4640" s="36"/>
      <c r="F4640" s="42"/>
      <c r="G4640" s="42"/>
      <c r="H4640" s="42"/>
      <c r="AG4640" s="19">
        <v>4639</v>
      </c>
      <c r="AH4640" s="20">
        <v>-695.73288262622032</v>
      </c>
    </row>
    <row r="4641" spans="1:34" ht="14.5" x14ac:dyDescent="0.35">
      <c r="A4641" s="34"/>
      <c r="B4641" s="35"/>
      <c r="C4641" s="36"/>
      <c r="D4641" s="37"/>
      <c r="E4641" s="36"/>
      <c r="F4641" s="42"/>
      <c r="G4641" s="42"/>
      <c r="H4641" s="42"/>
      <c r="AG4641" s="19">
        <v>4640</v>
      </c>
      <c r="AH4641" s="20">
        <v>-1423.0312493341121</v>
      </c>
    </row>
    <row r="4642" spans="1:34" ht="14.5" x14ac:dyDescent="0.35">
      <c r="A4642" s="34"/>
      <c r="B4642" s="35"/>
      <c r="C4642" s="36"/>
      <c r="D4642" s="37"/>
      <c r="E4642" s="36"/>
      <c r="F4642" s="42"/>
      <c r="G4642" s="42"/>
      <c r="H4642" s="42"/>
      <c r="AG4642" s="19">
        <v>4641</v>
      </c>
      <c r="AH4642" s="20">
        <v>-312.69005753085531</v>
      </c>
    </row>
    <row r="4643" spans="1:34" ht="14.5" x14ac:dyDescent="0.35">
      <c r="A4643" s="34"/>
      <c r="B4643" s="35"/>
      <c r="C4643" s="36"/>
      <c r="D4643" s="37"/>
      <c r="E4643" s="36"/>
      <c r="F4643" s="42"/>
      <c r="G4643" s="42"/>
      <c r="H4643" s="42"/>
      <c r="AG4643" s="19">
        <v>4642</v>
      </c>
      <c r="AH4643" s="20">
        <v>-3966.0589280590275</v>
      </c>
    </row>
    <row r="4644" spans="1:34" ht="14.5" x14ac:dyDescent="0.35">
      <c r="A4644" s="34"/>
      <c r="B4644" s="35"/>
      <c r="C4644" s="36"/>
      <c r="D4644" s="37"/>
      <c r="E4644" s="36"/>
      <c r="F4644" s="42"/>
      <c r="G4644" s="42"/>
      <c r="H4644" s="42"/>
      <c r="AG4644" s="19">
        <v>4643</v>
      </c>
      <c r="AH4644" s="20">
        <v>-390.17813927309777</v>
      </c>
    </row>
    <row r="4645" spans="1:34" ht="14.5" x14ac:dyDescent="0.35">
      <c r="A4645" s="34"/>
      <c r="B4645" s="35"/>
      <c r="C4645" s="36"/>
      <c r="D4645" s="37"/>
      <c r="E4645" s="36"/>
      <c r="F4645" s="42"/>
      <c r="G4645" s="42"/>
      <c r="H4645" s="42"/>
      <c r="AG4645" s="19">
        <v>4644</v>
      </c>
      <c r="AH4645" s="20">
        <v>-3872.7404722554029</v>
      </c>
    </row>
    <row r="4646" spans="1:34" ht="14.5" x14ac:dyDescent="0.35">
      <c r="A4646" s="34"/>
      <c r="B4646" s="35"/>
      <c r="C4646" s="36"/>
      <c r="D4646" s="37"/>
      <c r="E4646" s="36"/>
      <c r="F4646" s="42"/>
      <c r="G4646" s="42"/>
      <c r="H4646" s="42"/>
      <c r="AG4646" s="19">
        <v>4645</v>
      </c>
      <c r="AH4646" s="20">
        <v>-1018.5409162654803</v>
      </c>
    </row>
    <row r="4647" spans="1:34" ht="14.5" x14ac:dyDescent="0.35">
      <c r="A4647" s="34"/>
      <c r="B4647" s="35"/>
      <c r="C4647" s="36"/>
      <c r="D4647" s="37"/>
      <c r="E4647" s="36"/>
      <c r="F4647" s="42"/>
      <c r="G4647" s="42"/>
      <c r="H4647" s="42"/>
      <c r="AG4647" s="19">
        <v>4646</v>
      </c>
      <c r="AH4647" s="20">
        <v>-585.87573128883605</v>
      </c>
    </row>
    <row r="4648" spans="1:34" ht="14.5" x14ac:dyDescent="0.35">
      <c r="A4648" s="34"/>
      <c r="B4648" s="35"/>
      <c r="C4648" s="36"/>
      <c r="D4648" s="37"/>
      <c r="E4648" s="36"/>
      <c r="F4648" s="42"/>
      <c r="G4648" s="42"/>
      <c r="H4648" s="42"/>
      <c r="AG4648" s="19">
        <v>4647</v>
      </c>
      <c r="AH4648" s="20">
        <v>1559.6845162745406</v>
      </c>
    </row>
    <row r="4649" spans="1:34" ht="14.5" x14ac:dyDescent="0.35">
      <c r="A4649" s="34"/>
      <c r="B4649" s="35"/>
      <c r="C4649" s="36"/>
      <c r="D4649" s="37"/>
      <c r="E4649" s="36"/>
      <c r="F4649" s="42"/>
      <c r="G4649" s="42"/>
      <c r="H4649" s="42"/>
      <c r="AG4649" s="19">
        <v>4648</v>
      </c>
      <c r="AH4649" s="20">
        <v>-1178.7103557608427</v>
      </c>
    </row>
    <row r="4650" spans="1:34" ht="14.5" x14ac:dyDescent="0.35">
      <c r="A4650" s="34"/>
      <c r="B4650" s="35"/>
      <c r="C4650" s="36"/>
      <c r="D4650" s="37"/>
      <c r="E4650" s="36"/>
      <c r="F4650" s="42"/>
      <c r="G4650" s="42"/>
      <c r="H4650" s="42"/>
      <c r="AG4650" s="19">
        <v>4649</v>
      </c>
      <c r="AH4650" s="20">
        <v>640.0876719199448</v>
      </c>
    </row>
    <row r="4651" spans="1:34" ht="14.5" x14ac:dyDescent="0.35">
      <c r="A4651" s="34"/>
      <c r="B4651" s="35"/>
      <c r="C4651" s="36"/>
      <c r="D4651" s="37"/>
      <c r="E4651" s="36"/>
      <c r="F4651" s="42"/>
      <c r="G4651" s="42"/>
      <c r="H4651" s="42"/>
      <c r="AG4651" s="19">
        <v>4650</v>
      </c>
      <c r="AH4651" s="20">
        <v>1402.2766891765484</v>
      </c>
    </row>
    <row r="4652" spans="1:34" ht="14.5" x14ac:dyDescent="0.35">
      <c r="A4652" s="34"/>
      <c r="B4652" s="35"/>
      <c r="C4652" s="36"/>
      <c r="D4652" s="37"/>
      <c r="E4652" s="36"/>
      <c r="F4652" s="42"/>
      <c r="G4652" s="42"/>
      <c r="H4652" s="42"/>
      <c r="AG4652" s="19">
        <v>4651</v>
      </c>
      <c r="AH4652" s="20">
        <v>2227.8615886090438</v>
      </c>
    </row>
    <row r="4653" spans="1:34" ht="14.5" x14ac:dyDescent="0.35">
      <c r="A4653" s="34"/>
      <c r="B4653" s="35"/>
      <c r="C4653" s="36"/>
      <c r="D4653" s="37"/>
      <c r="E4653" s="36"/>
      <c r="F4653" s="42"/>
      <c r="G4653" s="42"/>
      <c r="H4653" s="42"/>
      <c r="AG4653" s="19">
        <v>4652</v>
      </c>
      <c r="AH4653" s="20">
        <v>844.42996436190072</v>
      </c>
    </row>
    <row r="4654" spans="1:34" ht="14.5" x14ac:dyDescent="0.35">
      <c r="A4654" s="34"/>
      <c r="B4654" s="35"/>
      <c r="C4654" s="36"/>
      <c r="D4654" s="37"/>
      <c r="E4654" s="36"/>
      <c r="F4654" s="42"/>
      <c r="G4654" s="42"/>
      <c r="H4654" s="42"/>
      <c r="AG4654" s="19">
        <v>4653</v>
      </c>
      <c r="AH4654" s="20">
        <v>-2270.1246968221021</v>
      </c>
    </row>
    <row r="4655" spans="1:34" ht="14.5" x14ac:dyDescent="0.35">
      <c r="A4655" s="34"/>
      <c r="B4655" s="35"/>
      <c r="C4655" s="36"/>
      <c r="D4655" s="37"/>
      <c r="E4655" s="36"/>
      <c r="F4655" s="42"/>
      <c r="G4655" s="42"/>
      <c r="H4655" s="42"/>
      <c r="AG4655" s="19">
        <v>4654</v>
      </c>
      <c r="AH4655" s="20">
        <v>-267.7697177422852</v>
      </c>
    </row>
    <row r="4656" spans="1:34" ht="14.5" x14ac:dyDescent="0.35">
      <c r="A4656" s="34"/>
      <c r="B4656" s="35"/>
      <c r="C4656" s="36"/>
      <c r="D4656" s="37"/>
      <c r="E4656" s="36"/>
      <c r="F4656" s="42"/>
      <c r="G4656" s="42"/>
      <c r="H4656" s="42"/>
      <c r="AG4656" s="19">
        <v>4655</v>
      </c>
      <c r="AH4656" s="20">
        <v>3043.0453911685568</v>
      </c>
    </row>
    <row r="4657" spans="1:34" ht="14.5" x14ac:dyDescent="0.35">
      <c r="A4657" s="34"/>
      <c r="B4657" s="35"/>
      <c r="C4657" s="36"/>
      <c r="D4657" s="37"/>
      <c r="E4657" s="36"/>
      <c r="F4657" s="42"/>
      <c r="G4657" s="42"/>
      <c r="H4657" s="42"/>
      <c r="AG4657" s="19">
        <v>4656</v>
      </c>
      <c r="AH4657" s="20">
        <v>2020.9947996324936</v>
      </c>
    </row>
    <row r="4658" spans="1:34" ht="14.5" x14ac:dyDescent="0.35">
      <c r="A4658" s="34"/>
      <c r="B4658" s="35"/>
      <c r="C4658" s="36"/>
      <c r="D4658" s="37"/>
      <c r="E4658" s="36"/>
      <c r="F4658" s="42"/>
      <c r="G4658" s="42"/>
      <c r="H4658" s="42"/>
      <c r="AG4658" s="19">
        <v>4657</v>
      </c>
      <c r="AH4658" s="20">
        <v>-2.8273996348111723</v>
      </c>
    </row>
    <row r="4659" spans="1:34" ht="14.5" x14ac:dyDescent="0.35">
      <c r="A4659" s="34"/>
      <c r="B4659" s="35"/>
      <c r="C4659" s="36"/>
      <c r="D4659" s="37"/>
      <c r="E4659" s="36"/>
      <c r="F4659" s="42"/>
      <c r="G4659" s="42"/>
      <c r="H4659" s="42"/>
      <c r="AG4659" s="19">
        <v>4658</v>
      </c>
      <c r="AH4659" s="20">
        <v>-338.44845306962947</v>
      </c>
    </row>
    <row r="4660" spans="1:34" ht="14.5" x14ac:dyDescent="0.35">
      <c r="A4660" s="34"/>
      <c r="B4660" s="35"/>
      <c r="C4660" s="36"/>
      <c r="D4660" s="37"/>
      <c r="E4660" s="36"/>
      <c r="F4660" s="42"/>
      <c r="G4660" s="42"/>
      <c r="H4660" s="42"/>
      <c r="AG4660" s="19">
        <v>4659</v>
      </c>
      <c r="AH4660" s="20">
        <v>-379.11512760760769</v>
      </c>
    </row>
    <row r="4661" spans="1:34" ht="14.5" x14ac:dyDescent="0.35">
      <c r="A4661" s="34"/>
      <c r="B4661" s="35"/>
      <c r="C4661" s="36"/>
      <c r="D4661" s="37"/>
      <c r="E4661" s="36"/>
      <c r="F4661" s="42"/>
      <c r="G4661" s="42"/>
      <c r="H4661" s="42"/>
      <c r="AG4661" s="19">
        <v>4660</v>
      </c>
      <c r="AH4661" s="20">
        <v>-1268.1657663228114</v>
      </c>
    </row>
    <row r="4662" spans="1:34" ht="14.5" x14ac:dyDescent="0.35">
      <c r="A4662" s="34"/>
      <c r="B4662" s="35"/>
      <c r="C4662" s="36"/>
      <c r="D4662" s="37"/>
      <c r="E4662" s="36"/>
      <c r="F4662" s="42"/>
      <c r="G4662" s="42"/>
      <c r="H4662" s="42"/>
      <c r="AG4662" s="19">
        <v>4661</v>
      </c>
      <c r="AH4662" s="20">
        <v>-746.88146786873904</v>
      </c>
    </row>
    <row r="4663" spans="1:34" ht="14.5" x14ac:dyDescent="0.35">
      <c r="A4663" s="34"/>
      <c r="B4663" s="35"/>
      <c r="C4663" s="36"/>
      <c r="D4663" s="37"/>
      <c r="E4663" s="36"/>
      <c r="F4663" s="42"/>
      <c r="G4663" s="42"/>
      <c r="H4663" s="42"/>
      <c r="AG4663" s="19">
        <v>4662</v>
      </c>
      <c r="AH4663" s="20">
        <v>3224.9316013929274</v>
      </c>
    </row>
    <row r="4664" spans="1:34" ht="14.5" x14ac:dyDescent="0.35">
      <c r="A4664" s="34"/>
      <c r="B4664" s="35"/>
      <c r="C4664" s="36"/>
      <c r="D4664" s="37"/>
      <c r="E4664" s="36"/>
      <c r="F4664" s="42"/>
      <c r="G4664" s="42"/>
      <c r="H4664" s="42"/>
      <c r="AG4664" s="19">
        <v>4663</v>
      </c>
      <c r="AH4664" s="20">
        <v>-3045.4696521693572</v>
      </c>
    </row>
    <row r="4665" spans="1:34" ht="14.5" x14ac:dyDescent="0.35">
      <c r="A4665" s="34"/>
      <c r="B4665" s="35"/>
      <c r="C4665" s="36"/>
      <c r="D4665" s="37"/>
      <c r="E4665" s="36"/>
      <c r="F4665" s="42"/>
      <c r="G4665" s="42"/>
      <c r="H4665" s="42"/>
      <c r="AG4665" s="19">
        <v>4664</v>
      </c>
      <c r="AH4665" s="20">
        <v>-1307.7395366053049</v>
      </c>
    </row>
    <row r="4666" spans="1:34" ht="14.5" x14ac:dyDescent="0.35">
      <c r="A4666" s="34"/>
      <c r="B4666" s="35"/>
      <c r="C4666" s="36"/>
      <c r="D4666" s="37"/>
      <c r="E4666" s="36"/>
      <c r="F4666" s="42"/>
      <c r="G4666" s="42"/>
      <c r="H4666" s="42"/>
      <c r="AG4666" s="19">
        <v>4665</v>
      </c>
      <c r="AH4666" s="20">
        <v>3033.8088796895827</v>
      </c>
    </row>
    <row r="4667" spans="1:34" ht="14.5" x14ac:dyDescent="0.35">
      <c r="A4667" s="34"/>
      <c r="B4667" s="35"/>
      <c r="C4667" s="36"/>
      <c r="D4667" s="37"/>
      <c r="E4667" s="36"/>
      <c r="F4667" s="42"/>
      <c r="G4667" s="42"/>
      <c r="H4667" s="42"/>
      <c r="AG4667" s="19">
        <v>4666</v>
      </c>
      <c r="AH4667" s="20">
        <v>3047.8752422448906</v>
      </c>
    </row>
    <row r="4668" spans="1:34" ht="14.5" x14ac:dyDescent="0.35">
      <c r="A4668" s="34"/>
      <c r="B4668" s="35"/>
      <c r="C4668" s="36"/>
      <c r="D4668" s="37"/>
      <c r="E4668" s="36"/>
      <c r="F4668" s="42"/>
      <c r="G4668" s="42"/>
      <c r="H4668" s="42"/>
      <c r="AG4668" s="19">
        <v>4667</v>
      </c>
      <c r="AH4668" s="20">
        <v>3327.358017783502</v>
      </c>
    </row>
    <row r="4669" spans="1:34" ht="14.5" x14ac:dyDescent="0.35">
      <c r="A4669" s="34"/>
      <c r="B4669" s="35"/>
      <c r="C4669" s="36"/>
      <c r="D4669" s="37"/>
      <c r="E4669" s="36"/>
      <c r="F4669" s="42"/>
      <c r="G4669" s="42"/>
      <c r="H4669" s="42"/>
      <c r="AG4669" s="19">
        <v>4668</v>
      </c>
      <c r="AH4669" s="20">
        <v>-1310.3072640843716</v>
      </c>
    </row>
    <row r="4670" spans="1:34" ht="14.5" x14ac:dyDescent="0.35">
      <c r="A4670" s="34"/>
      <c r="B4670" s="35"/>
      <c r="C4670" s="36"/>
      <c r="D4670" s="37"/>
      <c r="E4670" s="36"/>
      <c r="F4670" s="42"/>
      <c r="G4670" s="42"/>
      <c r="H4670" s="42"/>
      <c r="AG4670" s="19">
        <v>4669</v>
      </c>
      <c r="AH4670" s="20">
        <v>2374.010465588839</v>
      </c>
    </row>
    <row r="4671" spans="1:34" ht="14.5" x14ac:dyDescent="0.35">
      <c r="A4671" s="34"/>
      <c r="B4671" s="35"/>
      <c r="C4671" s="36"/>
      <c r="D4671" s="37"/>
      <c r="E4671" s="36"/>
      <c r="F4671" s="42"/>
      <c r="G4671" s="42"/>
      <c r="H4671" s="42"/>
      <c r="AG4671" s="19">
        <v>4670</v>
      </c>
      <c r="AH4671" s="20">
        <v>1576.6743298050621</v>
      </c>
    </row>
    <row r="4672" spans="1:34" ht="14.5" x14ac:dyDescent="0.35">
      <c r="A4672" s="34"/>
      <c r="B4672" s="35"/>
      <c r="C4672" s="36"/>
      <c r="D4672" s="37"/>
      <c r="E4672" s="36"/>
      <c r="F4672" s="42"/>
      <c r="G4672" s="42"/>
      <c r="H4672" s="42"/>
      <c r="AG4672" s="19">
        <v>4671</v>
      </c>
      <c r="AH4672" s="20">
        <v>3165.8343221708824</v>
      </c>
    </row>
    <row r="4673" spans="1:34" ht="14.5" x14ac:dyDescent="0.35">
      <c r="A4673" s="34"/>
      <c r="B4673" s="35"/>
      <c r="C4673" s="36"/>
      <c r="D4673" s="37"/>
      <c r="E4673" s="36"/>
      <c r="F4673" s="42"/>
      <c r="G4673" s="42"/>
      <c r="H4673" s="42"/>
      <c r="AG4673" s="19">
        <v>4672</v>
      </c>
      <c r="AH4673" s="20">
        <v>-308.27264861747045</v>
      </c>
    </row>
    <row r="4674" spans="1:34" ht="14.5" x14ac:dyDescent="0.35">
      <c r="A4674" s="34"/>
      <c r="B4674" s="35"/>
      <c r="C4674" s="36"/>
      <c r="D4674" s="37"/>
      <c r="E4674" s="36"/>
      <c r="F4674" s="42"/>
      <c r="G4674" s="42"/>
      <c r="H4674" s="42"/>
      <c r="AG4674" s="19">
        <v>4673</v>
      </c>
      <c r="AH4674" s="20">
        <v>758.67267809373561</v>
      </c>
    </row>
    <row r="4675" spans="1:34" ht="14.5" x14ac:dyDescent="0.35">
      <c r="A4675" s="34"/>
      <c r="B4675" s="35"/>
      <c r="C4675" s="36"/>
      <c r="D4675" s="37"/>
      <c r="E4675" s="36"/>
      <c r="F4675" s="42"/>
      <c r="G4675" s="42"/>
      <c r="H4675" s="42"/>
      <c r="AG4675" s="19">
        <v>4674</v>
      </c>
      <c r="AH4675" s="20">
        <v>1633.293328228232</v>
      </c>
    </row>
    <row r="4676" spans="1:34" ht="14.5" x14ac:dyDescent="0.35">
      <c r="A4676" s="34"/>
      <c r="B4676" s="35"/>
      <c r="C4676" s="36"/>
      <c r="D4676" s="37"/>
      <c r="E4676" s="36"/>
      <c r="F4676" s="42"/>
      <c r="G4676" s="42"/>
      <c r="H4676" s="42"/>
      <c r="AG4676" s="19">
        <v>4675</v>
      </c>
      <c r="AH4676" s="20">
        <v>172.9898452187802</v>
      </c>
    </row>
    <row r="4677" spans="1:34" ht="14.5" x14ac:dyDescent="0.35">
      <c r="A4677" s="34"/>
      <c r="B4677" s="35"/>
      <c r="C4677" s="36"/>
      <c r="D4677" s="37"/>
      <c r="E4677" s="36"/>
      <c r="F4677" s="42"/>
      <c r="G4677" s="42"/>
      <c r="H4677" s="42"/>
      <c r="AG4677" s="19">
        <v>4676</v>
      </c>
      <c r="AH4677" s="20">
        <v>-679.49095046982779</v>
      </c>
    </row>
    <row r="4678" spans="1:34" ht="14.5" x14ac:dyDescent="0.35">
      <c r="A4678" s="34"/>
      <c r="B4678" s="35"/>
      <c r="C4678" s="36"/>
      <c r="D4678" s="37"/>
      <c r="E4678" s="36"/>
      <c r="F4678" s="42"/>
      <c r="G4678" s="42"/>
      <c r="H4678" s="42"/>
      <c r="AG4678" s="19">
        <v>4677</v>
      </c>
      <c r="AH4678" s="20">
        <v>-4673.4762237619007</v>
      </c>
    </row>
    <row r="4679" spans="1:34" ht="14.5" x14ac:dyDescent="0.35">
      <c r="A4679" s="34"/>
      <c r="B4679" s="35"/>
      <c r="C4679" s="36"/>
      <c r="D4679" s="37"/>
      <c r="E4679" s="36"/>
      <c r="F4679" s="42"/>
      <c r="G4679" s="42"/>
      <c r="H4679" s="42"/>
      <c r="AG4679" s="19">
        <v>4678</v>
      </c>
      <c r="AH4679" s="20">
        <v>-111.28275428447228</v>
      </c>
    </row>
    <row r="4680" spans="1:34" ht="14.5" x14ac:dyDescent="0.35">
      <c r="A4680" s="34"/>
      <c r="B4680" s="35"/>
      <c r="C4680" s="36"/>
      <c r="D4680" s="37"/>
      <c r="E4680" s="36"/>
      <c r="F4680" s="42"/>
      <c r="G4680" s="42"/>
      <c r="H4680" s="42"/>
      <c r="AG4680" s="19">
        <v>4679</v>
      </c>
      <c r="AH4680" s="20">
        <v>4046.803061752918</v>
      </c>
    </row>
    <row r="4681" spans="1:34" ht="14.5" x14ac:dyDescent="0.35">
      <c r="A4681" s="34"/>
      <c r="B4681" s="35"/>
      <c r="C4681" s="36"/>
      <c r="D4681" s="37"/>
      <c r="E4681" s="36"/>
      <c r="F4681" s="42"/>
      <c r="G4681" s="42"/>
      <c r="H4681" s="42"/>
      <c r="AG4681" s="19">
        <v>4680</v>
      </c>
      <c r="AH4681" s="20">
        <v>-1128.476175482527</v>
      </c>
    </row>
    <row r="4682" spans="1:34" ht="14.5" x14ac:dyDescent="0.35">
      <c r="A4682" s="34"/>
      <c r="B4682" s="35"/>
      <c r="C4682" s="36"/>
      <c r="D4682" s="37"/>
      <c r="E4682" s="36"/>
      <c r="F4682" s="42"/>
      <c r="G4682" s="42"/>
      <c r="H4682" s="42"/>
      <c r="AG4682" s="19">
        <v>4681</v>
      </c>
      <c r="AH4682" s="20">
        <v>1447.4728413538871</v>
      </c>
    </row>
    <row r="4683" spans="1:34" ht="14.5" x14ac:dyDescent="0.35">
      <c r="A4683" s="34"/>
      <c r="B4683" s="35"/>
      <c r="C4683" s="36"/>
      <c r="D4683" s="37"/>
      <c r="E4683" s="36"/>
      <c r="F4683" s="42"/>
      <c r="G4683" s="42"/>
      <c r="H4683" s="42"/>
      <c r="AG4683" s="19">
        <v>4682</v>
      </c>
      <c r="AH4683" s="20">
        <v>488.24442836260641</v>
      </c>
    </row>
    <row r="4684" spans="1:34" ht="14.5" x14ac:dyDescent="0.35">
      <c r="A4684" s="34"/>
      <c r="B4684" s="35"/>
      <c r="C4684" s="36"/>
      <c r="D4684" s="37"/>
      <c r="E4684" s="36"/>
      <c r="F4684" s="42"/>
      <c r="G4684" s="42"/>
      <c r="H4684" s="42"/>
      <c r="AG4684" s="19">
        <v>4683</v>
      </c>
      <c r="AH4684" s="20">
        <v>147.26944327760896</v>
      </c>
    </row>
    <row r="4685" spans="1:34" ht="14.5" x14ac:dyDescent="0.35">
      <c r="A4685" s="34"/>
      <c r="B4685" s="35"/>
      <c r="C4685" s="36"/>
      <c r="D4685" s="37"/>
      <c r="E4685" s="36"/>
      <c r="F4685" s="42"/>
      <c r="G4685" s="42"/>
      <c r="H4685" s="42"/>
      <c r="AG4685" s="19">
        <v>4684</v>
      </c>
      <c r="AH4685" s="20">
        <v>-4579.0405318914618</v>
      </c>
    </row>
    <row r="4686" spans="1:34" ht="14.5" x14ac:dyDescent="0.35">
      <c r="A4686" s="34"/>
      <c r="B4686" s="35"/>
      <c r="C4686" s="36"/>
      <c r="D4686" s="37"/>
      <c r="E4686" s="36"/>
      <c r="F4686" s="42"/>
      <c r="G4686" s="42"/>
      <c r="H4686" s="42"/>
      <c r="AG4686" s="19">
        <v>4685</v>
      </c>
      <c r="AH4686" s="20">
        <v>-3162.0542879990198</v>
      </c>
    </row>
    <row r="4687" spans="1:34" ht="14.5" x14ac:dyDescent="0.35">
      <c r="A4687" s="34"/>
      <c r="B4687" s="35"/>
      <c r="C4687" s="36"/>
      <c r="D4687" s="37"/>
      <c r="E4687" s="36"/>
      <c r="F4687" s="42"/>
      <c r="G4687" s="42"/>
      <c r="H4687" s="42"/>
      <c r="AG4687" s="19">
        <v>4686</v>
      </c>
      <c r="AH4687" s="20">
        <v>1571.9146375836544</v>
      </c>
    </row>
    <row r="4688" spans="1:34" ht="14.5" x14ac:dyDescent="0.35">
      <c r="A4688" s="34"/>
      <c r="B4688" s="35"/>
      <c r="C4688" s="36"/>
      <c r="D4688" s="37"/>
      <c r="E4688" s="36"/>
      <c r="F4688" s="42"/>
      <c r="G4688" s="42"/>
      <c r="H4688" s="42"/>
      <c r="AG4688" s="19">
        <v>4687</v>
      </c>
      <c r="AH4688" s="20">
        <v>564.34608063455426</v>
      </c>
    </row>
    <row r="4689" spans="1:34" ht="14.5" x14ac:dyDescent="0.35">
      <c r="A4689" s="34"/>
      <c r="B4689" s="35"/>
      <c r="C4689" s="36"/>
      <c r="D4689" s="37"/>
      <c r="E4689" s="36"/>
      <c r="F4689" s="42"/>
      <c r="G4689" s="42"/>
      <c r="H4689" s="42"/>
      <c r="AG4689" s="19">
        <v>4688</v>
      </c>
      <c r="AH4689" s="20">
        <v>688.43020325255702</v>
      </c>
    </row>
    <row r="4690" spans="1:34" ht="14.5" x14ac:dyDescent="0.35">
      <c r="A4690" s="34"/>
      <c r="B4690" s="35"/>
      <c r="C4690" s="36"/>
      <c r="D4690" s="37"/>
      <c r="E4690" s="36"/>
      <c r="F4690" s="42"/>
      <c r="G4690" s="42"/>
      <c r="H4690" s="42"/>
      <c r="AG4690" s="19">
        <v>4689</v>
      </c>
      <c r="AH4690" s="20">
        <v>-1360.784239453445</v>
      </c>
    </row>
    <row r="4691" spans="1:34" ht="14.5" x14ac:dyDescent="0.35">
      <c r="A4691" s="34"/>
      <c r="B4691" s="35"/>
      <c r="C4691" s="36"/>
      <c r="D4691" s="37"/>
      <c r="E4691" s="36"/>
      <c r="F4691" s="42"/>
      <c r="G4691" s="42"/>
      <c r="H4691" s="42"/>
      <c r="AG4691" s="19">
        <v>4690</v>
      </c>
      <c r="AH4691" s="20">
        <v>-1895.4392492116438</v>
      </c>
    </row>
    <row r="4692" spans="1:34" ht="14.5" x14ac:dyDescent="0.35">
      <c r="A4692" s="34"/>
      <c r="B4692" s="35"/>
      <c r="C4692" s="36"/>
      <c r="D4692" s="37"/>
      <c r="E4692" s="36"/>
      <c r="F4692" s="42"/>
      <c r="G4692" s="42"/>
      <c r="H4692" s="42"/>
      <c r="AG4692" s="19">
        <v>4691</v>
      </c>
      <c r="AH4692" s="20">
        <v>240.68164259660375</v>
      </c>
    </row>
    <row r="4693" spans="1:34" ht="14.5" x14ac:dyDescent="0.35">
      <c r="A4693" s="34"/>
      <c r="B4693" s="35"/>
      <c r="C4693" s="36"/>
      <c r="D4693" s="37"/>
      <c r="E4693" s="36"/>
      <c r="F4693" s="42"/>
      <c r="G4693" s="42"/>
      <c r="H4693" s="42"/>
      <c r="AG4693" s="19">
        <v>4692</v>
      </c>
      <c r="AH4693" s="20">
        <v>4048.0232217468842</v>
      </c>
    </row>
    <row r="4694" spans="1:34" ht="14.5" x14ac:dyDescent="0.35">
      <c r="A4694" s="34"/>
      <c r="B4694" s="35"/>
      <c r="C4694" s="36"/>
      <c r="D4694" s="37"/>
      <c r="E4694" s="36"/>
      <c r="F4694" s="42"/>
      <c r="G4694" s="42"/>
      <c r="H4694" s="42"/>
      <c r="AG4694" s="19">
        <v>4693</v>
      </c>
      <c r="AH4694" s="20">
        <v>-1803.5340204943334</v>
      </c>
    </row>
    <row r="4695" spans="1:34" ht="14.5" x14ac:dyDescent="0.35">
      <c r="A4695" s="34"/>
      <c r="B4695" s="35"/>
      <c r="C4695" s="36"/>
      <c r="D4695" s="37"/>
      <c r="E4695" s="36"/>
      <c r="F4695" s="42"/>
      <c r="G4695" s="42"/>
      <c r="H4695" s="42"/>
      <c r="AG4695" s="19">
        <v>4694</v>
      </c>
      <c r="AH4695" s="20">
        <v>-1321.9290446177451</v>
      </c>
    </row>
    <row r="4696" spans="1:34" ht="14.5" x14ac:dyDescent="0.35">
      <c r="A4696" s="34"/>
      <c r="B4696" s="35"/>
      <c r="C4696" s="36"/>
      <c r="D4696" s="37"/>
      <c r="E4696" s="36"/>
      <c r="F4696" s="42"/>
      <c r="G4696" s="42"/>
      <c r="H4696" s="42"/>
      <c r="AG4696" s="19">
        <v>4695</v>
      </c>
      <c r="AH4696" s="20">
        <v>-828.61027632588366</v>
      </c>
    </row>
    <row r="4697" spans="1:34" ht="14.5" x14ac:dyDescent="0.35">
      <c r="A4697" s="34"/>
      <c r="B4697" s="35"/>
      <c r="C4697" s="36"/>
      <c r="D4697" s="37"/>
      <c r="E4697" s="36"/>
      <c r="F4697" s="42"/>
      <c r="G4697" s="42"/>
      <c r="H4697" s="42"/>
      <c r="AG4697" s="19">
        <v>4696</v>
      </c>
      <c r="AH4697" s="20">
        <v>-115.24166582442518</v>
      </c>
    </row>
    <row r="4698" spans="1:34" ht="14.5" x14ac:dyDescent="0.35">
      <c r="A4698" s="34"/>
      <c r="B4698" s="35"/>
      <c r="C4698" s="36"/>
      <c r="D4698" s="37"/>
      <c r="E4698" s="36"/>
      <c r="F4698" s="42"/>
      <c r="G4698" s="42"/>
      <c r="H4698" s="42"/>
      <c r="AG4698" s="19">
        <v>4697</v>
      </c>
      <c r="AH4698" s="20">
        <v>-1084.2214233766183</v>
      </c>
    </row>
    <row r="4699" spans="1:34" ht="14.5" x14ac:dyDescent="0.35">
      <c r="A4699" s="34"/>
      <c r="B4699" s="35"/>
      <c r="C4699" s="36"/>
      <c r="D4699" s="37"/>
      <c r="E4699" s="36"/>
      <c r="F4699" s="42"/>
      <c r="G4699" s="42"/>
      <c r="H4699" s="42"/>
      <c r="AG4699" s="19">
        <v>4698</v>
      </c>
      <c r="AH4699" s="20">
        <v>1698.2719067982687</v>
      </c>
    </row>
    <row r="4700" spans="1:34" ht="14.5" x14ac:dyDescent="0.35">
      <c r="A4700" s="34"/>
      <c r="B4700" s="35"/>
      <c r="C4700" s="36"/>
      <c r="D4700" s="37"/>
      <c r="E4700" s="36"/>
      <c r="F4700" s="42"/>
      <c r="G4700" s="42"/>
      <c r="H4700" s="42"/>
      <c r="AG4700" s="19">
        <v>4699</v>
      </c>
      <c r="AH4700" s="20">
        <v>-962.52259599894319</v>
      </c>
    </row>
    <row r="4701" spans="1:34" ht="14.5" x14ac:dyDescent="0.35">
      <c r="A4701" s="34"/>
      <c r="B4701" s="35"/>
      <c r="C4701" s="36"/>
      <c r="D4701" s="37"/>
      <c r="E4701" s="36"/>
      <c r="F4701" s="42"/>
      <c r="G4701" s="42"/>
      <c r="H4701" s="42"/>
      <c r="AG4701" s="19">
        <v>4700</v>
      </c>
      <c r="AH4701" s="20">
        <v>2555.9407048373691</v>
      </c>
    </row>
    <row r="4702" spans="1:34" ht="14.5" x14ac:dyDescent="0.35">
      <c r="A4702" s="34"/>
      <c r="B4702" s="35"/>
      <c r="C4702" s="36"/>
      <c r="D4702" s="37"/>
      <c r="E4702" s="36"/>
      <c r="F4702" s="42"/>
      <c r="G4702" s="42"/>
      <c r="H4702" s="42"/>
      <c r="AG4702" s="19">
        <v>4701</v>
      </c>
      <c r="AH4702" s="20">
        <v>2550.015202560347</v>
      </c>
    </row>
    <row r="4703" spans="1:34" ht="14.5" x14ac:dyDescent="0.35">
      <c r="A4703" s="34"/>
      <c r="B4703" s="35"/>
      <c r="C4703" s="36"/>
      <c r="D4703" s="37"/>
      <c r="E4703" s="36"/>
      <c r="F4703" s="42"/>
      <c r="G4703" s="42"/>
      <c r="H4703" s="42"/>
      <c r="AG4703" s="19">
        <v>4702</v>
      </c>
      <c r="AH4703" s="20">
        <v>2933.9244563937687</v>
      </c>
    </row>
    <row r="4704" spans="1:34" ht="14.5" x14ac:dyDescent="0.35">
      <c r="A4704" s="34"/>
      <c r="B4704" s="35"/>
      <c r="C4704" s="36"/>
      <c r="D4704" s="37"/>
      <c r="E4704" s="36"/>
      <c r="F4704" s="42"/>
      <c r="G4704" s="42"/>
      <c r="H4704" s="42"/>
      <c r="AG4704" s="19">
        <v>4703</v>
      </c>
      <c r="AH4704" s="20">
        <v>1155.2926518285199</v>
      </c>
    </row>
    <row r="4705" spans="1:34" ht="14.5" x14ac:dyDescent="0.35">
      <c r="A4705" s="34"/>
      <c r="B4705" s="35"/>
      <c r="C4705" s="36"/>
      <c r="D4705" s="37"/>
      <c r="E4705" s="36"/>
      <c r="F4705" s="42"/>
      <c r="G4705" s="42"/>
      <c r="H4705" s="42"/>
      <c r="AG4705" s="19">
        <v>4704</v>
      </c>
      <c r="AH4705" s="20">
        <v>4361.2776312970627</v>
      </c>
    </row>
    <row r="4706" spans="1:34" ht="14.5" x14ac:dyDescent="0.35">
      <c r="A4706" s="34"/>
      <c r="B4706" s="35"/>
      <c r="C4706" s="36"/>
      <c r="D4706" s="37"/>
      <c r="E4706" s="36"/>
      <c r="F4706" s="42"/>
      <c r="G4706" s="42"/>
      <c r="H4706" s="42"/>
      <c r="AG4706" s="19">
        <v>4705</v>
      </c>
      <c r="AH4706" s="20">
        <v>377.10559748788631</v>
      </c>
    </row>
    <row r="4707" spans="1:34" ht="14.5" x14ac:dyDescent="0.35">
      <c r="A4707" s="34"/>
      <c r="B4707" s="35"/>
      <c r="C4707" s="36"/>
      <c r="D4707" s="37"/>
      <c r="E4707" s="36"/>
      <c r="F4707" s="42"/>
      <c r="G4707" s="42"/>
      <c r="H4707" s="42"/>
      <c r="AG4707" s="19">
        <v>4706</v>
      </c>
      <c r="AH4707" s="20">
        <v>-1804.6241615396673</v>
      </c>
    </row>
    <row r="4708" spans="1:34" ht="14.5" x14ac:dyDescent="0.35">
      <c r="A4708" s="34"/>
      <c r="B4708" s="35"/>
      <c r="C4708" s="36"/>
      <c r="D4708" s="37"/>
      <c r="E4708" s="36"/>
      <c r="F4708" s="42"/>
      <c r="G4708" s="42"/>
      <c r="H4708" s="42"/>
      <c r="AG4708" s="19">
        <v>4707</v>
      </c>
      <c r="AH4708" s="20">
        <v>-501.31650414717234</v>
      </c>
    </row>
    <row r="4709" spans="1:34" ht="14.5" x14ac:dyDescent="0.35">
      <c r="A4709" s="34"/>
      <c r="B4709" s="35"/>
      <c r="C4709" s="36"/>
      <c r="D4709" s="37"/>
      <c r="E4709" s="36"/>
      <c r="F4709" s="42"/>
      <c r="G4709" s="42"/>
      <c r="H4709" s="42"/>
      <c r="AG4709" s="19">
        <v>4708</v>
      </c>
      <c r="AH4709" s="20">
        <v>-1236.8779373385025</v>
      </c>
    </row>
    <row r="4710" spans="1:34" ht="14.5" x14ac:dyDescent="0.35">
      <c r="A4710" s="34"/>
      <c r="B4710" s="35"/>
      <c r="C4710" s="36"/>
      <c r="D4710" s="37"/>
      <c r="E4710" s="36"/>
      <c r="F4710" s="42"/>
      <c r="G4710" s="42"/>
      <c r="H4710" s="42"/>
      <c r="AG4710" s="19">
        <v>4709</v>
      </c>
      <c r="AH4710" s="20">
        <v>-69.937875476988097</v>
      </c>
    </row>
    <row r="4711" spans="1:34" ht="14.5" x14ac:dyDescent="0.35">
      <c r="A4711" s="34"/>
      <c r="B4711" s="35"/>
      <c r="C4711" s="36"/>
      <c r="D4711" s="37"/>
      <c r="E4711" s="36"/>
      <c r="F4711" s="42"/>
      <c r="G4711" s="42"/>
      <c r="H4711" s="42"/>
      <c r="AG4711" s="19">
        <v>4710</v>
      </c>
      <c r="AH4711" s="20">
        <v>-1266.8521462870422</v>
      </c>
    </row>
    <row r="4712" spans="1:34" ht="14.5" x14ac:dyDescent="0.35">
      <c r="A4712" s="34"/>
      <c r="B4712" s="35"/>
      <c r="C4712" s="36"/>
      <c r="D4712" s="37"/>
      <c r="E4712" s="36"/>
      <c r="F4712" s="42"/>
      <c r="G4712" s="42"/>
      <c r="H4712" s="42"/>
      <c r="AG4712" s="19">
        <v>4711</v>
      </c>
      <c r="AH4712" s="20">
        <v>-127.295344311821</v>
      </c>
    </row>
    <row r="4713" spans="1:34" ht="14.5" x14ac:dyDescent="0.35">
      <c r="A4713" s="34"/>
      <c r="B4713" s="35"/>
      <c r="C4713" s="36"/>
      <c r="D4713" s="37"/>
      <c r="E4713" s="36"/>
      <c r="F4713" s="42"/>
      <c r="G4713" s="42"/>
      <c r="H4713" s="42"/>
      <c r="AG4713" s="19">
        <v>4712</v>
      </c>
      <c r="AH4713" s="20">
        <v>-437.24913906188675</v>
      </c>
    </row>
    <row r="4714" spans="1:34" ht="14.5" x14ac:dyDescent="0.35">
      <c r="A4714" s="34"/>
      <c r="B4714" s="35"/>
      <c r="C4714" s="36"/>
      <c r="D4714" s="37"/>
      <c r="E4714" s="36"/>
      <c r="F4714" s="42"/>
      <c r="G4714" s="42"/>
      <c r="H4714" s="42"/>
      <c r="AG4714" s="19">
        <v>4713</v>
      </c>
      <c r="AH4714" s="20">
        <v>463.08090047105253</v>
      </c>
    </row>
    <row r="4715" spans="1:34" ht="14.5" x14ac:dyDescent="0.35">
      <c r="A4715" s="34"/>
      <c r="B4715" s="35"/>
      <c r="C4715" s="36"/>
      <c r="D4715" s="37"/>
      <c r="E4715" s="36"/>
      <c r="F4715" s="42"/>
      <c r="G4715" s="42"/>
      <c r="H4715" s="42"/>
      <c r="AG4715" s="19">
        <v>4714</v>
      </c>
      <c r="AH4715" s="20">
        <v>-756.36043017648217</v>
      </c>
    </row>
    <row r="4716" spans="1:34" ht="14.5" x14ac:dyDescent="0.35">
      <c r="A4716" s="34"/>
      <c r="B4716" s="35"/>
      <c r="C4716" s="36"/>
      <c r="D4716" s="37"/>
      <c r="E4716" s="36"/>
      <c r="F4716" s="42"/>
      <c r="G4716" s="42"/>
      <c r="H4716" s="42"/>
      <c r="AG4716" s="19">
        <v>4715</v>
      </c>
      <c r="AH4716" s="20">
        <v>-3204.6039992425731</v>
      </c>
    </row>
    <row r="4717" spans="1:34" ht="14.5" x14ac:dyDescent="0.35">
      <c r="A4717" s="34"/>
      <c r="B4717" s="35"/>
      <c r="C4717" s="36"/>
      <c r="D4717" s="37"/>
      <c r="E4717" s="36"/>
      <c r="F4717" s="42"/>
      <c r="G4717" s="42"/>
      <c r="H4717" s="42"/>
      <c r="AG4717" s="19">
        <v>4716</v>
      </c>
      <c r="AH4717" s="20">
        <v>213.02331475448335</v>
      </c>
    </row>
    <row r="4718" spans="1:34" ht="14.5" x14ac:dyDescent="0.35">
      <c r="A4718" s="34"/>
      <c r="B4718" s="35"/>
      <c r="C4718" s="36"/>
      <c r="D4718" s="37"/>
      <c r="E4718" s="36"/>
      <c r="F4718" s="42"/>
      <c r="G4718" s="42"/>
      <c r="H4718" s="42"/>
      <c r="AG4718" s="19">
        <v>4717</v>
      </c>
      <c r="AH4718" s="20">
        <v>2333.1621423873744</v>
      </c>
    </row>
    <row r="4719" spans="1:34" ht="14.5" x14ac:dyDescent="0.35">
      <c r="A4719" s="34"/>
      <c r="B4719" s="35"/>
      <c r="C4719" s="36"/>
      <c r="D4719" s="37"/>
      <c r="E4719" s="36"/>
      <c r="F4719" s="42"/>
      <c r="G4719" s="42"/>
      <c r="H4719" s="42"/>
      <c r="AG4719" s="19">
        <v>4718</v>
      </c>
      <c r="AH4719" s="20">
        <v>55.25095492661552</v>
      </c>
    </row>
    <row r="4720" spans="1:34" ht="14.5" x14ac:dyDescent="0.35">
      <c r="A4720" s="34"/>
      <c r="B4720" s="35"/>
      <c r="C4720" s="36"/>
      <c r="D4720" s="37"/>
      <c r="E4720" s="36"/>
      <c r="F4720" s="42"/>
      <c r="G4720" s="42"/>
      <c r="H4720" s="42"/>
      <c r="AG4720" s="19">
        <v>4719</v>
      </c>
      <c r="AH4720" s="20">
        <v>-876.8638031401747</v>
      </c>
    </row>
    <row r="4721" spans="1:34" ht="14.5" x14ac:dyDescent="0.35">
      <c r="A4721" s="34"/>
      <c r="B4721" s="35"/>
      <c r="C4721" s="36"/>
      <c r="D4721" s="37"/>
      <c r="E4721" s="36"/>
      <c r="F4721" s="42"/>
      <c r="G4721" s="42"/>
      <c r="H4721" s="42"/>
      <c r="AG4721" s="19">
        <v>4720</v>
      </c>
      <c r="AH4721" s="20">
        <v>2180.4679784668783</v>
      </c>
    </row>
    <row r="4722" spans="1:34" ht="14.5" x14ac:dyDescent="0.35">
      <c r="A4722" s="34"/>
      <c r="B4722" s="35"/>
      <c r="C4722" s="36"/>
      <c r="D4722" s="37"/>
      <c r="E4722" s="36"/>
      <c r="F4722" s="42"/>
      <c r="G4722" s="42"/>
      <c r="H4722" s="42"/>
      <c r="AG4722" s="19">
        <v>4721</v>
      </c>
      <c r="AH4722" s="20">
        <v>-2276.152367804671</v>
      </c>
    </row>
    <row r="4723" spans="1:34" ht="14.5" x14ac:dyDescent="0.35">
      <c r="A4723" s="34"/>
      <c r="B4723" s="35"/>
      <c r="C4723" s="36"/>
      <c r="D4723" s="37"/>
      <c r="E4723" s="36"/>
      <c r="F4723" s="42"/>
      <c r="G4723" s="42"/>
      <c r="H4723" s="42"/>
      <c r="AG4723" s="19">
        <v>4722</v>
      </c>
      <c r="AH4723" s="20">
        <v>-628.85946801110708</v>
      </c>
    </row>
    <row r="4724" spans="1:34" ht="14.5" x14ac:dyDescent="0.35">
      <c r="A4724" s="34"/>
      <c r="B4724" s="35"/>
      <c r="C4724" s="36"/>
      <c r="D4724" s="37"/>
      <c r="E4724" s="36"/>
      <c r="F4724" s="42"/>
      <c r="G4724" s="42"/>
      <c r="H4724" s="42"/>
      <c r="AG4724" s="19">
        <v>4723</v>
      </c>
      <c r="AH4724" s="20">
        <v>1891.8081919268027</v>
      </c>
    </row>
    <row r="4725" spans="1:34" ht="14.5" x14ac:dyDescent="0.35">
      <c r="A4725" s="34"/>
      <c r="B4725" s="35"/>
      <c r="C4725" s="36"/>
      <c r="D4725" s="37"/>
      <c r="E4725" s="36"/>
      <c r="F4725" s="42"/>
      <c r="G4725" s="42"/>
      <c r="H4725" s="42"/>
      <c r="AG4725" s="19">
        <v>4724</v>
      </c>
      <c r="AH4725" s="20">
        <v>3729.5331002768053</v>
      </c>
    </row>
    <row r="4726" spans="1:34" ht="14.5" x14ac:dyDescent="0.35">
      <c r="A4726" s="34"/>
      <c r="B4726" s="35"/>
      <c r="C4726" s="36"/>
      <c r="D4726" s="37"/>
      <c r="E4726" s="36"/>
      <c r="F4726" s="42"/>
      <c r="G4726" s="42"/>
      <c r="H4726" s="42"/>
      <c r="AG4726" s="19">
        <v>4725</v>
      </c>
      <c r="AH4726" s="20">
        <v>949.45582078493135</v>
      </c>
    </row>
    <row r="4727" spans="1:34" ht="14.5" x14ac:dyDescent="0.35">
      <c r="A4727" s="34"/>
      <c r="B4727" s="35"/>
      <c r="C4727" s="36"/>
      <c r="D4727" s="37"/>
      <c r="E4727" s="36"/>
      <c r="F4727" s="42"/>
      <c r="G4727" s="42"/>
      <c r="H4727" s="42"/>
      <c r="AG4727" s="19">
        <v>4726</v>
      </c>
      <c r="AH4727" s="20">
        <v>2500.8410163352896</v>
      </c>
    </row>
    <row r="4728" spans="1:34" ht="14.5" x14ac:dyDescent="0.35">
      <c r="A4728" s="34"/>
      <c r="B4728" s="35"/>
      <c r="C4728" s="36"/>
      <c r="D4728" s="37"/>
      <c r="E4728" s="36"/>
      <c r="F4728" s="42"/>
      <c r="G4728" s="42"/>
      <c r="H4728" s="42"/>
      <c r="AG4728" s="19">
        <v>4727</v>
      </c>
      <c r="AH4728" s="20">
        <v>905.06090749988448</v>
      </c>
    </row>
    <row r="4729" spans="1:34" ht="14.5" x14ac:dyDescent="0.35">
      <c r="A4729" s="34"/>
      <c r="B4729" s="35"/>
      <c r="C4729" s="36"/>
      <c r="D4729" s="37"/>
      <c r="E4729" s="36"/>
      <c r="F4729" s="42"/>
      <c r="G4729" s="42"/>
      <c r="H4729" s="42"/>
      <c r="AG4729" s="19">
        <v>4728</v>
      </c>
      <c r="AH4729" s="20">
        <v>1202.8217855649855</v>
      </c>
    </row>
    <row r="4730" spans="1:34" ht="14.5" x14ac:dyDescent="0.35">
      <c r="A4730" s="34"/>
      <c r="B4730" s="35"/>
      <c r="C4730" s="36"/>
      <c r="D4730" s="37"/>
      <c r="E4730" s="36"/>
      <c r="F4730" s="42"/>
      <c r="G4730" s="42"/>
      <c r="H4730" s="42"/>
      <c r="AG4730" s="19">
        <v>4729</v>
      </c>
      <c r="AH4730" s="20">
        <v>1951.1314992233608</v>
      </c>
    </row>
    <row r="4731" spans="1:34" ht="14.5" x14ac:dyDescent="0.35">
      <c r="A4731" s="34"/>
      <c r="B4731" s="35"/>
      <c r="C4731" s="36"/>
      <c r="D4731" s="37"/>
      <c r="E4731" s="36"/>
      <c r="F4731" s="42"/>
      <c r="G4731" s="42"/>
      <c r="H4731" s="42"/>
      <c r="AG4731" s="19">
        <v>4730</v>
      </c>
      <c r="AH4731" s="20">
        <v>1005.7523305697255</v>
      </c>
    </row>
    <row r="4732" spans="1:34" ht="14.5" x14ac:dyDescent="0.35">
      <c r="A4732" s="34"/>
      <c r="B4732" s="35"/>
      <c r="C4732" s="36"/>
      <c r="D4732" s="37"/>
      <c r="E4732" s="36"/>
      <c r="F4732" s="42"/>
      <c r="G4732" s="42"/>
      <c r="H4732" s="42"/>
      <c r="AG4732" s="19">
        <v>4731</v>
      </c>
      <c r="AH4732" s="20">
        <v>773.04908151229722</v>
      </c>
    </row>
    <row r="4733" spans="1:34" ht="14.5" x14ac:dyDescent="0.35">
      <c r="A4733" s="34"/>
      <c r="B4733" s="35"/>
      <c r="C4733" s="36"/>
      <c r="D4733" s="37"/>
      <c r="E4733" s="36"/>
      <c r="F4733" s="42"/>
      <c r="G4733" s="42"/>
      <c r="H4733" s="42"/>
      <c r="AG4733" s="19">
        <v>4732</v>
      </c>
      <c r="AH4733" s="20">
        <v>1412.6486259107126</v>
      </c>
    </row>
    <row r="4734" spans="1:34" ht="14.5" x14ac:dyDescent="0.35">
      <c r="A4734" s="34"/>
      <c r="B4734" s="35"/>
      <c r="C4734" s="36"/>
      <c r="D4734" s="37"/>
      <c r="E4734" s="36"/>
      <c r="F4734" s="42"/>
      <c r="G4734" s="42"/>
      <c r="H4734" s="42"/>
      <c r="AG4734" s="19">
        <v>4733</v>
      </c>
      <c r="AH4734" s="20">
        <v>1708.1608323038215</v>
      </c>
    </row>
    <row r="4735" spans="1:34" ht="14.5" x14ac:dyDescent="0.35">
      <c r="A4735" s="34"/>
      <c r="B4735" s="35"/>
      <c r="C4735" s="36"/>
      <c r="D4735" s="37"/>
      <c r="E4735" s="36"/>
      <c r="F4735" s="42"/>
      <c r="G4735" s="42"/>
      <c r="H4735" s="42"/>
      <c r="AG4735" s="19">
        <v>4734</v>
      </c>
      <c r="AH4735" s="20">
        <v>642.67304493452184</v>
      </c>
    </row>
    <row r="4736" spans="1:34" ht="14.5" x14ac:dyDescent="0.35">
      <c r="A4736" s="34"/>
      <c r="B4736" s="35"/>
      <c r="C4736" s="36"/>
      <c r="D4736" s="37"/>
      <c r="E4736" s="36"/>
      <c r="F4736" s="42"/>
      <c r="G4736" s="42"/>
      <c r="H4736" s="42"/>
      <c r="AG4736" s="19">
        <v>4735</v>
      </c>
      <c r="AH4736" s="20">
        <v>-1117.3070647287191</v>
      </c>
    </row>
    <row r="4737" spans="1:34" ht="14.5" x14ac:dyDescent="0.35">
      <c r="A4737" s="34"/>
      <c r="B4737" s="35"/>
      <c r="C4737" s="36"/>
      <c r="D4737" s="37"/>
      <c r="E4737" s="36"/>
      <c r="F4737" s="42"/>
      <c r="G4737" s="42"/>
      <c r="H4737" s="42"/>
      <c r="AG4737" s="19">
        <v>4736</v>
      </c>
      <c r="AH4737" s="20">
        <v>2982.2919481976546</v>
      </c>
    </row>
    <row r="4738" spans="1:34" ht="14.5" x14ac:dyDescent="0.35">
      <c r="A4738" s="34"/>
      <c r="B4738" s="35"/>
      <c r="C4738" s="36"/>
      <c r="D4738" s="37"/>
      <c r="E4738" s="36"/>
      <c r="F4738" s="42"/>
      <c r="G4738" s="42"/>
      <c r="H4738" s="42"/>
      <c r="AG4738" s="19">
        <v>4737</v>
      </c>
      <c r="AH4738" s="20">
        <v>3029.9061781052646</v>
      </c>
    </row>
    <row r="4739" spans="1:34" ht="14.5" x14ac:dyDescent="0.35">
      <c r="A4739" s="34"/>
      <c r="B4739" s="35"/>
      <c r="C4739" s="36"/>
      <c r="D4739" s="37"/>
      <c r="E4739" s="36"/>
      <c r="F4739" s="42"/>
      <c r="G4739" s="42"/>
      <c r="H4739" s="42"/>
      <c r="AG4739" s="19">
        <v>4738</v>
      </c>
      <c r="AH4739" s="20">
        <v>-281.02266234066764</v>
      </c>
    </row>
    <row r="4740" spans="1:34" ht="14.5" x14ac:dyDescent="0.35">
      <c r="A4740" s="34"/>
      <c r="B4740" s="35"/>
      <c r="C4740" s="36"/>
      <c r="D4740" s="37"/>
      <c r="E4740" s="36"/>
      <c r="F4740" s="42"/>
      <c r="G4740" s="42"/>
      <c r="H4740" s="42"/>
      <c r="AG4740" s="19">
        <v>4739</v>
      </c>
      <c r="AH4740" s="20">
        <v>1376.7349238396612</v>
      </c>
    </row>
    <row r="4741" spans="1:34" ht="14.5" x14ac:dyDescent="0.35">
      <c r="A4741" s="34"/>
      <c r="B4741" s="35"/>
      <c r="C4741" s="36"/>
      <c r="D4741" s="37"/>
      <c r="E4741" s="36"/>
      <c r="F4741" s="42"/>
      <c r="G4741" s="42"/>
      <c r="H4741" s="42"/>
      <c r="AG4741" s="19">
        <v>4740</v>
      </c>
      <c r="AH4741" s="20">
        <v>475.34853713461263</v>
      </c>
    </row>
    <row r="4742" spans="1:34" ht="14.5" x14ac:dyDescent="0.35">
      <c r="A4742" s="34"/>
      <c r="B4742" s="35"/>
      <c r="C4742" s="36"/>
      <c r="D4742" s="37"/>
      <c r="E4742" s="36"/>
      <c r="F4742" s="42"/>
      <c r="G4742" s="42"/>
      <c r="H4742" s="42"/>
      <c r="AG4742" s="19">
        <v>4741</v>
      </c>
      <c r="AH4742" s="20">
        <v>2112.3592833592393</v>
      </c>
    </row>
    <row r="4743" spans="1:34" ht="14.5" x14ac:dyDescent="0.35">
      <c r="A4743" s="34"/>
      <c r="B4743" s="35"/>
      <c r="C4743" s="36"/>
      <c r="D4743" s="37"/>
      <c r="E4743" s="36"/>
      <c r="F4743" s="42"/>
      <c r="G4743" s="42"/>
      <c r="H4743" s="42"/>
      <c r="AG4743" s="19">
        <v>4742</v>
      </c>
      <c r="AH4743" s="20">
        <v>3265.7978628120809</v>
      </c>
    </row>
    <row r="4744" spans="1:34" ht="14.5" x14ac:dyDescent="0.35">
      <c r="A4744" s="34"/>
      <c r="B4744" s="35"/>
      <c r="C4744" s="36"/>
      <c r="D4744" s="37"/>
      <c r="E4744" s="36"/>
      <c r="F4744" s="42"/>
      <c r="G4744" s="42"/>
      <c r="H4744" s="42"/>
      <c r="AG4744" s="19">
        <v>4743</v>
      </c>
      <c r="AH4744" s="20">
        <v>1333.3208834385396</v>
      </c>
    </row>
    <row r="4745" spans="1:34" ht="14.5" x14ac:dyDescent="0.35">
      <c r="A4745" s="34"/>
      <c r="B4745" s="35"/>
      <c r="C4745" s="36"/>
      <c r="D4745" s="37"/>
      <c r="E4745" s="36"/>
      <c r="F4745" s="42"/>
      <c r="G4745" s="42"/>
      <c r="H4745" s="42"/>
      <c r="AG4745" s="19">
        <v>4744</v>
      </c>
      <c r="AH4745" s="20">
        <v>3767.3156155284678</v>
      </c>
    </row>
    <row r="4746" spans="1:34" ht="14.5" x14ac:dyDescent="0.35">
      <c r="A4746" s="34"/>
      <c r="B4746" s="35"/>
      <c r="C4746" s="36"/>
      <c r="D4746" s="37"/>
      <c r="E4746" s="36"/>
      <c r="F4746" s="42"/>
      <c r="G4746" s="42"/>
      <c r="H4746" s="42"/>
      <c r="AG4746" s="19">
        <v>4745</v>
      </c>
      <c r="AH4746" s="20">
        <v>668.78036595300659</v>
      </c>
    </row>
    <row r="4747" spans="1:34" ht="14.5" x14ac:dyDescent="0.35">
      <c r="A4747" s="34"/>
      <c r="B4747" s="35"/>
      <c r="C4747" s="36"/>
      <c r="D4747" s="37"/>
      <c r="E4747" s="36"/>
      <c r="F4747" s="42"/>
      <c r="G4747" s="42"/>
      <c r="H4747" s="42"/>
      <c r="AG4747" s="19">
        <v>4746</v>
      </c>
      <c r="AH4747" s="20">
        <v>10.192464714662037</v>
      </c>
    </row>
    <row r="4748" spans="1:34" ht="14.5" x14ac:dyDescent="0.35">
      <c r="A4748" s="34"/>
      <c r="B4748" s="35"/>
      <c r="C4748" s="36"/>
      <c r="D4748" s="37"/>
      <c r="E4748" s="36"/>
      <c r="F4748" s="42"/>
      <c r="G4748" s="42"/>
      <c r="H4748" s="42"/>
      <c r="AG4748" s="19">
        <v>4747</v>
      </c>
      <c r="AH4748" s="20">
        <v>-767.12706502419292</v>
      </c>
    </row>
    <row r="4749" spans="1:34" ht="14.5" x14ac:dyDescent="0.35">
      <c r="A4749" s="34"/>
      <c r="B4749" s="35"/>
      <c r="C4749" s="36"/>
      <c r="D4749" s="37"/>
      <c r="E4749" s="36"/>
      <c r="F4749" s="42"/>
      <c r="G4749" s="42"/>
      <c r="H4749" s="42"/>
      <c r="AG4749" s="19">
        <v>4748</v>
      </c>
      <c r="AH4749" s="20">
        <v>-2661.2948566434279</v>
      </c>
    </row>
    <row r="4750" spans="1:34" ht="14.5" x14ac:dyDescent="0.35">
      <c r="A4750" s="34"/>
      <c r="B4750" s="35"/>
      <c r="C4750" s="36"/>
      <c r="D4750" s="37"/>
      <c r="E4750" s="36"/>
      <c r="F4750" s="42"/>
      <c r="G4750" s="42"/>
      <c r="H4750" s="42"/>
      <c r="AG4750" s="19">
        <v>4749</v>
      </c>
      <c r="AH4750" s="20">
        <v>848.70553746095175</v>
      </c>
    </row>
    <row r="4751" spans="1:34" ht="14.5" x14ac:dyDescent="0.35">
      <c r="A4751" s="34"/>
      <c r="B4751" s="35"/>
      <c r="C4751" s="36"/>
      <c r="D4751" s="37"/>
      <c r="E4751" s="36"/>
      <c r="F4751" s="42"/>
      <c r="G4751" s="42"/>
      <c r="H4751" s="42"/>
      <c r="AG4751" s="19">
        <v>4750</v>
      </c>
      <c r="AH4751" s="20">
        <v>2064.9125808264985</v>
      </c>
    </row>
    <row r="4752" spans="1:34" ht="14.5" x14ac:dyDescent="0.35">
      <c r="A4752" s="34"/>
      <c r="B4752" s="35"/>
      <c r="C4752" s="36"/>
      <c r="D4752" s="37"/>
      <c r="E4752" s="36"/>
      <c r="F4752" s="42"/>
      <c r="G4752" s="42"/>
      <c r="H4752" s="42"/>
      <c r="AG4752" s="19">
        <v>4751</v>
      </c>
      <c r="AH4752" s="20">
        <v>2087.8049330266949</v>
      </c>
    </row>
    <row r="4753" spans="1:34" ht="14.5" x14ac:dyDescent="0.35">
      <c r="A4753" s="34"/>
      <c r="B4753" s="35"/>
      <c r="C4753" s="36"/>
      <c r="D4753" s="37"/>
      <c r="E4753" s="36"/>
      <c r="F4753" s="42"/>
      <c r="G4753" s="42"/>
      <c r="H4753" s="42"/>
      <c r="AG4753" s="19">
        <v>4752</v>
      </c>
      <c r="AH4753" s="20">
        <v>1681.4753085895463</v>
      </c>
    </row>
    <row r="4754" spans="1:34" ht="14.5" x14ac:dyDescent="0.35">
      <c r="A4754" s="34"/>
      <c r="B4754" s="35"/>
      <c r="C4754" s="36"/>
      <c r="D4754" s="37"/>
      <c r="E4754" s="36"/>
      <c r="F4754" s="42"/>
      <c r="G4754" s="42"/>
      <c r="H4754" s="42"/>
      <c r="AG4754" s="19">
        <v>4753</v>
      </c>
      <c r="AH4754" s="20">
        <v>812.0446149292153</v>
      </c>
    </row>
    <row r="4755" spans="1:34" ht="14.5" x14ac:dyDescent="0.35">
      <c r="A4755" s="34"/>
      <c r="B4755" s="35"/>
      <c r="C4755" s="36"/>
      <c r="D4755" s="37"/>
      <c r="E4755" s="36"/>
      <c r="F4755" s="42"/>
      <c r="G4755" s="42"/>
      <c r="H4755" s="42"/>
      <c r="AG4755" s="19">
        <v>4754</v>
      </c>
      <c r="AH4755" s="20">
        <v>255.25931206287333</v>
      </c>
    </row>
    <row r="4756" spans="1:34" ht="14.5" x14ac:dyDescent="0.35">
      <c r="A4756" s="34"/>
      <c r="B4756" s="35"/>
      <c r="C4756" s="36"/>
      <c r="D4756" s="37"/>
      <c r="E4756" s="36"/>
      <c r="F4756" s="42"/>
      <c r="G4756" s="42"/>
      <c r="H4756" s="42"/>
      <c r="AG4756" s="19">
        <v>4755</v>
      </c>
      <c r="AH4756" s="20">
        <v>4903.8668845614848</v>
      </c>
    </row>
    <row r="4757" spans="1:34" ht="14.5" x14ac:dyDescent="0.35">
      <c r="A4757" s="34"/>
      <c r="B4757" s="35"/>
      <c r="C4757" s="36"/>
      <c r="D4757" s="37"/>
      <c r="E4757" s="36"/>
      <c r="F4757" s="42"/>
      <c r="G4757" s="42"/>
      <c r="H4757" s="42"/>
      <c r="AG4757" s="19">
        <v>4756</v>
      </c>
      <c r="AH4757" s="20">
        <v>1492.9334431746065</v>
      </c>
    </row>
    <row r="4758" spans="1:34" ht="14.5" x14ac:dyDescent="0.35">
      <c r="A4758" s="34"/>
      <c r="B4758" s="35"/>
      <c r="C4758" s="36"/>
      <c r="D4758" s="37"/>
      <c r="E4758" s="36"/>
      <c r="F4758" s="42"/>
      <c r="G4758" s="42"/>
      <c r="H4758" s="42"/>
      <c r="AG4758" s="19">
        <v>4757</v>
      </c>
      <c r="AH4758" s="20">
        <v>-2030.4710880457085</v>
      </c>
    </row>
    <row r="4759" spans="1:34" ht="14.5" x14ac:dyDescent="0.35">
      <c r="A4759" s="34"/>
      <c r="B4759" s="35"/>
      <c r="C4759" s="36"/>
      <c r="D4759" s="37"/>
      <c r="E4759" s="36"/>
      <c r="F4759" s="42"/>
      <c r="G4759" s="42"/>
      <c r="H4759" s="42"/>
      <c r="AG4759" s="19">
        <v>4758</v>
      </c>
      <c r="AH4759" s="20">
        <v>-2164.5900117040924</v>
      </c>
    </row>
    <row r="4760" spans="1:34" ht="14.5" x14ac:dyDescent="0.35">
      <c r="A4760" s="34"/>
      <c r="B4760" s="35"/>
      <c r="C4760" s="36"/>
      <c r="D4760" s="37"/>
      <c r="E4760" s="36"/>
      <c r="F4760" s="42"/>
      <c r="G4760" s="42"/>
      <c r="H4760" s="42"/>
      <c r="AG4760" s="19">
        <v>4759</v>
      </c>
      <c r="AH4760" s="20">
        <v>687.97555321528012</v>
      </c>
    </row>
    <row r="4761" spans="1:34" ht="14.5" x14ac:dyDescent="0.35">
      <c r="A4761" s="34"/>
      <c r="B4761" s="35"/>
      <c r="C4761" s="36"/>
      <c r="D4761" s="37"/>
      <c r="E4761" s="36"/>
      <c r="F4761" s="42"/>
      <c r="G4761" s="42"/>
      <c r="H4761" s="42"/>
      <c r="AG4761" s="19">
        <v>4760</v>
      </c>
      <c r="AH4761" s="20">
        <v>939.55863987657904</v>
      </c>
    </row>
    <row r="4762" spans="1:34" ht="14.5" x14ac:dyDescent="0.35">
      <c r="A4762" s="34"/>
      <c r="B4762" s="35"/>
      <c r="C4762" s="36"/>
      <c r="D4762" s="37"/>
      <c r="E4762" s="36"/>
      <c r="F4762" s="42"/>
      <c r="G4762" s="42"/>
      <c r="H4762" s="42"/>
      <c r="AG4762" s="19">
        <v>4761</v>
      </c>
      <c r="AH4762" s="20">
        <v>1731.2596188501916</v>
      </c>
    </row>
    <row r="4763" spans="1:34" ht="14.5" x14ac:dyDescent="0.35">
      <c r="A4763" s="34"/>
      <c r="B4763" s="35"/>
      <c r="C4763" s="36"/>
      <c r="D4763" s="37"/>
      <c r="E4763" s="36"/>
      <c r="F4763" s="42"/>
      <c r="G4763" s="42"/>
      <c r="H4763" s="42"/>
      <c r="AG4763" s="19">
        <v>4762</v>
      </c>
      <c r="AH4763" s="20">
        <v>2354.9649622782167</v>
      </c>
    </row>
    <row r="4764" spans="1:34" ht="14.5" x14ac:dyDescent="0.35">
      <c r="A4764" s="34"/>
      <c r="B4764" s="35"/>
      <c r="C4764" s="36"/>
      <c r="D4764" s="37"/>
      <c r="E4764" s="36"/>
      <c r="F4764" s="42"/>
      <c r="G4764" s="42"/>
      <c r="H4764" s="42"/>
      <c r="AG4764" s="19">
        <v>4763</v>
      </c>
      <c r="AH4764" s="20">
        <v>-830.19940416870782</v>
      </c>
    </row>
    <row r="4765" spans="1:34" ht="14.5" x14ac:dyDescent="0.35">
      <c r="A4765" s="34"/>
      <c r="B4765" s="35"/>
      <c r="C4765" s="36"/>
      <c r="D4765" s="37"/>
      <c r="E4765" s="36"/>
      <c r="F4765" s="42"/>
      <c r="G4765" s="42"/>
      <c r="H4765" s="42"/>
      <c r="AG4765" s="19">
        <v>4764</v>
      </c>
      <c r="AH4765" s="20">
        <v>1149.718449111904</v>
      </c>
    </row>
    <row r="4766" spans="1:34" ht="14.5" x14ac:dyDescent="0.35">
      <c r="A4766" s="34"/>
      <c r="B4766" s="35"/>
      <c r="C4766" s="36"/>
      <c r="D4766" s="37"/>
      <c r="E4766" s="36"/>
      <c r="F4766" s="42"/>
      <c r="G4766" s="42"/>
      <c r="H4766" s="42"/>
      <c r="AG4766" s="19">
        <v>4765</v>
      </c>
      <c r="AH4766" s="20">
        <v>-212.22325028933443</v>
      </c>
    </row>
    <row r="4767" spans="1:34" ht="14.5" x14ac:dyDescent="0.35">
      <c r="A4767" s="34"/>
      <c r="B4767" s="35"/>
      <c r="C4767" s="36"/>
      <c r="D4767" s="37"/>
      <c r="E4767" s="36"/>
      <c r="F4767" s="42"/>
      <c r="G4767" s="42"/>
      <c r="H4767" s="42"/>
      <c r="AG4767" s="19">
        <v>4766</v>
      </c>
      <c r="AH4767" s="20">
        <v>1879.6248757544556</v>
      </c>
    </row>
    <row r="4768" spans="1:34" ht="14.5" x14ac:dyDescent="0.35">
      <c r="A4768" s="34"/>
      <c r="B4768" s="35"/>
      <c r="C4768" s="36"/>
      <c r="D4768" s="37"/>
      <c r="E4768" s="36"/>
      <c r="F4768" s="42"/>
      <c r="G4768" s="42"/>
      <c r="H4768" s="42"/>
      <c r="AG4768" s="19">
        <v>4767</v>
      </c>
      <c r="AH4768" s="20">
        <v>-2841.9515173901486</v>
      </c>
    </row>
    <row r="4769" spans="1:34" ht="14.5" x14ac:dyDescent="0.35">
      <c r="A4769" s="34"/>
      <c r="B4769" s="35"/>
      <c r="C4769" s="36"/>
      <c r="D4769" s="37"/>
      <c r="E4769" s="36"/>
      <c r="F4769" s="42"/>
      <c r="G4769" s="42"/>
      <c r="H4769" s="42"/>
      <c r="AG4769" s="19">
        <v>4768</v>
      </c>
      <c r="AH4769" s="20">
        <v>1409.60383622989</v>
      </c>
    </row>
    <row r="4770" spans="1:34" ht="14.5" x14ac:dyDescent="0.35">
      <c r="A4770" s="34"/>
      <c r="B4770" s="35"/>
      <c r="C4770" s="36"/>
      <c r="D4770" s="37"/>
      <c r="E4770" s="36"/>
      <c r="F4770" s="42"/>
      <c r="G4770" s="42"/>
      <c r="H4770" s="42"/>
      <c r="AG4770" s="19">
        <v>4769</v>
      </c>
      <c r="AH4770" s="20">
        <v>-1327.6786812296955</v>
      </c>
    </row>
    <row r="4771" spans="1:34" ht="14.5" x14ac:dyDescent="0.35">
      <c r="A4771" s="34"/>
      <c r="B4771" s="35"/>
      <c r="C4771" s="36"/>
      <c r="D4771" s="37"/>
      <c r="E4771" s="36"/>
      <c r="F4771" s="42"/>
      <c r="G4771" s="42"/>
      <c r="H4771" s="42"/>
      <c r="AG4771" s="19">
        <v>4770</v>
      </c>
      <c r="AH4771" s="20">
        <v>-3804.040732699129</v>
      </c>
    </row>
    <row r="4772" spans="1:34" ht="14.5" x14ac:dyDescent="0.35">
      <c r="A4772" s="34"/>
      <c r="B4772" s="35"/>
      <c r="C4772" s="36"/>
      <c r="D4772" s="37"/>
      <c r="E4772" s="36"/>
      <c r="F4772" s="42"/>
      <c r="G4772" s="42"/>
      <c r="H4772" s="42"/>
      <c r="AG4772" s="19">
        <v>4771</v>
      </c>
      <c r="AH4772" s="20">
        <v>1219.4250269661625</v>
      </c>
    </row>
    <row r="4773" spans="1:34" ht="14.5" x14ac:dyDescent="0.35">
      <c r="A4773" s="34"/>
      <c r="B4773" s="35"/>
      <c r="C4773" s="36"/>
      <c r="D4773" s="37"/>
      <c r="E4773" s="36"/>
      <c r="F4773" s="42"/>
      <c r="G4773" s="42"/>
      <c r="H4773" s="42"/>
      <c r="AG4773" s="19">
        <v>4772</v>
      </c>
      <c r="AH4773" s="20">
        <v>-629.47407190194235</v>
      </c>
    </row>
    <row r="4774" spans="1:34" ht="14.5" x14ac:dyDescent="0.35">
      <c r="A4774" s="34"/>
      <c r="B4774" s="35"/>
      <c r="C4774" s="36"/>
      <c r="D4774" s="37"/>
      <c r="E4774" s="36"/>
      <c r="F4774" s="42"/>
      <c r="G4774" s="42"/>
      <c r="H4774" s="42"/>
      <c r="AG4774" s="19">
        <v>4773</v>
      </c>
      <c r="AH4774" s="20">
        <v>-873.1302748904111</v>
      </c>
    </row>
    <row r="4775" spans="1:34" ht="14.5" x14ac:dyDescent="0.35">
      <c r="A4775" s="34"/>
      <c r="B4775" s="35"/>
      <c r="C4775" s="36"/>
      <c r="D4775" s="37"/>
      <c r="E4775" s="36"/>
      <c r="F4775" s="42"/>
      <c r="G4775" s="42"/>
      <c r="H4775" s="42"/>
      <c r="AG4775" s="19">
        <v>4774</v>
      </c>
      <c r="AH4775" s="20">
        <v>-446.34814378601169</v>
      </c>
    </row>
    <row r="4776" spans="1:34" ht="14.5" x14ac:dyDescent="0.35">
      <c r="A4776" s="34"/>
      <c r="B4776" s="35"/>
      <c r="C4776" s="36"/>
      <c r="D4776" s="37"/>
      <c r="E4776" s="36"/>
      <c r="F4776" s="42"/>
      <c r="G4776" s="42"/>
      <c r="H4776" s="42"/>
      <c r="AG4776" s="19">
        <v>4775</v>
      </c>
      <c r="AH4776" s="20">
        <v>2763.8727805582671</v>
      </c>
    </row>
    <row r="4777" spans="1:34" ht="14.5" x14ac:dyDescent="0.35">
      <c r="A4777" s="34"/>
      <c r="B4777" s="35"/>
      <c r="C4777" s="36"/>
      <c r="D4777" s="37"/>
      <c r="E4777" s="36"/>
      <c r="F4777" s="42"/>
      <c r="G4777" s="42"/>
      <c r="H4777" s="42"/>
      <c r="AG4777" s="19">
        <v>4776</v>
      </c>
      <c r="AH4777" s="20">
        <v>1237.7223836172993</v>
      </c>
    </row>
    <row r="4778" spans="1:34" ht="14.5" x14ac:dyDescent="0.35">
      <c r="A4778" s="34"/>
      <c r="B4778" s="35"/>
      <c r="C4778" s="36"/>
      <c r="D4778" s="37"/>
      <c r="E4778" s="36"/>
      <c r="F4778" s="42"/>
      <c r="G4778" s="42"/>
      <c r="H4778" s="42"/>
      <c r="AG4778" s="19">
        <v>4777</v>
      </c>
      <c r="AH4778" s="20">
        <v>-330.83027351013465</v>
      </c>
    </row>
    <row r="4779" spans="1:34" ht="14.5" x14ac:dyDescent="0.35">
      <c r="A4779" s="34"/>
      <c r="B4779" s="35"/>
      <c r="C4779" s="36"/>
      <c r="D4779" s="37"/>
      <c r="E4779" s="36"/>
      <c r="F4779" s="42"/>
      <c r="G4779" s="42"/>
      <c r="H4779" s="42"/>
      <c r="AG4779" s="19">
        <v>4778</v>
      </c>
      <c r="AH4779" s="20">
        <v>1543.4987683646991</v>
      </c>
    </row>
    <row r="4780" spans="1:34" ht="14.5" x14ac:dyDescent="0.35">
      <c r="A4780" s="34"/>
      <c r="B4780" s="35"/>
      <c r="C4780" s="36"/>
      <c r="D4780" s="37"/>
      <c r="E4780" s="36"/>
      <c r="F4780" s="42"/>
      <c r="G4780" s="42"/>
      <c r="H4780" s="42"/>
      <c r="AG4780" s="19">
        <v>4779</v>
      </c>
      <c r="AH4780" s="20">
        <v>1825.3784958933707</v>
      </c>
    </row>
    <row r="4781" spans="1:34" ht="14.5" x14ac:dyDescent="0.35">
      <c r="A4781" s="34"/>
      <c r="B4781" s="35"/>
      <c r="C4781" s="36"/>
      <c r="D4781" s="37"/>
      <c r="E4781" s="36"/>
      <c r="F4781" s="42"/>
      <c r="G4781" s="42"/>
      <c r="H4781" s="42"/>
      <c r="AG4781" s="19">
        <v>4780</v>
      </c>
      <c r="AH4781" s="20">
        <v>-3664.4582128449301</v>
      </c>
    </row>
    <row r="4782" spans="1:34" ht="14.5" x14ac:dyDescent="0.35">
      <c r="A4782" s="34"/>
      <c r="B4782" s="35"/>
      <c r="C4782" s="36"/>
      <c r="D4782" s="37"/>
      <c r="E4782" s="36"/>
      <c r="F4782" s="42"/>
      <c r="G4782" s="42"/>
      <c r="H4782" s="42"/>
      <c r="AG4782" s="19">
        <v>4781</v>
      </c>
      <c r="AH4782" s="20">
        <v>2118.1876600169976</v>
      </c>
    </row>
    <row r="4783" spans="1:34" ht="14.5" x14ac:dyDescent="0.35">
      <c r="A4783" s="34"/>
      <c r="B4783" s="35"/>
      <c r="C4783" s="36"/>
      <c r="D4783" s="37"/>
      <c r="E4783" s="36"/>
      <c r="F4783" s="42"/>
      <c r="G4783" s="42"/>
      <c r="H4783" s="42"/>
      <c r="AG4783" s="19">
        <v>4782</v>
      </c>
      <c r="AH4783" s="20">
        <v>594.19453215501596</v>
      </c>
    </row>
    <row r="4784" spans="1:34" ht="14.5" x14ac:dyDescent="0.35">
      <c r="A4784" s="34"/>
      <c r="B4784" s="35"/>
      <c r="C4784" s="36"/>
      <c r="D4784" s="37"/>
      <c r="E4784" s="36"/>
      <c r="F4784" s="42"/>
      <c r="G4784" s="42"/>
      <c r="H4784" s="42"/>
      <c r="AG4784" s="19">
        <v>4783</v>
      </c>
      <c r="AH4784" s="20">
        <v>1115.8471573510453</v>
      </c>
    </row>
    <row r="4785" spans="1:34" ht="14.5" x14ac:dyDescent="0.35">
      <c r="A4785" s="34"/>
      <c r="B4785" s="35"/>
      <c r="C4785" s="36"/>
      <c r="D4785" s="37"/>
      <c r="E4785" s="36"/>
      <c r="F4785" s="42"/>
      <c r="G4785" s="42"/>
      <c r="H4785" s="42"/>
      <c r="AG4785" s="19">
        <v>4784</v>
      </c>
      <c r="AH4785" s="20">
        <v>-1700.0073664872873</v>
      </c>
    </row>
    <row r="4786" spans="1:34" ht="14.5" x14ac:dyDescent="0.35">
      <c r="A4786" s="34"/>
      <c r="B4786" s="35"/>
      <c r="C4786" s="36"/>
      <c r="D4786" s="37"/>
      <c r="E4786" s="36"/>
      <c r="F4786" s="42"/>
      <c r="G4786" s="42"/>
      <c r="H4786" s="42"/>
      <c r="AG4786" s="19">
        <v>4785</v>
      </c>
      <c r="AH4786" s="20">
        <v>411.61977512008866</v>
      </c>
    </row>
    <row r="4787" spans="1:34" ht="14.5" x14ac:dyDescent="0.35">
      <c r="A4787" s="34"/>
      <c r="B4787" s="35"/>
      <c r="C4787" s="36"/>
      <c r="D4787" s="37"/>
      <c r="E4787" s="36"/>
      <c r="F4787" s="42"/>
      <c r="G4787" s="42"/>
      <c r="H4787" s="42"/>
      <c r="AG4787" s="19">
        <v>4786</v>
      </c>
      <c r="AH4787" s="20">
        <v>-43.166420739119872</v>
      </c>
    </row>
    <row r="4788" spans="1:34" ht="14.5" x14ac:dyDescent="0.35">
      <c r="A4788" s="34"/>
      <c r="B4788" s="35"/>
      <c r="C4788" s="36"/>
      <c r="D4788" s="37"/>
      <c r="E4788" s="36"/>
      <c r="F4788" s="42"/>
      <c r="G4788" s="42"/>
      <c r="H4788" s="42"/>
      <c r="AG4788" s="19">
        <v>4787</v>
      </c>
      <c r="AH4788" s="20">
        <v>2340.1123425752894</v>
      </c>
    </row>
    <row r="4789" spans="1:34" ht="14.5" x14ac:dyDescent="0.35">
      <c r="A4789" s="34"/>
      <c r="B4789" s="35"/>
      <c r="C4789" s="36"/>
      <c r="D4789" s="37"/>
      <c r="E4789" s="36"/>
      <c r="F4789" s="42"/>
      <c r="G4789" s="42"/>
      <c r="H4789" s="42"/>
      <c r="AG4789" s="19">
        <v>4788</v>
      </c>
      <c r="AH4789" s="20">
        <v>2892.8719952609899</v>
      </c>
    </row>
    <row r="4790" spans="1:34" ht="14.5" x14ac:dyDescent="0.35">
      <c r="A4790" s="34"/>
      <c r="B4790" s="35"/>
      <c r="C4790" s="36"/>
      <c r="D4790" s="37"/>
      <c r="E4790" s="36"/>
      <c r="F4790" s="42"/>
      <c r="G4790" s="42"/>
      <c r="H4790" s="42"/>
      <c r="AG4790" s="19">
        <v>4789</v>
      </c>
      <c r="AH4790" s="20">
        <v>2668.9122127336659</v>
      </c>
    </row>
    <row r="4791" spans="1:34" ht="14.5" x14ac:dyDescent="0.35">
      <c r="A4791" s="34"/>
      <c r="B4791" s="35"/>
      <c r="C4791" s="36"/>
      <c r="D4791" s="37"/>
      <c r="E4791" s="36"/>
      <c r="F4791" s="42"/>
      <c r="G4791" s="42"/>
      <c r="H4791" s="42"/>
      <c r="AG4791" s="19">
        <v>4790</v>
      </c>
      <c r="AH4791" s="20">
        <v>4746.1815243781248</v>
      </c>
    </row>
    <row r="4792" spans="1:34" ht="14.5" x14ac:dyDescent="0.35">
      <c r="A4792" s="34"/>
      <c r="B4792" s="35"/>
      <c r="C4792" s="36"/>
      <c r="D4792" s="37"/>
      <c r="E4792" s="36"/>
      <c r="F4792" s="42"/>
      <c r="G4792" s="42"/>
      <c r="H4792" s="42"/>
      <c r="AG4792" s="19">
        <v>4791</v>
      </c>
      <c r="AH4792" s="20">
        <v>-1859.8667042721797</v>
      </c>
    </row>
    <row r="4793" spans="1:34" ht="14.5" x14ac:dyDescent="0.35">
      <c r="A4793" s="34"/>
      <c r="B4793" s="35"/>
      <c r="C4793" s="36"/>
      <c r="D4793" s="37"/>
      <c r="E4793" s="36"/>
      <c r="F4793" s="42"/>
      <c r="G4793" s="42"/>
      <c r="H4793" s="42"/>
      <c r="AG4793" s="19">
        <v>4792</v>
      </c>
      <c r="AH4793" s="20">
        <v>-2167.3720995428384</v>
      </c>
    </row>
    <row r="4794" spans="1:34" ht="14.5" x14ac:dyDescent="0.35">
      <c r="A4794" s="34"/>
      <c r="B4794" s="35"/>
      <c r="C4794" s="36"/>
      <c r="D4794" s="37"/>
      <c r="E4794" s="36"/>
      <c r="F4794" s="42"/>
      <c r="G4794" s="42"/>
      <c r="H4794" s="42"/>
      <c r="AG4794" s="19">
        <v>4793</v>
      </c>
      <c r="AH4794" s="20">
        <v>159.08817004415835</v>
      </c>
    </row>
    <row r="4795" spans="1:34" ht="14.5" x14ac:dyDescent="0.35">
      <c r="A4795" s="34"/>
      <c r="B4795" s="35"/>
      <c r="C4795" s="36"/>
      <c r="D4795" s="37"/>
      <c r="E4795" s="36"/>
      <c r="F4795" s="42"/>
      <c r="G4795" s="42"/>
      <c r="H4795" s="42"/>
      <c r="AG4795" s="19">
        <v>4794</v>
      </c>
      <c r="AH4795" s="20">
        <v>-946.51551143483539</v>
      </c>
    </row>
    <row r="4796" spans="1:34" ht="14.5" x14ac:dyDescent="0.35">
      <c r="A4796" s="34"/>
      <c r="B4796" s="35"/>
      <c r="C4796" s="36"/>
      <c r="D4796" s="37"/>
      <c r="E4796" s="36"/>
      <c r="F4796" s="42"/>
      <c r="G4796" s="42"/>
      <c r="H4796" s="42"/>
      <c r="AG4796" s="19">
        <v>4795</v>
      </c>
      <c r="AH4796" s="20">
        <v>2370.6413659519976</v>
      </c>
    </row>
    <row r="4797" spans="1:34" ht="14.5" x14ac:dyDescent="0.35">
      <c r="A4797" s="34"/>
      <c r="B4797" s="35"/>
      <c r="C4797" s="36"/>
      <c r="D4797" s="37"/>
      <c r="E4797" s="36"/>
      <c r="F4797" s="42"/>
      <c r="G4797" s="42"/>
      <c r="H4797" s="42"/>
      <c r="AG4797" s="19">
        <v>4796</v>
      </c>
      <c r="AH4797" s="20">
        <v>4032.453552719212</v>
      </c>
    </row>
    <row r="4798" spans="1:34" ht="14.5" x14ac:dyDescent="0.35">
      <c r="A4798" s="34"/>
      <c r="B4798" s="35"/>
      <c r="C4798" s="36"/>
      <c r="D4798" s="37"/>
      <c r="E4798" s="36"/>
      <c r="F4798" s="42"/>
      <c r="G4798" s="42"/>
      <c r="H4798" s="42"/>
      <c r="AG4798" s="19">
        <v>4797</v>
      </c>
      <c r="AH4798" s="20">
        <v>-419.81650815684515</v>
      </c>
    </row>
    <row r="4799" spans="1:34" ht="14.5" x14ac:dyDescent="0.35">
      <c r="A4799" s="34"/>
      <c r="B4799" s="35"/>
      <c r="C4799" s="36"/>
      <c r="D4799" s="37"/>
      <c r="E4799" s="36"/>
      <c r="F4799" s="42"/>
      <c r="G4799" s="42"/>
      <c r="H4799" s="42"/>
      <c r="AG4799" s="19">
        <v>4798</v>
      </c>
      <c r="AH4799" s="20">
        <v>-602.67945690063038</v>
      </c>
    </row>
    <row r="4800" spans="1:34" ht="14.5" x14ac:dyDescent="0.35">
      <c r="A4800" s="34"/>
      <c r="B4800" s="35"/>
      <c r="C4800" s="36"/>
      <c r="D4800" s="37"/>
      <c r="E4800" s="36"/>
      <c r="F4800" s="42"/>
      <c r="G4800" s="42"/>
      <c r="H4800" s="42"/>
      <c r="AG4800" s="19">
        <v>4799</v>
      </c>
      <c r="AH4800" s="20">
        <v>4158.0422309579462</v>
      </c>
    </row>
    <row r="4801" spans="1:34" ht="14.5" x14ac:dyDescent="0.35">
      <c r="A4801" s="34"/>
      <c r="B4801" s="35"/>
      <c r="C4801" s="36"/>
      <c r="D4801" s="37"/>
      <c r="E4801" s="36"/>
      <c r="F4801" s="42"/>
      <c r="G4801" s="42"/>
      <c r="H4801" s="42"/>
      <c r="AG4801" s="19">
        <v>4800</v>
      </c>
      <c r="AH4801" s="20">
        <v>-258.66210311840808</v>
      </c>
    </row>
    <row r="4802" spans="1:34" ht="14.5" x14ac:dyDescent="0.35">
      <c r="A4802" s="34"/>
      <c r="B4802" s="35"/>
      <c r="C4802" s="36"/>
      <c r="D4802" s="37"/>
      <c r="E4802" s="36"/>
      <c r="F4802" s="42"/>
      <c r="G4802" s="42"/>
      <c r="H4802" s="42"/>
      <c r="AG4802" s="19">
        <v>4801</v>
      </c>
      <c r="AH4802" s="20">
        <v>4795.159173234757</v>
      </c>
    </row>
    <row r="4803" spans="1:34" ht="14.5" x14ac:dyDescent="0.35">
      <c r="A4803" s="34"/>
      <c r="B4803" s="35"/>
      <c r="C4803" s="36"/>
      <c r="D4803" s="37"/>
      <c r="E4803" s="36"/>
      <c r="F4803" s="42"/>
      <c r="G4803" s="42"/>
      <c r="H4803" s="42"/>
      <c r="AG4803" s="19">
        <v>4802</v>
      </c>
      <c r="AH4803" s="20">
        <v>1687.0867463205436</v>
      </c>
    </row>
    <row r="4804" spans="1:34" ht="14.5" x14ac:dyDescent="0.35">
      <c r="A4804" s="34"/>
      <c r="B4804" s="35"/>
      <c r="C4804" s="36"/>
      <c r="D4804" s="37"/>
      <c r="E4804" s="36"/>
      <c r="F4804" s="42"/>
      <c r="G4804" s="42"/>
      <c r="H4804" s="42"/>
      <c r="AG4804" s="19">
        <v>4803</v>
      </c>
      <c r="AH4804" s="20">
        <v>-436.85502060454138</v>
      </c>
    </row>
    <row r="4805" spans="1:34" ht="14.5" x14ac:dyDescent="0.35">
      <c r="A4805" s="34"/>
      <c r="B4805" s="35"/>
      <c r="C4805" s="36"/>
      <c r="D4805" s="37"/>
      <c r="E4805" s="36"/>
      <c r="F4805" s="42"/>
      <c r="G4805" s="42"/>
      <c r="H4805" s="42"/>
      <c r="AG4805" s="19">
        <v>4804</v>
      </c>
      <c r="AH4805" s="20">
        <v>285.36721250758001</v>
      </c>
    </row>
    <row r="4806" spans="1:34" ht="14.5" x14ac:dyDescent="0.35">
      <c r="A4806" s="34"/>
      <c r="B4806" s="35"/>
      <c r="C4806" s="36"/>
      <c r="D4806" s="37"/>
      <c r="E4806" s="36"/>
      <c r="F4806" s="42"/>
      <c r="G4806" s="42"/>
      <c r="H4806" s="42"/>
      <c r="AG4806" s="19">
        <v>4805</v>
      </c>
      <c r="AH4806" s="20">
        <v>2091.4364783800725</v>
      </c>
    </row>
    <row r="4807" spans="1:34" ht="14.5" x14ac:dyDescent="0.35">
      <c r="A4807" s="34"/>
      <c r="B4807" s="35"/>
      <c r="C4807" s="36"/>
      <c r="D4807" s="37"/>
      <c r="E4807" s="36"/>
      <c r="F4807" s="42"/>
      <c r="G4807" s="42"/>
      <c r="H4807" s="42"/>
      <c r="AG4807" s="19">
        <v>4806</v>
      </c>
      <c r="AH4807" s="20">
        <v>6079.3876974558088</v>
      </c>
    </row>
    <row r="4808" spans="1:34" ht="14.5" x14ac:dyDescent="0.35">
      <c r="A4808" s="34"/>
      <c r="B4808" s="35"/>
      <c r="C4808" s="36"/>
      <c r="D4808" s="37"/>
      <c r="E4808" s="36"/>
      <c r="F4808" s="42"/>
      <c r="G4808" s="42"/>
      <c r="H4808" s="42"/>
      <c r="AG4808" s="19">
        <v>4807</v>
      </c>
      <c r="AH4808" s="20">
        <v>556.66931374993305</v>
      </c>
    </row>
    <row r="4809" spans="1:34" ht="14.5" x14ac:dyDescent="0.35">
      <c r="A4809" s="34"/>
      <c r="B4809" s="35"/>
      <c r="C4809" s="36"/>
      <c r="D4809" s="37"/>
      <c r="E4809" s="36"/>
      <c r="F4809" s="42"/>
      <c r="G4809" s="42"/>
      <c r="H4809" s="42"/>
      <c r="AG4809" s="19">
        <v>4808</v>
      </c>
      <c r="AH4809" s="20">
        <v>-1635.4867522864381</v>
      </c>
    </row>
    <row r="4810" spans="1:34" ht="14.5" x14ac:dyDescent="0.35">
      <c r="A4810" s="34"/>
      <c r="B4810" s="35"/>
      <c r="C4810" s="36"/>
      <c r="D4810" s="37"/>
      <c r="E4810" s="36"/>
      <c r="F4810" s="42"/>
      <c r="G4810" s="42"/>
      <c r="H4810" s="42"/>
      <c r="AG4810" s="19">
        <v>4809</v>
      </c>
      <c r="AH4810" s="20">
        <v>3856.5048604932322</v>
      </c>
    </row>
    <row r="4811" spans="1:34" ht="14.5" x14ac:dyDescent="0.35">
      <c r="A4811" s="34"/>
      <c r="B4811" s="35"/>
      <c r="C4811" s="36"/>
      <c r="D4811" s="37"/>
      <c r="E4811" s="36"/>
      <c r="F4811" s="42"/>
      <c r="G4811" s="42"/>
      <c r="H4811" s="42"/>
      <c r="AG4811" s="19">
        <v>4810</v>
      </c>
      <c r="AH4811" s="20">
        <v>-3821.6401793104542</v>
      </c>
    </row>
    <row r="4812" spans="1:34" ht="14.5" x14ac:dyDescent="0.35">
      <c r="A4812" s="34"/>
      <c r="B4812" s="35"/>
      <c r="C4812" s="36"/>
      <c r="D4812" s="37"/>
      <c r="E4812" s="36"/>
      <c r="F4812" s="42"/>
      <c r="G4812" s="42"/>
      <c r="H4812" s="42"/>
      <c r="AG4812" s="19">
        <v>4811</v>
      </c>
      <c r="AH4812" s="20">
        <v>2061.7629853201429</v>
      </c>
    </row>
    <row r="4813" spans="1:34" ht="14.5" x14ac:dyDescent="0.35">
      <c r="A4813" s="34"/>
      <c r="B4813" s="35"/>
      <c r="C4813" s="36"/>
      <c r="D4813" s="37"/>
      <c r="E4813" s="36"/>
      <c r="F4813" s="42"/>
      <c r="G4813" s="42"/>
      <c r="H4813" s="42"/>
      <c r="AG4813" s="19">
        <v>4812</v>
      </c>
      <c r="AH4813" s="20">
        <v>1703.930258749931</v>
      </c>
    </row>
    <row r="4814" spans="1:34" ht="14.5" x14ac:dyDescent="0.35">
      <c r="A4814" s="34"/>
      <c r="B4814" s="35"/>
      <c r="C4814" s="36"/>
      <c r="D4814" s="37"/>
      <c r="E4814" s="36"/>
      <c r="F4814" s="42"/>
      <c r="G4814" s="42"/>
      <c r="H4814" s="42"/>
      <c r="AG4814" s="19">
        <v>4813</v>
      </c>
      <c r="AH4814" s="20">
        <v>100.99001805147651</v>
      </c>
    </row>
    <row r="4815" spans="1:34" ht="14.5" x14ac:dyDescent="0.35">
      <c r="A4815" s="34"/>
      <c r="B4815" s="35"/>
      <c r="C4815" s="36"/>
      <c r="D4815" s="37"/>
      <c r="E4815" s="36"/>
      <c r="F4815" s="42"/>
      <c r="G4815" s="42"/>
      <c r="H4815" s="42"/>
      <c r="AG4815" s="19">
        <v>4814</v>
      </c>
      <c r="AH4815" s="20">
        <v>1786.6833388870493</v>
      </c>
    </row>
    <row r="4816" spans="1:34" ht="14.5" x14ac:dyDescent="0.35">
      <c r="A4816" s="34"/>
      <c r="B4816" s="35"/>
      <c r="C4816" s="36"/>
      <c r="D4816" s="37"/>
      <c r="E4816" s="36"/>
      <c r="F4816" s="42"/>
      <c r="G4816" s="42"/>
      <c r="H4816" s="42"/>
      <c r="AG4816" s="19">
        <v>4815</v>
      </c>
      <c r="AH4816" s="20">
        <v>2530.7992672481869</v>
      </c>
    </row>
    <row r="4817" spans="1:34" ht="14.5" x14ac:dyDescent="0.35">
      <c r="A4817" s="34"/>
      <c r="B4817" s="35"/>
      <c r="C4817" s="36"/>
      <c r="D4817" s="37"/>
      <c r="E4817" s="36"/>
      <c r="F4817" s="42"/>
      <c r="G4817" s="42"/>
      <c r="H4817" s="42"/>
      <c r="AG4817" s="19">
        <v>4816</v>
      </c>
      <c r="AH4817" s="20">
        <v>-2032.0943155312896</v>
      </c>
    </row>
    <row r="4818" spans="1:34" ht="14.5" x14ac:dyDescent="0.35">
      <c r="A4818" s="34"/>
      <c r="B4818" s="35"/>
      <c r="C4818" s="36"/>
      <c r="D4818" s="37"/>
      <c r="E4818" s="36"/>
      <c r="F4818" s="42"/>
      <c r="G4818" s="42"/>
      <c r="H4818" s="42"/>
      <c r="AG4818" s="19">
        <v>4817</v>
      </c>
      <c r="AH4818" s="20">
        <v>-1629.2649090803443</v>
      </c>
    </row>
    <row r="4819" spans="1:34" ht="14.5" x14ac:dyDescent="0.35">
      <c r="A4819" s="34"/>
      <c r="B4819" s="35"/>
      <c r="C4819" s="36"/>
      <c r="D4819" s="37"/>
      <c r="E4819" s="36"/>
      <c r="F4819" s="42"/>
      <c r="G4819" s="42"/>
      <c r="H4819" s="42"/>
      <c r="AG4819" s="19">
        <v>4818</v>
      </c>
      <c r="AH4819" s="20">
        <v>1975.3581077059325</v>
      </c>
    </row>
    <row r="4820" spans="1:34" ht="14.5" x14ac:dyDescent="0.35">
      <c r="A4820" s="34"/>
      <c r="B4820" s="35"/>
      <c r="C4820" s="36"/>
      <c r="D4820" s="37"/>
      <c r="E4820" s="36"/>
      <c r="F4820" s="42"/>
      <c r="G4820" s="42"/>
      <c r="H4820" s="42"/>
      <c r="AG4820" s="19">
        <v>4819</v>
      </c>
      <c r="AH4820" s="20">
        <v>4653.9363850258378</v>
      </c>
    </row>
    <row r="4821" spans="1:34" ht="14.5" x14ac:dyDescent="0.35">
      <c r="A4821" s="34"/>
      <c r="B4821" s="35"/>
      <c r="C4821" s="36"/>
      <c r="D4821" s="37"/>
      <c r="E4821" s="36"/>
      <c r="F4821" s="42"/>
      <c r="G4821" s="42"/>
      <c r="H4821" s="42"/>
      <c r="AG4821" s="19">
        <v>4820</v>
      </c>
      <c r="AH4821" s="20">
        <v>309.52837008446534</v>
      </c>
    </row>
    <row r="4822" spans="1:34" ht="14.5" x14ac:dyDescent="0.35">
      <c r="A4822" s="34"/>
      <c r="B4822" s="35"/>
      <c r="C4822" s="36"/>
      <c r="D4822" s="37"/>
      <c r="E4822" s="36"/>
      <c r="F4822" s="42"/>
      <c r="G4822" s="42"/>
      <c r="H4822" s="42"/>
      <c r="AG4822" s="19">
        <v>4821</v>
      </c>
      <c r="AH4822" s="20">
        <v>1362.1200765946796</v>
      </c>
    </row>
    <row r="4823" spans="1:34" ht="14.5" x14ac:dyDescent="0.35">
      <c r="A4823" s="34"/>
      <c r="B4823" s="35"/>
      <c r="C4823" s="36"/>
      <c r="D4823" s="37"/>
      <c r="E4823" s="36"/>
      <c r="F4823" s="42"/>
      <c r="G4823" s="42"/>
      <c r="H4823" s="42"/>
      <c r="AG4823" s="19">
        <v>4822</v>
      </c>
      <c r="AH4823" s="20">
        <v>2039.1213942740717</v>
      </c>
    </row>
    <row r="4824" spans="1:34" ht="14.5" x14ac:dyDescent="0.35">
      <c r="A4824" s="34"/>
      <c r="B4824" s="35"/>
      <c r="C4824" s="36"/>
      <c r="D4824" s="37"/>
      <c r="E4824" s="36"/>
      <c r="F4824" s="42"/>
      <c r="G4824" s="42"/>
      <c r="H4824" s="42"/>
      <c r="AG4824" s="19">
        <v>4823</v>
      </c>
      <c r="AH4824" s="20">
        <v>-1172.253269773581</v>
      </c>
    </row>
    <row r="4825" spans="1:34" ht="14.5" x14ac:dyDescent="0.35">
      <c r="A4825" s="34"/>
      <c r="B4825" s="35"/>
      <c r="C4825" s="36"/>
      <c r="D4825" s="37"/>
      <c r="E4825" s="36"/>
      <c r="F4825" s="42"/>
      <c r="G4825" s="42"/>
      <c r="H4825" s="42"/>
      <c r="AG4825" s="19">
        <v>4824</v>
      </c>
      <c r="AH4825" s="20">
        <v>-3004.3606728678828</v>
      </c>
    </row>
    <row r="4826" spans="1:34" ht="14.5" x14ac:dyDescent="0.35">
      <c r="A4826" s="34"/>
      <c r="B4826" s="35"/>
      <c r="C4826" s="36"/>
      <c r="D4826" s="37"/>
      <c r="E4826" s="36"/>
      <c r="F4826" s="42"/>
      <c r="G4826" s="42"/>
      <c r="H4826" s="42"/>
      <c r="AG4826" s="19">
        <v>4825</v>
      </c>
      <c r="AH4826" s="20">
        <v>-81.869827494251808</v>
      </c>
    </row>
    <row r="4827" spans="1:34" ht="14.5" x14ac:dyDescent="0.35">
      <c r="A4827" s="34"/>
      <c r="B4827" s="35"/>
      <c r="C4827" s="36"/>
      <c r="D4827" s="37"/>
      <c r="E4827" s="36"/>
      <c r="F4827" s="42"/>
      <c r="G4827" s="42"/>
      <c r="H4827" s="42"/>
      <c r="AG4827" s="19">
        <v>4826</v>
      </c>
      <c r="AH4827" s="20">
        <v>854.54827189725802</v>
      </c>
    </row>
    <row r="4828" spans="1:34" ht="14.5" x14ac:dyDescent="0.35">
      <c r="A4828" s="34"/>
      <c r="B4828" s="35"/>
      <c r="C4828" s="36"/>
      <c r="D4828" s="37"/>
      <c r="E4828" s="36"/>
      <c r="F4828" s="42"/>
      <c r="G4828" s="42"/>
      <c r="H4828" s="42"/>
      <c r="AG4828" s="19">
        <v>4827</v>
      </c>
      <c r="AH4828" s="20">
        <v>2084.7126700867279</v>
      </c>
    </row>
    <row r="4829" spans="1:34" ht="14.5" x14ac:dyDescent="0.35">
      <c r="A4829" s="34"/>
      <c r="B4829" s="35"/>
      <c r="C4829" s="36"/>
      <c r="D4829" s="37"/>
      <c r="E4829" s="36"/>
      <c r="F4829" s="42"/>
      <c r="G4829" s="42"/>
      <c r="H4829" s="42"/>
      <c r="AG4829" s="19">
        <v>4828</v>
      </c>
      <c r="AH4829" s="20">
        <v>1179.0030079601136</v>
      </c>
    </row>
    <row r="4830" spans="1:34" ht="14.5" x14ac:dyDescent="0.35">
      <c r="A4830" s="34"/>
      <c r="B4830" s="35"/>
      <c r="C4830" s="36"/>
      <c r="D4830" s="37"/>
      <c r="E4830" s="36"/>
      <c r="F4830" s="42"/>
      <c r="G4830" s="42"/>
      <c r="H4830" s="42"/>
      <c r="AG4830" s="19">
        <v>4829</v>
      </c>
      <c r="AH4830" s="20">
        <v>-3342.7115774157205</v>
      </c>
    </row>
    <row r="4831" spans="1:34" ht="14.5" x14ac:dyDescent="0.35">
      <c r="A4831" s="34"/>
      <c r="B4831" s="35"/>
      <c r="C4831" s="36"/>
      <c r="D4831" s="37"/>
      <c r="E4831" s="36"/>
      <c r="F4831" s="42"/>
      <c r="G4831" s="42"/>
      <c r="H4831" s="42"/>
      <c r="AG4831" s="19">
        <v>4830</v>
      </c>
      <c r="AH4831" s="20">
        <v>-387.01025931119517</v>
      </c>
    </row>
    <row r="4832" spans="1:34" ht="14.5" x14ac:dyDescent="0.35">
      <c r="A4832" s="34"/>
      <c r="B4832" s="35"/>
      <c r="C4832" s="36"/>
      <c r="D4832" s="37"/>
      <c r="E4832" s="36"/>
      <c r="F4832" s="42"/>
      <c r="G4832" s="42"/>
      <c r="H4832" s="42"/>
      <c r="AG4832" s="19">
        <v>4831</v>
      </c>
      <c r="AH4832" s="20">
        <v>-1975.604669708074</v>
      </c>
    </row>
    <row r="4833" spans="1:34" ht="14.5" x14ac:dyDescent="0.35">
      <c r="A4833" s="34"/>
      <c r="B4833" s="35"/>
      <c r="C4833" s="36"/>
      <c r="D4833" s="37"/>
      <c r="E4833" s="36"/>
      <c r="F4833" s="42"/>
      <c r="G4833" s="42"/>
      <c r="H4833" s="42"/>
      <c r="AG4833" s="19">
        <v>4832</v>
      </c>
      <c r="AH4833" s="20">
        <v>149.3012386157161</v>
      </c>
    </row>
    <row r="4834" spans="1:34" ht="14.5" x14ac:dyDescent="0.35">
      <c r="A4834" s="34"/>
      <c r="B4834" s="35"/>
      <c r="C4834" s="36"/>
      <c r="D4834" s="37"/>
      <c r="E4834" s="36"/>
      <c r="F4834" s="42"/>
      <c r="G4834" s="42"/>
      <c r="H4834" s="42"/>
      <c r="AG4834" s="19">
        <v>4833</v>
      </c>
      <c r="AH4834" s="20">
        <v>-1110.3017905918402</v>
      </c>
    </row>
    <row r="4835" spans="1:34" ht="14.5" x14ac:dyDescent="0.35">
      <c r="A4835" s="34"/>
      <c r="B4835" s="35"/>
      <c r="C4835" s="36"/>
      <c r="D4835" s="37"/>
      <c r="E4835" s="36"/>
      <c r="F4835" s="42"/>
      <c r="G4835" s="42"/>
      <c r="H4835" s="42"/>
      <c r="AG4835" s="19">
        <v>4834</v>
      </c>
      <c r="AH4835" s="20">
        <v>394.1498914776077</v>
      </c>
    </row>
    <row r="4836" spans="1:34" ht="14.5" x14ac:dyDescent="0.35">
      <c r="A4836" s="34"/>
      <c r="B4836" s="35"/>
      <c r="C4836" s="36"/>
      <c r="D4836" s="37"/>
      <c r="E4836" s="36"/>
      <c r="F4836" s="42"/>
      <c r="G4836" s="42"/>
      <c r="H4836" s="42"/>
      <c r="AG4836" s="19">
        <v>4835</v>
      </c>
      <c r="AH4836" s="20">
        <v>-386.20389584623211</v>
      </c>
    </row>
    <row r="4837" spans="1:34" ht="14.5" x14ac:dyDescent="0.35">
      <c r="A4837" s="34"/>
      <c r="B4837" s="35"/>
      <c r="C4837" s="36"/>
      <c r="D4837" s="37"/>
      <c r="E4837" s="36"/>
      <c r="F4837" s="42"/>
      <c r="G4837" s="42"/>
      <c r="H4837" s="42"/>
      <c r="AG4837" s="19">
        <v>4836</v>
      </c>
      <c r="AH4837" s="20">
        <v>3734.6228211853972</v>
      </c>
    </row>
    <row r="4838" spans="1:34" ht="14.5" x14ac:dyDescent="0.35">
      <c r="A4838" s="34"/>
      <c r="B4838" s="35"/>
      <c r="C4838" s="36"/>
      <c r="D4838" s="37"/>
      <c r="E4838" s="36"/>
      <c r="F4838" s="42"/>
      <c r="G4838" s="42"/>
      <c r="H4838" s="42"/>
      <c r="AG4838" s="19">
        <v>4837</v>
      </c>
      <c r="AH4838" s="20">
        <v>3432.8322312506853</v>
      </c>
    </row>
    <row r="4839" spans="1:34" ht="14.5" x14ac:dyDescent="0.35">
      <c r="A4839" s="34"/>
      <c r="B4839" s="35"/>
      <c r="C4839" s="36"/>
      <c r="D4839" s="37"/>
      <c r="E4839" s="36"/>
      <c r="F4839" s="42"/>
      <c r="G4839" s="42"/>
      <c r="H4839" s="42"/>
      <c r="AG4839" s="19">
        <v>4838</v>
      </c>
      <c r="AH4839" s="20">
        <v>933.33607047682881</v>
      </c>
    </row>
    <row r="4840" spans="1:34" ht="14.5" x14ac:dyDescent="0.35">
      <c r="A4840" s="34"/>
      <c r="B4840" s="35"/>
      <c r="C4840" s="36"/>
      <c r="D4840" s="37"/>
      <c r="E4840" s="36"/>
      <c r="F4840" s="42"/>
      <c r="G4840" s="42"/>
      <c r="H4840" s="42"/>
      <c r="AG4840" s="19">
        <v>4839</v>
      </c>
      <c r="AH4840" s="20">
        <v>-399.9020487620009</v>
      </c>
    </row>
    <row r="4841" spans="1:34" ht="14.5" x14ac:dyDescent="0.35">
      <c r="A4841" s="34"/>
      <c r="B4841" s="35"/>
      <c r="C4841" s="36"/>
      <c r="D4841" s="37"/>
      <c r="E4841" s="36"/>
      <c r="F4841" s="42"/>
      <c r="G4841" s="42"/>
      <c r="H4841" s="42"/>
      <c r="AG4841" s="19">
        <v>4840</v>
      </c>
      <c r="AH4841" s="20">
        <v>459.38328131997366</v>
      </c>
    </row>
    <row r="4842" spans="1:34" ht="14.5" x14ac:dyDescent="0.35">
      <c r="A4842" s="34"/>
      <c r="B4842" s="35"/>
      <c r="C4842" s="36"/>
      <c r="D4842" s="37"/>
      <c r="E4842" s="36"/>
      <c r="F4842" s="42"/>
      <c r="G4842" s="42"/>
      <c r="H4842" s="42"/>
      <c r="AG4842" s="19">
        <v>4841</v>
      </c>
      <c r="AH4842" s="20">
        <v>-2717.6163075564768</v>
      </c>
    </row>
    <row r="4843" spans="1:34" ht="14.5" x14ac:dyDescent="0.35">
      <c r="A4843" s="34"/>
      <c r="B4843" s="35"/>
      <c r="C4843" s="36"/>
      <c r="D4843" s="37"/>
      <c r="E4843" s="36"/>
      <c r="F4843" s="42"/>
      <c r="G4843" s="42"/>
      <c r="H4843" s="42"/>
      <c r="AG4843" s="19">
        <v>4842</v>
      </c>
      <c r="AH4843" s="20">
        <v>1133.5151054345615</v>
      </c>
    </row>
    <row r="4844" spans="1:34" ht="14.5" x14ac:dyDescent="0.35">
      <c r="A4844" s="34"/>
      <c r="B4844" s="35"/>
      <c r="C4844" s="36"/>
      <c r="D4844" s="37"/>
      <c r="E4844" s="36"/>
      <c r="F4844" s="42"/>
      <c r="G4844" s="42"/>
      <c r="H4844" s="42"/>
      <c r="AG4844" s="19">
        <v>4843</v>
      </c>
      <c r="AH4844" s="20">
        <v>-2804.320044699617</v>
      </c>
    </row>
    <row r="4845" spans="1:34" ht="14.5" x14ac:dyDescent="0.35">
      <c r="A4845" s="34"/>
      <c r="B4845" s="35"/>
      <c r="C4845" s="36"/>
      <c r="D4845" s="37"/>
      <c r="E4845" s="36"/>
      <c r="F4845" s="42"/>
      <c r="G4845" s="42"/>
      <c r="H4845" s="42"/>
      <c r="AG4845" s="19">
        <v>4844</v>
      </c>
      <c r="AH4845" s="20">
        <v>3836.2356941808716</v>
      </c>
    </row>
    <row r="4846" spans="1:34" ht="14.5" x14ac:dyDescent="0.35">
      <c r="A4846" s="34"/>
      <c r="B4846" s="35"/>
      <c r="C4846" s="36"/>
      <c r="D4846" s="37"/>
      <c r="E4846" s="36"/>
      <c r="F4846" s="42"/>
      <c r="G4846" s="42"/>
      <c r="H4846" s="42"/>
      <c r="AG4846" s="19">
        <v>4845</v>
      </c>
      <c r="AH4846" s="20">
        <v>3125.7349345638418</v>
      </c>
    </row>
    <row r="4847" spans="1:34" ht="14.5" x14ac:dyDescent="0.35">
      <c r="A4847" s="34"/>
      <c r="B4847" s="35"/>
      <c r="C4847" s="36"/>
      <c r="D4847" s="37"/>
      <c r="E4847" s="36"/>
      <c r="F4847" s="42"/>
      <c r="G4847" s="42"/>
      <c r="H4847" s="42"/>
      <c r="AG4847" s="19">
        <v>4846</v>
      </c>
      <c r="AH4847" s="20">
        <v>3533.4957513760473</v>
      </c>
    </row>
    <row r="4848" spans="1:34" ht="14.5" x14ac:dyDescent="0.35">
      <c r="A4848" s="34"/>
      <c r="B4848" s="35"/>
      <c r="C4848" s="36"/>
      <c r="D4848" s="37"/>
      <c r="E4848" s="36"/>
      <c r="F4848" s="42"/>
      <c r="G4848" s="42"/>
      <c r="H4848" s="42"/>
      <c r="AG4848" s="19">
        <v>4847</v>
      </c>
      <c r="AH4848" s="20">
        <v>-1634.8521512660695</v>
      </c>
    </row>
    <row r="4849" spans="1:34" ht="14.5" x14ac:dyDescent="0.35">
      <c r="A4849" s="34"/>
      <c r="B4849" s="35"/>
      <c r="C4849" s="36"/>
      <c r="D4849" s="37"/>
      <c r="E4849" s="36"/>
      <c r="F4849" s="42"/>
      <c r="G4849" s="42"/>
      <c r="H4849" s="42"/>
      <c r="AG4849" s="19">
        <v>4848</v>
      </c>
      <c r="AH4849" s="20">
        <v>726.84027033687835</v>
      </c>
    </row>
    <row r="4850" spans="1:34" ht="14.5" x14ac:dyDescent="0.35">
      <c r="A4850" s="34"/>
      <c r="B4850" s="35"/>
      <c r="C4850" s="36"/>
      <c r="D4850" s="37"/>
      <c r="E4850" s="36"/>
      <c r="F4850" s="42"/>
      <c r="G4850" s="42"/>
      <c r="H4850" s="42"/>
      <c r="AG4850" s="19">
        <v>4849</v>
      </c>
      <c r="AH4850" s="20">
        <v>-1598.32263781596</v>
      </c>
    </row>
    <row r="4851" spans="1:34" ht="14.5" x14ac:dyDescent="0.35">
      <c r="A4851" s="34"/>
      <c r="B4851" s="35"/>
      <c r="C4851" s="36"/>
      <c r="D4851" s="37"/>
      <c r="E4851" s="36"/>
      <c r="F4851" s="42"/>
      <c r="G4851" s="42"/>
      <c r="H4851" s="42"/>
      <c r="AG4851" s="19">
        <v>4850</v>
      </c>
      <c r="AH4851" s="20">
        <v>-1104.1591216347504</v>
      </c>
    </row>
    <row r="4852" spans="1:34" ht="14.5" x14ac:dyDescent="0.35">
      <c r="A4852" s="34"/>
      <c r="B4852" s="35"/>
      <c r="C4852" s="36"/>
      <c r="D4852" s="37"/>
      <c r="E4852" s="36"/>
      <c r="F4852" s="42"/>
      <c r="G4852" s="42"/>
      <c r="H4852" s="42"/>
      <c r="AG4852" s="19">
        <v>4851</v>
      </c>
      <c r="AH4852" s="20">
        <v>3493.0456038473185</v>
      </c>
    </row>
    <row r="4853" spans="1:34" ht="14.5" x14ac:dyDescent="0.35">
      <c r="A4853" s="34"/>
      <c r="B4853" s="35"/>
      <c r="C4853" s="36"/>
      <c r="D4853" s="37"/>
      <c r="E4853" s="36"/>
      <c r="F4853" s="42"/>
      <c r="G4853" s="42"/>
      <c r="H4853" s="42"/>
      <c r="AG4853" s="19">
        <v>4852</v>
      </c>
      <c r="AH4853" s="20">
        <v>966.72156900346477</v>
      </c>
    </row>
    <row r="4854" spans="1:34" ht="14.5" x14ac:dyDescent="0.35">
      <c r="A4854" s="34"/>
      <c r="B4854" s="35"/>
      <c r="C4854" s="36"/>
      <c r="D4854" s="37"/>
      <c r="E4854" s="36"/>
      <c r="F4854" s="42"/>
      <c r="G4854" s="42"/>
      <c r="H4854" s="42"/>
      <c r="AG4854" s="19">
        <v>4853</v>
      </c>
      <c r="AH4854" s="20">
        <v>3775.0612752698071</v>
      </c>
    </row>
    <row r="4855" spans="1:34" ht="14.5" x14ac:dyDescent="0.35">
      <c r="A4855" s="34"/>
      <c r="B4855" s="35"/>
      <c r="C4855" s="36"/>
      <c r="D4855" s="37"/>
      <c r="E4855" s="36"/>
      <c r="F4855" s="42"/>
      <c r="G4855" s="42"/>
      <c r="H4855" s="42"/>
      <c r="AG4855" s="19">
        <v>4854</v>
      </c>
      <c r="AH4855" s="20">
        <v>-1501.6937475346995</v>
      </c>
    </row>
    <row r="4856" spans="1:34" ht="14.5" x14ac:dyDescent="0.35">
      <c r="A4856" s="34"/>
      <c r="B4856" s="35"/>
      <c r="C4856" s="36"/>
      <c r="D4856" s="37"/>
      <c r="E4856" s="36"/>
      <c r="F4856" s="42"/>
      <c r="G4856" s="42"/>
      <c r="H4856" s="42"/>
      <c r="AG4856" s="19">
        <v>4855</v>
      </c>
      <c r="AH4856" s="20">
        <v>-352.33639301452473</v>
      </c>
    </row>
    <row r="4857" spans="1:34" ht="14.5" x14ac:dyDescent="0.35">
      <c r="A4857" s="34"/>
      <c r="B4857" s="35"/>
      <c r="C4857" s="36"/>
      <c r="D4857" s="37"/>
      <c r="E4857" s="36"/>
      <c r="F4857" s="42"/>
      <c r="G4857" s="42"/>
      <c r="H4857" s="42"/>
      <c r="AG4857" s="19">
        <v>4856</v>
      </c>
      <c r="AH4857" s="20">
        <v>1146.6302785377836</v>
      </c>
    </row>
    <row r="4858" spans="1:34" ht="14.5" x14ac:dyDescent="0.35">
      <c r="A4858" s="34"/>
      <c r="B4858" s="35"/>
      <c r="C4858" s="36"/>
      <c r="D4858" s="37"/>
      <c r="E4858" s="36"/>
      <c r="F4858" s="42"/>
      <c r="G4858" s="42"/>
      <c r="H4858" s="42"/>
      <c r="AG4858" s="19">
        <v>4857</v>
      </c>
      <c r="AH4858" s="20">
        <v>457.69170351215979</v>
      </c>
    </row>
    <row r="4859" spans="1:34" ht="14.5" x14ac:dyDescent="0.35">
      <c r="A4859" s="34"/>
      <c r="B4859" s="35"/>
      <c r="C4859" s="36"/>
      <c r="D4859" s="37"/>
      <c r="E4859" s="36"/>
      <c r="F4859" s="42"/>
      <c r="G4859" s="42"/>
      <c r="H4859" s="42"/>
      <c r="AG4859" s="19">
        <v>4858</v>
      </c>
      <c r="AH4859" s="20">
        <v>-1236.2702831447659</v>
      </c>
    </row>
    <row r="4860" spans="1:34" ht="14.5" x14ac:dyDescent="0.35">
      <c r="A4860" s="34"/>
      <c r="B4860" s="35"/>
      <c r="C4860" s="36"/>
      <c r="D4860" s="37"/>
      <c r="E4860" s="36"/>
      <c r="F4860" s="42"/>
      <c r="G4860" s="42"/>
      <c r="H4860" s="42"/>
      <c r="AG4860" s="19">
        <v>4859</v>
      </c>
      <c r="AH4860" s="20">
        <v>-85.628525909935775</v>
      </c>
    </row>
    <row r="4861" spans="1:34" ht="14.5" x14ac:dyDescent="0.35">
      <c r="A4861" s="34"/>
      <c r="B4861" s="35"/>
      <c r="C4861" s="36"/>
      <c r="D4861" s="37"/>
      <c r="E4861" s="36"/>
      <c r="F4861" s="42"/>
      <c r="G4861" s="42"/>
      <c r="H4861" s="42"/>
      <c r="AG4861" s="19">
        <v>4860</v>
      </c>
      <c r="AH4861" s="20">
        <v>-324.53380058413819</v>
      </c>
    </row>
    <row r="4862" spans="1:34" ht="14.5" x14ac:dyDescent="0.35">
      <c r="A4862" s="34"/>
      <c r="B4862" s="35"/>
      <c r="C4862" s="36"/>
      <c r="D4862" s="37"/>
      <c r="E4862" s="36"/>
      <c r="F4862" s="42"/>
      <c r="G4862" s="42"/>
      <c r="H4862" s="42"/>
      <c r="AG4862" s="19">
        <v>4861</v>
      </c>
      <c r="AH4862" s="20">
        <v>2239.2014965907692</v>
      </c>
    </row>
    <row r="4863" spans="1:34" ht="14.5" x14ac:dyDescent="0.35">
      <c r="A4863" s="34"/>
      <c r="B4863" s="35"/>
      <c r="C4863" s="36"/>
      <c r="D4863" s="37"/>
      <c r="E4863" s="36"/>
      <c r="F4863" s="42"/>
      <c r="G4863" s="42"/>
      <c r="H4863" s="42"/>
      <c r="AG4863" s="19">
        <v>4862</v>
      </c>
      <c r="AH4863" s="20">
        <v>2068.4142135980451</v>
      </c>
    </row>
    <row r="4864" spans="1:34" ht="14.5" x14ac:dyDescent="0.35">
      <c r="A4864" s="34"/>
      <c r="B4864" s="35"/>
      <c r="C4864" s="36"/>
      <c r="D4864" s="37"/>
      <c r="E4864" s="36"/>
      <c r="F4864" s="42"/>
      <c r="G4864" s="42"/>
      <c r="H4864" s="42"/>
      <c r="AG4864" s="19">
        <v>4863</v>
      </c>
      <c r="AH4864" s="20">
        <v>-1925.5201053021581</v>
      </c>
    </row>
    <row r="4865" spans="1:34" ht="14.5" x14ac:dyDescent="0.35">
      <c r="A4865" s="34"/>
      <c r="B4865" s="35"/>
      <c r="C4865" s="36"/>
      <c r="D4865" s="37"/>
      <c r="E4865" s="36"/>
      <c r="F4865" s="42"/>
      <c r="G4865" s="42"/>
      <c r="H4865" s="42"/>
      <c r="AG4865" s="19">
        <v>4864</v>
      </c>
      <c r="AH4865" s="20">
        <v>983.63001729667985</v>
      </c>
    </row>
    <row r="4866" spans="1:34" ht="14.5" x14ac:dyDescent="0.35">
      <c r="A4866" s="34"/>
      <c r="B4866" s="35"/>
      <c r="C4866" s="36"/>
      <c r="D4866" s="37"/>
      <c r="E4866" s="36"/>
      <c r="F4866" s="42"/>
      <c r="G4866" s="42"/>
      <c r="H4866" s="42"/>
      <c r="AG4866" s="19">
        <v>4865</v>
      </c>
      <c r="AH4866" s="20">
        <v>-704.06224128676786</v>
      </c>
    </row>
    <row r="4867" spans="1:34" ht="14.5" x14ac:dyDescent="0.35">
      <c r="A4867" s="34"/>
      <c r="B4867" s="35"/>
      <c r="C4867" s="36"/>
      <c r="D4867" s="37"/>
      <c r="E4867" s="36"/>
      <c r="F4867" s="42"/>
      <c r="G4867" s="42"/>
      <c r="H4867" s="42"/>
      <c r="AG4867" s="19">
        <v>4866</v>
      </c>
      <c r="AH4867" s="20">
        <v>-465.06824722368702</v>
      </c>
    </row>
    <row r="4868" spans="1:34" ht="14.5" x14ac:dyDescent="0.35">
      <c r="A4868" s="34"/>
      <c r="B4868" s="35"/>
      <c r="C4868" s="36"/>
      <c r="D4868" s="37"/>
      <c r="E4868" s="36"/>
      <c r="F4868" s="42"/>
      <c r="G4868" s="42"/>
      <c r="H4868" s="42"/>
      <c r="AG4868" s="19">
        <v>4867</v>
      </c>
      <c r="AH4868" s="20">
        <v>-1973.1923416153702</v>
      </c>
    </row>
    <row r="4869" spans="1:34" ht="14.5" x14ac:dyDescent="0.35">
      <c r="A4869" s="34"/>
      <c r="B4869" s="35"/>
      <c r="C4869" s="36"/>
      <c r="D4869" s="37"/>
      <c r="E4869" s="36"/>
      <c r="F4869" s="42"/>
      <c r="G4869" s="42"/>
      <c r="H4869" s="42"/>
      <c r="AG4869" s="19">
        <v>4868</v>
      </c>
      <c r="AH4869" s="20">
        <v>-1688.8724459486045</v>
      </c>
    </row>
    <row r="4870" spans="1:34" ht="14.5" x14ac:dyDescent="0.35">
      <c r="A4870" s="34"/>
      <c r="B4870" s="35"/>
      <c r="C4870" s="36"/>
      <c r="D4870" s="37"/>
      <c r="E4870" s="36"/>
      <c r="F4870" s="42"/>
      <c r="G4870" s="42"/>
      <c r="H4870" s="42"/>
      <c r="AG4870" s="19">
        <v>4869</v>
      </c>
      <c r="AH4870" s="20">
        <v>2242.882209460076</v>
      </c>
    </row>
    <row r="4871" spans="1:34" ht="14.5" x14ac:dyDescent="0.35">
      <c r="A4871" s="34"/>
      <c r="B4871" s="35"/>
      <c r="C4871" s="36"/>
      <c r="D4871" s="37"/>
      <c r="E4871" s="36"/>
      <c r="F4871" s="42"/>
      <c r="G4871" s="42"/>
      <c r="H4871" s="42"/>
      <c r="AG4871" s="19">
        <v>4870</v>
      </c>
      <c r="AH4871" s="20">
        <v>2279.3319095010597</v>
      </c>
    </row>
    <row r="4872" spans="1:34" ht="14.5" x14ac:dyDescent="0.35">
      <c r="A4872" s="34"/>
      <c r="B4872" s="35"/>
      <c r="C4872" s="36"/>
      <c r="D4872" s="37"/>
      <c r="E4872" s="36"/>
      <c r="F4872" s="42"/>
      <c r="G4872" s="42"/>
      <c r="H4872" s="42"/>
      <c r="AG4872" s="19">
        <v>4871</v>
      </c>
      <c r="AH4872" s="20">
        <v>-2597.462695976295</v>
      </c>
    </row>
    <row r="4873" spans="1:34" ht="14.5" x14ac:dyDescent="0.35">
      <c r="A4873" s="34"/>
      <c r="B4873" s="35"/>
      <c r="C4873" s="36"/>
      <c r="D4873" s="37"/>
      <c r="E4873" s="36"/>
      <c r="F4873" s="42"/>
      <c r="G4873" s="42"/>
      <c r="H4873" s="42"/>
      <c r="AG4873" s="19">
        <v>4872</v>
      </c>
      <c r="AH4873" s="20">
        <v>-1345.5367344836482</v>
      </c>
    </row>
    <row r="4874" spans="1:34" ht="14.5" x14ac:dyDescent="0.35">
      <c r="A4874" s="34"/>
      <c r="B4874" s="35"/>
      <c r="C4874" s="36"/>
      <c r="D4874" s="37"/>
      <c r="E4874" s="36"/>
      <c r="F4874" s="42"/>
      <c r="G4874" s="42"/>
      <c r="H4874" s="42"/>
      <c r="AG4874" s="19">
        <v>4873</v>
      </c>
      <c r="AH4874" s="20">
        <v>-1807.9329578960289</v>
      </c>
    </row>
    <row r="4875" spans="1:34" ht="14.5" x14ac:dyDescent="0.35">
      <c r="A4875" s="34"/>
      <c r="B4875" s="35"/>
      <c r="C4875" s="36"/>
      <c r="D4875" s="37"/>
      <c r="E4875" s="36"/>
      <c r="F4875" s="42"/>
      <c r="G4875" s="42"/>
      <c r="H4875" s="42"/>
      <c r="AG4875" s="19">
        <v>4874</v>
      </c>
      <c r="AH4875" s="20">
        <v>4462.4848876936067</v>
      </c>
    </row>
    <row r="4876" spans="1:34" ht="14.5" x14ac:dyDescent="0.35">
      <c r="A4876" s="34"/>
      <c r="B4876" s="35"/>
      <c r="C4876" s="36"/>
      <c r="D4876" s="37"/>
      <c r="E4876" s="36"/>
      <c r="F4876" s="42"/>
      <c r="G4876" s="42"/>
      <c r="H4876" s="42"/>
      <c r="AG4876" s="19">
        <v>4875</v>
      </c>
      <c r="AH4876" s="20">
        <v>4442.9236549983134</v>
      </c>
    </row>
    <row r="4877" spans="1:34" ht="14.5" x14ac:dyDescent="0.35">
      <c r="A4877" s="34"/>
      <c r="B4877" s="35"/>
      <c r="C4877" s="36"/>
      <c r="D4877" s="37"/>
      <c r="E4877" s="36"/>
      <c r="F4877" s="42"/>
      <c r="G4877" s="42"/>
      <c r="H4877" s="42"/>
      <c r="AG4877" s="19">
        <v>4876</v>
      </c>
      <c r="AH4877" s="20">
        <v>-1499.2057903866983</v>
      </c>
    </row>
    <row r="4878" spans="1:34" ht="14.5" x14ac:dyDescent="0.35">
      <c r="A4878" s="34"/>
      <c r="B4878" s="35"/>
      <c r="C4878" s="36"/>
      <c r="D4878" s="37"/>
      <c r="E4878" s="36"/>
      <c r="F4878" s="42"/>
      <c r="G4878" s="42"/>
      <c r="H4878" s="42"/>
      <c r="AG4878" s="19">
        <v>4877</v>
      </c>
      <c r="AH4878" s="20">
        <v>1902.9515312277149</v>
      </c>
    </row>
    <row r="4879" spans="1:34" ht="14.5" x14ac:dyDescent="0.35">
      <c r="A4879" s="34"/>
      <c r="B4879" s="35"/>
      <c r="C4879" s="36"/>
      <c r="D4879" s="37"/>
      <c r="E4879" s="36"/>
      <c r="F4879" s="42"/>
      <c r="G4879" s="42"/>
      <c r="H4879" s="42"/>
      <c r="AG4879" s="19">
        <v>4878</v>
      </c>
      <c r="AH4879" s="20">
        <v>-2323.4796641259504</v>
      </c>
    </row>
    <row r="4880" spans="1:34" ht="14.5" x14ac:dyDescent="0.35">
      <c r="A4880" s="34"/>
      <c r="B4880" s="35"/>
      <c r="C4880" s="36"/>
      <c r="D4880" s="37"/>
      <c r="E4880" s="36"/>
      <c r="F4880" s="42"/>
      <c r="G4880" s="42"/>
      <c r="H4880" s="42"/>
      <c r="AG4880" s="19">
        <v>4879</v>
      </c>
      <c r="AH4880" s="20">
        <v>463.03212215072148</v>
      </c>
    </row>
    <row r="4881" spans="1:34" ht="14.5" x14ac:dyDescent="0.35">
      <c r="A4881" s="34"/>
      <c r="B4881" s="35"/>
      <c r="C4881" s="36"/>
      <c r="D4881" s="37"/>
      <c r="E4881" s="36"/>
      <c r="F4881" s="42"/>
      <c r="G4881" s="42"/>
      <c r="H4881" s="42"/>
      <c r="AG4881" s="19">
        <v>4880</v>
      </c>
      <c r="AH4881" s="20">
        <v>336.75592389222402</v>
      </c>
    </row>
    <row r="4882" spans="1:34" ht="14.5" x14ac:dyDescent="0.35">
      <c r="A4882" s="34"/>
      <c r="B4882" s="35"/>
      <c r="C4882" s="36"/>
      <c r="D4882" s="37"/>
      <c r="E4882" s="36"/>
      <c r="F4882" s="42"/>
      <c r="G4882" s="42"/>
      <c r="H4882" s="42"/>
      <c r="AG4882" s="19">
        <v>4881</v>
      </c>
      <c r="AH4882" s="20">
        <v>-4159.5002324381185</v>
      </c>
    </row>
    <row r="4883" spans="1:34" ht="14.5" x14ac:dyDescent="0.35">
      <c r="A4883" s="34"/>
      <c r="B4883" s="35"/>
      <c r="C4883" s="36"/>
      <c r="D4883" s="37"/>
      <c r="E4883" s="36"/>
      <c r="F4883" s="42"/>
      <c r="G4883" s="42"/>
      <c r="H4883" s="42"/>
      <c r="AG4883" s="19">
        <v>4882</v>
      </c>
      <c r="AH4883" s="20">
        <v>2294.2523811755646</v>
      </c>
    </row>
    <row r="4884" spans="1:34" ht="14.5" x14ac:dyDescent="0.35">
      <c r="A4884" s="34"/>
      <c r="B4884" s="35"/>
      <c r="C4884" s="36"/>
      <c r="D4884" s="37"/>
      <c r="E4884" s="36"/>
      <c r="F4884" s="42"/>
      <c r="G4884" s="42"/>
      <c r="H4884" s="42"/>
      <c r="AG4884" s="19">
        <v>4883</v>
      </c>
      <c r="AH4884" s="20">
        <v>3979.8693575085049</v>
      </c>
    </row>
    <row r="4885" spans="1:34" ht="14.5" x14ac:dyDescent="0.35">
      <c r="A4885" s="34"/>
      <c r="B4885" s="35"/>
      <c r="C4885" s="36"/>
      <c r="D4885" s="37"/>
      <c r="E4885" s="36"/>
      <c r="F4885" s="42"/>
      <c r="G4885" s="42"/>
      <c r="H4885" s="42"/>
      <c r="AG4885" s="19">
        <v>4884</v>
      </c>
      <c r="AH4885" s="20">
        <v>-2342.8848615395882</v>
      </c>
    </row>
    <row r="4886" spans="1:34" ht="14.5" x14ac:dyDescent="0.35">
      <c r="A4886" s="34"/>
      <c r="B4886" s="35"/>
      <c r="C4886" s="36"/>
      <c r="D4886" s="37"/>
      <c r="E4886" s="36"/>
      <c r="F4886" s="42"/>
      <c r="G4886" s="42"/>
      <c r="H4886" s="42"/>
      <c r="AG4886" s="19">
        <v>4885</v>
      </c>
      <c r="AH4886" s="20">
        <v>-1213.2104251265118</v>
      </c>
    </row>
    <row r="4887" spans="1:34" ht="14.5" x14ac:dyDescent="0.35">
      <c r="A4887" s="34"/>
      <c r="B4887" s="35"/>
      <c r="C4887" s="36"/>
      <c r="D4887" s="37"/>
      <c r="E4887" s="36"/>
      <c r="F4887" s="42"/>
      <c r="G4887" s="42"/>
      <c r="H4887" s="42"/>
      <c r="AG4887" s="19">
        <v>4886</v>
      </c>
      <c r="AH4887" s="20">
        <v>4058.0275860563811</v>
      </c>
    </row>
    <row r="4888" spans="1:34" ht="14.5" x14ac:dyDescent="0.35">
      <c r="A4888" s="34"/>
      <c r="B4888" s="35"/>
      <c r="C4888" s="36"/>
      <c r="D4888" s="37"/>
      <c r="E4888" s="36"/>
      <c r="F4888" s="42"/>
      <c r="G4888" s="42"/>
      <c r="H4888" s="42"/>
      <c r="AG4888" s="19">
        <v>4887</v>
      </c>
      <c r="AH4888" s="20">
        <v>-3983.9245398355242</v>
      </c>
    </row>
    <row r="4889" spans="1:34" ht="14.5" x14ac:dyDescent="0.35">
      <c r="A4889" s="34"/>
      <c r="B4889" s="35"/>
      <c r="C4889" s="36"/>
      <c r="D4889" s="37"/>
      <c r="E4889" s="36"/>
      <c r="F4889" s="42"/>
      <c r="G4889" s="42"/>
      <c r="H4889" s="42"/>
      <c r="AG4889" s="19">
        <v>4888</v>
      </c>
      <c r="AH4889" s="20">
        <v>1957.6274949881754</v>
      </c>
    </row>
    <row r="4890" spans="1:34" ht="14.5" x14ac:dyDescent="0.35">
      <c r="A4890" s="34"/>
      <c r="B4890" s="35"/>
      <c r="C4890" s="36"/>
      <c r="D4890" s="37"/>
      <c r="E4890" s="36"/>
      <c r="F4890" s="42"/>
      <c r="G4890" s="42"/>
      <c r="H4890" s="42"/>
      <c r="AG4890" s="19">
        <v>4889</v>
      </c>
      <c r="AH4890" s="20">
        <v>384.16166896757341</v>
      </c>
    </row>
    <row r="4891" spans="1:34" ht="14.5" x14ac:dyDescent="0.35">
      <c r="A4891" s="34"/>
      <c r="B4891" s="35"/>
      <c r="C4891" s="36"/>
      <c r="D4891" s="37"/>
      <c r="E4891" s="36"/>
      <c r="F4891" s="42"/>
      <c r="G4891" s="42"/>
      <c r="H4891" s="42"/>
      <c r="AG4891" s="19">
        <v>4890</v>
      </c>
      <c r="AH4891" s="20">
        <v>4636.3366080065407</v>
      </c>
    </row>
    <row r="4892" spans="1:34" ht="14.5" x14ac:dyDescent="0.35">
      <c r="A4892" s="34"/>
      <c r="B4892" s="35"/>
      <c r="C4892" s="36"/>
      <c r="D4892" s="37"/>
      <c r="E4892" s="36"/>
      <c r="F4892" s="42"/>
      <c r="G4892" s="42"/>
      <c r="H4892" s="42"/>
      <c r="AG4892" s="19">
        <v>4891</v>
      </c>
      <c r="AH4892" s="20">
        <v>-692.19477255300285</v>
      </c>
    </row>
    <row r="4893" spans="1:34" ht="14.5" x14ac:dyDescent="0.35">
      <c r="A4893" s="34"/>
      <c r="B4893" s="35"/>
      <c r="C4893" s="36"/>
      <c r="D4893" s="37"/>
      <c r="E4893" s="36"/>
      <c r="F4893" s="42"/>
      <c r="G4893" s="42"/>
      <c r="H4893" s="42"/>
      <c r="AG4893" s="19">
        <v>4892</v>
      </c>
      <c r="AH4893" s="20">
        <v>4217.5204242410437</v>
      </c>
    </row>
    <row r="4894" spans="1:34" ht="14.5" x14ac:dyDescent="0.35">
      <c r="A4894" s="34"/>
      <c r="B4894" s="35"/>
      <c r="C4894" s="36"/>
      <c r="D4894" s="37"/>
      <c r="E4894" s="36"/>
      <c r="F4894" s="42"/>
      <c r="G4894" s="42"/>
      <c r="H4894" s="42"/>
      <c r="AG4894" s="19">
        <v>4893</v>
      </c>
      <c r="AH4894" s="20">
        <v>-3437.4237543645941</v>
      </c>
    </row>
    <row r="4895" spans="1:34" ht="14.5" x14ac:dyDescent="0.35">
      <c r="A4895" s="34"/>
      <c r="B4895" s="35"/>
      <c r="C4895" s="36"/>
      <c r="D4895" s="37"/>
      <c r="E4895" s="36"/>
      <c r="F4895" s="42"/>
      <c r="G4895" s="42"/>
      <c r="H4895" s="42"/>
      <c r="AG4895" s="19">
        <v>4894</v>
      </c>
      <c r="AH4895" s="20">
        <v>2670.2317669428539</v>
      </c>
    </row>
    <row r="4896" spans="1:34" ht="14.5" x14ac:dyDescent="0.35">
      <c r="A4896" s="34"/>
      <c r="B4896" s="35"/>
      <c r="C4896" s="36"/>
      <c r="D4896" s="37"/>
      <c r="E4896" s="36"/>
      <c r="F4896" s="42"/>
      <c r="G4896" s="42"/>
      <c r="H4896" s="42"/>
      <c r="AG4896" s="19">
        <v>4895</v>
      </c>
      <c r="AH4896" s="20">
        <v>-1728.7564372902109</v>
      </c>
    </row>
    <row r="4897" spans="1:34" ht="14.5" x14ac:dyDescent="0.35">
      <c r="A4897" s="34"/>
      <c r="B4897" s="35"/>
      <c r="C4897" s="36"/>
      <c r="D4897" s="37"/>
      <c r="E4897" s="36"/>
      <c r="F4897" s="42"/>
      <c r="G4897" s="42"/>
      <c r="H4897" s="42"/>
      <c r="AG4897" s="19">
        <v>4896</v>
      </c>
      <c r="AH4897" s="20">
        <v>-207.85844750107486</v>
      </c>
    </row>
    <row r="4898" spans="1:34" ht="14.5" x14ac:dyDescent="0.35">
      <c r="A4898" s="34"/>
      <c r="B4898" s="35"/>
      <c r="C4898" s="36"/>
      <c r="D4898" s="37"/>
      <c r="E4898" s="36"/>
      <c r="F4898" s="42"/>
      <c r="G4898" s="42"/>
      <c r="H4898" s="42"/>
      <c r="AG4898" s="19">
        <v>4897</v>
      </c>
      <c r="AH4898" s="20">
        <v>1898.132262552356</v>
      </c>
    </row>
    <row r="4899" spans="1:34" ht="14.5" x14ac:dyDescent="0.35">
      <c r="A4899" s="34"/>
      <c r="B4899" s="35"/>
      <c r="C4899" s="36"/>
      <c r="D4899" s="37"/>
      <c r="E4899" s="36"/>
      <c r="F4899" s="42"/>
      <c r="G4899" s="42"/>
      <c r="H4899" s="42"/>
      <c r="AG4899" s="19">
        <v>4898</v>
      </c>
      <c r="AH4899" s="20">
        <v>-443.398608376553</v>
      </c>
    </row>
    <row r="4900" spans="1:34" ht="14.5" x14ac:dyDescent="0.35">
      <c r="A4900" s="34"/>
      <c r="B4900" s="35"/>
      <c r="C4900" s="36"/>
      <c r="D4900" s="37"/>
      <c r="E4900" s="36"/>
      <c r="F4900" s="42"/>
      <c r="G4900" s="42"/>
      <c r="H4900" s="42"/>
      <c r="AG4900" s="19">
        <v>4899</v>
      </c>
      <c r="AH4900" s="20">
        <v>3021.7694021943389</v>
      </c>
    </row>
    <row r="4901" spans="1:34" ht="14.5" x14ac:dyDescent="0.35">
      <c r="A4901" s="34"/>
      <c r="B4901" s="35"/>
      <c r="C4901" s="36"/>
      <c r="D4901" s="37"/>
      <c r="E4901" s="36"/>
      <c r="F4901" s="42"/>
      <c r="G4901" s="42"/>
      <c r="H4901" s="42"/>
      <c r="AG4901" s="19">
        <v>4900</v>
      </c>
      <c r="AH4901" s="20">
        <v>-1901.7784733486471</v>
      </c>
    </row>
    <row r="4902" spans="1:34" ht="14.5" x14ac:dyDescent="0.35">
      <c r="A4902" s="34"/>
      <c r="B4902" s="35"/>
      <c r="C4902" s="36"/>
      <c r="D4902" s="37"/>
      <c r="E4902" s="36"/>
      <c r="F4902" s="42"/>
      <c r="G4902" s="42"/>
      <c r="H4902" s="42"/>
      <c r="AG4902" s="19">
        <v>4901</v>
      </c>
      <c r="AH4902" s="20">
        <v>1503.8449460247725</v>
      </c>
    </row>
    <row r="4903" spans="1:34" ht="14.5" x14ac:dyDescent="0.35">
      <c r="A4903" s="34"/>
      <c r="B4903" s="35"/>
      <c r="C4903" s="36"/>
      <c r="D4903" s="37"/>
      <c r="E4903" s="36"/>
      <c r="F4903" s="42"/>
      <c r="G4903" s="42"/>
      <c r="H4903" s="42"/>
      <c r="AG4903" s="19">
        <v>4902</v>
      </c>
      <c r="AH4903" s="20">
        <v>-1515.2325204432709</v>
      </c>
    </row>
    <row r="4904" spans="1:34" ht="14.5" x14ac:dyDescent="0.35">
      <c r="A4904" s="34"/>
      <c r="B4904" s="35"/>
      <c r="C4904" s="36"/>
      <c r="D4904" s="37"/>
      <c r="E4904" s="36"/>
      <c r="F4904" s="42"/>
      <c r="G4904" s="42"/>
      <c r="H4904" s="42"/>
      <c r="AG4904" s="19">
        <v>4903</v>
      </c>
      <c r="AH4904" s="20">
        <v>4192.9092004516433</v>
      </c>
    </row>
    <row r="4905" spans="1:34" ht="14.5" x14ac:dyDescent="0.35">
      <c r="A4905" s="34"/>
      <c r="B4905" s="35"/>
      <c r="C4905" s="36"/>
      <c r="D4905" s="37"/>
      <c r="E4905" s="36"/>
      <c r="F4905" s="42"/>
      <c r="G4905" s="42"/>
      <c r="H4905" s="42"/>
      <c r="AG4905" s="19">
        <v>4904</v>
      </c>
      <c r="AH4905" s="20">
        <v>1623.7255629886231</v>
      </c>
    </row>
    <row r="4906" spans="1:34" ht="14.5" x14ac:dyDescent="0.35">
      <c r="A4906" s="34"/>
      <c r="B4906" s="35"/>
      <c r="C4906" s="36"/>
      <c r="D4906" s="37"/>
      <c r="E4906" s="36"/>
      <c r="F4906" s="42"/>
      <c r="G4906" s="42"/>
      <c r="H4906" s="42"/>
      <c r="AG4906" s="19">
        <v>4905</v>
      </c>
      <c r="AH4906" s="20">
        <v>-3903.0365843528007</v>
      </c>
    </row>
    <row r="4907" spans="1:34" ht="14.5" x14ac:dyDescent="0.35">
      <c r="A4907" s="34"/>
      <c r="B4907" s="35"/>
      <c r="C4907" s="36"/>
      <c r="D4907" s="37"/>
      <c r="E4907" s="36"/>
      <c r="F4907" s="42"/>
      <c r="G4907" s="42"/>
      <c r="H4907" s="42"/>
      <c r="AG4907" s="19">
        <v>4906</v>
      </c>
      <c r="AH4907" s="20">
        <v>2077.3313926421611</v>
      </c>
    </row>
    <row r="4908" spans="1:34" ht="14.5" x14ac:dyDescent="0.35">
      <c r="A4908" s="34"/>
      <c r="B4908" s="35"/>
      <c r="C4908" s="36"/>
      <c r="D4908" s="37"/>
      <c r="E4908" s="36"/>
      <c r="F4908" s="42"/>
      <c r="G4908" s="42"/>
      <c r="H4908" s="42"/>
      <c r="AG4908" s="19">
        <v>4907</v>
      </c>
      <c r="AH4908" s="20">
        <v>-2237.8951893532017</v>
      </c>
    </row>
    <row r="4909" spans="1:34" ht="14.5" x14ac:dyDescent="0.35">
      <c r="A4909" s="34"/>
      <c r="B4909" s="35"/>
      <c r="C4909" s="36"/>
      <c r="D4909" s="37"/>
      <c r="E4909" s="36"/>
      <c r="F4909" s="42"/>
      <c r="G4909" s="42"/>
      <c r="H4909" s="42"/>
      <c r="AG4909" s="19">
        <v>4908</v>
      </c>
      <c r="AH4909" s="20">
        <v>2467.6128532780926</v>
      </c>
    </row>
    <row r="4910" spans="1:34" ht="14.5" x14ac:dyDescent="0.35">
      <c r="A4910" s="34"/>
      <c r="B4910" s="35"/>
      <c r="C4910" s="36"/>
      <c r="D4910" s="37"/>
      <c r="E4910" s="36"/>
      <c r="F4910" s="42"/>
      <c r="G4910" s="42"/>
      <c r="H4910" s="42"/>
      <c r="AG4910" s="19">
        <v>4909</v>
      </c>
      <c r="AH4910" s="20">
        <v>-1919.4689840092672</v>
      </c>
    </row>
    <row r="4911" spans="1:34" ht="14.5" x14ac:dyDescent="0.35">
      <c r="A4911" s="34"/>
      <c r="B4911" s="35"/>
      <c r="C4911" s="36"/>
      <c r="D4911" s="37"/>
      <c r="E4911" s="36"/>
      <c r="F4911" s="42"/>
      <c r="G4911" s="42"/>
      <c r="H4911" s="42"/>
      <c r="AG4911" s="19">
        <v>4910</v>
      </c>
      <c r="AH4911" s="20">
        <v>-833.02095476497834</v>
      </c>
    </row>
    <row r="4912" spans="1:34" ht="14.5" x14ac:dyDescent="0.35">
      <c r="A4912" s="34"/>
      <c r="B4912" s="35"/>
      <c r="C4912" s="36"/>
      <c r="D4912" s="37"/>
      <c r="E4912" s="36"/>
      <c r="F4912" s="42"/>
      <c r="G4912" s="42"/>
      <c r="H4912" s="42"/>
      <c r="AG4912" s="19">
        <v>4911</v>
      </c>
      <c r="AH4912" s="20">
        <v>1624.9693572851618</v>
      </c>
    </row>
    <row r="4913" spans="1:34" ht="14.5" x14ac:dyDescent="0.35">
      <c r="A4913" s="34"/>
      <c r="B4913" s="35"/>
      <c r="C4913" s="36"/>
      <c r="D4913" s="37"/>
      <c r="E4913" s="36"/>
      <c r="F4913" s="42"/>
      <c r="G4913" s="42"/>
      <c r="H4913" s="42"/>
      <c r="AG4913" s="19">
        <v>4912</v>
      </c>
      <c r="AH4913" s="20">
        <v>-698.57607425820197</v>
      </c>
    </row>
    <row r="4914" spans="1:34" ht="14.5" x14ac:dyDescent="0.35">
      <c r="A4914" s="34"/>
      <c r="B4914" s="35"/>
      <c r="C4914" s="36"/>
      <c r="D4914" s="37"/>
      <c r="E4914" s="36"/>
      <c r="F4914" s="42"/>
      <c r="G4914" s="42"/>
      <c r="H4914" s="42"/>
      <c r="AG4914" s="19">
        <v>4913</v>
      </c>
      <c r="AH4914" s="20">
        <v>3010.3759459464663</v>
      </c>
    </row>
    <row r="4915" spans="1:34" ht="14.5" x14ac:dyDescent="0.35">
      <c r="A4915" s="34"/>
      <c r="B4915" s="35"/>
      <c r="C4915" s="36"/>
      <c r="D4915" s="37"/>
      <c r="E4915" s="36"/>
      <c r="F4915" s="42"/>
      <c r="G4915" s="42"/>
      <c r="H4915" s="42"/>
      <c r="AG4915" s="19">
        <v>4914</v>
      </c>
      <c r="AH4915" s="20">
        <v>5390.4715384198171</v>
      </c>
    </row>
    <row r="4916" spans="1:34" ht="14.5" x14ac:dyDescent="0.35">
      <c r="A4916" s="34"/>
      <c r="B4916" s="35"/>
      <c r="C4916" s="36"/>
      <c r="D4916" s="37"/>
      <c r="E4916" s="36"/>
      <c r="F4916" s="42"/>
      <c r="G4916" s="42"/>
      <c r="H4916" s="42"/>
      <c r="AG4916" s="19">
        <v>4915</v>
      </c>
      <c r="AH4916" s="20">
        <v>1199.8283925570406</v>
      </c>
    </row>
    <row r="4917" spans="1:34" ht="14.5" x14ac:dyDescent="0.35">
      <c r="A4917" s="34"/>
      <c r="B4917" s="35"/>
      <c r="C4917" s="36"/>
      <c r="D4917" s="37"/>
      <c r="E4917" s="36"/>
      <c r="F4917" s="42"/>
      <c r="G4917" s="42"/>
      <c r="H4917" s="42"/>
      <c r="AG4917" s="19">
        <v>4916</v>
      </c>
      <c r="AH4917" s="20">
        <v>756.65383239113612</v>
      </c>
    </row>
    <row r="4918" spans="1:34" ht="14.5" x14ac:dyDescent="0.35">
      <c r="A4918" s="34"/>
      <c r="B4918" s="35"/>
      <c r="C4918" s="36"/>
      <c r="D4918" s="37"/>
      <c r="E4918" s="36"/>
      <c r="F4918" s="42"/>
      <c r="G4918" s="42"/>
      <c r="H4918" s="42"/>
      <c r="AG4918" s="19">
        <v>4917</v>
      </c>
      <c r="AH4918" s="20">
        <v>-712.72950454926422</v>
      </c>
    </row>
    <row r="4919" spans="1:34" ht="14.5" x14ac:dyDescent="0.35">
      <c r="A4919" s="34"/>
      <c r="B4919" s="35"/>
      <c r="C4919" s="36"/>
      <c r="D4919" s="37"/>
      <c r="E4919" s="36"/>
      <c r="F4919" s="42"/>
      <c r="G4919" s="42"/>
      <c r="H4919" s="42"/>
      <c r="AG4919" s="19">
        <v>4918</v>
      </c>
      <c r="AH4919" s="20">
        <v>3171.3085053118048</v>
      </c>
    </row>
    <row r="4920" spans="1:34" ht="14.5" x14ac:dyDescent="0.35">
      <c r="A4920" s="34"/>
      <c r="B4920" s="35"/>
      <c r="C4920" s="36"/>
      <c r="D4920" s="37"/>
      <c r="E4920" s="36"/>
      <c r="F4920" s="42"/>
      <c r="G4920" s="42"/>
      <c r="H4920" s="42"/>
      <c r="AG4920" s="19">
        <v>4919</v>
      </c>
      <c r="AH4920" s="20">
        <v>1598.0965102814419</v>
      </c>
    </row>
    <row r="4921" spans="1:34" ht="14.5" x14ac:dyDescent="0.35">
      <c r="A4921" s="34"/>
      <c r="B4921" s="35"/>
      <c r="C4921" s="36"/>
      <c r="D4921" s="37"/>
      <c r="E4921" s="36"/>
      <c r="F4921" s="42"/>
      <c r="G4921" s="42"/>
      <c r="H4921" s="42"/>
      <c r="AG4921" s="19">
        <v>4920</v>
      </c>
      <c r="AH4921" s="20">
        <v>1942.3183376053603</v>
      </c>
    </row>
    <row r="4922" spans="1:34" ht="14.5" x14ac:dyDescent="0.35">
      <c r="A4922" s="34"/>
      <c r="B4922" s="35"/>
      <c r="C4922" s="36"/>
      <c r="D4922" s="37"/>
      <c r="E4922" s="36"/>
      <c r="F4922" s="42"/>
      <c r="G4922" s="42"/>
      <c r="H4922" s="42"/>
      <c r="AG4922" s="19">
        <v>4921</v>
      </c>
      <c r="AH4922" s="20">
        <v>677.13867916834124</v>
      </c>
    </row>
    <row r="4923" spans="1:34" ht="14.5" x14ac:dyDescent="0.35">
      <c r="A4923" s="34"/>
      <c r="B4923" s="35"/>
      <c r="C4923" s="36"/>
      <c r="D4923" s="37"/>
      <c r="E4923" s="36"/>
      <c r="F4923" s="42"/>
      <c r="G4923" s="42"/>
      <c r="H4923" s="42"/>
      <c r="AG4923" s="19">
        <v>4922</v>
      </c>
      <c r="AH4923" s="20">
        <v>548.69946503731467</v>
      </c>
    </row>
    <row r="4924" spans="1:34" ht="14.5" x14ac:dyDescent="0.35">
      <c r="A4924" s="34"/>
      <c r="B4924" s="35"/>
      <c r="C4924" s="36"/>
      <c r="D4924" s="37"/>
      <c r="E4924" s="36"/>
      <c r="F4924" s="42"/>
      <c r="G4924" s="42"/>
      <c r="H4924" s="42"/>
      <c r="AG4924" s="19">
        <v>4923</v>
      </c>
      <c r="AH4924" s="20">
        <v>2558.2770348465142</v>
      </c>
    </row>
    <row r="4925" spans="1:34" ht="14.5" x14ac:dyDescent="0.35">
      <c r="A4925" s="34"/>
      <c r="B4925" s="35"/>
      <c r="C4925" s="36"/>
      <c r="D4925" s="37"/>
      <c r="E4925" s="36"/>
      <c r="F4925" s="42"/>
      <c r="G4925" s="42"/>
      <c r="H4925" s="42"/>
      <c r="AG4925" s="19">
        <v>4924</v>
      </c>
      <c r="AH4925" s="20">
        <v>423.36968936266231</v>
      </c>
    </row>
    <row r="4926" spans="1:34" ht="14.5" x14ac:dyDescent="0.35">
      <c r="A4926" s="34"/>
      <c r="B4926" s="35"/>
      <c r="C4926" s="36"/>
      <c r="D4926" s="37"/>
      <c r="E4926" s="36"/>
      <c r="F4926" s="42"/>
      <c r="G4926" s="42"/>
      <c r="H4926" s="42"/>
      <c r="AG4926" s="19">
        <v>4925</v>
      </c>
      <c r="AH4926" s="20">
        <v>199.18611437767456</v>
      </c>
    </row>
    <row r="4927" spans="1:34" ht="14.5" x14ac:dyDescent="0.35">
      <c r="A4927" s="34"/>
      <c r="B4927" s="35"/>
      <c r="C4927" s="36"/>
      <c r="D4927" s="37"/>
      <c r="E4927" s="36"/>
      <c r="F4927" s="42"/>
      <c r="G4927" s="42"/>
      <c r="H4927" s="42"/>
      <c r="AG4927" s="19">
        <v>4926</v>
      </c>
      <c r="AH4927" s="20">
        <v>-2950.1992283265822</v>
      </c>
    </row>
    <row r="4928" spans="1:34" ht="14.5" x14ac:dyDescent="0.35">
      <c r="A4928" s="34"/>
      <c r="B4928" s="35"/>
      <c r="C4928" s="36"/>
      <c r="D4928" s="37"/>
      <c r="E4928" s="36"/>
      <c r="F4928" s="42"/>
      <c r="G4928" s="42"/>
      <c r="H4928" s="42"/>
      <c r="AG4928" s="19">
        <v>4927</v>
      </c>
      <c r="AH4928" s="20">
        <v>-1435.4083838800498</v>
      </c>
    </row>
    <row r="4929" spans="1:34" ht="14.5" x14ac:dyDescent="0.35">
      <c r="A4929" s="34"/>
      <c r="B4929" s="35"/>
      <c r="C4929" s="36"/>
      <c r="D4929" s="37"/>
      <c r="E4929" s="36"/>
      <c r="F4929" s="42"/>
      <c r="G4929" s="42"/>
      <c r="H4929" s="42"/>
      <c r="AG4929" s="19">
        <v>4928</v>
      </c>
      <c r="AH4929" s="20">
        <v>1266.9387608195141</v>
      </c>
    </row>
    <row r="4930" spans="1:34" ht="14.5" x14ac:dyDescent="0.35">
      <c r="A4930" s="34"/>
      <c r="B4930" s="35"/>
      <c r="C4930" s="36"/>
      <c r="D4930" s="37"/>
      <c r="E4930" s="36"/>
      <c r="F4930" s="42"/>
      <c r="G4930" s="42"/>
      <c r="H4930" s="42"/>
      <c r="AG4930" s="19">
        <v>4929</v>
      </c>
      <c r="AH4930" s="20">
        <v>863.81751522681816</v>
      </c>
    </row>
    <row r="4931" spans="1:34" ht="14.5" x14ac:dyDescent="0.35">
      <c r="A4931" s="34"/>
      <c r="B4931" s="35"/>
      <c r="C4931" s="36"/>
      <c r="D4931" s="37"/>
      <c r="E4931" s="36"/>
      <c r="F4931" s="42"/>
      <c r="G4931" s="42"/>
      <c r="H4931" s="42"/>
      <c r="AG4931" s="19">
        <v>4930</v>
      </c>
      <c r="AH4931" s="20">
        <v>883.58306067490787</v>
      </c>
    </row>
    <row r="4932" spans="1:34" ht="14.5" x14ac:dyDescent="0.35">
      <c r="A4932" s="34"/>
      <c r="B4932" s="35"/>
      <c r="C4932" s="36"/>
      <c r="D4932" s="37"/>
      <c r="E4932" s="36"/>
      <c r="F4932" s="42"/>
      <c r="G4932" s="42"/>
      <c r="H4932" s="42"/>
      <c r="AG4932" s="19">
        <v>4931</v>
      </c>
      <c r="AH4932" s="20">
        <v>-1549.3306921348919</v>
      </c>
    </row>
    <row r="4933" spans="1:34" ht="14.5" x14ac:dyDescent="0.35">
      <c r="A4933" s="34"/>
      <c r="B4933" s="35"/>
      <c r="C4933" s="36"/>
      <c r="D4933" s="37"/>
      <c r="E4933" s="36"/>
      <c r="F4933" s="42"/>
      <c r="G4933" s="42"/>
      <c r="H4933" s="42"/>
      <c r="AG4933" s="19">
        <v>4932</v>
      </c>
      <c r="AH4933" s="20">
        <v>2359.4150876644094</v>
      </c>
    </row>
    <row r="4934" spans="1:34" ht="14.5" x14ac:dyDescent="0.35">
      <c r="A4934" s="34"/>
      <c r="B4934" s="35"/>
      <c r="C4934" s="36"/>
      <c r="D4934" s="37"/>
      <c r="E4934" s="36"/>
      <c r="F4934" s="42"/>
      <c r="G4934" s="42"/>
      <c r="H4934" s="42"/>
      <c r="AG4934" s="19">
        <v>4933</v>
      </c>
      <c r="AH4934" s="20">
        <v>4463.5437442372786</v>
      </c>
    </row>
    <row r="4935" spans="1:34" ht="14.5" x14ac:dyDescent="0.35">
      <c r="A4935" s="34"/>
      <c r="B4935" s="35"/>
      <c r="C4935" s="36"/>
      <c r="D4935" s="37"/>
      <c r="E4935" s="36"/>
      <c r="F4935" s="42"/>
      <c r="G4935" s="42"/>
      <c r="H4935" s="42"/>
      <c r="AG4935" s="19">
        <v>4934</v>
      </c>
      <c r="AH4935" s="20">
        <v>217.70402368174709</v>
      </c>
    </row>
    <row r="4936" spans="1:34" ht="14.5" x14ac:dyDescent="0.35">
      <c r="A4936" s="34"/>
      <c r="B4936" s="35"/>
      <c r="C4936" s="36"/>
      <c r="D4936" s="37"/>
      <c r="E4936" s="36"/>
      <c r="F4936" s="42"/>
      <c r="G4936" s="42"/>
      <c r="H4936" s="42"/>
      <c r="AG4936" s="19">
        <v>4935</v>
      </c>
      <c r="AH4936" s="20">
        <v>-967.2097688112442</v>
      </c>
    </row>
    <row r="4937" spans="1:34" ht="14.5" x14ac:dyDescent="0.35">
      <c r="A4937" s="34"/>
      <c r="B4937" s="35"/>
      <c r="C4937" s="36"/>
      <c r="D4937" s="37"/>
      <c r="E4937" s="36"/>
      <c r="F4937" s="42"/>
      <c r="G4937" s="42"/>
      <c r="H4937" s="42"/>
      <c r="AG4937" s="19">
        <v>4936</v>
      </c>
      <c r="AH4937" s="20">
        <v>-580.10012504344081</v>
      </c>
    </row>
    <row r="4938" spans="1:34" ht="14.5" x14ac:dyDescent="0.35">
      <c r="A4938" s="34"/>
      <c r="B4938" s="35"/>
      <c r="C4938" s="36"/>
      <c r="D4938" s="37"/>
      <c r="E4938" s="36"/>
      <c r="F4938" s="42"/>
      <c r="G4938" s="42"/>
      <c r="H4938" s="42"/>
      <c r="AG4938" s="19">
        <v>4937</v>
      </c>
      <c r="AH4938" s="20">
        <v>2313.5153382126514</v>
      </c>
    </row>
    <row r="4939" spans="1:34" ht="14.5" x14ac:dyDescent="0.35">
      <c r="A4939" s="34"/>
      <c r="B4939" s="35"/>
      <c r="C4939" s="36"/>
      <c r="D4939" s="37"/>
      <c r="E4939" s="36"/>
      <c r="F4939" s="42"/>
      <c r="G4939" s="42"/>
      <c r="H4939" s="42"/>
      <c r="AG4939" s="19">
        <v>4938</v>
      </c>
      <c r="AH4939" s="20">
        <v>1663.7500019233792</v>
      </c>
    </row>
    <row r="4940" spans="1:34" ht="14.5" x14ac:dyDescent="0.35">
      <c r="A4940" s="34"/>
      <c r="B4940" s="35"/>
      <c r="C4940" s="36"/>
      <c r="D4940" s="37"/>
      <c r="E4940" s="36"/>
      <c r="F4940" s="42"/>
      <c r="G4940" s="42"/>
      <c r="H4940" s="42"/>
      <c r="AG4940" s="19">
        <v>4939</v>
      </c>
      <c r="AH4940" s="20">
        <v>1099.3328926781846</v>
      </c>
    </row>
    <row r="4941" spans="1:34" ht="14.5" x14ac:dyDescent="0.35">
      <c r="A4941" s="34"/>
      <c r="B4941" s="35"/>
      <c r="C4941" s="36"/>
      <c r="D4941" s="37"/>
      <c r="E4941" s="36"/>
      <c r="F4941" s="42"/>
      <c r="G4941" s="42"/>
      <c r="H4941" s="42"/>
      <c r="AG4941" s="19">
        <v>4940</v>
      </c>
      <c r="AH4941" s="20">
        <v>2776.8376577664567</v>
      </c>
    </row>
    <row r="4942" spans="1:34" ht="14.5" x14ac:dyDescent="0.35">
      <c r="A4942" s="34"/>
      <c r="B4942" s="35"/>
      <c r="C4942" s="36"/>
      <c r="D4942" s="37"/>
      <c r="E4942" s="36"/>
      <c r="F4942" s="42"/>
      <c r="G4942" s="42"/>
      <c r="H4942" s="42"/>
      <c r="AG4942" s="19">
        <v>4941</v>
      </c>
      <c r="AH4942" s="20">
        <v>-2259.2217790093082</v>
      </c>
    </row>
    <row r="4943" spans="1:34" ht="14.5" x14ac:dyDescent="0.35">
      <c r="A4943" s="34"/>
      <c r="B4943" s="35"/>
      <c r="C4943" s="36"/>
      <c r="D4943" s="37"/>
      <c r="E4943" s="36"/>
      <c r="F4943" s="42"/>
      <c r="G4943" s="42"/>
      <c r="H4943" s="42"/>
      <c r="AG4943" s="19">
        <v>4942</v>
      </c>
      <c r="AH4943" s="20">
        <v>-369.25922073770977</v>
      </c>
    </row>
    <row r="4944" spans="1:34" ht="14.5" x14ac:dyDescent="0.35">
      <c r="A4944" s="34"/>
      <c r="B4944" s="35"/>
      <c r="C4944" s="36"/>
      <c r="D4944" s="37"/>
      <c r="E4944" s="36"/>
      <c r="F4944" s="42"/>
      <c r="G4944" s="42"/>
      <c r="H4944" s="42"/>
      <c r="AG4944" s="19">
        <v>4943</v>
      </c>
      <c r="AH4944" s="20">
        <v>175.09070419286317</v>
      </c>
    </row>
    <row r="4945" spans="1:34" ht="14.5" x14ac:dyDescent="0.35">
      <c r="A4945" s="34"/>
      <c r="B4945" s="35"/>
      <c r="C4945" s="36"/>
      <c r="D4945" s="37"/>
      <c r="E4945" s="36"/>
      <c r="F4945" s="42"/>
      <c r="G4945" s="42"/>
      <c r="H4945" s="42"/>
      <c r="AG4945" s="19">
        <v>4944</v>
      </c>
      <c r="AH4945" s="20">
        <v>1142.4200783682563</v>
      </c>
    </row>
    <row r="4946" spans="1:34" ht="14.5" x14ac:dyDescent="0.35">
      <c r="A4946" s="34"/>
      <c r="B4946" s="35"/>
      <c r="C4946" s="36"/>
      <c r="D4946" s="37"/>
      <c r="E4946" s="36"/>
      <c r="F4946" s="42"/>
      <c r="G4946" s="42"/>
      <c r="H4946" s="42"/>
      <c r="AG4946" s="19">
        <v>4945</v>
      </c>
      <c r="AH4946" s="20">
        <v>3862.9351231602018</v>
      </c>
    </row>
    <row r="4947" spans="1:34" ht="14.5" x14ac:dyDescent="0.35">
      <c r="A4947" s="34"/>
      <c r="B4947" s="35"/>
      <c r="C4947" s="36"/>
      <c r="D4947" s="37"/>
      <c r="E4947" s="36"/>
      <c r="F4947" s="42"/>
      <c r="G4947" s="42"/>
      <c r="H4947" s="42"/>
      <c r="AG4947" s="19">
        <v>4946</v>
      </c>
      <c r="AH4947" s="20">
        <v>1556.2066900310906</v>
      </c>
    </row>
    <row r="4948" spans="1:34" ht="14.5" x14ac:dyDescent="0.35">
      <c r="A4948" s="34"/>
      <c r="B4948" s="35"/>
      <c r="C4948" s="36"/>
      <c r="D4948" s="37"/>
      <c r="E4948" s="36"/>
      <c r="F4948" s="42"/>
      <c r="G4948" s="42"/>
      <c r="H4948" s="42"/>
      <c r="AG4948" s="19">
        <v>4947</v>
      </c>
      <c r="AH4948" s="20">
        <v>3387.9810199228427</v>
      </c>
    </row>
    <row r="4949" spans="1:34" ht="14.5" x14ac:dyDescent="0.35">
      <c r="A4949" s="34"/>
      <c r="B4949" s="35"/>
      <c r="C4949" s="36"/>
      <c r="D4949" s="37"/>
      <c r="E4949" s="36"/>
      <c r="F4949" s="42"/>
      <c r="G4949" s="42"/>
      <c r="H4949" s="42"/>
      <c r="AG4949" s="19">
        <v>4948</v>
      </c>
      <c r="AH4949" s="20">
        <v>193.75398928812686</v>
      </c>
    </row>
    <row r="4950" spans="1:34" ht="14.5" x14ac:dyDescent="0.35">
      <c r="A4950" s="34"/>
      <c r="B4950" s="35"/>
      <c r="C4950" s="36"/>
      <c r="D4950" s="37"/>
      <c r="E4950" s="36"/>
      <c r="F4950" s="42"/>
      <c r="G4950" s="42"/>
      <c r="H4950" s="42"/>
      <c r="AG4950" s="19">
        <v>4949</v>
      </c>
      <c r="AH4950" s="20">
        <v>1518.9713895133973</v>
      </c>
    </row>
    <row r="4951" spans="1:34" ht="14.5" x14ac:dyDescent="0.35">
      <c r="A4951" s="34"/>
      <c r="B4951" s="35"/>
      <c r="C4951" s="36"/>
      <c r="D4951" s="37"/>
      <c r="E4951" s="36"/>
      <c r="F4951" s="42"/>
      <c r="G4951" s="42"/>
      <c r="H4951" s="42"/>
      <c r="AG4951" s="19">
        <v>4950</v>
      </c>
      <c r="AH4951" s="20">
        <v>-2850.0003671078352</v>
      </c>
    </row>
    <row r="4952" spans="1:34" ht="14.5" x14ac:dyDescent="0.35">
      <c r="A4952" s="34"/>
      <c r="B4952" s="35"/>
      <c r="C4952" s="36"/>
      <c r="D4952" s="37"/>
      <c r="E4952" s="36"/>
      <c r="F4952" s="42"/>
      <c r="G4952" s="42"/>
      <c r="H4952" s="42"/>
      <c r="AG4952" s="19">
        <v>4951</v>
      </c>
      <c r="AH4952" s="20">
        <v>2455.2101204731434</v>
      </c>
    </row>
    <row r="4953" spans="1:34" ht="14.5" x14ac:dyDescent="0.35">
      <c r="A4953" s="34"/>
      <c r="B4953" s="35"/>
      <c r="C4953" s="36"/>
      <c r="D4953" s="37"/>
      <c r="E4953" s="36"/>
      <c r="F4953" s="42"/>
      <c r="G4953" s="42"/>
      <c r="H4953" s="42"/>
      <c r="AG4953" s="19">
        <v>4952</v>
      </c>
      <c r="AH4953" s="20">
        <v>-1083.2061252676767</v>
      </c>
    </row>
    <row r="4954" spans="1:34" ht="14.5" x14ac:dyDescent="0.35">
      <c r="A4954" s="34"/>
      <c r="B4954" s="35"/>
      <c r="C4954" s="36"/>
      <c r="D4954" s="37"/>
      <c r="E4954" s="36"/>
      <c r="F4954" s="42"/>
      <c r="G4954" s="42"/>
      <c r="H4954" s="42"/>
      <c r="AG4954" s="19">
        <v>4953</v>
      </c>
      <c r="AH4954" s="20">
        <v>2210.2804105201521</v>
      </c>
    </row>
    <row r="4955" spans="1:34" ht="14.5" x14ac:dyDescent="0.35">
      <c r="A4955" s="34"/>
      <c r="B4955" s="35"/>
      <c r="C4955" s="36"/>
      <c r="D4955" s="37"/>
      <c r="E4955" s="36"/>
      <c r="F4955" s="42"/>
      <c r="G4955" s="42"/>
      <c r="H4955" s="42"/>
      <c r="AG4955" s="19">
        <v>4954</v>
      </c>
      <c r="AH4955" s="20">
        <v>5204.7942885922448</v>
      </c>
    </row>
    <row r="4956" spans="1:34" ht="14.5" x14ac:dyDescent="0.35">
      <c r="A4956" s="34"/>
      <c r="B4956" s="35"/>
      <c r="C4956" s="36"/>
      <c r="D4956" s="37"/>
      <c r="E4956" s="36"/>
      <c r="F4956" s="42"/>
      <c r="G4956" s="42"/>
      <c r="H4956" s="42"/>
      <c r="AG4956" s="19">
        <v>4955</v>
      </c>
      <c r="AH4956" s="20">
        <v>399.73645291308821</v>
      </c>
    </row>
    <row r="4957" spans="1:34" ht="14.5" x14ac:dyDescent="0.35">
      <c r="A4957" s="34"/>
      <c r="B4957" s="35"/>
      <c r="C4957" s="36"/>
      <c r="D4957" s="37"/>
      <c r="E4957" s="36"/>
      <c r="F4957" s="42"/>
      <c r="G4957" s="42"/>
      <c r="H4957" s="42"/>
      <c r="AG4957" s="19">
        <v>4956</v>
      </c>
      <c r="AH4957" s="20">
        <v>2796.7181378317432</v>
      </c>
    </row>
    <row r="4958" spans="1:34" ht="14.5" x14ac:dyDescent="0.35">
      <c r="A4958" s="34"/>
      <c r="B4958" s="35"/>
      <c r="C4958" s="36"/>
      <c r="D4958" s="37"/>
      <c r="E4958" s="36"/>
      <c r="F4958" s="42"/>
      <c r="G4958" s="42"/>
      <c r="H4958" s="42"/>
      <c r="AG4958" s="19">
        <v>4957</v>
      </c>
      <c r="AH4958" s="20">
        <v>-1077.5683344920963</v>
      </c>
    </row>
    <row r="4959" spans="1:34" ht="14.5" x14ac:dyDescent="0.35">
      <c r="A4959" s="34"/>
      <c r="B4959" s="35"/>
      <c r="C4959" s="36"/>
      <c r="D4959" s="37"/>
      <c r="E4959" s="36"/>
      <c r="F4959" s="42"/>
      <c r="G4959" s="42"/>
      <c r="H4959" s="42"/>
      <c r="AG4959" s="19">
        <v>4958</v>
      </c>
      <c r="AH4959" s="20">
        <v>1286.1417192154408</v>
      </c>
    </row>
    <row r="4960" spans="1:34" ht="14.5" x14ac:dyDescent="0.35">
      <c r="A4960" s="34"/>
      <c r="B4960" s="35"/>
      <c r="C4960" s="36"/>
      <c r="D4960" s="37"/>
      <c r="E4960" s="36"/>
      <c r="F4960" s="42"/>
      <c r="G4960" s="42"/>
      <c r="H4960" s="42"/>
      <c r="AG4960" s="19">
        <v>4959</v>
      </c>
      <c r="AH4960" s="20">
        <v>2691.1181965082719</v>
      </c>
    </row>
    <row r="4961" spans="1:34" ht="14.5" x14ac:dyDescent="0.35">
      <c r="A4961" s="34"/>
      <c r="B4961" s="35"/>
      <c r="C4961" s="36"/>
      <c r="D4961" s="37"/>
      <c r="E4961" s="36"/>
      <c r="F4961" s="42"/>
      <c r="G4961" s="42"/>
      <c r="H4961" s="42"/>
      <c r="AG4961" s="19">
        <v>4960</v>
      </c>
      <c r="AH4961" s="20">
        <v>-1082.970202659257</v>
      </c>
    </row>
    <row r="4962" spans="1:34" ht="14.5" x14ac:dyDescent="0.35">
      <c r="A4962" s="34"/>
      <c r="B4962" s="35"/>
      <c r="C4962" s="36"/>
      <c r="D4962" s="37"/>
      <c r="E4962" s="36"/>
      <c r="F4962" s="42"/>
      <c r="G4962" s="42"/>
      <c r="H4962" s="42"/>
      <c r="AG4962" s="19">
        <v>4961</v>
      </c>
      <c r="AH4962" s="20">
        <v>-865.0912691872818</v>
      </c>
    </row>
    <row r="4963" spans="1:34" ht="14.5" x14ac:dyDescent="0.35">
      <c r="A4963" s="34"/>
      <c r="B4963" s="35"/>
      <c r="C4963" s="36"/>
      <c r="D4963" s="37"/>
      <c r="E4963" s="36"/>
      <c r="F4963" s="42"/>
      <c r="G4963" s="42"/>
      <c r="H4963" s="42"/>
      <c r="AG4963" s="19">
        <v>4962</v>
      </c>
      <c r="AH4963" s="20">
        <v>-1389.2179504872577</v>
      </c>
    </row>
    <row r="4964" spans="1:34" ht="14.5" x14ac:dyDescent="0.35">
      <c r="A4964" s="34"/>
      <c r="B4964" s="35"/>
      <c r="C4964" s="36"/>
      <c r="D4964" s="37"/>
      <c r="E4964" s="36"/>
      <c r="F4964" s="42"/>
      <c r="G4964" s="42"/>
      <c r="H4964" s="42"/>
      <c r="AG4964" s="19">
        <v>4963</v>
      </c>
      <c r="AH4964" s="20">
        <v>857.775202273589</v>
      </c>
    </row>
    <row r="4965" spans="1:34" ht="14.5" x14ac:dyDescent="0.35">
      <c r="A4965" s="34"/>
      <c r="B4965" s="35"/>
      <c r="C4965" s="36"/>
      <c r="D4965" s="37"/>
      <c r="E4965" s="36"/>
      <c r="F4965" s="42"/>
      <c r="G4965" s="42"/>
      <c r="H4965" s="42"/>
      <c r="AG4965" s="19">
        <v>4964</v>
      </c>
      <c r="AH4965" s="20">
        <v>1062.7135485427821</v>
      </c>
    </row>
    <row r="4966" spans="1:34" ht="14.5" x14ac:dyDescent="0.35">
      <c r="A4966" s="34"/>
      <c r="B4966" s="35"/>
      <c r="C4966" s="36"/>
      <c r="D4966" s="37"/>
      <c r="E4966" s="36"/>
      <c r="F4966" s="42"/>
      <c r="G4966" s="42"/>
      <c r="H4966" s="42"/>
      <c r="AG4966" s="19">
        <v>4965</v>
      </c>
      <c r="AH4966" s="20">
        <v>-3561.800946224605</v>
      </c>
    </row>
    <row r="4967" spans="1:34" ht="14.5" x14ac:dyDescent="0.35">
      <c r="A4967" s="34"/>
      <c r="B4967" s="35"/>
      <c r="C4967" s="36"/>
      <c r="D4967" s="37"/>
      <c r="E4967" s="36"/>
      <c r="F4967" s="42"/>
      <c r="G4967" s="42"/>
      <c r="H4967" s="42"/>
      <c r="AG4967" s="19">
        <v>4966</v>
      </c>
      <c r="AH4967" s="20">
        <v>-2614.7497395976152</v>
      </c>
    </row>
    <row r="4968" spans="1:34" ht="14.5" x14ac:dyDescent="0.35">
      <c r="A4968" s="34"/>
      <c r="B4968" s="35"/>
      <c r="C4968" s="36"/>
      <c r="D4968" s="37"/>
      <c r="E4968" s="36"/>
      <c r="F4968" s="42"/>
      <c r="G4968" s="42"/>
      <c r="H4968" s="42"/>
      <c r="AG4968" s="19">
        <v>4967</v>
      </c>
      <c r="AH4968" s="20">
        <v>636.61778316312768</v>
      </c>
    </row>
    <row r="4969" spans="1:34" ht="14.5" x14ac:dyDescent="0.35">
      <c r="A4969" s="34"/>
      <c r="B4969" s="35"/>
      <c r="C4969" s="36"/>
      <c r="D4969" s="37"/>
      <c r="E4969" s="36"/>
      <c r="F4969" s="42"/>
      <c r="G4969" s="42"/>
      <c r="H4969" s="42"/>
      <c r="AG4969" s="19">
        <v>4968</v>
      </c>
      <c r="AH4969" s="20">
        <v>402.47067588385613</v>
      </c>
    </row>
    <row r="4970" spans="1:34" ht="14.5" x14ac:dyDescent="0.35">
      <c r="A4970" s="34"/>
      <c r="B4970" s="35"/>
      <c r="C4970" s="36"/>
      <c r="D4970" s="37"/>
      <c r="E4970" s="36"/>
      <c r="F4970" s="42"/>
      <c r="G4970" s="42"/>
      <c r="H4970" s="42"/>
      <c r="AG4970" s="19">
        <v>4969</v>
      </c>
      <c r="AH4970" s="20">
        <v>-112.62701592221396</v>
      </c>
    </row>
    <row r="4971" spans="1:34" ht="14.5" x14ac:dyDescent="0.35">
      <c r="A4971" s="34"/>
      <c r="B4971" s="35"/>
      <c r="C4971" s="36"/>
      <c r="D4971" s="37"/>
      <c r="E4971" s="36"/>
      <c r="F4971" s="42"/>
      <c r="G4971" s="42"/>
      <c r="H4971" s="42"/>
      <c r="AG4971" s="19">
        <v>4970</v>
      </c>
      <c r="AH4971" s="20">
        <v>3278.8509929088677</v>
      </c>
    </row>
    <row r="4972" spans="1:34" ht="14.5" x14ac:dyDescent="0.35">
      <c r="A4972" s="34"/>
      <c r="B4972" s="35"/>
      <c r="C4972" s="36"/>
      <c r="D4972" s="37"/>
      <c r="E4972" s="36"/>
      <c r="F4972" s="42"/>
      <c r="G4972" s="42"/>
      <c r="H4972" s="42"/>
      <c r="AG4972" s="19">
        <v>4971</v>
      </c>
      <c r="AH4972" s="20">
        <v>1569.0409901290084</v>
      </c>
    </row>
    <row r="4973" spans="1:34" ht="14.5" x14ac:dyDescent="0.35">
      <c r="A4973" s="34"/>
      <c r="B4973" s="35"/>
      <c r="C4973" s="36"/>
      <c r="D4973" s="37"/>
      <c r="E4973" s="36"/>
      <c r="F4973" s="42"/>
      <c r="G4973" s="42"/>
      <c r="H4973" s="42"/>
      <c r="AG4973" s="19">
        <v>4972</v>
      </c>
      <c r="AH4973" s="20">
        <v>-1496.3314808003615</v>
      </c>
    </row>
    <row r="4974" spans="1:34" ht="14.5" x14ac:dyDescent="0.35">
      <c r="A4974" s="34"/>
      <c r="B4974" s="35"/>
      <c r="C4974" s="36"/>
      <c r="D4974" s="37"/>
      <c r="E4974" s="36"/>
      <c r="F4974" s="42"/>
      <c r="G4974" s="42"/>
      <c r="H4974" s="42"/>
      <c r="AG4974" s="19">
        <v>4973</v>
      </c>
      <c r="AH4974" s="20">
        <v>1286.1498469913611</v>
      </c>
    </row>
    <row r="4975" spans="1:34" ht="14.5" x14ac:dyDescent="0.35">
      <c r="A4975" s="34"/>
      <c r="B4975" s="35"/>
      <c r="C4975" s="36"/>
      <c r="D4975" s="37"/>
      <c r="E4975" s="36"/>
      <c r="F4975" s="42"/>
      <c r="G4975" s="42"/>
      <c r="H4975" s="42"/>
      <c r="AG4975" s="19">
        <v>4974</v>
      </c>
      <c r="AH4975" s="20">
        <v>846.5402307703738</v>
      </c>
    </row>
    <row r="4976" spans="1:34" ht="14.5" x14ac:dyDescent="0.35">
      <c r="A4976" s="34"/>
      <c r="B4976" s="35"/>
      <c r="C4976" s="36"/>
      <c r="D4976" s="37"/>
      <c r="E4976" s="36"/>
      <c r="F4976" s="42"/>
      <c r="G4976" s="42"/>
      <c r="H4976" s="42"/>
      <c r="AG4976" s="19">
        <v>4975</v>
      </c>
      <c r="AH4976" s="20">
        <v>-536.80277147581455</v>
      </c>
    </row>
    <row r="4977" spans="1:34" ht="14.5" x14ac:dyDescent="0.35">
      <c r="A4977" s="34"/>
      <c r="B4977" s="35"/>
      <c r="C4977" s="36"/>
      <c r="D4977" s="37"/>
      <c r="E4977" s="36"/>
      <c r="F4977" s="42"/>
      <c r="G4977" s="42"/>
      <c r="H4977" s="42"/>
      <c r="AG4977" s="19">
        <v>4976</v>
      </c>
      <c r="AH4977" s="20">
        <v>143.38128568358809</v>
      </c>
    </row>
    <row r="4978" spans="1:34" ht="14.5" x14ac:dyDescent="0.35">
      <c r="A4978" s="34"/>
      <c r="B4978" s="35"/>
      <c r="C4978" s="36"/>
      <c r="D4978" s="37"/>
      <c r="E4978" s="36"/>
      <c r="F4978" s="42"/>
      <c r="G4978" s="42"/>
      <c r="H4978" s="42"/>
      <c r="AG4978" s="19">
        <v>4977</v>
      </c>
      <c r="AH4978" s="20">
        <v>998.30980795515575</v>
      </c>
    </row>
    <row r="4979" spans="1:34" ht="14.5" x14ac:dyDescent="0.35">
      <c r="A4979" s="34"/>
      <c r="B4979" s="35"/>
      <c r="C4979" s="36"/>
      <c r="D4979" s="37"/>
      <c r="E4979" s="36"/>
      <c r="F4979" s="42"/>
      <c r="G4979" s="42"/>
      <c r="H4979" s="42"/>
      <c r="AG4979" s="19">
        <v>4978</v>
      </c>
      <c r="AH4979" s="20">
        <v>2932.6079652669423</v>
      </c>
    </row>
    <row r="4980" spans="1:34" ht="14.5" x14ac:dyDescent="0.35">
      <c r="A4980" s="34"/>
      <c r="B4980" s="35"/>
      <c r="C4980" s="36"/>
      <c r="D4980" s="37"/>
      <c r="E4980" s="36"/>
      <c r="F4980" s="42"/>
      <c r="G4980" s="42"/>
      <c r="H4980" s="42"/>
      <c r="AG4980" s="19">
        <v>4979</v>
      </c>
      <c r="AH4980" s="20">
        <v>3777.3101369671881</v>
      </c>
    </row>
    <row r="4981" spans="1:34" ht="14.5" x14ac:dyDescent="0.35">
      <c r="A4981" s="34"/>
      <c r="B4981" s="35"/>
      <c r="C4981" s="36"/>
      <c r="D4981" s="37"/>
      <c r="E4981" s="36"/>
      <c r="F4981" s="42"/>
      <c r="G4981" s="42"/>
      <c r="H4981" s="42"/>
      <c r="AG4981" s="19">
        <v>4980</v>
      </c>
      <c r="AH4981" s="20">
        <v>1558.4422745691056</v>
      </c>
    </row>
    <row r="4982" spans="1:34" ht="14.5" x14ac:dyDescent="0.35">
      <c r="A4982" s="34"/>
      <c r="B4982" s="35"/>
      <c r="C4982" s="36"/>
      <c r="D4982" s="37"/>
      <c r="E4982" s="36"/>
      <c r="F4982" s="42"/>
      <c r="G4982" s="42"/>
      <c r="H4982" s="42"/>
      <c r="AG4982" s="19">
        <v>4981</v>
      </c>
      <c r="AH4982" s="20">
        <v>-1968.4465318798632</v>
      </c>
    </row>
    <row r="4983" spans="1:34" ht="14.5" x14ac:dyDescent="0.35">
      <c r="A4983" s="34"/>
      <c r="B4983" s="35"/>
      <c r="C4983" s="36"/>
      <c r="D4983" s="37"/>
      <c r="E4983" s="36"/>
      <c r="F4983" s="42"/>
      <c r="G4983" s="42"/>
      <c r="H4983" s="42"/>
      <c r="AG4983" s="19">
        <v>4982</v>
      </c>
      <c r="AH4983" s="20">
        <v>3889.8328798256339</v>
      </c>
    </row>
    <row r="4984" spans="1:34" ht="14.5" x14ac:dyDescent="0.35">
      <c r="A4984" s="34"/>
      <c r="B4984" s="35"/>
      <c r="C4984" s="36"/>
      <c r="D4984" s="37"/>
      <c r="E4984" s="36"/>
      <c r="F4984" s="42"/>
      <c r="G4984" s="42"/>
      <c r="H4984" s="42"/>
      <c r="AG4984" s="19">
        <v>4983</v>
      </c>
      <c r="AH4984" s="20">
        <v>437.92662260691259</v>
      </c>
    </row>
    <row r="4985" spans="1:34" ht="14.5" x14ac:dyDescent="0.35">
      <c r="A4985" s="34"/>
      <c r="B4985" s="35"/>
      <c r="C4985" s="36"/>
      <c r="D4985" s="37"/>
      <c r="E4985" s="36"/>
      <c r="F4985" s="42"/>
      <c r="G4985" s="42"/>
      <c r="H4985" s="42"/>
      <c r="AG4985" s="19">
        <v>4984</v>
      </c>
      <c r="AH4985" s="20">
        <v>2455.6919799308134</v>
      </c>
    </row>
    <row r="4986" spans="1:34" ht="14.5" x14ac:dyDescent="0.35">
      <c r="A4986" s="34"/>
      <c r="B4986" s="35"/>
      <c r="C4986" s="36"/>
      <c r="D4986" s="37"/>
      <c r="E4986" s="36"/>
      <c r="F4986" s="42"/>
      <c r="G4986" s="42"/>
      <c r="H4986" s="42"/>
      <c r="AG4986" s="19">
        <v>4985</v>
      </c>
      <c r="AH4986" s="20">
        <v>-3203.7171559751437</v>
      </c>
    </row>
    <row r="4987" spans="1:34" ht="14.5" x14ac:dyDescent="0.35">
      <c r="A4987" s="34"/>
      <c r="B4987" s="35"/>
      <c r="C4987" s="36"/>
      <c r="D4987" s="37"/>
      <c r="E4987" s="36"/>
      <c r="F4987" s="42"/>
      <c r="G4987" s="42"/>
      <c r="H4987" s="42"/>
      <c r="AG4987" s="19">
        <v>4986</v>
      </c>
      <c r="AH4987" s="20">
        <v>994.57528510904012</v>
      </c>
    </row>
    <row r="4988" spans="1:34" ht="14.5" x14ac:dyDescent="0.35">
      <c r="A4988" s="34"/>
      <c r="B4988" s="35"/>
      <c r="C4988" s="36"/>
      <c r="D4988" s="37"/>
      <c r="E4988" s="36"/>
      <c r="F4988" s="42"/>
      <c r="G4988" s="42"/>
      <c r="H4988" s="42"/>
      <c r="AG4988" s="19">
        <v>4987</v>
      </c>
      <c r="AH4988" s="20">
        <v>-2482.9705522509093</v>
      </c>
    </row>
    <row r="4989" spans="1:34" ht="14.5" x14ac:dyDescent="0.35">
      <c r="A4989" s="34"/>
      <c r="B4989" s="35"/>
      <c r="C4989" s="36"/>
      <c r="D4989" s="37"/>
      <c r="E4989" s="36"/>
      <c r="F4989" s="42"/>
      <c r="G4989" s="42"/>
      <c r="H4989" s="42"/>
      <c r="AG4989" s="19">
        <v>4988</v>
      </c>
      <c r="AH4989" s="20">
        <v>927.86654579857191</v>
      </c>
    </row>
    <row r="4990" spans="1:34" ht="14.5" x14ac:dyDescent="0.35">
      <c r="A4990" s="34"/>
      <c r="B4990" s="35"/>
      <c r="C4990" s="36"/>
      <c r="D4990" s="37"/>
      <c r="E4990" s="36"/>
      <c r="F4990" s="42"/>
      <c r="G4990" s="42"/>
      <c r="H4990" s="42"/>
      <c r="AG4990" s="19">
        <v>4989</v>
      </c>
      <c r="AH4990" s="20">
        <v>2387.2899092929056</v>
      </c>
    </row>
    <row r="4991" spans="1:34" ht="14.5" x14ac:dyDescent="0.35">
      <c r="A4991" s="34"/>
      <c r="B4991" s="35"/>
      <c r="C4991" s="36"/>
      <c r="D4991" s="37"/>
      <c r="E4991" s="36"/>
      <c r="F4991" s="42"/>
      <c r="G4991" s="42"/>
      <c r="H4991" s="42"/>
      <c r="AG4991" s="19">
        <v>4990</v>
      </c>
      <c r="AH4991" s="20">
        <v>1440.1092794061356</v>
      </c>
    </row>
    <row r="4992" spans="1:34" ht="14.5" x14ac:dyDescent="0.35">
      <c r="A4992" s="34"/>
      <c r="B4992" s="35"/>
      <c r="C4992" s="36"/>
      <c r="D4992" s="37"/>
      <c r="E4992" s="36"/>
      <c r="F4992" s="42"/>
      <c r="G4992" s="42"/>
      <c r="H4992" s="42"/>
      <c r="AG4992" s="19">
        <v>4991</v>
      </c>
      <c r="AH4992" s="20">
        <v>1298.7561781455145</v>
      </c>
    </row>
    <row r="4993" spans="1:34" ht="14.5" x14ac:dyDescent="0.35">
      <c r="A4993" s="34"/>
      <c r="B4993" s="35"/>
      <c r="C4993" s="36"/>
      <c r="D4993" s="37"/>
      <c r="E4993" s="36"/>
      <c r="F4993" s="42"/>
      <c r="G4993" s="42"/>
      <c r="H4993" s="42"/>
      <c r="AG4993" s="19">
        <v>4992</v>
      </c>
      <c r="AH4993" s="20">
        <v>-1748.8674376930664</v>
      </c>
    </row>
    <row r="4994" spans="1:34" ht="14.5" x14ac:dyDescent="0.35">
      <c r="A4994" s="34"/>
      <c r="B4994" s="35"/>
      <c r="C4994" s="36"/>
      <c r="D4994" s="37"/>
      <c r="E4994" s="36"/>
      <c r="F4994" s="42"/>
      <c r="G4994" s="42"/>
      <c r="H4994" s="42"/>
      <c r="AG4994" s="19">
        <v>4993</v>
      </c>
      <c r="AH4994" s="20">
        <v>-3372.6312468203132</v>
      </c>
    </row>
    <row r="4995" spans="1:34" ht="14.5" x14ac:dyDescent="0.35">
      <c r="A4995" s="34"/>
      <c r="B4995" s="35"/>
      <c r="C4995" s="36"/>
      <c r="D4995" s="37"/>
      <c r="E4995" s="36"/>
      <c r="F4995" s="42"/>
      <c r="G4995" s="42"/>
      <c r="H4995" s="42"/>
      <c r="AG4995" s="19">
        <v>4994</v>
      </c>
      <c r="AH4995" s="20">
        <v>-1157.1328966372712</v>
      </c>
    </row>
    <row r="4996" spans="1:34" ht="14.5" x14ac:dyDescent="0.35">
      <c r="A4996" s="34"/>
      <c r="B4996" s="35"/>
      <c r="C4996" s="36"/>
      <c r="D4996" s="37"/>
      <c r="E4996" s="36"/>
      <c r="F4996" s="42"/>
      <c r="G4996" s="42"/>
      <c r="H4996" s="42"/>
      <c r="AG4996" s="19">
        <v>4995</v>
      </c>
      <c r="AH4996" s="20">
        <v>-726.18862136347707</v>
      </c>
    </row>
    <row r="4997" spans="1:34" ht="14.5" x14ac:dyDescent="0.35">
      <c r="A4997" s="34"/>
      <c r="B4997" s="35"/>
      <c r="C4997" s="36"/>
      <c r="D4997" s="37"/>
      <c r="E4997" s="36"/>
      <c r="F4997" s="42"/>
      <c r="G4997" s="42"/>
      <c r="H4997" s="42"/>
      <c r="AG4997" s="19">
        <v>4996</v>
      </c>
      <c r="AH4997" s="20">
        <v>-1587.2773241566058</v>
      </c>
    </row>
    <row r="4998" spans="1:34" ht="14.5" x14ac:dyDescent="0.35">
      <c r="A4998" s="34"/>
      <c r="B4998" s="35"/>
      <c r="C4998" s="36"/>
      <c r="D4998" s="37"/>
      <c r="E4998" s="36"/>
      <c r="F4998" s="42"/>
      <c r="G4998" s="42"/>
      <c r="H4998" s="42"/>
      <c r="AG4998" s="19">
        <v>4997</v>
      </c>
      <c r="AH4998" s="20">
        <v>-744.17876968166365</v>
      </c>
    </row>
    <row r="4999" spans="1:34" ht="14.5" x14ac:dyDescent="0.35">
      <c r="A4999" s="34"/>
      <c r="B4999" s="35"/>
      <c r="C4999" s="36"/>
      <c r="D4999" s="37"/>
      <c r="E4999" s="36"/>
      <c r="F4999" s="42"/>
      <c r="G4999" s="42"/>
      <c r="H4999" s="42"/>
      <c r="AG4999" s="19">
        <v>4998</v>
      </c>
      <c r="AH4999" s="20">
        <v>510.50265542494805</v>
      </c>
    </row>
    <row r="5000" spans="1:34" ht="14.5" x14ac:dyDescent="0.35">
      <c r="A5000" s="34"/>
      <c r="B5000" s="35"/>
      <c r="C5000" s="36"/>
      <c r="D5000" s="37"/>
      <c r="E5000" s="36"/>
      <c r="F5000" s="42"/>
      <c r="G5000" s="42"/>
      <c r="H5000" s="42"/>
      <c r="AG5000" s="19">
        <v>4999</v>
      </c>
      <c r="AH5000" s="20">
        <v>-3088.7413425973696</v>
      </c>
    </row>
    <row r="5001" spans="1:34" ht="14.5" x14ac:dyDescent="0.35">
      <c r="A5001" s="34"/>
      <c r="B5001" s="35"/>
      <c r="C5001" s="36"/>
      <c r="D5001" s="37"/>
      <c r="E5001" s="36"/>
      <c r="F5001" s="42"/>
      <c r="G5001" s="42"/>
      <c r="H5001" s="42"/>
      <c r="AG5001" s="19">
        <v>5000</v>
      </c>
      <c r="AH5001" s="20">
        <v>4162.8894343078364</v>
      </c>
    </row>
    <row r="5002" spans="1:34" ht="14.5" x14ac:dyDescent="0.35">
      <c r="A5002" s="34"/>
      <c r="B5002" s="35"/>
      <c r="C5002" s="36"/>
      <c r="D5002" s="37"/>
      <c r="E5002" s="36"/>
      <c r="F5002" s="42"/>
      <c r="G5002" s="42"/>
      <c r="H5002" s="42"/>
      <c r="AG5002" s="19">
        <v>5001</v>
      </c>
      <c r="AH5002" s="20">
        <v>1469.3657486809866</v>
      </c>
    </row>
    <row r="5003" spans="1:34" ht="14.5" x14ac:dyDescent="0.35">
      <c r="A5003" s="34"/>
      <c r="B5003" s="35"/>
      <c r="C5003" s="36"/>
      <c r="D5003" s="37"/>
      <c r="E5003" s="36"/>
      <c r="F5003" s="42"/>
      <c r="G5003" s="42"/>
      <c r="H5003" s="42"/>
      <c r="AG5003" s="19">
        <v>5002</v>
      </c>
      <c r="AH5003" s="20">
        <v>1965.6264432713524</v>
      </c>
    </row>
    <row r="5004" spans="1:34" ht="14.5" x14ac:dyDescent="0.35">
      <c r="A5004" s="34"/>
      <c r="B5004" s="35"/>
      <c r="C5004" s="36"/>
      <c r="D5004" s="37"/>
      <c r="E5004" s="36"/>
      <c r="F5004" s="42"/>
      <c r="G5004" s="42"/>
      <c r="H5004" s="42"/>
      <c r="AG5004" s="19">
        <v>5003</v>
      </c>
      <c r="AH5004" s="20">
        <v>-174.6633806493158</v>
      </c>
    </row>
    <row r="5005" spans="1:34" ht="14.5" x14ac:dyDescent="0.35">
      <c r="A5005" s="34"/>
      <c r="B5005" s="35"/>
      <c r="C5005" s="36"/>
      <c r="D5005" s="37"/>
      <c r="E5005" s="36"/>
      <c r="F5005" s="42"/>
      <c r="G5005" s="42"/>
      <c r="H5005" s="42"/>
      <c r="AG5005" s="19">
        <v>5004</v>
      </c>
      <c r="AH5005" s="20">
        <v>2024.0189850328459</v>
      </c>
    </row>
    <row r="5006" spans="1:34" ht="14.5" x14ac:dyDescent="0.35">
      <c r="A5006" s="34"/>
      <c r="B5006" s="35"/>
      <c r="C5006" s="36"/>
      <c r="D5006" s="37"/>
      <c r="E5006" s="36"/>
      <c r="F5006" s="42"/>
      <c r="G5006" s="42"/>
      <c r="H5006" s="42"/>
      <c r="AG5006" s="19">
        <v>5005</v>
      </c>
      <c r="AH5006" s="20">
        <v>772.14310029957392</v>
      </c>
    </row>
    <row r="5007" spans="1:34" ht="14.5" x14ac:dyDescent="0.35">
      <c r="A5007" s="34"/>
      <c r="B5007" s="35"/>
      <c r="C5007" s="36"/>
      <c r="D5007" s="37"/>
      <c r="E5007" s="36"/>
      <c r="F5007" s="42"/>
      <c r="G5007" s="42"/>
      <c r="H5007" s="42"/>
      <c r="AG5007" s="19">
        <v>5006</v>
      </c>
      <c r="AH5007" s="20">
        <v>-172.09368013362126</v>
      </c>
    </row>
    <row r="5008" spans="1:34" ht="14.5" x14ac:dyDescent="0.35">
      <c r="A5008" s="34"/>
      <c r="B5008" s="35"/>
      <c r="C5008" s="36"/>
      <c r="D5008" s="37"/>
      <c r="E5008" s="36"/>
      <c r="F5008" s="42"/>
      <c r="G5008" s="42"/>
      <c r="H5008" s="42"/>
      <c r="AG5008" s="19">
        <v>5007</v>
      </c>
      <c r="AH5008" s="20">
        <v>-912.52059736823639</v>
      </c>
    </row>
    <row r="5009" spans="1:34" ht="14.5" x14ac:dyDescent="0.35">
      <c r="A5009" s="34"/>
      <c r="B5009" s="35"/>
      <c r="C5009" s="36"/>
      <c r="D5009" s="37"/>
      <c r="E5009" s="36"/>
      <c r="F5009" s="42"/>
      <c r="G5009" s="42"/>
      <c r="H5009" s="42"/>
      <c r="AG5009" s="19">
        <v>5008</v>
      </c>
      <c r="AH5009" s="20">
        <v>224.10532766596202</v>
      </c>
    </row>
    <row r="5010" spans="1:34" ht="14.5" x14ac:dyDescent="0.35">
      <c r="A5010" s="34"/>
      <c r="B5010" s="35"/>
      <c r="C5010" s="36"/>
      <c r="D5010" s="37"/>
      <c r="E5010" s="36"/>
      <c r="F5010" s="42"/>
      <c r="G5010" s="42"/>
      <c r="H5010" s="42"/>
      <c r="AG5010" s="19">
        <v>5009</v>
      </c>
      <c r="AH5010" s="20">
        <v>1427.3841099897998</v>
      </c>
    </row>
    <row r="5011" spans="1:34" ht="14.5" x14ac:dyDescent="0.35">
      <c r="A5011" s="34"/>
      <c r="B5011" s="35"/>
      <c r="C5011" s="36"/>
      <c r="D5011" s="37"/>
      <c r="E5011" s="36"/>
      <c r="F5011" s="42"/>
      <c r="G5011" s="42"/>
      <c r="H5011" s="42"/>
      <c r="AG5011" s="19">
        <v>5010</v>
      </c>
      <c r="AH5011" s="20">
        <v>-2136.5749527372495</v>
      </c>
    </row>
    <row r="5012" spans="1:34" ht="14.5" x14ac:dyDescent="0.35">
      <c r="A5012" s="34"/>
      <c r="B5012" s="35"/>
      <c r="C5012" s="36"/>
      <c r="D5012" s="37"/>
      <c r="E5012" s="36"/>
      <c r="F5012" s="42"/>
      <c r="G5012" s="42"/>
      <c r="H5012" s="42"/>
      <c r="AG5012" s="19">
        <v>5011</v>
      </c>
      <c r="AH5012" s="20">
        <v>-100.09237808983693</v>
      </c>
    </row>
    <row r="5013" spans="1:34" ht="14.5" x14ac:dyDescent="0.35">
      <c r="A5013" s="34"/>
      <c r="B5013" s="35"/>
      <c r="C5013" s="36"/>
      <c r="D5013" s="37"/>
      <c r="E5013" s="36"/>
      <c r="F5013" s="42"/>
      <c r="G5013" s="42"/>
      <c r="H5013" s="42"/>
      <c r="AG5013" s="19">
        <v>5012</v>
      </c>
      <c r="AH5013" s="20">
        <v>2075.351677420982</v>
      </c>
    </row>
    <row r="5014" spans="1:34" ht="14.5" x14ac:dyDescent="0.35">
      <c r="A5014" s="34"/>
      <c r="B5014" s="35"/>
      <c r="C5014" s="36"/>
      <c r="D5014" s="37"/>
      <c r="E5014" s="36"/>
      <c r="F5014" s="42"/>
      <c r="G5014" s="42"/>
      <c r="H5014" s="42"/>
      <c r="AG5014" s="19">
        <v>5013</v>
      </c>
      <c r="AH5014" s="20">
        <v>1960.3043209470609</v>
      </c>
    </row>
    <row r="5015" spans="1:34" ht="14.5" x14ac:dyDescent="0.35">
      <c r="A5015" s="34"/>
      <c r="B5015" s="35"/>
      <c r="C5015" s="36"/>
      <c r="D5015" s="37"/>
      <c r="E5015" s="36"/>
      <c r="F5015" s="42"/>
      <c r="G5015" s="42"/>
      <c r="H5015" s="42"/>
      <c r="AG5015" s="19">
        <v>5014</v>
      </c>
      <c r="AH5015" s="20">
        <v>2733.3024323582408</v>
      </c>
    </row>
    <row r="5016" spans="1:34" ht="14.5" x14ac:dyDescent="0.35">
      <c r="A5016" s="34"/>
      <c r="B5016" s="35"/>
      <c r="C5016" s="36"/>
      <c r="D5016" s="37"/>
      <c r="E5016" s="36"/>
      <c r="F5016" s="42"/>
      <c r="G5016" s="42"/>
      <c r="H5016" s="42"/>
      <c r="AG5016" s="19">
        <v>5015</v>
      </c>
      <c r="AH5016" s="20">
        <v>6844.4451704713256</v>
      </c>
    </row>
    <row r="5017" spans="1:34" ht="14.5" x14ac:dyDescent="0.35">
      <c r="A5017" s="34"/>
      <c r="B5017" s="35"/>
      <c r="C5017" s="36"/>
      <c r="D5017" s="37"/>
      <c r="E5017" s="36"/>
      <c r="F5017" s="42"/>
      <c r="G5017" s="42"/>
      <c r="H5017" s="42"/>
      <c r="AG5017" s="19">
        <v>5016</v>
      </c>
      <c r="AH5017" s="20">
        <v>4136.6570631582654</v>
      </c>
    </row>
    <row r="5018" spans="1:34" ht="14.5" x14ac:dyDescent="0.35">
      <c r="A5018" s="34"/>
      <c r="B5018" s="35"/>
      <c r="C5018" s="36"/>
      <c r="D5018" s="37"/>
      <c r="E5018" s="36"/>
      <c r="F5018" s="42"/>
      <c r="G5018" s="42"/>
      <c r="H5018" s="42"/>
      <c r="AG5018" s="19">
        <v>5017</v>
      </c>
      <c r="AH5018" s="20">
        <v>-1742.2494433777808</v>
      </c>
    </row>
    <row r="5019" spans="1:34" ht="14.5" x14ac:dyDescent="0.35">
      <c r="A5019" s="34"/>
      <c r="B5019" s="35"/>
      <c r="C5019" s="36"/>
      <c r="D5019" s="37"/>
      <c r="E5019" s="36"/>
      <c r="F5019" s="42"/>
      <c r="G5019" s="42"/>
      <c r="H5019" s="42"/>
      <c r="AG5019" s="19">
        <v>5018</v>
      </c>
      <c r="AH5019" s="20">
        <v>-2800.3465365746988</v>
      </c>
    </row>
    <row r="5020" spans="1:34" ht="14.5" x14ac:dyDescent="0.35">
      <c r="A5020" s="34"/>
      <c r="B5020" s="35"/>
      <c r="C5020" s="36"/>
      <c r="D5020" s="37"/>
      <c r="E5020" s="36"/>
      <c r="F5020" s="42"/>
      <c r="G5020" s="42"/>
      <c r="H5020" s="42"/>
      <c r="AG5020" s="19">
        <v>5019</v>
      </c>
      <c r="AH5020" s="20">
        <v>1883.8799709375357</v>
      </c>
    </row>
    <row r="5021" spans="1:34" ht="14.5" x14ac:dyDescent="0.35">
      <c r="A5021" s="34"/>
      <c r="B5021" s="35"/>
      <c r="C5021" s="36"/>
      <c r="D5021" s="37"/>
      <c r="E5021" s="36"/>
      <c r="F5021" s="42"/>
      <c r="G5021" s="42"/>
      <c r="H5021" s="42"/>
      <c r="AG5021" s="19">
        <v>5020</v>
      </c>
      <c r="AH5021" s="20">
        <v>4421.9218239582478</v>
      </c>
    </row>
    <row r="5022" spans="1:34" ht="14.5" x14ac:dyDescent="0.35">
      <c r="A5022" s="34"/>
      <c r="B5022" s="35"/>
      <c r="C5022" s="36"/>
      <c r="D5022" s="37"/>
      <c r="E5022" s="36"/>
      <c r="F5022" s="42"/>
      <c r="G5022" s="42"/>
      <c r="H5022" s="42"/>
      <c r="AG5022" s="19">
        <v>5021</v>
      </c>
      <c r="AH5022" s="20">
        <v>1937.5182362297719</v>
      </c>
    </row>
    <row r="5023" spans="1:34" ht="14.5" x14ac:dyDescent="0.35">
      <c r="A5023" s="34"/>
      <c r="B5023" s="35"/>
      <c r="C5023" s="36"/>
      <c r="D5023" s="37"/>
      <c r="E5023" s="36"/>
      <c r="F5023" s="42"/>
      <c r="G5023" s="42"/>
      <c r="H5023" s="42"/>
      <c r="AG5023" s="19">
        <v>5022</v>
      </c>
      <c r="AH5023" s="20">
        <v>3378.510070623614</v>
      </c>
    </row>
    <row r="5024" spans="1:34" ht="14.5" x14ac:dyDescent="0.35">
      <c r="A5024" s="34"/>
      <c r="B5024" s="35"/>
      <c r="C5024" s="36"/>
      <c r="D5024" s="37"/>
      <c r="E5024" s="36"/>
      <c r="F5024" s="42"/>
      <c r="G5024" s="42"/>
      <c r="H5024" s="42"/>
      <c r="AG5024" s="19">
        <v>5023</v>
      </c>
      <c r="AH5024" s="20">
        <v>-3799.2444234063933</v>
      </c>
    </row>
    <row r="5025" spans="1:34" ht="14.5" x14ac:dyDescent="0.35">
      <c r="A5025" s="34"/>
      <c r="B5025" s="35"/>
      <c r="C5025" s="36"/>
      <c r="D5025" s="37"/>
      <c r="E5025" s="36"/>
      <c r="F5025" s="42"/>
      <c r="G5025" s="42"/>
      <c r="H5025" s="42"/>
      <c r="AG5025" s="19">
        <v>5024</v>
      </c>
      <c r="AH5025" s="20">
        <v>2316.1254823352383</v>
      </c>
    </row>
    <row r="5026" spans="1:34" ht="14.5" x14ac:dyDescent="0.35">
      <c r="A5026" s="34"/>
      <c r="B5026" s="35"/>
      <c r="C5026" s="36"/>
      <c r="D5026" s="37"/>
      <c r="E5026" s="36"/>
      <c r="F5026" s="42"/>
      <c r="G5026" s="42"/>
      <c r="H5026" s="42"/>
      <c r="AG5026" s="19">
        <v>5025</v>
      </c>
      <c r="AH5026" s="20">
        <v>-4950.2428774596556</v>
      </c>
    </row>
    <row r="5027" spans="1:34" ht="14.5" x14ac:dyDescent="0.35">
      <c r="A5027" s="34"/>
      <c r="B5027" s="35"/>
      <c r="C5027" s="36"/>
      <c r="D5027" s="37"/>
      <c r="E5027" s="36"/>
      <c r="F5027" s="42"/>
      <c r="G5027" s="42"/>
      <c r="H5027" s="42"/>
      <c r="AG5027" s="19">
        <v>5026</v>
      </c>
      <c r="AH5027" s="20">
        <v>2720.9373805979253</v>
      </c>
    </row>
    <row r="5028" spans="1:34" ht="14.5" x14ac:dyDescent="0.35">
      <c r="A5028" s="34"/>
      <c r="B5028" s="35"/>
      <c r="C5028" s="36"/>
      <c r="D5028" s="37"/>
      <c r="E5028" s="36"/>
      <c r="F5028" s="42"/>
      <c r="G5028" s="42"/>
      <c r="H5028" s="42"/>
      <c r="AG5028" s="19">
        <v>5027</v>
      </c>
      <c r="AH5028" s="20">
        <v>-1800.2478923599999</v>
      </c>
    </row>
    <row r="5029" spans="1:34" ht="14.5" x14ac:dyDescent="0.35">
      <c r="A5029" s="34"/>
      <c r="B5029" s="35"/>
      <c r="C5029" s="36"/>
      <c r="D5029" s="37"/>
      <c r="E5029" s="36"/>
      <c r="F5029" s="42"/>
      <c r="G5029" s="42"/>
      <c r="H5029" s="42"/>
      <c r="AG5029" s="19">
        <v>5028</v>
      </c>
      <c r="AH5029" s="20">
        <v>869.79206196525502</v>
      </c>
    </row>
    <row r="5030" spans="1:34" ht="14.5" x14ac:dyDescent="0.35">
      <c r="A5030" s="34"/>
      <c r="B5030" s="35"/>
      <c r="C5030" s="36"/>
      <c r="D5030" s="37"/>
      <c r="E5030" s="36"/>
      <c r="F5030" s="42"/>
      <c r="G5030" s="42"/>
      <c r="H5030" s="42"/>
      <c r="AG5030" s="19">
        <v>5029</v>
      </c>
      <c r="AH5030" s="20">
        <v>796.41018378455817</v>
      </c>
    </row>
    <row r="5031" spans="1:34" ht="14.5" x14ac:dyDescent="0.35">
      <c r="A5031" s="34"/>
      <c r="B5031" s="35"/>
      <c r="C5031" s="36"/>
      <c r="D5031" s="37"/>
      <c r="E5031" s="36"/>
      <c r="F5031" s="42"/>
      <c r="G5031" s="42"/>
      <c r="H5031" s="42"/>
      <c r="AG5031" s="19">
        <v>5030</v>
      </c>
      <c r="AH5031" s="20">
        <v>-1325.0131367791832</v>
      </c>
    </row>
    <row r="5032" spans="1:34" ht="14.5" x14ac:dyDescent="0.35">
      <c r="A5032" s="34"/>
      <c r="B5032" s="35"/>
      <c r="C5032" s="36"/>
      <c r="D5032" s="37"/>
      <c r="E5032" s="36"/>
      <c r="F5032" s="42"/>
      <c r="G5032" s="42"/>
      <c r="H5032" s="42"/>
      <c r="AG5032" s="19">
        <v>5031</v>
      </c>
      <c r="AH5032" s="20">
        <v>-488.35153038713639</v>
      </c>
    </row>
    <row r="5033" spans="1:34" ht="14.5" x14ac:dyDescent="0.35">
      <c r="A5033" s="34"/>
      <c r="B5033" s="35"/>
      <c r="C5033" s="36"/>
      <c r="D5033" s="37"/>
      <c r="E5033" s="36"/>
      <c r="F5033" s="42"/>
      <c r="G5033" s="42"/>
      <c r="H5033" s="42"/>
      <c r="AG5033" s="19">
        <v>5032</v>
      </c>
      <c r="AH5033" s="20">
        <v>1613.5697886233897</v>
      </c>
    </row>
    <row r="5034" spans="1:34" ht="14.5" x14ac:dyDescent="0.35">
      <c r="A5034" s="34"/>
      <c r="B5034" s="35"/>
      <c r="C5034" s="36"/>
      <c r="D5034" s="37"/>
      <c r="E5034" s="36"/>
      <c r="F5034" s="42"/>
      <c r="G5034" s="42"/>
      <c r="H5034" s="42"/>
      <c r="AG5034" s="19">
        <v>5033</v>
      </c>
      <c r="AH5034" s="20">
        <v>-2112.4579773969413</v>
      </c>
    </row>
    <row r="5035" spans="1:34" ht="14.5" x14ac:dyDescent="0.35">
      <c r="A5035" s="34"/>
      <c r="B5035" s="35"/>
      <c r="C5035" s="36"/>
      <c r="D5035" s="37"/>
      <c r="E5035" s="36"/>
      <c r="F5035" s="42"/>
      <c r="G5035" s="42"/>
      <c r="H5035" s="42"/>
      <c r="AG5035" s="19">
        <v>5034</v>
      </c>
      <c r="AH5035" s="20">
        <v>845.64762796418654</v>
      </c>
    </row>
    <row r="5036" spans="1:34" ht="14.5" x14ac:dyDescent="0.35">
      <c r="A5036" s="34"/>
      <c r="B5036" s="35"/>
      <c r="C5036" s="36"/>
      <c r="D5036" s="37"/>
      <c r="E5036" s="36"/>
      <c r="F5036" s="42"/>
      <c r="G5036" s="42"/>
      <c r="H5036" s="42"/>
      <c r="AG5036" s="19">
        <v>5035</v>
      </c>
      <c r="AH5036" s="20">
        <v>-1909.3817036736593</v>
      </c>
    </row>
    <row r="5037" spans="1:34" ht="14.5" x14ac:dyDescent="0.35">
      <c r="A5037" s="34"/>
      <c r="B5037" s="35"/>
      <c r="C5037" s="36"/>
      <c r="D5037" s="37"/>
      <c r="E5037" s="36"/>
      <c r="F5037" s="42"/>
      <c r="G5037" s="42"/>
      <c r="H5037" s="42"/>
      <c r="AG5037" s="19">
        <v>5036</v>
      </c>
      <c r="AH5037" s="20">
        <v>578.34367423261915</v>
      </c>
    </row>
    <row r="5038" spans="1:34" ht="14.5" x14ac:dyDescent="0.35">
      <c r="A5038" s="34"/>
      <c r="B5038" s="35"/>
      <c r="C5038" s="36"/>
      <c r="D5038" s="37"/>
      <c r="E5038" s="36"/>
      <c r="F5038" s="42"/>
      <c r="G5038" s="42"/>
      <c r="H5038" s="42"/>
      <c r="AG5038" s="19">
        <v>5037</v>
      </c>
      <c r="AH5038" s="20">
        <v>-1108.190346370503</v>
      </c>
    </row>
    <row r="5039" spans="1:34" ht="14.5" x14ac:dyDescent="0.35">
      <c r="A5039" s="34"/>
      <c r="B5039" s="35"/>
      <c r="C5039" s="36"/>
      <c r="D5039" s="37"/>
      <c r="E5039" s="36"/>
      <c r="F5039" s="42"/>
      <c r="G5039" s="42"/>
      <c r="H5039" s="42"/>
      <c r="AG5039" s="19">
        <v>5038</v>
      </c>
      <c r="AH5039" s="20">
        <v>-480.13052499847612</v>
      </c>
    </row>
    <row r="5040" spans="1:34" ht="14.5" x14ac:dyDescent="0.35">
      <c r="A5040" s="34"/>
      <c r="B5040" s="35"/>
      <c r="C5040" s="36"/>
      <c r="D5040" s="37"/>
      <c r="E5040" s="36"/>
      <c r="F5040" s="42"/>
      <c r="G5040" s="42"/>
      <c r="H5040" s="42"/>
      <c r="AG5040" s="19">
        <v>5039</v>
      </c>
      <c r="AH5040" s="20">
        <v>2908.1949070037522</v>
      </c>
    </row>
    <row r="5041" spans="1:34" ht="14.5" x14ac:dyDescent="0.35">
      <c r="A5041" s="34"/>
      <c r="B5041" s="35"/>
      <c r="C5041" s="36"/>
      <c r="D5041" s="37"/>
      <c r="E5041" s="36"/>
      <c r="F5041" s="42"/>
      <c r="G5041" s="42"/>
      <c r="H5041" s="42"/>
      <c r="AG5041" s="19">
        <v>5040</v>
      </c>
      <c r="AH5041" s="20">
        <v>-931.81819437557033</v>
      </c>
    </row>
    <row r="5042" spans="1:34" ht="14.5" x14ac:dyDescent="0.35">
      <c r="A5042" s="34"/>
      <c r="B5042" s="35"/>
      <c r="C5042" s="36"/>
      <c r="D5042" s="37"/>
      <c r="E5042" s="36"/>
      <c r="F5042" s="42"/>
      <c r="G5042" s="42"/>
      <c r="H5042" s="42"/>
      <c r="AG5042" s="19">
        <v>5041</v>
      </c>
      <c r="AH5042" s="20">
        <v>1188.5893804360264</v>
      </c>
    </row>
    <row r="5043" spans="1:34" ht="14.5" x14ac:dyDescent="0.35">
      <c r="A5043" s="34"/>
      <c r="B5043" s="35"/>
      <c r="C5043" s="36"/>
      <c r="D5043" s="37"/>
      <c r="E5043" s="36"/>
      <c r="F5043" s="42"/>
      <c r="G5043" s="42"/>
      <c r="H5043" s="42"/>
      <c r="AG5043" s="19">
        <v>5042</v>
      </c>
      <c r="AH5043" s="20">
        <v>2170.7702812461589</v>
      </c>
    </row>
    <row r="5044" spans="1:34" ht="14.5" x14ac:dyDescent="0.35">
      <c r="A5044" s="34"/>
      <c r="B5044" s="35"/>
      <c r="C5044" s="36"/>
      <c r="D5044" s="37"/>
      <c r="E5044" s="36"/>
      <c r="F5044" s="42"/>
      <c r="G5044" s="42"/>
      <c r="H5044" s="42"/>
      <c r="AG5044" s="19">
        <v>5043</v>
      </c>
      <c r="AH5044" s="20">
        <v>-1212.6230537586309</v>
      </c>
    </row>
    <row r="5045" spans="1:34" ht="14.5" x14ac:dyDescent="0.35">
      <c r="A5045" s="34"/>
      <c r="B5045" s="35"/>
      <c r="C5045" s="36"/>
      <c r="D5045" s="37"/>
      <c r="E5045" s="36"/>
      <c r="F5045" s="42"/>
      <c r="G5045" s="42"/>
      <c r="H5045" s="42"/>
      <c r="AG5045" s="19">
        <v>5044</v>
      </c>
      <c r="AH5045" s="20">
        <v>315.53846930460918</v>
      </c>
    </row>
    <row r="5046" spans="1:34" ht="14.5" x14ac:dyDescent="0.35">
      <c r="A5046" s="34"/>
      <c r="B5046" s="35"/>
      <c r="C5046" s="36"/>
      <c r="D5046" s="37"/>
      <c r="E5046" s="36"/>
      <c r="F5046" s="42"/>
      <c r="G5046" s="42"/>
      <c r="H5046" s="42"/>
      <c r="AG5046" s="19">
        <v>5045</v>
      </c>
      <c r="AH5046" s="20">
        <v>-982.28975247129915</v>
      </c>
    </row>
    <row r="5047" spans="1:34" ht="14.5" x14ac:dyDescent="0.35">
      <c r="A5047" s="34"/>
      <c r="B5047" s="35"/>
      <c r="C5047" s="36"/>
      <c r="D5047" s="37"/>
      <c r="E5047" s="36"/>
      <c r="F5047" s="42"/>
      <c r="G5047" s="42"/>
      <c r="H5047" s="42"/>
      <c r="AG5047" s="19">
        <v>5046</v>
      </c>
      <c r="AH5047" s="20">
        <v>420.7400785334392</v>
      </c>
    </row>
    <row r="5048" spans="1:34" ht="14.5" x14ac:dyDescent="0.35">
      <c r="A5048" s="34"/>
      <c r="B5048" s="35"/>
      <c r="C5048" s="36"/>
      <c r="D5048" s="37"/>
      <c r="E5048" s="36"/>
      <c r="F5048" s="42"/>
      <c r="G5048" s="42"/>
      <c r="H5048" s="42"/>
      <c r="AG5048" s="19">
        <v>5047</v>
      </c>
      <c r="AH5048" s="20">
        <v>2410.5767857390911</v>
      </c>
    </row>
    <row r="5049" spans="1:34" ht="14.5" x14ac:dyDescent="0.35">
      <c r="A5049" s="34"/>
      <c r="B5049" s="35"/>
      <c r="C5049" s="36"/>
      <c r="D5049" s="37"/>
      <c r="E5049" s="36"/>
      <c r="F5049" s="42"/>
      <c r="G5049" s="42"/>
      <c r="H5049" s="42"/>
      <c r="AG5049" s="19">
        <v>5048</v>
      </c>
      <c r="AH5049" s="20">
        <v>2032.9796343851483</v>
      </c>
    </row>
    <row r="5050" spans="1:34" ht="14.5" x14ac:dyDescent="0.35">
      <c r="A5050" s="34"/>
      <c r="B5050" s="35"/>
      <c r="C5050" s="36"/>
      <c r="D5050" s="37"/>
      <c r="E5050" s="36"/>
      <c r="F5050" s="42"/>
      <c r="G5050" s="42"/>
      <c r="H5050" s="42"/>
      <c r="AG5050" s="19">
        <v>5049</v>
      </c>
      <c r="AH5050" s="20">
        <v>2149.1448436339551</v>
      </c>
    </row>
    <row r="5051" spans="1:34" ht="14.5" x14ac:dyDescent="0.35">
      <c r="A5051" s="34"/>
      <c r="B5051" s="35"/>
      <c r="C5051" s="36"/>
      <c r="D5051" s="37"/>
      <c r="E5051" s="36"/>
      <c r="F5051" s="42"/>
      <c r="G5051" s="42"/>
      <c r="H5051" s="42"/>
      <c r="AG5051" s="19">
        <v>5050</v>
      </c>
      <c r="AH5051" s="20">
        <v>-1168.1193408066652</v>
      </c>
    </row>
    <row r="5052" spans="1:34" ht="14.5" x14ac:dyDescent="0.35">
      <c r="A5052" s="34"/>
      <c r="B5052" s="35"/>
      <c r="C5052" s="36"/>
      <c r="D5052" s="37"/>
      <c r="E5052" s="36"/>
      <c r="F5052" s="42"/>
      <c r="G5052" s="42"/>
      <c r="H5052" s="42"/>
      <c r="AG5052" s="19">
        <v>5051</v>
      </c>
      <c r="AH5052" s="20">
        <v>2397.3278198695948</v>
      </c>
    </row>
    <row r="5053" spans="1:34" ht="14.5" x14ac:dyDescent="0.35">
      <c r="A5053" s="34"/>
      <c r="B5053" s="35"/>
      <c r="C5053" s="36"/>
      <c r="D5053" s="37"/>
      <c r="E5053" s="36"/>
      <c r="F5053" s="42"/>
      <c r="G5053" s="42"/>
      <c r="H5053" s="42"/>
      <c r="AG5053" s="19">
        <v>5052</v>
      </c>
      <c r="AH5053" s="20">
        <v>955.547654480652</v>
      </c>
    </row>
    <row r="5054" spans="1:34" ht="14.5" x14ac:dyDescent="0.35">
      <c r="A5054" s="34"/>
      <c r="B5054" s="35"/>
      <c r="C5054" s="36"/>
      <c r="D5054" s="37"/>
      <c r="E5054" s="36"/>
      <c r="F5054" s="42"/>
      <c r="G5054" s="42"/>
      <c r="H5054" s="42"/>
      <c r="AG5054" s="19">
        <v>5053</v>
      </c>
      <c r="AH5054" s="20">
        <v>-631.99780284793246</v>
      </c>
    </row>
    <row r="5055" spans="1:34" ht="14.5" x14ac:dyDescent="0.35">
      <c r="A5055" s="34"/>
      <c r="B5055" s="35"/>
      <c r="C5055" s="36"/>
      <c r="D5055" s="37"/>
      <c r="E5055" s="36"/>
      <c r="F5055" s="42"/>
      <c r="G5055" s="42"/>
      <c r="H5055" s="42"/>
      <c r="AG5055" s="19">
        <v>5054</v>
      </c>
      <c r="AH5055" s="20">
        <v>-831.13465213359268</v>
      </c>
    </row>
    <row r="5056" spans="1:34" ht="14.5" x14ac:dyDescent="0.35">
      <c r="A5056" s="34"/>
      <c r="B5056" s="35"/>
      <c r="C5056" s="36"/>
      <c r="D5056" s="37"/>
      <c r="E5056" s="36"/>
      <c r="F5056" s="42"/>
      <c r="G5056" s="42"/>
      <c r="H5056" s="42"/>
      <c r="AG5056" s="19">
        <v>5055</v>
      </c>
      <c r="AH5056" s="20">
        <v>-58.083705285559802</v>
      </c>
    </row>
    <row r="5057" spans="1:34" ht="14.5" x14ac:dyDescent="0.35">
      <c r="A5057" s="34"/>
      <c r="B5057" s="35"/>
      <c r="C5057" s="36"/>
      <c r="D5057" s="37"/>
      <c r="E5057" s="36"/>
      <c r="F5057" s="42"/>
      <c r="G5057" s="42"/>
      <c r="H5057" s="42"/>
      <c r="AG5057" s="19">
        <v>5056</v>
      </c>
      <c r="AH5057" s="20">
        <v>550.52332435911921</v>
      </c>
    </row>
    <row r="5058" spans="1:34" ht="14.5" x14ac:dyDescent="0.35">
      <c r="A5058" s="34"/>
      <c r="B5058" s="35"/>
      <c r="C5058" s="36"/>
      <c r="D5058" s="37"/>
      <c r="E5058" s="36"/>
      <c r="F5058" s="42"/>
      <c r="G5058" s="42"/>
      <c r="H5058" s="42"/>
      <c r="AG5058" s="19">
        <v>5057</v>
      </c>
      <c r="AH5058" s="20">
        <v>-583.70064677790401</v>
      </c>
    </row>
    <row r="5059" spans="1:34" ht="14.5" x14ac:dyDescent="0.35">
      <c r="A5059" s="34"/>
      <c r="B5059" s="35"/>
      <c r="C5059" s="36"/>
      <c r="D5059" s="37"/>
      <c r="E5059" s="36"/>
      <c r="F5059" s="42"/>
      <c r="G5059" s="42"/>
      <c r="H5059" s="42"/>
      <c r="AG5059" s="19">
        <v>5058</v>
      </c>
      <c r="AH5059" s="20">
        <v>307.28163165561921</v>
      </c>
    </row>
    <row r="5060" spans="1:34" ht="14.5" x14ac:dyDescent="0.35">
      <c r="A5060" s="34"/>
      <c r="B5060" s="35"/>
      <c r="C5060" s="36"/>
      <c r="D5060" s="37"/>
      <c r="E5060" s="36"/>
      <c r="F5060" s="42"/>
      <c r="G5060" s="42"/>
      <c r="H5060" s="42"/>
      <c r="AG5060" s="19">
        <v>5059</v>
      </c>
      <c r="AH5060" s="20">
        <v>1688.4320155041576</v>
      </c>
    </row>
    <row r="5061" spans="1:34" ht="14.5" x14ac:dyDescent="0.35">
      <c r="A5061" s="34"/>
      <c r="B5061" s="35"/>
      <c r="C5061" s="36"/>
      <c r="D5061" s="37"/>
      <c r="E5061" s="36"/>
      <c r="F5061" s="42"/>
      <c r="G5061" s="42"/>
      <c r="H5061" s="42"/>
      <c r="AG5061" s="19">
        <v>5060</v>
      </c>
      <c r="AH5061" s="20">
        <v>-160.8379139591853</v>
      </c>
    </row>
    <row r="5062" spans="1:34" ht="14.5" x14ac:dyDescent="0.35">
      <c r="A5062" s="34"/>
      <c r="B5062" s="35"/>
      <c r="C5062" s="36"/>
      <c r="D5062" s="37"/>
      <c r="E5062" s="36"/>
      <c r="F5062" s="42"/>
      <c r="G5062" s="42"/>
      <c r="H5062" s="42"/>
      <c r="AG5062" s="19">
        <v>5061</v>
      </c>
      <c r="AH5062" s="20">
        <v>-1391.6387190355667</v>
      </c>
    </row>
    <row r="5063" spans="1:34" ht="14.5" x14ac:dyDescent="0.35">
      <c r="A5063" s="34"/>
      <c r="B5063" s="35"/>
      <c r="C5063" s="36"/>
      <c r="D5063" s="37"/>
      <c r="E5063" s="36"/>
      <c r="F5063" s="42"/>
      <c r="G5063" s="42"/>
      <c r="H5063" s="42"/>
      <c r="AG5063" s="19">
        <v>5062</v>
      </c>
      <c r="AH5063" s="20">
        <v>-746.56816132871427</v>
      </c>
    </row>
    <row r="5064" spans="1:34" ht="14.5" x14ac:dyDescent="0.35">
      <c r="A5064" s="34"/>
      <c r="B5064" s="35"/>
      <c r="C5064" s="36"/>
      <c r="D5064" s="37"/>
      <c r="E5064" s="36"/>
      <c r="F5064" s="42"/>
      <c r="G5064" s="42"/>
      <c r="H5064" s="42"/>
      <c r="AG5064" s="19">
        <v>5063</v>
      </c>
      <c r="AH5064" s="20">
        <v>2861.7769533291753</v>
      </c>
    </row>
    <row r="5065" spans="1:34" ht="14.5" x14ac:dyDescent="0.35">
      <c r="A5065" s="34"/>
      <c r="B5065" s="35"/>
      <c r="C5065" s="36"/>
      <c r="D5065" s="37"/>
      <c r="E5065" s="36"/>
      <c r="F5065" s="42"/>
      <c r="G5065" s="42"/>
      <c r="H5065" s="42"/>
      <c r="AG5065" s="19">
        <v>5064</v>
      </c>
      <c r="AH5065" s="20">
        <v>473.57997035262844</v>
      </c>
    </row>
    <row r="5066" spans="1:34" ht="14.5" x14ac:dyDescent="0.35">
      <c r="A5066" s="34"/>
      <c r="B5066" s="35"/>
      <c r="C5066" s="36"/>
      <c r="D5066" s="37"/>
      <c r="E5066" s="36"/>
      <c r="F5066" s="42"/>
      <c r="G5066" s="42"/>
      <c r="H5066" s="42"/>
      <c r="AG5066" s="19">
        <v>5065</v>
      </c>
      <c r="AH5066" s="20">
        <v>2311.4806316441272</v>
      </c>
    </row>
    <row r="5067" spans="1:34" ht="14.5" x14ac:dyDescent="0.35">
      <c r="A5067" s="34"/>
      <c r="B5067" s="35"/>
      <c r="C5067" s="36"/>
      <c r="D5067" s="37"/>
      <c r="E5067" s="36"/>
      <c r="F5067" s="42"/>
      <c r="G5067" s="42"/>
      <c r="H5067" s="42"/>
      <c r="AG5067" s="19">
        <v>5066</v>
      </c>
      <c r="AH5067" s="20">
        <v>-1530.9980325253362</v>
      </c>
    </row>
    <row r="5068" spans="1:34" ht="14.5" x14ac:dyDescent="0.35">
      <c r="A5068" s="34"/>
      <c r="B5068" s="35"/>
      <c r="C5068" s="36"/>
      <c r="D5068" s="37"/>
      <c r="E5068" s="36"/>
      <c r="F5068" s="42"/>
      <c r="G5068" s="42"/>
      <c r="H5068" s="42"/>
      <c r="AG5068" s="19">
        <v>5067</v>
      </c>
      <c r="AH5068" s="20">
        <v>-1044.634108465177</v>
      </c>
    </row>
    <row r="5069" spans="1:34" ht="14.5" x14ac:dyDescent="0.35">
      <c r="A5069" s="34"/>
      <c r="B5069" s="35"/>
      <c r="C5069" s="36"/>
      <c r="D5069" s="37"/>
      <c r="E5069" s="36"/>
      <c r="F5069" s="42"/>
      <c r="G5069" s="42"/>
      <c r="H5069" s="42"/>
      <c r="AG5069" s="19">
        <v>5068</v>
      </c>
      <c r="AH5069" s="20">
        <v>2402.3945834155525</v>
      </c>
    </row>
    <row r="5070" spans="1:34" ht="14.5" x14ac:dyDescent="0.35">
      <c r="A5070" s="34"/>
      <c r="B5070" s="35"/>
      <c r="C5070" s="36"/>
      <c r="D5070" s="37"/>
      <c r="E5070" s="36"/>
      <c r="F5070" s="42"/>
      <c r="G5070" s="42"/>
      <c r="H5070" s="42"/>
      <c r="AG5070" s="19">
        <v>5069</v>
      </c>
      <c r="AH5070" s="20">
        <v>-683.92051997097769</v>
      </c>
    </row>
    <row r="5071" spans="1:34" ht="14.5" x14ac:dyDescent="0.35">
      <c r="A5071" s="34"/>
      <c r="B5071" s="35"/>
      <c r="C5071" s="36"/>
      <c r="D5071" s="37"/>
      <c r="E5071" s="36"/>
      <c r="F5071" s="42"/>
      <c r="G5071" s="42"/>
      <c r="H5071" s="42"/>
      <c r="AG5071" s="19">
        <v>5070</v>
      </c>
      <c r="AH5071" s="20">
        <v>-355.71799291948258</v>
      </c>
    </row>
    <row r="5072" spans="1:34" ht="14.5" x14ac:dyDescent="0.35">
      <c r="A5072" s="34"/>
      <c r="B5072" s="35"/>
      <c r="C5072" s="36"/>
      <c r="D5072" s="37"/>
      <c r="E5072" s="36"/>
      <c r="F5072" s="42"/>
      <c r="G5072" s="42"/>
      <c r="H5072" s="42"/>
      <c r="AG5072" s="19">
        <v>5071</v>
      </c>
      <c r="AH5072" s="20">
        <v>1693.0190967698454</v>
      </c>
    </row>
    <row r="5073" spans="1:34" ht="14.5" x14ac:dyDescent="0.35">
      <c r="A5073" s="34"/>
      <c r="B5073" s="35"/>
      <c r="C5073" s="36"/>
      <c r="D5073" s="37"/>
      <c r="E5073" s="36"/>
      <c r="F5073" s="42"/>
      <c r="G5073" s="42"/>
      <c r="H5073" s="42"/>
      <c r="AG5073" s="19">
        <v>5072</v>
      </c>
      <c r="AH5073" s="20">
        <v>1956.3073003259833</v>
      </c>
    </row>
    <row r="5074" spans="1:34" ht="14.5" x14ac:dyDescent="0.35">
      <c r="A5074" s="34"/>
      <c r="B5074" s="35"/>
      <c r="C5074" s="36"/>
      <c r="D5074" s="37"/>
      <c r="E5074" s="36"/>
      <c r="F5074" s="42"/>
      <c r="G5074" s="42"/>
      <c r="H5074" s="42"/>
      <c r="AG5074" s="19">
        <v>5073</v>
      </c>
      <c r="AH5074" s="20">
        <v>660.34533135520007</v>
      </c>
    </row>
    <row r="5075" spans="1:34" ht="14.5" x14ac:dyDescent="0.35">
      <c r="A5075" s="34"/>
      <c r="B5075" s="35"/>
      <c r="C5075" s="36"/>
      <c r="D5075" s="37"/>
      <c r="E5075" s="36"/>
      <c r="F5075" s="42"/>
      <c r="G5075" s="42"/>
      <c r="H5075" s="42"/>
      <c r="AG5075" s="19">
        <v>5074</v>
      </c>
      <c r="AH5075" s="20">
        <v>-943.46418485240406</v>
      </c>
    </row>
    <row r="5076" spans="1:34" ht="14.5" x14ac:dyDescent="0.35">
      <c r="A5076" s="34"/>
      <c r="B5076" s="35"/>
      <c r="C5076" s="36"/>
      <c r="D5076" s="37"/>
      <c r="E5076" s="36"/>
      <c r="F5076" s="42"/>
      <c r="G5076" s="42"/>
      <c r="H5076" s="42"/>
      <c r="AG5076" s="19">
        <v>5075</v>
      </c>
      <c r="AH5076" s="20">
        <v>689.38616553939687</v>
      </c>
    </row>
    <row r="5077" spans="1:34" ht="14.5" x14ac:dyDescent="0.35">
      <c r="A5077" s="34"/>
      <c r="B5077" s="35"/>
      <c r="C5077" s="36"/>
      <c r="D5077" s="37"/>
      <c r="E5077" s="36"/>
      <c r="F5077" s="42"/>
      <c r="G5077" s="42"/>
      <c r="H5077" s="42"/>
      <c r="AG5077" s="19">
        <v>5076</v>
      </c>
      <c r="AH5077" s="20">
        <v>-828.16314900097473</v>
      </c>
    </row>
    <row r="5078" spans="1:34" ht="14.5" x14ac:dyDescent="0.35">
      <c r="A5078" s="34"/>
      <c r="B5078" s="35"/>
      <c r="C5078" s="36"/>
      <c r="D5078" s="37"/>
      <c r="E5078" s="36"/>
      <c r="F5078" s="42"/>
      <c r="G5078" s="42"/>
      <c r="H5078" s="42"/>
      <c r="AG5078" s="19">
        <v>5077</v>
      </c>
      <c r="AH5078" s="20">
        <v>-2780.2009166391986</v>
      </c>
    </row>
    <row r="5079" spans="1:34" ht="14.5" x14ac:dyDescent="0.35">
      <c r="A5079" s="34"/>
      <c r="B5079" s="35"/>
      <c r="C5079" s="36"/>
      <c r="D5079" s="37"/>
      <c r="E5079" s="36"/>
      <c r="F5079" s="42"/>
      <c r="G5079" s="42"/>
      <c r="H5079" s="42"/>
      <c r="AG5079" s="19">
        <v>5078</v>
      </c>
      <c r="AH5079" s="20">
        <v>-96.083632197276586</v>
      </c>
    </row>
    <row r="5080" spans="1:34" ht="14.5" x14ac:dyDescent="0.35">
      <c r="A5080" s="34"/>
      <c r="B5080" s="35"/>
      <c r="C5080" s="36"/>
      <c r="D5080" s="37"/>
      <c r="E5080" s="36"/>
      <c r="F5080" s="42"/>
      <c r="G5080" s="42"/>
      <c r="H5080" s="42"/>
      <c r="AG5080" s="19">
        <v>5079</v>
      </c>
      <c r="AH5080" s="20">
        <v>1012.4372392815178</v>
      </c>
    </row>
    <row r="5081" spans="1:34" ht="14.5" x14ac:dyDescent="0.35">
      <c r="A5081" s="34"/>
      <c r="B5081" s="35"/>
      <c r="C5081" s="36"/>
      <c r="D5081" s="37"/>
      <c r="E5081" s="36"/>
      <c r="F5081" s="42"/>
      <c r="G5081" s="42"/>
      <c r="H5081" s="42"/>
      <c r="AG5081" s="19">
        <v>5080</v>
      </c>
      <c r="AH5081" s="20">
        <v>-2581.5569738376703</v>
      </c>
    </row>
    <row r="5082" spans="1:34" ht="14.5" x14ac:dyDescent="0.35">
      <c r="A5082" s="34"/>
      <c r="B5082" s="35"/>
      <c r="C5082" s="36"/>
      <c r="D5082" s="37"/>
      <c r="E5082" s="36"/>
      <c r="F5082" s="42"/>
      <c r="G5082" s="42"/>
      <c r="H5082" s="42"/>
      <c r="AG5082" s="19">
        <v>5081</v>
      </c>
      <c r="AH5082" s="20">
        <v>1824.6235215835648</v>
      </c>
    </row>
    <row r="5083" spans="1:34" ht="14.5" x14ac:dyDescent="0.35">
      <c r="A5083" s="34"/>
      <c r="B5083" s="35"/>
      <c r="C5083" s="36"/>
      <c r="D5083" s="37"/>
      <c r="E5083" s="36"/>
      <c r="F5083" s="42"/>
      <c r="G5083" s="42"/>
      <c r="H5083" s="42"/>
      <c r="AG5083" s="19">
        <v>5082</v>
      </c>
      <c r="AH5083" s="20">
        <v>-3840.3993557548392</v>
      </c>
    </row>
    <row r="5084" spans="1:34" ht="14.5" x14ac:dyDescent="0.35">
      <c r="A5084" s="34"/>
      <c r="B5084" s="35"/>
      <c r="C5084" s="36"/>
      <c r="D5084" s="37"/>
      <c r="E5084" s="36"/>
      <c r="F5084" s="42"/>
      <c r="G5084" s="42"/>
      <c r="H5084" s="42"/>
      <c r="AG5084" s="19">
        <v>5083</v>
      </c>
      <c r="AH5084" s="20">
        <v>104.6067867080526</v>
      </c>
    </row>
    <row r="5085" spans="1:34" ht="14.5" x14ac:dyDescent="0.35">
      <c r="A5085" s="34"/>
      <c r="B5085" s="35"/>
      <c r="C5085" s="36"/>
      <c r="D5085" s="37"/>
      <c r="E5085" s="36"/>
      <c r="F5085" s="42"/>
      <c r="G5085" s="42"/>
      <c r="H5085" s="42"/>
      <c r="AG5085" s="19">
        <v>5084</v>
      </c>
      <c r="AH5085" s="20">
        <v>-2426.1844951854177</v>
      </c>
    </row>
    <row r="5086" spans="1:34" ht="14.5" x14ac:dyDescent="0.35">
      <c r="A5086" s="34"/>
      <c r="B5086" s="35"/>
      <c r="C5086" s="36"/>
      <c r="D5086" s="37"/>
      <c r="E5086" s="36"/>
      <c r="F5086" s="42"/>
      <c r="G5086" s="42"/>
      <c r="H5086" s="42"/>
      <c r="AG5086" s="19">
        <v>5085</v>
      </c>
      <c r="AH5086" s="20">
        <v>266.93251595329781</v>
      </c>
    </row>
    <row r="5087" spans="1:34" ht="14.5" x14ac:dyDescent="0.35">
      <c r="A5087" s="34"/>
      <c r="B5087" s="35"/>
      <c r="C5087" s="36"/>
      <c r="D5087" s="37"/>
      <c r="E5087" s="36"/>
      <c r="F5087" s="42"/>
      <c r="G5087" s="42"/>
      <c r="H5087" s="42"/>
      <c r="AG5087" s="19">
        <v>5086</v>
      </c>
      <c r="AH5087" s="20">
        <v>-1464.0372837835091</v>
      </c>
    </row>
    <row r="5088" spans="1:34" ht="14.5" x14ac:dyDescent="0.35">
      <c r="A5088" s="34"/>
      <c r="B5088" s="35"/>
      <c r="C5088" s="36"/>
      <c r="D5088" s="37"/>
      <c r="E5088" s="36"/>
      <c r="F5088" s="42"/>
      <c r="G5088" s="42"/>
      <c r="H5088" s="42"/>
      <c r="AG5088" s="19">
        <v>5087</v>
      </c>
      <c r="AH5088" s="20">
        <v>-1453.7028642847688</v>
      </c>
    </row>
    <row r="5089" spans="1:34" ht="14.5" x14ac:dyDescent="0.35">
      <c r="A5089" s="34"/>
      <c r="B5089" s="35"/>
      <c r="C5089" s="36"/>
      <c r="D5089" s="37"/>
      <c r="E5089" s="36"/>
      <c r="F5089" s="42"/>
      <c r="G5089" s="42"/>
      <c r="H5089" s="42"/>
      <c r="AG5089" s="19">
        <v>5088</v>
      </c>
      <c r="AH5089" s="20">
        <v>-2214.5519287143484</v>
      </c>
    </row>
    <row r="5090" spans="1:34" ht="14.5" x14ac:dyDescent="0.35">
      <c r="A5090" s="34"/>
      <c r="B5090" s="35"/>
      <c r="C5090" s="36"/>
      <c r="D5090" s="37"/>
      <c r="E5090" s="36"/>
      <c r="F5090" s="42"/>
      <c r="G5090" s="42"/>
      <c r="H5090" s="42"/>
      <c r="AG5090" s="19">
        <v>5089</v>
      </c>
      <c r="AH5090" s="20">
        <v>830.8689393007835</v>
      </c>
    </row>
    <row r="5091" spans="1:34" ht="14.5" x14ac:dyDescent="0.35">
      <c r="A5091" s="34"/>
      <c r="B5091" s="35"/>
      <c r="C5091" s="36"/>
      <c r="D5091" s="37"/>
      <c r="E5091" s="36"/>
      <c r="F5091" s="42"/>
      <c r="G5091" s="42"/>
      <c r="H5091" s="42"/>
      <c r="AG5091" s="19">
        <v>5090</v>
      </c>
      <c r="AH5091" s="20">
        <v>2675.9423751244367</v>
      </c>
    </row>
    <row r="5092" spans="1:34" ht="14.5" x14ac:dyDescent="0.35">
      <c r="A5092" s="34"/>
      <c r="B5092" s="35"/>
      <c r="C5092" s="36"/>
      <c r="D5092" s="37"/>
      <c r="E5092" s="36"/>
      <c r="F5092" s="42"/>
      <c r="G5092" s="42"/>
      <c r="H5092" s="42"/>
      <c r="AG5092" s="19">
        <v>5091</v>
      </c>
      <c r="AH5092" s="20">
        <v>438.29792961492626</v>
      </c>
    </row>
    <row r="5093" spans="1:34" ht="14.5" x14ac:dyDescent="0.35">
      <c r="A5093" s="34"/>
      <c r="B5093" s="35"/>
      <c r="C5093" s="36"/>
      <c r="D5093" s="37"/>
      <c r="E5093" s="36"/>
      <c r="F5093" s="42"/>
      <c r="G5093" s="42"/>
      <c r="H5093" s="42"/>
      <c r="AG5093" s="19">
        <v>5092</v>
      </c>
      <c r="AH5093" s="20">
        <v>2439.6506607167416</v>
      </c>
    </row>
    <row r="5094" spans="1:34" ht="14.5" x14ac:dyDescent="0.35">
      <c r="A5094" s="34"/>
      <c r="B5094" s="35"/>
      <c r="C5094" s="36"/>
      <c r="D5094" s="37"/>
      <c r="E5094" s="36"/>
      <c r="F5094" s="42"/>
      <c r="G5094" s="42"/>
      <c r="H5094" s="42"/>
      <c r="AG5094" s="19">
        <v>5093</v>
      </c>
      <c r="AH5094" s="20">
        <v>3164.3050616498745</v>
      </c>
    </row>
    <row r="5095" spans="1:34" ht="14.5" x14ac:dyDescent="0.35">
      <c r="A5095" s="34"/>
      <c r="B5095" s="35"/>
      <c r="C5095" s="36"/>
      <c r="D5095" s="37"/>
      <c r="E5095" s="36"/>
      <c r="F5095" s="42"/>
      <c r="G5095" s="42"/>
      <c r="H5095" s="42"/>
      <c r="AG5095" s="19">
        <v>5094</v>
      </c>
      <c r="AH5095" s="20">
        <v>620.6271559039717</v>
      </c>
    </row>
    <row r="5096" spans="1:34" ht="14.5" x14ac:dyDescent="0.35">
      <c r="A5096" s="34"/>
      <c r="B5096" s="35"/>
      <c r="C5096" s="36"/>
      <c r="D5096" s="37"/>
      <c r="E5096" s="36"/>
      <c r="F5096" s="42"/>
      <c r="G5096" s="42"/>
      <c r="H5096" s="42"/>
      <c r="AG5096" s="19">
        <v>5095</v>
      </c>
      <c r="AH5096" s="20">
        <v>-84.365253833438032</v>
      </c>
    </row>
    <row r="5097" spans="1:34" ht="14.5" x14ac:dyDescent="0.35">
      <c r="A5097" s="34"/>
      <c r="B5097" s="35"/>
      <c r="C5097" s="36"/>
      <c r="D5097" s="37"/>
      <c r="E5097" s="36"/>
      <c r="F5097" s="42"/>
      <c r="G5097" s="42"/>
      <c r="H5097" s="42"/>
      <c r="AG5097" s="19">
        <v>5096</v>
      </c>
      <c r="AH5097" s="20">
        <v>2343.7270913245429</v>
      </c>
    </row>
    <row r="5098" spans="1:34" ht="14.5" x14ac:dyDescent="0.35">
      <c r="A5098" s="34"/>
      <c r="B5098" s="35"/>
      <c r="C5098" s="36"/>
      <c r="D5098" s="37"/>
      <c r="E5098" s="36"/>
      <c r="F5098" s="42"/>
      <c r="G5098" s="42"/>
      <c r="H5098" s="42"/>
      <c r="AG5098" s="19">
        <v>5097</v>
      </c>
      <c r="AH5098" s="20">
        <v>991.55220261400154</v>
      </c>
    </row>
    <row r="5099" spans="1:34" ht="14.5" x14ac:dyDescent="0.35">
      <c r="A5099" s="34"/>
      <c r="B5099" s="35"/>
      <c r="C5099" s="36"/>
      <c r="D5099" s="37"/>
      <c r="E5099" s="36"/>
      <c r="F5099" s="42"/>
      <c r="G5099" s="42"/>
      <c r="H5099" s="42"/>
      <c r="AG5099" s="19">
        <v>5098</v>
      </c>
      <c r="AH5099" s="20">
        <v>-374.85600025735647</v>
      </c>
    </row>
    <row r="5100" spans="1:34" ht="14.5" x14ac:dyDescent="0.35">
      <c r="A5100" s="34"/>
      <c r="B5100" s="35"/>
      <c r="C5100" s="36"/>
      <c r="D5100" s="37"/>
      <c r="E5100" s="36"/>
      <c r="F5100" s="42"/>
      <c r="G5100" s="42"/>
      <c r="H5100" s="42"/>
      <c r="AG5100" s="19">
        <v>5099</v>
      </c>
      <c r="AH5100" s="20">
        <v>5093.8786274484773</v>
      </c>
    </row>
    <row r="5101" spans="1:34" ht="14.5" x14ac:dyDescent="0.35">
      <c r="A5101" s="34"/>
      <c r="B5101" s="35"/>
      <c r="C5101" s="36"/>
      <c r="D5101" s="37"/>
      <c r="E5101" s="36"/>
      <c r="F5101" s="42"/>
      <c r="G5101" s="42"/>
      <c r="H5101" s="42"/>
      <c r="AG5101" s="19">
        <v>5100</v>
      </c>
      <c r="AH5101" s="20">
        <v>69.803998693467463</v>
      </c>
    </row>
    <row r="5102" spans="1:34" ht="14.5" x14ac:dyDescent="0.35">
      <c r="A5102" s="34"/>
      <c r="B5102" s="35"/>
      <c r="C5102" s="36"/>
      <c r="D5102" s="37"/>
      <c r="E5102" s="36"/>
      <c r="F5102" s="42"/>
      <c r="G5102" s="42"/>
      <c r="H5102" s="42"/>
      <c r="AG5102" s="19">
        <v>5101</v>
      </c>
      <c r="AH5102" s="20">
        <v>1376.5225884647982</v>
      </c>
    </row>
    <row r="5103" spans="1:34" ht="14.5" x14ac:dyDescent="0.35">
      <c r="A5103" s="34"/>
      <c r="B5103" s="35"/>
      <c r="C5103" s="36"/>
      <c r="D5103" s="37"/>
      <c r="E5103" s="36"/>
      <c r="F5103" s="42"/>
      <c r="G5103" s="42"/>
      <c r="H5103" s="42"/>
      <c r="AG5103" s="19">
        <v>5102</v>
      </c>
      <c r="AH5103" s="20">
        <v>-402.25678968371795</v>
      </c>
    </row>
    <row r="5104" spans="1:34" ht="14.5" x14ac:dyDescent="0.35">
      <c r="A5104" s="34"/>
      <c r="B5104" s="35"/>
      <c r="C5104" s="36"/>
      <c r="D5104" s="37"/>
      <c r="E5104" s="36"/>
      <c r="F5104" s="42"/>
      <c r="G5104" s="42"/>
      <c r="H5104" s="42"/>
      <c r="AG5104" s="19">
        <v>5103</v>
      </c>
      <c r="AH5104" s="20">
        <v>-1881.3718225010173</v>
      </c>
    </row>
    <row r="5105" spans="1:34" ht="14.5" x14ac:dyDescent="0.35">
      <c r="A5105" s="34"/>
      <c r="B5105" s="35"/>
      <c r="C5105" s="36"/>
      <c r="D5105" s="37"/>
      <c r="E5105" s="36"/>
      <c r="F5105" s="42"/>
      <c r="G5105" s="42"/>
      <c r="H5105" s="42"/>
      <c r="AG5105" s="19">
        <v>5104</v>
      </c>
      <c r="AH5105" s="20">
        <v>179.22865233695586</v>
      </c>
    </row>
    <row r="5106" spans="1:34" ht="14.5" x14ac:dyDescent="0.35">
      <c r="A5106" s="34"/>
      <c r="B5106" s="35"/>
      <c r="C5106" s="36"/>
      <c r="D5106" s="37"/>
      <c r="E5106" s="36"/>
      <c r="F5106" s="42"/>
      <c r="G5106" s="42"/>
      <c r="H5106" s="42"/>
      <c r="AG5106" s="19">
        <v>5105</v>
      </c>
      <c r="AH5106" s="20">
        <v>3826.3194691777353</v>
      </c>
    </row>
    <row r="5107" spans="1:34" ht="14.5" x14ac:dyDescent="0.35">
      <c r="A5107" s="34"/>
      <c r="B5107" s="35"/>
      <c r="C5107" s="36"/>
      <c r="D5107" s="37"/>
      <c r="E5107" s="36"/>
      <c r="F5107" s="42"/>
      <c r="G5107" s="42"/>
      <c r="H5107" s="42"/>
      <c r="AG5107" s="19">
        <v>5106</v>
      </c>
      <c r="AH5107" s="20">
        <v>-372.87088036076278</v>
      </c>
    </row>
    <row r="5108" spans="1:34" ht="14.5" x14ac:dyDescent="0.35">
      <c r="A5108" s="34"/>
      <c r="B5108" s="35"/>
      <c r="C5108" s="36"/>
      <c r="D5108" s="37"/>
      <c r="E5108" s="36"/>
      <c r="F5108" s="42"/>
      <c r="G5108" s="42"/>
      <c r="H5108" s="42"/>
      <c r="AG5108" s="19">
        <v>5107</v>
      </c>
      <c r="AH5108" s="20">
        <v>626.6987808307839</v>
      </c>
    </row>
    <row r="5109" spans="1:34" ht="14.5" x14ac:dyDescent="0.35">
      <c r="A5109" s="34"/>
      <c r="B5109" s="35"/>
      <c r="C5109" s="36"/>
      <c r="D5109" s="37"/>
      <c r="E5109" s="36"/>
      <c r="F5109" s="42"/>
      <c r="G5109" s="42"/>
      <c r="H5109" s="42"/>
      <c r="AG5109" s="19">
        <v>5108</v>
      </c>
      <c r="AH5109" s="20">
        <v>-1857.5413004007789</v>
      </c>
    </row>
    <row r="5110" spans="1:34" ht="14.5" x14ac:dyDescent="0.35">
      <c r="A5110" s="34"/>
      <c r="B5110" s="35"/>
      <c r="C5110" s="36"/>
      <c r="D5110" s="37"/>
      <c r="E5110" s="36"/>
      <c r="F5110" s="42"/>
      <c r="G5110" s="42"/>
      <c r="H5110" s="42"/>
      <c r="AG5110" s="19">
        <v>5109</v>
      </c>
      <c r="AH5110" s="20">
        <v>874.3106531778684</v>
      </c>
    </row>
    <row r="5111" spans="1:34" ht="14.5" x14ac:dyDescent="0.35">
      <c r="A5111" s="34"/>
      <c r="B5111" s="35"/>
      <c r="C5111" s="36"/>
      <c r="D5111" s="37"/>
      <c r="E5111" s="36"/>
      <c r="F5111" s="42"/>
      <c r="G5111" s="42"/>
      <c r="H5111" s="42"/>
      <c r="AG5111" s="19">
        <v>5110</v>
      </c>
      <c r="AH5111" s="20">
        <v>-1802.2168497652449</v>
      </c>
    </row>
    <row r="5112" spans="1:34" ht="14.5" x14ac:dyDescent="0.35">
      <c r="A5112" s="34"/>
      <c r="B5112" s="35"/>
      <c r="C5112" s="36"/>
      <c r="D5112" s="37"/>
      <c r="E5112" s="36"/>
      <c r="F5112" s="42"/>
      <c r="G5112" s="42"/>
      <c r="H5112" s="42"/>
      <c r="AG5112" s="19">
        <v>5111</v>
      </c>
      <c r="AH5112" s="20">
        <v>331.68758622889482</v>
      </c>
    </row>
    <row r="5113" spans="1:34" ht="14.5" x14ac:dyDescent="0.35">
      <c r="A5113" s="34"/>
      <c r="B5113" s="35"/>
      <c r="C5113" s="36"/>
      <c r="D5113" s="37"/>
      <c r="E5113" s="36"/>
      <c r="F5113" s="42"/>
      <c r="G5113" s="42"/>
      <c r="H5113" s="42"/>
      <c r="AG5113" s="19">
        <v>5112</v>
      </c>
      <c r="AH5113" s="20">
        <v>1263.9942298410604</v>
      </c>
    </row>
    <row r="5114" spans="1:34" ht="14.5" x14ac:dyDescent="0.35">
      <c r="A5114" s="34"/>
      <c r="B5114" s="35"/>
      <c r="C5114" s="36"/>
      <c r="D5114" s="37"/>
      <c r="E5114" s="36"/>
      <c r="F5114" s="42"/>
      <c r="G5114" s="42"/>
      <c r="H5114" s="42"/>
      <c r="AG5114" s="19">
        <v>5113</v>
      </c>
      <c r="AH5114" s="20">
        <v>-952.44018653670832</v>
      </c>
    </row>
    <row r="5115" spans="1:34" ht="14.5" x14ac:dyDescent="0.35">
      <c r="A5115" s="34"/>
      <c r="B5115" s="35"/>
      <c r="C5115" s="36"/>
      <c r="D5115" s="37"/>
      <c r="E5115" s="36"/>
      <c r="F5115" s="42"/>
      <c r="G5115" s="42"/>
      <c r="H5115" s="42"/>
      <c r="AG5115" s="19">
        <v>5114</v>
      </c>
      <c r="AH5115" s="20">
        <v>2919.2127250846452</v>
      </c>
    </row>
    <row r="5116" spans="1:34" ht="14.5" x14ac:dyDescent="0.35">
      <c r="A5116" s="34"/>
      <c r="B5116" s="35"/>
      <c r="C5116" s="36"/>
      <c r="D5116" s="37"/>
      <c r="E5116" s="36"/>
      <c r="F5116" s="42"/>
      <c r="G5116" s="42"/>
      <c r="H5116" s="42"/>
      <c r="AG5116" s="19">
        <v>5115</v>
      </c>
      <c r="AH5116" s="20">
        <v>-551.39336582374722</v>
      </c>
    </row>
    <row r="5117" spans="1:34" ht="14.5" x14ac:dyDescent="0.35">
      <c r="A5117" s="34"/>
      <c r="B5117" s="35"/>
      <c r="C5117" s="36"/>
      <c r="D5117" s="37"/>
      <c r="E5117" s="36"/>
      <c r="F5117" s="42"/>
      <c r="G5117" s="42"/>
      <c r="H5117" s="42"/>
      <c r="AG5117" s="19">
        <v>5116</v>
      </c>
      <c r="AH5117" s="20">
        <v>-109.09561372865858</v>
      </c>
    </row>
    <row r="5118" spans="1:34" ht="14.5" x14ac:dyDescent="0.35">
      <c r="A5118" s="34"/>
      <c r="B5118" s="35"/>
      <c r="C5118" s="36"/>
      <c r="D5118" s="37"/>
      <c r="E5118" s="36"/>
      <c r="F5118" s="42"/>
      <c r="G5118" s="42"/>
      <c r="H5118" s="42"/>
      <c r="AG5118" s="19">
        <v>5117</v>
      </c>
      <c r="AH5118" s="20">
        <v>175.00026429607374</v>
      </c>
    </row>
    <row r="5119" spans="1:34" ht="14.5" x14ac:dyDescent="0.35">
      <c r="A5119" s="34"/>
      <c r="B5119" s="35"/>
      <c r="C5119" s="36"/>
      <c r="D5119" s="37"/>
      <c r="E5119" s="36"/>
      <c r="F5119" s="42"/>
      <c r="G5119" s="42"/>
      <c r="H5119" s="42"/>
      <c r="AG5119" s="19">
        <v>5118</v>
      </c>
      <c r="AH5119" s="20">
        <v>-2484.3070642195303</v>
      </c>
    </row>
    <row r="5120" spans="1:34" ht="14.5" x14ac:dyDescent="0.35">
      <c r="A5120" s="34"/>
      <c r="B5120" s="35"/>
      <c r="C5120" s="36"/>
      <c r="D5120" s="37"/>
      <c r="E5120" s="36"/>
      <c r="F5120" s="42"/>
      <c r="G5120" s="42"/>
      <c r="H5120" s="42"/>
      <c r="AG5120" s="19">
        <v>5119</v>
      </c>
      <c r="AH5120" s="20">
        <v>54.117113694637681</v>
      </c>
    </row>
    <row r="5121" spans="1:34" ht="14.5" x14ac:dyDescent="0.35">
      <c r="A5121" s="34"/>
      <c r="B5121" s="35"/>
      <c r="C5121" s="36"/>
      <c r="D5121" s="37"/>
      <c r="E5121" s="36"/>
      <c r="F5121" s="42"/>
      <c r="G5121" s="42"/>
      <c r="H5121" s="42"/>
      <c r="AG5121" s="19">
        <v>5120</v>
      </c>
      <c r="AH5121" s="20">
        <v>-2493.2617070379824</v>
      </c>
    </row>
    <row r="5122" spans="1:34" ht="14.5" x14ac:dyDescent="0.35">
      <c r="A5122" s="34"/>
      <c r="B5122" s="35"/>
      <c r="C5122" s="36"/>
      <c r="D5122" s="37"/>
      <c r="E5122" s="36"/>
      <c r="F5122" s="42"/>
      <c r="G5122" s="42"/>
      <c r="H5122" s="42"/>
      <c r="AG5122" s="19">
        <v>5121</v>
      </c>
      <c r="AH5122" s="20">
        <v>-3399.1587767506862</v>
      </c>
    </row>
    <row r="5123" spans="1:34" ht="14.5" x14ac:dyDescent="0.35">
      <c r="A5123" s="34"/>
      <c r="B5123" s="35"/>
      <c r="C5123" s="36"/>
      <c r="D5123" s="37"/>
      <c r="E5123" s="36"/>
      <c r="F5123" s="42"/>
      <c r="G5123" s="42"/>
      <c r="H5123" s="42"/>
      <c r="AG5123" s="19">
        <v>5122</v>
      </c>
      <c r="AH5123" s="20">
        <v>1403.3017947435783</v>
      </c>
    </row>
    <row r="5124" spans="1:34" ht="14.5" x14ac:dyDescent="0.35">
      <c r="A5124" s="34"/>
      <c r="B5124" s="35"/>
      <c r="C5124" s="36"/>
      <c r="D5124" s="37"/>
      <c r="E5124" s="36"/>
      <c r="F5124" s="42"/>
      <c r="G5124" s="42"/>
      <c r="H5124" s="42"/>
      <c r="AG5124" s="19">
        <v>5123</v>
      </c>
      <c r="AH5124" s="20">
        <v>1958.941184558774</v>
      </c>
    </row>
    <row r="5125" spans="1:34" ht="14.5" x14ac:dyDescent="0.35">
      <c r="A5125" s="34"/>
      <c r="B5125" s="35"/>
      <c r="C5125" s="36"/>
      <c r="D5125" s="37"/>
      <c r="E5125" s="36"/>
      <c r="F5125" s="42"/>
      <c r="G5125" s="42"/>
      <c r="H5125" s="42"/>
      <c r="AG5125" s="19">
        <v>5124</v>
      </c>
      <c r="AH5125" s="20">
        <v>-956.20123061489517</v>
      </c>
    </row>
    <row r="5126" spans="1:34" ht="14.5" x14ac:dyDescent="0.35">
      <c r="A5126" s="34"/>
      <c r="B5126" s="35"/>
      <c r="C5126" s="36"/>
      <c r="D5126" s="37"/>
      <c r="E5126" s="36"/>
      <c r="F5126" s="42"/>
      <c r="G5126" s="42"/>
      <c r="H5126" s="42"/>
      <c r="AG5126" s="19">
        <v>5125</v>
      </c>
      <c r="AH5126" s="20">
        <v>-88.521065611796132</v>
      </c>
    </row>
    <row r="5127" spans="1:34" ht="14.5" x14ac:dyDescent="0.35">
      <c r="A5127" s="34"/>
      <c r="B5127" s="35"/>
      <c r="C5127" s="36"/>
      <c r="D5127" s="37"/>
      <c r="E5127" s="36"/>
      <c r="F5127" s="42"/>
      <c r="G5127" s="42"/>
      <c r="H5127" s="42"/>
      <c r="AG5127" s="19">
        <v>5126</v>
      </c>
      <c r="AH5127" s="20">
        <v>4820.7055441408538</v>
      </c>
    </row>
    <row r="5128" spans="1:34" ht="14.5" x14ac:dyDescent="0.35">
      <c r="A5128" s="34"/>
      <c r="B5128" s="35"/>
      <c r="C5128" s="36"/>
      <c r="D5128" s="37"/>
      <c r="E5128" s="36"/>
      <c r="F5128" s="42"/>
      <c r="G5128" s="42"/>
      <c r="H5128" s="42"/>
      <c r="AG5128" s="19">
        <v>5127</v>
      </c>
      <c r="AH5128" s="20">
        <v>2383.0248386841272</v>
      </c>
    </row>
    <row r="5129" spans="1:34" ht="14.5" x14ac:dyDescent="0.35">
      <c r="A5129" s="34"/>
      <c r="B5129" s="35"/>
      <c r="C5129" s="36"/>
      <c r="D5129" s="37"/>
      <c r="E5129" s="36"/>
      <c r="F5129" s="42"/>
      <c r="G5129" s="42"/>
      <c r="H5129" s="42"/>
      <c r="AG5129" s="19">
        <v>5128</v>
      </c>
      <c r="AH5129" s="20">
        <v>929.09171340187299</v>
      </c>
    </row>
    <row r="5130" spans="1:34" ht="14.5" x14ac:dyDescent="0.35">
      <c r="A5130" s="34"/>
      <c r="B5130" s="35"/>
      <c r="C5130" s="36"/>
      <c r="D5130" s="37"/>
      <c r="E5130" s="36"/>
      <c r="F5130" s="42"/>
      <c r="G5130" s="42"/>
      <c r="H5130" s="42"/>
      <c r="AG5130" s="19">
        <v>5129</v>
      </c>
      <c r="AH5130" s="20">
        <v>816.98053365548253</v>
      </c>
    </row>
    <row r="5131" spans="1:34" ht="14.5" x14ac:dyDescent="0.35">
      <c r="A5131" s="34"/>
      <c r="B5131" s="35"/>
      <c r="C5131" s="36"/>
      <c r="D5131" s="37"/>
      <c r="E5131" s="36"/>
      <c r="F5131" s="42"/>
      <c r="G5131" s="42"/>
      <c r="H5131" s="42"/>
      <c r="AG5131" s="19">
        <v>5130</v>
      </c>
      <c r="AH5131" s="20">
        <v>1579.2278906710517</v>
      </c>
    </row>
    <row r="5132" spans="1:34" ht="14.5" x14ac:dyDescent="0.35">
      <c r="A5132" s="34"/>
      <c r="B5132" s="35"/>
      <c r="C5132" s="36"/>
      <c r="D5132" s="37"/>
      <c r="E5132" s="36"/>
      <c r="F5132" s="42"/>
      <c r="G5132" s="42"/>
      <c r="H5132" s="42"/>
      <c r="AG5132" s="19">
        <v>5131</v>
      </c>
      <c r="AH5132" s="20">
        <v>1848.8741315463637</v>
      </c>
    </row>
    <row r="5133" spans="1:34" ht="14.5" x14ac:dyDescent="0.35">
      <c r="A5133" s="34"/>
      <c r="B5133" s="35"/>
      <c r="C5133" s="36"/>
      <c r="D5133" s="37"/>
      <c r="E5133" s="36"/>
      <c r="F5133" s="42"/>
      <c r="G5133" s="42"/>
      <c r="H5133" s="42"/>
      <c r="AG5133" s="19">
        <v>5132</v>
      </c>
      <c r="AH5133" s="20">
        <v>-360.97699122384682</v>
      </c>
    </row>
    <row r="5134" spans="1:34" ht="14.5" x14ac:dyDescent="0.35">
      <c r="A5134" s="34"/>
      <c r="B5134" s="35"/>
      <c r="C5134" s="36"/>
      <c r="D5134" s="37"/>
      <c r="E5134" s="36"/>
      <c r="F5134" s="42"/>
      <c r="G5134" s="42"/>
      <c r="H5134" s="42"/>
      <c r="AG5134" s="19">
        <v>5133</v>
      </c>
      <c r="AH5134" s="20">
        <v>-1284.9918339172721</v>
      </c>
    </row>
    <row r="5135" spans="1:34" ht="14.5" x14ac:dyDescent="0.35">
      <c r="A5135" s="34"/>
      <c r="B5135" s="35"/>
      <c r="C5135" s="36"/>
      <c r="D5135" s="37"/>
      <c r="E5135" s="36"/>
      <c r="F5135" s="42"/>
      <c r="G5135" s="42"/>
      <c r="H5135" s="42"/>
      <c r="AG5135" s="19">
        <v>5134</v>
      </c>
      <c r="AH5135" s="20">
        <v>-2338.3890732143554</v>
      </c>
    </row>
    <row r="5136" spans="1:34" ht="14.5" x14ac:dyDescent="0.35">
      <c r="A5136" s="34"/>
      <c r="B5136" s="35"/>
      <c r="C5136" s="36"/>
      <c r="D5136" s="37"/>
      <c r="E5136" s="36"/>
      <c r="F5136" s="42"/>
      <c r="G5136" s="42"/>
      <c r="H5136" s="42"/>
      <c r="AG5136" s="19">
        <v>5135</v>
      </c>
      <c r="AH5136" s="20">
        <v>-660.63543805001473</v>
      </c>
    </row>
    <row r="5137" spans="1:34" ht="14.5" x14ac:dyDescent="0.35">
      <c r="A5137" s="34"/>
      <c r="B5137" s="35"/>
      <c r="C5137" s="36"/>
      <c r="D5137" s="37"/>
      <c r="E5137" s="36"/>
      <c r="F5137" s="42"/>
      <c r="G5137" s="42"/>
      <c r="H5137" s="42"/>
      <c r="AG5137" s="19">
        <v>5136</v>
      </c>
      <c r="AH5137" s="20">
        <v>-963.27188086732303</v>
      </c>
    </row>
    <row r="5138" spans="1:34" ht="14.5" x14ac:dyDescent="0.35">
      <c r="A5138" s="34"/>
      <c r="B5138" s="35"/>
      <c r="C5138" s="36"/>
      <c r="D5138" s="37"/>
      <c r="E5138" s="36"/>
      <c r="F5138" s="42"/>
      <c r="G5138" s="42"/>
      <c r="H5138" s="42"/>
      <c r="AG5138" s="19">
        <v>5137</v>
      </c>
      <c r="AH5138" s="20">
        <v>-1452.7497977087869</v>
      </c>
    </row>
    <row r="5139" spans="1:34" ht="14.5" x14ac:dyDescent="0.35">
      <c r="A5139" s="34"/>
      <c r="B5139" s="35"/>
      <c r="C5139" s="36"/>
      <c r="D5139" s="37"/>
      <c r="E5139" s="36"/>
      <c r="F5139" s="42"/>
      <c r="G5139" s="42"/>
      <c r="H5139" s="42"/>
      <c r="AG5139" s="19">
        <v>5138</v>
      </c>
      <c r="AH5139" s="20">
        <v>515.04379547383155</v>
      </c>
    </row>
    <row r="5140" spans="1:34" ht="14.5" x14ac:dyDescent="0.35">
      <c r="A5140" s="34"/>
      <c r="B5140" s="35"/>
      <c r="C5140" s="36"/>
      <c r="D5140" s="37"/>
      <c r="E5140" s="36"/>
      <c r="F5140" s="42"/>
      <c r="G5140" s="42"/>
      <c r="H5140" s="42"/>
      <c r="AG5140" s="19">
        <v>5139</v>
      </c>
      <c r="AH5140" s="20">
        <v>-542.99938110935273</v>
      </c>
    </row>
    <row r="5141" spans="1:34" ht="14.5" x14ac:dyDescent="0.35">
      <c r="A5141" s="34"/>
      <c r="B5141" s="35"/>
      <c r="C5141" s="36"/>
      <c r="D5141" s="37"/>
      <c r="E5141" s="36"/>
      <c r="F5141" s="42"/>
      <c r="G5141" s="42"/>
      <c r="H5141" s="42"/>
      <c r="AG5141" s="19">
        <v>5140</v>
      </c>
      <c r="AH5141" s="20">
        <v>2730.8580087805681</v>
      </c>
    </row>
    <row r="5142" spans="1:34" ht="14.5" x14ac:dyDescent="0.35">
      <c r="A5142" s="34"/>
      <c r="B5142" s="35"/>
      <c r="C5142" s="36"/>
      <c r="D5142" s="37"/>
      <c r="E5142" s="36"/>
      <c r="F5142" s="42"/>
      <c r="G5142" s="42"/>
      <c r="H5142" s="42"/>
      <c r="AG5142" s="19">
        <v>5141</v>
      </c>
      <c r="AH5142" s="20">
        <v>-746.44506860579213</v>
      </c>
    </row>
    <row r="5143" spans="1:34" ht="14.5" x14ac:dyDescent="0.35">
      <c r="A5143" s="34"/>
      <c r="B5143" s="35"/>
      <c r="C5143" s="36"/>
      <c r="D5143" s="37"/>
      <c r="E5143" s="36"/>
      <c r="F5143" s="42"/>
      <c r="G5143" s="42"/>
      <c r="H5143" s="42"/>
      <c r="AG5143" s="19">
        <v>5142</v>
      </c>
      <c r="AH5143" s="20">
        <v>-23.586014274349793</v>
      </c>
    </row>
    <row r="5144" spans="1:34" ht="14.5" x14ac:dyDescent="0.35">
      <c r="A5144" s="34"/>
      <c r="B5144" s="35"/>
      <c r="C5144" s="36"/>
      <c r="D5144" s="37"/>
      <c r="E5144" s="36"/>
      <c r="F5144" s="42"/>
      <c r="G5144" s="42"/>
      <c r="H5144" s="42"/>
      <c r="AG5144" s="19">
        <v>5143</v>
      </c>
      <c r="AH5144" s="20">
        <v>2208.0700701318369</v>
      </c>
    </row>
    <row r="5145" spans="1:34" ht="14.5" x14ac:dyDescent="0.35">
      <c r="A5145" s="34"/>
      <c r="B5145" s="35"/>
      <c r="C5145" s="36"/>
      <c r="D5145" s="37"/>
      <c r="E5145" s="36"/>
      <c r="F5145" s="42"/>
      <c r="G5145" s="42"/>
      <c r="H5145" s="42"/>
      <c r="AG5145" s="19">
        <v>5144</v>
      </c>
      <c r="AH5145" s="20">
        <v>-8.3061171942712804</v>
      </c>
    </row>
    <row r="5146" spans="1:34" ht="14.5" x14ac:dyDescent="0.35">
      <c r="A5146" s="34"/>
      <c r="B5146" s="35"/>
      <c r="C5146" s="36"/>
      <c r="D5146" s="37"/>
      <c r="E5146" s="36"/>
      <c r="F5146" s="42"/>
      <c r="G5146" s="42"/>
      <c r="H5146" s="42"/>
      <c r="AG5146" s="19">
        <v>5145</v>
      </c>
      <c r="AH5146" s="20">
        <v>-331.95975427804814</v>
      </c>
    </row>
    <row r="5147" spans="1:34" ht="14.5" x14ac:dyDescent="0.35">
      <c r="A5147" s="34"/>
      <c r="B5147" s="35"/>
      <c r="C5147" s="36"/>
      <c r="D5147" s="37"/>
      <c r="E5147" s="36"/>
      <c r="F5147" s="42"/>
      <c r="G5147" s="42"/>
      <c r="H5147" s="42"/>
      <c r="AG5147" s="19">
        <v>5146</v>
      </c>
      <c r="AH5147" s="20">
        <v>483.9674800740446</v>
      </c>
    </row>
    <row r="5148" spans="1:34" ht="14.5" x14ac:dyDescent="0.35">
      <c r="A5148" s="34"/>
      <c r="B5148" s="35"/>
      <c r="C5148" s="36"/>
      <c r="D5148" s="37"/>
      <c r="E5148" s="36"/>
      <c r="F5148" s="42"/>
      <c r="G5148" s="42"/>
      <c r="H5148" s="42"/>
      <c r="AG5148" s="19">
        <v>5147</v>
      </c>
      <c r="AH5148" s="20">
        <v>420.02723503052982</v>
      </c>
    </row>
    <row r="5149" spans="1:34" ht="14.5" x14ac:dyDescent="0.35">
      <c r="A5149" s="34"/>
      <c r="B5149" s="35"/>
      <c r="C5149" s="36"/>
      <c r="D5149" s="37"/>
      <c r="E5149" s="36"/>
      <c r="F5149" s="42"/>
      <c r="G5149" s="42"/>
      <c r="H5149" s="42"/>
      <c r="AG5149" s="19">
        <v>5148</v>
      </c>
      <c r="AH5149" s="20">
        <v>1749.5323151385317</v>
      </c>
    </row>
    <row r="5150" spans="1:34" ht="14.5" x14ac:dyDescent="0.35">
      <c r="A5150" s="34"/>
      <c r="B5150" s="35"/>
      <c r="C5150" s="36"/>
      <c r="D5150" s="37"/>
      <c r="E5150" s="36"/>
      <c r="F5150" s="42"/>
      <c r="G5150" s="42"/>
      <c r="H5150" s="42"/>
      <c r="AG5150" s="19">
        <v>5149</v>
      </c>
      <c r="AH5150" s="20">
        <v>1712.9771034827727</v>
      </c>
    </row>
    <row r="5151" spans="1:34" ht="14.5" x14ac:dyDescent="0.35">
      <c r="A5151" s="34"/>
      <c r="B5151" s="35"/>
      <c r="C5151" s="36"/>
      <c r="D5151" s="37"/>
      <c r="E5151" s="36"/>
      <c r="F5151" s="42"/>
      <c r="G5151" s="42"/>
      <c r="H5151" s="42"/>
      <c r="AG5151" s="19">
        <v>5150</v>
      </c>
      <c r="AH5151" s="20">
        <v>-996.28511184899276</v>
      </c>
    </row>
    <row r="5152" spans="1:34" ht="14.5" x14ac:dyDescent="0.35">
      <c r="A5152" s="34"/>
      <c r="B5152" s="35"/>
      <c r="C5152" s="36"/>
      <c r="D5152" s="37"/>
      <c r="E5152" s="36"/>
      <c r="F5152" s="42"/>
      <c r="G5152" s="42"/>
      <c r="H5152" s="42"/>
      <c r="AG5152" s="19">
        <v>5151</v>
      </c>
      <c r="AH5152" s="20">
        <v>2438.0485920838623</v>
      </c>
    </row>
    <row r="5153" spans="1:34" ht="14.5" x14ac:dyDescent="0.35">
      <c r="A5153" s="34"/>
      <c r="B5153" s="35"/>
      <c r="C5153" s="36"/>
      <c r="D5153" s="37"/>
      <c r="E5153" s="36"/>
      <c r="F5153" s="42"/>
      <c r="G5153" s="42"/>
      <c r="H5153" s="42"/>
      <c r="AG5153" s="19">
        <v>5152</v>
      </c>
      <c r="AH5153" s="20">
        <v>1514.1270225604208</v>
      </c>
    </row>
    <row r="5154" spans="1:34" ht="14.5" x14ac:dyDescent="0.35">
      <c r="A5154" s="34"/>
      <c r="B5154" s="35"/>
      <c r="C5154" s="36"/>
      <c r="D5154" s="37"/>
      <c r="E5154" s="36"/>
      <c r="F5154" s="42"/>
      <c r="G5154" s="42"/>
      <c r="H5154" s="42"/>
      <c r="AG5154" s="19">
        <v>5153</v>
      </c>
      <c r="AH5154" s="20">
        <v>-1725.5181130711555</v>
      </c>
    </row>
    <row r="5155" spans="1:34" ht="14.5" x14ac:dyDescent="0.35">
      <c r="A5155" s="34"/>
      <c r="B5155" s="35"/>
      <c r="C5155" s="36"/>
      <c r="D5155" s="37"/>
      <c r="E5155" s="36"/>
      <c r="F5155" s="42"/>
      <c r="G5155" s="42"/>
      <c r="H5155" s="42"/>
      <c r="AG5155" s="19">
        <v>5154</v>
      </c>
      <c r="AH5155" s="20">
        <v>-2485.9912199995938</v>
      </c>
    </row>
    <row r="5156" spans="1:34" ht="14.5" x14ac:dyDescent="0.35">
      <c r="A5156" s="34"/>
      <c r="B5156" s="35"/>
      <c r="C5156" s="36"/>
      <c r="D5156" s="37"/>
      <c r="E5156" s="36"/>
      <c r="F5156" s="42"/>
      <c r="G5156" s="42"/>
      <c r="H5156" s="42"/>
      <c r="AG5156" s="19">
        <v>5155</v>
      </c>
      <c r="AH5156" s="20">
        <v>622.64870754249034</v>
      </c>
    </row>
    <row r="5157" spans="1:34" ht="14.5" x14ac:dyDescent="0.35">
      <c r="A5157" s="34"/>
      <c r="B5157" s="35"/>
      <c r="C5157" s="36"/>
      <c r="D5157" s="37"/>
      <c r="E5157" s="36"/>
      <c r="F5157" s="42"/>
      <c r="G5157" s="42"/>
      <c r="H5157" s="42"/>
      <c r="AG5157" s="19">
        <v>5156</v>
      </c>
      <c r="AH5157" s="20">
        <v>2137.4939479363125</v>
      </c>
    </row>
    <row r="5158" spans="1:34" ht="14.5" x14ac:dyDescent="0.35">
      <c r="A5158" s="34"/>
      <c r="B5158" s="35"/>
      <c r="C5158" s="36"/>
      <c r="D5158" s="37"/>
      <c r="E5158" s="36"/>
      <c r="F5158" s="42"/>
      <c r="G5158" s="42"/>
      <c r="H5158" s="42"/>
      <c r="AG5158" s="19">
        <v>5157</v>
      </c>
      <c r="AH5158" s="20">
        <v>444.58737683603164</v>
      </c>
    </row>
    <row r="5159" spans="1:34" ht="14.5" x14ac:dyDescent="0.35">
      <c r="A5159" s="34"/>
      <c r="B5159" s="35"/>
      <c r="C5159" s="36"/>
      <c r="D5159" s="37"/>
      <c r="E5159" s="36"/>
      <c r="F5159" s="42"/>
      <c r="G5159" s="42"/>
      <c r="H5159" s="42"/>
      <c r="AG5159" s="19">
        <v>5158</v>
      </c>
      <c r="AH5159" s="20">
        <v>918.56999723297463</v>
      </c>
    </row>
    <row r="5160" spans="1:34" ht="14.5" x14ac:dyDescent="0.35">
      <c r="A5160" s="34"/>
      <c r="B5160" s="35"/>
      <c r="C5160" s="36"/>
      <c r="D5160" s="37"/>
      <c r="E5160" s="36"/>
      <c r="F5160" s="42"/>
      <c r="G5160" s="42"/>
      <c r="H5160" s="42"/>
      <c r="AG5160" s="19">
        <v>5159</v>
      </c>
      <c r="AH5160" s="20">
        <v>-172.26577653718795</v>
      </c>
    </row>
    <row r="5161" spans="1:34" ht="14.5" x14ac:dyDescent="0.35">
      <c r="A5161" s="34"/>
      <c r="B5161" s="35"/>
      <c r="C5161" s="36"/>
      <c r="D5161" s="37"/>
      <c r="E5161" s="36"/>
      <c r="F5161" s="42"/>
      <c r="G5161" s="42"/>
      <c r="H5161" s="42"/>
      <c r="AG5161" s="19">
        <v>5160</v>
      </c>
      <c r="AH5161" s="20">
        <v>-432.66836440547655</v>
      </c>
    </row>
    <row r="5162" spans="1:34" ht="14.5" x14ac:dyDescent="0.35">
      <c r="A5162" s="34"/>
      <c r="B5162" s="35"/>
      <c r="C5162" s="36"/>
      <c r="D5162" s="37"/>
      <c r="E5162" s="36"/>
      <c r="F5162" s="42"/>
      <c r="G5162" s="42"/>
      <c r="H5162" s="42"/>
      <c r="AG5162" s="19">
        <v>5161</v>
      </c>
      <c r="AH5162" s="20">
        <v>-1247.1919650334494</v>
      </c>
    </row>
    <row r="5163" spans="1:34" ht="14.5" x14ac:dyDescent="0.35">
      <c r="A5163" s="34"/>
      <c r="B5163" s="35"/>
      <c r="C5163" s="36"/>
      <c r="D5163" s="37"/>
      <c r="E5163" s="36"/>
      <c r="F5163" s="42"/>
      <c r="G5163" s="42"/>
      <c r="H5163" s="42"/>
      <c r="AG5163" s="19">
        <v>5162</v>
      </c>
      <c r="AH5163" s="20">
        <v>1572.5744842013219</v>
      </c>
    </row>
    <row r="5164" spans="1:34" ht="14.5" x14ac:dyDescent="0.35">
      <c r="A5164" s="34"/>
      <c r="B5164" s="35"/>
      <c r="C5164" s="36"/>
      <c r="D5164" s="37"/>
      <c r="E5164" s="36"/>
      <c r="F5164" s="42"/>
      <c r="G5164" s="42"/>
      <c r="H5164" s="42"/>
      <c r="AG5164" s="19">
        <v>5163</v>
      </c>
      <c r="AH5164" s="20">
        <v>624.43975968460632</v>
      </c>
    </row>
    <row r="5165" spans="1:34" ht="14.5" x14ac:dyDescent="0.35">
      <c r="A5165" s="34"/>
      <c r="B5165" s="35"/>
      <c r="C5165" s="36"/>
      <c r="D5165" s="37"/>
      <c r="E5165" s="36"/>
      <c r="F5165" s="42"/>
      <c r="G5165" s="42"/>
      <c r="H5165" s="42"/>
      <c r="AG5165" s="19">
        <v>5164</v>
      </c>
      <c r="AH5165" s="20">
        <v>-1875.895235660307</v>
      </c>
    </row>
    <row r="5166" spans="1:34" ht="14.5" x14ac:dyDescent="0.35">
      <c r="A5166" s="34"/>
      <c r="B5166" s="35"/>
      <c r="C5166" s="36"/>
      <c r="D5166" s="37"/>
      <c r="E5166" s="36"/>
      <c r="F5166" s="42"/>
      <c r="G5166" s="42"/>
      <c r="H5166" s="42"/>
      <c r="AG5166" s="19">
        <v>5165</v>
      </c>
      <c r="AH5166" s="20">
        <v>-3709.6903872245221</v>
      </c>
    </row>
    <row r="5167" spans="1:34" ht="14.5" x14ac:dyDescent="0.35">
      <c r="A5167" s="34"/>
      <c r="B5167" s="35"/>
      <c r="C5167" s="36"/>
      <c r="D5167" s="37"/>
      <c r="E5167" s="36"/>
      <c r="F5167" s="42"/>
      <c r="G5167" s="42"/>
      <c r="H5167" s="42"/>
      <c r="AG5167" s="19">
        <v>5166</v>
      </c>
      <c r="AH5167" s="20">
        <v>-3345.3823094608329</v>
      </c>
    </row>
    <row r="5168" spans="1:34" ht="14.5" x14ac:dyDescent="0.35">
      <c r="A5168" s="34"/>
      <c r="B5168" s="35"/>
      <c r="C5168" s="36"/>
      <c r="D5168" s="37"/>
      <c r="E5168" s="36"/>
      <c r="F5168" s="42"/>
      <c r="G5168" s="42"/>
      <c r="H5168" s="42"/>
      <c r="AG5168" s="19">
        <v>5167</v>
      </c>
      <c r="AH5168" s="20">
        <v>2377.4419518057121</v>
      </c>
    </row>
    <row r="5169" spans="1:34" ht="14.5" x14ac:dyDescent="0.35">
      <c r="A5169" s="34"/>
      <c r="B5169" s="35"/>
      <c r="C5169" s="36"/>
      <c r="D5169" s="37"/>
      <c r="E5169" s="36"/>
      <c r="F5169" s="42"/>
      <c r="G5169" s="42"/>
      <c r="H5169" s="42"/>
      <c r="AG5169" s="19">
        <v>5168</v>
      </c>
      <c r="AH5169" s="20">
        <v>702.21991296032957</v>
      </c>
    </row>
    <row r="5170" spans="1:34" ht="14.5" x14ac:dyDescent="0.35">
      <c r="A5170" s="34"/>
      <c r="B5170" s="35"/>
      <c r="C5170" s="36"/>
      <c r="D5170" s="37"/>
      <c r="E5170" s="36"/>
      <c r="F5170" s="42"/>
      <c r="G5170" s="42"/>
      <c r="H5170" s="42"/>
      <c r="AG5170" s="19">
        <v>5169</v>
      </c>
      <c r="AH5170" s="20">
        <v>4091.276247887869</v>
      </c>
    </row>
    <row r="5171" spans="1:34" ht="14.5" x14ac:dyDescent="0.35">
      <c r="A5171" s="34"/>
      <c r="B5171" s="35"/>
      <c r="C5171" s="36"/>
      <c r="D5171" s="37"/>
      <c r="E5171" s="36"/>
      <c r="F5171" s="42"/>
      <c r="G5171" s="42"/>
      <c r="H5171" s="42"/>
      <c r="AG5171" s="19">
        <v>5170</v>
      </c>
      <c r="AH5171" s="20">
        <v>2478.5232079327598</v>
      </c>
    </row>
    <row r="5172" spans="1:34" ht="14.5" x14ac:dyDescent="0.35">
      <c r="A5172" s="34"/>
      <c r="B5172" s="35"/>
      <c r="C5172" s="36"/>
      <c r="D5172" s="37"/>
      <c r="E5172" s="36"/>
      <c r="F5172" s="42"/>
      <c r="G5172" s="42"/>
      <c r="H5172" s="42"/>
      <c r="AG5172" s="19">
        <v>5171</v>
      </c>
      <c r="AH5172" s="20">
        <v>-360.87344144332536</v>
      </c>
    </row>
    <row r="5173" spans="1:34" ht="14.5" x14ac:dyDescent="0.35">
      <c r="A5173" s="34"/>
      <c r="B5173" s="35"/>
      <c r="C5173" s="36"/>
      <c r="D5173" s="37"/>
      <c r="E5173" s="36"/>
      <c r="F5173" s="42"/>
      <c r="G5173" s="42"/>
      <c r="H5173" s="42"/>
      <c r="AG5173" s="19">
        <v>5172</v>
      </c>
      <c r="AH5173" s="20">
        <v>-1105.104813974111</v>
      </c>
    </row>
    <row r="5174" spans="1:34" ht="14.5" x14ac:dyDescent="0.35">
      <c r="A5174" s="34"/>
      <c r="B5174" s="35"/>
      <c r="C5174" s="36"/>
      <c r="D5174" s="37"/>
      <c r="E5174" s="36"/>
      <c r="F5174" s="42"/>
      <c r="G5174" s="42"/>
      <c r="H5174" s="42"/>
      <c r="AG5174" s="19">
        <v>5173</v>
      </c>
      <c r="AH5174" s="20">
        <v>-3158.1802882441089</v>
      </c>
    </row>
    <row r="5175" spans="1:34" ht="14.5" x14ac:dyDescent="0.35">
      <c r="A5175" s="34"/>
      <c r="B5175" s="35"/>
      <c r="C5175" s="36"/>
      <c r="D5175" s="37"/>
      <c r="E5175" s="36"/>
      <c r="F5175" s="42"/>
      <c r="G5175" s="42"/>
      <c r="H5175" s="42"/>
      <c r="AG5175" s="19">
        <v>5174</v>
      </c>
      <c r="AH5175" s="20">
        <v>1926.7296894105007</v>
      </c>
    </row>
    <row r="5176" spans="1:34" ht="14.5" x14ac:dyDescent="0.35">
      <c r="A5176" s="34"/>
      <c r="B5176" s="35"/>
      <c r="C5176" s="36"/>
      <c r="D5176" s="37"/>
      <c r="E5176" s="36"/>
      <c r="F5176" s="42"/>
      <c r="G5176" s="42"/>
      <c r="H5176" s="42"/>
      <c r="AG5176" s="19">
        <v>5175</v>
      </c>
      <c r="AH5176" s="20">
        <v>-28.784357199611634</v>
      </c>
    </row>
    <row r="5177" spans="1:34" ht="14.5" x14ac:dyDescent="0.35">
      <c r="A5177" s="34"/>
      <c r="B5177" s="35"/>
      <c r="C5177" s="36"/>
      <c r="D5177" s="37"/>
      <c r="E5177" s="36"/>
      <c r="F5177" s="42"/>
      <c r="G5177" s="42"/>
      <c r="H5177" s="42"/>
      <c r="AG5177" s="19">
        <v>5176</v>
      </c>
      <c r="AH5177" s="20">
        <v>-3539.7757780581351</v>
      </c>
    </row>
    <row r="5178" spans="1:34" ht="14.5" x14ac:dyDescent="0.35">
      <c r="A5178" s="34"/>
      <c r="B5178" s="35"/>
      <c r="C5178" s="36"/>
      <c r="D5178" s="37"/>
      <c r="E5178" s="36"/>
      <c r="F5178" s="42"/>
      <c r="G5178" s="42"/>
      <c r="H5178" s="42"/>
      <c r="AG5178" s="19">
        <v>5177</v>
      </c>
      <c r="AH5178" s="20">
        <v>-2215.587657382338</v>
      </c>
    </row>
    <row r="5179" spans="1:34" ht="14.5" x14ac:dyDescent="0.35">
      <c r="A5179" s="34"/>
      <c r="B5179" s="35"/>
      <c r="C5179" s="36"/>
      <c r="D5179" s="37"/>
      <c r="E5179" s="36"/>
      <c r="F5179" s="42"/>
      <c r="G5179" s="42"/>
      <c r="H5179" s="42"/>
      <c r="AG5179" s="19">
        <v>5178</v>
      </c>
      <c r="AH5179" s="20">
        <v>-932.63556612354796</v>
      </c>
    </row>
    <row r="5180" spans="1:34" ht="14.5" x14ac:dyDescent="0.35">
      <c r="A5180" s="34"/>
      <c r="B5180" s="35"/>
      <c r="C5180" s="36"/>
      <c r="D5180" s="37"/>
      <c r="E5180" s="36"/>
      <c r="F5180" s="42"/>
      <c r="G5180" s="42"/>
      <c r="H5180" s="42"/>
      <c r="AG5180" s="19">
        <v>5179</v>
      </c>
      <c r="AH5180" s="20">
        <v>1184.648039911493</v>
      </c>
    </row>
    <row r="5181" spans="1:34" ht="14.5" x14ac:dyDescent="0.35">
      <c r="A5181" s="34"/>
      <c r="B5181" s="35"/>
      <c r="C5181" s="36"/>
      <c r="D5181" s="37"/>
      <c r="E5181" s="36"/>
      <c r="F5181" s="42"/>
      <c r="G5181" s="42"/>
      <c r="H5181" s="42"/>
      <c r="AG5181" s="19">
        <v>5180</v>
      </c>
      <c r="AH5181" s="20">
        <v>-225.13180813098978</v>
      </c>
    </row>
    <row r="5182" spans="1:34" ht="14.5" x14ac:dyDescent="0.35">
      <c r="A5182" s="34"/>
      <c r="B5182" s="35"/>
      <c r="C5182" s="36"/>
      <c r="D5182" s="37"/>
      <c r="E5182" s="36"/>
      <c r="F5182" s="42"/>
      <c r="G5182" s="42"/>
      <c r="H5182" s="42"/>
      <c r="AG5182" s="19">
        <v>5181</v>
      </c>
      <c r="AH5182" s="20">
        <v>2921.9656566643871</v>
      </c>
    </row>
    <row r="5183" spans="1:34" ht="14.5" x14ac:dyDescent="0.35">
      <c r="A5183" s="34"/>
      <c r="B5183" s="35"/>
      <c r="C5183" s="36"/>
      <c r="D5183" s="37"/>
      <c r="E5183" s="36"/>
      <c r="F5183" s="42"/>
      <c r="G5183" s="42"/>
      <c r="H5183" s="42"/>
      <c r="AG5183" s="19">
        <v>5182</v>
      </c>
      <c r="AH5183" s="20">
        <v>-337.24637698248608</v>
      </c>
    </row>
    <row r="5184" spans="1:34" ht="14.5" x14ac:dyDescent="0.35">
      <c r="A5184" s="34"/>
      <c r="B5184" s="35"/>
      <c r="C5184" s="36"/>
      <c r="D5184" s="37"/>
      <c r="E5184" s="36"/>
      <c r="F5184" s="42"/>
      <c r="G5184" s="42"/>
      <c r="H5184" s="42"/>
      <c r="AG5184" s="19">
        <v>5183</v>
      </c>
      <c r="AH5184" s="20">
        <v>1244.3820029374874</v>
      </c>
    </row>
    <row r="5185" spans="1:34" ht="14.5" x14ac:dyDescent="0.35">
      <c r="A5185" s="34"/>
      <c r="B5185" s="35"/>
      <c r="C5185" s="36"/>
      <c r="D5185" s="37"/>
      <c r="E5185" s="36"/>
      <c r="F5185" s="42"/>
      <c r="G5185" s="42"/>
      <c r="H5185" s="42"/>
      <c r="AG5185" s="19">
        <v>5184</v>
      </c>
      <c r="AH5185" s="20">
        <v>1955.101849939914</v>
      </c>
    </row>
    <row r="5186" spans="1:34" ht="14.5" x14ac:dyDescent="0.35">
      <c r="A5186" s="34"/>
      <c r="B5186" s="35"/>
      <c r="C5186" s="36"/>
      <c r="D5186" s="37"/>
      <c r="E5186" s="36"/>
      <c r="F5186" s="42"/>
      <c r="G5186" s="42"/>
      <c r="H5186" s="42"/>
      <c r="AG5186" s="19">
        <v>5185</v>
      </c>
      <c r="AH5186" s="20">
        <v>-526.59618428694125</v>
      </c>
    </row>
    <row r="5187" spans="1:34" ht="14.5" x14ac:dyDescent="0.35">
      <c r="A5187" s="34"/>
      <c r="B5187" s="35"/>
      <c r="C5187" s="36"/>
      <c r="D5187" s="37"/>
      <c r="E5187" s="36"/>
      <c r="F5187" s="42"/>
      <c r="G5187" s="42"/>
      <c r="H5187" s="42"/>
      <c r="AG5187" s="19">
        <v>5186</v>
      </c>
      <c r="AH5187" s="20">
        <v>5473.8361481522606</v>
      </c>
    </row>
    <row r="5188" spans="1:34" ht="14.5" x14ac:dyDescent="0.35">
      <c r="A5188" s="34"/>
      <c r="B5188" s="35"/>
      <c r="C5188" s="36"/>
      <c r="D5188" s="37"/>
      <c r="E5188" s="36"/>
      <c r="F5188" s="42"/>
      <c r="G5188" s="42"/>
      <c r="H5188" s="42"/>
      <c r="AG5188" s="19">
        <v>5187</v>
      </c>
      <c r="AH5188" s="20">
        <v>-1892.706642863415</v>
      </c>
    </row>
    <row r="5189" spans="1:34" ht="14.5" x14ac:dyDescent="0.35">
      <c r="A5189" s="34"/>
      <c r="B5189" s="35"/>
      <c r="C5189" s="36"/>
      <c r="D5189" s="37"/>
      <c r="E5189" s="36"/>
      <c r="F5189" s="42"/>
      <c r="G5189" s="42"/>
      <c r="H5189" s="42"/>
      <c r="AG5189" s="19">
        <v>5188</v>
      </c>
      <c r="AH5189" s="20">
        <v>33.237685750113371</v>
      </c>
    </row>
    <row r="5190" spans="1:34" ht="14.5" x14ac:dyDescent="0.35">
      <c r="A5190" s="34"/>
      <c r="B5190" s="35"/>
      <c r="C5190" s="36"/>
      <c r="D5190" s="37"/>
      <c r="E5190" s="36"/>
      <c r="F5190" s="42"/>
      <c r="G5190" s="42"/>
      <c r="H5190" s="42"/>
      <c r="AG5190" s="19">
        <v>5189</v>
      </c>
      <c r="AH5190" s="20">
        <v>2582.2267339057107</v>
      </c>
    </row>
    <row r="5191" spans="1:34" ht="14.5" x14ac:dyDescent="0.35">
      <c r="A5191" s="34"/>
      <c r="B5191" s="35"/>
      <c r="C5191" s="36"/>
      <c r="D5191" s="37"/>
      <c r="E5191" s="36"/>
      <c r="F5191" s="42"/>
      <c r="G5191" s="42"/>
      <c r="H5191" s="42"/>
      <c r="AG5191" s="19">
        <v>5190</v>
      </c>
      <c r="AH5191" s="20">
        <v>536.6930752219339</v>
      </c>
    </row>
    <row r="5192" spans="1:34" ht="14.5" x14ac:dyDescent="0.35">
      <c r="A5192" s="34"/>
      <c r="B5192" s="35"/>
      <c r="C5192" s="36"/>
      <c r="D5192" s="37"/>
      <c r="E5192" s="36"/>
      <c r="F5192" s="42"/>
      <c r="G5192" s="42"/>
      <c r="H5192" s="42"/>
      <c r="AG5192" s="19">
        <v>5191</v>
      </c>
      <c r="AH5192" s="20">
        <v>2011.5126429685702</v>
      </c>
    </row>
    <row r="5193" spans="1:34" ht="14.5" x14ac:dyDescent="0.35">
      <c r="A5193" s="34"/>
      <c r="B5193" s="35"/>
      <c r="C5193" s="36"/>
      <c r="D5193" s="37"/>
      <c r="E5193" s="36"/>
      <c r="F5193" s="42"/>
      <c r="G5193" s="42"/>
      <c r="H5193" s="42"/>
      <c r="AG5193" s="19">
        <v>5192</v>
      </c>
      <c r="AH5193" s="20">
        <v>470.31963603487418</v>
      </c>
    </row>
    <row r="5194" spans="1:34" ht="14.5" x14ac:dyDescent="0.35">
      <c r="A5194" s="34"/>
      <c r="B5194" s="35"/>
      <c r="C5194" s="36"/>
      <c r="D5194" s="37"/>
      <c r="E5194" s="36"/>
      <c r="F5194" s="42"/>
      <c r="G5194" s="42"/>
      <c r="H5194" s="42"/>
      <c r="AG5194" s="19">
        <v>5193</v>
      </c>
      <c r="AH5194" s="20">
        <v>741.50054328814906</v>
      </c>
    </row>
    <row r="5195" spans="1:34" ht="14.5" x14ac:dyDescent="0.35">
      <c r="A5195" s="34"/>
      <c r="B5195" s="35"/>
      <c r="C5195" s="36"/>
      <c r="D5195" s="37"/>
      <c r="E5195" s="36"/>
      <c r="F5195" s="42"/>
      <c r="G5195" s="42"/>
      <c r="H5195" s="42"/>
      <c r="AG5195" s="19">
        <v>5194</v>
      </c>
      <c r="AH5195" s="20">
        <v>-1184.6671224436038</v>
      </c>
    </row>
    <row r="5196" spans="1:34" ht="14.5" x14ac:dyDescent="0.35">
      <c r="A5196" s="34"/>
      <c r="B5196" s="35"/>
      <c r="C5196" s="36"/>
      <c r="D5196" s="37"/>
      <c r="E5196" s="36"/>
      <c r="F5196" s="42"/>
      <c r="G5196" s="42"/>
      <c r="H5196" s="42"/>
      <c r="AG5196" s="19">
        <v>5195</v>
      </c>
      <c r="AH5196" s="20">
        <v>-169.62149946069275</v>
      </c>
    </row>
    <row r="5197" spans="1:34" ht="14.5" x14ac:dyDescent="0.35">
      <c r="A5197" s="34"/>
      <c r="B5197" s="35"/>
      <c r="C5197" s="36"/>
      <c r="D5197" s="37"/>
      <c r="E5197" s="36"/>
      <c r="F5197" s="42"/>
      <c r="G5197" s="42"/>
      <c r="H5197" s="42"/>
      <c r="AG5197" s="19">
        <v>5196</v>
      </c>
      <c r="AH5197" s="20">
        <v>1379.0628308833288</v>
      </c>
    </row>
    <row r="5198" spans="1:34" ht="14.5" x14ac:dyDescent="0.35">
      <c r="A5198" s="34"/>
      <c r="B5198" s="35"/>
      <c r="C5198" s="36"/>
      <c r="D5198" s="37"/>
      <c r="E5198" s="36"/>
      <c r="F5198" s="42"/>
      <c r="G5198" s="42"/>
      <c r="H5198" s="42"/>
      <c r="AG5198" s="19">
        <v>5197</v>
      </c>
      <c r="AH5198" s="20">
        <v>-233.3581427958531</v>
      </c>
    </row>
    <row r="5199" spans="1:34" ht="14.5" x14ac:dyDescent="0.35">
      <c r="A5199" s="34"/>
      <c r="B5199" s="35"/>
      <c r="C5199" s="36"/>
      <c r="D5199" s="37"/>
      <c r="E5199" s="36"/>
      <c r="F5199" s="42"/>
      <c r="G5199" s="42"/>
      <c r="H5199" s="42"/>
      <c r="AG5199" s="19">
        <v>5198</v>
      </c>
      <c r="AH5199" s="20">
        <v>-78.754341721764376</v>
      </c>
    </row>
    <row r="5200" spans="1:34" ht="14.5" x14ac:dyDescent="0.35">
      <c r="A5200" s="34"/>
      <c r="B5200" s="35"/>
      <c r="C5200" s="36"/>
      <c r="D5200" s="37"/>
      <c r="E5200" s="36"/>
      <c r="F5200" s="42"/>
      <c r="G5200" s="42"/>
      <c r="H5200" s="42"/>
      <c r="AG5200" s="19">
        <v>5199</v>
      </c>
      <c r="AH5200" s="20">
        <v>5691.1384548217593</v>
      </c>
    </row>
    <row r="5201" spans="1:34" ht="14.5" x14ac:dyDescent="0.35">
      <c r="A5201" s="34"/>
      <c r="B5201" s="35"/>
      <c r="C5201" s="36"/>
      <c r="D5201" s="37"/>
      <c r="E5201" s="36"/>
      <c r="F5201" s="42"/>
      <c r="G5201" s="42"/>
      <c r="H5201" s="42"/>
      <c r="AG5201" s="19">
        <v>5200</v>
      </c>
      <c r="AH5201" s="20">
        <v>1572.0425387745195</v>
      </c>
    </row>
    <row r="5202" spans="1:34" ht="14.5" x14ac:dyDescent="0.35">
      <c r="A5202" s="34"/>
      <c r="B5202" s="35"/>
      <c r="C5202" s="36"/>
      <c r="D5202" s="37"/>
      <c r="E5202" s="36"/>
      <c r="F5202" s="42"/>
      <c r="G5202" s="42"/>
      <c r="H5202" s="42"/>
      <c r="AG5202" s="19">
        <v>5201</v>
      </c>
      <c r="AH5202" s="20">
        <v>1643.0026512111572</v>
      </c>
    </row>
    <row r="5203" spans="1:34" ht="14.5" x14ac:dyDescent="0.35">
      <c r="A5203" s="34"/>
      <c r="B5203" s="35"/>
      <c r="C5203" s="36"/>
      <c r="D5203" s="37"/>
      <c r="E5203" s="36"/>
      <c r="F5203" s="42"/>
      <c r="G5203" s="42"/>
      <c r="H5203" s="42"/>
      <c r="AG5203" s="19">
        <v>5202</v>
      </c>
      <c r="AH5203" s="20">
        <v>-526.60158756650844</v>
      </c>
    </row>
    <row r="5204" spans="1:34" ht="14.5" x14ac:dyDescent="0.35">
      <c r="A5204" s="34"/>
      <c r="B5204" s="35"/>
      <c r="C5204" s="36"/>
      <c r="D5204" s="37"/>
      <c r="E5204" s="36"/>
      <c r="F5204" s="42"/>
      <c r="G5204" s="42"/>
      <c r="H5204" s="42"/>
      <c r="AG5204" s="19">
        <v>5203</v>
      </c>
      <c r="AH5204" s="20">
        <v>-2608.5553919853</v>
      </c>
    </row>
    <row r="5205" spans="1:34" ht="14.5" x14ac:dyDescent="0.35">
      <c r="A5205" s="34"/>
      <c r="B5205" s="35"/>
      <c r="C5205" s="36"/>
      <c r="D5205" s="37"/>
      <c r="E5205" s="36"/>
      <c r="F5205" s="42"/>
      <c r="G5205" s="42"/>
      <c r="H5205" s="42"/>
      <c r="AG5205" s="19">
        <v>5204</v>
      </c>
      <c r="AH5205" s="20">
        <v>1393.9826754546571</v>
      </c>
    </row>
    <row r="5206" spans="1:34" ht="14.5" x14ac:dyDescent="0.35">
      <c r="A5206" s="34"/>
      <c r="B5206" s="35"/>
      <c r="C5206" s="36"/>
      <c r="D5206" s="37"/>
      <c r="E5206" s="36"/>
      <c r="F5206" s="42"/>
      <c r="G5206" s="42"/>
      <c r="H5206" s="42"/>
      <c r="AG5206" s="19">
        <v>5205</v>
      </c>
      <c r="AH5206" s="20">
        <v>294.13771288476158</v>
      </c>
    </row>
    <row r="5207" spans="1:34" ht="14.5" x14ac:dyDescent="0.35">
      <c r="A5207" s="34"/>
      <c r="B5207" s="35"/>
      <c r="C5207" s="36"/>
      <c r="D5207" s="37"/>
      <c r="E5207" s="36"/>
      <c r="F5207" s="42"/>
      <c r="G5207" s="42"/>
      <c r="H5207" s="42"/>
      <c r="AG5207" s="19">
        <v>5206</v>
      </c>
      <c r="AH5207" s="20">
        <v>-825.62738160763683</v>
      </c>
    </row>
    <row r="5208" spans="1:34" ht="14.5" x14ac:dyDescent="0.35">
      <c r="A5208" s="34"/>
      <c r="B5208" s="35"/>
      <c r="C5208" s="36"/>
      <c r="D5208" s="37"/>
      <c r="E5208" s="36"/>
      <c r="F5208" s="42"/>
      <c r="G5208" s="42"/>
      <c r="H5208" s="42"/>
      <c r="AG5208" s="19">
        <v>5207</v>
      </c>
      <c r="AH5208" s="20">
        <v>1023.5751674965859</v>
      </c>
    </row>
    <row r="5209" spans="1:34" ht="14.5" x14ac:dyDescent="0.35">
      <c r="A5209" s="34"/>
      <c r="B5209" s="35"/>
      <c r="C5209" s="36"/>
      <c r="D5209" s="37"/>
      <c r="E5209" s="36"/>
      <c r="F5209" s="42"/>
      <c r="G5209" s="42"/>
      <c r="H5209" s="42"/>
      <c r="AG5209" s="19">
        <v>5208</v>
      </c>
      <c r="AH5209" s="20">
        <v>4608.8947041238662</v>
      </c>
    </row>
    <row r="5210" spans="1:34" ht="14.5" x14ac:dyDescent="0.35">
      <c r="A5210" s="34"/>
      <c r="B5210" s="35"/>
      <c r="C5210" s="36"/>
      <c r="D5210" s="37"/>
      <c r="E5210" s="36"/>
      <c r="F5210" s="42"/>
      <c r="G5210" s="42"/>
      <c r="H5210" s="42"/>
      <c r="AG5210" s="19">
        <v>5209</v>
      </c>
      <c r="AH5210" s="20">
        <v>2094.5622104915224</v>
      </c>
    </row>
    <row r="5211" spans="1:34" ht="14.5" x14ac:dyDescent="0.35">
      <c r="A5211" s="34"/>
      <c r="B5211" s="35"/>
      <c r="C5211" s="36"/>
      <c r="D5211" s="37"/>
      <c r="E5211" s="36"/>
      <c r="F5211" s="42"/>
      <c r="G5211" s="42"/>
      <c r="H5211" s="42"/>
      <c r="AG5211" s="19">
        <v>5210</v>
      </c>
      <c r="AH5211" s="20">
        <v>3056.450087106406</v>
      </c>
    </row>
    <row r="5212" spans="1:34" ht="14.5" x14ac:dyDescent="0.35">
      <c r="A5212" s="34"/>
      <c r="B5212" s="35"/>
      <c r="C5212" s="36"/>
      <c r="D5212" s="37"/>
      <c r="E5212" s="36"/>
      <c r="F5212" s="42"/>
      <c r="G5212" s="42"/>
      <c r="H5212" s="42"/>
      <c r="AG5212" s="19">
        <v>5211</v>
      </c>
      <c r="AH5212" s="20">
        <v>-1149.4943179320751</v>
      </c>
    </row>
    <row r="5213" spans="1:34" ht="14.5" x14ac:dyDescent="0.35">
      <c r="A5213" s="34"/>
      <c r="B5213" s="35"/>
      <c r="C5213" s="36"/>
      <c r="D5213" s="37"/>
      <c r="E5213" s="36"/>
      <c r="F5213" s="42"/>
      <c r="G5213" s="42"/>
      <c r="H5213" s="42"/>
      <c r="AG5213" s="19">
        <v>5212</v>
      </c>
      <c r="AH5213" s="20">
        <v>-916.74603512685985</v>
      </c>
    </row>
    <row r="5214" spans="1:34" ht="14.5" x14ac:dyDescent="0.35">
      <c r="A5214" s="34"/>
      <c r="B5214" s="35"/>
      <c r="C5214" s="36"/>
      <c r="D5214" s="37"/>
      <c r="E5214" s="36"/>
      <c r="F5214" s="42"/>
      <c r="G5214" s="42"/>
      <c r="H5214" s="42"/>
      <c r="AG5214" s="19">
        <v>5213</v>
      </c>
      <c r="AH5214" s="20">
        <v>3854.2862323790509</v>
      </c>
    </row>
    <row r="5215" spans="1:34" ht="14.5" x14ac:dyDescent="0.35">
      <c r="A5215" s="34"/>
      <c r="B5215" s="35"/>
      <c r="C5215" s="36"/>
      <c r="D5215" s="37"/>
      <c r="E5215" s="36"/>
      <c r="F5215" s="42"/>
      <c r="G5215" s="42"/>
      <c r="H5215" s="42"/>
      <c r="AG5215" s="19">
        <v>5214</v>
      </c>
      <c r="AH5215" s="20">
        <v>-1461.6922517322132</v>
      </c>
    </row>
    <row r="5216" spans="1:34" ht="14.5" x14ac:dyDescent="0.35">
      <c r="A5216" s="34"/>
      <c r="B5216" s="35"/>
      <c r="C5216" s="36"/>
      <c r="D5216" s="37"/>
      <c r="E5216" s="36"/>
      <c r="F5216" s="42"/>
      <c r="G5216" s="42"/>
      <c r="H5216" s="42"/>
      <c r="AG5216" s="19">
        <v>5215</v>
      </c>
      <c r="AH5216" s="20">
        <v>2673.1763186160665</v>
      </c>
    </row>
    <row r="5217" spans="1:34" ht="14.5" x14ac:dyDescent="0.35">
      <c r="A5217" s="34"/>
      <c r="B5217" s="35"/>
      <c r="C5217" s="36"/>
      <c r="D5217" s="37"/>
      <c r="E5217" s="36"/>
      <c r="F5217" s="42"/>
      <c r="G5217" s="42"/>
      <c r="H5217" s="42"/>
      <c r="AG5217" s="19">
        <v>5216</v>
      </c>
      <c r="AH5217" s="20">
        <v>-2136.4506722504966</v>
      </c>
    </row>
    <row r="5218" spans="1:34" ht="14.5" x14ac:dyDescent="0.35">
      <c r="A5218" s="34"/>
      <c r="B5218" s="35"/>
      <c r="C5218" s="36"/>
      <c r="D5218" s="37"/>
      <c r="E5218" s="36"/>
      <c r="F5218" s="42"/>
      <c r="G5218" s="42"/>
      <c r="H5218" s="42"/>
      <c r="AG5218" s="19">
        <v>5217</v>
      </c>
      <c r="AH5218" s="20">
        <v>117.71328426127673</v>
      </c>
    </row>
    <row r="5219" spans="1:34" ht="14.5" x14ac:dyDescent="0.35">
      <c r="A5219" s="34"/>
      <c r="B5219" s="35"/>
      <c r="C5219" s="36"/>
      <c r="D5219" s="37"/>
      <c r="E5219" s="36"/>
      <c r="F5219" s="42"/>
      <c r="G5219" s="42"/>
      <c r="H5219" s="42"/>
      <c r="AG5219" s="19">
        <v>5218</v>
      </c>
      <c r="AH5219" s="20">
        <v>3060.5523694056496</v>
      </c>
    </row>
    <row r="5220" spans="1:34" ht="14.5" x14ac:dyDescent="0.35">
      <c r="A5220" s="34"/>
      <c r="B5220" s="35"/>
      <c r="C5220" s="36"/>
      <c r="D5220" s="37"/>
      <c r="E5220" s="36"/>
      <c r="F5220" s="42"/>
      <c r="G5220" s="42"/>
      <c r="H5220" s="42"/>
      <c r="AG5220" s="19">
        <v>5219</v>
      </c>
      <c r="AH5220" s="20">
        <v>-3372.9814044741106</v>
      </c>
    </row>
    <row r="5221" spans="1:34" ht="14.5" x14ac:dyDescent="0.35">
      <c r="A5221" s="34"/>
      <c r="B5221" s="35"/>
      <c r="C5221" s="36"/>
      <c r="D5221" s="37"/>
      <c r="E5221" s="36"/>
      <c r="F5221" s="42"/>
      <c r="G5221" s="42"/>
      <c r="H5221" s="42"/>
      <c r="AG5221" s="19">
        <v>5220</v>
      </c>
      <c r="AH5221" s="20">
        <v>-1439.9081509177172</v>
      </c>
    </row>
    <row r="5222" spans="1:34" ht="14.5" x14ac:dyDescent="0.35">
      <c r="A5222" s="34"/>
      <c r="B5222" s="35"/>
      <c r="C5222" s="36"/>
      <c r="D5222" s="37"/>
      <c r="E5222" s="36"/>
      <c r="F5222" s="42"/>
      <c r="G5222" s="42"/>
      <c r="H5222" s="42"/>
      <c r="AG5222" s="19">
        <v>5221</v>
      </c>
      <c r="AH5222" s="20">
        <v>-792.935749455522</v>
      </c>
    </row>
    <row r="5223" spans="1:34" ht="14.5" x14ac:dyDescent="0.35">
      <c r="A5223" s="34"/>
      <c r="B5223" s="35"/>
      <c r="C5223" s="36"/>
      <c r="D5223" s="37"/>
      <c r="E5223" s="36"/>
      <c r="F5223" s="42"/>
      <c r="G5223" s="42"/>
      <c r="H5223" s="42"/>
      <c r="AG5223" s="19">
        <v>5222</v>
      </c>
      <c r="AH5223" s="20">
        <v>116.06413445015323</v>
      </c>
    </row>
    <row r="5224" spans="1:34" ht="14.5" x14ac:dyDescent="0.35">
      <c r="A5224" s="34"/>
      <c r="B5224" s="35"/>
      <c r="C5224" s="36"/>
      <c r="D5224" s="37"/>
      <c r="E5224" s="36"/>
      <c r="F5224" s="42"/>
      <c r="G5224" s="42"/>
      <c r="H5224" s="42"/>
      <c r="AG5224" s="19">
        <v>5223</v>
      </c>
      <c r="AH5224" s="20">
        <v>-1889.4214607995279</v>
      </c>
    </row>
    <row r="5225" spans="1:34" ht="14.5" x14ac:dyDescent="0.35">
      <c r="A5225" s="34"/>
      <c r="B5225" s="35"/>
      <c r="C5225" s="36"/>
      <c r="D5225" s="37"/>
      <c r="E5225" s="36"/>
      <c r="F5225" s="42"/>
      <c r="G5225" s="42"/>
      <c r="H5225" s="42"/>
      <c r="AG5225" s="19">
        <v>5224</v>
      </c>
      <c r="AH5225" s="20">
        <v>199.31348549953788</v>
      </c>
    </row>
    <row r="5226" spans="1:34" ht="14.5" x14ac:dyDescent="0.35">
      <c r="A5226" s="34"/>
      <c r="B5226" s="35"/>
      <c r="C5226" s="36"/>
      <c r="D5226" s="37"/>
      <c r="E5226" s="36"/>
      <c r="F5226" s="42"/>
      <c r="G5226" s="42"/>
      <c r="H5226" s="42"/>
      <c r="AG5226" s="19">
        <v>5225</v>
      </c>
      <c r="AH5226" s="20">
        <v>2187.6513117349441</v>
      </c>
    </row>
    <row r="5227" spans="1:34" ht="14.5" x14ac:dyDescent="0.35">
      <c r="A5227" s="34"/>
      <c r="B5227" s="35"/>
      <c r="C5227" s="36"/>
      <c r="D5227" s="37"/>
      <c r="E5227" s="36"/>
      <c r="F5227" s="42"/>
      <c r="G5227" s="42"/>
      <c r="H5227" s="42"/>
      <c r="AG5227" s="19">
        <v>5226</v>
      </c>
      <c r="AH5227" s="20">
        <v>651.41922164092068</v>
      </c>
    </row>
    <row r="5228" spans="1:34" ht="14.5" x14ac:dyDescent="0.35">
      <c r="A5228" s="34"/>
      <c r="B5228" s="35"/>
      <c r="C5228" s="36"/>
      <c r="D5228" s="37"/>
      <c r="E5228" s="36"/>
      <c r="F5228" s="42"/>
      <c r="G5228" s="42"/>
      <c r="H5228" s="42"/>
      <c r="AG5228" s="19">
        <v>5227</v>
      </c>
      <c r="AH5228" s="20">
        <v>55.831815627792196</v>
      </c>
    </row>
    <row r="5229" spans="1:34" ht="14.5" x14ac:dyDescent="0.35">
      <c r="A5229" s="34"/>
      <c r="B5229" s="35"/>
      <c r="C5229" s="36"/>
      <c r="D5229" s="37"/>
      <c r="E5229" s="36"/>
      <c r="F5229" s="42"/>
      <c r="G5229" s="42"/>
      <c r="H5229" s="42"/>
      <c r="AG5229" s="19">
        <v>5228</v>
      </c>
      <c r="AH5229" s="20">
        <v>-154.3284263967293</v>
      </c>
    </row>
    <row r="5230" spans="1:34" ht="14.5" x14ac:dyDescent="0.35">
      <c r="A5230" s="34"/>
      <c r="B5230" s="35"/>
      <c r="C5230" s="36"/>
      <c r="D5230" s="37"/>
      <c r="E5230" s="36"/>
      <c r="F5230" s="42"/>
      <c r="G5230" s="42"/>
      <c r="H5230" s="42"/>
      <c r="AG5230" s="19">
        <v>5229</v>
      </c>
      <c r="AH5230" s="20">
        <v>4540.22486576953</v>
      </c>
    </row>
    <row r="5231" spans="1:34" ht="14.5" x14ac:dyDescent="0.35">
      <c r="A5231" s="34"/>
      <c r="B5231" s="35"/>
      <c r="C5231" s="36"/>
      <c r="D5231" s="37"/>
      <c r="E5231" s="36"/>
      <c r="F5231" s="42"/>
      <c r="G5231" s="42"/>
      <c r="H5231" s="42"/>
      <c r="AG5231" s="19">
        <v>5230</v>
      </c>
      <c r="AH5231" s="20">
        <v>4498.2522794713532</v>
      </c>
    </row>
    <row r="5232" spans="1:34" ht="14.5" x14ac:dyDescent="0.35">
      <c r="A5232" s="34"/>
      <c r="B5232" s="35"/>
      <c r="C5232" s="36"/>
      <c r="D5232" s="37"/>
      <c r="E5232" s="36"/>
      <c r="F5232" s="42"/>
      <c r="G5232" s="42"/>
      <c r="H5232" s="42"/>
      <c r="AG5232" s="19">
        <v>5231</v>
      </c>
      <c r="AH5232" s="20">
        <v>710.33226390292407</v>
      </c>
    </row>
    <row r="5233" spans="1:34" ht="14.5" x14ac:dyDescent="0.35">
      <c r="A5233" s="34"/>
      <c r="B5233" s="35"/>
      <c r="C5233" s="36"/>
      <c r="D5233" s="37"/>
      <c r="E5233" s="36"/>
      <c r="F5233" s="42"/>
      <c r="G5233" s="42"/>
      <c r="H5233" s="42"/>
      <c r="AG5233" s="19">
        <v>5232</v>
      </c>
      <c r="AH5233" s="20">
        <v>296.79072048733093</v>
      </c>
    </row>
    <row r="5234" spans="1:34" ht="14.5" x14ac:dyDescent="0.35">
      <c r="A5234" s="34"/>
      <c r="B5234" s="35"/>
      <c r="C5234" s="36"/>
      <c r="D5234" s="37"/>
      <c r="E5234" s="36"/>
      <c r="F5234" s="42"/>
      <c r="G5234" s="42"/>
      <c r="H5234" s="42"/>
      <c r="AG5234" s="19">
        <v>5233</v>
      </c>
      <c r="AH5234" s="20">
        <v>1987.5536530676613</v>
      </c>
    </row>
    <row r="5235" spans="1:34" ht="14.5" x14ac:dyDescent="0.35">
      <c r="A5235" s="34"/>
      <c r="B5235" s="35"/>
      <c r="C5235" s="36"/>
      <c r="D5235" s="37"/>
      <c r="E5235" s="36"/>
      <c r="F5235" s="42"/>
      <c r="G5235" s="42"/>
      <c r="H5235" s="42"/>
      <c r="AG5235" s="19">
        <v>5234</v>
      </c>
      <c r="AH5235" s="20">
        <v>3186.3905867611606</v>
      </c>
    </row>
    <row r="5236" spans="1:34" ht="14.5" x14ac:dyDescent="0.35">
      <c r="A5236" s="34"/>
      <c r="B5236" s="35"/>
      <c r="C5236" s="36"/>
      <c r="D5236" s="37"/>
      <c r="E5236" s="36"/>
      <c r="F5236" s="42"/>
      <c r="G5236" s="42"/>
      <c r="H5236" s="42"/>
      <c r="AG5236" s="19">
        <v>5235</v>
      </c>
      <c r="AH5236" s="20">
        <v>3389.2137201546993</v>
      </c>
    </row>
    <row r="5237" spans="1:34" ht="14.5" x14ac:dyDescent="0.35">
      <c r="A5237" s="34"/>
      <c r="B5237" s="35"/>
      <c r="C5237" s="36"/>
      <c r="D5237" s="37"/>
      <c r="E5237" s="36"/>
      <c r="F5237" s="42"/>
      <c r="G5237" s="42"/>
      <c r="H5237" s="42"/>
      <c r="AG5237" s="19">
        <v>5236</v>
      </c>
      <c r="AH5237" s="20">
        <v>2186.1398446858402</v>
      </c>
    </row>
    <row r="5238" spans="1:34" ht="14.5" x14ac:dyDescent="0.35">
      <c r="A5238" s="34"/>
      <c r="B5238" s="35"/>
      <c r="C5238" s="36"/>
      <c r="D5238" s="37"/>
      <c r="E5238" s="36"/>
      <c r="F5238" s="42"/>
      <c r="G5238" s="42"/>
      <c r="H5238" s="42"/>
      <c r="AG5238" s="19">
        <v>5237</v>
      </c>
      <c r="AH5238" s="20">
        <v>865.29525925723556</v>
      </c>
    </row>
    <row r="5239" spans="1:34" ht="14.5" x14ac:dyDescent="0.35">
      <c r="A5239" s="34"/>
      <c r="B5239" s="35"/>
      <c r="C5239" s="36"/>
      <c r="D5239" s="37"/>
      <c r="E5239" s="36"/>
      <c r="F5239" s="42"/>
      <c r="G5239" s="42"/>
      <c r="H5239" s="42"/>
      <c r="AG5239" s="19">
        <v>5238</v>
      </c>
      <c r="AH5239" s="20">
        <v>-1510.8061193160931</v>
      </c>
    </row>
    <row r="5240" spans="1:34" ht="14.5" x14ac:dyDescent="0.35">
      <c r="A5240" s="34"/>
      <c r="B5240" s="35"/>
      <c r="C5240" s="36"/>
      <c r="D5240" s="37"/>
      <c r="E5240" s="36"/>
      <c r="F5240" s="42"/>
      <c r="G5240" s="42"/>
      <c r="H5240" s="42"/>
      <c r="AG5240" s="19">
        <v>5239</v>
      </c>
      <c r="AH5240" s="20">
        <v>-975.78687953161489</v>
      </c>
    </row>
    <row r="5241" spans="1:34" ht="14.5" x14ac:dyDescent="0.35">
      <c r="A5241" s="34"/>
      <c r="B5241" s="35"/>
      <c r="C5241" s="36"/>
      <c r="D5241" s="37"/>
      <c r="E5241" s="36"/>
      <c r="F5241" s="42"/>
      <c r="G5241" s="42"/>
      <c r="H5241" s="42"/>
      <c r="AG5241" s="19">
        <v>5240</v>
      </c>
      <c r="AH5241" s="20">
        <v>61.289065955155706</v>
      </c>
    </row>
    <row r="5242" spans="1:34" ht="14.5" x14ac:dyDescent="0.35">
      <c r="A5242" s="34"/>
      <c r="B5242" s="35"/>
      <c r="C5242" s="36"/>
      <c r="D5242" s="37"/>
      <c r="E5242" s="36"/>
      <c r="F5242" s="42"/>
      <c r="G5242" s="42"/>
      <c r="H5242" s="42"/>
      <c r="AG5242" s="19">
        <v>5241</v>
      </c>
      <c r="AH5242" s="20">
        <v>1363.4189624331375</v>
      </c>
    </row>
    <row r="5243" spans="1:34" ht="14.5" x14ac:dyDescent="0.35">
      <c r="A5243" s="34"/>
      <c r="B5243" s="35"/>
      <c r="C5243" s="36"/>
      <c r="D5243" s="37"/>
      <c r="E5243" s="36"/>
      <c r="F5243" s="42"/>
      <c r="G5243" s="42"/>
      <c r="H5243" s="42"/>
      <c r="AG5243" s="19">
        <v>5242</v>
      </c>
      <c r="AH5243" s="20">
        <v>1419.4859430199012</v>
      </c>
    </row>
    <row r="5244" spans="1:34" ht="14.5" x14ac:dyDescent="0.35">
      <c r="A5244" s="34"/>
      <c r="B5244" s="35"/>
      <c r="C5244" s="36"/>
      <c r="D5244" s="37"/>
      <c r="E5244" s="36"/>
      <c r="F5244" s="42"/>
      <c r="G5244" s="42"/>
      <c r="H5244" s="42"/>
      <c r="AG5244" s="19">
        <v>5243</v>
      </c>
      <c r="AH5244" s="20">
        <v>195.74344044168654</v>
      </c>
    </row>
    <row r="5245" spans="1:34" ht="14.5" x14ac:dyDescent="0.35">
      <c r="A5245" s="34"/>
      <c r="B5245" s="35"/>
      <c r="C5245" s="36"/>
      <c r="D5245" s="37"/>
      <c r="E5245" s="36"/>
      <c r="F5245" s="42"/>
      <c r="G5245" s="42"/>
      <c r="H5245" s="42"/>
      <c r="AG5245" s="19">
        <v>5244</v>
      </c>
      <c r="AH5245" s="20">
        <v>-766.47298401614694</v>
      </c>
    </row>
    <row r="5246" spans="1:34" ht="14.5" x14ac:dyDescent="0.35">
      <c r="A5246" s="34"/>
      <c r="B5246" s="35"/>
      <c r="C5246" s="36"/>
      <c r="D5246" s="37"/>
      <c r="E5246" s="36"/>
      <c r="F5246" s="42"/>
      <c r="G5246" s="42"/>
      <c r="H5246" s="42"/>
      <c r="AG5246" s="19">
        <v>5245</v>
      </c>
      <c r="AH5246" s="20">
        <v>5190.0779510660004</v>
      </c>
    </row>
    <row r="5247" spans="1:34" ht="14.5" x14ac:dyDescent="0.35">
      <c r="A5247" s="34"/>
      <c r="B5247" s="35"/>
      <c r="C5247" s="36"/>
      <c r="D5247" s="37"/>
      <c r="E5247" s="36"/>
      <c r="F5247" s="42"/>
      <c r="G5247" s="42"/>
      <c r="H5247" s="42"/>
      <c r="AG5247" s="19">
        <v>5246</v>
      </c>
      <c r="AH5247" s="20">
        <v>-2392.6981584166033</v>
      </c>
    </row>
    <row r="5248" spans="1:34" ht="14.5" x14ac:dyDescent="0.35">
      <c r="A5248" s="34"/>
      <c r="B5248" s="35"/>
      <c r="C5248" s="36"/>
      <c r="D5248" s="37"/>
      <c r="E5248" s="36"/>
      <c r="F5248" s="42"/>
      <c r="G5248" s="42"/>
      <c r="H5248" s="42"/>
      <c r="AG5248" s="19">
        <v>5247</v>
      </c>
      <c r="AH5248" s="20">
        <v>-2622.6745901295817</v>
      </c>
    </row>
    <row r="5249" spans="1:34" ht="14.5" x14ac:dyDescent="0.35">
      <c r="A5249" s="34"/>
      <c r="B5249" s="35"/>
      <c r="C5249" s="36"/>
      <c r="D5249" s="37"/>
      <c r="E5249" s="36"/>
      <c r="F5249" s="42"/>
      <c r="G5249" s="42"/>
      <c r="H5249" s="42"/>
      <c r="AG5249" s="19">
        <v>5248</v>
      </c>
      <c r="AH5249" s="20">
        <v>-547.61219675771736</v>
      </c>
    </row>
    <row r="5250" spans="1:34" ht="14.5" x14ac:dyDescent="0.35">
      <c r="A5250" s="34"/>
      <c r="B5250" s="35"/>
      <c r="C5250" s="36"/>
      <c r="D5250" s="37"/>
      <c r="E5250" s="36"/>
      <c r="F5250" s="42"/>
      <c r="G5250" s="42"/>
      <c r="H5250" s="42"/>
      <c r="AG5250" s="19">
        <v>5249</v>
      </c>
      <c r="AH5250" s="20">
        <v>2587.9788421414005</v>
      </c>
    </row>
    <row r="5251" spans="1:34" ht="14.5" x14ac:dyDescent="0.35">
      <c r="A5251" s="34"/>
      <c r="B5251" s="35"/>
      <c r="C5251" s="36"/>
      <c r="D5251" s="37"/>
      <c r="E5251" s="36"/>
      <c r="F5251" s="42"/>
      <c r="G5251" s="42"/>
      <c r="H5251" s="42"/>
      <c r="AG5251" s="19">
        <v>5250</v>
      </c>
      <c r="AH5251" s="20">
        <v>-70.943691233132768</v>
      </c>
    </row>
    <row r="5252" spans="1:34" ht="14.5" x14ac:dyDescent="0.35">
      <c r="A5252" s="34"/>
      <c r="B5252" s="35"/>
      <c r="C5252" s="36"/>
      <c r="D5252" s="37"/>
      <c r="E5252" s="36"/>
      <c r="F5252" s="42"/>
      <c r="G5252" s="42"/>
      <c r="H5252" s="42"/>
      <c r="AG5252" s="19">
        <v>5251</v>
      </c>
      <c r="AH5252" s="20">
        <v>2298.6564997043738</v>
      </c>
    </row>
    <row r="5253" spans="1:34" ht="14.5" x14ac:dyDescent="0.35">
      <c r="A5253" s="34"/>
      <c r="B5253" s="35"/>
      <c r="C5253" s="36"/>
      <c r="D5253" s="37"/>
      <c r="E5253" s="36"/>
      <c r="F5253" s="42"/>
      <c r="G5253" s="42"/>
      <c r="H5253" s="42"/>
      <c r="AG5253" s="19">
        <v>5252</v>
      </c>
      <c r="AH5253" s="20">
        <v>1239.9478810250505</v>
      </c>
    </row>
    <row r="5254" spans="1:34" ht="14.5" x14ac:dyDescent="0.35">
      <c r="A5254" s="34"/>
      <c r="B5254" s="35"/>
      <c r="C5254" s="36"/>
      <c r="D5254" s="37"/>
      <c r="E5254" s="36"/>
      <c r="F5254" s="42"/>
      <c r="G5254" s="42"/>
      <c r="H5254" s="42"/>
      <c r="AG5254" s="19">
        <v>5253</v>
      </c>
      <c r="AH5254" s="20">
        <v>752.64635855031179</v>
      </c>
    </row>
    <row r="5255" spans="1:34" ht="14.5" x14ac:dyDescent="0.35">
      <c r="A5255" s="34"/>
      <c r="B5255" s="35"/>
      <c r="C5255" s="36"/>
      <c r="D5255" s="37"/>
      <c r="E5255" s="36"/>
      <c r="F5255" s="42"/>
      <c r="G5255" s="42"/>
      <c r="H5255" s="42"/>
      <c r="AG5255" s="19">
        <v>5254</v>
      </c>
      <c r="AH5255" s="20">
        <v>-2024.2913321874842</v>
      </c>
    </row>
    <row r="5256" spans="1:34" ht="14.5" x14ac:dyDescent="0.35">
      <c r="A5256" s="34"/>
      <c r="B5256" s="35"/>
      <c r="C5256" s="36"/>
      <c r="D5256" s="37"/>
      <c r="E5256" s="36"/>
      <c r="F5256" s="42"/>
      <c r="G5256" s="42"/>
      <c r="H5256" s="42"/>
      <c r="AG5256" s="19">
        <v>5255</v>
      </c>
      <c r="AH5256" s="20">
        <v>3430.8590628457096</v>
      </c>
    </row>
    <row r="5257" spans="1:34" ht="14.5" x14ac:dyDescent="0.35">
      <c r="A5257" s="34"/>
      <c r="B5257" s="35"/>
      <c r="C5257" s="36"/>
      <c r="D5257" s="37"/>
      <c r="E5257" s="36"/>
      <c r="F5257" s="42"/>
      <c r="G5257" s="42"/>
      <c r="H5257" s="42"/>
      <c r="AG5257" s="19">
        <v>5256</v>
      </c>
      <c r="AH5257" s="20">
        <v>2404.0505324459559</v>
      </c>
    </row>
    <row r="5258" spans="1:34" ht="14.5" x14ac:dyDescent="0.35">
      <c r="A5258" s="34"/>
      <c r="B5258" s="35"/>
      <c r="C5258" s="36"/>
      <c r="D5258" s="37"/>
      <c r="E5258" s="36"/>
      <c r="F5258" s="42"/>
      <c r="G5258" s="42"/>
      <c r="H5258" s="42"/>
      <c r="AG5258" s="19">
        <v>5257</v>
      </c>
      <c r="AH5258" s="20">
        <v>1341.7109784065692</v>
      </c>
    </row>
    <row r="5259" spans="1:34" ht="14.5" x14ac:dyDescent="0.35">
      <c r="A5259" s="34"/>
      <c r="B5259" s="35"/>
      <c r="C5259" s="36"/>
      <c r="D5259" s="37"/>
      <c r="E5259" s="36"/>
      <c r="F5259" s="42"/>
      <c r="G5259" s="42"/>
      <c r="H5259" s="42"/>
      <c r="AG5259" s="19">
        <v>5258</v>
      </c>
      <c r="AH5259" s="20">
        <v>2729.3410864424059</v>
      </c>
    </row>
    <row r="5260" spans="1:34" ht="14.5" x14ac:dyDescent="0.35">
      <c r="A5260" s="34"/>
      <c r="B5260" s="35"/>
      <c r="C5260" s="36"/>
      <c r="D5260" s="37"/>
      <c r="E5260" s="36"/>
      <c r="F5260" s="42"/>
      <c r="G5260" s="42"/>
      <c r="H5260" s="42"/>
      <c r="AG5260" s="19">
        <v>5259</v>
      </c>
      <c r="AH5260" s="20">
        <v>118.54361634763438</v>
      </c>
    </row>
    <row r="5261" spans="1:34" ht="14.5" x14ac:dyDescent="0.35">
      <c r="A5261" s="34"/>
      <c r="B5261" s="35"/>
      <c r="C5261" s="36"/>
      <c r="D5261" s="37"/>
      <c r="E5261" s="36"/>
      <c r="F5261" s="42"/>
      <c r="G5261" s="42"/>
      <c r="H5261" s="42"/>
      <c r="AG5261" s="19">
        <v>5260</v>
      </c>
      <c r="AH5261" s="20">
        <v>-330.80115284610127</v>
      </c>
    </row>
    <row r="5262" spans="1:34" ht="14.5" x14ac:dyDescent="0.35">
      <c r="A5262" s="34"/>
      <c r="B5262" s="35"/>
      <c r="C5262" s="36"/>
      <c r="D5262" s="37"/>
      <c r="E5262" s="36"/>
      <c r="F5262" s="42"/>
      <c r="G5262" s="42"/>
      <c r="H5262" s="42"/>
      <c r="AG5262" s="19">
        <v>5261</v>
      </c>
      <c r="AH5262" s="20">
        <v>2943.2291874916268</v>
      </c>
    </row>
    <row r="5263" spans="1:34" ht="14.5" x14ac:dyDescent="0.35">
      <c r="A5263" s="34"/>
      <c r="B5263" s="35"/>
      <c r="C5263" s="36"/>
      <c r="D5263" s="37"/>
      <c r="E5263" s="36"/>
      <c r="F5263" s="42"/>
      <c r="G5263" s="42"/>
      <c r="H5263" s="42"/>
      <c r="AG5263" s="19">
        <v>5262</v>
      </c>
      <c r="AH5263" s="20">
        <v>-419.93316848960472</v>
      </c>
    </row>
    <row r="5264" spans="1:34" ht="14.5" x14ac:dyDescent="0.35">
      <c r="A5264" s="34"/>
      <c r="B5264" s="35"/>
      <c r="C5264" s="36"/>
      <c r="D5264" s="37"/>
      <c r="E5264" s="36"/>
      <c r="F5264" s="42"/>
      <c r="G5264" s="42"/>
      <c r="H5264" s="42"/>
      <c r="AG5264" s="19">
        <v>5263</v>
      </c>
      <c r="AH5264" s="20">
        <v>-1865.0117405562462</v>
      </c>
    </row>
    <row r="5265" spans="1:34" ht="14.5" x14ac:dyDescent="0.35">
      <c r="A5265" s="34"/>
      <c r="B5265" s="35"/>
      <c r="C5265" s="36"/>
      <c r="D5265" s="37"/>
      <c r="E5265" s="36"/>
      <c r="F5265" s="42"/>
      <c r="G5265" s="42"/>
      <c r="H5265" s="42"/>
      <c r="AG5265" s="19">
        <v>5264</v>
      </c>
      <c r="AH5265" s="20">
        <v>1645.0295192602764</v>
      </c>
    </row>
    <row r="5266" spans="1:34" ht="14.5" x14ac:dyDescent="0.35">
      <c r="A5266" s="34"/>
      <c r="B5266" s="35"/>
      <c r="C5266" s="36"/>
      <c r="D5266" s="37"/>
      <c r="E5266" s="36"/>
      <c r="F5266" s="42"/>
      <c r="G5266" s="42"/>
      <c r="H5266" s="42"/>
      <c r="AG5266" s="19">
        <v>5265</v>
      </c>
      <c r="AH5266" s="20">
        <v>146.67162140333718</v>
      </c>
    </row>
    <row r="5267" spans="1:34" ht="14.5" x14ac:dyDescent="0.35">
      <c r="A5267" s="34"/>
      <c r="B5267" s="35"/>
      <c r="C5267" s="36"/>
      <c r="D5267" s="37"/>
      <c r="E5267" s="36"/>
      <c r="F5267" s="42"/>
      <c r="G5267" s="42"/>
      <c r="H5267" s="42"/>
      <c r="AG5267" s="19">
        <v>5266</v>
      </c>
      <c r="AH5267" s="20">
        <v>1174.2942871390801</v>
      </c>
    </row>
    <row r="5268" spans="1:34" ht="14.5" x14ac:dyDescent="0.35">
      <c r="A5268" s="34"/>
      <c r="B5268" s="35"/>
      <c r="C5268" s="36"/>
      <c r="D5268" s="37"/>
      <c r="E5268" s="36"/>
      <c r="F5268" s="42"/>
      <c r="G5268" s="42"/>
      <c r="H5268" s="42"/>
      <c r="AG5268" s="19">
        <v>5267</v>
      </c>
      <c r="AH5268" s="20">
        <v>1862.491343515693</v>
      </c>
    </row>
    <row r="5269" spans="1:34" ht="14.5" x14ac:dyDescent="0.35">
      <c r="A5269" s="34"/>
      <c r="B5269" s="35"/>
      <c r="C5269" s="36"/>
      <c r="D5269" s="37"/>
      <c r="E5269" s="36"/>
      <c r="F5269" s="42"/>
      <c r="G5269" s="42"/>
      <c r="H5269" s="42"/>
      <c r="AG5269" s="19">
        <v>5268</v>
      </c>
      <c r="AH5269" s="20">
        <v>-3019.0244475859868</v>
      </c>
    </row>
    <row r="5270" spans="1:34" ht="14.5" x14ac:dyDescent="0.35">
      <c r="A5270" s="34"/>
      <c r="B5270" s="35"/>
      <c r="C5270" s="36"/>
      <c r="D5270" s="37"/>
      <c r="E5270" s="36"/>
      <c r="F5270" s="42"/>
      <c r="G5270" s="42"/>
      <c r="H5270" s="42"/>
      <c r="AG5270" s="19">
        <v>5269</v>
      </c>
      <c r="AH5270" s="20">
        <v>-3188.3172603655835</v>
      </c>
    </row>
    <row r="5271" spans="1:34" ht="14.5" x14ac:dyDescent="0.35">
      <c r="A5271" s="34"/>
      <c r="B5271" s="35"/>
      <c r="C5271" s="36"/>
      <c r="D5271" s="37"/>
      <c r="E5271" s="36"/>
      <c r="F5271" s="42"/>
      <c r="G5271" s="42"/>
      <c r="H5271" s="42"/>
      <c r="AG5271" s="19">
        <v>5270</v>
      </c>
      <c r="AH5271" s="20">
        <v>857.09394725710195</v>
      </c>
    </row>
    <row r="5272" spans="1:34" ht="14.5" x14ac:dyDescent="0.35">
      <c r="A5272" s="34"/>
      <c r="B5272" s="35"/>
      <c r="C5272" s="36"/>
      <c r="D5272" s="37"/>
      <c r="E5272" s="36"/>
      <c r="F5272" s="42"/>
      <c r="G5272" s="42"/>
      <c r="H5272" s="42"/>
      <c r="AG5272" s="19">
        <v>5271</v>
      </c>
      <c r="AH5272" s="20">
        <v>-2639.0692811387071</v>
      </c>
    </row>
    <row r="5273" spans="1:34" ht="14.5" x14ac:dyDescent="0.35">
      <c r="A5273" s="34"/>
      <c r="B5273" s="35"/>
      <c r="C5273" s="36"/>
      <c r="D5273" s="37"/>
      <c r="E5273" s="36"/>
      <c r="F5273" s="42"/>
      <c r="G5273" s="42"/>
      <c r="H5273" s="42"/>
      <c r="AG5273" s="19">
        <v>5272</v>
      </c>
      <c r="AH5273" s="20">
        <v>249.84800016685213</v>
      </c>
    </row>
    <row r="5274" spans="1:34" ht="14.5" x14ac:dyDescent="0.35">
      <c r="A5274" s="34"/>
      <c r="B5274" s="35"/>
      <c r="C5274" s="36"/>
      <c r="D5274" s="37"/>
      <c r="E5274" s="36"/>
      <c r="F5274" s="42"/>
      <c r="G5274" s="42"/>
      <c r="H5274" s="42"/>
      <c r="AG5274" s="19">
        <v>5273</v>
      </c>
      <c r="AH5274" s="20">
        <v>1339.6333316074661</v>
      </c>
    </row>
    <row r="5275" spans="1:34" ht="14.5" x14ac:dyDescent="0.35">
      <c r="A5275" s="34"/>
      <c r="B5275" s="35"/>
      <c r="C5275" s="36"/>
      <c r="D5275" s="37"/>
      <c r="E5275" s="36"/>
      <c r="F5275" s="42"/>
      <c r="G5275" s="42"/>
      <c r="H5275" s="42"/>
      <c r="AG5275" s="19">
        <v>5274</v>
      </c>
      <c r="AH5275" s="20">
        <v>2134.695480461673</v>
      </c>
    </row>
    <row r="5276" spans="1:34" ht="14.5" x14ac:dyDescent="0.35">
      <c r="A5276" s="34"/>
      <c r="B5276" s="35"/>
      <c r="C5276" s="36"/>
      <c r="D5276" s="37"/>
      <c r="E5276" s="36"/>
      <c r="F5276" s="42"/>
      <c r="G5276" s="42"/>
      <c r="H5276" s="42"/>
      <c r="AG5276" s="19">
        <v>5275</v>
      </c>
      <c r="AH5276" s="20">
        <v>748.39050836198373</v>
      </c>
    </row>
    <row r="5277" spans="1:34" ht="14.5" x14ac:dyDescent="0.35">
      <c r="A5277" s="34"/>
      <c r="B5277" s="35"/>
      <c r="C5277" s="36"/>
      <c r="D5277" s="37"/>
      <c r="E5277" s="36"/>
      <c r="F5277" s="42"/>
      <c r="G5277" s="42"/>
      <c r="H5277" s="42"/>
      <c r="AG5277" s="19">
        <v>5276</v>
      </c>
      <c r="AH5277" s="20">
        <v>-1027.3161947248104</v>
      </c>
    </row>
    <row r="5278" spans="1:34" ht="14.5" x14ac:dyDescent="0.35">
      <c r="A5278" s="34"/>
      <c r="B5278" s="35"/>
      <c r="C5278" s="36"/>
      <c r="D5278" s="37"/>
      <c r="E5278" s="36"/>
      <c r="F5278" s="42"/>
      <c r="G5278" s="42"/>
      <c r="H5278" s="42"/>
      <c r="AG5278" s="19">
        <v>5277</v>
      </c>
      <c r="AH5278" s="20">
        <v>543.35307950110018</v>
      </c>
    </row>
    <row r="5279" spans="1:34" ht="14.5" x14ac:dyDescent="0.35">
      <c r="A5279" s="34"/>
      <c r="B5279" s="35"/>
      <c r="C5279" s="36"/>
      <c r="D5279" s="37"/>
      <c r="E5279" s="36"/>
      <c r="F5279" s="42"/>
      <c r="G5279" s="42"/>
      <c r="H5279" s="42"/>
      <c r="AG5279" s="19">
        <v>5278</v>
      </c>
      <c r="AH5279" s="20">
        <v>-1496.8507331830758</v>
      </c>
    </row>
    <row r="5280" spans="1:34" ht="14.5" x14ac:dyDescent="0.35">
      <c r="A5280" s="34"/>
      <c r="B5280" s="35"/>
      <c r="C5280" s="36"/>
      <c r="D5280" s="37"/>
      <c r="E5280" s="36"/>
      <c r="F5280" s="42"/>
      <c r="G5280" s="42"/>
      <c r="H5280" s="42"/>
      <c r="AG5280" s="19">
        <v>5279</v>
      </c>
      <c r="AH5280" s="20">
        <v>3507.5207005568068</v>
      </c>
    </row>
    <row r="5281" spans="1:34" ht="14.5" x14ac:dyDescent="0.35">
      <c r="A5281" s="34"/>
      <c r="B5281" s="35"/>
      <c r="C5281" s="36"/>
      <c r="D5281" s="37"/>
      <c r="E5281" s="36"/>
      <c r="F5281" s="42"/>
      <c r="G5281" s="42"/>
      <c r="H5281" s="42"/>
      <c r="AG5281" s="19">
        <v>5280</v>
      </c>
      <c r="AH5281" s="20">
        <v>407.40648469035534</v>
      </c>
    </row>
    <row r="5282" spans="1:34" ht="14.5" x14ac:dyDescent="0.35">
      <c r="A5282" s="34"/>
      <c r="B5282" s="35"/>
      <c r="C5282" s="36"/>
      <c r="D5282" s="37"/>
      <c r="E5282" s="36"/>
      <c r="F5282" s="42"/>
      <c r="G5282" s="42"/>
      <c r="H5282" s="42"/>
      <c r="AG5282" s="19">
        <v>5281</v>
      </c>
      <c r="AH5282" s="20">
        <v>774.66245020510871</v>
      </c>
    </row>
    <row r="5283" spans="1:34" ht="14.5" x14ac:dyDescent="0.35">
      <c r="A5283" s="34"/>
      <c r="B5283" s="35"/>
      <c r="C5283" s="36"/>
      <c r="D5283" s="37"/>
      <c r="E5283" s="36"/>
      <c r="F5283" s="42"/>
      <c r="G5283" s="42"/>
      <c r="H5283" s="42"/>
      <c r="AG5283" s="19">
        <v>5282</v>
      </c>
      <c r="AH5283" s="20">
        <v>3450.781299752261</v>
      </c>
    </row>
    <row r="5284" spans="1:34" ht="14.5" x14ac:dyDescent="0.35">
      <c r="A5284" s="34"/>
      <c r="B5284" s="35"/>
      <c r="C5284" s="36"/>
      <c r="D5284" s="37"/>
      <c r="E5284" s="36"/>
      <c r="F5284" s="42"/>
      <c r="G5284" s="42"/>
      <c r="H5284" s="42"/>
      <c r="AG5284" s="19">
        <v>5283</v>
      </c>
      <c r="AH5284" s="20">
        <v>661.31978804606319</v>
      </c>
    </row>
    <row r="5285" spans="1:34" ht="14.5" x14ac:dyDescent="0.35">
      <c r="A5285" s="34"/>
      <c r="B5285" s="35"/>
      <c r="C5285" s="36"/>
      <c r="D5285" s="37"/>
      <c r="E5285" s="36"/>
      <c r="F5285" s="42"/>
      <c r="G5285" s="42"/>
      <c r="H5285" s="42"/>
      <c r="AG5285" s="19">
        <v>5284</v>
      </c>
      <c r="AH5285" s="20">
        <v>-666.04488410745307</v>
      </c>
    </row>
    <row r="5286" spans="1:34" ht="14.5" x14ac:dyDescent="0.35">
      <c r="A5286" s="34"/>
      <c r="B5286" s="35"/>
      <c r="C5286" s="36"/>
      <c r="D5286" s="37"/>
      <c r="E5286" s="36"/>
      <c r="F5286" s="42"/>
      <c r="G5286" s="42"/>
      <c r="H5286" s="42"/>
      <c r="AG5286" s="19">
        <v>5285</v>
      </c>
      <c r="AH5286" s="20">
        <v>-1939.8216827621861</v>
      </c>
    </row>
    <row r="5287" spans="1:34" ht="14.5" x14ac:dyDescent="0.35">
      <c r="A5287" s="34"/>
      <c r="B5287" s="35"/>
      <c r="C5287" s="36"/>
      <c r="D5287" s="37"/>
      <c r="E5287" s="36"/>
      <c r="F5287" s="42"/>
      <c r="G5287" s="42"/>
      <c r="H5287" s="42"/>
      <c r="AG5287" s="19">
        <v>5286</v>
      </c>
      <c r="AH5287" s="20">
        <v>1259.8782456502063</v>
      </c>
    </row>
    <row r="5288" spans="1:34" ht="14.5" x14ac:dyDescent="0.35">
      <c r="A5288" s="34"/>
      <c r="B5288" s="35"/>
      <c r="C5288" s="36"/>
      <c r="D5288" s="37"/>
      <c r="E5288" s="36"/>
      <c r="F5288" s="42"/>
      <c r="G5288" s="42"/>
      <c r="H5288" s="42"/>
      <c r="AG5288" s="19">
        <v>5287</v>
      </c>
      <c r="AH5288" s="20">
        <v>-111.437906822564</v>
      </c>
    </row>
    <row r="5289" spans="1:34" ht="14.5" x14ac:dyDescent="0.35">
      <c r="A5289" s="34"/>
      <c r="B5289" s="35"/>
      <c r="C5289" s="36"/>
      <c r="D5289" s="37"/>
      <c r="E5289" s="36"/>
      <c r="F5289" s="42"/>
      <c r="G5289" s="42"/>
      <c r="H5289" s="42"/>
      <c r="AG5289" s="19">
        <v>5288</v>
      </c>
      <c r="AH5289" s="20">
        <v>4055.1228923411413</v>
      </c>
    </row>
    <row r="5290" spans="1:34" ht="14.5" x14ac:dyDescent="0.35">
      <c r="A5290" s="34"/>
      <c r="B5290" s="35"/>
      <c r="C5290" s="36"/>
      <c r="D5290" s="37"/>
      <c r="E5290" s="36"/>
      <c r="F5290" s="42"/>
      <c r="G5290" s="42"/>
      <c r="H5290" s="42"/>
      <c r="AG5290" s="19">
        <v>5289</v>
      </c>
      <c r="AH5290" s="20">
        <v>42.642840331208276</v>
      </c>
    </row>
    <row r="5291" spans="1:34" ht="14.5" x14ac:dyDescent="0.35">
      <c r="A5291" s="34"/>
      <c r="B5291" s="35"/>
      <c r="C5291" s="36"/>
      <c r="D5291" s="37"/>
      <c r="E5291" s="36"/>
      <c r="F5291" s="42"/>
      <c r="G5291" s="42"/>
      <c r="H5291" s="42"/>
      <c r="AG5291" s="19">
        <v>5290</v>
      </c>
      <c r="AH5291" s="20">
        <v>3969.6611172343528</v>
      </c>
    </row>
    <row r="5292" spans="1:34" ht="14.5" x14ac:dyDescent="0.35">
      <c r="A5292" s="34"/>
      <c r="B5292" s="35"/>
      <c r="C5292" s="36"/>
      <c r="D5292" s="37"/>
      <c r="E5292" s="36"/>
      <c r="F5292" s="42"/>
      <c r="G5292" s="42"/>
      <c r="H5292" s="42"/>
      <c r="AG5292" s="19">
        <v>5291</v>
      </c>
      <c r="AH5292" s="20">
        <v>2127.6259313104906</v>
      </c>
    </row>
    <row r="5293" spans="1:34" ht="14.5" x14ac:dyDescent="0.35">
      <c r="A5293" s="34"/>
      <c r="B5293" s="35"/>
      <c r="C5293" s="36"/>
      <c r="D5293" s="37"/>
      <c r="E5293" s="36"/>
      <c r="F5293" s="42"/>
      <c r="G5293" s="42"/>
      <c r="H5293" s="42"/>
      <c r="AG5293" s="19">
        <v>5292</v>
      </c>
      <c r="AH5293" s="20">
        <v>-0.85648865236902338</v>
      </c>
    </row>
    <row r="5294" spans="1:34" ht="14.5" x14ac:dyDescent="0.35">
      <c r="A5294" s="34"/>
      <c r="B5294" s="35"/>
      <c r="C5294" s="36"/>
      <c r="D5294" s="37"/>
      <c r="E5294" s="36"/>
      <c r="F5294" s="42"/>
      <c r="G5294" s="42"/>
      <c r="H5294" s="42"/>
      <c r="AG5294" s="19">
        <v>5293</v>
      </c>
      <c r="AH5294" s="20">
        <v>159.75903026962928</v>
      </c>
    </row>
    <row r="5295" spans="1:34" ht="14.5" x14ac:dyDescent="0.35">
      <c r="A5295" s="34"/>
      <c r="B5295" s="35"/>
      <c r="C5295" s="36"/>
      <c r="D5295" s="37"/>
      <c r="E5295" s="36"/>
      <c r="F5295" s="42"/>
      <c r="G5295" s="42"/>
      <c r="H5295" s="42"/>
      <c r="AG5295" s="19">
        <v>5294</v>
      </c>
      <c r="AH5295" s="20">
        <v>444.17701210509063</v>
      </c>
    </row>
    <row r="5296" spans="1:34" ht="14.5" x14ac:dyDescent="0.35">
      <c r="A5296" s="34"/>
      <c r="B5296" s="35"/>
      <c r="C5296" s="36"/>
      <c r="D5296" s="37"/>
      <c r="E5296" s="36"/>
      <c r="F5296" s="42"/>
      <c r="G5296" s="42"/>
      <c r="H5296" s="42"/>
      <c r="AG5296" s="19">
        <v>5295</v>
      </c>
      <c r="AH5296" s="20">
        <v>37.461983582899336</v>
      </c>
    </row>
    <row r="5297" spans="1:34" ht="14.5" x14ac:dyDescent="0.35">
      <c r="A5297" s="34"/>
      <c r="B5297" s="35"/>
      <c r="C5297" s="36"/>
      <c r="D5297" s="37"/>
      <c r="E5297" s="36"/>
      <c r="F5297" s="42"/>
      <c r="G5297" s="42"/>
      <c r="H5297" s="42"/>
      <c r="AG5297" s="19">
        <v>5296</v>
      </c>
      <c r="AH5297" s="20">
        <v>-1436.8675270486483</v>
      </c>
    </row>
    <row r="5298" spans="1:34" ht="14.5" x14ac:dyDescent="0.35">
      <c r="A5298" s="34"/>
      <c r="B5298" s="35"/>
      <c r="C5298" s="36"/>
      <c r="D5298" s="37"/>
      <c r="E5298" s="36"/>
      <c r="F5298" s="42"/>
      <c r="G5298" s="42"/>
      <c r="H5298" s="42"/>
      <c r="AG5298" s="19">
        <v>5297</v>
      </c>
      <c r="AH5298" s="20">
        <v>-628.18079705831769</v>
      </c>
    </row>
    <row r="5299" spans="1:34" ht="14.5" x14ac:dyDescent="0.35">
      <c r="A5299" s="34"/>
      <c r="B5299" s="35"/>
      <c r="C5299" s="36"/>
      <c r="D5299" s="37"/>
      <c r="E5299" s="36"/>
      <c r="F5299" s="42"/>
      <c r="G5299" s="42"/>
      <c r="H5299" s="42"/>
      <c r="AG5299" s="19">
        <v>5298</v>
      </c>
      <c r="AH5299" s="20">
        <v>-4064.4342820730408</v>
      </c>
    </row>
    <row r="5300" spans="1:34" ht="14.5" x14ac:dyDescent="0.35">
      <c r="A5300" s="34"/>
      <c r="B5300" s="35"/>
      <c r="C5300" s="36"/>
      <c r="D5300" s="37"/>
      <c r="E5300" s="36"/>
      <c r="F5300" s="42"/>
      <c r="G5300" s="42"/>
      <c r="H5300" s="42"/>
      <c r="AG5300" s="19">
        <v>5299</v>
      </c>
      <c r="AH5300" s="20">
        <v>-637.38926145347682</v>
      </c>
    </row>
    <row r="5301" spans="1:34" ht="14.5" x14ac:dyDescent="0.35">
      <c r="A5301" s="34"/>
      <c r="B5301" s="35"/>
      <c r="C5301" s="36"/>
      <c r="D5301" s="37"/>
      <c r="E5301" s="36"/>
      <c r="F5301" s="42"/>
      <c r="G5301" s="42"/>
      <c r="H5301" s="42"/>
      <c r="AG5301" s="19">
        <v>5300</v>
      </c>
      <c r="AH5301" s="20">
        <v>4132.535438750273</v>
      </c>
    </row>
    <row r="5302" spans="1:34" ht="14.5" x14ac:dyDescent="0.35">
      <c r="A5302" s="34"/>
      <c r="B5302" s="35"/>
      <c r="C5302" s="36"/>
      <c r="D5302" s="37"/>
      <c r="E5302" s="36"/>
      <c r="F5302" s="42"/>
      <c r="G5302" s="42"/>
      <c r="H5302" s="42"/>
      <c r="AG5302" s="19">
        <v>5301</v>
      </c>
      <c r="AH5302" s="20">
        <v>3619.9227394120362</v>
      </c>
    </row>
    <row r="5303" spans="1:34" ht="14.5" x14ac:dyDescent="0.35">
      <c r="A5303" s="34"/>
      <c r="B5303" s="35"/>
      <c r="C5303" s="36"/>
      <c r="D5303" s="37"/>
      <c r="E5303" s="36"/>
      <c r="F5303" s="42"/>
      <c r="G5303" s="42"/>
      <c r="H5303" s="42"/>
      <c r="AG5303" s="19">
        <v>5302</v>
      </c>
      <c r="AH5303" s="20">
        <v>3462.7186205152416</v>
      </c>
    </row>
    <row r="5304" spans="1:34" ht="14.5" x14ac:dyDescent="0.35">
      <c r="A5304" s="34"/>
      <c r="B5304" s="35"/>
      <c r="C5304" s="36"/>
      <c r="D5304" s="37"/>
      <c r="E5304" s="36"/>
      <c r="F5304" s="42"/>
      <c r="G5304" s="42"/>
      <c r="H5304" s="42"/>
      <c r="AG5304" s="19">
        <v>5303</v>
      </c>
      <c r="AH5304" s="20">
        <v>-2334.8018514329428</v>
      </c>
    </row>
    <row r="5305" spans="1:34" ht="14.5" x14ac:dyDescent="0.35">
      <c r="A5305" s="34"/>
      <c r="B5305" s="35"/>
      <c r="C5305" s="36"/>
      <c r="D5305" s="37"/>
      <c r="E5305" s="36"/>
      <c r="F5305" s="42"/>
      <c r="G5305" s="42"/>
      <c r="H5305" s="42"/>
      <c r="AG5305" s="19">
        <v>5304</v>
      </c>
      <c r="AH5305" s="20">
        <v>-3454.9395421939962</v>
      </c>
    </row>
    <row r="5306" spans="1:34" ht="14.5" x14ac:dyDescent="0.35">
      <c r="A5306" s="34"/>
      <c r="B5306" s="35"/>
      <c r="C5306" s="36"/>
      <c r="D5306" s="37"/>
      <c r="E5306" s="36"/>
      <c r="F5306" s="42"/>
      <c r="G5306" s="42"/>
      <c r="H5306" s="42"/>
      <c r="AG5306" s="19">
        <v>5305</v>
      </c>
      <c r="AH5306" s="20">
        <v>-1663.6194879080701</v>
      </c>
    </row>
    <row r="5307" spans="1:34" ht="14.5" x14ac:dyDescent="0.35">
      <c r="A5307" s="34"/>
      <c r="B5307" s="35"/>
      <c r="C5307" s="36"/>
      <c r="D5307" s="37"/>
      <c r="E5307" s="36"/>
      <c r="F5307" s="42"/>
      <c r="G5307" s="42"/>
      <c r="H5307" s="42"/>
      <c r="AG5307" s="19">
        <v>5306</v>
      </c>
      <c r="AH5307" s="20">
        <v>675.4093893100478</v>
      </c>
    </row>
    <row r="5308" spans="1:34" ht="14.5" x14ac:dyDescent="0.35">
      <c r="A5308" s="34"/>
      <c r="B5308" s="35"/>
      <c r="C5308" s="36"/>
      <c r="D5308" s="37"/>
      <c r="E5308" s="36"/>
      <c r="F5308" s="42"/>
      <c r="G5308" s="42"/>
      <c r="H5308" s="42"/>
      <c r="AG5308" s="19">
        <v>5307</v>
      </c>
      <c r="AH5308" s="20">
        <v>-2693.2526837540768</v>
      </c>
    </row>
    <row r="5309" spans="1:34" ht="14.5" x14ac:dyDescent="0.35">
      <c r="A5309" s="34"/>
      <c r="B5309" s="35"/>
      <c r="C5309" s="36"/>
      <c r="D5309" s="37"/>
      <c r="E5309" s="36"/>
      <c r="F5309" s="42"/>
      <c r="G5309" s="42"/>
      <c r="H5309" s="42"/>
      <c r="AG5309" s="19">
        <v>5308</v>
      </c>
      <c r="AH5309" s="20">
        <v>-3161.2451545589188</v>
      </c>
    </row>
    <row r="5310" spans="1:34" ht="14.5" x14ac:dyDescent="0.35">
      <c r="A5310" s="34"/>
      <c r="B5310" s="35"/>
      <c r="C5310" s="36"/>
      <c r="D5310" s="37"/>
      <c r="E5310" s="36"/>
      <c r="F5310" s="42"/>
      <c r="G5310" s="42"/>
      <c r="H5310" s="42"/>
      <c r="AG5310" s="19">
        <v>5309</v>
      </c>
      <c r="AH5310" s="20">
        <v>-29.112082838661195</v>
      </c>
    </row>
    <row r="5311" spans="1:34" ht="14.5" x14ac:dyDescent="0.35">
      <c r="A5311" s="34"/>
      <c r="B5311" s="35"/>
      <c r="C5311" s="36"/>
      <c r="D5311" s="37"/>
      <c r="E5311" s="36"/>
      <c r="F5311" s="42"/>
      <c r="G5311" s="42"/>
      <c r="H5311" s="42"/>
      <c r="AG5311" s="19">
        <v>5310</v>
      </c>
      <c r="AH5311" s="20">
        <v>-1129.4238725258383</v>
      </c>
    </row>
    <row r="5312" spans="1:34" ht="14.5" x14ac:dyDescent="0.35">
      <c r="A5312" s="34"/>
      <c r="B5312" s="35"/>
      <c r="C5312" s="36"/>
      <c r="D5312" s="37"/>
      <c r="E5312" s="36"/>
      <c r="F5312" s="42"/>
      <c r="G5312" s="42"/>
      <c r="H5312" s="42"/>
      <c r="AG5312" s="19">
        <v>5311</v>
      </c>
      <c r="AH5312" s="20">
        <v>-1454.8202934114511</v>
      </c>
    </row>
    <row r="5313" spans="1:34" ht="14.5" x14ac:dyDescent="0.35">
      <c r="A5313" s="34"/>
      <c r="B5313" s="35"/>
      <c r="C5313" s="36"/>
      <c r="D5313" s="37"/>
      <c r="E5313" s="36"/>
      <c r="F5313" s="42"/>
      <c r="G5313" s="42"/>
      <c r="H5313" s="42"/>
      <c r="AG5313" s="19">
        <v>5312</v>
      </c>
      <c r="AH5313" s="20">
        <v>-874.6943419656875</v>
      </c>
    </row>
    <row r="5314" spans="1:34" ht="14.5" x14ac:dyDescent="0.35">
      <c r="A5314" s="34"/>
      <c r="B5314" s="35"/>
      <c r="C5314" s="36"/>
      <c r="D5314" s="37"/>
      <c r="E5314" s="36"/>
      <c r="F5314" s="42"/>
      <c r="G5314" s="42"/>
      <c r="H5314" s="42"/>
      <c r="AG5314" s="19">
        <v>5313</v>
      </c>
      <c r="AH5314" s="20">
        <v>2759.540746914854</v>
      </c>
    </row>
    <row r="5315" spans="1:34" ht="14.5" x14ac:dyDescent="0.35">
      <c r="A5315" s="34"/>
      <c r="B5315" s="35"/>
      <c r="C5315" s="36"/>
      <c r="D5315" s="37"/>
      <c r="E5315" s="36"/>
      <c r="F5315" s="42"/>
      <c r="G5315" s="42"/>
      <c r="H5315" s="42"/>
      <c r="AG5315" s="19">
        <v>5314</v>
      </c>
      <c r="AH5315" s="20">
        <v>137.63998791509403</v>
      </c>
    </row>
    <row r="5316" spans="1:34" ht="14.5" x14ac:dyDescent="0.35">
      <c r="A5316" s="34"/>
      <c r="B5316" s="35"/>
      <c r="C5316" s="36"/>
      <c r="D5316" s="37"/>
      <c r="E5316" s="36"/>
      <c r="F5316" s="42"/>
      <c r="G5316" s="42"/>
      <c r="H5316" s="42"/>
      <c r="AG5316" s="19">
        <v>5315</v>
      </c>
      <c r="AH5316" s="20">
        <v>-4698.7189137916894</v>
      </c>
    </row>
    <row r="5317" spans="1:34" ht="14.5" x14ac:dyDescent="0.35">
      <c r="A5317" s="34"/>
      <c r="B5317" s="35"/>
      <c r="C5317" s="36"/>
      <c r="D5317" s="37"/>
      <c r="E5317" s="36"/>
      <c r="F5317" s="42"/>
      <c r="G5317" s="42"/>
      <c r="H5317" s="42"/>
      <c r="AG5317" s="19">
        <v>5316</v>
      </c>
      <c r="AH5317" s="20">
        <v>503.13901164538731</v>
      </c>
    </row>
    <row r="5318" spans="1:34" ht="14.5" x14ac:dyDescent="0.35">
      <c r="A5318" s="34"/>
      <c r="B5318" s="35"/>
      <c r="C5318" s="36"/>
      <c r="D5318" s="37"/>
      <c r="E5318" s="36"/>
      <c r="F5318" s="42"/>
      <c r="G5318" s="42"/>
      <c r="H5318" s="42"/>
      <c r="AG5318" s="19">
        <v>5317</v>
      </c>
      <c r="AH5318" s="20">
        <v>1496.0447437338464</v>
      </c>
    </row>
    <row r="5319" spans="1:34" ht="14.5" x14ac:dyDescent="0.35">
      <c r="A5319" s="34"/>
      <c r="B5319" s="35"/>
      <c r="C5319" s="36"/>
      <c r="D5319" s="37"/>
      <c r="E5319" s="36"/>
      <c r="F5319" s="42"/>
      <c r="G5319" s="42"/>
      <c r="H5319" s="42"/>
      <c r="AG5319" s="19">
        <v>5318</v>
      </c>
      <c r="AH5319" s="20">
        <v>1033.3679345409794</v>
      </c>
    </row>
    <row r="5320" spans="1:34" ht="14.5" x14ac:dyDescent="0.35">
      <c r="A5320" s="34"/>
      <c r="B5320" s="35"/>
      <c r="C5320" s="36"/>
      <c r="D5320" s="37"/>
      <c r="E5320" s="36"/>
      <c r="F5320" s="42"/>
      <c r="G5320" s="42"/>
      <c r="H5320" s="42"/>
      <c r="AG5320" s="19">
        <v>5319</v>
      </c>
      <c r="AH5320" s="20">
        <v>349.89338588412949</v>
      </c>
    </row>
    <row r="5321" spans="1:34" ht="14.5" x14ac:dyDescent="0.35">
      <c r="A5321" s="34"/>
      <c r="B5321" s="35"/>
      <c r="C5321" s="36"/>
      <c r="D5321" s="37"/>
      <c r="E5321" s="36"/>
      <c r="F5321" s="42"/>
      <c r="G5321" s="42"/>
      <c r="H5321" s="42"/>
      <c r="AG5321" s="19">
        <v>5320</v>
      </c>
      <c r="AH5321" s="20">
        <v>-1525.058642697172</v>
      </c>
    </row>
    <row r="5322" spans="1:34" ht="14.5" x14ac:dyDescent="0.35">
      <c r="A5322" s="34"/>
      <c r="B5322" s="35"/>
      <c r="C5322" s="36"/>
      <c r="D5322" s="37"/>
      <c r="E5322" s="36"/>
      <c r="F5322" s="42"/>
      <c r="G5322" s="42"/>
      <c r="H5322" s="42"/>
      <c r="AG5322" s="19">
        <v>5321</v>
      </c>
      <c r="AH5322" s="20">
        <v>1858.3886991836323</v>
      </c>
    </row>
    <row r="5323" spans="1:34" ht="14.5" x14ac:dyDescent="0.35">
      <c r="A5323" s="34"/>
      <c r="B5323" s="35"/>
      <c r="C5323" s="36"/>
      <c r="D5323" s="37"/>
      <c r="E5323" s="36"/>
      <c r="F5323" s="42"/>
      <c r="G5323" s="42"/>
      <c r="H5323" s="42"/>
      <c r="AG5323" s="19">
        <v>5322</v>
      </c>
      <c r="AH5323" s="20">
        <v>-69.870629746811062</v>
      </c>
    </row>
    <row r="5324" spans="1:34" ht="14.5" x14ac:dyDescent="0.35">
      <c r="A5324" s="34"/>
      <c r="B5324" s="35"/>
      <c r="C5324" s="36"/>
      <c r="D5324" s="37"/>
      <c r="E5324" s="36"/>
      <c r="F5324" s="42"/>
      <c r="G5324" s="42"/>
      <c r="H5324" s="42"/>
      <c r="AG5324" s="19">
        <v>5323</v>
      </c>
      <c r="AH5324" s="20">
        <v>156.14648219465221</v>
      </c>
    </row>
    <row r="5325" spans="1:34" ht="14.5" x14ac:dyDescent="0.35">
      <c r="A5325" s="34"/>
      <c r="B5325" s="35"/>
      <c r="C5325" s="36"/>
      <c r="D5325" s="37"/>
      <c r="E5325" s="36"/>
      <c r="F5325" s="42"/>
      <c r="G5325" s="42"/>
      <c r="H5325" s="42"/>
      <c r="AG5325" s="19">
        <v>5324</v>
      </c>
      <c r="AH5325" s="20">
        <v>-1471.3028358675531</v>
      </c>
    </row>
    <row r="5326" spans="1:34" ht="14.5" x14ac:dyDescent="0.35">
      <c r="A5326" s="34"/>
      <c r="B5326" s="35"/>
      <c r="C5326" s="36"/>
      <c r="D5326" s="37"/>
      <c r="E5326" s="36"/>
      <c r="F5326" s="42"/>
      <c r="G5326" s="42"/>
      <c r="H5326" s="42"/>
      <c r="AG5326" s="19">
        <v>5325</v>
      </c>
      <c r="AH5326" s="20">
        <v>610.32690133363951</v>
      </c>
    </row>
    <row r="5327" spans="1:34" ht="14.5" x14ac:dyDescent="0.35">
      <c r="A5327" s="34"/>
      <c r="B5327" s="35"/>
      <c r="C5327" s="36"/>
      <c r="D5327" s="37"/>
      <c r="E5327" s="36"/>
      <c r="F5327" s="42"/>
      <c r="G5327" s="42"/>
      <c r="H5327" s="42"/>
      <c r="AG5327" s="19">
        <v>5326</v>
      </c>
      <c r="AH5327" s="20">
        <v>720.71251640655373</v>
      </c>
    </row>
    <row r="5328" spans="1:34" ht="14.5" x14ac:dyDescent="0.35">
      <c r="A5328" s="34"/>
      <c r="B5328" s="35"/>
      <c r="C5328" s="36"/>
      <c r="D5328" s="37"/>
      <c r="E5328" s="36"/>
      <c r="F5328" s="42"/>
      <c r="G5328" s="42"/>
      <c r="H5328" s="42"/>
      <c r="AG5328" s="19">
        <v>5327</v>
      </c>
      <c r="AH5328" s="20">
        <v>1619.8790290734896</v>
      </c>
    </row>
    <row r="5329" spans="1:34" ht="14.5" x14ac:dyDescent="0.35">
      <c r="A5329" s="34"/>
      <c r="B5329" s="35"/>
      <c r="C5329" s="36"/>
      <c r="D5329" s="37"/>
      <c r="E5329" s="36"/>
      <c r="F5329" s="42"/>
      <c r="G5329" s="42"/>
      <c r="H5329" s="42"/>
      <c r="AG5329" s="19">
        <v>5328</v>
      </c>
      <c r="AH5329" s="20">
        <v>-27.402912761237928</v>
      </c>
    </row>
    <row r="5330" spans="1:34" ht="14.5" x14ac:dyDescent="0.35">
      <c r="A5330" s="34"/>
      <c r="B5330" s="35"/>
      <c r="C5330" s="36"/>
      <c r="D5330" s="37"/>
      <c r="E5330" s="36"/>
      <c r="F5330" s="42"/>
      <c r="G5330" s="42"/>
      <c r="H5330" s="42"/>
      <c r="AG5330" s="19">
        <v>5329</v>
      </c>
      <c r="AH5330" s="20">
        <v>1938.0670370629543</v>
      </c>
    </row>
    <row r="5331" spans="1:34" ht="14.5" x14ac:dyDescent="0.35">
      <c r="A5331" s="34"/>
      <c r="B5331" s="35"/>
      <c r="C5331" s="36"/>
      <c r="D5331" s="37"/>
      <c r="E5331" s="36"/>
      <c r="F5331" s="42"/>
      <c r="G5331" s="42"/>
      <c r="H5331" s="42"/>
      <c r="AG5331" s="19">
        <v>5330</v>
      </c>
      <c r="AH5331" s="20">
        <v>18.211277528404423</v>
      </c>
    </row>
    <row r="5332" spans="1:34" ht="14.5" x14ac:dyDescent="0.35">
      <c r="A5332" s="34"/>
      <c r="B5332" s="35"/>
      <c r="C5332" s="36"/>
      <c r="D5332" s="37"/>
      <c r="E5332" s="36"/>
      <c r="F5332" s="42"/>
      <c r="G5332" s="42"/>
      <c r="H5332" s="42"/>
      <c r="AG5332" s="19">
        <v>5331</v>
      </c>
      <c r="AH5332" s="20">
        <v>1102.1763909400138</v>
      </c>
    </row>
    <row r="5333" spans="1:34" ht="14.5" x14ac:dyDescent="0.35">
      <c r="A5333" s="34"/>
      <c r="B5333" s="35"/>
      <c r="C5333" s="36"/>
      <c r="D5333" s="37"/>
      <c r="E5333" s="36"/>
      <c r="F5333" s="42"/>
      <c r="G5333" s="42"/>
      <c r="H5333" s="42"/>
      <c r="AG5333" s="19">
        <v>5332</v>
      </c>
      <c r="AH5333" s="20">
        <v>1020.4700821169326</v>
      </c>
    </row>
    <row r="5334" spans="1:34" ht="14.5" x14ac:dyDescent="0.35">
      <c r="A5334" s="34"/>
      <c r="B5334" s="35"/>
      <c r="C5334" s="36"/>
      <c r="D5334" s="37"/>
      <c r="E5334" s="36"/>
      <c r="F5334" s="42"/>
      <c r="G5334" s="42"/>
      <c r="H5334" s="42"/>
      <c r="AG5334" s="19">
        <v>5333</v>
      </c>
      <c r="AH5334" s="20">
        <v>-3778.7641229142464</v>
      </c>
    </row>
    <row r="5335" spans="1:34" ht="14.5" x14ac:dyDescent="0.35">
      <c r="A5335" s="34"/>
      <c r="B5335" s="35"/>
      <c r="C5335" s="36"/>
      <c r="D5335" s="37"/>
      <c r="E5335" s="36"/>
      <c r="F5335" s="42"/>
      <c r="G5335" s="42"/>
      <c r="H5335" s="42"/>
      <c r="AG5335" s="19">
        <v>5334</v>
      </c>
      <c r="AH5335" s="20">
        <v>-1647.1012627270318</v>
      </c>
    </row>
    <row r="5336" spans="1:34" ht="14.5" x14ac:dyDescent="0.35">
      <c r="A5336" s="34"/>
      <c r="B5336" s="35"/>
      <c r="C5336" s="36"/>
      <c r="D5336" s="37"/>
      <c r="E5336" s="36"/>
      <c r="F5336" s="42"/>
      <c r="G5336" s="42"/>
      <c r="H5336" s="42"/>
      <c r="AG5336" s="19">
        <v>5335</v>
      </c>
      <c r="AH5336" s="20">
        <v>2523.8550604663974</v>
      </c>
    </row>
    <row r="5337" spans="1:34" ht="14.5" x14ac:dyDescent="0.35">
      <c r="A5337" s="34"/>
      <c r="B5337" s="35"/>
      <c r="C5337" s="36"/>
      <c r="D5337" s="37"/>
      <c r="E5337" s="36"/>
      <c r="F5337" s="42"/>
      <c r="G5337" s="42"/>
      <c r="H5337" s="42"/>
      <c r="AG5337" s="19">
        <v>5336</v>
      </c>
      <c r="AH5337" s="20">
        <v>1311.5993081317513</v>
      </c>
    </row>
    <row r="5338" spans="1:34" ht="14.5" x14ac:dyDescent="0.35">
      <c r="A5338" s="34"/>
      <c r="B5338" s="35"/>
      <c r="C5338" s="36"/>
      <c r="D5338" s="37"/>
      <c r="E5338" s="36"/>
      <c r="F5338" s="42"/>
      <c r="G5338" s="42"/>
      <c r="H5338" s="42"/>
      <c r="AG5338" s="19">
        <v>5337</v>
      </c>
      <c r="AH5338" s="20">
        <v>3767.6108659710021</v>
      </c>
    </row>
    <row r="5339" spans="1:34" ht="14.5" x14ac:dyDescent="0.35">
      <c r="A5339" s="34"/>
      <c r="B5339" s="35"/>
      <c r="C5339" s="36"/>
      <c r="D5339" s="37"/>
      <c r="E5339" s="36"/>
      <c r="F5339" s="42"/>
      <c r="G5339" s="42"/>
      <c r="H5339" s="42"/>
      <c r="AG5339" s="19">
        <v>5338</v>
      </c>
      <c r="AH5339" s="20">
        <v>1972.2473796629395</v>
      </c>
    </row>
    <row r="5340" spans="1:34" ht="14.5" x14ac:dyDescent="0.35">
      <c r="A5340" s="34"/>
      <c r="B5340" s="35"/>
      <c r="C5340" s="36"/>
      <c r="D5340" s="37"/>
      <c r="E5340" s="36"/>
      <c r="F5340" s="42"/>
      <c r="G5340" s="42"/>
      <c r="H5340" s="42"/>
      <c r="AG5340" s="19">
        <v>5339</v>
      </c>
      <c r="AH5340" s="20">
        <v>739.06059832822211</v>
      </c>
    </row>
    <row r="5341" spans="1:34" ht="14.5" x14ac:dyDescent="0.35">
      <c r="A5341" s="34"/>
      <c r="B5341" s="35"/>
      <c r="C5341" s="36"/>
      <c r="D5341" s="37"/>
      <c r="E5341" s="36"/>
      <c r="F5341" s="42"/>
      <c r="G5341" s="42"/>
      <c r="H5341" s="42"/>
      <c r="AG5341" s="19">
        <v>5340</v>
      </c>
      <c r="AH5341" s="20">
        <v>-2735.6391236381642</v>
      </c>
    </row>
    <row r="5342" spans="1:34" ht="14.5" x14ac:dyDescent="0.35">
      <c r="A5342" s="34"/>
      <c r="B5342" s="35"/>
      <c r="C5342" s="36"/>
      <c r="D5342" s="37"/>
      <c r="E5342" s="36"/>
      <c r="F5342" s="42"/>
      <c r="G5342" s="42"/>
      <c r="H5342" s="42"/>
      <c r="AG5342" s="19">
        <v>5341</v>
      </c>
      <c r="AH5342" s="20">
        <v>-2164.5709526272612</v>
      </c>
    </row>
    <row r="5343" spans="1:34" ht="14.5" x14ac:dyDescent="0.35">
      <c r="A5343" s="34"/>
      <c r="B5343" s="35"/>
      <c r="C5343" s="36"/>
      <c r="D5343" s="37"/>
      <c r="E5343" s="36"/>
      <c r="F5343" s="42"/>
      <c r="G5343" s="42"/>
      <c r="H5343" s="42"/>
      <c r="AG5343" s="19">
        <v>5342</v>
      </c>
      <c r="AH5343" s="20">
        <v>2122.8428013845532</v>
      </c>
    </row>
    <row r="5344" spans="1:34" ht="14.5" x14ac:dyDescent="0.35">
      <c r="A5344" s="34"/>
      <c r="B5344" s="35"/>
      <c r="C5344" s="36"/>
      <c r="D5344" s="37"/>
      <c r="E5344" s="36"/>
      <c r="F5344" s="42"/>
      <c r="G5344" s="42"/>
      <c r="H5344" s="42"/>
      <c r="AG5344" s="19">
        <v>5343</v>
      </c>
      <c r="AH5344" s="20">
        <v>-46.193281723976099</v>
      </c>
    </row>
    <row r="5345" spans="1:34" ht="14.5" x14ac:dyDescent="0.35">
      <c r="A5345" s="34"/>
      <c r="B5345" s="35"/>
      <c r="C5345" s="36"/>
      <c r="D5345" s="37"/>
      <c r="E5345" s="36"/>
      <c r="F5345" s="42"/>
      <c r="G5345" s="42"/>
      <c r="H5345" s="42"/>
      <c r="AG5345" s="19">
        <v>5344</v>
      </c>
      <c r="AH5345" s="20">
        <v>811.33404423947422</v>
      </c>
    </row>
    <row r="5346" spans="1:34" ht="14.5" x14ac:dyDescent="0.35">
      <c r="A5346" s="34"/>
      <c r="B5346" s="35"/>
      <c r="C5346" s="36"/>
      <c r="D5346" s="37"/>
      <c r="E5346" s="36"/>
      <c r="F5346" s="42"/>
      <c r="G5346" s="42"/>
      <c r="H5346" s="42"/>
      <c r="AG5346" s="19">
        <v>5345</v>
      </c>
      <c r="AH5346" s="20">
        <v>835.62684372342369</v>
      </c>
    </row>
    <row r="5347" spans="1:34" ht="14.5" x14ac:dyDescent="0.35">
      <c r="A5347" s="34"/>
      <c r="B5347" s="35"/>
      <c r="C5347" s="36"/>
      <c r="D5347" s="37"/>
      <c r="E5347" s="36"/>
      <c r="F5347" s="42"/>
      <c r="G5347" s="42"/>
      <c r="H5347" s="42"/>
      <c r="AG5347" s="19">
        <v>5346</v>
      </c>
      <c r="AH5347" s="20">
        <v>4226.2645402694552</v>
      </c>
    </row>
    <row r="5348" spans="1:34" ht="14.5" x14ac:dyDescent="0.35">
      <c r="A5348" s="34"/>
      <c r="B5348" s="35"/>
      <c r="C5348" s="36"/>
      <c r="D5348" s="37"/>
      <c r="E5348" s="36"/>
      <c r="F5348" s="42"/>
      <c r="G5348" s="42"/>
      <c r="H5348" s="42"/>
      <c r="AG5348" s="19">
        <v>5347</v>
      </c>
      <c r="AH5348" s="20">
        <v>-231.94453299108642</v>
      </c>
    </row>
    <row r="5349" spans="1:34" ht="14.5" x14ac:dyDescent="0.35">
      <c r="A5349" s="34"/>
      <c r="B5349" s="35"/>
      <c r="C5349" s="36"/>
      <c r="D5349" s="37"/>
      <c r="E5349" s="36"/>
      <c r="F5349" s="42"/>
      <c r="G5349" s="42"/>
      <c r="H5349" s="42"/>
      <c r="AG5349" s="19">
        <v>5348</v>
      </c>
      <c r="AH5349" s="20">
        <v>2813.3564690433914</v>
      </c>
    </row>
    <row r="5350" spans="1:34" ht="14.5" x14ac:dyDescent="0.35">
      <c r="A5350" s="34"/>
      <c r="B5350" s="35"/>
      <c r="C5350" s="36"/>
      <c r="D5350" s="37"/>
      <c r="E5350" s="36"/>
      <c r="F5350" s="42"/>
      <c r="G5350" s="42"/>
      <c r="H5350" s="42"/>
      <c r="AG5350" s="19">
        <v>5349</v>
      </c>
      <c r="AH5350" s="20">
        <v>1063.6960281120707</v>
      </c>
    </row>
    <row r="5351" spans="1:34" ht="14.5" x14ac:dyDescent="0.35">
      <c r="A5351" s="34"/>
      <c r="B5351" s="35"/>
      <c r="C5351" s="36"/>
      <c r="D5351" s="37"/>
      <c r="E5351" s="36"/>
      <c r="F5351" s="42"/>
      <c r="G5351" s="42"/>
      <c r="H5351" s="42"/>
      <c r="AG5351" s="19">
        <v>5350</v>
      </c>
      <c r="AH5351" s="20">
        <v>1202.6096073813844</v>
      </c>
    </row>
    <row r="5352" spans="1:34" ht="14.5" x14ac:dyDescent="0.35">
      <c r="A5352" s="34"/>
      <c r="B5352" s="35"/>
      <c r="C5352" s="36"/>
      <c r="D5352" s="37"/>
      <c r="E5352" s="36"/>
      <c r="F5352" s="42"/>
      <c r="G5352" s="42"/>
      <c r="H5352" s="42"/>
      <c r="AG5352" s="19">
        <v>5351</v>
      </c>
      <c r="AH5352" s="20">
        <v>1599.9434491071593</v>
      </c>
    </row>
    <row r="5353" spans="1:34" ht="14.5" x14ac:dyDescent="0.35">
      <c r="A5353" s="34"/>
      <c r="B5353" s="35"/>
      <c r="C5353" s="36"/>
      <c r="D5353" s="37"/>
      <c r="E5353" s="36"/>
      <c r="F5353" s="42"/>
      <c r="G5353" s="42"/>
      <c r="H5353" s="42"/>
      <c r="AG5353" s="19">
        <v>5352</v>
      </c>
      <c r="AH5353" s="20">
        <v>5936.6796821962744</v>
      </c>
    </row>
    <row r="5354" spans="1:34" ht="14.5" x14ac:dyDescent="0.35">
      <c r="A5354" s="34"/>
      <c r="B5354" s="35"/>
      <c r="C5354" s="36"/>
      <c r="D5354" s="37"/>
      <c r="E5354" s="36"/>
      <c r="F5354" s="42"/>
      <c r="G5354" s="42"/>
      <c r="H5354" s="42"/>
      <c r="AG5354" s="19">
        <v>5353</v>
      </c>
      <c r="AH5354" s="20">
        <v>-68.624317492094463</v>
      </c>
    </row>
    <row r="5355" spans="1:34" ht="14.5" x14ac:dyDescent="0.35">
      <c r="A5355" s="34"/>
      <c r="B5355" s="35"/>
      <c r="C5355" s="36"/>
      <c r="D5355" s="37"/>
      <c r="E5355" s="36"/>
      <c r="F5355" s="42"/>
      <c r="G5355" s="42"/>
      <c r="H5355" s="42"/>
      <c r="AG5355" s="19">
        <v>5354</v>
      </c>
      <c r="AH5355" s="20">
        <v>-1862.6006906375635</v>
      </c>
    </row>
    <row r="5356" spans="1:34" ht="14.5" x14ac:dyDescent="0.35">
      <c r="A5356" s="34"/>
      <c r="B5356" s="35"/>
      <c r="C5356" s="36"/>
      <c r="D5356" s="37"/>
      <c r="E5356" s="36"/>
      <c r="F5356" s="42"/>
      <c r="G5356" s="42"/>
      <c r="H5356" s="42"/>
      <c r="AG5356" s="19">
        <v>5355</v>
      </c>
      <c r="AH5356" s="20">
        <v>2061.2208213609324</v>
      </c>
    </row>
    <row r="5357" spans="1:34" ht="14.5" x14ac:dyDescent="0.35">
      <c r="A5357" s="34"/>
      <c r="B5357" s="35"/>
      <c r="C5357" s="36"/>
      <c r="D5357" s="37"/>
      <c r="E5357" s="36"/>
      <c r="F5357" s="42"/>
      <c r="G5357" s="42"/>
      <c r="H5357" s="42"/>
      <c r="AG5357" s="19">
        <v>5356</v>
      </c>
      <c r="AH5357" s="20">
        <v>558.06290598524117</v>
      </c>
    </row>
    <row r="5358" spans="1:34" ht="14.5" x14ac:dyDescent="0.35">
      <c r="A5358" s="34"/>
      <c r="B5358" s="35"/>
      <c r="C5358" s="36"/>
      <c r="D5358" s="37"/>
      <c r="E5358" s="36"/>
      <c r="F5358" s="42"/>
      <c r="G5358" s="42"/>
      <c r="H5358" s="42"/>
      <c r="AG5358" s="19">
        <v>5357</v>
      </c>
      <c r="AH5358" s="20">
        <v>-1109.9971444605251</v>
      </c>
    </row>
    <row r="5359" spans="1:34" ht="14.5" x14ac:dyDescent="0.35">
      <c r="A5359" s="34"/>
      <c r="B5359" s="35"/>
      <c r="C5359" s="36"/>
      <c r="D5359" s="37"/>
      <c r="E5359" s="36"/>
      <c r="F5359" s="42"/>
      <c r="G5359" s="42"/>
      <c r="H5359" s="42"/>
      <c r="AG5359" s="19">
        <v>5358</v>
      </c>
      <c r="AH5359" s="20">
        <v>200.51004257329302</v>
      </c>
    </row>
    <row r="5360" spans="1:34" ht="14.5" x14ac:dyDescent="0.35">
      <c r="A5360" s="34"/>
      <c r="B5360" s="35"/>
      <c r="C5360" s="36"/>
      <c r="D5360" s="37"/>
      <c r="E5360" s="36"/>
      <c r="F5360" s="42"/>
      <c r="G5360" s="42"/>
      <c r="H5360" s="42"/>
      <c r="AG5360" s="19">
        <v>5359</v>
      </c>
      <c r="AH5360" s="20">
        <v>-1450.7964386439569</v>
      </c>
    </row>
    <row r="5361" spans="1:34" ht="14.5" x14ac:dyDescent="0.35">
      <c r="A5361" s="34"/>
      <c r="B5361" s="35"/>
      <c r="C5361" s="36"/>
      <c r="D5361" s="37"/>
      <c r="E5361" s="36"/>
      <c r="F5361" s="42"/>
      <c r="G5361" s="42"/>
      <c r="H5361" s="42"/>
      <c r="AG5361" s="19">
        <v>5360</v>
      </c>
      <c r="AH5361" s="20">
        <v>913.2614908603789</v>
      </c>
    </row>
    <row r="5362" spans="1:34" ht="14.5" x14ac:dyDescent="0.35">
      <c r="A5362" s="34"/>
      <c r="B5362" s="35"/>
      <c r="C5362" s="36"/>
      <c r="D5362" s="37"/>
      <c r="E5362" s="36"/>
      <c r="F5362" s="42"/>
      <c r="G5362" s="42"/>
      <c r="H5362" s="42"/>
      <c r="AG5362" s="19">
        <v>5361</v>
      </c>
      <c r="AH5362" s="20">
        <v>1213.5332492815457</v>
      </c>
    </row>
    <row r="5363" spans="1:34" ht="14.5" x14ac:dyDescent="0.35">
      <c r="A5363" s="34"/>
      <c r="B5363" s="35"/>
      <c r="C5363" s="36"/>
      <c r="D5363" s="37"/>
      <c r="E5363" s="36"/>
      <c r="F5363" s="42"/>
      <c r="G5363" s="42"/>
      <c r="H5363" s="42"/>
      <c r="AG5363" s="19">
        <v>5362</v>
      </c>
      <c r="AH5363" s="20">
        <v>-906.5513775046411</v>
      </c>
    </row>
    <row r="5364" spans="1:34" ht="14.5" x14ac:dyDescent="0.35">
      <c r="A5364" s="34"/>
      <c r="B5364" s="35"/>
      <c r="C5364" s="36"/>
      <c r="D5364" s="37"/>
      <c r="E5364" s="36"/>
      <c r="F5364" s="42"/>
      <c r="G5364" s="42"/>
      <c r="H5364" s="42"/>
      <c r="AG5364" s="19">
        <v>5363</v>
      </c>
      <c r="AH5364" s="20">
        <v>1775.8628034525289</v>
      </c>
    </row>
    <row r="5365" spans="1:34" ht="14.5" x14ac:dyDescent="0.35">
      <c r="A5365" s="34"/>
      <c r="B5365" s="35"/>
      <c r="C5365" s="36"/>
      <c r="D5365" s="37"/>
      <c r="E5365" s="36"/>
      <c r="F5365" s="42"/>
      <c r="G5365" s="42"/>
      <c r="H5365" s="42"/>
      <c r="AG5365" s="19">
        <v>5364</v>
      </c>
      <c r="AH5365" s="20">
        <v>-361.17051818786769</v>
      </c>
    </row>
    <row r="5366" spans="1:34" ht="14.5" x14ac:dyDescent="0.35">
      <c r="A5366" s="34"/>
      <c r="B5366" s="35"/>
      <c r="C5366" s="36"/>
      <c r="D5366" s="37"/>
      <c r="E5366" s="36"/>
      <c r="F5366" s="42"/>
      <c r="G5366" s="42"/>
      <c r="H5366" s="42"/>
      <c r="AG5366" s="19">
        <v>5365</v>
      </c>
      <c r="AH5366" s="20">
        <v>1680.7650543493544</v>
      </c>
    </row>
    <row r="5367" spans="1:34" ht="14.5" x14ac:dyDescent="0.35">
      <c r="A5367" s="34"/>
      <c r="B5367" s="35"/>
      <c r="C5367" s="36"/>
      <c r="D5367" s="37"/>
      <c r="E5367" s="36"/>
      <c r="F5367" s="42"/>
      <c r="G5367" s="42"/>
      <c r="H5367" s="42"/>
      <c r="AG5367" s="19">
        <v>5366</v>
      </c>
      <c r="AH5367" s="20">
        <v>277.88065451373853</v>
      </c>
    </row>
    <row r="5368" spans="1:34" ht="14.5" x14ac:dyDescent="0.35">
      <c r="A5368" s="34"/>
      <c r="B5368" s="35"/>
      <c r="C5368" s="36"/>
      <c r="D5368" s="37"/>
      <c r="E5368" s="36"/>
      <c r="F5368" s="42"/>
      <c r="G5368" s="42"/>
      <c r="H5368" s="42"/>
      <c r="AG5368" s="19">
        <v>5367</v>
      </c>
      <c r="AH5368" s="20">
        <v>-588.1205984885612</v>
      </c>
    </row>
    <row r="5369" spans="1:34" ht="14.5" x14ac:dyDescent="0.35">
      <c r="A5369" s="34"/>
      <c r="B5369" s="35"/>
      <c r="C5369" s="36"/>
      <c r="D5369" s="37"/>
      <c r="E5369" s="36"/>
      <c r="F5369" s="42"/>
      <c r="G5369" s="42"/>
      <c r="H5369" s="42"/>
      <c r="AG5369" s="19">
        <v>5368</v>
      </c>
      <c r="AH5369" s="20">
        <v>-1451.9140751187431</v>
      </c>
    </row>
    <row r="5370" spans="1:34" ht="14.5" x14ac:dyDescent="0.35">
      <c r="A5370" s="34"/>
      <c r="B5370" s="35"/>
      <c r="C5370" s="36"/>
      <c r="D5370" s="37"/>
      <c r="E5370" s="36"/>
      <c r="F5370" s="42"/>
      <c r="G5370" s="42"/>
      <c r="H5370" s="42"/>
      <c r="AG5370" s="19">
        <v>5369</v>
      </c>
      <c r="AH5370" s="20">
        <v>1544.4047689261477</v>
      </c>
    </row>
    <row r="5371" spans="1:34" ht="14.5" x14ac:dyDescent="0.35">
      <c r="A5371" s="34"/>
      <c r="B5371" s="35"/>
      <c r="C5371" s="36"/>
      <c r="D5371" s="37"/>
      <c r="E5371" s="36"/>
      <c r="F5371" s="42"/>
      <c r="G5371" s="42"/>
      <c r="H5371" s="42"/>
      <c r="AG5371" s="19">
        <v>5370</v>
      </c>
      <c r="AH5371" s="20">
        <v>1815.1734850831981</v>
      </c>
    </row>
    <row r="5372" spans="1:34" ht="14.5" x14ac:dyDescent="0.35">
      <c r="A5372" s="34"/>
      <c r="B5372" s="35"/>
      <c r="C5372" s="36"/>
      <c r="D5372" s="37"/>
      <c r="E5372" s="36"/>
      <c r="F5372" s="42"/>
      <c r="G5372" s="42"/>
      <c r="H5372" s="42"/>
      <c r="AG5372" s="19">
        <v>5371</v>
      </c>
      <c r="AH5372" s="20">
        <v>1311.8386413425494</v>
      </c>
    </row>
    <row r="5373" spans="1:34" ht="14.5" x14ac:dyDescent="0.35">
      <c r="A5373" s="34"/>
      <c r="B5373" s="35"/>
      <c r="C5373" s="36"/>
      <c r="D5373" s="37"/>
      <c r="E5373" s="36"/>
      <c r="F5373" s="42"/>
      <c r="G5373" s="42"/>
      <c r="H5373" s="42"/>
      <c r="AG5373" s="19">
        <v>5372</v>
      </c>
      <c r="AH5373" s="20">
        <v>1084.4306692689142</v>
      </c>
    </row>
    <row r="5374" spans="1:34" ht="14.5" x14ac:dyDescent="0.35">
      <c r="A5374" s="34"/>
      <c r="B5374" s="35"/>
      <c r="C5374" s="36"/>
      <c r="D5374" s="37"/>
      <c r="E5374" s="36"/>
      <c r="F5374" s="42"/>
      <c r="G5374" s="42"/>
      <c r="H5374" s="42"/>
      <c r="AG5374" s="19">
        <v>5373</v>
      </c>
      <c r="AH5374" s="20">
        <v>1859.0390850645297</v>
      </c>
    </row>
    <row r="5375" spans="1:34" ht="14.5" x14ac:dyDescent="0.35">
      <c r="A5375" s="34"/>
      <c r="B5375" s="35"/>
      <c r="C5375" s="36"/>
      <c r="D5375" s="37"/>
      <c r="E5375" s="36"/>
      <c r="F5375" s="42"/>
      <c r="G5375" s="42"/>
      <c r="H5375" s="42"/>
      <c r="AG5375" s="19">
        <v>5374</v>
      </c>
      <c r="AH5375" s="20">
        <v>-888.29202261630371</v>
      </c>
    </row>
    <row r="5376" spans="1:34" ht="14.5" x14ac:dyDescent="0.35">
      <c r="A5376" s="34"/>
      <c r="B5376" s="35"/>
      <c r="C5376" s="36"/>
      <c r="D5376" s="37"/>
      <c r="E5376" s="36"/>
      <c r="F5376" s="42"/>
      <c r="G5376" s="42"/>
      <c r="H5376" s="42"/>
      <c r="AG5376" s="19">
        <v>5375</v>
      </c>
      <c r="AH5376" s="20">
        <v>4514.0007969194285</v>
      </c>
    </row>
    <row r="5377" spans="1:34" ht="14.5" x14ac:dyDescent="0.35">
      <c r="A5377" s="34"/>
      <c r="B5377" s="35"/>
      <c r="C5377" s="36"/>
      <c r="D5377" s="37"/>
      <c r="E5377" s="36"/>
      <c r="F5377" s="42"/>
      <c r="G5377" s="42"/>
      <c r="H5377" s="42"/>
      <c r="AG5377" s="19">
        <v>5376</v>
      </c>
      <c r="AH5377" s="20">
        <v>-419.92983396399012</v>
      </c>
    </row>
    <row r="5378" spans="1:34" ht="14.5" x14ac:dyDescent="0.35">
      <c r="A5378" s="34"/>
      <c r="B5378" s="35"/>
      <c r="C5378" s="36"/>
      <c r="D5378" s="37"/>
      <c r="E5378" s="36"/>
      <c r="F5378" s="42"/>
      <c r="G5378" s="42"/>
      <c r="H5378" s="42"/>
      <c r="AG5378" s="19">
        <v>5377</v>
      </c>
      <c r="AH5378" s="20">
        <v>2146.297764797464</v>
      </c>
    </row>
    <row r="5379" spans="1:34" ht="14.5" x14ac:dyDescent="0.35">
      <c r="A5379" s="34"/>
      <c r="B5379" s="35"/>
      <c r="C5379" s="36"/>
      <c r="D5379" s="37"/>
      <c r="E5379" s="36"/>
      <c r="F5379" s="42"/>
      <c r="G5379" s="42"/>
      <c r="H5379" s="42"/>
      <c r="AG5379" s="19">
        <v>5378</v>
      </c>
      <c r="AH5379" s="20">
        <v>-748.8105796590346</v>
      </c>
    </row>
    <row r="5380" spans="1:34" ht="14.5" x14ac:dyDescent="0.35">
      <c r="A5380" s="34"/>
      <c r="B5380" s="35"/>
      <c r="C5380" s="36"/>
      <c r="D5380" s="37"/>
      <c r="E5380" s="36"/>
      <c r="F5380" s="42"/>
      <c r="G5380" s="42"/>
      <c r="H5380" s="42"/>
      <c r="AG5380" s="19">
        <v>5379</v>
      </c>
      <c r="AH5380" s="20">
        <v>-683.67235546844154</v>
      </c>
    </row>
    <row r="5381" spans="1:34" ht="14.5" x14ac:dyDescent="0.35">
      <c r="A5381" s="34"/>
      <c r="B5381" s="35"/>
      <c r="C5381" s="36"/>
      <c r="D5381" s="37"/>
      <c r="E5381" s="36"/>
      <c r="F5381" s="42"/>
      <c r="G5381" s="42"/>
      <c r="H5381" s="42"/>
      <c r="AG5381" s="19">
        <v>5380</v>
      </c>
      <c r="AH5381" s="20">
        <v>2736.2997240993891</v>
      </c>
    </row>
    <row r="5382" spans="1:34" ht="14.5" x14ac:dyDescent="0.35">
      <c r="A5382" s="34"/>
      <c r="B5382" s="35"/>
      <c r="C5382" s="36"/>
      <c r="D5382" s="37"/>
      <c r="E5382" s="36"/>
      <c r="F5382" s="42"/>
      <c r="G5382" s="42"/>
      <c r="H5382" s="42"/>
      <c r="AG5382" s="19">
        <v>5381</v>
      </c>
      <c r="AH5382" s="20">
        <v>-29.784335332117848</v>
      </c>
    </row>
    <row r="5383" spans="1:34" ht="14.5" x14ac:dyDescent="0.35">
      <c r="A5383" s="34"/>
      <c r="B5383" s="35"/>
      <c r="C5383" s="36"/>
      <c r="D5383" s="37"/>
      <c r="E5383" s="36"/>
      <c r="F5383" s="42"/>
      <c r="G5383" s="42"/>
      <c r="H5383" s="42"/>
      <c r="AG5383" s="19">
        <v>5382</v>
      </c>
      <c r="AH5383" s="20">
        <v>721.04966295874101</v>
      </c>
    </row>
    <row r="5384" spans="1:34" ht="14.5" x14ac:dyDescent="0.35">
      <c r="A5384" s="34"/>
      <c r="B5384" s="35"/>
      <c r="C5384" s="36"/>
      <c r="D5384" s="37"/>
      <c r="E5384" s="36"/>
      <c r="F5384" s="42"/>
      <c r="G5384" s="42"/>
      <c r="H5384" s="42"/>
      <c r="AG5384" s="19">
        <v>5383</v>
      </c>
      <c r="AH5384" s="20">
        <v>-781.00372674721848</v>
      </c>
    </row>
    <row r="5385" spans="1:34" ht="14.5" x14ac:dyDescent="0.35">
      <c r="A5385" s="34"/>
      <c r="B5385" s="35"/>
      <c r="C5385" s="36"/>
      <c r="D5385" s="37"/>
      <c r="E5385" s="36"/>
      <c r="F5385" s="42"/>
      <c r="G5385" s="42"/>
      <c r="H5385" s="42"/>
      <c r="AG5385" s="19">
        <v>5384</v>
      </c>
      <c r="AH5385" s="20">
        <v>379.26758895033589</v>
      </c>
    </row>
    <row r="5386" spans="1:34" ht="14.5" x14ac:dyDescent="0.35">
      <c r="A5386" s="34"/>
      <c r="B5386" s="35"/>
      <c r="C5386" s="36"/>
      <c r="D5386" s="37"/>
      <c r="E5386" s="36"/>
      <c r="F5386" s="42"/>
      <c r="G5386" s="42"/>
      <c r="H5386" s="42"/>
      <c r="AG5386" s="19">
        <v>5385</v>
      </c>
      <c r="AH5386" s="20">
        <v>499.7796989052506</v>
      </c>
    </row>
    <row r="5387" spans="1:34" ht="14.5" x14ac:dyDescent="0.35">
      <c r="A5387" s="34"/>
      <c r="B5387" s="35"/>
      <c r="C5387" s="36"/>
      <c r="D5387" s="37"/>
      <c r="E5387" s="36"/>
      <c r="F5387" s="42"/>
      <c r="G5387" s="42"/>
      <c r="H5387" s="42"/>
      <c r="AG5387" s="19">
        <v>5386</v>
      </c>
      <c r="AH5387" s="20">
        <v>2817.9556336311593</v>
      </c>
    </row>
    <row r="5388" spans="1:34" ht="14.5" x14ac:dyDescent="0.35">
      <c r="A5388" s="34"/>
      <c r="B5388" s="35"/>
      <c r="C5388" s="36"/>
      <c r="D5388" s="37"/>
      <c r="E5388" s="36"/>
      <c r="F5388" s="42"/>
      <c r="G5388" s="42"/>
      <c r="H5388" s="42"/>
      <c r="AG5388" s="19">
        <v>5387</v>
      </c>
      <c r="AH5388" s="20">
        <v>656.42700784621525</v>
      </c>
    </row>
    <row r="5389" spans="1:34" ht="14.5" x14ac:dyDescent="0.35">
      <c r="A5389" s="34"/>
      <c r="B5389" s="35"/>
      <c r="C5389" s="36"/>
      <c r="D5389" s="37"/>
      <c r="E5389" s="36"/>
      <c r="F5389" s="42"/>
      <c r="G5389" s="42"/>
      <c r="H5389" s="42"/>
      <c r="AG5389" s="19">
        <v>5388</v>
      </c>
      <c r="AH5389" s="20">
        <v>148.30831980047989</v>
      </c>
    </row>
    <row r="5390" spans="1:34" ht="14.5" x14ac:dyDescent="0.35">
      <c r="A5390" s="34"/>
      <c r="B5390" s="35"/>
      <c r="C5390" s="36"/>
      <c r="D5390" s="37"/>
      <c r="E5390" s="36"/>
      <c r="F5390" s="42"/>
      <c r="G5390" s="42"/>
      <c r="H5390" s="42"/>
      <c r="AG5390" s="19">
        <v>5389</v>
      </c>
      <c r="AH5390" s="20">
        <v>1698.734778590218</v>
      </c>
    </row>
    <row r="5391" spans="1:34" ht="14.5" x14ac:dyDescent="0.35">
      <c r="A5391" s="34"/>
      <c r="B5391" s="35"/>
      <c r="C5391" s="36"/>
      <c r="D5391" s="37"/>
      <c r="E5391" s="36"/>
      <c r="F5391" s="42"/>
      <c r="G5391" s="42"/>
      <c r="H5391" s="42"/>
      <c r="AG5391" s="19">
        <v>5390</v>
      </c>
      <c r="AH5391" s="20">
        <v>346.02962471902742</v>
      </c>
    </row>
    <row r="5392" spans="1:34" ht="14.5" x14ac:dyDescent="0.35">
      <c r="A5392" s="34"/>
      <c r="B5392" s="35"/>
      <c r="C5392" s="36"/>
      <c r="D5392" s="37"/>
      <c r="E5392" s="36"/>
      <c r="F5392" s="42"/>
      <c r="G5392" s="42"/>
      <c r="H5392" s="42"/>
      <c r="AG5392" s="19">
        <v>5391</v>
      </c>
      <c r="AH5392" s="20">
        <v>425.02270960522947</v>
      </c>
    </row>
    <row r="5393" spans="1:34" ht="14.5" x14ac:dyDescent="0.35">
      <c r="A5393" s="34"/>
      <c r="B5393" s="35"/>
      <c r="C5393" s="36"/>
      <c r="D5393" s="37"/>
      <c r="E5393" s="36"/>
      <c r="F5393" s="42"/>
      <c r="G5393" s="42"/>
      <c r="H5393" s="42"/>
      <c r="AG5393" s="19">
        <v>5392</v>
      </c>
      <c r="AH5393" s="20">
        <v>-288.10992203350116</v>
      </c>
    </row>
    <row r="5394" spans="1:34" ht="14.5" x14ac:dyDescent="0.35">
      <c r="A5394" s="34"/>
      <c r="B5394" s="35"/>
      <c r="C5394" s="36"/>
      <c r="D5394" s="37"/>
      <c r="E5394" s="36"/>
      <c r="F5394" s="42"/>
      <c r="G5394" s="42"/>
      <c r="H5394" s="42"/>
      <c r="AG5394" s="19">
        <v>5393</v>
      </c>
      <c r="AH5394" s="20">
        <v>1595.6821305010815</v>
      </c>
    </row>
    <row r="5395" spans="1:34" ht="14.5" x14ac:dyDescent="0.35">
      <c r="A5395" s="34"/>
      <c r="B5395" s="35"/>
      <c r="C5395" s="36"/>
      <c r="D5395" s="37"/>
      <c r="E5395" s="36"/>
      <c r="F5395" s="42"/>
      <c r="G5395" s="42"/>
      <c r="H5395" s="42"/>
      <c r="AG5395" s="19">
        <v>5394</v>
      </c>
      <c r="AH5395" s="20">
        <v>377.11301717252542</v>
      </c>
    </row>
    <row r="5396" spans="1:34" ht="14.5" x14ac:dyDescent="0.35">
      <c r="A5396" s="34"/>
      <c r="B5396" s="35"/>
      <c r="C5396" s="36"/>
      <c r="D5396" s="37"/>
      <c r="E5396" s="36"/>
      <c r="F5396" s="42"/>
      <c r="G5396" s="42"/>
      <c r="H5396" s="42"/>
      <c r="AG5396" s="19">
        <v>5395</v>
      </c>
      <c r="AH5396" s="20">
        <v>2428.332270656841</v>
      </c>
    </row>
    <row r="5397" spans="1:34" ht="14.5" x14ac:dyDescent="0.35">
      <c r="A5397" s="34"/>
      <c r="B5397" s="35"/>
      <c r="C5397" s="36"/>
      <c r="D5397" s="37"/>
      <c r="E5397" s="36"/>
      <c r="F5397" s="42"/>
      <c r="G5397" s="42"/>
      <c r="H5397" s="42"/>
      <c r="AG5397" s="19">
        <v>5396</v>
      </c>
      <c r="AH5397" s="20">
        <v>-1054.783532797521</v>
      </c>
    </row>
    <row r="5398" spans="1:34" ht="14.5" x14ac:dyDescent="0.35">
      <c r="A5398" s="34"/>
      <c r="B5398" s="35"/>
      <c r="C5398" s="36"/>
      <c r="D5398" s="37"/>
      <c r="E5398" s="36"/>
      <c r="F5398" s="42"/>
      <c r="G5398" s="42"/>
      <c r="H5398" s="42"/>
      <c r="AG5398" s="19">
        <v>5397</v>
      </c>
      <c r="AH5398" s="20">
        <v>26.055641773595994</v>
      </c>
    </row>
    <row r="5399" spans="1:34" ht="14.5" x14ac:dyDescent="0.35">
      <c r="A5399" s="34"/>
      <c r="B5399" s="35"/>
      <c r="C5399" s="36"/>
      <c r="D5399" s="37"/>
      <c r="E5399" s="36"/>
      <c r="F5399" s="42"/>
      <c r="G5399" s="42"/>
      <c r="H5399" s="42"/>
      <c r="AG5399" s="19">
        <v>5398</v>
      </c>
      <c r="AH5399" s="20">
        <v>3064.0022984416055</v>
      </c>
    </row>
    <row r="5400" spans="1:34" ht="14.5" x14ac:dyDescent="0.35">
      <c r="A5400" s="34"/>
      <c r="B5400" s="35"/>
      <c r="C5400" s="36"/>
      <c r="D5400" s="37"/>
      <c r="E5400" s="36"/>
      <c r="F5400" s="42"/>
      <c r="G5400" s="42"/>
      <c r="H5400" s="42"/>
      <c r="AG5400" s="19">
        <v>5399</v>
      </c>
      <c r="AH5400" s="20">
        <v>1291.937344598877</v>
      </c>
    </row>
    <row r="5401" spans="1:34" ht="14.5" x14ac:dyDescent="0.35">
      <c r="A5401" s="34"/>
      <c r="B5401" s="35"/>
      <c r="C5401" s="36"/>
      <c r="D5401" s="37"/>
      <c r="E5401" s="36"/>
      <c r="F5401" s="42"/>
      <c r="G5401" s="42"/>
      <c r="H5401" s="42"/>
      <c r="AG5401" s="19">
        <v>5400</v>
      </c>
      <c r="AH5401" s="20">
        <v>2486.2749932182319</v>
      </c>
    </row>
    <row r="5402" spans="1:34" ht="14.5" x14ac:dyDescent="0.35">
      <c r="A5402" s="34"/>
      <c r="B5402" s="35"/>
      <c r="C5402" s="36"/>
      <c r="D5402" s="37"/>
      <c r="E5402" s="36"/>
      <c r="F5402" s="42"/>
      <c r="G5402" s="42"/>
      <c r="H5402" s="42"/>
      <c r="AG5402" s="19">
        <v>5401</v>
      </c>
      <c r="AH5402" s="20">
        <v>-506.82259165878605</v>
      </c>
    </row>
    <row r="5403" spans="1:34" ht="14.5" x14ac:dyDescent="0.35">
      <c r="A5403" s="34"/>
      <c r="B5403" s="35"/>
      <c r="C5403" s="36"/>
      <c r="D5403" s="37"/>
      <c r="E5403" s="36"/>
      <c r="F5403" s="42"/>
      <c r="G5403" s="42"/>
      <c r="H5403" s="42"/>
      <c r="AG5403" s="19">
        <v>5402</v>
      </c>
      <c r="AH5403" s="20">
        <v>-1892.233386487381</v>
      </c>
    </row>
    <row r="5404" spans="1:34" ht="14.5" x14ac:dyDescent="0.35">
      <c r="A5404" s="34"/>
      <c r="B5404" s="35"/>
      <c r="C5404" s="36"/>
      <c r="D5404" s="37"/>
      <c r="E5404" s="36"/>
      <c r="F5404" s="42"/>
      <c r="G5404" s="42"/>
      <c r="H5404" s="42"/>
      <c r="AG5404" s="19">
        <v>5403</v>
      </c>
      <c r="AH5404" s="20">
        <v>2375.701410162254</v>
      </c>
    </row>
    <row r="5405" spans="1:34" ht="14.5" x14ac:dyDescent="0.35">
      <c r="A5405" s="34"/>
      <c r="B5405" s="35"/>
      <c r="C5405" s="36"/>
      <c r="D5405" s="37"/>
      <c r="E5405" s="36"/>
      <c r="F5405" s="42"/>
      <c r="G5405" s="42"/>
      <c r="H5405" s="42"/>
      <c r="AG5405" s="19">
        <v>5404</v>
      </c>
      <c r="AH5405" s="20">
        <v>2460.2851968817454</v>
      </c>
    </row>
    <row r="5406" spans="1:34" ht="14.5" x14ac:dyDescent="0.35">
      <c r="A5406" s="34"/>
      <c r="B5406" s="35"/>
      <c r="C5406" s="36"/>
      <c r="D5406" s="37"/>
      <c r="E5406" s="36"/>
      <c r="F5406" s="42"/>
      <c r="G5406" s="42"/>
      <c r="H5406" s="42"/>
      <c r="AG5406" s="19">
        <v>5405</v>
      </c>
      <c r="AH5406" s="20">
        <v>-2237.1592784215791</v>
      </c>
    </row>
    <row r="5407" spans="1:34" ht="14.5" x14ac:dyDescent="0.35">
      <c r="A5407" s="34"/>
      <c r="B5407" s="35"/>
      <c r="C5407" s="36"/>
      <c r="D5407" s="37"/>
      <c r="E5407" s="36"/>
      <c r="F5407" s="42"/>
      <c r="G5407" s="42"/>
      <c r="H5407" s="42"/>
      <c r="AG5407" s="19">
        <v>5406</v>
      </c>
      <c r="AH5407" s="20">
        <v>4287.6655324810654</v>
      </c>
    </row>
    <row r="5408" spans="1:34" ht="14.5" x14ac:dyDescent="0.35">
      <c r="A5408" s="34"/>
      <c r="B5408" s="35"/>
      <c r="C5408" s="36"/>
      <c r="D5408" s="37"/>
      <c r="E5408" s="36"/>
      <c r="F5408" s="42"/>
      <c r="G5408" s="42"/>
      <c r="H5408" s="42"/>
      <c r="AG5408" s="19">
        <v>5407</v>
      </c>
      <c r="AH5408" s="20">
        <v>-166.05755316774031</v>
      </c>
    </row>
    <row r="5409" spans="1:34" ht="14.5" x14ac:dyDescent="0.35">
      <c r="A5409" s="34"/>
      <c r="B5409" s="35"/>
      <c r="C5409" s="36"/>
      <c r="D5409" s="37"/>
      <c r="E5409" s="36"/>
      <c r="F5409" s="42"/>
      <c r="G5409" s="42"/>
      <c r="H5409" s="42"/>
      <c r="AG5409" s="19">
        <v>5408</v>
      </c>
      <c r="AH5409" s="20">
        <v>-4373.4468884755479</v>
      </c>
    </row>
    <row r="5410" spans="1:34" ht="14.5" x14ac:dyDescent="0.35">
      <c r="A5410" s="34"/>
      <c r="B5410" s="35"/>
      <c r="C5410" s="36"/>
      <c r="D5410" s="37"/>
      <c r="E5410" s="36"/>
      <c r="F5410" s="42"/>
      <c r="G5410" s="42"/>
      <c r="H5410" s="42"/>
      <c r="AG5410" s="19">
        <v>5409</v>
      </c>
      <c r="AH5410" s="20">
        <v>2196.4099461463875</v>
      </c>
    </row>
    <row r="5411" spans="1:34" ht="14.5" x14ac:dyDescent="0.35">
      <c r="A5411" s="34"/>
      <c r="B5411" s="35"/>
      <c r="C5411" s="36"/>
      <c r="D5411" s="37"/>
      <c r="E5411" s="36"/>
      <c r="F5411" s="42"/>
      <c r="G5411" s="42"/>
      <c r="H5411" s="42"/>
      <c r="AG5411" s="19">
        <v>5410</v>
      </c>
      <c r="AH5411" s="20">
        <v>-4583.7535334117219</v>
      </c>
    </row>
    <row r="5412" spans="1:34" ht="14.5" x14ac:dyDescent="0.35">
      <c r="A5412" s="34"/>
      <c r="B5412" s="35"/>
      <c r="C5412" s="36"/>
      <c r="D5412" s="37"/>
      <c r="E5412" s="36"/>
      <c r="F5412" s="42"/>
      <c r="G5412" s="42"/>
      <c r="H5412" s="42"/>
      <c r="AG5412" s="19">
        <v>5411</v>
      </c>
      <c r="AH5412" s="20">
        <v>2364.5371924039623</v>
      </c>
    </row>
    <row r="5413" spans="1:34" ht="14.5" x14ac:dyDescent="0.35">
      <c r="A5413" s="34"/>
      <c r="B5413" s="35"/>
      <c r="C5413" s="36"/>
      <c r="D5413" s="37"/>
      <c r="E5413" s="36"/>
      <c r="F5413" s="42"/>
      <c r="G5413" s="42"/>
      <c r="H5413" s="42"/>
      <c r="AG5413" s="19">
        <v>5412</v>
      </c>
      <c r="AH5413" s="20">
        <v>-1512.3597138374325</v>
      </c>
    </row>
    <row r="5414" spans="1:34" ht="14.5" x14ac:dyDescent="0.35">
      <c r="A5414" s="34"/>
      <c r="B5414" s="35"/>
      <c r="C5414" s="36"/>
      <c r="D5414" s="37"/>
      <c r="E5414" s="36"/>
      <c r="F5414" s="42"/>
      <c r="G5414" s="42"/>
      <c r="H5414" s="42"/>
      <c r="AG5414" s="19">
        <v>5413</v>
      </c>
      <c r="AH5414" s="20">
        <v>218.86994402919052</v>
      </c>
    </row>
    <row r="5415" spans="1:34" ht="14.5" x14ac:dyDescent="0.35">
      <c r="A5415" s="34"/>
      <c r="B5415" s="35"/>
      <c r="C5415" s="36"/>
      <c r="D5415" s="37"/>
      <c r="E5415" s="36"/>
      <c r="F5415" s="42"/>
      <c r="G5415" s="42"/>
      <c r="H5415" s="42"/>
      <c r="AG5415" s="19">
        <v>5414</v>
      </c>
      <c r="AH5415" s="20">
        <v>1489.0385442457796</v>
      </c>
    </row>
    <row r="5416" spans="1:34" ht="14.5" x14ac:dyDescent="0.35">
      <c r="A5416" s="34"/>
      <c r="B5416" s="35"/>
      <c r="C5416" s="36"/>
      <c r="D5416" s="37"/>
      <c r="E5416" s="36"/>
      <c r="F5416" s="42"/>
      <c r="G5416" s="42"/>
      <c r="H5416" s="42"/>
      <c r="AG5416" s="19">
        <v>5415</v>
      </c>
      <c r="AH5416" s="20">
        <v>1505.3125171528177</v>
      </c>
    </row>
    <row r="5417" spans="1:34" ht="14.5" x14ac:dyDescent="0.35">
      <c r="A5417" s="34"/>
      <c r="B5417" s="35"/>
      <c r="C5417" s="36"/>
      <c r="D5417" s="37"/>
      <c r="E5417" s="36"/>
      <c r="F5417" s="42"/>
      <c r="G5417" s="42"/>
      <c r="H5417" s="42"/>
      <c r="AG5417" s="19">
        <v>5416</v>
      </c>
      <c r="AH5417" s="20">
        <v>-598.9516404600779</v>
      </c>
    </row>
    <row r="5418" spans="1:34" ht="14.5" x14ac:dyDescent="0.35">
      <c r="A5418" s="34"/>
      <c r="B5418" s="35"/>
      <c r="C5418" s="36"/>
      <c r="D5418" s="37"/>
      <c r="E5418" s="36"/>
      <c r="F5418" s="42"/>
      <c r="G5418" s="42"/>
      <c r="H5418" s="42"/>
      <c r="AG5418" s="19">
        <v>5417</v>
      </c>
      <c r="AH5418" s="20">
        <v>1659.9393262696149</v>
      </c>
    </row>
    <row r="5419" spans="1:34" ht="14.5" x14ac:dyDescent="0.35">
      <c r="A5419" s="34"/>
      <c r="B5419" s="35"/>
      <c r="C5419" s="36"/>
      <c r="D5419" s="37"/>
      <c r="E5419" s="36"/>
      <c r="F5419" s="42"/>
      <c r="G5419" s="42"/>
      <c r="H5419" s="42"/>
      <c r="AG5419" s="19">
        <v>5418</v>
      </c>
      <c r="AH5419" s="20">
        <v>1110.0669704300174</v>
      </c>
    </row>
    <row r="5420" spans="1:34" ht="14.5" x14ac:dyDescent="0.35">
      <c r="A5420" s="34"/>
      <c r="B5420" s="35"/>
      <c r="C5420" s="36"/>
      <c r="D5420" s="37"/>
      <c r="E5420" s="36"/>
      <c r="F5420" s="42"/>
      <c r="G5420" s="42"/>
      <c r="H5420" s="42"/>
      <c r="AG5420" s="19">
        <v>5419</v>
      </c>
      <c r="AH5420" s="20">
        <v>714.83044553033801</v>
      </c>
    </row>
    <row r="5421" spans="1:34" ht="14.5" x14ac:dyDescent="0.35">
      <c r="A5421" s="34"/>
      <c r="B5421" s="35"/>
      <c r="C5421" s="36"/>
      <c r="D5421" s="37"/>
      <c r="E5421" s="36"/>
      <c r="F5421" s="42"/>
      <c r="G5421" s="42"/>
      <c r="H5421" s="42"/>
      <c r="AG5421" s="19">
        <v>5420</v>
      </c>
      <c r="AH5421" s="20">
        <v>-716.08507180333709</v>
      </c>
    </row>
    <row r="5422" spans="1:34" ht="14.5" x14ac:dyDescent="0.35">
      <c r="A5422" s="34"/>
      <c r="B5422" s="35"/>
      <c r="C5422" s="36"/>
      <c r="D5422" s="37"/>
      <c r="E5422" s="36"/>
      <c r="F5422" s="42"/>
      <c r="G5422" s="42"/>
      <c r="H5422" s="42"/>
      <c r="AG5422" s="19">
        <v>5421</v>
      </c>
      <c r="AH5422" s="20">
        <v>-586.81269390117427</v>
      </c>
    </row>
    <row r="5423" spans="1:34" ht="14.5" x14ac:dyDescent="0.35">
      <c r="A5423" s="34"/>
      <c r="B5423" s="35"/>
      <c r="C5423" s="36"/>
      <c r="D5423" s="37"/>
      <c r="E5423" s="36"/>
      <c r="F5423" s="42"/>
      <c r="G5423" s="42"/>
      <c r="H5423" s="42"/>
      <c r="AG5423" s="19">
        <v>5422</v>
      </c>
      <c r="AH5423" s="20">
        <v>-1336.003933754957</v>
      </c>
    </row>
    <row r="5424" spans="1:34" ht="14.5" x14ac:dyDescent="0.35">
      <c r="A5424" s="34"/>
      <c r="B5424" s="35"/>
      <c r="C5424" s="36"/>
      <c r="D5424" s="37"/>
      <c r="E5424" s="36"/>
      <c r="F5424" s="42"/>
      <c r="G5424" s="42"/>
      <c r="H5424" s="42"/>
      <c r="AG5424" s="19">
        <v>5423</v>
      </c>
      <c r="AH5424" s="20">
        <v>3188.2635508465983</v>
      </c>
    </row>
    <row r="5425" spans="1:34" ht="14.5" x14ac:dyDescent="0.35">
      <c r="A5425" s="34"/>
      <c r="B5425" s="35"/>
      <c r="C5425" s="36"/>
      <c r="D5425" s="37"/>
      <c r="E5425" s="36"/>
      <c r="F5425" s="42"/>
      <c r="G5425" s="42"/>
      <c r="H5425" s="42"/>
      <c r="AG5425" s="19">
        <v>5424</v>
      </c>
      <c r="AH5425" s="20">
        <v>404.85898495504421</v>
      </c>
    </row>
    <row r="5426" spans="1:34" ht="14.5" x14ac:dyDescent="0.35">
      <c r="A5426" s="34"/>
      <c r="B5426" s="35"/>
      <c r="C5426" s="36"/>
      <c r="D5426" s="37"/>
      <c r="E5426" s="36"/>
      <c r="F5426" s="42"/>
      <c r="G5426" s="42"/>
      <c r="H5426" s="42"/>
      <c r="AG5426" s="19">
        <v>5425</v>
      </c>
      <c r="AH5426" s="20">
        <v>-3023.3060382235958</v>
      </c>
    </row>
    <row r="5427" spans="1:34" ht="14.5" x14ac:dyDescent="0.35">
      <c r="A5427" s="34"/>
      <c r="B5427" s="35"/>
      <c r="C5427" s="36"/>
      <c r="D5427" s="37"/>
      <c r="E5427" s="36"/>
      <c r="F5427" s="42"/>
      <c r="G5427" s="42"/>
      <c r="H5427" s="42"/>
      <c r="AG5427" s="19">
        <v>5426</v>
      </c>
      <c r="AH5427" s="20">
        <v>1236.8997881757264</v>
      </c>
    </row>
    <row r="5428" spans="1:34" ht="14.5" x14ac:dyDescent="0.35">
      <c r="A5428" s="34"/>
      <c r="B5428" s="35"/>
      <c r="C5428" s="36"/>
      <c r="D5428" s="37"/>
      <c r="E5428" s="36"/>
      <c r="F5428" s="42"/>
      <c r="G5428" s="42"/>
      <c r="H5428" s="42"/>
      <c r="AG5428" s="19">
        <v>5427</v>
      </c>
      <c r="AH5428" s="20">
        <v>-1011.7411545796392</v>
      </c>
    </row>
    <row r="5429" spans="1:34" ht="14.5" x14ac:dyDescent="0.35">
      <c r="A5429" s="34"/>
      <c r="B5429" s="35"/>
      <c r="C5429" s="36"/>
      <c r="D5429" s="37"/>
      <c r="E5429" s="36"/>
      <c r="F5429" s="42"/>
      <c r="G5429" s="42"/>
      <c r="H5429" s="42"/>
      <c r="AG5429" s="19">
        <v>5428</v>
      </c>
      <c r="AH5429" s="20">
        <v>1248.1074969867068</v>
      </c>
    </row>
    <row r="5430" spans="1:34" ht="14.5" x14ac:dyDescent="0.35">
      <c r="A5430" s="34"/>
      <c r="B5430" s="35"/>
      <c r="C5430" s="36"/>
      <c r="D5430" s="37"/>
      <c r="E5430" s="36"/>
      <c r="F5430" s="42"/>
      <c r="G5430" s="42"/>
      <c r="H5430" s="42"/>
      <c r="AG5430" s="19">
        <v>5429</v>
      </c>
      <c r="AH5430" s="20">
        <v>2368.1078036566937</v>
      </c>
    </row>
    <row r="5431" spans="1:34" ht="14.5" x14ac:dyDescent="0.35">
      <c r="A5431" s="34"/>
      <c r="B5431" s="35"/>
      <c r="C5431" s="36"/>
      <c r="D5431" s="37"/>
      <c r="E5431" s="36"/>
      <c r="F5431" s="42"/>
      <c r="G5431" s="42"/>
      <c r="H5431" s="42"/>
      <c r="AG5431" s="19">
        <v>5430</v>
      </c>
      <c r="AH5431" s="20">
        <v>-2361.9902997061631</v>
      </c>
    </row>
    <row r="5432" spans="1:34" ht="14.5" x14ac:dyDescent="0.35">
      <c r="A5432" s="34"/>
      <c r="B5432" s="35"/>
      <c r="C5432" s="36"/>
      <c r="D5432" s="37"/>
      <c r="E5432" s="36"/>
      <c r="F5432" s="42"/>
      <c r="G5432" s="42"/>
      <c r="H5432" s="42"/>
      <c r="AG5432" s="19">
        <v>5431</v>
      </c>
      <c r="AH5432" s="20">
        <v>2567.3126885690526</v>
      </c>
    </row>
    <row r="5433" spans="1:34" ht="14.5" x14ac:dyDescent="0.35">
      <c r="A5433" s="34"/>
      <c r="B5433" s="35"/>
      <c r="C5433" s="36"/>
      <c r="D5433" s="37"/>
      <c r="E5433" s="36"/>
      <c r="F5433" s="42"/>
      <c r="G5433" s="42"/>
      <c r="H5433" s="42"/>
      <c r="AG5433" s="19">
        <v>5432</v>
      </c>
      <c r="AH5433" s="20">
        <v>841.44512200105055</v>
      </c>
    </row>
    <row r="5434" spans="1:34" ht="14.5" x14ac:dyDescent="0.35">
      <c r="A5434" s="34"/>
      <c r="B5434" s="35"/>
      <c r="C5434" s="36"/>
      <c r="D5434" s="37"/>
      <c r="E5434" s="36"/>
      <c r="F5434" s="42"/>
      <c r="G5434" s="42"/>
      <c r="H5434" s="42"/>
      <c r="AG5434" s="19">
        <v>5433</v>
      </c>
      <c r="AH5434" s="20">
        <v>-1389.3280093295195</v>
      </c>
    </row>
    <row r="5435" spans="1:34" ht="14.5" x14ac:dyDescent="0.35">
      <c r="A5435" s="34"/>
      <c r="B5435" s="35"/>
      <c r="C5435" s="36"/>
      <c r="D5435" s="37"/>
      <c r="E5435" s="36"/>
      <c r="F5435" s="42"/>
      <c r="G5435" s="42"/>
      <c r="H5435" s="42"/>
      <c r="AG5435" s="19">
        <v>5434</v>
      </c>
      <c r="AH5435" s="20">
        <v>-600.78978981084992</v>
      </c>
    </row>
    <row r="5436" spans="1:34" ht="14.5" x14ac:dyDescent="0.35">
      <c r="A5436" s="34"/>
      <c r="B5436" s="35"/>
      <c r="C5436" s="36"/>
      <c r="D5436" s="37"/>
      <c r="E5436" s="36"/>
      <c r="F5436" s="42"/>
      <c r="G5436" s="42"/>
      <c r="H5436" s="42"/>
      <c r="AG5436" s="19">
        <v>5435</v>
      </c>
      <c r="AH5436" s="20">
        <v>-2174.5744746174241</v>
      </c>
    </row>
    <row r="5437" spans="1:34" ht="14.5" x14ac:dyDescent="0.35">
      <c r="A5437" s="34"/>
      <c r="B5437" s="35"/>
      <c r="C5437" s="36"/>
      <c r="D5437" s="37"/>
      <c r="E5437" s="36"/>
      <c r="F5437" s="42"/>
      <c r="G5437" s="42"/>
      <c r="H5437" s="42"/>
      <c r="AG5437" s="19">
        <v>5436</v>
      </c>
      <c r="AH5437" s="20">
        <v>2244.2762082982417</v>
      </c>
    </row>
    <row r="5438" spans="1:34" ht="14.5" x14ac:dyDescent="0.35">
      <c r="A5438" s="34"/>
      <c r="B5438" s="35"/>
      <c r="C5438" s="36"/>
      <c r="D5438" s="37"/>
      <c r="E5438" s="36"/>
      <c r="F5438" s="42"/>
      <c r="G5438" s="42"/>
      <c r="H5438" s="42"/>
      <c r="AG5438" s="19">
        <v>5437</v>
      </c>
      <c r="AH5438" s="20">
        <v>-1297.5195353661106</v>
      </c>
    </row>
    <row r="5439" spans="1:34" ht="14.5" x14ac:dyDescent="0.35">
      <c r="A5439" s="34"/>
      <c r="B5439" s="35"/>
      <c r="C5439" s="36"/>
      <c r="D5439" s="37"/>
      <c r="E5439" s="36"/>
      <c r="F5439" s="42"/>
      <c r="G5439" s="42"/>
      <c r="H5439" s="42"/>
      <c r="AG5439" s="19">
        <v>5438</v>
      </c>
      <c r="AH5439" s="20">
        <v>647.85695690122247</v>
      </c>
    </row>
    <row r="5440" spans="1:34" ht="14.5" x14ac:dyDescent="0.35">
      <c r="A5440" s="34"/>
      <c r="B5440" s="35"/>
      <c r="C5440" s="36"/>
      <c r="D5440" s="37"/>
      <c r="E5440" s="36"/>
      <c r="F5440" s="42"/>
      <c r="G5440" s="42"/>
      <c r="H5440" s="42"/>
      <c r="AG5440" s="19">
        <v>5439</v>
      </c>
      <c r="AH5440" s="20">
        <v>3862.3113624002649</v>
      </c>
    </row>
    <row r="5441" spans="1:34" ht="14.5" x14ac:dyDescent="0.35">
      <c r="A5441" s="34"/>
      <c r="B5441" s="35"/>
      <c r="C5441" s="36"/>
      <c r="D5441" s="37"/>
      <c r="E5441" s="36"/>
      <c r="F5441" s="42"/>
      <c r="G5441" s="42"/>
      <c r="H5441" s="42"/>
      <c r="AG5441" s="19">
        <v>5440</v>
      </c>
      <c r="AH5441" s="20">
        <v>1560.8942322306411</v>
      </c>
    </row>
    <row r="5442" spans="1:34" ht="14.5" x14ac:dyDescent="0.35">
      <c r="A5442" s="34"/>
      <c r="B5442" s="35"/>
      <c r="C5442" s="36"/>
      <c r="D5442" s="37"/>
      <c r="E5442" s="36"/>
      <c r="F5442" s="42"/>
      <c r="G5442" s="42"/>
      <c r="H5442" s="42"/>
      <c r="AG5442" s="19">
        <v>5441</v>
      </c>
      <c r="AH5442" s="20">
        <v>1000.6906636469098</v>
      </c>
    </row>
    <row r="5443" spans="1:34" ht="14.5" x14ac:dyDescent="0.35">
      <c r="A5443" s="34"/>
      <c r="B5443" s="35"/>
      <c r="C5443" s="36"/>
      <c r="D5443" s="37"/>
      <c r="E5443" s="36"/>
      <c r="F5443" s="42"/>
      <c r="G5443" s="42"/>
      <c r="H5443" s="42"/>
      <c r="AG5443" s="19">
        <v>5442</v>
      </c>
      <c r="AH5443" s="20">
        <v>-2657.9243656182557</v>
      </c>
    </row>
    <row r="5444" spans="1:34" ht="14.5" x14ac:dyDescent="0.35">
      <c r="A5444" s="34"/>
      <c r="B5444" s="35"/>
      <c r="C5444" s="36"/>
      <c r="D5444" s="37"/>
      <c r="E5444" s="36"/>
      <c r="F5444" s="42"/>
      <c r="G5444" s="42"/>
      <c r="H5444" s="42"/>
      <c r="AG5444" s="19">
        <v>5443</v>
      </c>
      <c r="AH5444" s="20">
        <v>2348.4879900409296</v>
      </c>
    </row>
    <row r="5445" spans="1:34" ht="14.5" x14ac:dyDescent="0.35">
      <c r="A5445" s="34"/>
      <c r="B5445" s="35"/>
      <c r="C5445" s="36"/>
      <c r="D5445" s="37"/>
      <c r="E5445" s="36"/>
      <c r="F5445" s="42"/>
      <c r="G5445" s="42"/>
      <c r="H5445" s="42"/>
      <c r="AG5445" s="19">
        <v>5444</v>
      </c>
      <c r="AH5445" s="20">
        <v>3821.6053285115427</v>
      </c>
    </row>
    <row r="5446" spans="1:34" ht="14.5" x14ac:dyDescent="0.35">
      <c r="A5446" s="34"/>
      <c r="B5446" s="35"/>
      <c r="C5446" s="36"/>
      <c r="D5446" s="37"/>
      <c r="E5446" s="36"/>
      <c r="F5446" s="42"/>
      <c r="G5446" s="42"/>
      <c r="H5446" s="42"/>
      <c r="AG5446" s="19">
        <v>5445</v>
      </c>
      <c r="AH5446" s="20">
        <v>4203.0475827950195</v>
      </c>
    </row>
    <row r="5447" spans="1:34" ht="14.5" x14ac:dyDescent="0.35">
      <c r="A5447" s="34"/>
      <c r="B5447" s="35"/>
      <c r="C5447" s="36"/>
      <c r="D5447" s="37"/>
      <c r="E5447" s="36"/>
      <c r="F5447" s="42"/>
      <c r="G5447" s="42"/>
      <c r="H5447" s="42"/>
      <c r="AG5447" s="19">
        <v>5446</v>
      </c>
      <c r="AH5447" s="20">
        <v>2220.8486704251277</v>
      </c>
    </row>
    <row r="5448" spans="1:34" ht="14.5" x14ac:dyDescent="0.35">
      <c r="A5448" s="34"/>
      <c r="B5448" s="35"/>
      <c r="C5448" s="36"/>
      <c r="D5448" s="37"/>
      <c r="E5448" s="36"/>
      <c r="F5448" s="42"/>
      <c r="G5448" s="42"/>
      <c r="H5448" s="42"/>
      <c r="AG5448" s="19">
        <v>5447</v>
      </c>
      <c r="AH5448" s="20">
        <v>3820.312361413401</v>
      </c>
    </row>
    <row r="5449" spans="1:34" ht="14.5" x14ac:dyDescent="0.35">
      <c r="A5449" s="34"/>
      <c r="B5449" s="35"/>
      <c r="C5449" s="36"/>
      <c r="D5449" s="37"/>
      <c r="E5449" s="36"/>
      <c r="F5449" s="42"/>
      <c r="G5449" s="42"/>
      <c r="H5449" s="42"/>
      <c r="AG5449" s="19">
        <v>5448</v>
      </c>
      <c r="AH5449" s="20">
        <v>816.67378066175434</v>
      </c>
    </row>
    <row r="5450" spans="1:34" ht="14.5" x14ac:dyDescent="0.35">
      <c r="A5450" s="34"/>
      <c r="B5450" s="35"/>
      <c r="C5450" s="36"/>
      <c r="D5450" s="37"/>
      <c r="E5450" s="36"/>
      <c r="F5450" s="42"/>
      <c r="G5450" s="42"/>
      <c r="H5450" s="42"/>
      <c r="AG5450" s="19">
        <v>5449</v>
      </c>
      <c r="AH5450" s="20">
        <v>3689.3298023118518</v>
      </c>
    </row>
    <row r="5451" spans="1:34" ht="14.5" x14ac:dyDescent="0.35">
      <c r="A5451" s="34"/>
      <c r="B5451" s="35"/>
      <c r="C5451" s="36"/>
      <c r="D5451" s="37"/>
      <c r="E5451" s="36"/>
      <c r="F5451" s="42"/>
      <c r="G5451" s="42"/>
      <c r="H5451" s="42"/>
      <c r="AG5451" s="19">
        <v>5450</v>
      </c>
      <c r="AH5451" s="20">
        <v>-1193.4158480360907</v>
      </c>
    </row>
    <row r="5452" spans="1:34" ht="14.5" x14ac:dyDescent="0.35">
      <c r="A5452" s="34"/>
      <c r="B5452" s="35"/>
      <c r="C5452" s="36"/>
      <c r="D5452" s="37"/>
      <c r="E5452" s="36"/>
      <c r="F5452" s="42"/>
      <c r="G5452" s="42"/>
      <c r="H5452" s="42"/>
      <c r="AG5452" s="19">
        <v>5451</v>
      </c>
      <c r="AH5452" s="20">
        <v>-1434.0561279957722</v>
      </c>
    </row>
    <row r="5453" spans="1:34" ht="14.5" x14ac:dyDescent="0.35">
      <c r="A5453" s="34"/>
      <c r="B5453" s="35"/>
      <c r="C5453" s="36"/>
      <c r="D5453" s="37"/>
      <c r="E5453" s="36"/>
      <c r="F5453" s="42"/>
      <c r="G5453" s="42"/>
      <c r="H5453" s="42"/>
      <c r="AG5453" s="19">
        <v>5452</v>
      </c>
      <c r="AH5453" s="20">
        <v>1047.3249785801218</v>
      </c>
    </row>
    <row r="5454" spans="1:34" ht="14.5" x14ac:dyDescent="0.35">
      <c r="A5454" s="34"/>
      <c r="B5454" s="35"/>
      <c r="C5454" s="36"/>
      <c r="D5454" s="37"/>
      <c r="E5454" s="36"/>
      <c r="F5454" s="42"/>
      <c r="G5454" s="42"/>
      <c r="H5454" s="42"/>
      <c r="AG5454" s="19">
        <v>5453</v>
      </c>
      <c r="AH5454" s="20">
        <v>-27.349087719968622</v>
      </c>
    </row>
    <row r="5455" spans="1:34" ht="14.5" x14ac:dyDescent="0.35">
      <c r="A5455" s="34"/>
      <c r="B5455" s="35"/>
      <c r="C5455" s="36"/>
      <c r="D5455" s="37"/>
      <c r="E5455" s="36"/>
      <c r="F5455" s="42"/>
      <c r="G5455" s="42"/>
      <c r="H5455" s="42"/>
      <c r="AG5455" s="19">
        <v>5454</v>
      </c>
      <c r="AH5455" s="20">
        <v>85.521431910456556</v>
      </c>
    </row>
    <row r="5456" spans="1:34" ht="14.5" x14ac:dyDescent="0.35">
      <c r="A5456" s="34"/>
      <c r="B5456" s="35"/>
      <c r="C5456" s="36"/>
      <c r="D5456" s="37"/>
      <c r="E5456" s="36"/>
      <c r="F5456" s="42"/>
      <c r="G5456" s="42"/>
      <c r="H5456" s="42"/>
      <c r="AG5456" s="19">
        <v>5455</v>
      </c>
      <c r="AH5456" s="20">
        <v>1709.9350332311044</v>
      </c>
    </row>
    <row r="5457" spans="1:34" ht="14.5" x14ac:dyDescent="0.35">
      <c r="A5457" s="34"/>
      <c r="B5457" s="35"/>
      <c r="C5457" s="36"/>
      <c r="D5457" s="37"/>
      <c r="E5457" s="36"/>
      <c r="F5457" s="42"/>
      <c r="G5457" s="42"/>
      <c r="H5457" s="42"/>
      <c r="AG5457" s="19">
        <v>5456</v>
      </c>
      <c r="AH5457" s="20">
        <v>1327.2407811394605</v>
      </c>
    </row>
    <row r="5458" spans="1:34" ht="14.5" x14ac:dyDescent="0.35">
      <c r="A5458" s="34"/>
      <c r="B5458" s="35"/>
      <c r="C5458" s="36"/>
      <c r="D5458" s="37"/>
      <c r="E5458" s="36"/>
      <c r="F5458" s="42"/>
      <c r="G5458" s="42"/>
      <c r="H5458" s="42"/>
      <c r="AG5458" s="19">
        <v>5457</v>
      </c>
      <c r="AH5458" s="20">
        <v>-807.16441272005454</v>
      </c>
    </row>
    <row r="5459" spans="1:34" ht="14.5" x14ac:dyDescent="0.35">
      <c r="A5459" s="34"/>
      <c r="B5459" s="35"/>
      <c r="C5459" s="36"/>
      <c r="D5459" s="37"/>
      <c r="E5459" s="36"/>
      <c r="F5459" s="42"/>
      <c r="G5459" s="42"/>
      <c r="H5459" s="42"/>
      <c r="AG5459" s="19">
        <v>5458</v>
      </c>
      <c r="AH5459" s="20">
        <v>1595.2979525218072</v>
      </c>
    </row>
    <row r="5460" spans="1:34" ht="14.5" x14ac:dyDescent="0.35">
      <c r="A5460" s="34"/>
      <c r="B5460" s="35"/>
      <c r="C5460" s="36"/>
      <c r="D5460" s="37"/>
      <c r="E5460" s="36"/>
      <c r="F5460" s="42"/>
      <c r="G5460" s="42"/>
      <c r="H5460" s="42"/>
      <c r="AG5460" s="19">
        <v>5459</v>
      </c>
      <c r="AH5460" s="20">
        <v>4020.6996652817065</v>
      </c>
    </row>
    <row r="5461" spans="1:34" ht="14.5" x14ac:dyDescent="0.35">
      <c r="A5461" s="34"/>
      <c r="B5461" s="35"/>
      <c r="C5461" s="36"/>
      <c r="D5461" s="37"/>
      <c r="E5461" s="36"/>
      <c r="F5461" s="42"/>
      <c r="G5461" s="42"/>
      <c r="H5461" s="42"/>
      <c r="AG5461" s="19">
        <v>5460</v>
      </c>
      <c r="AH5461" s="20">
        <v>3902.9498397858561</v>
      </c>
    </row>
    <row r="5462" spans="1:34" ht="14.5" x14ac:dyDescent="0.35">
      <c r="A5462" s="34"/>
      <c r="B5462" s="35"/>
      <c r="C5462" s="36"/>
      <c r="D5462" s="37"/>
      <c r="E5462" s="36"/>
      <c r="F5462" s="42"/>
      <c r="G5462" s="42"/>
      <c r="H5462" s="42"/>
      <c r="AG5462" s="19">
        <v>5461</v>
      </c>
      <c r="AH5462" s="20">
        <v>2075.3544638893859</v>
      </c>
    </row>
    <row r="5463" spans="1:34" ht="14.5" x14ac:dyDescent="0.35">
      <c r="A5463" s="34"/>
      <c r="B5463" s="35"/>
      <c r="C5463" s="36"/>
      <c r="D5463" s="37"/>
      <c r="E5463" s="36"/>
      <c r="F5463" s="42"/>
      <c r="G5463" s="42"/>
      <c r="H5463" s="42"/>
      <c r="AG5463" s="19">
        <v>5462</v>
      </c>
      <c r="AH5463" s="20">
        <v>-1972.8349964733573</v>
      </c>
    </row>
    <row r="5464" spans="1:34" ht="14.5" x14ac:dyDescent="0.35">
      <c r="A5464" s="34"/>
      <c r="B5464" s="35"/>
      <c r="C5464" s="36"/>
      <c r="D5464" s="37"/>
      <c r="E5464" s="36"/>
      <c r="F5464" s="42"/>
      <c r="G5464" s="42"/>
      <c r="H5464" s="42"/>
      <c r="AG5464" s="19">
        <v>5463</v>
      </c>
      <c r="AH5464" s="20">
        <v>1509.6543619962424</v>
      </c>
    </row>
    <row r="5465" spans="1:34" ht="14.5" x14ac:dyDescent="0.35">
      <c r="A5465" s="34"/>
      <c r="B5465" s="35"/>
      <c r="C5465" s="36"/>
      <c r="D5465" s="37"/>
      <c r="E5465" s="36"/>
      <c r="F5465" s="42"/>
      <c r="G5465" s="42"/>
      <c r="H5465" s="42"/>
      <c r="AG5465" s="19">
        <v>5464</v>
      </c>
      <c r="AH5465" s="20">
        <v>280.75184071025086</v>
      </c>
    </row>
    <row r="5466" spans="1:34" ht="14.5" x14ac:dyDescent="0.35">
      <c r="A5466" s="34"/>
      <c r="B5466" s="35"/>
      <c r="C5466" s="36"/>
      <c r="D5466" s="37"/>
      <c r="E5466" s="36"/>
      <c r="F5466" s="42"/>
      <c r="G5466" s="42"/>
      <c r="H5466" s="42"/>
      <c r="AG5466" s="19">
        <v>5465</v>
      </c>
      <c r="AH5466" s="20">
        <v>-2017.6387096513506</v>
      </c>
    </row>
    <row r="5467" spans="1:34" ht="14.5" x14ac:dyDescent="0.35">
      <c r="A5467" s="34"/>
      <c r="B5467" s="35"/>
      <c r="C5467" s="36"/>
      <c r="D5467" s="37"/>
      <c r="E5467" s="36"/>
      <c r="F5467" s="42"/>
      <c r="G5467" s="42"/>
      <c r="H5467" s="42"/>
      <c r="AG5467" s="19">
        <v>5466</v>
      </c>
      <c r="AH5467" s="20">
        <v>3836.9419607207451</v>
      </c>
    </row>
    <row r="5468" spans="1:34" ht="14.5" x14ac:dyDescent="0.35">
      <c r="A5468" s="34"/>
      <c r="B5468" s="35"/>
      <c r="C5468" s="36"/>
      <c r="D5468" s="37"/>
      <c r="E5468" s="36"/>
      <c r="F5468" s="42"/>
      <c r="G5468" s="42"/>
      <c r="H5468" s="42"/>
      <c r="AG5468" s="19">
        <v>5467</v>
      </c>
      <c r="AH5468" s="20">
        <v>-2697.8945151514545</v>
      </c>
    </row>
    <row r="5469" spans="1:34" ht="14.5" x14ac:dyDescent="0.35">
      <c r="A5469" s="34"/>
      <c r="B5469" s="35"/>
      <c r="C5469" s="36"/>
      <c r="D5469" s="37"/>
      <c r="E5469" s="36"/>
      <c r="F5469" s="42"/>
      <c r="G5469" s="42"/>
      <c r="H5469" s="42"/>
      <c r="AG5469" s="19">
        <v>5468</v>
      </c>
      <c r="AH5469" s="20">
        <v>1685.0708755127648</v>
      </c>
    </row>
    <row r="5470" spans="1:34" ht="14.5" x14ac:dyDescent="0.35">
      <c r="A5470" s="34"/>
      <c r="B5470" s="35"/>
      <c r="C5470" s="36"/>
      <c r="D5470" s="37"/>
      <c r="E5470" s="36"/>
      <c r="F5470" s="42"/>
      <c r="G5470" s="42"/>
      <c r="H5470" s="42"/>
      <c r="AG5470" s="19">
        <v>5469</v>
      </c>
      <c r="AH5470" s="20">
        <v>-2305.6257713322989</v>
      </c>
    </row>
    <row r="5471" spans="1:34" ht="14.5" x14ac:dyDescent="0.35">
      <c r="A5471" s="34"/>
      <c r="B5471" s="35"/>
      <c r="C5471" s="36"/>
      <c r="D5471" s="37"/>
      <c r="E5471" s="36"/>
      <c r="F5471" s="42"/>
      <c r="G5471" s="42"/>
      <c r="H5471" s="42"/>
      <c r="AG5471" s="19">
        <v>5470</v>
      </c>
      <c r="AH5471" s="20">
        <v>-3605.0464786274842</v>
      </c>
    </row>
    <row r="5472" spans="1:34" ht="14.5" x14ac:dyDescent="0.35">
      <c r="A5472" s="34"/>
      <c r="B5472" s="35"/>
      <c r="C5472" s="36"/>
      <c r="D5472" s="37"/>
      <c r="E5472" s="36"/>
      <c r="F5472" s="42"/>
      <c r="G5472" s="42"/>
      <c r="H5472" s="42"/>
      <c r="AG5472" s="19">
        <v>5471</v>
      </c>
      <c r="AH5472" s="20">
        <v>-1806.5867614036417</v>
      </c>
    </row>
    <row r="5473" spans="1:34" ht="14.5" x14ac:dyDescent="0.35">
      <c r="A5473" s="34"/>
      <c r="B5473" s="35"/>
      <c r="C5473" s="36"/>
      <c r="D5473" s="37"/>
      <c r="E5473" s="36"/>
      <c r="F5473" s="42"/>
      <c r="G5473" s="42"/>
      <c r="H5473" s="42"/>
      <c r="AG5473" s="19">
        <v>5472</v>
      </c>
      <c r="AH5473" s="20">
        <v>1777.558932126341</v>
      </c>
    </row>
    <row r="5474" spans="1:34" ht="14.5" x14ac:dyDescent="0.35">
      <c r="A5474" s="34"/>
      <c r="B5474" s="35"/>
      <c r="C5474" s="36"/>
      <c r="D5474" s="37"/>
      <c r="E5474" s="36"/>
      <c r="F5474" s="42"/>
      <c r="G5474" s="42"/>
      <c r="H5474" s="42"/>
      <c r="AG5474" s="19">
        <v>5473</v>
      </c>
      <c r="AH5474" s="20">
        <v>464.90911884704019</v>
      </c>
    </row>
    <row r="5475" spans="1:34" ht="14.5" x14ac:dyDescent="0.35">
      <c r="A5475" s="34"/>
      <c r="B5475" s="35"/>
      <c r="C5475" s="36"/>
      <c r="D5475" s="37"/>
      <c r="E5475" s="36"/>
      <c r="F5475" s="42"/>
      <c r="G5475" s="42"/>
      <c r="H5475" s="42"/>
      <c r="AG5475" s="19">
        <v>5474</v>
      </c>
      <c r="AH5475" s="20">
        <v>-86.720347292346105</v>
      </c>
    </row>
    <row r="5476" spans="1:34" ht="14.5" x14ac:dyDescent="0.35">
      <c r="A5476" s="34"/>
      <c r="B5476" s="35"/>
      <c r="C5476" s="36"/>
      <c r="D5476" s="37"/>
      <c r="E5476" s="36"/>
      <c r="F5476" s="42"/>
      <c r="G5476" s="42"/>
      <c r="H5476" s="42"/>
      <c r="AG5476" s="19">
        <v>5475</v>
      </c>
      <c r="AH5476" s="20">
        <v>34.387685170693544</v>
      </c>
    </row>
    <row r="5477" spans="1:34" ht="14.5" x14ac:dyDescent="0.35">
      <c r="A5477" s="34"/>
      <c r="B5477" s="35"/>
      <c r="C5477" s="36"/>
      <c r="D5477" s="37"/>
      <c r="E5477" s="36"/>
      <c r="F5477" s="42"/>
      <c r="G5477" s="42"/>
      <c r="H5477" s="42"/>
      <c r="AG5477" s="19">
        <v>5476</v>
      </c>
      <c r="AH5477" s="20">
        <v>78.840421353215447</v>
      </c>
    </row>
    <row r="5478" spans="1:34" ht="14.5" x14ac:dyDescent="0.35">
      <c r="A5478" s="34"/>
      <c r="B5478" s="35"/>
      <c r="C5478" s="36"/>
      <c r="D5478" s="37"/>
      <c r="E5478" s="36"/>
      <c r="F5478" s="42"/>
      <c r="G5478" s="42"/>
      <c r="H5478" s="42"/>
      <c r="AG5478" s="19">
        <v>5477</v>
      </c>
      <c r="AH5478" s="20">
        <v>3951.1732391654828</v>
      </c>
    </row>
    <row r="5479" spans="1:34" ht="14.5" x14ac:dyDescent="0.35">
      <c r="A5479" s="34"/>
      <c r="B5479" s="35"/>
      <c r="C5479" s="36"/>
      <c r="D5479" s="37"/>
      <c r="E5479" s="36"/>
      <c r="F5479" s="42"/>
      <c r="G5479" s="42"/>
      <c r="H5479" s="42"/>
      <c r="AG5479" s="19">
        <v>5478</v>
      </c>
      <c r="AH5479" s="20">
        <v>1213.3461905300248</v>
      </c>
    </row>
    <row r="5480" spans="1:34" ht="14.5" x14ac:dyDescent="0.35">
      <c r="A5480" s="34"/>
      <c r="B5480" s="35"/>
      <c r="C5480" s="36"/>
      <c r="D5480" s="37"/>
      <c r="E5480" s="36"/>
      <c r="F5480" s="42"/>
      <c r="G5480" s="42"/>
      <c r="H5480" s="42"/>
      <c r="AG5480" s="19">
        <v>5479</v>
      </c>
      <c r="AH5480" s="20">
        <v>676.62154141661222</v>
      </c>
    </row>
    <row r="5481" spans="1:34" ht="14.5" x14ac:dyDescent="0.35">
      <c r="A5481" s="34"/>
      <c r="B5481" s="35"/>
      <c r="C5481" s="36"/>
      <c r="D5481" s="37"/>
      <c r="E5481" s="36"/>
      <c r="F5481" s="42"/>
      <c r="G5481" s="42"/>
      <c r="H5481" s="42"/>
      <c r="AG5481" s="19">
        <v>5480</v>
      </c>
      <c r="AH5481" s="20">
        <v>-1552.9295045569454</v>
      </c>
    </row>
    <row r="5482" spans="1:34" ht="14.5" x14ac:dyDescent="0.35">
      <c r="A5482" s="34"/>
      <c r="B5482" s="35"/>
      <c r="C5482" s="36"/>
      <c r="D5482" s="37"/>
      <c r="E5482" s="36"/>
      <c r="F5482" s="42"/>
      <c r="G5482" s="42"/>
      <c r="H5482" s="42"/>
      <c r="AG5482" s="19">
        <v>5481</v>
      </c>
      <c r="AH5482" s="20">
        <v>-525.12653074712966</v>
      </c>
    </row>
    <row r="5483" spans="1:34" ht="14.5" x14ac:dyDescent="0.35">
      <c r="A5483" s="34"/>
      <c r="B5483" s="35"/>
      <c r="C5483" s="36"/>
      <c r="D5483" s="37"/>
      <c r="E5483" s="36"/>
      <c r="F5483" s="42"/>
      <c r="G5483" s="42"/>
      <c r="H5483" s="42"/>
      <c r="AG5483" s="19">
        <v>5482</v>
      </c>
      <c r="AH5483" s="20">
        <v>876.27936932314401</v>
      </c>
    </row>
    <row r="5484" spans="1:34" ht="14.5" x14ac:dyDescent="0.35">
      <c r="A5484" s="34"/>
      <c r="B5484" s="35"/>
      <c r="C5484" s="36"/>
      <c r="D5484" s="37"/>
      <c r="E5484" s="36"/>
      <c r="F5484" s="42"/>
      <c r="G5484" s="42"/>
      <c r="H5484" s="42"/>
      <c r="AG5484" s="19">
        <v>5483</v>
      </c>
      <c r="AH5484" s="20">
        <v>-1338.104700403414</v>
      </c>
    </row>
    <row r="5485" spans="1:34" ht="14.5" x14ac:dyDescent="0.35">
      <c r="A5485" s="34"/>
      <c r="B5485" s="35"/>
      <c r="C5485" s="36"/>
      <c r="D5485" s="37"/>
      <c r="E5485" s="36"/>
      <c r="F5485" s="42"/>
      <c r="G5485" s="42"/>
      <c r="H5485" s="42"/>
      <c r="AG5485" s="19">
        <v>5484</v>
      </c>
      <c r="AH5485" s="20">
        <v>249.40477106627921</v>
      </c>
    </row>
    <row r="5486" spans="1:34" ht="14.5" x14ac:dyDescent="0.35">
      <c r="A5486" s="34"/>
      <c r="B5486" s="35"/>
      <c r="C5486" s="36"/>
      <c r="D5486" s="37"/>
      <c r="E5486" s="36"/>
      <c r="F5486" s="42"/>
      <c r="G5486" s="42"/>
      <c r="H5486" s="42"/>
      <c r="AG5486" s="19">
        <v>5485</v>
      </c>
      <c r="AH5486" s="20">
        <v>-1840.5310835887642</v>
      </c>
    </row>
    <row r="5487" spans="1:34" ht="14.5" x14ac:dyDescent="0.35">
      <c r="A5487" s="34"/>
      <c r="B5487" s="35"/>
      <c r="C5487" s="36"/>
      <c r="D5487" s="37"/>
      <c r="E5487" s="36"/>
      <c r="F5487" s="42"/>
      <c r="G5487" s="42"/>
      <c r="H5487" s="42"/>
      <c r="AG5487" s="19">
        <v>5486</v>
      </c>
      <c r="AH5487" s="20">
        <v>353.4709297113227</v>
      </c>
    </row>
    <row r="5488" spans="1:34" ht="14.5" x14ac:dyDescent="0.35">
      <c r="A5488" s="34"/>
      <c r="B5488" s="35"/>
      <c r="C5488" s="36"/>
      <c r="D5488" s="37"/>
      <c r="E5488" s="36"/>
      <c r="F5488" s="42"/>
      <c r="G5488" s="42"/>
      <c r="H5488" s="42"/>
      <c r="AG5488" s="19">
        <v>5487</v>
      </c>
      <c r="AH5488" s="20">
        <v>2337.9255035132469</v>
      </c>
    </row>
    <row r="5489" spans="1:34" ht="14.5" x14ac:dyDescent="0.35">
      <c r="A5489" s="34"/>
      <c r="B5489" s="35"/>
      <c r="C5489" s="36"/>
      <c r="D5489" s="37"/>
      <c r="E5489" s="36"/>
      <c r="F5489" s="42"/>
      <c r="G5489" s="42"/>
      <c r="H5489" s="42"/>
      <c r="AG5489" s="19">
        <v>5488</v>
      </c>
      <c r="AH5489" s="20">
        <v>-569.3355849964214</v>
      </c>
    </row>
    <row r="5490" spans="1:34" ht="14.5" x14ac:dyDescent="0.35">
      <c r="A5490" s="34"/>
      <c r="B5490" s="35"/>
      <c r="C5490" s="36"/>
      <c r="D5490" s="37"/>
      <c r="E5490" s="36"/>
      <c r="F5490" s="42"/>
      <c r="G5490" s="42"/>
      <c r="H5490" s="42"/>
      <c r="AG5490" s="19">
        <v>5489</v>
      </c>
      <c r="AH5490" s="20">
        <v>2412.9229398031011</v>
      </c>
    </row>
    <row r="5491" spans="1:34" ht="14.5" x14ac:dyDescent="0.35">
      <c r="A5491" s="34"/>
      <c r="B5491" s="35"/>
      <c r="C5491" s="36"/>
      <c r="D5491" s="37"/>
      <c r="E5491" s="36"/>
      <c r="F5491" s="42"/>
      <c r="G5491" s="42"/>
      <c r="H5491" s="42"/>
      <c r="AG5491" s="19">
        <v>5490</v>
      </c>
      <c r="AH5491" s="20">
        <v>2060.71489881757</v>
      </c>
    </row>
    <row r="5492" spans="1:34" ht="14.5" x14ac:dyDescent="0.35">
      <c r="A5492" s="34"/>
      <c r="B5492" s="35"/>
      <c r="C5492" s="36"/>
      <c r="D5492" s="37"/>
      <c r="E5492" s="36"/>
      <c r="F5492" s="42"/>
      <c r="G5492" s="42"/>
      <c r="H5492" s="42"/>
      <c r="AG5492" s="19">
        <v>5491</v>
      </c>
      <c r="AH5492" s="20">
        <v>1546.7609204784435</v>
      </c>
    </row>
    <row r="5493" spans="1:34" ht="14.5" x14ac:dyDescent="0.35">
      <c r="A5493" s="34"/>
      <c r="B5493" s="35"/>
      <c r="C5493" s="36"/>
      <c r="D5493" s="37"/>
      <c r="E5493" s="36"/>
      <c r="F5493" s="42"/>
      <c r="G5493" s="42"/>
      <c r="H5493" s="42"/>
      <c r="AG5493" s="19">
        <v>5492</v>
      </c>
      <c r="AH5493" s="20">
        <v>-14.557182706727929</v>
      </c>
    </row>
    <row r="5494" spans="1:34" ht="14.5" x14ac:dyDescent="0.35">
      <c r="A5494" s="34"/>
      <c r="B5494" s="35"/>
      <c r="C5494" s="36"/>
      <c r="D5494" s="37"/>
      <c r="E5494" s="36"/>
      <c r="F5494" s="42"/>
      <c r="G5494" s="42"/>
      <c r="H5494" s="42"/>
      <c r="AG5494" s="19">
        <v>5493</v>
      </c>
      <c r="AH5494" s="20">
        <v>368.58569139402664</v>
      </c>
    </row>
    <row r="5495" spans="1:34" ht="14.5" x14ac:dyDescent="0.35">
      <c r="A5495" s="34"/>
      <c r="B5495" s="35"/>
      <c r="C5495" s="36"/>
      <c r="D5495" s="37"/>
      <c r="E5495" s="36"/>
      <c r="F5495" s="42"/>
      <c r="G5495" s="42"/>
      <c r="H5495" s="42"/>
      <c r="AG5495" s="19">
        <v>5494</v>
      </c>
      <c r="AH5495" s="20">
        <v>-2154.0435969430077</v>
      </c>
    </row>
    <row r="5496" spans="1:34" ht="14.5" x14ac:dyDescent="0.35">
      <c r="A5496" s="34"/>
      <c r="B5496" s="35"/>
      <c r="C5496" s="36"/>
      <c r="D5496" s="37"/>
      <c r="E5496" s="36"/>
      <c r="F5496" s="42"/>
      <c r="G5496" s="42"/>
      <c r="H5496" s="42"/>
      <c r="AG5496" s="19">
        <v>5495</v>
      </c>
      <c r="AH5496" s="20">
        <v>-529.49071079161649</v>
      </c>
    </row>
    <row r="5497" spans="1:34" ht="14.5" x14ac:dyDescent="0.35">
      <c r="A5497" s="34"/>
      <c r="B5497" s="35"/>
      <c r="C5497" s="36"/>
      <c r="D5497" s="37"/>
      <c r="E5497" s="36"/>
      <c r="F5497" s="42"/>
      <c r="G5497" s="42"/>
      <c r="H5497" s="42"/>
      <c r="AG5497" s="19">
        <v>5496</v>
      </c>
      <c r="AH5497" s="20">
        <v>-637.51245296855245</v>
      </c>
    </row>
    <row r="5498" spans="1:34" ht="14.5" x14ac:dyDescent="0.35">
      <c r="A5498" s="34"/>
      <c r="B5498" s="35"/>
      <c r="C5498" s="36"/>
      <c r="D5498" s="37"/>
      <c r="E5498" s="36"/>
      <c r="F5498" s="42"/>
      <c r="G5498" s="42"/>
      <c r="H5498" s="42"/>
      <c r="AG5498" s="19">
        <v>5497</v>
      </c>
      <c r="AH5498" s="20">
        <v>-1115.9092550999944</v>
      </c>
    </row>
    <row r="5499" spans="1:34" ht="14.5" x14ac:dyDescent="0.35">
      <c r="A5499" s="34"/>
      <c r="B5499" s="35"/>
      <c r="C5499" s="36"/>
      <c r="D5499" s="37"/>
      <c r="E5499" s="36"/>
      <c r="F5499" s="42"/>
      <c r="G5499" s="42"/>
      <c r="H5499" s="42"/>
      <c r="AG5499" s="19">
        <v>5498</v>
      </c>
      <c r="AH5499" s="20">
        <v>1005.4571914577211</v>
      </c>
    </row>
    <row r="5500" spans="1:34" ht="14.5" x14ac:dyDescent="0.35">
      <c r="A5500" s="34"/>
      <c r="B5500" s="35"/>
      <c r="C5500" s="36"/>
      <c r="D5500" s="37"/>
      <c r="E5500" s="36"/>
      <c r="F5500" s="42"/>
      <c r="G5500" s="42"/>
      <c r="H5500" s="42"/>
      <c r="AG5500" s="19">
        <v>5499</v>
      </c>
      <c r="AH5500" s="20">
        <v>-757.13797928286635</v>
      </c>
    </row>
    <row r="5501" spans="1:34" ht="14.5" x14ac:dyDescent="0.35">
      <c r="A5501" s="34"/>
      <c r="B5501" s="35"/>
      <c r="C5501" s="36"/>
      <c r="D5501" s="37"/>
      <c r="E5501" s="36"/>
      <c r="F5501" s="42"/>
      <c r="G5501" s="42"/>
      <c r="H5501" s="42"/>
      <c r="AG5501" s="19">
        <v>5500</v>
      </c>
      <c r="AH5501" s="20">
        <v>1846.0904477139254</v>
      </c>
    </row>
    <row r="5502" spans="1:34" ht="14.5" x14ac:dyDescent="0.35">
      <c r="A5502" s="34"/>
      <c r="B5502" s="35"/>
      <c r="C5502" s="36"/>
      <c r="D5502" s="37"/>
      <c r="E5502" s="36"/>
      <c r="F5502" s="42"/>
      <c r="G5502" s="42"/>
      <c r="H5502" s="42"/>
      <c r="AG5502" s="19">
        <v>5501</v>
      </c>
      <c r="AH5502" s="20">
        <v>1172.5057629504242</v>
      </c>
    </row>
    <row r="5503" spans="1:34" ht="14.5" x14ac:dyDescent="0.35">
      <c r="A5503" s="34"/>
      <c r="B5503" s="35"/>
      <c r="C5503" s="36"/>
      <c r="D5503" s="37"/>
      <c r="E5503" s="36"/>
      <c r="F5503" s="42"/>
      <c r="G5503" s="42"/>
      <c r="H5503" s="42"/>
      <c r="AG5503" s="19">
        <v>5502</v>
      </c>
      <c r="AH5503" s="20">
        <v>-3191.9891050351866</v>
      </c>
    </row>
    <row r="5504" spans="1:34" ht="14.5" x14ac:dyDescent="0.35">
      <c r="A5504" s="34"/>
      <c r="B5504" s="35"/>
      <c r="C5504" s="36"/>
      <c r="D5504" s="37"/>
      <c r="E5504" s="36"/>
      <c r="F5504" s="42"/>
      <c r="G5504" s="42"/>
      <c r="H5504" s="42"/>
      <c r="AG5504" s="19">
        <v>5503</v>
      </c>
      <c r="AH5504" s="20">
        <v>5259.378817869565</v>
      </c>
    </row>
    <row r="5505" spans="1:34" ht="14.5" x14ac:dyDescent="0.35">
      <c r="A5505" s="34"/>
      <c r="B5505" s="35"/>
      <c r="C5505" s="36"/>
      <c r="D5505" s="37"/>
      <c r="E5505" s="36"/>
      <c r="F5505" s="42"/>
      <c r="G5505" s="42"/>
      <c r="H5505" s="42"/>
      <c r="AG5505" s="19">
        <v>5504</v>
      </c>
      <c r="AH5505" s="20">
        <v>1052.6301999557486</v>
      </c>
    </row>
    <row r="5506" spans="1:34" ht="14.5" x14ac:dyDescent="0.35">
      <c r="A5506" s="34"/>
      <c r="B5506" s="35"/>
      <c r="C5506" s="36"/>
      <c r="D5506" s="37"/>
      <c r="E5506" s="36"/>
      <c r="F5506" s="42"/>
      <c r="G5506" s="42"/>
      <c r="H5506" s="42"/>
      <c r="AG5506" s="19">
        <v>5505</v>
      </c>
      <c r="AH5506" s="20">
        <v>-456.66348320553544</v>
      </c>
    </row>
    <row r="5507" spans="1:34" ht="14.5" x14ac:dyDescent="0.35">
      <c r="A5507" s="34"/>
      <c r="B5507" s="35"/>
      <c r="C5507" s="36"/>
      <c r="D5507" s="37"/>
      <c r="E5507" s="36"/>
      <c r="F5507" s="42"/>
      <c r="G5507" s="42"/>
      <c r="H5507" s="42"/>
      <c r="AG5507" s="19">
        <v>5506</v>
      </c>
      <c r="AH5507" s="20">
        <v>-315.97314104244555</v>
      </c>
    </row>
    <row r="5508" spans="1:34" ht="14.5" x14ac:dyDescent="0.35">
      <c r="A5508" s="34"/>
      <c r="B5508" s="35"/>
      <c r="C5508" s="36"/>
      <c r="D5508" s="37"/>
      <c r="E5508" s="36"/>
      <c r="F5508" s="42"/>
      <c r="G5508" s="42"/>
      <c r="H5508" s="42"/>
      <c r="AG5508" s="19">
        <v>5507</v>
      </c>
      <c r="AH5508" s="20">
        <v>-190.02561257751796</v>
      </c>
    </row>
    <row r="5509" spans="1:34" ht="14.5" x14ac:dyDescent="0.35">
      <c r="A5509" s="34"/>
      <c r="B5509" s="35"/>
      <c r="C5509" s="36"/>
      <c r="D5509" s="37"/>
      <c r="E5509" s="36"/>
      <c r="F5509" s="42"/>
      <c r="G5509" s="42"/>
      <c r="H5509" s="42"/>
      <c r="AG5509" s="19">
        <v>5508</v>
      </c>
      <c r="AH5509" s="20">
        <v>-699.27325108173795</v>
      </c>
    </row>
    <row r="5510" spans="1:34" ht="14.5" x14ac:dyDescent="0.35">
      <c r="A5510" s="34"/>
      <c r="B5510" s="35"/>
      <c r="C5510" s="36"/>
      <c r="D5510" s="37"/>
      <c r="E5510" s="36"/>
      <c r="F5510" s="42"/>
      <c r="G5510" s="42"/>
      <c r="H5510" s="42"/>
      <c r="AG5510" s="19">
        <v>5509</v>
      </c>
      <c r="AH5510" s="20">
        <v>-530.69587337828511</v>
      </c>
    </row>
    <row r="5511" spans="1:34" ht="14.5" x14ac:dyDescent="0.35">
      <c r="A5511" s="34"/>
      <c r="B5511" s="35"/>
      <c r="C5511" s="36"/>
      <c r="D5511" s="37"/>
      <c r="E5511" s="36"/>
      <c r="F5511" s="42"/>
      <c r="G5511" s="42"/>
      <c r="H5511" s="42"/>
      <c r="AG5511" s="19">
        <v>5510</v>
      </c>
      <c r="AH5511" s="20">
        <v>676.88957063966564</v>
      </c>
    </row>
    <row r="5512" spans="1:34" ht="14.5" x14ac:dyDescent="0.35">
      <c r="A5512" s="34"/>
      <c r="B5512" s="35"/>
      <c r="C5512" s="36"/>
      <c r="D5512" s="37"/>
      <c r="E5512" s="36"/>
      <c r="F5512" s="42"/>
      <c r="G5512" s="42"/>
      <c r="H5512" s="42"/>
      <c r="AG5512" s="19">
        <v>5511</v>
      </c>
      <c r="AH5512" s="20">
        <v>-109.48441357564946</v>
      </c>
    </row>
    <row r="5513" spans="1:34" ht="14.5" x14ac:dyDescent="0.35">
      <c r="A5513" s="34"/>
      <c r="B5513" s="35"/>
      <c r="C5513" s="36"/>
      <c r="D5513" s="37"/>
      <c r="E5513" s="36"/>
      <c r="F5513" s="42"/>
      <c r="G5513" s="42"/>
      <c r="H5513" s="42"/>
      <c r="AG5513" s="19">
        <v>5512</v>
      </c>
      <c r="AH5513" s="20">
        <v>-2196.8049010280051</v>
      </c>
    </row>
    <row r="5514" spans="1:34" ht="14.5" x14ac:dyDescent="0.35">
      <c r="A5514" s="34"/>
      <c r="B5514" s="35"/>
      <c r="C5514" s="36"/>
      <c r="D5514" s="37"/>
      <c r="E5514" s="36"/>
      <c r="F5514" s="42"/>
      <c r="G5514" s="42"/>
      <c r="H5514" s="42"/>
      <c r="AG5514" s="19">
        <v>5513</v>
      </c>
      <c r="AH5514" s="20">
        <v>-2246.1370903172447</v>
      </c>
    </row>
    <row r="5515" spans="1:34" ht="14.5" x14ac:dyDescent="0.35">
      <c r="A5515" s="34"/>
      <c r="B5515" s="35"/>
      <c r="C5515" s="36"/>
      <c r="D5515" s="37"/>
      <c r="E5515" s="36"/>
      <c r="F5515" s="42"/>
      <c r="G5515" s="42"/>
      <c r="H5515" s="42"/>
      <c r="AG5515" s="19">
        <v>5514</v>
      </c>
      <c r="AH5515" s="20">
        <v>-926.18563190257782</v>
      </c>
    </row>
    <row r="5516" spans="1:34" ht="14.5" x14ac:dyDescent="0.35">
      <c r="A5516" s="34"/>
      <c r="B5516" s="35"/>
      <c r="C5516" s="36"/>
      <c r="D5516" s="37"/>
      <c r="E5516" s="36"/>
      <c r="F5516" s="42"/>
      <c r="G5516" s="42"/>
      <c r="H5516" s="42"/>
      <c r="AG5516" s="19">
        <v>5515</v>
      </c>
      <c r="AH5516" s="20">
        <v>3514.9898680506235</v>
      </c>
    </row>
    <row r="5517" spans="1:34" ht="14.5" x14ac:dyDescent="0.35">
      <c r="A5517" s="34"/>
      <c r="B5517" s="35"/>
      <c r="C5517" s="36"/>
      <c r="D5517" s="37"/>
      <c r="E5517" s="36"/>
      <c r="F5517" s="42"/>
      <c r="G5517" s="42"/>
      <c r="H5517" s="42"/>
      <c r="AG5517" s="19">
        <v>5516</v>
      </c>
      <c r="AH5517" s="20">
        <v>-317.75174549107743</v>
      </c>
    </row>
    <row r="5518" spans="1:34" ht="14.5" x14ac:dyDescent="0.35">
      <c r="A5518" s="34"/>
      <c r="B5518" s="35"/>
      <c r="C5518" s="36"/>
      <c r="D5518" s="37"/>
      <c r="E5518" s="36"/>
      <c r="F5518" s="42"/>
      <c r="G5518" s="42"/>
      <c r="H5518" s="42"/>
      <c r="AG5518" s="19">
        <v>5517</v>
      </c>
      <c r="AH5518" s="20">
        <v>2200.2773472265685</v>
      </c>
    </row>
    <row r="5519" spans="1:34" ht="14.5" x14ac:dyDescent="0.35">
      <c r="A5519" s="34"/>
      <c r="B5519" s="35"/>
      <c r="C5519" s="36"/>
      <c r="D5519" s="37"/>
      <c r="E5519" s="36"/>
      <c r="F5519" s="42"/>
      <c r="G5519" s="42"/>
      <c r="H5519" s="42"/>
      <c r="AG5519" s="19">
        <v>5518</v>
      </c>
      <c r="AH5519" s="20">
        <v>2421.4372604627665</v>
      </c>
    </row>
    <row r="5520" spans="1:34" ht="14.5" x14ac:dyDescent="0.35">
      <c r="A5520" s="34"/>
      <c r="B5520" s="35"/>
      <c r="C5520" s="36"/>
      <c r="D5520" s="37"/>
      <c r="E5520" s="36"/>
      <c r="F5520" s="42"/>
      <c r="G5520" s="42"/>
      <c r="H5520" s="42"/>
      <c r="AG5520" s="19">
        <v>5519</v>
      </c>
      <c r="AH5520" s="20">
        <v>-1949.8265735767725</v>
      </c>
    </row>
    <row r="5521" spans="1:34" ht="14.5" x14ac:dyDescent="0.35">
      <c r="A5521" s="34"/>
      <c r="B5521" s="35"/>
      <c r="C5521" s="36"/>
      <c r="D5521" s="37"/>
      <c r="E5521" s="36"/>
      <c r="F5521" s="42"/>
      <c r="G5521" s="42"/>
      <c r="H5521" s="42"/>
      <c r="AG5521" s="19">
        <v>5520</v>
      </c>
      <c r="AH5521" s="20">
        <v>79.559715775008158</v>
      </c>
    </row>
    <row r="5522" spans="1:34" ht="14.5" x14ac:dyDescent="0.35">
      <c r="A5522" s="34"/>
      <c r="B5522" s="35"/>
      <c r="C5522" s="36"/>
      <c r="D5522" s="37"/>
      <c r="E5522" s="36"/>
      <c r="F5522" s="42"/>
      <c r="G5522" s="42"/>
      <c r="H5522" s="42"/>
      <c r="AG5522" s="19">
        <v>5521</v>
      </c>
      <c r="AH5522" s="20">
        <v>-1138.6999622413634</v>
      </c>
    </row>
    <row r="5523" spans="1:34" ht="14.5" x14ac:dyDescent="0.35">
      <c r="A5523" s="34"/>
      <c r="B5523" s="35"/>
      <c r="C5523" s="36"/>
      <c r="D5523" s="37"/>
      <c r="E5523" s="36"/>
      <c r="F5523" s="42"/>
      <c r="G5523" s="42"/>
      <c r="H5523" s="42"/>
      <c r="AG5523" s="19">
        <v>5522</v>
      </c>
      <c r="AH5523" s="20">
        <v>2866.8703772100889</v>
      </c>
    </row>
    <row r="5524" spans="1:34" ht="14.5" x14ac:dyDescent="0.35">
      <c r="A5524" s="34"/>
      <c r="B5524" s="35"/>
      <c r="C5524" s="36"/>
      <c r="D5524" s="37"/>
      <c r="E5524" s="36"/>
      <c r="F5524" s="42"/>
      <c r="G5524" s="42"/>
      <c r="H5524" s="42"/>
      <c r="AG5524" s="19">
        <v>5523</v>
      </c>
      <c r="AH5524" s="20">
        <v>1042.4230318732982</v>
      </c>
    </row>
    <row r="5525" spans="1:34" ht="14.5" x14ac:dyDescent="0.35">
      <c r="A5525" s="34"/>
      <c r="B5525" s="35"/>
      <c r="C5525" s="36"/>
      <c r="D5525" s="37"/>
      <c r="E5525" s="36"/>
      <c r="F5525" s="42"/>
      <c r="G5525" s="42"/>
      <c r="H5525" s="42"/>
      <c r="AG5525" s="19">
        <v>5524</v>
      </c>
      <c r="AH5525" s="20">
        <v>3670.3467969447152</v>
      </c>
    </row>
    <row r="5526" spans="1:34" ht="14.5" x14ac:dyDescent="0.35">
      <c r="A5526" s="34"/>
      <c r="B5526" s="35"/>
      <c r="C5526" s="36"/>
      <c r="D5526" s="37"/>
      <c r="E5526" s="36"/>
      <c r="F5526" s="42"/>
      <c r="G5526" s="42"/>
      <c r="H5526" s="42"/>
      <c r="AG5526" s="19">
        <v>5525</v>
      </c>
      <c r="AH5526" s="20">
        <v>-1040.3195906205615</v>
      </c>
    </row>
    <row r="5527" spans="1:34" ht="14.5" x14ac:dyDescent="0.35">
      <c r="A5527" s="34"/>
      <c r="B5527" s="35"/>
      <c r="C5527" s="36"/>
      <c r="D5527" s="37"/>
      <c r="E5527" s="36"/>
      <c r="F5527" s="42"/>
      <c r="G5527" s="42"/>
      <c r="H5527" s="42"/>
      <c r="AG5527" s="19">
        <v>5526</v>
      </c>
      <c r="AH5527" s="20">
        <v>1514.8313369952152</v>
      </c>
    </row>
    <row r="5528" spans="1:34" ht="14.5" x14ac:dyDescent="0.35">
      <c r="A5528" s="34"/>
      <c r="B5528" s="35"/>
      <c r="C5528" s="36"/>
      <c r="D5528" s="37"/>
      <c r="E5528" s="36"/>
      <c r="F5528" s="42"/>
      <c r="G5528" s="42"/>
      <c r="H5528" s="42"/>
      <c r="AG5528" s="19">
        <v>5527</v>
      </c>
      <c r="AH5528" s="20">
        <v>-95.228327744643707</v>
      </c>
    </row>
    <row r="5529" spans="1:34" ht="14.5" x14ac:dyDescent="0.35">
      <c r="A5529" s="34"/>
      <c r="B5529" s="35"/>
      <c r="C5529" s="36"/>
      <c r="D5529" s="37"/>
      <c r="E5529" s="36"/>
      <c r="F5529" s="42"/>
      <c r="G5529" s="42"/>
      <c r="H5529" s="42"/>
      <c r="AG5529" s="19">
        <v>5528</v>
      </c>
      <c r="AH5529" s="20">
        <v>2991.5083276959999</v>
      </c>
    </row>
    <row r="5530" spans="1:34" ht="14.5" x14ac:dyDescent="0.35">
      <c r="A5530" s="34"/>
      <c r="B5530" s="35"/>
      <c r="C5530" s="36"/>
      <c r="D5530" s="37"/>
      <c r="E5530" s="36"/>
      <c r="F5530" s="42"/>
      <c r="G5530" s="42"/>
      <c r="H5530" s="42"/>
      <c r="AG5530" s="19">
        <v>5529</v>
      </c>
      <c r="AH5530" s="20">
        <v>-3384.1088421660043</v>
      </c>
    </row>
    <row r="5531" spans="1:34" ht="14.5" x14ac:dyDescent="0.35">
      <c r="A5531" s="34"/>
      <c r="B5531" s="35"/>
      <c r="C5531" s="36"/>
      <c r="D5531" s="37"/>
      <c r="E5531" s="36"/>
      <c r="F5531" s="42"/>
      <c r="G5531" s="42"/>
      <c r="H5531" s="42"/>
      <c r="AG5531" s="19">
        <v>5530</v>
      </c>
      <c r="AH5531" s="20">
        <v>2314.0735659400298</v>
      </c>
    </row>
    <row r="5532" spans="1:34" ht="14.5" x14ac:dyDescent="0.35">
      <c r="A5532" s="34"/>
      <c r="B5532" s="35"/>
      <c r="C5532" s="36"/>
      <c r="D5532" s="37"/>
      <c r="E5532" s="36"/>
      <c r="F5532" s="42"/>
      <c r="G5532" s="42"/>
      <c r="H5532" s="42"/>
      <c r="AG5532" s="19">
        <v>5531</v>
      </c>
      <c r="AH5532" s="20">
        <v>339.1264050783081</v>
      </c>
    </row>
    <row r="5533" spans="1:34" ht="14.5" x14ac:dyDescent="0.35">
      <c r="A5533" s="34"/>
      <c r="B5533" s="35"/>
      <c r="C5533" s="36"/>
      <c r="D5533" s="37"/>
      <c r="E5533" s="36"/>
      <c r="F5533" s="42"/>
      <c r="G5533" s="42"/>
      <c r="H5533" s="42"/>
      <c r="AG5533" s="19">
        <v>5532</v>
      </c>
      <c r="AH5533" s="20">
        <v>1087.8616909090638</v>
      </c>
    </row>
    <row r="5534" spans="1:34" ht="14.5" x14ac:dyDescent="0.35">
      <c r="A5534" s="34"/>
      <c r="B5534" s="35"/>
      <c r="C5534" s="36"/>
      <c r="D5534" s="37"/>
      <c r="E5534" s="36"/>
      <c r="F5534" s="42"/>
      <c r="G5534" s="42"/>
      <c r="H5534" s="42"/>
      <c r="AG5534" s="19">
        <v>5533</v>
      </c>
      <c r="AH5534" s="20">
        <v>1794.8627739253404</v>
      </c>
    </row>
    <row r="5535" spans="1:34" ht="14.5" x14ac:dyDescent="0.35">
      <c r="A5535" s="34"/>
      <c r="B5535" s="35"/>
      <c r="C5535" s="36"/>
      <c r="D5535" s="37"/>
      <c r="E5535" s="36"/>
      <c r="F5535" s="42"/>
      <c r="G5535" s="42"/>
      <c r="H5535" s="42"/>
      <c r="AG5535" s="19">
        <v>5534</v>
      </c>
      <c r="AH5535" s="20">
        <v>1940.1310652283312</v>
      </c>
    </row>
    <row r="5536" spans="1:34" ht="14.5" x14ac:dyDescent="0.35">
      <c r="A5536" s="34"/>
      <c r="B5536" s="35"/>
      <c r="C5536" s="36"/>
      <c r="D5536" s="37"/>
      <c r="E5536" s="36"/>
      <c r="F5536" s="42"/>
      <c r="G5536" s="42"/>
      <c r="H5536" s="42"/>
      <c r="AG5536" s="19">
        <v>5535</v>
      </c>
      <c r="AH5536" s="20">
        <v>1246.0891015917755</v>
      </c>
    </row>
    <row r="5537" spans="1:34" ht="14.5" x14ac:dyDescent="0.35">
      <c r="A5537" s="34"/>
      <c r="B5537" s="35"/>
      <c r="C5537" s="36"/>
      <c r="D5537" s="37"/>
      <c r="E5537" s="36"/>
      <c r="F5537" s="42"/>
      <c r="G5537" s="42"/>
      <c r="H5537" s="42"/>
      <c r="AG5537" s="19">
        <v>5536</v>
      </c>
      <c r="AH5537" s="20">
        <v>3352.0562282690121</v>
      </c>
    </row>
    <row r="5538" spans="1:34" ht="14.5" x14ac:dyDescent="0.35">
      <c r="A5538" s="34"/>
      <c r="B5538" s="35"/>
      <c r="C5538" s="36"/>
      <c r="D5538" s="37"/>
      <c r="E5538" s="36"/>
      <c r="F5538" s="42"/>
      <c r="G5538" s="42"/>
      <c r="H5538" s="42"/>
      <c r="AG5538" s="19">
        <v>5537</v>
      </c>
      <c r="AH5538" s="20">
        <v>1018.4182724765674</v>
      </c>
    </row>
    <row r="5539" spans="1:34" ht="14.5" x14ac:dyDescent="0.35">
      <c r="A5539" s="34"/>
      <c r="B5539" s="35"/>
      <c r="C5539" s="36"/>
      <c r="D5539" s="37"/>
      <c r="E5539" s="36"/>
      <c r="F5539" s="42"/>
      <c r="G5539" s="42"/>
      <c r="H5539" s="42"/>
      <c r="AG5539" s="19">
        <v>5538</v>
      </c>
      <c r="AH5539" s="20">
        <v>268.39440829620844</v>
      </c>
    </row>
    <row r="5540" spans="1:34" ht="14.5" x14ac:dyDescent="0.35">
      <c r="A5540" s="34"/>
      <c r="B5540" s="35"/>
      <c r="C5540" s="36"/>
      <c r="D5540" s="37"/>
      <c r="E5540" s="36"/>
      <c r="F5540" s="42"/>
      <c r="G5540" s="42"/>
      <c r="H5540" s="42"/>
      <c r="AG5540" s="19">
        <v>5539</v>
      </c>
      <c r="AH5540" s="20">
        <v>1005.1856231019219</v>
      </c>
    </row>
    <row r="5541" spans="1:34" ht="14.5" x14ac:dyDescent="0.35">
      <c r="A5541" s="34"/>
      <c r="B5541" s="35"/>
      <c r="C5541" s="36"/>
      <c r="D5541" s="37"/>
      <c r="E5541" s="36"/>
      <c r="F5541" s="42"/>
      <c r="G5541" s="42"/>
      <c r="H5541" s="42"/>
      <c r="AG5541" s="19">
        <v>5540</v>
      </c>
      <c r="AH5541" s="20">
        <v>-1134.2957562686504</v>
      </c>
    </row>
    <row r="5542" spans="1:34" ht="14.5" x14ac:dyDescent="0.35">
      <c r="A5542" s="34"/>
      <c r="B5542" s="35"/>
      <c r="C5542" s="36"/>
      <c r="D5542" s="37"/>
      <c r="E5542" s="36"/>
      <c r="F5542" s="42"/>
      <c r="G5542" s="42"/>
      <c r="H5542" s="42"/>
      <c r="AG5542" s="19">
        <v>5541</v>
      </c>
      <c r="AH5542" s="20">
        <v>630.55038458025956</v>
      </c>
    </row>
    <row r="5543" spans="1:34" ht="14.5" x14ac:dyDescent="0.35">
      <c r="A5543" s="34"/>
      <c r="B5543" s="35"/>
      <c r="C5543" s="36"/>
      <c r="D5543" s="37"/>
      <c r="E5543" s="36"/>
      <c r="F5543" s="42"/>
      <c r="G5543" s="42"/>
      <c r="H5543" s="42"/>
      <c r="AG5543" s="19">
        <v>5542</v>
      </c>
      <c r="AH5543" s="20">
        <v>881.678536685724</v>
      </c>
    </row>
    <row r="5544" spans="1:34" ht="14.5" x14ac:dyDescent="0.35">
      <c r="A5544" s="34"/>
      <c r="B5544" s="35"/>
      <c r="C5544" s="36"/>
      <c r="D5544" s="37"/>
      <c r="E5544" s="36"/>
      <c r="F5544" s="42"/>
      <c r="G5544" s="42"/>
      <c r="H5544" s="42"/>
      <c r="AG5544" s="19">
        <v>5543</v>
      </c>
      <c r="AH5544" s="20">
        <v>-690.65133645165429</v>
      </c>
    </row>
    <row r="5545" spans="1:34" ht="14.5" x14ac:dyDescent="0.35">
      <c r="A5545" s="34"/>
      <c r="B5545" s="35"/>
      <c r="C5545" s="36"/>
      <c r="D5545" s="37"/>
      <c r="E5545" s="36"/>
      <c r="F5545" s="42"/>
      <c r="G5545" s="42"/>
      <c r="H5545" s="42"/>
      <c r="AG5545" s="19">
        <v>5544</v>
      </c>
      <c r="AH5545" s="20">
        <v>1496.0888822952372</v>
      </c>
    </row>
    <row r="5546" spans="1:34" ht="14.5" x14ac:dyDescent="0.35">
      <c r="A5546" s="34"/>
      <c r="B5546" s="35"/>
      <c r="C5546" s="36"/>
      <c r="D5546" s="37"/>
      <c r="E5546" s="36"/>
      <c r="F5546" s="42"/>
      <c r="G5546" s="42"/>
      <c r="H5546" s="42"/>
      <c r="AG5546" s="19">
        <v>5545</v>
      </c>
      <c r="AH5546" s="20">
        <v>-2371.3974779266796</v>
      </c>
    </row>
    <row r="5547" spans="1:34" ht="14.5" x14ac:dyDescent="0.35">
      <c r="A5547" s="34"/>
      <c r="B5547" s="35"/>
      <c r="C5547" s="36"/>
      <c r="D5547" s="37"/>
      <c r="E5547" s="36"/>
      <c r="F5547" s="42"/>
      <c r="G5547" s="42"/>
      <c r="H5547" s="42"/>
      <c r="AG5547" s="19">
        <v>5546</v>
      </c>
      <c r="AH5547" s="20">
        <v>1750.7869818477493</v>
      </c>
    </row>
    <row r="5548" spans="1:34" ht="14.5" x14ac:dyDescent="0.35">
      <c r="A5548" s="34"/>
      <c r="B5548" s="35"/>
      <c r="C5548" s="36"/>
      <c r="D5548" s="37"/>
      <c r="E5548" s="36"/>
      <c r="F5548" s="42"/>
      <c r="G5548" s="42"/>
      <c r="H5548" s="42"/>
      <c r="AG5548" s="19">
        <v>5547</v>
      </c>
      <c r="AH5548" s="20">
        <v>3458.351634882973</v>
      </c>
    </row>
    <row r="5549" spans="1:34" ht="14.5" x14ac:dyDescent="0.35">
      <c r="A5549" s="34"/>
      <c r="B5549" s="35"/>
      <c r="C5549" s="36"/>
      <c r="D5549" s="37"/>
      <c r="E5549" s="36"/>
      <c r="F5549" s="42"/>
      <c r="G5549" s="42"/>
      <c r="H5549" s="42"/>
      <c r="AG5549" s="19">
        <v>5548</v>
      </c>
      <c r="AH5549" s="20">
        <v>4583.1479951894853</v>
      </c>
    </row>
    <row r="5550" spans="1:34" ht="14.5" x14ac:dyDescent="0.35">
      <c r="A5550" s="34"/>
      <c r="B5550" s="35"/>
      <c r="C5550" s="36"/>
      <c r="D5550" s="37"/>
      <c r="E5550" s="36"/>
      <c r="F5550" s="42"/>
      <c r="G5550" s="42"/>
      <c r="H5550" s="42"/>
      <c r="AG5550" s="19">
        <v>5549</v>
      </c>
      <c r="AH5550" s="20">
        <v>2687.3880716074732</v>
      </c>
    </row>
    <row r="5551" spans="1:34" ht="14.5" x14ac:dyDescent="0.35">
      <c r="A5551" s="34"/>
      <c r="B5551" s="35"/>
      <c r="C5551" s="36"/>
      <c r="D5551" s="37"/>
      <c r="E5551" s="36"/>
      <c r="F5551" s="42"/>
      <c r="G5551" s="42"/>
      <c r="H5551" s="42"/>
      <c r="AG5551" s="19">
        <v>5550</v>
      </c>
      <c r="AH5551" s="20">
        <v>-3537.7593959990854</v>
      </c>
    </row>
    <row r="5552" spans="1:34" ht="14.5" x14ac:dyDescent="0.35">
      <c r="A5552" s="34"/>
      <c r="B5552" s="35"/>
      <c r="C5552" s="36"/>
      <c r="D5552" s="37"/>
      <c r="E5552" s="36"/>
      <c r="F5552" s="42"/>
      <c r="G5552" s="42"/>
      <c r="H5552" s="42"/>
      <c r="AG5552" s="19">
        <v>5551</v>
      </c>
      <c r="AH5552" s="20">
        <v>1245.5321298764986</v>
      </c>
    </row>
    <row r="5553" spans="1:34" ht="14.5" x14ac:dyDescent="0.35">
      <c r="A5553" s="34"/>
      <c r="B5553" s="35"/>
      <c r="C5553" s="36"/>
      <c r="D5553" s="37"/>
      <c r="E5553" s="36"/>
      <c r="F5553" s="42"/>
      <c r="G5553" s="42"/>
      <c r="H5553" s="42"/>
      <c r="AG5553" s="19">
        <v>5552</v>
      </c>
      <c r="AH5553" s="20">
        <v>1625.303669905592</v>
      </c>
    </row>
    <row r="5554" spans="1:34" ht="14.5" x14ac:dyDescent="0.35">
      <c r="A5554" s="34"/>
      <c r="B5554" s="35"/>
      <c r="C5554" s="36"/>
      <c r="D5554" s="37"/>
      <c r="E5554" s="36"/>
      <c r="F5554" s="42"/>
      <c r="G5554" s="42"/>
      <c r="H5554" s="42"/>
      <c r="AG5554" s="19">
        <v>5553</v>
      </c>
      <c r="AH5554" s="20">
        <v>1306.1458665423409</v>
      </c>
    </row>
    <row r="5555" spans="1:34" ht="14.5" x14ac:dyDescent="0.35">
      <c r="A5555" s="34"/>
      <c r="B5555" s="35"/>
      <c r="C5555" s="36"/>
      <c r="D5555" s="37"/>
      <c r="E5555" s="36"/>
      <c r="F5555" s="42"/>
      <c r="G5555" s="42"/>
      <c r="H5555" s="42"/>
      <c r="AG5555" s="19">
        <v>5554</v>
      </c>
      <c r="AH5555" s="20">
        <v>-853.10227287842918</v>
      </c>
    </row>
    <row r="5556" spans="1:34" ht="14.5" x14ac:dyDescent="0.35">
      <c r="A5556" s="34"/>
      <c r="B5556" s="35"/>
      <c r="C5556" s="36"/>
      <c r="D5556" s="37"/>
      <c r="E5556" s="36"/>
      <c r="F5556" s="42"/>
      <c r="G5556" s="42"/>
      <c r="H5556" s="42"/>
      <c r="AG5556" s="19">
        <v>5555</v>
      </c>
      <c r="AH5556" s="20">
        <v>-152.61373974361283</v>
      </c>
    </row>
    <row r="5557" spans="1:34" ht="14.5" x14ac:dyDescent="0.35">
      <c r="A5557" s="34"/>
      <c r="B5557" s="35"/>
      <c r="C5557" s="36"/>
      <c r="D5557" s="37"/>
      <c r="E5557" s="36"/>
      <c r="F5557" s="42"/>
      <c r="G5557" s="42"/>
      <c r="H5557" s="42"/>
      <c r="AG5557" s="19">
        <v>5556</v>
      </c>
      <c r="AH5557" s="20">
        <v>615.16567757609687</v>
      </c>
    </row>
    <row r="5558" spans="1:34" ht="14.5" x14ac:dyDescent="0.35">
      <c r="A5558" s="34"/>
      <c r="B5558" s="35"/>
      <c r="C5558" s="36"/>
      <c r="D5558" s="37"/>
      <c r="E5558" s="36"/>
      <c r="F5558" s="42"/>
      <c r="G5558" s="42"/>
      <c r="H5558" s="42"/>
      <c r="AG5558" s="19">
        <v>5557</v>
      </c>
      <c r="AH5558" s="20">
        <v>-1176.9348573475904</v>
      </c>
    </row>
    <row r="5559" spans="1:34" ht="14.5" x14ac:dyDescent="0.35">
      <c r="A5559" s="34"/>
      <c r="B5559" s="35"/>
      <c r="C5559" s="36"/>
      <c r="D5559" s="37"/>
      <c r="E5559" s="36"/>
      <c r="F5559" s="42"/>
      <c r="G5559" s="42"/>
      <c r="H5559" s="42"/>
      <c r="AG5559" s="19">
        <v>5558</v>
      </c>
      <c r="AH5559" s="20">
        <v>3207.4689772905349</v>
      </c>
    </row>
    <row r="5560" spans="1:34" ht="14.5" x14ac:dyDescent="0.35">
      <c r="A5560" s="34"/>
      <c r="B5560" s="35"/>
      <c r="C5560" s="36"/>
      <c r="D5560" s="37"/>
      <c r="E5560" s="36"/>
      <c r="F5560" s="42"/>
      <c r="G5560" s="42"/>
      <c r="H5560" s="42"/>
      <c r="AG5560" s="19">
        <v>5559</v>
      </c>
      <c r="AH5560" s="20">
        <v>2412.8355841407611</v>
      </c>
    </row>
    <row r="5561" spans="1:34" ht="14.5" x14ac:dyDescent="0.35">
      <c r="A5561" s="34"/>
      <c r="B5561" s="35"/>
      <c r="C5561" s="36"/>
      <c r="D5561" s="37"/>
      <c r="E5561" s="36"/>
      <c r="F5561" s="42"/>
      <c r="G5561" s="42"/>
      <c r="H5561" s="42"/>
      <c r="AG5561" s="19">
        <v>5560</v>
      </c>
      <c r="AH5561" s="20">
        <v>-1732.2850101349129</v>
      </c>
    </row>
    <row r="5562" spans="1:34" ht="14.5" x14ac:dyDescent="0.35">
      <c r="A5562" s="34"/>
      <c r="B5562" s="35"/>
      <c r="C5562" s="36"/>
      <c r="D5562" s="37"/>
      <c r="E5562" s="36"/>
      <c r="F5562" s="42"/>
      <c r="G5562" s="42"/>
      <c r="H5562" s="42"/>
      <c r="AG5562" s="19">
        <v>5561</v>
      </c>
      <c r="AH5562" s="20">
        <v>900.93015424179589</v>
      </c>
    </row>
    <row r="5563" spans="1:34" ht="14.5" x14ac:dyDescent="0.35">
      <c r="A5563" s="34"/>
      <c r="B5563" s="35"/>
      <c r="C5563" s="36"/>
      <c r="D5563" s="37"/>
      <c r="E5563" s="36"/>
      <c r="F5563" s="42"/>
      <c r="G5563" s="42"/>
      <c r="H5563" s="42"/>
      <c r="AG5563" s="19">
        <v>5562</v>
      </c>
      <c r="AH5563" s="20">
        <v>2032.9403874185828</v>
      </c>
    </row>
    <row r="5564" spans="1:34" ht="14.5" x14ac:dyDescent="0.35">
      <c r="A5564" s="34"/>
      <c r="B5564" s="35"/>
      <c r="C5564" s="36"/>
      <c r="D5564" s="37"/>
      <c r="E5564" s="36"/>
      <c r="F5564" s="42"/>
      <c r="G5564" s="42"/>
      <c r="H5564" s="42"/>
      <c r="AG5564" s="19">
        <v>5563</v>
      </c>
      <c r="AH5564" s="20">
        <v>-1652.3560606225058</v>
      </c>
    </row>
    <row r="5565" spans="1:34" ht="14.5" x14ac:dyDescent="0.35">
      <c r="A5565" s="34"/>
      <c r="B5565" s="35"/>
      <c r="C5565" s="36"/>
      <c r="D5565" s="37"/>
      <c r="E5565" s="36"/>
      <c r="F5565" s="42"/>
      <c r="G5565" s="42"/>
      <c r="H5565" s="42"/>
      <c r="AG5565" s="19">
        <v>5564</v>
      </c>
      <c r="AH5565" s="20">
        <v>-1812.9794910758376</v>
      </c>
    </row>
    <row r="5566" spans="1:34" ht="14.5" x14ac:dyDescent="0.35">
      <c r="A5566" s="34"/>
      <c r="B5566" s="35"/>
      <c r="C5566" s="36"/>
      <c r="D5566" s="37"/>
      <c r="E5566" s="36"/>
      <c r="F5566" s="42"/>
      <c r="G5566" s="42"/>
      <c r="H5566" s="42"/>
      <c r="AG5566" s="19">
        <v>5565</v>
      </c>
      <c r="AH5566" s="20">
        <v>-2848.5579264828475</v>
      </c>
    </row>
    <row r="5567" spans="1:34" ht="14.5" x14ac:dyDescent="0.35">
      <c r="A5567" s="34"/>
      <c r="B5567" s="35"/>
      <c r="C5567" s="36"/>
      <c r="D5567" s="37"/>
      <c r="E5567" s="36"/>
      <c r="F5567" s="42"/>
      <c r="G5567" s="42"/>
      <c r="H5567" s="42"/>
      <c r="AG5567" s="19">
        <v>5566</v>
      </c>
      <c r="AH5567" s="20">
        <v>-3185.2981917321636</v>
      </c>
    </row>
    <row r="5568" spans="1:34" ht="14.5" x14ac:dyDescent="0.35">
      <c r="A5568" s="34"/>
      <c r="B5568" s="35"/>
      <c r="C5568" s="36"/>
      <c r="D5568" s="37"/>
      <c r="E5568" s="36"/>
      <c r="F5568" s="42"/>
      <c r="G5568" s="42"/>
      <c r="H5568" s="42"/>
      <c r="AG5568" s="19">
        <v>5567</v>
      </c>
      <c r="AH5568" s="20">
        <v>-3461.730518370653</v>
      </c>
    </row>
    <row r="5569" spans="1:34" ht="14.5" x14ac:dyDescent="0.35">
      <c r="A5569" s="34"/>
      <c r="B5569" s="35"/>
      <c r="C5569" s="36"/>
      <c r="D5569" s="37"/>
      <c r="E5569" s="36"/>
      <c r="F5569" s="42"/>
      <c r="G5569" s="42"/>
      <c r="H5569" s="42"/>
      <c r="AG5569" s="19">
        <v>5568</v>
      </c>
      <c r="AH5569" s="20">
        <v>438.24733705014972</v>
      </c>
    </row>
    <row r="5570" spans="1:34" ht="14.5" x14ac:dyDescent="0.35">
      <c r="A5570" s="34"/>
      <c r="B5570" s="35"/>
      <c r="C5570" s="36"/>
      <c r="D5570" s="37"/>
      <c r="E5570" s="36"/>
      <c r="F5570" s="42"/>
      <c r="G5570" s="42"/>
      <c r="H5570" s="42"/>
      <c r="AG5570" s="19">
        <v>5569</v>
      </c>
      <c r="AH5570" s="20">
        <v>1861.5894966834292</v>
      </c>
    </row>
    <row r="5571" spans="1:34" ht="14.5" x14ac:dyDescent="0.35">
      <c r="A5571" s="34"/>
      <c r="B5571" s="35"/>
      <c r="C5571" s="36"/>
      <c r="D5571" s="37"/>
      <c r="E5571" s="36"/>
      <c r="F5571" s="42"/>
      <c r="G5571" s="42"/>
      <c r="H5571" s="42"/>
      <c r="AG5571" s="19">
        <v>5570</v>
      </c>
      <c r="AH5571" s="20">
        <v>2923.6305189039326</v>
      </c>
    </row>
    <row r="5572" spans="1:34" ht="14.5" x14ac:dyDescent="0.35">
      <c r="A5572" s="34"/>
      <c r="B5572" s="35"/>
      <c r="C5572" s="36"/>
      <c r="D5572" s="37"/>
      <c r="E5572" s="36"/>
      <c r="F5572" s="42"/>
      <c r="G5572" s="42"/>
      <c r="H5572" s="42"/>
      <c r="AG5572" s="19">
        <v>5571</v>
      </c>
      <c r="AH5572" s="20">
        <v>1155.7192457999838</v>
      </c>
    </row>
    <row r="5573" spans="1:34" ht="14.5" x14ac:dyDescent="0.35">
      <c r="A5573" s="34"/>
      <c r="B5573" s="35"/>
      <c r="C5573" s="36"/>
      <c r="D5573" s="37"/>
      <c r="E5573" s="36"/>
      <c r="F5573" s="42"/>
      <c r="G5573" s="42"/>
      <c r="H5573" s="42"/>
      <c r="AG5573" s="19">
        <v>5572</v>
      </c>
      <c r="AH5573" s="20">
        <v>917.31229955936305</v>
      </c>
    </row>
    <row r="5574" spans="1:34" ht="14.5" x14ac:dyDescent="0.35">
      <c r="A5574" s="34"/>
      <c r="B5574" s="35"/>
      <c r="C5574" s="36"/>
      <c r="D5574" s="37"/>
      <c r="E5574" s="36"/>
      <c r="F5574" s="42"/>
      <c r="G5574" s="42"/>
      <c r="H5574" s="42"/>
      <c r="AG5574" s="19">
        <v>5573</v>
      </c>
      <c r="AH5574" s="20">
        <v>-1062.9467910864973</v>
      </c>
    </row>
    <row r="5575" spans="1:34" ht="14.5" x14ac:dyDescent="0.35">
      <c r="A5575" s="34"/>
      <c r="B5575" s="35"/>
      <c r="C5575" s="36"/>
      <c r="D5575" s="37"/>
      <c r="E5575" s="36"/>
      <c r="F5575" s="42"/>
      <c r="G5575" s="42"/>
      <c r="H5575" s="42"/>
      <c r="AG5575" s="19">
        <v>5574</v>
      </c>
      <c r="AH5575" s="20">
        <v>1769.4902558252099</v>
      </c>
    </row>
    <row r="5576" spans="1:34" ht="14.5" x14ac:dyDescent="0.35">
      <c r="A5576" s="34"/>
      <c r="B5576" s="35"/>
      <c r="C5576" s="36"/>
      <c r="D5576" s="37"/>
      <c r="E5576" s="36"/>
      <c r="F5576" s="42"/>
      <c r="G5576" s="42"/>
      <c r="H5576" s="42"/>
      <c r="AG5576" s="19">
        <v>5575</v>
      </c>
      <c r="AH5576" s="20">
        <v>2468.9127993028455</v>
      </c>
    </row>
    <row r="5577" spans="1:34" ht="14.5" x14ac:dyDescent="0.35">
      <c r="A5577" s="34"/>
      <c r="B5577" s="35"/>
      <c r="C5577" s="36"/>
      <c r="D5577" s="37"/>
      <c r="E5577" s="36"/>
      <c r="F5577" s="42"/>
      <c r="G5577" s="42"/>
      <c r="H5577" s="42"/>
      <c r="AG5577" s="19">
        <v>5576</v>
      </c>
      <c r="AH5577" s="20">
        <v>-1762.0956886781598</v>
      </c>
    </row>
    <row r="5578" spans="1:34" ht="14.5" x14ac:dyDescent="0.35">
      <c r="A5578" s="34"/>
      <c r="B5578" s="35"/>
      <c r="C5578" s="36"/>
      <c r="D5578" s="37"/>
      <c r="E5578" s="36"/>
      <c r="F5578" s="42"/>
      <c r="G5578" s="42"/>
      <c r="H5578" s="42"/>
      <c r="AG5578" s="19">
        <v>5577</v>
      </c>
      <c r="AH5578" s="20">
        <v>567.39533043821541</v>
      </c>
    </row>
    <row r="5579" spans="1:34" ht="14.5" x14ac:dyDescent="0.35">
      <c r="A5579" s="34"/>
      <c r="B5579" s="35"/>
      <c r="C5579" s="36"/>
      <c r="D5579" s="37"/>
      <c r="E5579" s="36"/>
      <c r="F5579" s="42"/>
      <c r="G5579" s="42"/>
      <c r="H5579" s="42"/>
      <c r="AG5579" s="19">
        <v>5578</v>
      </c>
      <c r="AH5579" s="20">
        <v>4902.5720656593567</v>
      </c>
    </row>
    <row r="5580" spans="1:34" ht="14.5" x14ac:dyDescent="0.35">
      <c r="A5580" s="34"/>
      <c r="B5580" s="35"/>
      <c r="C5580" s="36"/>
      <c r="D5580" s="37"/>
      <c r="E5580" s="36"/>
      <c r="F5580" s="42"/>
      <c r="G5580" s="42"/>
      <c r="H5580" s="42"/>
      <c r="AG5580" s="19">
        <v>5579</v>
      </c>
      <c r="AH5580" s="20">
        <v>1270.8708667175417</v>
      </c>
    </row>
    <row r="5581" spans="1:34" ht="14.5" x14ac:dyDescent="0.35">
      <c r="A5581" s="34"/>
      <c r="B5581" s="35"/>
      <c r="C5581" s="36"/>
      <c r="D5581" s="37"/>
      <c r="E5581" s="36"/>
      <c r="F5581" s="42"/>
      <c r="G5581" s="42"/>
      <c r="H5581" s="42"/>
      <c r="AG5581" s="19">
        <v>5580</v>
      </c>
      <c r="AH5581" s="20">
        <v>721.83219937963963</v>
      </c>
    </row>
    <row r="5582" spans="1:34" ht="14.5" x14ac:dyDescent="0.35">
      <c r="A5582" s="34"/>
      <c r="B5582" s="35"/>
      <c r="C5582" s="36"/>
      <c r="D5582" s="37"/>
      <c r="E5582" s="36"/>
      <c r="F5582" s="42"/>
      <c r="G5582" s="42"/>
      <c r="H5582" s="42"/>
      <c r="AG5582" s="19">
        <v>5581</v>
      </c>
      <c r="AH5582" s="20">
        <v>670.61486824497365</v>
      </c>
    </row>
    <row r="5583" spans="1:34" ht="14.5" x14ac:dyDescent="0.35">
      <c r="A5583" s="34"/>
      <c r="B5583" s="35"/>
      <c r="C5583" s="36"/>
      <c r="D5583" s="37"/>
      <c r="E5583" s="36"/>
      <c r="F5583" s="42"/>
      <c r="G5583" s="42"/>
      <c r="H5583" s="42"/>
      <c r="AG5583" s="19">
        <v>5582</v>
      </c>
      <c r="AH5583" s="20">
        <v>417.75330811104374</v>
      </c>
    </row>
    <row r="5584" spans="1:34" ht="14.5" x14ac:dyDescent="0.35">
      <c r="A5584" s="34"/>
      <c r="B5584" s="35"/>
      <c r="C5584" s="36"/>
      <c r="D5584" s="37"/>
      <c r="E5584" s="36"/>
      <c r="F5584" s="42"/>
      <c r="G5584" s="42"/>
      <c r="H5584" s="42"/>
      <c r="AG5584" s="19">
        <v>5583</v>
      </c>
      <c r="AH5584" s="20">
        <v>-2022.5999508288048</v>
      </c>
    </row>
    <row r="5585" spans="1:34" ht="14.5" x14ac:dyDescent="0.35">
      <c r="A5585" s="34"/>
      <c r="B5585" s="35"/>
      <c r="C5585" s="36"/>
      <c r="D5585" s="37"/>
      <c r="E5585" s="36"/>
      <c r="F5585" s="42"/>
      <c r="G5585" s="42"/>
      <c r="H5585" s="42"/>
      <c r="AG5585" s="19">
        <v>5584</v>
      </c>
      <c r="AH5585" s="20">
        <v>-2258.5764657569371</v>
      </c>
    </row>
    <row r="5586" spans="1:34" ht="14.5" x14ac:dyDescent="0.35">
      <c r="A5586" s="34"/>
      <c r="B5586" s="35"/>
      <c r="C5586" s="36"/>
      <c r="D5586" s="37"/>
      <c r="E5586" s="36"/>
      <c r="F5586" s="42"/>
      <c r="G5586" s="42"/>
      <c r="H5586" s="42"/>
      <c r="AG5586" s="19">
        <v>5585</v>
      </c>
      <c r="AH5586" s="20">
        <v>2970.9545599468629</v>
      </c>
    </row>
    <row r="5587" spans="1:34" ht="14.5" x14ac:dyDescent="0.35">
      <c r="A5587" s="34"/>
      <c r="B5587" s="35"/>
      <c r="C5587" s="36"/>
      <c r="D5587" s="37"/>
      <c r="E5587" s="36"/>
      <c r="F5587" s="42"/>
      <c r="G5587" s="42"/>
      <c r="H5587" s="42"/>
      <c r="AG5587" s="19">
        <v>5586</v>
      </c>
      <c r="AH5587" s="20">
        <v>2817.7251620312895</v>
      </c>
    </row>
    <row r="5588" spans="1:34" ht="14.5" x14ac:dyDescent="0.35">
      <c r="A5588" s="34"/>
      <c r="B5588" s="35"/>
      <c r="C5588" s="36"/>
      <c r="D5588" s="37"/>
      <c r="E5588" s="36"/>
      <c r="F5588" s="42"/>
      <c r="G5588" s="42"/>
      <c r="H5588" s="42"/>
      <c r="AG5588" s="19">
        <v>5587</v>
      </c>
      <c r="AH5588" s="20">
        <v>264.68034609229045</v>
      </c>
    </row>
    <row r="5589" spans="1:34" ht="14.5" x14ac:dyDescent="0.35">
      <c r="A5589" s="34"/>
      <c r="B5589" s="35"/>
      <c r="C5589" s="36"/>
      <c r="D5589" s="37"/>
      <c r="E5589" s="36"/>
      <c r="F5589" s="42"/>
      <c r="G5589" s="42"/>
      <c r="H5589" s="42"/>
      <c r="AG5589" s="19">
        <v>5588</v>
      </c>
      <c r="AH5589" s="20">
        <v>111.34455453525595</v>
      </c>
    </row>
    <row r="5590" spans="1:34" ht="14.5" x14ac:dyDescent="0.35">
      <c r="A5590" s="34"/>
      <c r="B5590" s="35"/>
      <c r="C5590" s="36"/>
      <c r="D5590" s="37"/>
      <c r="E5590" s="36"/>
      <c r="F5590" s="42"/>
      <c r="G5590" s="42"/>
      <c r="H5590" s="42"/>
      <c r="AG5590" s="19">
        <v>5589</v>
      </c>
      <c r="AH5590" s="20">
        <v>1929.4827749641427</v>
      </c>
    </row>
    <row r="5591" spans="1:34" ht="14.5" x14ac:dyDescent="0.35">
      <c r="A5591" s="34"/>
      <c r="B5591" s="35"/>
      <c r="C5591" s="36"/>
      <c r="D5591" s="37"/>
      <c r="E5591" s="36"/>
      <c r="F5591" s="42"/>
      <c r="G5591" s="42"/>
      <c r="H5591" s="42"/>
      <c r="AG5591" s="19">
        <v>5590</v>
      </c>
      <c r="AH5591" s="20">
        <v>-1256.6984569946653</v>
      </c>
    </row>
    <row r="5592" spans="1:34" ht="14.5" x14ac:dyDescent="0.35">
      <c r="A5592" s="34"/>
      <c r="B5592" s="35"/>
      <c r="C5592" s="36"/>
      <c r="D5592" s="37"/>
      <c r="E5592" s="36"/>
      <c r="F5592" s="42"/>
      <c r="G5592" s="42"/>
      <c r="H5592" s="42"/>
      <c r="AG5592" s="19">
        <v>5591</v>
      </c>
      <c r="AH5592" s="20">
        <v>-1583.2883527478139</v>
      </c>
    </row>
    <row r="5593" spans="1:34" ht="14.5" x14ac:dyDescent="0.35">
      <c r="A5593" s="34"/>
      <c r="B5593" s="35"/>
      <c r="C5593" s="36"/>
      <c r="D5593" s="37"/>
      <c r="E5593" s="36"/>
      <c r="F5593" s="42"/>
      <c r="G5593" s="42"/>
      <c r="H5593" s="42"/>
      <c r="AG5593" s="19">
        <v>5592</v>
      </c>
      <c r="AH5593" s="20">
        <v>2375.6211051610749</v>
      </c>
    </row>
    <row r="5594" spans="1:34" ht="14.5" x14ac:dyDescent="0.35">
      <c r="A5594" s="34"/>
      <c r="B5594" s="35"/>
      <c r="C5594" s="36"/>
      <c r="D5594" s="37"/>
      <c r="E5594" s="36"/>
      <c r="F5594" s="42"/>
      <c r="G5594" s="42"/>
      <c r="H5594" s="42"/>
      <c r="AG5594" s="19">
        <v>5593</v>
      </c>
      <c r="AH5594" s="20">
        <v>4221.2327949371629</v>
      </c>
    </row>
    <row r="5595" spans="1:34" ht="14.5" x14ac:dyDescent="0.35">
      <c r="A5595" s="34"/>
      <c r="B5595" s="35"/>
      <c r="C5595" s="36"/>
      <c r="D5595" s="37"/>
      <c r="E5595" s="36"/>
      <c r="F5595" s="42"/>
      <c r="G5595" s="42"/>
      <c r="H5595" s="42"/>
      <c r="AG5595" s="19">
        <v>5594</v>
      </c>
      <c r="AH5595" s="20">
        <v>632.85905070769024</v>
      </c>
    </row>
    <row r="5596" spans="1:34" ht="14.5" x14ac:dyDescent="0.35">
      <c r="A5596" s="34"/>
      <c r="B5596" s="35"/>
      <c r="C5596" s="36"/>
      <c r="D5596" s="37"/>
      <c r="E5596" s="36"/>
      <c r="F5596" s="42"/>
      <c r="G5596" s="42"/>
      <c r="H5596" s="42"/>
      <c r="AG5596" s="19">
        <v>5595</v>
      </c>
      <c r="AH5596" s="20">
        <v>-570.41998203533103</v>
      </c>
    </row>
    <row r="5597" spans="1:34" ht="14.5" x14ac:dyDescent="0.35">
      <c r="A5597" s="34"/>
      <c r="B5597" s="35"/>
      <c r="C5597" s="36"/>
      <c r="D5597" s="37"/>
      <c r="E5597" s="36"/>
      <c r="F5597" s="42"/>
      <c r="G5597" s="42"/>
      <c r="H5597" s="42"/>
      <c r="AG5597" s="19">
        <v>5596</v>
      </c>
      <c r="AH5597" s="20">
        <v>2964.1755724755781</v>
      </c>
    </row>
    <row r="5598" spans="1:34" ht="14.5" x14ac:dyDescent="0.35">
      <c r="A5598" s="34"/>
      <c r="B5598" s="35"/>
      <c r="C5598" s="36"/>
      <c r="D5598" s="37"/>
      <c r="E5598" s="36"/>
      <c r="F5598" s="42"/>
      <c r="G5598" s="42"/>
      <c r="H5598" s="42"/>
      <c r="AG5598" s="19">
        <v>5597</v>
      </c>
      <c r="AH5598" s="20">
        <v>-942.89137415617529</v>
      </c>
    </row>
    <row r="5599" spans="1:34" ht="14.5" x14ac:dyDescent="0.35">
      <c r="A5599" s="34"/>
      <c r="B5599" s="35"/>
      <c r="C5599" s="36"/>
      <c r="D5599" s="37"/>
      <c r="E5599" s="36"/>
      <c r="F5599" s="42"/>
      <c r="G5599" s="42"/>
      <c r="H5599" s="42"/>
      <c r="AG5599" s="19">
        <v>5598</v>
      </c>
      <c r="AH5599" s="20">
        <v>3581.926351914879</v>
      </c>
    </row>
    <row r="5600" spans="1:34" ht="14.5" x14ac:dyDescent="0.35">
      <c r="A5600" s="34"/>
      <c r="B5600" s="35"/>
      <c r="C5600" s="36"/>
      <c r="D5600" s="37"/>
      <c r="E5600" s="36"/>
      <c r="F5600" s="42"/>
      <c r="G5600" s="42"/>
      <c r="H5600" s="42"/>
      <c r="AG5600" s="19">
        <v>5599</v>
      </c>
      <c r="AH5600" s="20">
        <v>-1556.4012850644956</v>
      </c>
    </row>
    <row r="5601" spans="1:34" ht="14.5" x14ac:dyDescent="0.35">
      <c r="A5601" s="34"/>
      <c r="B5601" s="35"/>
      <c r="C5601" s="36"/>
      <c r="D5601" s="37"/>
      <c r="E5601" s="36"/>
      <c r="F5601" s="42"/>
      <c r="G5601" s="42"/>
      <c r="H5601" s="42"/>
      <c r="AG5601" s="19">
        <v>5600</v>
      </c>
      <c r="AH5601" s="20">
        <v>4754.2473266003099</v>
      </c>
    </row>
    <row r="5602" spans="1:34" ht="14.5" x14ac:dyDescent="0.35">
      <c r="A5602" s="34"/>
      <c r="B5602" s="35"/>
      <c r="C5602" s="36"/>
      <c r="D5602" s="37"/>
      <c r="E5602" s="36"/>
      <c r="F5602" s="42"/>
      <c r="G5602" s="42"/>
      <c r="H5602" s="42"/>
      <c r="AG5602" s="19">
        <v>5601</v>
      </c>
      <c r="AH5602" s="20">
        <v>3008.4183639553371</v>
      </c>
    </row>
    <row r="5603" spans="1:34" ht="14.5" x14ac:dyDescent="0.35">
      <c r="A5603" s="34"/>
      <c r="B5603" s="35"/>
      <c r="C5603" s="36"/>
      <c r="D5603" s="37"/>
      <c r="E5603" s="36"/>
      <c r="F5603" s="42"/>
      <c r="G5603" s="42"/>
      <c r="H5603" s="42"/>
      <c r="AG5603" s="19">
        <v>5602</v>
      </c>
      <c r="AH5603" s="20">
        <v>-118.48495565984541</v>
      </c>
    </row>
    <row r="5604" spans="1:34" ht="14.5" x14ac:dyDescent="0.35">
      <c r="A5604" s="34"/>
      <c r="B5604" s="35"/>
      <c r="C5604" s="36"/>
      <c r="D5604" s="37"/>
      <c r="E5604" s="36"/>
      <c r="F5604" s="42"/>
      <c r="G5604" s="42"/>
      <c r="H5604" s="42"/>
      <c r="AG5604" s="19">
        <v>5603</v>
      </c>
      <c r="AH5604" s="20">
        <v>-3249.2202919763999</v>
      </c>
    </row>
    <row r="5605" spans="1:34" ht="14.5" x14ac:dyDescent="0.35">
      <c r="A5605" s="34"/>
      <c r="B5605" s="35"/>
      <c r="C5605" s="36"/>
      <c r="D5605" s="37"/>
      <c r="E5605" s="36"/>
      <c r="F5605" s="42"/>
      <c r="G5605" s="42"/>
      <c r="H5605" s="42"/>
      <c r="AG5605" s="19">
        <v>5604</v>
      </c>
      <c r="AH5605" s="20">
        <v>-2952.4218649295894</v>
      </c>
    </row>
    <row r="5606" spans="1:34" ht="14.5" x14ac:dyDescent="0.35">
      <c r="A5606" s="34"/>
      <c r="B5606" s="35"/>
      <c r="C5606" s="36"/>
      <c r="D5606" s="37"/>
      <c r="E5606" s="36"/>
      <c r="F5606" s="42"/>
      <c r="G5606" s="42"/>
      <c r="H5606" s="42"/>
      <c r="AG5606" s="19">
        <v>5605</v>
      </c>
      <c r="AH5606" s="20">
        <v>-1374.8870468990801</v>
      </c>
    </row>
    <row r="5607" spans="1:34" ht="14.5" x14ac:dyDescent="0.35">
      <c r="A5607" s="34"/>
      <c r="B5607" s="35"/>
      <c r="C5607" s="36"/>
      <c r="D5607" s="37"/>
      <c r="E5607" s="36"/>
      <c r="F5607" s="42"/>
      <c r="G5607" s="42"/>
      <c r="H5607" s="42"/>
      <c r="AG5607" s="19">
        <v>5606</v>
      </c>
      <c r="AH5607" s="20">
        <v>1584.2816243020798</v>
      </c>
    </row>
    <row r="5608" spans="1:34" ht="14.5" x14ac:dyDescent="0.35">
      <c r="A5608" s="34"/>
      <c r="B5608" s="35"/>
      <c r="C5608" s="36"/>
      <c r="D5608" s="37"/>
      <c r="E5608" s="36"/>
      <c r="F5608" s="42"/>
      <c r="G5608" s="42"/>
      <c r="H5608" s="42"/>
      <c r="AG5608" s="19">
        <v>5607</v>
      </c>
      <c r="AH5608" s="20">
        <v>-4212.882515694223</v>
      </c>
    </row>
    <row r="5609" spans="1:34" ht="14.5" x14ac:dyDescent="0.35">
      <c r="A5609" s="34"/>
      <c r="B5609" s="35"/>
      <c r="C5609" s="36"/>
      <c r="D5609" s="37"/>
      <c r="E5609" s="36"/>
      <c r="F5609" s="42"/>
      <c r="G5609" s="42"/>
      <c r="H5609" s="42"/>
      <c r="AG5609" s="19">
        <v>5608</v>
      </c>
      <c r="AH5609" s="20">
        <v>1887.8917460613275</v>
      </c>
    </row>
    <row r="5610" spans="1:34" ht="14.5" x14ac:dyDescent="0.35">
      <c r="A5610" s="34"/>
      <c r="B5610" s="35"/>
      <c r="C5610" s="36"/>
      <c r="D5610" s="37"/>
      <c r="E5610" s="36"/>
      <c r="F5610" s="42"/>
      <c r="G5610" s="42"/>
      <c r="H5610" s="42"/>
      <c r="AG5610" s="19">
        <v>5609</v>
      </c>
      <c r="AH5610" s="20">
        <v>4463.3920712683866</v>
      </c>
    </row>
    <row r="5611" spans="1:34" ht="14.5" x14ac:dyDescent="0.35">
      <c r="A5611" s="34"/>
      <c r="B5611" s="35"/>
      <c r="C5611" s="36"/>
      <c r="D5611" s="37"/>
      <c r="E5611" s="36"/>
      <c r="F5611" s="42"/>
      <c r="G5611" s="42"/>
      <c r="H5611" s="42"/>
      <c r="AG5611" s="19">
        <v>5610</v>
      </c>
      <c r="AH5611" s="20">
        <v>4653.0171345537838</v>
      </c>
    </row>
    <row r="5612" spans="1:34" ht="14.5" x14ac:dyDescent="0.35">
      <c r="A5612" s="34"/>
      <c r="B5612" s="35"/>
      <c r="C5612" s="36"/>
      <c r="D5612" s="37"/>
      <c r="E5612" s="36"/>
      <c r="F5612" s="42"/>
      <c r="G5612" s="42"/>
      <c r="H5612" s="42"/>
      <c r="AG5612" s="19">
        <v>5611</v>
      </c>
      <c r="AH5612" s="20">
        <v>1641.0551089349922</v>
      </c>
    </row>
    <row r="5613" spans="1:34" ht="14.5" x14ac:dyDescent="0.35">
      <c r="A5613" s="34"/>
      <c r="B5613" s="35"/>
      <c r="C5613" s="36"/>
      <c r="D5613" s="37"/>
      <c r="E5613" s="36"/>
      <c r="F5613" s="42"/>
      <c r="G5613" s="42"/>
      <c r="H5613" s="42"/>
      <c r="AG5613" s="19">
        <v>5612</v>
      </c>
      <c r="AH5613" s="20">
        <v>5647.5458769690385</v>
      </c>
    </row>
    <row r="5614" spans="1:34" ht="14.5" x14ac:dyDescent="0.35">
      <c r="A5614" s="34"/>
      <c r="B5614" s="35"/>
      <c r="C5614" s="36"/>
      <c r="D5614" s="37"/>
      <c r="E5614" s="36"/>
      <c r="F5614" s="42"/>
      <c r="G5614" s="42"/>
      <c r="H5614" s="42"/>
      <c r="AG5614" s="19">
        <v>5613</v>
      </c>
      <c r="AH5614" s="20">
        <v>3584.477073154359</v>
      </c>
    </row>
    <row r="5615" spans="1:34" ht="14.5" x14ac:dyDescent="0.35">
      <c r="A5615" s="34"/>
      <c r="B5615" s="35"/>
      <c r="C5615" s="36"/>
      <c r="D5615" s="37"/>
      <c r="E5615" s="36"/>
      <c r="F5615" s="42"/>
      <c r="G5615" s="42"/>
      <c r="H5615" s="42"/>
      <c r="AG5615" s="19">
        <v>5614</v>
      </c>
      <c r="AH5615" s="20">
        <v>1204.8801881935783</v>
      </c>
    </row>
    <row r="5616" spans="1:34" ht="14.5" x14ac:dyDescent="0.35">
      <c r="A5616" s="34"/>
      <c r="B5616" s="35"/>
      <c r="C5616" s="36"/>
      <c r="D5616" s="37"/>
      <c r="E5616" s="36"/>
      <c r="F5616" s="42"/>
      <c r="G5616" s="42"/>
      <c r="H5616" s="42"/>
      <c r="AG5616" s="19">
        <v>5615</v>
      </c>
      <c r="AH5616" s="20">
        <v>2609.2429073825197</v>
      </c>
    </row>
    <row r="5617" spans="1:34" ht="14.5" x14ac:dyDescent="0.35">
      <c r="A5617" s="34"/>
      <c r="B5617" s="35"/>
      <c r="C5617" s="36"/>
      <c r="D5617" s="37"/>
      <c r="E5617" s="36"/>
      <c r="F5617" s="42"/>
      <c r="G5617" s="42"/>
      <c r="H5617" s="42"/>
      <c r="AG5617" s="19">
        <v>5616</v>
      </c>
      <c r="AH5617" s="20">
        <v>-286.07166918549052</v>
      </c>
    </row>
    <row r="5618" spans="1:34" ht="14.5" x14ac:dyDescent="0.35">
      <c r="A5618" s="34"/>
      <c r="B5618" s="35"/>
      <c r="C5618" s="36"/>
      <c r="D5618" s="37"/>
      <c r="E5618" s="36"/>
      <c r="F5618" s="42"/>
      <c r="G5618" s="42"/>
      <c r="H5618" s="42"/>
      <c r="AG5618" s="19">
        <v>5617</v>
      </c>
      <c r="AH5618" s="20">
        <v>2432.9083764805437</v>
      </c>
    </row>
    <row r="5619" spans="1:34" ht="14.5" x14ac:dyDescent="0.35">
      <c r="A5619" s="34"/>
      <c r="B5619" s="35"/>
      <c r="C5619" s="36"/>
      <c r="D5619" s="37"/>
      <c r="E5619" s="36"/>
      <c r="F5619" s="42"/>
      <c r="G5619" s="42"/>
      <c r="H5619" s="42"/>
      <c r="AG5619" s="19">
        <v>5618</v>
      </c>
      <c r="AH5619" s="20">
        <v>-2109.1819551013423</v>
      </c>
    </row>
    <row r="5620" spans="1:34" ht="14.5" x14ac:dyDescent="0.35">
      <c r="A5620" s="34"/>
      <c r="B5620" s="35"/>
      <c r="C5620" s="36"/>
      <c r="D5620" s="37"/>
      <c r="E5620" s="36"/>
      <c r="F5620" s="42"/>
      <c r="G5620" s="42"/>
      <c r="H5620" s="42"/>
      <c r="AG5620" s="19">
        <v>5619</v>
      </c>
      <c r="AH5620" s="20">
        <v>2200.4574431519754</v>
      </c>
    </row>
    <row r="5621" spans="1:34" ht="14.5" x14ac:dyDescent="0.35">
      <c r="A5621" s="34"/>
      <c r="B5621" s="35"/>
      <c r="C5621" s="36"/>
      <c r="D5621" s="37"/>
      <c r="E5621" s="36"/>
      <c r="F5621" s="42"/>
      <c r="G5621" s="42"/>
      <c r="H5621" s="42"/>
      <c r="AG5621" s="19">
        <v>5620</v>
      </c>
      <c r="AH5621" s="20">
        <v>-3888.4305277329995</v>
      </c>
    </row>
    <row r="5622" spans="1:34" ht="14.5" x14ac:dyDescent="0.35">
      <c r="A5622" s="34"/>
      <c r="B5622" s="35"/>
      <c r="C5622" s="36"/>
      <c r="D5622" s="37"/>
      <c r="E5622" s="36"/>
      <c r="F5622" s="42"/>
      <c r="G5622" s="42"/>
      <c r="H5622" s="42"/>
      <c r="AG5622" s="19">
        <v>5621</v>
      </c>
      <c r="AH5622" s="20">
        <v>-918.35910961785657</v>
      </c>
    </row>
    <row r="5623" spans="1:34" ht="14.5" x14ac:dyDescent="0.35">
      <c r="A5623" s="34"/>
      <c r="B5623" s="35"/>
      <c r="C5623" s="36"/>
      <c r="D5623" s="37"/>
      <c r="E5623" s="36"/>
      <c r="F5623" s="42"/>
      <c r="G5623" s="42"/>
      <c r="H5623" s="42"/>
      <c r="AG5623" s="19">
        <v>5622</v>
      </c>
      <c r="AH5623" s="20">
        <v>1528.3019230572852</v>
      </c>
    </row>
    <row r="5624" spans="1:34" ht="14.5" x14ac:dyDescent="0.35">
      <c r="A5624" s="34"/>
      <c r="B5624" s="35"/>
      <c r="C5624" s="36"/>
      <c r="D5624" s="37"/>
      <c r="E5624" s="36"/>
      <c r="F5624" s="42"/>
      <c r="G5624" s="42"/>
      <c r="H5624" s="42"/>
      <c r="AG5624" s="19">
        <v>5623</v>
      </c>
      <c r="AH5624" s="20">
        <v>1074.4916402191016</v>
      </c>
    </row>
    <row r="5625" spans="1:34" ht="14.5" x14ac:dyDescent="0.35">
      <c r="A5625" s="34"/>
      <c r="B5625" s="35"/>
      <c r="C5625" s="36"/>
      <c r="D5625" s="37"/>
      <c r="E5625" s="36"/>
      <c r="F5625" s="42"/>
      <c r="G5625" s="42"/>
      <c r="H5625" s="42"/>
      <c r="AG5625" s="19">
        <v>5624</v>
      </c>
      <c r="AH5625" s="20">
        <v>2460.5385244015397</v>
      </c>
    </row>
    <row r="5626" spans="1:34" ht="14.5" x14ac:dyDescent="0.35">
      <c r="A5626" s="34"/>
      <c r="B5626" s="35"/>
      <c r="C5626" s="36"/>
      <c r="D5626" s="37"/>
      <c r="E5626" s="36"/>
      <c r="F5626" s="42"/>
      <c r="G5626" s="42"/>
      <c r="H5626" s="42"/>
      <c r="AG5626" s="19">
        <v>5625</v>
      </c>
      <c r="AH5626" s="20">
        <v>-1029.3783119134953</v>
      </c>
    </row>
    <row r="5627" spans="1:34" ht="14.5" x14ac:dyDescent="0.35">
      <c r="A5627" s="34"/>
      <c r="B5627" s="35"/>
      <c r="C5627" s="36"/>
      <c r="D5627" s="37"/>
      <c r="E5627" s="36"/>
      <c r="F5627" s="42"/>
      <c r="G5627" s="42"/>
      <c r="H5627" s="42"/>
      <c r="AG5627" s="19">
        <v>5626</v>
      </c>
      <c r="AH5627" s="20">
        <v>-279.76044269427103</v>
      </c>
    </row>
    <row r="5628" spans="1:34" ht="14.5" x14ac:dyDescent="0.35">
      <c r="A5628" s="34"/>
      <c r="B5628" s="35"/>
      <c r="C5628" s="36"/>
      <c r="D5628" s="37"/>
      <c r="E5628" s="36"/>
      <c r="F5628" s="42"/>
      <c r="G5628" s="42"/>
      <c r="H5628" s="42"/>
      <c r="AG5628" s="19">
        <v>5627</v>
      </c>
      <c r="AH5628" s="20">
        <v>-2943.0342556065793</v>
      </c>
    </row>
    <row r="5629" spans="1:34" ht="14.5" x14ac:dyDescent="0.35">
      <c r="A5629" s="34"/>
      <c r="B5629" s="35"/>
      <c r="C5629" s="36"/>
      <c r="D5629" s="37"/>
      <c r="E5629" s="36"/>
      <c r="F5629" s="42"/>
      <c r="G5629" s="42"/>
      <c r="H5629" s="42"/>
      <c r="AG5629" s="19">
        <v>5628</v>
      </c>
      <c r="AH5629" s="20">
        <v>951.13116787355875</v>
      </c>
    </row>
    <row r="5630" spans="1:34" ht="14.5" x14ac:dyDescent="0.35">
      <c r="A5630" s="34"/>
      <c r="B5630" s="35"/>
      <c r="C5630" s="36"/>
      <c r="D5630" s="37"/>
      <c r="E5630" s="36"/>
      <c r="F5630" s="42"/>
      <c r="G5630" s="42"/>
      <c r="H5630" s="42"/>
      <c r="AG5630" s="19">
        <v>5629</v>
      </c>
      <c r="AH5630" s="20">
        <v>1125.6555331650186</v>
      </c>
    </row>
    <row r="5631" spans="1:34" ht="14.5" x14ac:dyDescent="0.35">
      <c r="A5631" s="34"/>
      <c r="B5631" s="35"/>
      <c r="C5631" s="36"/>
      <c r="D5631" s="37"/>
      <c r="E5631" s="36"/>
      <c r="F5631" s="42"/>
      <c r="G5631" s="42"/>
      <c r="H5631" s="42"/>
      <c r="AG5631" s="19">
        <v>5630</v>
      </c>
      <c r="AH5631" s="20">
        <v>-500.02624613594963</v>
      </c>
    </row>
    <row r="5632" spans="1:34" ht="14.5" x14ac:dyDescent="0.35">
      <c r="A5632" s="34"/>
      <c r="B5632" s="35"/>
      <c r="C5632" s="36"/>
      <c r="D5632" s="37"/>
      <c r="E5632" s="36"/>
      <c r="F5632" s="42"/>
      <c r="G5632" s="42"/>
      <c r="H5632" s="42"/>
      <c r="AG5632" s="19">
        <v>5631</v>
      </c>
      <c r="AH5632" s="20">
        <v>-627.94941789382437</v>
      </c>
    </row>
    <row r="5633" spans="1:34" ht="14.5" x14ac:dyDescent="0.35">
      <c r="A5633" s="34"/>
      <c r="B5633" s="35"/>
      <c r="C5633" s="36"/>
      <c r="D5633" s="37"/>
      <c r="E5633" s="36"/>
      <c r="F5633" s="42"/>
      <c r="G5633" s="42"/>
      <c r="H5633" s="42"/>
      <c r="AG5633" s="19">
        <v>5632</v>
      </c>
      <c r="AH5633" s="20">
        <v>-2181.6122785057278</v>
      </c>
    </row>
    <row r="5634" spans="1:34" ht="14.5" x14ac:dyDescent="0.35">
      <c r="A5634" s="34"/>
      <c r="B5634" s="35"/>
      <c r="C5634" s="36"/>
      <c r="D5634" s="37"/>
      <c r="E5634" s="36"/>
      <c r="F5634" s="42"/>
      <c r="G5634" s="42"/>
      <c r="H5634" s="42"/>
      <c r="AG5634" s="19">
        <v>5633</v>
      </c>
      <c r="AH5634" s="20">
        <v>1120.5587437123793</v>
      </c>
    </row>
    <row r="5635" spans="1:34" ht="14.5" x14ac:dyDescent="0.35">
      <c r="A5635" s="34"/>
      <c r="B5635" s="35"/>
      <c r="C5635" s="36"/>
      <c r="D5635" s="37"/>
      <c r="E5635" s="36"/>
      <c r="F5635" s="42"/>
      <c r="G5635" s="42"/>
      <c r="H5635" s="42"/>
      <c r="AG5635" s="19">
        <v>5634</v>
      </c>
      <c r="AH5635" s="20">
        <v>-2382.2174151647887</v>
      </c>
    </row>
    <row r="5636" spans="1:34" ht="14.5" x14ac:dyDescent="0.35">
      <c r="A5636" s="34"/>
      <c r="B5636" s="35"/>
      <c r="C5636" s="36"/>
      <c r="D5636" s="37"/>
      <c r="E5636" s="36"/>
      <c r="F5636" s="42"/>
      <c r="G5636" s="42"/>
      <c r="H5636" s="42"/>
      <c r="AG5636" s="19">
        <v>5635</v>
      </c>
      <c r="AH5636" s="20">
        <v>-3387.3277958478184</v>
      </c>
    </row>
    <row r="5637" spans="1:34" ht="14.5" x14ac:dyDescent="0.35">
      <c r="A5637" s="34"/>
      <c r="B5637" s="35"/>
      <c r="C5637" s="36"/>
      <c r="D5637" s="37"/>
      <c r="E5637" s="36"/>
      <c r="F5637" s="42"/>
      <c r="G5637" s="42"/>
      <c r="H5637" s="42"/>
      <c r="AG5637" s="19">
        <v>5636</v>
      </c>
      <c r="AH5637" s="20">
        <v>439.5765326459445</v>
      </c>
    </row>
    <row r="5638" spans="1:34" ht="14.5" x14ac:dyDescent="0.35">
      <c r="A5638" s="34"/>
      <c r="B5638" s="35"/>
      <c r="C5638" s="36"/>
      <c r="D5638" s="37"/>
      <c r="E5638" s="36"/>
      <c r="F5638" s="42"/>
      <c r="G5638" s="42"/>
      <c r="H5638" s="42"/>
      <c r="AG5638" s="19">
        <v>5637</v>
      </c>
      <c r="AH5638" s="20">
        <v>-683.17824198385233</v>
      </c>
    </row>
    <row r="5639" spans="1:34" ht="14.5" x14ac:dyDescent="0.35">
      <c r="A5639" s="34"/>
      <c r="B5639" s="35"/>
      <c r="C5639" s="36"/>
      <c r="D5639" s="37"/>
      <c r="E5639" s="36"/>
      <c r="F5639" s="42"/>
      <c r="G5639" s="42"/>
      <c r="H5639" s="42"/>
      <c r="AG5639" s="19">
        <v>5638</v>
      </c>
      <c r="AH5639" s="20">
        <v>-788.68661963508885</v>
      </c>
    </row>
    <row r="5640" spans="1:34" ht="14.5" x14ac:dyDescent="0.35">
      <c r="A5640" s="34"/>
      <c r="B5640" s="35"/>
      <c r="C5640" s="36"/>
      <c r="D5640" s="37"/>
      <c r="E5640" s="36"/>
      <c r="F5640" s="42"/>
      <c r="G5640" s="42"/>
      <c r="H5640" s="42"/>
      <c r="AG5640" s="19">
        <v>5639</v>
      </c>
      <c r="AH5640" s="20">
        <v>1387.7160434942725</v>
      </c>
    </row>
    <row r="5641" spans="1:34" ht="14.5" x14ac:dyDescent="0.35">
      <c r="A5641" s="34"/>
      <c r="B5641" s="35"/>
      <c r="C5641" s="36"/>
      <c r="D5641" s="37"/>
      <c r="E5641" s="36"/>
      <c r="F5641" s="42"/>
      <c r="G5641" s="42"/>
      <c r="H5641" s="42"/>
      <c r="AG5641" s="19">
        <v>5640</v>
      </c>
      <c r="AH5641" s="20">
        <v>4107.3796208417552</v>
      </c>
    </row>
    <row r="5642" spans="1:34" ht="14.5" x14ac:dyDescent="0.35">
      <c r="A5642" s="34"/>
      <c r="B5642" s="35"/>
      <c r="C5642" s="36"/>
      <c r="D5642" s="37"/>
      <c r="E5642" s="36"/>
      <c r="F5642" s="42"/>
      <c r="G5642" s="42"/>
      <c r="H5642" s="42"/>
      <c r="AG5642" s="19">
        <v>5641</v>
      </c>
      <c r="AH5642" s="20">
        <v>5453.4707636086732</v>
      </c>
    </row>
    <row r="5643" spans="1:34" ht="14.5" x14ac:dyDescent="0.35">
      <c r="A5643" s="34"/>
      <c r="B5643" s="35"/>
      <c r="C5643" s="36"/>
      <c r="D5643" s="37"/>
      <c r="E5643" s="36"/>
      <c r="F5643" s="42"/>
      <c r="G5643" s="42"/>
      <c r="H5643" s="42"/>
      <c r="AG5643" s="19">
        <v>5642</v>
      </c>
      <c r="AH5643" s="20">
        <v>-162.8355854681044</v>
      </c>
    </row>
    <row r="5644" spans="1:34" ht="14.5" x14ac:dyDescent="0.35">
      <c r="A5644" s="34"/>
      <c r="B5644" s="35"/>
      <c r="C5644" s="36"/>
      <c r="D5644" s="37"/>
      <c r="E5644" s="36"/>
      <c r="F5644" s="42"/>
      <c r="G5644" s="42"/>
      <c r="H5644" s="42"/>
      <c r="AG5644" s="19">
        <v>5643</v>
      </c>
      <c r="AH5644" s="20">
        <v>-6.4981689998354</v>
      </c>
    </row>
    <row r="5645" spans="1:34" ht="14.5" x14ac:dyDescent="0.35">
      <c r="A5645" s="34"/>
      <c r="B5645" s="35"/>
      <c r="C5645" s="36"/>
      <c r="D5645" s="37"/>
      <c r="E5645" s="36"/>
      <c r="F5645" s="42"/>
      <c r="G5645" s="42"/>
      <c r="H5645" s="42"/>
      <c r="AG5645" s="19">
        <v>5644</v>
      </c>
      <c r="AH5645" s="20">
        <v>43.929583700242688</v>
      </c>
    </row>
    <row r="5646" spans="1:34" ht="14.5" x14ac:dyDescent="0.35">
      <c r="A5646" s="34"/>
      <c r="B5646" s="35"/>
      <c r="C5646" s="36"/>
      <c r="D5646" s="37"/>
      <c r="E5646" s="36"/>
      <c r="F5646" s="42"/>
      <c r="G5646" s="42"/>
      <c r="H5646" s="42"/>
      <c r="AG5646" s="19">
        <v>5645</v>
      </c>
      <c r="AH5646" s="20">
        <v>-992.79889260906634</v>
      </c>
    </row>
    <row r="5647" spans="1:34" ht="14.5" x14ac:dyDescent="0.35">
      <c r="A5647" s="34"/>
      <c r="B5647" s="35"/>
      <c r="C5647" s="36"/>
      <c r="D5647" s="37"/>
      <c r="E5647" s="36"/>
      <c r="F5647" s="42"/>
      <c r="G5647" s="42"/>
      <c r="H5647" s="42"/>
      <c r="AG5647" s="19">
        <v>5646</v>
      </c>
      <c r="AH5647" s="20">
        <v>1196.3547547265346</v>
      </c>
    </row>
    <row r="5648" spans="1:34" ht="14.5" x14ac:dyDescent="0.35">
      <c r="A5648" s="34"/>
      <c r="B5648" s="35"/>
      <c r="C5648" s="36"/>
      <c r="D5648" s="37"/>
      <c r="E5648" s="36"/>
      <c r="F5648" s="42"/>
      <c r="G5648" s="42"/>
      <c r="H5648" s="42"/>
      <c r="AG5648" s="19">
        <v>5647</v>
      </c>
      <c r="AH5648" s="20">
        <v>2088.4575135823802</v>
      </c>
    </row>
    <row r="5649" spans="1:34" ht="14.5" x14ac:dyDescent="0.35">
      <c r="A5649" s="34"/>
      <c r="B5649" s="35"/>
      <c r="C5649" s="36"/>
      <c r="D5649" s="37"/>
      <c r="E5649" s="36"/>
      <c r="F5649" s="42"/>
      <c r="G5649" s="42"/>
      <c r="H5649" s="42"/>
      <c r="AG5649" s="19">
        <v>5648</v>
      </c>
      <c r="AH5649" s="20">
        <v>-934.92869133214322</v>
      </c>
    </row>
    <row r="5650" spans="1:34" ht="14.5" x14ac:dyDescent="0.35">
      <c r="A5650" s="34"/>
      <c r="B5650" s="35"/>
      <c r="C5650" s="36"/>
      <c r="D5650" s="37"/>
      <c r="E5650" s="36"/>
      <c r="F5650" s="42"/>
      <c r="G5650" s="42"/>
      <c r="H5650" s="42"/>
      <c r="AG5650" s="19">
        <v>5649</v>
      </c>
      <c r="AH5650" s="20">
        <v>-2251.6669425701571</v>
      </c>
    </row>
    <row r="5651" spans="1:34" ht="14.5" x14ac:dyDescent="0.35">
      <c r="A5651" s="34"/>
      <c r="B5651" s="35"/>
      <c r="C5651" s="36"/>
      <c r="D5651" s="37"/>
      <c r="E5651" s="36"/>
      <c r="F5651" s="42"/>
      <c r="G5651" s="42"/>
      <c r="H5651" s="42"/>
      <c r="AG5651" s="19">
        <v>5650</v>
      </c>
      <c r="AH5651" s="20">
        <v>-3442.8646881092227</v>
      </c>
    </row>
    <row r="5652" spans="1:34" ht="14.5" x14ac:dyDescent="0.35">
      <c r="A5652" s="34"/>
      <c r="B5652" s="35"/>
      <c r="C5652" s="36"/>
      <c r="D5652" s="37"/>
      <c r="E5652" s="36"/>
      <c r="F5652" s="42"/>
      <c r="G5652" s="42"/>
      <c r="H5652" s="42"/>
      <c r="AG5652" s="19">
        <v>5651</v>
      </c>
      <c r="AH5652" s="20">
        <v>4401.4366889338189</v>
      </c>
    </row>
    <row r="5653" spans="1:34" ht="14.5" x14ac:dyDescent="0.35">
      <c r="A5653" s="34"/>
      <c r="B5653" s="35"/>
      <c r="C5653" s="36"/>
      <c r="D5653" s="37"/>
      <c r="E5653" s="36"/>
      <c r="F5653" s="42"/>
      <c r="G5653" s="42"/>
      <c r="H5653" s="42"/>
      <c r="AG5653" s="19">
        <v>5652</v>
      </c>
      <c r="AH5653" s="20">
        <v>1588.6770192792678</v>
      </c>
    </row>
    <row r="5654" spans="1:34" ht="14.5" x14ac:dyDescent="0.35">
      <c r="A5654" s="34"/>
      <c r="B5654" s="35"/>
      <c r="C5654" s="36"/>
      <c r="D5654" s="37"/>
      <c r="E5654" s="36"/>
      <c r="F5654" s="42"/>
      <c r="G5654" s="42"/>
      <c r="H5654" s="42"/>
      <c r="AG5654" s="19">
        <v>5653</v>
      </c>
      <c r="AH5654" s="20">
        <v>453.44481984478227</v>
      </c>
    </row>
    <row r="5655" spans="1:34" ht="14.5" x14ac:dyDescent="0.35">
      <c r="A5655" s="34"/>
      <c r="B5655" s="35"/>
      <c r="C5655" s="36"/>
      <c r="D5655" s="37"/>
      <c r="E5655" s="36"/>
      <c r="F5655" s="42"/>
      <c r="G5655" s="42"/>
      <c r="H5655" s="42"/>
      <c r="AG5655" s="19">
        <v>5654</v>
      </c>
      <c r="AH5655" s="20">
        <v>-1276.997054685027</v>
      </c>
    </row>
    <row r="5656" spans="1:34" ht="14.5" x14ac:dyDescent="0.35">
      <c r="A5656" s="34"/>
      <c r="B5656" s="35"/>
      <c r="C5656" s="36"/>
      <c r="D5656" s="37"/>
      <c r="E5656" s="36"/>
      <c r="F5656" s="42"/>
      <c r="G5656" s="42"/>
      <c r="H5656" s="42"/>
      <c r="AG5656" s="19">
        <v>5655</v>
      </c>
      <c r="AH5656" s="20">
        <v>-2560.8600651589709</v>
      </c>
    </row>
    <row r="5657" spans="1:34" ht="14.5" x14ac:dyDescent="0.35">
      <c r="A5657" s="34"/>
      <c r="B5657" s="35"/>
      <c r="C5657" s="36"/>
      <c r="D5657" s="37"/>
      <c r="E5657" s="36"/>
      <c r="F5657" s="42"/>
      <c r="G5657" s="42"/>
      <c r="H5657" s="42"/>
      <c r="AG5657" s="19">
        <v>5656</v>
      </c>
      <c r="AH5657" s="20">
        <v>784.433350079207</v>
      </c>
    </row>
    <row r="5658" spans="1:34" ht="14.5" x14ac:dyDescent="0.35">
      <c r="A5658" s="34"/>
      <c r="B5658" s="35"/>
      <c r="C5658" s="36"/>
      <c r="D5658" s="37"/>
      <c r="E5658" s="36"/>
      <c r="F5658" s="42"/>
      <c r="G5658" s="42"/>
      <c r="H5658" s="42"/>
      <c r="AG5658" s="19">
        <v>5657</v>
      </c>
      <c r="AH5658" s="20">
        <v>441.59131956032201</v>
      </c>
    </row>
    <row r="5659" spans="1:34" ht="14.5" x14ac:dyDescent="0.35">
      <c r="A5659" s="34"/>
      <c r="B5659" s="35"/>
      <c r="C5659" s="36"/>
      <c r="D5659" s="37"/>
      <c r="E5659" s="36"/>
      <c r="F5659" s="42"/>
      <c r="G5659" s="42"/>
      <c r="H5659" s="42"/>
      <c r="AG5659" s="19">
        <v>5658</v>
      </c>
      <c r="AH5659" s="20">
        <v>863.92313429977753</v>
      </c>
    </row>
    <row r="5660" spans="1:34" ht="14.5" x14ac:dyDescent="0.35">
      <c r="A5660" s="34"/>
      <c r="B5660" s="35"/>
      <c r="C5660" s="36"/>
      <c r="D5660" s="37"/>
      <c r="E5660" s="36"/>
      <c r="F5660" s="42"/>
      <c r="G5660" s="42"/>
      <c r="H5660" s="42"/>
      <c r="AG5660" s="19">
        <v>5659</v>
      </c>
      <c r="AH5660" s="20">
        <v>4486.6018290756238</v>
      </c>
    </row>
    <row r="5661" spans="1:34" ht="14.5" x14ac:dyDescent="0.35">
      <c r="A5661" s="34"/>
      <c r="B5661" s="35"/>
      <c r="C5661" s="36"/>
      <c r="D5661" s="37"/>
      <c r="E5661" s="36"/>
      <c r="F5661" s="42"/>
      <c r="G5661" s="42"/>
      <c r="H5661" s="42"/>
      <c r="AG5661" s="19">
        <v>5660</v>
      </c>
      <c r="AH5661" s="20">
        <v>-3911.6248957729758</v>
      </c>
    </row>
    <row r="5662" spans="1:34" ht="14.5" x14ac:dyDescent="0.35">
      <c r="A5662" s="34"/>
      <c r="B5662" s="35"/>
      <c r="C5662" s="36"/>
      <c r="D5662" s="37"/>
      <c r="E5662" s="36"/>
      <c r="F5662" s="42"/>
      <c r="G5662" s="42"/>
      <c r="H5662" s="42"/>
      <c r="AG5662" s="19">
        <v>5661</v>
      </c>
      <c r="AH5662" s="20">
        <v>-1175.5214724215889</v>
      </c>
    </row>
    <row r="5663" spans="1:34" ht="14.5" x14ac:dyDescent="0.35">
      <c r="A5663" s="34"/>
      <c r="B5663" s="35"/>
      <c r="C5663" s="36"/>
      <c r="D5663" s="37"/>
      <c r="E5663" s="36"/>
      <c r="F5663" s="42"/>
      <c r="G5663" s="42"/>
      <c r="H5663" s="42"/>
      <c r="AG5663" s="19">
        <v>5662</v>
      </c>
      <c r="AH5663" s="20">
        <v>1491.999335234817</v>
      </c>
    </row>
    <row r="5664" spans="1:34" ht="14.5" x14ac:dyDescent="0.35">
      <c r="A5664" s="34"/>
      <c r="B5664" s="35"/>
      <c r="C5664" s="36"/>
      <c r="D5664" s="37"/>
      <c r="E5664" s="36"/>
      <c r="F5664" s="42"/>
      <c r="G5664" s="42"/>
      <c r="H5664" s="42"/>
      <c r="AG5664" s="19">
        <v>5663</v>
      </c>
      <c r="AH5664" s="20">
        <v>-709.3081746243929</v>
      </c>
    </row>
    <row r="5665" spans="1:34" ht="14.5" x14ac:dyDescent="0.35">
      <c r="A5665" s="34"/>
      <c r="B5665" s="35"/>
      <c r="C5665" s="36"/>
      <c r="D5665" s="37"/>
      <c r="E5665" s="36"/>
      <c r="F5665" s="42"/>
      <c r="G5665" s="42"/>
      <c r="H5665" s="42"/>
      <c r="AG5665" s="19">
        <v>5664</v>
      </c>
      <c r="AH5665" s="20">
        <v>1375.4777178895074</v>
      </c>
    </row>
    <row r="5666" spans="1:34" ht="14.5" x14ac:dyDescent="0.35">
      <c r="A5666" s="34"/>
      <c r="B5666" s="35"/>
      <c r="C5666" s="36"/>
      <c r="D5666" s="37"/>
      <c r="E5666" s="36"/>
      <c r="F5666" s="42"/>
      <c r="G5666" s="42"/>
      <c r="H5666" s="42"/>
      <c r="AG5666" s="19">
        <v>5665</v>
      </c>
      <c r="AH5666" s="20">
        <v>1.5862479099062625</v>
      </c>
    </row>
    <row r="5667" spans="1:34" ht="14.5" x14ac:dyDescent="0.35">
      <c r="A5667" s="34"/>
      <c r="B5667" s="35"/>
      <c r="C5667" s="36"/>
      <c r="D5667" s="37"/>
      <c r="E5667" s="36"/>
      <c r="F5667" s="42"/>
      <c r="G5667" s="42"/>
      <c r="H5667" s="42"/>
      <c r="AG5667" s="19">
        <v>5666</v>
      </c>
      <c r="AH5667" s="20">
        <v>-3545.6942810224323</v>
      </c>
    </row>
    <row r="5668" spans="1:34" ht="14.5" x14ac:dyDescent="0.35">
      <c r="A5668" s="34"/>
      <c r="B5668" s="35"/>
      <c r="C5668" s="36"/>
      <c r="D5668" s="37"/>
      <c r="E5668" s="36"/>
      <c r="F5668" s="42"/>
      <c r="G5668" s="42"/>
      <c r="H5668" s="42"/>
      <c r="AG5668" s="19">
        <v>5667</v>
      </c>
      <c r="AH5668" s="20">
        <v>2346.3431407467942</v>
      </c>
    </row>
    <row r="5669" spans="1:34" ht="14.5" x14ac:dyDescent="0.35">
      <c r="A5669" s="34"/>
      <c r="B5669" s="35"/>
      <c r="C5669" s="36"/>
      <c r="D5669" s="37"/>
      <c r="E5669" s="36"/>
      <c r="F5669" s="42"/>
      <c r="G5669" s="42"/>
      <c r="H5669" s="42"/>
      <c r="AG5669" s="19">
        <v>5668</v>
      </c>
      <c r="AH5669" s="20">
        <v>-62.102795223135161</v>
      </c>
    </row>
    <row r="5670" spans="1:34" ht="14.5" x14ac:dyDescent="0.35">
      <c r="A5670" s="34"/>
      <c r="B5670" s="35"/>
      <c r="C5670" s="36"/>
      <c r="D5670" s="37"/>
      <c r="E5670" s="36"/>
      <c r="F5670" s="42"/>
      <c r="G5670" s="42"/>
      <c r="H5670" s="42"/>
      <c r="AG5670" s="19">
        <v>5669</v>
      </c>
      <c r="AH5670" s="20">
        <v>-572.35111947652649</v>
      </c>
    </row>
    <row r="5671" spans="1:34" ht="14.5" x14ac:dyDescent="0.35">
      <c r="A5671" s="34"/>
      <c r="B5671" s="35"/>
      <c r="C5671" s="36"/>
      <c r="D5671" s="37"/>
      <c r="E5671" s="36"/>
      <c r="F5671" s="42"/>
      <c r="G5671" s="42"/>
      <c r="H5671" s="42"/>
      <c r="AG5671" s="19">
        <v>5670</v>
      </c>
      <c r="AH5671" s="20">
        <v>-1145.9613749756866</v>
      </c>
    </row>
    <row r="5672" spans="1:34" ht="14.5" x14ac:dyDescent="0.35">
      <c r="A5672" s="34"/>
      <c r="B5672" s="35"/>
      <c r="C5672" s="36"/>
      <c r="D5672" s="37"/>
      <c r="E5672" s="36"/>
      <c r="F5672" s="42"/>
      <c r="G5672" s="42"/>
      <c r="H5672" s="42"/>
      <c r="AG5672" s="19">
        <v>5671</v>
      </c>
      <c r="AH5672" s="20">
        <v>3434.2088310957988</v>
      </c>
    </row>
    <row r="5673" spans="1:34" ht="14.5" x14ac:dyDescent="0.35">
      <c r="A5673" s="34"/>
      <c r="B5673" s="35"/>
      <c r="C5673" s="36"/>
      <c r="D5673" s="37"/>
      <c r="E5673" s="36"/>
      <c r="F5673" s="42"/>
      <c r="G5673" s="42"/>
      <c r="H5673" s="42"/>
      <c r="AG5673" s="19">
        <v>5672</v>
      </c>
      <c r="AH5673" s="20">
        <v>115.24684527730238</v>
      </c>
    </row>
    <row r="5674" spans="1:34" ht="14.5" x14ac:dyDescent="0.35">
      <c r="A5674" s="34"/>
      <c r="B5674" s="35"/>
      <c r="C5674" s="36"/>
      <c r="D5674" s="37"/>
      <c r="E5674" s="36"/>
      <c r="F5674" s="42"/>
      <c r="G5674" s="42"/>
      <c r="H5674" s="42"/>
      <c r="AG5674" s="19">
        <v>5673</v>
      </c>
      <c r="AH5674" s="20">
        <v>5302.6467692516217</v>
      </c>
    </row>
    <row r="5675" spans="1:34" ht="14.5" x14ac:dyDescent="0.35">
      <c r="A5675" s="34"/>
      <c r="B5675" s="35"/>
      <c r="C5675" s="36"/>
      <c r="D5675" s="37"/>
      <c r="E5675" s="36"/>
      <c r="F5675" s="42"/>
      <c r="G5675" s="42"/>
      <c r="H5675" s="42"/>
      <c r="AG5675" s="19">
        <v>5674</v>
      </c>
      <c r="AH5675" s="20">
        <v>-2554.108701121535</v>
      </c>
    </row>
    <row r="5676" spans="1:34" ht="14.5" x14ac:dyDescent="0.35">
      <c r="A5676" s="34"/>
      <c r="B5676" s="35"/>
      <c r="C5676" s="36"/>
      <c r="D5676" s="37"/>
      <c r="E5676" s="36"/>
      <c r="F5676" s="42"/>
      <c r="G5676" s="42"/>
      <c r="H5676" s="42"/>
      <c r="AG5676" s="19">
        <v>5675</v>
      </c>
      <c r="AH5676" s="20">
        <v>2410.4128827012828</v>
      </c>
    </row>
    <row r="5677" spans="1:34" ht="14.5" x14ac:dyDescent="0.35">
      <c r="A5677" s="34"/>
      <c r="B5677" s="35"/>
      <c r="C5677" s="36"/>
      <c r="D5677" s="37"/>
      <c r="E5677" s="36"/>
      <c r="F5677" s="42"/>
      <c r="G5677" s="42"/>
      <c r="H5677" s="42"/>
      <c r="AG5677" s="19">
        <v>5676</v>
      </c>
      <c r="AH5677" s="20">
        <v>162.63088506823169</v>
      </c>
    </row>
    <row r="5678" spans="1:34" ht="14.5" x14ac:dyDescent="0.35">
      <c r="A5678" s="34"/>
      <c r="B5678" s="35"/>
      <c r="C5678" s="36"/>
      <c r="D5678" s="37"/>
      <c r="E5678" s="36"/>
      <c r="F5678" s="42"/>
      <c r="G5678" s="42"/>
      <c r="H5678" s="42"/>
      <c r="AG5678" s="19">
        <v>5677</v>
      </c>
      <c r="AH5678" s="20">
        <v>-19.423058570530031</v>
      </c>
    </row>
    <row r="5679" spans="1:34" ht="14.5" x14ac:dyDescent="0.35">
      <c r="A5679" s="34"/>
      <c r="B5679" s="35"/>
      <c r="C5679" s="36"/>
      <c r="D5679" s="37"/>
      <c r="E5679" s="36"/>
      <c r="F5679" s="42"/>
      <c r="G5679" s="42"/>
      <c r="H5679" s="42"/>
      <c r="AG5679" s="19">
        <v>5678</v>
      </c>
      <c r="AH5679" s="20">
        <v>-139.90676369000943</v>
      </c>
    </row>
    <row r="5680" spans="1:34" ht="14.5" x14ac:dyDescent="0.35">
      <c r="A5680" s="34"/>
      <c r="B5680" s="35"/>
      <c r="C5680" s="36"/>
      <c r="D5680" s="37"/>
      <c r="E5680" s="36"/>
      <c r="F5680" s="42"/>
      <c r="G5680" s="42"/>
      <c r="H5680" s="42"/>
      <c r="AG5680" s="19">
        <v>5679</v>
      </c>
      <c r="AH5680" s="20">
        <v>-2016.177316123488</v>
      </c>
    </row>
    <row r="5681" spans="1:34" ht="14.5" x14ac:dyDescent="0.35">
      <c r="A5681" s="34"/>
      <c r="B5681" s="35"/>
      <c r="C5681" s="36"/>
      <c r="D5681" s="37"/>
      <c r="E5681" s="36"/>
      <c r="F5681" s="42"/>
      <c r="G5681" s="42"/>
      <c r="H5681" s="42"/>
      <c r="AG5681" s="19">
        <v>5680</v>
      </c>
      <c r="AH5681" s="20">
        <v>494.66656532485513</v>
      </c>
    </row>
    <row r="5682" spans="1:34" ht="14.5" x14ac:dyDescent="0.35">
      <c r="A5682" s="34"/>
      <c r="B5682" s="35"/>
      <c r="C5682" s="36"/>
      <c r="D5682" s="37"/>
      <c r="E5682" s="36"/>
      <c r="F5682" s="42"/>
      <c r="G5682" s="42"/>
      <c r="H5682" s="42"/>
      <c r="AG5682" s="19">
        <v>5681</v>
      </c>
      <c r="AH5682" s="20">
        <v>713.10772407552849</v>
      </c>
    </row>
    <row r="5683" spans="1:34" ht="14.5" x14ac:dyDescent="0.35">
      <c r="A5683" s="34"/>
      <c r="B5683" s="35"/>
      <c r="C5683" s="36"/>
      <c r="D5683" s="37"/>
      <c r="E5683" s="36"/>
      <c r="F5683" s="42"/>
      <c r="G5683" s="42"/>
      <c r="H5683" s="42"/>
      <c r="AG5683" s="19">
        <v>5682</v>
      </c>
      <c r="AH5683" s="20">
        <v>-3816.9330706054234</v>
      </c>
    </row>
    <row r="5684" spans="1:34" ht="14.5" x14ac:dyDescent="0.35">
      <c r="A5684" s="34"/>
      <c r="B5684" s="35"/>
      <c r="C5684" s="36"/>
      <c r="D5684" s="37"/>
      <c r="E5684" s="36"/>
      <c r="F5684" s="42"/>
      <c r="G5684" s="42"/>
      <c r="H5684" s="42"/>
      <c r="AG5684" s="19">
        <v>5683</v>
      </c>
      <c r="AH5684" s="20">
        <v>-260.34787505934997</v>
      </c>
    </row>
    <row r="5685" spans="1:34" ht="14.5" x14ac:dyDescent="0.35">
      <c r="A5685" s="34"/>
      <c r="B5685" s="35"/>
      <c r="C5685" s="36"/>
      <c r="D5685" s="37"/>
      <c r="E5685" s="36"/>
      <c r="F5685" s="42"/>
      <c r="G5685" s="42"/>
      <c r="H5685" s="42"/>
      <c r="AG5685" s="19">
        <v>5684</v>
      </c>
      <c r="AH5685" s="20">
        <v>-2712.0557181332497</v>
      </c>
    </row>
    <row r="5686" spans="1:34" ht="14.5" x14ac:dyDescent="0.35">
      <c r="A5686" s="34"/>
      <c r="B5686" s="35"/>
      <c r="C5686" s="36"/>
      <c r="D5686" s="37"/>
      <c r="E5686" s="36"/>
      <c r="F5686" s="42"/>
      <c r="G5686" s="42"/>
      <c r="H5686" s="42"/>
      <c r="AG5686" s="19">
        <v>5685</v>
      </c>
      <c r="AH5686" s="20">
        <v>1387.9850665726249</v>
      </c>
    </row>
    <row r="5687" spans="1:34" ht="14.5" x14ac:dyDescent="0.35">
      <c r="A5687" s="34"/>
      <c r="B5687" s="35"/>
      <c r="C5687" s="36"/>
      <c r="D5687" s="37"/>
      <c r="E5687" s="36"/>
      <c r="F5687" s="42"/>
      <c r="G5687" s="42"/>
      <c r="H5687" s="42"/>
      <c r="AG5687" s="19">
        <v>5686</v>
      </c>
      <c r="AH5687" s="20">
        <v>694.55372695352003</v>
      </c>
    </row>
    <row r="5688" spans="1:34" ht="14.5" x14ac:dyDescent="0.35">
      <c r="A5688" s="34"/>
      <c r="B5688" s="35"/>
      <c r="C5688" s="36"/>
      <c r="D5688" s="37"/>
      <c r="E5688" s="36"/>
      <c r="F5688" s="42"/>
      <c r="G5688" s="42"/>
      <c r="H5688" s="42"/>
      <c r="AG5688" s="19">
        <v>5687</v>
      </c>
      <c r="AH5688" s="20">
        <v>2218.0384876389949</v>
      </c>
    </row>
    <row r="5689" spans="1:34" ht="14.5" x14ac:dyDescent="0.35">
      <c r="A5689" s="34"/>
      <c r="B5689" s="35"/>
      <c r="C5689" s="36"/>
      <c r="D5689" s="37"/>
      <c r="E5689" s="36"/>
      <c r="F5689" s="42"/>
      <c r="G5689" s="42"/>
      <c r="H5689" s="42"/>
      <c r="AG5689" s="19">
        <v>5688</v>
      </c>
      <c r="AH5689" s="20">
        <v>-1617.8151552823008</v>
      </c>
    </row>
    <row r="5690" spans="1:34" ht="14.5" x14ac:dyDescent="0.35">
      <c r="A5690" s="34"/>
      <c r="B5690" s="35"/>
      <c r="C5690" s="36"/>
      <c r="D5690" s="37"/>
      <c r="E5690" s="36"/>
      <c r="F5690" s="42"/>
      <c r="G5690" s="42"/>
      <c r="H5690" s="42"/>
      <c r="AG5690" s="19">
        <v>5689</v>
      </c>
      <c r="AH5690" s="20">
        <v>3025.3516870829208</v>
      </c>
    </row>
    <row r="5691" spans="1:34" ht="14.5" x14ac:dyDescent="0.35">
      <c r="A5691" s="34"/>
      <c r="B5691" s="35"/>
      <c r="C5691" s="36"/>
      <c r="D5691" s="37"/>
      <c r="E5691" s="36"/>
      <c r="F5691" s="42"/>
      <c r="G5691" s="42"/>
      <c r="H5691" s="42"/>
      <c r="AG5691" s="19">
        <v>5690</v>
      </c>
      <c r="AH5691" s="20">
        <v>2707.6767679831833</v>
      </c>
    </row>
    <row r="5692" spans="1:34" ht="14.5" x14ac:dyDescent="0.35">
      <c r="A5692" s="34"/>
      <c r="B5692" s="35"/>
      <c r="C5692" s="36"/>
      <c r="D5692" s="37"/>
      <c r="E5692" s="36"/>
      <c r="F5692" s="42"/>
      <c r="G5692" s="42"/>
      <c r="H5692" s="42"/>
      <c r="AG5692" s="19">
        <v>5691</v>
      </c>
      <c r="AH5692" s="20">
        <v>-1673.2584134053143</v>
      </c>
    </row>
    <row r="5693" spans="1:34" ht="14.5" x14ac:dyDescent="0.35">
      <c r="A5693" s="34"/>
      <c r="B5693" s="35"/>
      <c r="C5693" s="36"/>
      <c r="D5693" s="37"/>
      <c r="E5693" s="36"/>
      <c r="F5693" s="42"/>
      <c r="G5693" s="42"/>
      <c r="H5693" s="42"/>
      <c r="AG5693" s="19">
        <v>5692</v>
      </c>
      <c r="AH5693" s="20">
        <v>-2570.7015302913796</v>
      </c>
    </row>
    <row r="5694" spans="1:34" ht="14.5" x14ac:dyDescent="0.35">
      <c r="A5694" s="34"/>
      <c r="B5694" s="35"/>
      <c r="C5694" s="36"/>
      <c r="D5694" s="37"/>
      <c r="E5694" s="36"/>
      <c r="F5694" s="42"/>
      <c r="G5694" s="42"/>
      <c r="H5694" s="42"/>
      <c r="AG5694" s="19">
        <v>5693</v>
      </c>
      <c r="AH5694" s="20">
        <v>-2368.3853254472624</v>
      </c>
    </row>
    <row r="5695" spans="1:34" ht="14.5" x14ac:dyDescent="0.35">
      <c r="A5695" s="34"/>
      <c r="B5695" s="35"/>
      <c r="C5695" s="36"/>
      <c r="D5695" s="37"/>
      <c r="E5695" s="36"/>
      <c r="F5695" s="42"/>
      <c r="G5695" s="42"/>
      <c r="H5695" s="42"/>
      <c r="AG5695" s="19">
        <v>5694</v>
      </c>
      <c r="AH5695" s="20">
        <v>-403.61379177797534</v>
      </c>
    </row>
    <row r="5696" spans="1:34" ht="14.5" x14ac:dyDescent="0.35">
      <c r="A5696" s="34"/>
      <c r="B5696" s="35"/>
      <c r="C5696" s="36"/>
      <c r="D5696" s="37"/>
      <c r="E5696" s="36"/>
      <c r="F5696" s="42"/>
      <c r="G5696" s="42"/>
      <c r="H5696" s="42"/>
      <c r="AG5696" s="19">
        <v>5695</v>
      </c>
      <c r="AH5696" s="20">
        <v>-343.03041818514072</v>
      </c>
    </row>
    <row r="5697" spans="1:34" ht="14.5" x14ac:dyDescent="0.35">
      <c r="A5697" s="34"/>
      <c r="B5697" s="35"/>
      <c r="C5697" s="36"/>
      <c r="D5697" s="37"/>
      <c r="E5697" s="36"/>
      <c r="F5697" s="42"/>
      <c r="G5697" s="42"/>
      <c r="H5697" s="42"/>
      <c r="AG5697" s="19">
        <v>5696</v>
      </c>
      <c r="AH5697" s="20">
        <v>2795.3014742819382</v>
      </c>
    </row>
    <row r="5698" spans="1:34" ht="14.5" x14ac:dyDescent="0.35">
      <c r="A5698" s="34"/>
      <c r="B5698" s="35"/>
      <c r="C5698" s="36"/>
      <c r="D5698" s="37"/>
      <c r="E5698" s="36"/>
      <c r="F5698" s="42"/>
      <c r="G5698" s="42"/>
      <c r="H5698" s="42"/>
      <c r="AG5698" s="19">
        <v>5697</v>
      </c>
      <c r="AH5698" s="20">
        <v>-1098.6147490587291</v>
      </c>
    </row>
    <row r="5699" spans="1:34" ht="14.5" x14ac:dyDescent="0.35">
      <c r="A5699" s="34"/>
      <c r="B5699" s="35"/>
      <c r="C5699" s="36"/>
      <c r="D5699" s="37"/>
      <c r="E5699" s="36"/>
      <c r="F5699" s="42"/>
      <c r="G5699" s="42"/>
      <c r="H5699" s="42"/>
      <c r="AG5699" s="19">
        <v>5698</v>
      </c>
      <c r="AH5699" s="20">
        <v>1805.4739050079547</v>
      </c>
    </row>
    <row r="5700" spans="1:34" ht="14.5" x14ac:dyDescent="0.35">
      <c r="A5700" s="34"/>
      <c r="B5700" s="35"/>
      <c r="C5700" s="36"/>
      <c r="D5700" s="37"/>
      <c r="E5700" s="36"/>
      <c r="F5700" s="42"/>
      <c r="G5700" s="42"/>
      <c r="H5700" s="42"/>
      <c r="AG5700" s="19">
        <v>5699</v>
      </c>
      <c r="AH5700" s="20">
        <v>2488.6162555591309</v>
      </c>
    </row>
    <row r="5701" spans="1:34" ht="14.5" x14ac:dyDescent="0.35">
      <c r="A5701" s="34"/>
      <c r="B5701" s="35"/>
      <c r="C5701" s="36"/>
      <c r="D5701" s="37"/>
      <c r="E5701" s="36"/>
      <c r="F5701" s="42"/>
      <c r="G5701" s="42"/>
      <c r="H5701" s="42"/>
      <c r="AG5701" s="19">
        <v>5700</v>
      </c>
      <c r="AH5701" s="20">
        <v>-2212.5788202647277</v>
      </c>
    </row>
    <row r="5702" spans="1:34" ht="14.5" x14ac:dyDescent="0.35">
      <c r="A5702" s="34"/>
      <c r="B5702" s="35"/>
      <c r="C5702" s="36"/>
      <c r="D5702" s="37"/>
      <c r="E5702" s="36"/>
      <c r="F5702" s="42"/>
      <c r="G5702" s="42"/>
      <c r="H5702" s="42"/>
      <c r="AG5702" s="19">
        <v>5701</v>
      </c>
      <c r="AH5702" s="20">
        <v>-1238.2222410390455</v>
      </c>
    </row>
    <row r="5703" spans="1:34" ht="14.5" x14ac:dyDescent="0.35">
      <c r="A5703" s="34"/>
      <c r="B5703" s="35"/>
      <c r="C5703" s="36"/>
      <c r="D5703" s="37"/>
      <c r="E5703" s="36"/>
      <c r="F5703" s="42"/>
      <c r="G5703" s="42"/>
      <c r="H5703" s="42"/>
      <c r="AG5703" s="19">
        <v>5702</v>
      </c>
      <c r="AH5703" s="20">
        <v>-831.04426631405499</v>
      </c>
    </row>
    <row r="5704" spans="1:34" ht="14.5" x14ac:dyDescent="0.35">
      <c r="A5704" s="34"/>
      <c r="B5704" s="35"/>
      <c r="C5704" s="36"/>
      <c r="D5704" s="37"/>
      <c r="E5704" s="36"/>
      <c r="F5704" s="42"/>
      <c r="G5704" s="42"/>
      <c r="H5704" s="42"/>
      <c r="AG5704" s="19">
        <v>5703</v>
      </c>
      <c r="AH5704" s="20">
        <v>-3658.6886676045306</v>
      </c>
    </row>
    <row r="5705" spans="1:34" ht="14.5" x14ac:dyDescent="0.35">
      <c r="A5705" s="34"/>
      <c r="B5705" s="35"/>
      <c r="C5705" s="36"/>
      <c r="D5705" s="37"/>
      <c r="E5705" s="36"/>
      <c r="F5705" s="42"/>
      <c r="G5705" s="42"/>
      <c r="H5705" s="42"/>
      <c r="AG5705" s="19">
        <v>5704</v>
      </c>
      <c r="AH5705" s="20">
        <v>3406.3032274720399</v>
      </c>
    </row>
    <row r="5706" spans="1:34" ht="14.5" x14ac:dyDescent="0.35">
      <c r="A5706" s="34"/>
      <c r="B5706" s="35"/>
      <c r="C5706" s="36"/>
      <c r="D5706" s="37"/>
      <c r="E5706" s="36"/>
      <c r="F5706" s="42"/>
      <c r="G5706" s="42"/>
      <c r="H5706" s="42"/>
      <c r="AG5706" s="19">
        <v>5705</v>
      </c>
      <c r="AH5706" s="20">
        <v>-2284.3390136630387</v>
      </c>
    </row>
    <row r="5707" spans="1:34" ht="14.5" x14ac:dyDescent="0.35">
      <c r="A5707" s="34"/>
      <c r="B5707" s="35"/>
      <c r="C5707" s="36"/>
      <c r="D5707" s="37"/>
      <c r="E5707" s="36"/>
      <c r="F5707" s="42"/>
      <c r="G5707" s="42"/>
      <c r="H5707" s="42"/>
      <c r="AG5707" s="19">
        <v>5706</v>
      </c>
      <c r="AH5707" s="20">
        <v>-2090.9109468135671</v>
      </c>
    </row>
    <row r="5708" spans="1:34" ht="14.5" x14ac:dyDescent="0.35">
      <c r="A5708" s="34"/>
      <c r="B5708" s="35"/>
      <c r="C5708" s="36"/>
      <c r="D5708" s="37"/>
      <c r="E5708" s="36"/>
      <c r="F5708" s="42"/>
      <c r="G5708" s="42"/>
      <c r="H5708" s="42"/>
      <c r="AG5708" s="19">
        <v>5707</v>
      </c>
      <c r="AH5708" s="20">
        <v>2960.628510378177</v>
      </c>
    </row>
    <row r="5709" spans="1:34" ht="14.5" x14ac:dyDescent="0.35">
      <c r="A5709" s="34"/>
      <c r="B5709" s="35"/>
      <c r="C5709" s="36"/>
      <c r="D5709" s="37"/>
      <c r="E5709" s="36"/>
      <c r="F5709" s="42"/>
      <c r="G5709" s="42"/>
      <c r="H5709" s="42"/>
      <c r="AG5709" s="19">
        <v>5708</v>
      </c>
      <c r="AH5709" s="20">
        <v>-1336.4336354581321</v>
      </c>
    </row>
    <row r="5710" spans="1:34" ht="14.5" x14ac:dyDescent="0.35">
      <c r="A5710" s="34"/>
      <c r="B5710" s="35"/>
      <c r="C5710" s="36"/>
      <c r="D5710" s="37"/>
      <c r="E5710" s="36"/>
      <c r="F5710" s="42"/>
      <c r="G5710" s="42"/>
      <c r="H5710" s="42"/>
      <c r="AG5710" s="19">
        <v>5709</v>
      </c>
      <c r="AH5710" s="20">
        <v>-987.79785410904879</v>
      </c>
    </row>
    <row r="5711" spans="1:34" ht="14.5" x14ac:dyDescent="0.35">
      <c r="A5711" s="34"/>
      <c r="B5711" s="35"/>
      <c r="C5711" s="36"/>
      <c r="D5711" s="37"/>
      <c r="E5711" s="36"/>
      <c r="F5711" s="42"/>
      <c r="G5711" s="42"/>
      <c r="H5711" s="42"/>
      <c r="AG5711" s="19">
        <v>5710</v>
      </c>
      <c r="AH5711" s="20">
        <v>2136.0722243758855</v>
      </c>
    </row>
    <row r="5712" spans="1:34" ht="14.5" x14ac:dyDescent="0.35">
      <c r="A5712" s="34"/>
      <c r="B5712" s="35"/>
      <c r="C5712" s="36"/>
      <c r="D5712" s="37"/>
      <c r="E5712" s="36"/>
      <c r="F5712" s="42"/>
      <c r="G5712" s="42"/>
      <c r="H5712" s="42"/>
      <c r="AG5712" s="19">
        <v>5711</v>
      </c>
      <c r="AH5712" s="20">
        <v>1196.7462976853972</v>
      </c>
    </row>
    <row r="5713" spans="1:34" ht="14.5" x14ac:dyDescent="0.35">
      <c r="A5713" s="34"/>
      <c r="B5713" s="35"/>
      <c r="C5713" s="36"/>
      <c r="D5713" s="37"/>
      <c r="E5713" s="36"/>
      <c r="F5713" s="42"/>
      <c r="G5713" s="42"/>
      <c r="H5713" s="42"/>
      <c r="AG5713" s="19">
        <v>5712</v>
      </c>
      <c r="AH5713" s="20">
        <v>-990.99474489280328</v>
      </c>
    </row>
    <row r="5714" spans="1:34" ht="14.5" x14ac:dyDescent="0.35">
      <c r="A5714" s="34"/>
      <c r="B5714" s="35"/>
      <c r="C5714" s="36"/>
      <c r="D5714" s="37"/>
      <c r="E5714" s="36"/>
      <c r="F5714" s="42"/>
      <c r="G5714" s="42"/>
      <c r="H5714" s="42"/>
      <c r="AG5714" s="19">
        <v>5713</v>
      </c>
      <c r="AH5714" s="20">
        <v>1989.9299912304975</v>
      </c>
    </row>
    <row r="5715" spans="1:34" ht="14.5" x14ac:dyDescent="0.35">
      <c r="A5715" s="34"/>
      <c r="B5715" s="35"/>
      <c r="C5715" s="36"/>
      <c r="D5715" s="37"/>
      <c r="E5715" s="36"/>
      <c r="F5715" s="42"/>
      <c r="G5715" s="42"/>
      <c r="H5715" s="42"/>
      <c r="AG5715" s="19">
        <v>5714</v>
      </c>
      <c r="AH5715" s="20">
        <v>2840.8369224301664</v>
      </c>
    </row>
    <row r="5716" spans="1:34" ht="14.5" x14ac:dyDescent="0.35">
      <c r="A5716" s="34"/>
      <c r="B5716" s="35"/>
      <c r="C5716" s="36"/>
      <c r="D5716" s="37"/>
      <c r="E5716" s="36"/>
      <c r="F5716" s="42"/>
      <c r="G5716" s="42"/>
      <c r="H5716" s="42"/>
      <c r="AG5716" s="19">
        <v>5715</v>
      </c>
      <c r="AH5716" s="20">
        <v>2290.8849781266945</v>
      </c>
    </row>
    <row r="5717" spans="1:34" ht="14.5" x14ac:dyDescent="0.35">
      <c r="A5717" s="34"/>
      <c r="B5717" s="35"/>
      <c r="C5717" s="36"/>
      <c r="D5717" s="37"/>
      <c r="E5717" s="36"/>
      <c r="F5717" s="42"/>
      <c r="G5717" s="42"/>
      <c r="H5717" s="42"/>
      <c r="AG5717" s="19">
        <v>5716</v>
      </c>
      <c r="AH5717" s="20">
        <v>1769.6912658539063</v>
      </c>
    </row>
    <row r="5718" spans="1:34" ht="14.5" x14ac:dyDescent="0.35">
      <c r="A5718" s="34"/>
      <c r="B5718" s="35"/>
      <c r="C5718" s="36"/>
      <c r="D5718" s="37"/>
      <c r="E5718" s="36"/>
      <c r="F5718" s="42"/>
      <c r="G5718" s="42"/>
      <c r="H5718" s="42"/>
      <c r="AG5718" s="19">
        <v>5717</v>
      </c>
      <c r="AH5718" s="20">
        <v>-387.27727025699397</v>
      </c>
    </row>
    <row r="5719" spans="1:34" ht="14.5" x14ac:dyDescent="0.35">
      <c r="A5719" s="34"/>
      <c r="B5719" s="35"/>
      <c r="C5719" s="36"/>
      <c r="D5719" s="37"/>
      <c r="E5719" s="36"/>
      <c r="F5719" s="42"/>
      <c r="G5719" s="42"/>
      <c r="H5719" s="42"/>
      <c r="AG5719" s="19">
        <v>5718</v>
      </c>
      <c r="AH5719" s="20">
        <v>-361.24914598500294</v>
      </c>
    </row>
    <row r="5720" spans="1:34" ht="14.5" x14ac:dyDescent="0.35">
      <c r="A5720" s="34"/>
      <c r="B5720" s="35"/>
      <c r="C5720" s="36"/>
      <c r="D5720" s="37"/>
      <c r="E5720" s="36"/>
      <c r="F5720" s="42"/>
      <c r="G5720" s="42"/>
      <c r="H5720" s="42"/>
      <c r="AG5720" s="19">
        <v>5719</v>
      </c>
      <c r="AH5720" s="20">
        <v>1459.7640776451149</v>
      </c>
    </row>
    <row r="5721" spans="1:34" ht="14.5" x14ac:dyDescent="0.35">
      <c r="A5721" s="34"/>
      <c r="B5721" s="35"/>
      <c r="C5721" s="36"/>
      <c r="D5721" s="37"/>
      <c r="E5721" s="36"/>
      <c r="F5721" s="42"/>
      <c r="G5721" s="42"/>
      <c r="H5721" s="42"/>
      <c r="AG5721" s="19">
        <v>5720</v>
      </c>
      <c r="AH5721" s="20">
        <v>-906.06255068413884</v>
      </c>
    </row>
    <row r="5722" spans="1:34" ht="14.5" x14ac:dyDescent="0.35">
      <c r="A5722" s="34"/>
      <c r="B5722" s="35"/>
      <c r="C5722" s="36"/>
      <c r="D5722" s="37"/>
      <c r="E5722" s="36"/>
      <c r="F5722" s="42"/>
      <c r="G5722" s="42"/>
      <c r="H5722" s="42"/>
      <c r="AG5722" s="19">
        <v>5721</v>
      </c>
      <c r="AH5722" s="20">
        <v>1963.635121190865</v>
      </c>
    </row>
    <row r="5723" spans="1:34" ht="14.5" x14ac:dyDescent="0.35">
      <c r="A5723" s="34"/>
      <c r="B5723" s="35"/>
      <c r="C5723" s="36"/>
      <c r="D5723" s="37"/>
      <c r="E5723" s="36"/>
      <c r="F5723" s="42"/>
      <c r="G5723" s="42"/>
      <c r="H5723" s="42"/>
      <c r="AG5723" s="19">
        <v>5722</v>
      </c>
      <c r="AH5723" s="20">
        <v>3097.9478903566765</v>
      </c>
    </row>
    <row r="5724" spans="1:34" ht="14.5" x14ac:dyDescent="0.35">
      <c r="A5724" s="34"/>
      <c r="B5724" s="35"/>
      <c r="C5724" s="36"/>
      <c r="D5724" s="37"/>
      <c r="E5724" s="36"/>
      <c r="F5724" s="42"/>
      <c r="G5724" s="42"/>
      <c r="H5724" s="42"/>
      <c r="AG5724" s="19">
        <v>5723</v>
      </c>
      <c r="AH5724" s="20">
        <v>-847.69518918959125</v>
      </c>
    </row>
    <row r="5725" spans="1:34" ht="14.5" x14ac:dyDescent="0.35">
      <c r="A5725" s="34"/>
      <c r="B5725" s="35"/>
      <c r="C5725" s="36"/>
      <c r="D5725" s="37"/>
      <c r="E5725" s="36"/>
      <c r="F5725" s="42"/>
      <c r="G5725" s="42"/>
      <c r="H5725" s="42"/>
      <c r="AG5725" s="19">
        <v>5724</v>
      </c>
      <c r="AH5725" s="20">
        <v>3183.3680891485665</v>
      </c>
    </row>
    <row r="5726" spans="1:34" ht="14.5" x14ac:dyDescent="0.35">
      <c r="A5726" s="34"/>
      <c r="B5726" s="35"/>
      <c r="C5726" s="36"/>
      <c r="D5726" s="37"/>
      <c r="E5726" s="36"/>
      <c r="F5726" s="42"/>
      <c r="G5726" s="42"/>
      <c r="H5726" s="42"/>
      <c r="AG5726" s="19">
        <v>5725</v>
      </c>
      <c r="AH5726" s="20">
        <v>-735.05271726463639</v>
      </c>
    </row>
    <row r="5727" spans="1:34" ht="14.5" x14ac:dyDescent="0.35">
      <c r="A5727" s="34"/>
      <c r="B5727" s="35"/>
      <c r="C5727" s="36"/>
      <c r="D5727" s="37"/>
      <c r="E5727" s="36"/>
      <c r="F5727" s="42"/>
      <c r="G5727" s="42"/>
      <c r="H5727" s="42"/>
      <c r="AG5727" s="19">
        <v>5726</v>
      </c>
      <c r="AH5727" s="20">
        <v>-4915.8314029687335</v>
      </c>
    </row>
    <row r="5728" spans="1:34" ht="14.5" x14ac:dyDescent="0.35">
      <c r="A5728" s="34"/>
      <c r="B5728" s="35"/>
      <c r="C5728" s="36"/>
      <c r="D5728" s="37"/>
      <c r="E5728" s="36"/>
      <c r="F5728" s="42"/>
      <c r="G5728" s="42"/>
      <c r="H5728" s="42"/>
      <c r="AG5728" s="19">
        <v>5727</v>
      </c>
      <c r="AH5728" s="20">
        <v>-4238.7835473744735</v>
      </c>
    </row>
    <row r="5729" spans="1:34" ht="14.5" x14ac:dyDescent="0.35">
      <c r="A5729" s="34"/>
      <c r="B5729" s="35"/>
      <c r="C5729" s="36"/>
      <c r="D5729" s="37"/>
      <c r="E5729" s="36"/>
      <c r="F5729" s="42"/>
      <c r="G5729" s="42"/>
      <c r="H5729" s="42"/>
      <c r="AG5729" s="19">
        <v>5728</v>
      </c>
      <c r="AH5729" s="20">
        <v>2803.9780712675974</v>
      </c>
    </row>
    <row r="5730" spans="1:34" ht="14.5" x14ac:dyDescent="0.35">
      <c r="A5730" s="34"/>
      <c r="B5730" s="35"/>
      <c r="C5730" s="36"/>
      <c r="D5730" s="37"/>
      <c r="E5730" s="36"/>
      <c r="F5730" s="42"/>
      <c r="G5730" s="42"/>
      <c r="H5730" s="42"/>
      <c r="AG5730" s="19">
        <v>5729</v>
      </c>
      <c r="AH5730" s="20">
        <v>-949.31982670189223</v>
      </c>
    </row>
    <row r="5731" spans="1:34" ht="14.5" x14ac:dyDescent="0.35">
      <c r="A5731" s="34"/>
      <c r="B5731" s="35"/>
      <c r="C5731" s="36"/>
      <c r="D5731" s="37"/>
      <c r="E5731" s="36"/>
      <c r="F5731" s="42"/>
      <c r="G5731" s="42"/>
      <c r="H5731" s="42"/>
      <c r="AG5731" s="19">
        <v>5730</v>
      </c>
      <c r="AH5731" s="20">
        <v>1946.3962390119621</v>
      </c>
    </row>
    <row r="5732" spans="1:34" ht="14.5" x14ac:dyDescent="0.35">
      <c r="A5732" s="34"/>
      <c r="B5732" s="35"/>
      <c r="C5732" s="36"/>
      <c r="D5732" s="37"/>
      <c r="E5732" s="36"/>
      <c r="F5732" s="42"/>
      <c r="G5732" s="42"/>
      <c r="H5732" s="42"/>
      <c r="AG5732" s="19">
        <v>5731</v>
      </c>
      <c r="AH5732" s="20">
        <v>-1674.7830310375373</v>
      </c>
    </row>
    <row r="5733" spans="1:34" ht="14.5" x14ac:dyDescent="0.35">
      <c r="A5733" s="34"/>
      <c r="B5733" s="35"/>
      <c r="C5733" s="36"/>
      <c r="D5733" s="37"/>
      <c r="E5733" s="36"/>
      <c r="F5733" s="42"/>
      <c r="G5733" s="42"/>
      <c r="H5733" s="42"/>
      <c r="AG5733" s="19">
        <v>5732</v>
      </c>
      <c r="AH5733" s="20">
        <v>1104.5020724802639</v>
      </c>
    </row>
    <row r="5734" spans="1:34" ht="14.5" x14ac:dyDescent="0.35">
      <c r="A5734" s="34"/>
      <c r="B5734" s="35"/>
      <c r="C5734" s="36"/>
      <c r="D5734" s="37"/>
      <c r="E5734" s="36"/>
      <c r="F5734" s="42"/>
      <c r="G5734" s="42"/>
      <c r="H5734" s="42"/>
      <c r="AG5734" s="19">
        <v>5733</v>
      </c>
      <c r="AH5734" s="20">
        <v>1245.186071836561</v>
      </c>
    </row>
    <row r="5735" spans="1:34" ht="14.5" x14ac:dyDescent="0.35">
      <c r="A5735" s="34"/>
      <c r="B5735" s="35"/>
      <c r="C5735" s="36"/>
      <c r="D5735" s="37"/>
      <c r="E5735" s="36"/>
      <c r="F5735" s="42"/>
      <c r="G5735" s="42"/>
      <c r="H5735" s="42"/>
      <c r="AG5735" s="19">
        <v>5734</v>
      </c>
      <c r="AH5735" s="20">
        <v>2698.5044507861321</v>
      </c>
    </row>
    <row r="5736" spans="1:34" ht="14.5" x14ac:dyDescent="0.35">
      <c r="A5736" s="34"/>
      <c r="B5736" s="35"/>
      <c r="C5736" s="36"/>
      <c r="D5736" s="37"/>
      <c r="E5736" s="36"/>
      <c r="F5736" s="42"/>
      <c r="G5736" s="42"/>
      <c r="H5736" s="42"/>
      <c r="AG5736" s="19">
        <v>5735</v>
      </c>
      <c r="AH5736" s="20">
        <v>5689.6071494353546</v>
      </c>
    </row>
    <row r="5737" spans="1:34" ht="14.5" x14ac:dyDescent="0.35">
      <c r="A5737" s="34"/>
      <c r="B5737" s="35"/>
      <c r="C5737" s="36"/>
      <c r="D5737" s="37"/>
      <c r="E5737" s="36"/>
      <c r="F5737" s="42"/>
      <c r="G5737" s="42"/>
      <c r="H5737" s="42"/>
      <c r="AG5737" s="19">
        <v>5736</v>
      </c>
      <c r="AH5737" s="20">
        <v>-903.66488353023169</v>
      </c>
    </row>
    <row r="5738" spans="1:34" ht="14.5" x14ac:dyDescent="0.35">
      <c r="A5738" s="34"/>
      <c r="B5738" s="35"/>
      <c r="C5738" s="36"/>
      <c r="D5738" s="37"/>
      <c r="E5738" s="36"/>
      <c r="F5738" s="42"/>
      <c r="G5738" s="42"/>
      <c r="H5738" s="42"/>
      <c r="AG5738" s="19">
        <v>5737</v>
      </c>
      <c r="AH5738" s="20">
        <v>-2237.038040046883</v>
      </c>
    </row>
    <row r="5739" spans="1:34" ht="14.5" x14ac:dyDescent="0.35">
      <c r="A5739" s="34"/>
      <c r="B5739" s="35"/>
      <c r="C5739" s="36"/>
      <c r="D5739" s="37"/>
      <c r="E5739" s="36"/>
      <c r="F5739" s="42"/>
      <c r="G5739" s="42"/>
      <c r="H5739" s="42"/>
      <c r="AG5739" s="19">
        <v>5738</v>
      </c>
      <c r="AH5739" s="20">
        <v>-2623.5537157814947</v>
      </c>
    </row>
    <row r="5740" spans="1:34" ht="14.5" x14ac:dyDescent="0.35">
      <c r="A5740" s="34"/>
      <c r="B5740" s="35"/>
      <c r="C5740" s="36"/>
      <c r="D5740" s="37"/>
      <c r="E5740" s="36"/>
      <c r="F5740" s="42"/>
      <c r="G5740" s="42"/>
      <c r="H5740" s="42"/>
      <c r="AG5740" s="19">
        <v>5739</v>
      </c>
      <c r="AH5740" s="20">
        <v>1310.6833281408185</v>
      </c>
    </row>
    <row r="5741" spans="1:34" ht="14.5" x14ac:dyDescent="0.35">
      <c r="A5741" s="34"/>
      <c r="B5741" s="35"/>
      <c r="C5741" s="36"/>
      <c r="D5741" s="37"/>
      <c r="E5741" s="36"/>
      <c r="F5741" s="42"/>
      <c r="G5741" s="42"/>
      <c r="H5741" s="42"/>
      <c r="AG5741" s="19">
        <v>5740</v>
      </c>
      <c r="AH5741" s="20">
        <v>215.30484945159705</v>
      </c>
    </row>
    <row r="5742" spans="1:34" ht="14.5" x14ac:dyDescent="0.35">
      <c r="A5742" s="34"/>
      <c r="B5742" s="35"/>
      <c r="C5742" s="36"/>
      <c r="D5742" s="37"/>
      <c r="E5742" s="36"/>
      <c r="F5742" s="42"/>
      <c r="G5742" s="42"/>
      <c r="H5742" s="42"/>
      <c r="AG5742" s="19">
        <v>5741</v>
      </c>
      <c r="AH5742" s="20">
        <v>-2270.3384496900176</v>
      </c>
    </row>
    <row r="5743" spans="1:34" ht="14.5" x14ac:dyDescent="0.35">
      <c r="A5743" s="34"/>
      <c r="B5743" s="35"/>
      <c r="C5743" s="36"/>
      <c r="D5743" s="37"/>
      <c r="E5743" s="36"/>
      <c r="F5743" s="42"/>
      <c r="G5743" s="42"/>
      <c r="H5743" s="42"/>
      <c r="AG5743" s="19">
        <v>5742</v>
      </c>
      <c r="AH5743" s="20">
        <v>-1629.9083839196458</v>
      </c>
    </row>
    <row r="5744" spans="1:34" ht="14.5" x14ac:dyDescent="0.35">
      <c r="A5744" s="34"/>
      <c r="B5744" s="35"/>
      <c r="C5744" s="36"/>
      <c r="D5744" s="37"/>
      <c r="E5744" s="36"/>
      <c r="F5744" s="42"/>
      <c r="G5744" s="42"/>
      <c r="H5744" s="42"/>
      <c r="AG5744" s="19">
        <v>5743</v>
      </c>
      <c r="AH5744" s="20">
        <v>-131.77225420717895</v>
      </c>
    </row>
    <row r="5745" spans="1:34" ht="14.5" x14ac:dyDescent="0.35">
      <c r="A5745" s="34"/>
      <c r="B5745" s="35"/>
      <c r="C5745" s="36"/>
      <c r="D5745" s="37"/>
      <c r="E5745" s="36"/>
      <c r="F5745" s="42"/>
      <c r="G5745" s="42"/>
      <c r="H5745" s="42"/>
      <c r="AG5745" s="19">
        <v>5744</v>
      </c>
      <c r="AH5745" s="20">
        <v>-2392.6765487020002</v>
      </c>
    </row>
    <row r="5746" spans="1:34" ht="14.5" x14ac:dyDescent="0.35">
      <c r="A5746" s="34"/>
      <c r="B5746" s="35"/>
      <c r="C5746" s="36"/>
      <c r="D5746" s="37"/>
      <c r="E5746" s="36"/>
      <c r="F5746" s="42"/>
      <c r="G5746" s="42"/>
      <c r="H5746" s="42"/>
      <c r="AG5746" s="19">
        <v>5745</v>
      </c>
      <c r="AH5746" s="20">
        <v>-730.68554494561272</v>
      </c>
    </row>
    <row r="5747" spans="1:34" ht="14.5" x14ac:dyDescent="0.35">
      <c r="A5747" s="34"/>
      <c r="B5747" s="35"/>
      <c r="C5747" s="36"/>
      <c r="D5747" s="37"/>
      <c r="E5747" s="36"/>
      <c r="F5747" s="42"/>
      <c r="G5747" s="42"/>
      <c r="H5747" s="42"/>
      <c r="AG5747" s="19">
        <v>5746</v>
      </c>
      <c r="AH5747" s="20">
        <v>1938.2946096001497</v>
      </c>
    </row>
    <row r="5748" spans="1:34" ht="14.5" x14ac:dyDescent="0.35">
      <c r="A5748" s="34"/>
      <c r="B5748" s="35"/>
      <c r="C5748" s="36"/>
      <c r="D5748" s="37"/>
      <c r="E5748" s="36"/>
      <c r="F5748" s="42"/>
      <c r="G5748" s="42"/>
      <c r="H5748" s="42"/>
      <c r="AG5748" s="19">
        <v>5747</v>
      </c>
      <c r="AH5748" s="20">
        <v>-1497.015311966748</v>
      </c>
    </row>
    <row r="5749" spans="1:34" ht="14.5" x14ac:dyDescent="0.35">
      <c r="A5749" s="34"/>
      <c r="B5749" s="35"/>
      <c r="C5749" s="36"/>
      <c r="D5749" s="37"/>
      <c r="E5749" s="36"/>
      <c r="F5749" s="42"/>
      <c r="G5749" s="42"/>
      <c r="H5749" s="42"/>
      <c r="AG5749" s="19">
        <v>5748</v>
      </c>
      <c r="AH5749" s="20">
        <v>-61.643766730364575</v>
      </c>
    </row>
    <row r="5750" spans="1:34" ht="14.5" x14ac:dyDescent="0.35">
      <c r="A5750" s="34"/>
      <c r="B5750" s="35"/>
      <c r="C5750" s="36"/>
      <c r="D5750" s="37"/>
      <c r="E5750" s="36"/>
      <c r="F5750" s="42"/>
      <c r="G5750" s="42"/>
      <c r="H5750" s="42"/>
      <c r="AG5750" s="19">
        <v>5749</v>
      </c>
      <c r="AH5750" s="20">
        <v>2088.6526627950266</v>
      </c>
    </row>
    <row r="5751" spans="1:34" ht="14.5" x14ac:dyDescent="0.35">
      <c r="A5751" s="34"/>
      <c r="B5751" s="35"/>
      <c r="C5751" s="36"/>
      <c r="D5751" s="37"/>
      <c r="E5751" s="36"/>
      <c r="F5751" s="42"/>
      <c r="G5751" s="42"/>
      <c r="H5751" s="42"/>
      <c r="AG5751" s="19">
        <v>5750</v>
      </c>
      <c r="AH5751" s="20">
        <v>-915.18069026983062</v>
      </c>
    </row>
    <row r="5752" spans="1:34" ht="14.5" x14ac:dyDescent="0.35">
      <c r="A5752" s="34"/>
      <c r="B5752" s="35"/>
      <c r="C5752" s="36"/>
      <c r="D5752" s="37"/>
      <c r="E5752" s="36"/>
      <c r="F5752" s="42"/>
      <c r="G5752" s="42"/>
      <c r="H5752" s="42"/>
      <c r="AG5752" s="19">
        <v>5751</v>
      </c>
      <c r="AH5752" s="20">
        <v>1525.1987522590098</v>
      </c>
    </row>
    <row r="5753" spans="1:34" ht="14.5" x14ac:dyDescent="0.35">
      <c r="A5753" s="34"/>
      <c r="B5753" s="35"/>
      <c r="C5753" s="36"/>
      <c r="D5753" s="37"/>
      <c r="E5753" s="36"/>
      <c r="F5753" s="42"/>
      <c r="G5753" s="42"/>
      <c r="H5753" s="42"/>
      <c r="AG5753" s="19">
        <v>5752</v>
      </c>
      <c r="AH5753" s="20">
        <v>-389.49402109050817</v>
      </c>
    </row>
    <row r="5754" spans="1:34" ht="14.5" x14ac:dyDescent="0.35">
      <c r="A5754" s="34"/>
      <c r="B5754" s="35"/>
      <c r="C5754" s="36"/>
      <c r="D5754" s="37"/>
      <c r="E5754" s="36"/>
      <c r="F5754" s="42"/>
      <c r="G5754" s="42"/>
      <c r="H5754" s="42"/>
      <c r="AG5754" s="19">
        <v>5753</v>
      </c>
      <c r="AH5754" s="20">
        <v>558.91793528086919</v>
      </c>
    </row>
    <row r="5755" spans="1:34" ht="14.5" x14ac:dyDescent="0.35">
      <c r="A5755" s="34"/>
      <c r="B5755" s="35"/>
      <c r="C5755" s="36"/>
      <c r="D5755" s="37"/>
      <c r="E5755" s="36"/>
      <c r="F5755" s="42"/>
      <c r="G5755" s="42"/>
      <c r="H5755" s="42"/>
      <c r="AG5755" s="19">
        <v>5754</v>
      </c>
      <c r="AH5755" s="20">
        <v>889.51264228472928</v>
      </c>
    </row>
    <row r="5756" spans="1:34" ht="14.5" x14ac:dyDescent="0.35">
      <c r="A5756" s="34"/>
      <c r="B5756" s="35"/>
      <c r="C5756" s="36"/>
      <c r="D5756" s="37"/>
      <c r="E5756" s="36"/>
      <c r="F5756" s="42"/>
      <c r="G5756" s="42"/>
      <c r="H5756" s="42"/>
      <c r="AG5756" s="19">
        <v>5755</v>
      </c>
      <c r="AH5756" s="20">
        <v>1429.6367859325057</v>
      </c>
    </row>
    <row r="5757" spans="1:34" ht="14.5" x14ac:dyDescent="0.35">
      <c r="A5757" s="34"/>
      <c r="B5757" s="35"/>
      <c r="C5757" s="36"/>
      <c r="D5757" s="37"/>
      <c r="E5757" s="36"/>
      <c r="F5757" s="42"/>
      <c r="G5757" s="42"/>
      <c r="H5757" s="42"/>
      <c r="AG5757" s="19">
        <v>5756</v>
      </c>
      <c r="AH5757" s="20">
        <v>2041.099978975976</v>
      </c>
    </row>
    <row r="5758" spans="1:34" ht="14.5" x14ac:dyDescent="0.35">
      <c r="A5758" s="34"/>
      <c r="B5758" s="35"/>
      <c r="C5758" s="36"/>
      <c r="D5758" s="37"/>
      <c r="E5758" s="36"/>
      <c r="F5758" s="42"/>
      <c r="G5758" s="42"/>
      <c r="H5758" s="42"/>
      <c r="AG5758" s="19">
        <v>5757</v>
      </c>
      <c r="AH5758" s="20">
        <v>1970.6251952055077</v>
      </c>
    </row>
    <row r="5759" spans="1:34" ht="14.5" x14ac:dyDescent="0.35">
      <c r="A5759" s="34"/>
      <c r="B5759" s="35"/>
      <c r="C5759" s="36"/>
      <c r="D5759" s="37"/>
      <c r="E5759" s="36"/>
      <c r="F5759" s="42"/>
      <c r="G5759" s="42"/>
      <c r="H5759" s="42"/>
      <c r="AG5759" s="19">
        <v>5758</v>
      </c>
      <c r="AH5759" s="20">
        <v>195.8479934442868</v>
      </c>
    </row>
    <row r="5760" spans="1:34" ht="14.5" x14ac:dyDescent="0.35">
      <c r="A5760" s="34"/>
      <c r="B5760" s="35"/>
      <c r="C5760" s="36"/>
      <c r="D5760" s="37"/>
      <c r="E5760" s="36"/>
      <c r="F5760" s="42"/>
      <c r="G5760" s="42"/>
      <c r="H5760" s="42"/>
      <c r="AG5760" s="19">
        <v>5759</v>
      </c>
      <c r="AH5760" s="20">
        <v>3151.2352200289633</v>
      </c>
    </row>
    <row r="5761" spans="1:34" ht="14.5" x14ac:dyDescent="0.35">
      <c r="A5761" s="34"/>
      <c r="B5761" s="35"/>
      <c r="C5761" s="36"/>
      <c r="D5761" s="37"/>
      <c r="E5761" s="36"/>
      <c r="F5761" s="42"/>
      <c r="G5761" s="42"/>
      <c r="H5761" s="42"/>
      <c r="AG5761" s="19">
        <v>5760</v>
      </c>
      <c r="AH5761" s="20">
        <v>308.59056439399882</v>
      </c>
    </row>
    <row r="5762" spans="1:34" ht="14.5" x14ac:dyDescent="0.35">
      <c r="A5762" s="34"/>
      <c r="B5762" s="35"/>
      <c r="C5762" s="36"/>
      <c r="D5762" s="37"/>
      <c r="E5762" s="36"/>
      <c r="F5762" s="42"/>
      <c r="G5762" s="42"/>
      <c r="H5762" s="42"/>
      <c r="AG5762" s="19">
        <v>5761</v>
      </c>
      <c r="AH5762" s="20">
        <v>-749.64028393741978</v>
      </c>
    </row>
    <row r="5763" spans="1:34" ht="14.5" x14ac:dyDescent="0.35">
      <c r="A5763" s="34"/>
      <c r="B5763" s="35"/>
      <c r="C5763" s="36"/>
      <c r="D5763" s="37"/>
      <c r="E5763" s="36"/>
      <c r="F5763" s="42"/>
      <c r="G5763" s="42"/>
      <c r="H5763" s="42"/>
      <c r="AG5763" s="19">
        <v>5762</v>
      </c>
      <c r="AH5763" s="20">
        <v>3583.7098761657085</v>
      </c>
    </row>
    <row r="5764" spans="1:34" ht="14.5" x14ac:dyDescent="0.35">
      <c r="A5764" s="34"/>
      <c r="B5764" s="35"/>
      <c r="C5764" s="36"/>
      <c r="D5764" s="37"/>
      <c r="E5764" s="36"/>
      <c r="F5764" s="42"/>
      <c r="G5764" s="42"/>
      <c r="H5764" s="42"/>
      <c r="AG5764" s="19">
        <v>5763</v>
      </c>
      <c r="AH5764" s="20">
        <v>-718.65753002283236</v>
      </c>
    </row>
    <row r="5765" spans="1:34" ht="14.5" x14ac:dyDescent="0.35">
      <c r="A5765" s="34"/>
      <c r="B5765" s="35"/>
      <c r="C5765" s="36"/>
      <c r="D5765" s="37"/>
      <c r="E5765" s="36"/>
      <c r="F5765" s="42"/>
      <c r="G5765" s="42"/>
      <c r="H5765" s="42"/>
      <c r="AG5765" s="19">
        <v>5764</v>
      </c>
      <c r="AH5765" s="20">
        <v>1752.9710674889245</v>
      </c>
    </row>
    <row r="5766" spans="1:34" ht="14.5" x14ac:dyDescent="0.35">
      <c r="A5766" s="34"/>
      <c r="B5766" s="35"/>
      <c r="C5766" s="36"/>
      <c r="D5766" s="37"/>
      <c r="E5766" s="36"/>
      <c r="F5766" s="42"/>
      <c r="G5766" s="42"/>
      <c r="H5766" s="42"/>
      <c r="AG5766" s="19">
        <v>5765</v>
      </c>
      <c r="AH5766" s="20">
        <v>-992.86829413022269</v>
      </c>
    </row>
    <row r="5767" spans="1:34" ht="14.5" x14ac:dyDescent="0.35">
      <c r="A5767" s="34"/>
      <c r="B5767" s="35"/>
      <c r="C5767" s="36"/>
      <c r="D5767" s="37"/>
      <c r="E5767" s="36"/>
      <c r="F5767" s="42"/>
      <c r="G5767" s="42"/>
      <c r="H5767" s="42"/>
      <c r="AG5767" s="19">
        <v>5766</v>
      </c>
      <c r="AH5767" s="20">
        <v>-1537.3901393228514</v>
      </c>
    </row>
    <row r="5768" spans="1:34" ht="14.5" x14ac:dyDescent="0.35">
      <c r="A5768" s="34"/>
      <c r="B5768" s="35"/>
      <c r="C5768" s="36"/>
      <c r="D5768" s="37"/>
      <c r="E5768" s="36"/>
      <c r="F5768" s="42"/>
      <c r="G5768" s="42"/>
      <c r="H5768" s="42"/>
      <c r="AG5768" s="19">
        <v>5767</v>
      </c>
      <c r="AH5768" s="20">
        <v>582.88939304622249</v>
      </c>
    </row>
    <row r="5769" spans="1:34" ht="14.5" x14ac:dyDescent="0.35">
      <c r="A5769" s="34"/>
      <c r="B5769" s="35"/>
      <c r="C5769" s="36"/>
      <c r="D5769" s="37"/>
      <c r="E5769" s="36"/>
      <c r="F5769" s="42"/>
      <c r="G5769" s="42"/>
      <c r="H5769" s="42"/>
      <c r="AG5769" s="19">
        <v>5768</v>
      </c>
      <c r="AH5769" s="20">
        <v>1345.6416713743763</v>
      </c>
    </row>
    <row r="5770" spans="1:34" ht="14.5" x14ac:dyDescent="0.35">
      <c r="A5770" s="34"/>
      <c r="B5770" s="35"/>
      <c r="C5770" s="36"/>
      <c r="D5770" s="37"/>
      <c r="E5770" s="36"/>
      <c r="F5770" s="42"/>
      <c r="G5770" s="42"/>
      <c r="H5770" s="42"/>
      <c r="AG5770" s="19">
        <v>5769</v>
      </c>
      <c r="AH5770" s="20">
        <v>-1984.3561396575471</v>
      </c>
    </row>
    <row r="5771" spans="1:34" ht="14.5" x14ac:dyDescent="0.35">
      <c r="A5771" s="34"/>
      <c r="B5771" s="35"/>
      <c r="C5771" s="36"/>
      <c r="D5771" s="37"/>
      <c r="E5771" s="36"/>
      <c r="F5771" s="42"/>
      <c r="G5771" s="42"/>
      <c r="H5771" s="42"/>
      <c r="AG5771" s="19">
        <v>5770</v>
      </c>
      <c r="AH5771" s="20">
        <v>1771.4804972358852</v>
      </c>
    </row>
    <row r="5772" spans="1:34" ht="14.5" x14ac:dyDescent="0.35">
      <c r="A5772" s="34"/>
      <c r="B5772" s="35"/>
      <c r="C5772" s="36"/>
      <c r="D5772" s="37"/>
      <c r="E5772" s="36"/>
      <c r="F5772" s="42"/>
      <c r="G5772" s="42"/>
      <c r="H5772" s="42"/>
      <c r="AG5772" s="19">
        <v>5771</v>
      </c>
      <c r="AH5772" s="20">
        <v>-1790.5748817499718</v>
      </c>
    </row>
    <row r="5773" spans="1:34" ht="14.5" x14ac:dyDescent="0.35">
      <c r="A5773" s="34"/>
      <c r="B5773" s="35"/>
      <c r="C5773" s="36"/>
      <c r="D5773" s="37"/>
      <c r="E5773" s="36"/>
      <c r="F5773" s="42"/>
      <c r="G5773" s="42"/>
      <c r="H5773" s="42"/>
      <c r="AG5773" s="19">
        <v>5772</v>
      </c>
      <c r="AH5773" s="20">
        <v>-16.096021436462649</v>
      </c>
    </row>
    <row r="5774" spans="1:34" ht="14.5" x14ac:dyDescent="0.35">
      <c r="A5774" s="34"/>
      <c r="B5774" s="35"/>
      <c r="C5774" s="36"/>
      <c r="D5774" s="37"/>
      <c r="E5774" s="36"/>
      <c r="F5774" s="42"/>
      <c r="G5774" s="42"/>
      <c r="H5774" s="42"/>
      <c r="AG5774" s="19">
        <v>5773</v>
      </c>
      <c r="AH5774" s="20">
        <v>-2079.3122683361235</v>
      </c>
    </row>
    <row r="5775" spans="1:34" ht="14.5" x14ac:dyDescent="0.35">
      <c r="A5775" s="34"/>
      <c r="B5775" s="35"/>
      <c r="C5775" s="36"/>
      <c r="D5775" s="37"/>
      <c r="E5775" s="36"/>
      <c r="F5775" s="42"/>
      <c r="G5775" s="42"/>
      <c r="H5775" s="42"/>
      <c r="AG5775" s="19">
        <v>5774</v>
      </c>
      <c r="AH5775" s="20">
        <v>1689.2505514446598</v>
      </c>
    </row>
    <row r="5776" spans="1:34" ht="14.5" x14ac:dyDescent="0.35">
      <c r="A5776" s="34"/>
      <c r="B5776" s="35"/>
      <c r="C5776" s="36"/>
      <c r="D5776" s="37"/>
      <c r="E5776" s="36"/>
      <c r="F5776" s="42"/>
      <c r="G5776" s="42"/>
      <c r="H5776" s="42"/>
      <c r="AG5776" s="19">
        <v>5775</v>
      </c>
      <c r="AH5776" s="20">
        <v>-512.71753120454309</v>
      </c>
    </row>
    <row r="5777" spans="1:34" ht="14.5" x14ac:dyDescent="0.35">
      <c r="A5777" s="34"/>
      <c r="B5777" s="35"/>
      <c r="C5777" s="36"/>
      <c r="D5777" s="37"/>
      <c r="E5777" s="36"/>
      <c r="F5777" s="42"/>
      <c r="G5777" s="42"/>
      <c r="H5777" s="42"/>
      <c r="AG5777" s="19">
        <v>5776</v>
      </c>
      <c r="AH5777" s="20">
        <v>252.0617542290158</v>
      </c>
    </row>
    <row r="5778" spans="1:34" ht="14.5" x14ac:dyDescent="0.35">
      <c r="A5778" s="34"/>
      <c r="B5778" s="35"/>
      <c r="C5778" s="36"/>
      <c r="D5778" s="37"/>
      <c r="E5778" s="36"/>
      <c r="F5778" s="42"/>
      <c r="G5778" s="42"/>
      <c r="H5778" s="42"/>
      <c r="AG5778" s="19">
        <v>5777</v>
      </c>
      <c r="AH5778" s="20">
        <v>2179.7458910910946</v>
      </c>
    </row>
    <row r="5779" spans="1:34" ht="14.5" x14ac:dyDescent="0.35">
      <c r="A5779" s="34"/>
      <c r="B5779" s="35"/>
      <c r="C5779" s="36"/>
      <c r="D5779" s="37"/>
      <c r="E5779" s="36"/>
      <c r="F5779" s="42"/>
      <c r="G5779" s="42"/>
      <c r="H5779" s="42"/>
      <c r="AG5779" s="19">
        <v>5778</v>
      </c>
      <c r="AH5779" s="20">
        <v>2472.4758561548419</v>
      </c>
    </row>
    <row r="5780" spans="1:34" ht="14.5" x14ac:dyDescent="0.35">
      <c r="A5780" s="34"/>
      <c r="B5780" s="35"/>
      <c r="C5780" s="36"/>
      <c r="D5780" s="37"/>
      <c r="E5780" s="36"/>
      <c r="F5780" s="42"/>
      <c r="G5780" s="42"/>
      <c r="H5780" s="42"/>
      <c r="AG5780" s="19">
        <v>5779</v>
      </c>
      <c r="AH5780" s="20">
        <v>-2418.5296515211044</v>
      </c>
    </row>
    <row r="5781" spans="1:34" ht="14.5" x14ac:dyDescent="0.35">
      <c r="A5781" s="34"/>
      <c r="B5781" s="35"/>
      <c r="C5781" s="36"/>
      <c r="D5781" s="37"/>
      <c r="E5781" s="36"/>
      <c r="F5781" s="42"/>
      <c r="G5781" s="42"/>
      <c r="H5781" s="42"/>
      <c r="AG5781" s="19">
        <v>5780</v>
      </c>
      <c r="AH5781" s="20">
        <v>3253.4109888425933</v>
      </c>
    </row>
    <row r="5782" spans="1:34" ht="14.5" x14ac:dyDescent="0.35">
      <c r="A5782" s="34"/>
      <c r="B5782" s="35"/>
      <c r="C5782" s="36"/>
      <c r="D5782" s="37"/>
      <c r="E5782" s="36"/>
      <c r="F5782" s="42"/>
      <c r="G5782" s="42"/>
      <c r="H5782" s="42"/>
      <c r="AG5782" s="19">
        <v>5781</v>
      </c>
      <c r="AH5782" s="20">
        <v>-3864.9343885118669</v>
      </c>
    </row>
    <row r="5783" spans="1:34" ht="14.5" x14ac:dyDescent="0.35">
      <c r="A5783" s="34"/>
      <c r="B5783" s="35"/>
      <c r="C5783" s="36"/>
      <c r="D5783" s="37"/>
      <c r="E5783" s="36"/>
      <c r="F5783" s="42"/>
      <c r="G5783" s="42"/>
      <c r="H5783" s="42"/>
      <c r="AG5783" s="19">
        <v>5782</v>
      </c>
      <c r="AH5783" s="20">
        <v>2558.0216477262966</v>
      </c>
    </row>
    <row r="5784" spans="1:34" ht="14.5" x14ac:dyDescent="0.35">
      <c r="A5784" s="34"/>
      <c r="B5784" s="35"/>
      <c r="C5784" s="36"/>
      <c r="D5784" s="37"/>
      <c r="E5784" s="36"/>
      <c r="F5784" s="42"/>
      <c r="G5784" s="42"/>
      <c r="H5784" s="42"/>
      <c r="AG5784" s="19">
        <v>5783</v>
      </c>
      <c r="AH5784" s="20">
        <v>76.287803512118728</v>
      </c>
    </row>
    <row r="5785" spans="1:34" ht="14.5" x14ac:dyDescent="0.35">
      <c r="A5785" s="34"/>
      <c r="B5785" s="35"/>
      <c r="C5785" s="36"/>
      <c r="D5785" s="37"/>
      <c r="E5785" s="36"/>
      <c r="F5785" s="42"/>
      <c r="G5785" s="42"/>
      <c r="H5785" s="42"/>
      <c r="AG5785" s="19">
        <v>5784</v>
      </c>
      <c r="AH5785" s="20">
        <v>2280.7532784655191</v>
      </c>
    </row>
    <row r="5786" spans="1:34" ht="14.5" x14ac:dyDescent="0.35">
      <c r="A5786" s="34"/>
      <c r="B5786" s="35"/>
      <c r="C5786" s="36"/>
      <c r="D5786" s="37"/>
      <c r="E5786" s="36"/>
      <c r="F5786" s="42"/>
      <c r="G5786" s="42"/>
      <c r="H5786" s="42"/>
      <c r="AG5786" s="19">
        <v>5785</v>
      </c>
      <c r="AH5786" s="20">
        <v>1383.6336707782368</v>
      </c>
    </row>
    <row r="5787" spans="1:34" ht="14.5" x14ac:dyDescent="0.35">
      <c r="A5787" s="34"/>
      <c r="B5787" s="35"/>
      <c r="C5787" s="36"/>
      <c r="D5787" s="37"/>
      <c r="E5787" s="36"/>
      <c r="F5787" s="42"/>
      <c r="G5787" s="42"/>
      <c r="H5787" s="42"/>
      <c r="AG5787" s="19">
        <v>5786</v>
      </c>
      <c r="AH5787" s="20">
        <v>2406.1798397270718</v>
      </c>
    </row>
    <row r="5788" spans="1:34" ht="14.5" x14ac:dyDescent="0.35">
      <c r="A5788" s="34"/>
      <c r="B5788" s="35"/>
      <c r="C5788" s="36"/>
      <c r="D5788" s="37"/>
      <c r="E5788" s="36"/>
      <c r="F5788" s="42"/>
      <c r="G5788" s="42"/>
      <c r="H5788" s="42"/>
      <c r="AG5788" s="19">
        <v>5787</v>
      </c>
      <c r="AH5788" s="20">
        <v>-4.1021394483970539</v>
      </c>
    </row>
    <row r="5789" spans="1:34" ht="14.5" x14ac:dyDescent="0.35">
      <c r="A5789" s="34"/>
      <c r="B5789" s="35"/>
      <c r="C5789" s="36"/>
      <c r="D5789" s="37"/>
      <c r="E5789" s="36"/>
      <c r="F5789" s="42"/>
      <c r="G5789" s="42"/>
      <c r="H5789" s="42"/>
      <c r="AG5789" s="19">
        <v>5788</v>
      </c>
      <c r="AH5789" s="20">
        <v>-1349.9848719446929</v>
      </c>
    </row>
    <row r="5790" spans="1:34" ht="14.5" x14ac:dyDescent="0.35">
      <c r="A5790" s="34"/>
      <c r="B5790" s="35"/>
      <c r="C5790" s="36"/>
      <c r="D5790" s="37"/>
      <c r="E5790" s="36"/>
      <c r="F5790" s="42"/>
      <c r="G5790" s="42"/>
      <c r="H5790" s="42"/>
      <c r="AG5790" s="19">
        <v>5789</v>
      </c>
      <c r="AH5790" s="20">
        <v>-1627.6859167465796</v>
      </c>
    </row>
    <row r="5791" spans="1:34" ht="14.5" x14ac:dyDescent="0.35">
      <c r="A5791" s="34"/>
      <c r="B5791" s="35"/>
      <c r="C5791" s="36"/>
      <c r="D5791" s="37"/>
      <c r="E5791" s="36"/>
      <c r="F5791" s="42"/>
      <c r="G5791" s="42"/>
      <c r="H5791" s="42"/>
      <c r="AG5791" s="19">
        <v>5790</v>
      </c>
      <c r="AH5791" s="20">
        <v>989.11987209484528</v>
      </c>
    </row>
    <row r="5792" spans="1:34" ht="14.5" x14ac:dyDescent="0.35">
      <c r="A5792" s="34"/>
      <c r="B5792" s="35"/>
      <c r="C5792" s="36"/>
      <c r="D5792" s="37"/>
      <c r="E5792" s="36"/>
      <c r="F5792" s="42"/>
      <c r="G5792" s="42"/>
      <c r="H5792" s="42"/>
      <c r="AG5792" s="19">
        <v>5791</v>
      </c>
      <c r="AH5792" s="20">
        <v>116.83800980498916</v>
      </c>
    </row>
    <row r="5793" spans="1:34" ht="14.5" x14ac:dyDescent="0.35">
      <c r="A5793" s="34"/>
      <c r="B5793" s="35"/>
      <c r="C5793" s="36"/>
      <c r="D5793" s="37"/>
      <c r="E5793" s="36"/>
      <c r="F5793" s="42"/>
      <c r="G5793" s="42"/>
      <c r="H5793" s="42"/>
      <c r="AG5793" s="19">
        <v>5792</v>
      </c>
      <c r="AH5793" s="20">
        <v>904.87761593089772</v>
      </c>
    </row>
    <row r="5794" spans="1:34" ht="14.5" x14ac:dyDescent="0.35">
      <c r="A5794" s="34"/>
      <c r="B5794" s="35"/>
      <c r="C5794" s="36"/>
      <c r="D5794" s="37"/>
      <c r="E5794" s="36"/>
      <c r="F5794" s="42"/>
      <c r="G5794" s="42"/>
      <c r="H5794" s="42"/>
      <c r="AG5794" s="19">
        <v>5793</v>
      </c>
      <c r="AH5794" s="20">
        <v>-2589.7537741884075</v>
      </c>
    </row>
    <row r="5795" spans="1:34" ht="14.5" x14ac:dyDescent="0.35">
      <c r="A5795" s="34"/>
      <c r="B5795" s="35"/>
      <c r="C5795" s="36"/>
      <c r="D5795" s="37"/>
      <c r="E5795" s="36"/>
      <c r="F5795" s="42"/>
      <c r="G5795" s="42"/>
      <c r="H5795" s="42"/>
      <c r="AG5795" s="19">
        <v>5794</v>
      </c>
      <c r="AH5795" s="20">
        <v>-1350.6406280015435</v>
      </c>
    </row>
    <row r="5796" spans="1:34" ht="14.5" x14ac:dyDescent="0.35">
      <c r="A5796" s="34"/>
      <c r="B5796" s="35"/>
      <c r="C5796" s="36"/>
      <c r="D5796" s="37"/>
      <c r="E5796" s="36"/>
      <c r="F5796" s="42"/>
      <c r="G5796" s="42"/>
      <c r="H5796" s="42"/>
      <c r="AG5796" s="19">
        <v>5795</v>
      </c>
      <c r="AH5796" s="20">
        <v>2111.4840667368285</v>
      </c>
    </row>
    <row r="5797" spans="1:34" ht="14.5" x14ac:dyDescent="0.35">
      <c r="A5797" s="34"/>
      <c r="B5797" s="35"/>
      <c r="C5797" s="36"/>
      <c r="D5797" s="37"/>
      <c r="E5797" s="36"/>
      <c r="F5797" s="42"/>
      <c r="G5797" s="42"/>
      <c r="H5797" s="42"/>
      <c r="AG5797" s="19">
        <v>5796</v>
      </c>
      <c r="AH5797" s="20">
        <v>-3.4309334827913744</v>
      </c>
    </row>
    <row r="5798" spans="1:34" ht="14.5" x14ac:dyDescent="0.35">
      <c r="A5798" s="34"/>
      <c r="B5798" s="35"/>
      <c r="C5798" s="36"/>
      <c r="D5798" s="37"/>
      <c r="E5798" s="36"/>
      <c r="F5798" s="42"/>
      <c r="G5798" s="42"/>
      <c r="H5798" s="42"/>
      <c r="AG5798" s="19">
        <v>5797</v>
      </c>
      <c r="AH5798" s="20">
        <v>2941.6762554277079</v>
      </c>
    </row>
    <row r="5799" spans="1:34" ht="14.5" x14ac:dyDescent="0.35">
      <c r="A5799" s="34"/>
      <c r="B5799" s="35"/>
      <c r="C5799" s="36"/>
      <c r="D5799" s="37"/>
      <c r="E5799" s="36"/>
      <c r="F5799" s="42"/>
      <c r="G5799" s="42"/>
      <c r="H5799" s="42"/>
      <c r="AG5799" s="19">
        <v>5798</v>
      </c>
      <c r="AH5799" s="20">
        <v>-711.12190773302632</v>
      </c>
    </row>
    <row r="5800" spans="1:34" ht="14.5" x14ac:dyDescent="0.35">
      <c r="A5800" s="34"/>
      <c r="B5800" s="35"/>
      <c r="C5800" s="36"/>
      <c r="D5800" s="37"/>
      <c r="E5800" s="36"/>
      <c r="F5800" s="42"/>
      <c r="G5800" s="42"/>
      <c r="H5800" s="42"/>
      <c r="AG5800" s="19">
        <v>5799</v>
      </c>
      <c r="AH5800" s="20">
        <v>2203.4564753359114</v>
      </c>
    </row>
    <row r="5801" spans="1:34" ht="14.5" x14ac:dyDescent="0.35">
      <c r="A5801" s="34"/>
      <c r="B5801" s="35"/>
      <c r="C5801" s="36"/>
      <c r="D5801" s="37"/>
      <c r="E5801" s="36"/>
      <c r="F5801" s="42"/>
      <c r="G5801" s="42"/>
      <c r="H5801" s="42"/>
      <c r="AG5801" s="19">
        <v>5800</v>
      </c>
      <c r="AH5801" s="20">
        <v>1900.5673308630276</v>
      </c>
    </row>
    <row r="5802" spans="1:34" ht="14.5" x14ac:dyDescent="0.35">
      <c r="A5802" s="34"/>
      <c r="B5802" s="35"/>
      <c r="C5802" s="36"/>
      <c r="D5802" s="37"/>
      <c r="E5802" s="36"/>
      <c r="F5802" s="42"/>
      <c r="G5802" s="42"/>
      <c r="H5802" s="42"/>
      <c r="AG5802" s="19">
        <v>5801</v>
      </c>
      <c r="AH5802" s="20">
        <v>-2027.1974754129667</v>
      </c>
    </row>
    <row r="5803" spans="1:34" ht="14.5" x14ac:dyDescent="0.35">
      <c r="A5803" s="34"/>
      <c r="B5803" s="35"/>
      <c r="C5803" s="36"/>
      <c r="D5803" s="37"/>
      <c r="E5803" s="36"/>
      <c r="F5803" s="42"/>
      <c r="G5803" s="42"/>
      <c r="H5803" s="42"/>
      <c r="AG5803" s="19">
        <v>5802</v>
      </c>
      <c r="AH5803" s="20">
        <v>2691.673459434337</v>
      </c>
    </row>
    <row r="5804" spans="1:34" ht="14.5" x14ac:dyDescent="0.35">
      <c r="A5804" s="34"/>
      <c r="B5804" s="35"/>
      <c r="C5804" s="36"/>
      <c r="D5804" s="37"/>
      <c r="E5804" s="36"/>
      <c r="F5804" s="42"/>
      <c r="G5804" s="42"/>
      <c r="H5804" s="42"/>
      <c r="AG5804" s="19">
        <v>5803</v>
      </c>
      <c r="AH5804" s="20">
        <v>2303.3255896703163</v>
      </c>
    </row>
    <row r="5805" spans="1:34" ht="14.5" x14ac:dyDescent="0.35">
      <c r="A5805" s="34"/>
      <c r="B5805" s="35"/>
      <c r="C5805" s="36"/>
      <c r="D5805" s="37"/>
      <c r="E5805" s="36"/>
      <c r="F5805" s="42"/>
      <c r="G5805" s="42"/>
      <c r="H5805" s="42"/>
      <c r="AG5805" s="19">
        <v>5804</v>
      </c>
      <c r="AH5805" s="20">
        <v>185.80358758412078</v>
      </c>
    </row>
    <row r="5806" spans="1:34" ht="14.5" x14ac:dyDescent="0.35">
      <c r="A5806" s="34"/>
      <c r="B5806" s="35"/>
      <c r="C5806" s="36"/>
      <c r="D5806" s="37"/>
      <c r="E5806" s="36"/>
      <c r="F5806" s="42"/>
      <c r="G5806" s="42"/>
      <c r="H5806" s="42"/>
      <c r="AG5806" s="19">
        <v>5805</v>
      </c>
      <c r="AH5806" s="20">
        <v>-1553.5038789514822</v>
      </c>
    </row>
    <row r="5807" spans="1:34" ht="14.5" x14ac:dyDescent="0.35">
      <c r="A5807" s="34"/>
      <c r="B5807" s="35"/>
      <c r="C5807" s="36"/>
      <c r="D5807" s="37"/>
      <c r="E5807" s="36"/>
      <c r="F5807" s="42"/>
      <c r="G5807" s="42"/>
      <c r="H5807" s="42"/>
      <c r="AG5807" s="19">
        <v>5806</v>
      </c>
      <c r="AH5807" s="20">
        <v>3577.4066623557246</v>
      </c>
    </row>
    <row r="5808" spans="1:34" ht="14.5" x14ac:dyDescent="0.35">
      <c r="A5808" s="34"/>
      <c r="B5808" s="35"/>
      <c r="C5808" s="36"/>
      <c r="D5808" s="37"/>
      <c r="E5808" s="36"/>
      <c r="F5808" s="42"/>
      <c r="G5808" s="42"/>
      <c r="H5808" s="42"/>
      <c r="AG5808" s="19">
        <v>5807</v>
      </c>
      <c r="AH5808" s="20">
        <v>1099.8634034526926</v>
      </c>
    </row>
    <row r="5809" spans="1:34" ht="14.5" x14ac:dyDescent="0.35">
      <c r="A5809" s="34"/>
      <c r="B5809" s="35"/>
      <c r="C5809" s="36"/>
      <c r="D5809" s="37"/>
      <c r="E5809" s="36"/>
      <c r="F5809" s="42"/>
      <c r="G5809" s="42"/>
      <c r="H5809" s="42"/>
      <c r="AG5809" s="19">
        <v>5808</v>
      </c>
      <c r="AH5809" s="20">
        <v>3118.1004636954817</v>
      </c>
    </row>
    <row r="5810" spans="1:34" ht="14.5" x14ac:dyDescent="0.35">
      <c r="A5810" s="34"/>
      <c r="B5810" s="35"/>
      <c r="C5810" s="36"/>
      <c r="D5810" s="37"/>
      <c r="E5810" s="36"/>
      <c r="F5810" s="42"/>
      <c r="G5810" s="42"/>
      <c r="H5810" s="42"/>
      <c r="AG5810" s="19">
        <v>5809</v>
      </c>
      <c r="AH5810" s="20">
        <v>2227.0977168217082</v>
      </c>
    </row>
    <row r="5811" spans="1:34" ht="14.5" x14ac:dyDescent="0.35">
      <c r="A5811" s="34"/>
      <c r="B5811" s="35"/>
      <c r="C5811" s="36"/>
      <c r="D5811" s="37"/>
      <c r="E5811" s="36"/>
      <c r="F5811" s="42"/>
      <c r="G5811" s="42"/>
      <c r="H5811" s="42"/>
      <c r="AG5811" s="19">
        <v>5810</v>
      </c>
      <c r="AH5811" s="20">
        <v>2622.0043173384574</v>
      </c>
    </row>
    <row r="5812" spans="1:34" ht="14.5" x14ac:dyDescent="0.35">
      <c r="A5812" s="34"/>
      <c r="B5812" s="35"/>
      <c r="C5812" s="36"/>
      <c r="D5812" s="37"/>
      <c r="E5812" s="36"/>
      <c r="F5812" s="42"/>
      <c r="G5812" s="42"/>
      <c r="H5812" s="42"/>
      <c r="AG5812" s="19">
        <v>5811</v>
      </c>
      <c r="AH5812" s="20">
        <v>286.55936368772717</v>
      </c>
    </row>
    <row r="5813" spans="1:34" ht="14.5" x14ac:dyDescent="0.35">
      <c r="A5813" s="34"/>
      <c r="B5813" s="35"/>
      <c r="C5813" s="36"/>
      <c r="D5813" s="37"/>
      <c r="E5813" s="36"/>
      <c r="F5813" s="42"/>
      <c r="G5813" s="42"/>
      <c r="H5813" s="42"/>
      <c r="AG5813" s="19">
        <v>5812</v>
      </c>
      <c r="AH5813" s="20">
        <v>-3418.5524030083479</v>
      </c>
    </row>
    <row r="5814" spans="1:34" ht="14.5" x14ac:dyDescent="0.35">
      <c r="A5814" s="34"/>
      <c r="B5814" s="35"/>
      <c r="C5814" s="36"/>
      <c r="D5814" s="37"/>
      <c r="E5814" s="36"/>
      <c r="F5814" s="42"/>
      <c r="G5814" s="42"/>
      <c r="H5814" s="42"/>
      <c r="AG5814" s="19">
        <v>5813</v>
      </c>
      <c r="AH5814" s="20">
        <v>-1342.3477257317063</v>
      </c>
    </row>
    <row r="5815" spans="1:34" ht="14.5" x14ac:dyDescent="0.35">
      <c r="A5815" s="34"/>
      <c r="B5815" s="35"/>
      <c r="C5815" s="36"/>
      <c r="D5815" s="37"/>
      <c r="E5815" s="36"/>
      <c r="F5815" s="42"/>
      <c r="G5815" s="42"/>
      <c r="H5815" s="42"/>
      <c r="AG5815" s="19">
        <v>5814</v>
      </c>
      <c r="AH5815" s="20">
        <v>1061.4620140919562</v>
      </c>
    </row>
    <row r="5816" spans="1:34" ht="14.5" x14ac:dyDescent="0.35">
      <c r="A5816" s="34"/>
      <c r="B5816" s="35"/>
      <c r="C5816" s="36"/>
      <c r="D5816" s="37"/>
      <c r="E5816" s="36"/>
      <c r="F5816" s="42"/>
      <c r="G5816" s="42"/>
      <c r="H5816" s="42"/>
      <c r="AG5816" s="19">
        <v>5815</v>
      </c>
      <c r="AH5816" s="20">
        <v>2581.1612759369386</v>
      </c>
    </row>
    <row r="5817" spans="1:34" ht="14.5" x14ac:dyDescent="0.35">
      <c r="A5817" s="34"/>
      <c r="B5817" s="35"/>
      <c r="C5817" s="36"/>
      <c r="D5817" s="37"/>
      <c r="E5817" s="36"/>
      <c r="F5817" s="42"/>
      <c r="G5817" s="42"/>
      <c r="H5817" s="42"/>
      <c r="AG5817" s="19">
        <v>5816</v>
      </c>
      <c r="AH5817" s="20">
        <v>954.21221266553562</v>
      </c>
    </row>
    <row r="5818" spans="1:34" ht="14.5" x14ac:dyDescent="0.35">
      <c r="A5818" s="34"/>
      <c r="B5818" s="35"/>
      <c r="C5818" s="36"/>
      <c r="D5818" s="37"/>
      <c r="E5818" s="36"/>
      <c r="F5818" s="42"/>
      <c r="G5818" s="42"/>
      <c r="H5818" s="42"/>
      <c r="AG5818" s="19">
        <v>5817</v>
      </c>
      <c r="AH5818" s="20">
        <v>-2768.0301803539346</v>
      </c>
    </row>
    <row r="5819" spans="1:34" ht="14.5" x14ac:dyDescent="0.35">
      <c r="A5819" s="34"/>
      <c r="B5819" s="35"/>
      <c r="C5819" s="36"/>
      <c r="D5819" s="37"/>
      <c r="E5819" s="36"/>
      <c r="F5819" s="42"/>
      <c r="G5819" s="42"/>
      <c r="H5819" s="42"/>
      <c r="AG5819" s="19">
        <v>5818</v>
      </c>
      <c r="AH5819" s="20">
        <v>-3189.386321892463</v>
      </c>
    </row>
    <row r="5820" spans="1:34" ht="14.5" x14ac:dyDescent="0.35">
      <c r="A5820" s="34"/>
      <c r="B5820" s="35"/>
      <c r="C5820" s="36"/>
      <c r="D5820" s="37"/>
      <c r="E5820" s="36"/>
      <c r="F5820" s="42"/>
      <c r="G5820" s="42"/>
      <c r="H5820" s="42"/>
      <c r="AG5820" s="19">
        <v>5819</v>
      </c>
      <c r="AH5820" s="20">
        <v>-3167.0545922209571</v>
      </c>
    </row>
    <row r="5821" spans="1:34" ht="14.5" x14ac:dyDescent="0.35">
      <c r="A5821" s="34"/>
      <c r="B5821" s="35"/>
      <c r="C5821" s="36"/>
      <c r="D5821" s="37"/>
      <c r="E5821" s="36"/>
      <c r="F5821" s="42"/>
      <c r="G5821" s="42"/>
      <c r="H5821" s="42"/>
      <c r="AG5821" s="19">
        <v>5820</v>
      </c>
      <c r="AH5821" s="20">
        <v>5073.4311999250303</v>
      </c>
    </row>
    <row r="5822" spans="1:34" ht="14.5" x14ac:dyDescent="0.35">
      <c r="A5822" s="34"/>
      <c r="B5822" s="35"/>
      <c r="C5822" s="36"/>
      <c r="D5822" s="37"/>
      <c r="E5822" s="36"/>
      <c r="F5822" s="42"/>
      <c r="G5822" s="42"/>
      <c r="H5822" s="42"/>
      <c r="AG5822" s="19">
        <v>5821</v>
      </c>
      <c r="AH5822" s="20">
        <v>436.26287459524576</v>
      </c>
    </row>
    <row r="5823" spans="1:34" ht="14.5" x14ac:dyDescent="0.35">
      <c r="A5823" s="34"/>
      <c r="B5823" s="35"/>
      <c r="C5823" s="36"/>
      <c r="D5823" s="37"/>
      <c r="E5823" s="36"/>
      <c r="F5823" s="42"/>
      <c r="G5823" s="42"/>
      <c r="H5823" s="42"/>
      <c r="AG5823" s="19">
        <v>5822</v>
      </c>
      <c r="AH5823" s="20">
        <v>-1903.7356961173625</v>
      </c>
    </row>
    <row r="5824" spans="1:34" ht="14.5" x14ac:dyDescent="0.35">
      <c r="A5824" s="34"/>
      <c r="B5824" s="35"/>
      <c r="C5824" s="36"/>
      <c r="D5824" s="37"/>
      <c r="E5824" s="36"/>
      <c r="F5824" s="42"/>
      <c r="G5824" s="42"/>
      <c r="H5824" s="42"/>
      <c r="AG5824" s="19">
        <v>5823</v>
      </c>
      <c r="AH5824" s="20">
        <v>-45.758367370728251</v>
      </c>
    </row>
    <row r="5825" spans="1:34" ht="14.5" x14ac:dyDescent="0.35">
      <c r="A5825" s="34"/>
      <c r="B5825" s="35"/>
      <c r="C5825" s="36"/>
      <c r="D5825" s="37"/>
      <c r="E5825" s="36"/>
      <c r="F5825" s="42"/>
      <c r="G5825" s="42"/>
      <c r="H5825" s="42"/>
      <c r="AG5825" s="19">
        <v>5824</v>
      </c>
      <c r="AH5825" s="20">
        <v>-2045.4781489546947</v>
      </c>
    </row>
    <row r="5826" spans="1:34" ht="14.5" x14ac:dyDescent="0.35">
      <c r="A5826" s="34"/>
      <c r="B5826" s="35"/>
      <c r="C5826" s="36"/>
      <c r="D5826" s="37"/>
      <c r="E5826" s="36"/>
      <c r="F5826" s="42"/>
      <c r="G5826" s="42"/>
      <c r="H5826" s="42"/>
      <c r="AG5826" s="19">
        <v>5825</v>
      </c>
      <c r="AH5826" s="20">
        <v>573.84828502842265</v>
      </c>
    </row>
    <row r="5827" spans="1:34" ht="14.5" x14ac:dyDescent="0.35">
      <c r="A5827" s="34"/>
      <c r="B5827" s="35"/>
      <c r="C5827" s="36"/>
      <c r="D5827" s="37"/>
      <c r="E5827" s="36"/>
      <c r="F5827" s="42"/>
      <c r="G5827" s="42"/>
      <c r="H5827" s="42"/>
      <c r="AG5827" s="19">
        <v>5826</v>
      </c>
      <c r="AH5827" s="20">
        <v>1468.0093596193299</v>
      </c>
    </row>
    <row r="5828" spans="1:34" ht="14.5" x14ac:dyDescent="0.35">
      <c r="A5828" s="34"/>
      <c r="B5828" s="35"/>
      <c r="C5828" s="36"/>
      <c r="D5828" s="37"/>
      <c r="E5828" s="36"/>
      <c r="F5828" s="42"/>
      <c r="G5828" s="42"/>
      <c r="H5828" s="42"/>
      <c r="AG5828" s="19">
        <v>5827</v>
      </c>
      <c r="AH5828" s="20">
        <v>3295.2753480975593</v>
      </c>
    </row>
    <row r="5829" spans="1:34" ht="14.5" x14ac:dyDescent="0.35">
      <c r="A5829" s="34"/>
      <c r="B5829" s="35"/>
      <c r="C5829" s="36"/>
      <c r="D5829" s="37"/>
      <c r="E5829" s="36"/>
      <c r="F5829" s="42"/>
      <c r="G5829" s="42"/>
      <c r="H5829" s="42"/>
      <c r="AG5829" s="19">
        <v>5828</v>
      </c>
      <c r="AH5829" s="20">
        <v>3215.8060822460325</v>
      </c>
    </row>
    <row r="5830" spans="1:34" ht="14.5" x14ac:dyDescent="0.35">
      <c r="A5830" s="34"/>
      <c r="B5830" s="35"/>
      <c r="C5830" s="36"/>
      <c r="D5830" s="37"/>
      <c r="E5830" s="36"/>
      <c r="F5830" s="42"/>
      <c r="G5830" s="42"/>
      <c r="H5830" s="42"/>
      <c r="AG5830" s="19">
        <v>5829</v>
      </c>
      <c r="AH5830" s="20">
        <v>1192.091163455211</v>
      </c>
    </row>
    <row r="5831" spans="1:34" ht="14.5" x14ac:dyDescent="0.35">
      <c r="A5831" s="34"/>
      <c r="B5831" s="35"/>
      <c r="C5831" s="36"/>
      <c r="D5831" s="37"/>
      <c r="E5831" s="36"/>
      <c r="F5831" s="42"/>
      <c r="G5831" s="42"/>
      <c r="H5831" s="42"/>
      <c r="AG5831" s="19">
        <v>5830</v>
      </c>
      <c r="AH5831" s="20">
        <v>-4395.0674994445826</v>
      </c>
    </row>
    <row r="5832" spans="1:34" ht="14.5" x14ac:dyDescent="0.35">
      <c r="A5832" s="34"/>
      <c r="B5832" s="35"/>
      <c r="C5832" s="36"/>
      <c r="D5832" s="37"/>
      <c r="E5832" s="36"/>
      <c r="F5832" s="42"/>
      <c r="G5832" s="42"/>
      <c r="H5832" s="42"/>
      <c r="AG5832" s="19">
        <v>5831</v>
      </c>
      <c r="AH5832" s="20">
        <v>1453.3333487824041</v>
      </c>
    </row>
    <row r="5833" spans="1:34" ht="14.5" x14ac:dyDescent="0.35">
      <c r="A5833" s="34"/>
      <c r="B5833" s="35"/>
      <c r="C5833" s="36"/>
      <c r="D5833" s="37"/>
      <c r="E5833" s="36"/>
      <c r="F5833" s="42"/>
      <c r="G5833" s="42"/>
      <c r="H5833" s="42"/>
      <c r="AG5833" s="19">
        <v>5832</v>
      </c>
      <c r="AH5833" s="20">
        <v>-482.64219508719015</v>
      </c>
    </row>
    <row r="5834" spans="1:34" ht="14.5" x14ac:dyDescent="0.35">
      <c r="A5834" s="34"/>
      <c r="B5834" s="35"/>
      <c r="C5834" s="36"/>
      <c r="D5834" s="37"/>
      <c r="E5834" s="36"/>
      <c r="F5834" s="42"/>
      <c r="G5834" s="42"/>
      <c r="H5834" s="42"/>
      <c r="AG5834" s="19">
        <v>5833</v>
      </c>
      <c r="AH5834" s="20">
        <v>2938.2016182064076</v>
      </c>
    </row>
    <row r="5835" spans="1:34" ht="14.5" x14ac:dyDescent="0.35">
      <c r="A5835" s="34"/>
      <c r="B5835" s="35"/>
      <c r="C5835" s="36"/>
      <c r="D5835" s="37"/>
      <c r="E5835" s="36"/>
      <c r="F5835" s="42"/>
      <c r="G5835" s="42"/>
      <c r="H5835" s="42"/>
      <c r="AG5835" s="19">
        <v>5834</v>
      </c>
      <c r="AH5835" s="20">
        <v>-2792.6290616217702</v>
      </c>
    </row>
    <row r="5836" spans="1:34" ht="14.5" x14ac:dyDescent="0.35">
      <c r="A5836" s="34"/>
      <c r="B5836" s="35"/>
      <c r="C5836" s="36"/>
      <c r="D5836" s="37"/>
      <c r="E5836" s="36"/>
      <c r="F5836" s="42"/>
      <c r="G5836" s="42"/>
      <c r="H5836" s="42"/>
      <c r="AG5836" s="19">
        <v>5835</v>
      </c>
      <c r="AH5836" s="20">
        <v>2579.009356337483</v>
      </c>
    </row>
    <row r="5837" spans="1:34" ht="14.5" x14ac:dyDescent="0.35">
      <c r="A5837" s="34"/>
      <c r="B5837" s="35"/>
      <c r="C5837" s="36"/>
      <c r="D5837" s="37"/>
      <c r="E5837" s="36"/>
      <c r="F5837" s="42"/>
      <c r="G5837" s="42"/>
      <c r="H5837" s="42"/>
      <c r="AG5837" s="19">
        <v>5836</v>
      </c>
      <c r="AH5837" s="20">
        <v>3122.86038642531</v>
      </c>
    </row>
    <row r="5838" spans="1:34" ht="14.5" x14ac:dyDescent="0.35">
      <c r="A5838" s="34"/>
      <c r="B5838" s="35"/>
      <c r="C5838" s="36"/>
      <c r="D5838" s="37"/>
      <c r="E5838" s="36"/>
      <c r="F5838" s="42"/>
      <c r="G5838" s="42"/>
      <c r="H5838" s="42"/>
      <c r="AG5838" s="19">
        <v>5837</v>
      </c>
      <c r="AH5838" s="20">
        <v>-827.57039157360828</v>
      </c>
    </row>
    <row r="5839" spans="1:34" ht="14.5" x14ac:dyDescent="0.35">
      <c r="A5839" s="34"/>
      <c r="B5839" s="35"/>
      <c r="C5839" s="36"/>
      <c r="D5839" s="37"/>
      <c r="E5839" s="36"/>
      <c r="F5839" s="42"/>
      <c r="G5839" s="42"/>
      <c r="H5839" s="42"/>
      <c r="AG5839" s="19">
        <v>5838</v>
      </c>
      <c r="AH5839" s="20">
        <v>3023.115165685836</v>
      </c>
    </row>
    <row r="5840" spans="1:34" ht="14.5" x14ac:dyDescent="0.35">
      <c r="A5840" s="34"/>
      <c r="B5840" s="35"/>
      <c r="C5840" s="36"/>
      <c r="D5840" s="37"/>
      <c r="E5840" s="36"/>
      <c r="F5840" s="42"/>
      <c r="G5840" s="42"/>
      <c r="H5840" s="42"/>
      <c r="AG5840" s="19">
        <v>5839</v>
      </c>
      <c r="AH5840" s="20">
        <v>4026.7375860550601</v>
      </c>
    </row>
    <row r="5841" spans="1:34" ht="14.5" x14ac:dyDescent="0.35">
      <c r="A5841" s="34"/>
      <c r="B5841" s="35"/>
      <c r="C5841" s="36"/>
      <c r="D5841" s="37"/>
      <c r="E5841" s="36"/>
      <c r="F5841" s="42"/>
      <c r="G5841" s="42"/>
      <c r="H5841" s="42"/>
      <c r="AG5841" s="19">
        <v>5840</v>
      </c>
      <c r="AH5841" s="20">
        <v>1220.2664701650147</v>
      </c>
    </row>
    <row r="5842" spans="1:34" ht="14.5" x14ac:dyDescent="0.35">
      <c r="A5842" s="34"/>
      <c r="B5842" s="35"/>
      <c r="C5842" s="36"/>
      <c r="D5842" s="37"/>
      <c r="E5842" s="36"/>
      <c r="F5842" s="42"/>
      <c r="G5842" s="42"/>
      <c r="H5842" s="42"/>
      <c r="AG5842" s="19">
        <v>5841</v>
      </c>
      <c r="AH5842" s="20">
        <v>-3989.4903054183042</v>
      </c>
    </row>
    <row r="5843" spans="1:34" ht="14.5" x14ac:dyDescent="0.35">
      <c r="A5843" s="34"/>
      <c r="B5843" s="35"/>
      <c r="C5843" s="36"/>
      <c r="D5843" s="37"/>
      <c r="E5843" s="36"/>
      <c r="F5843" s="42"/>
      <c r="G5843" s="42"/>
      <c r="H5843" s="42"/>
      <c r="AG5843" s="19">
        <v>5842</v>
      </c>
      <c r="AH5843" s="20">
        <v>-582.78840052482519</v>
      </c>
    </row>
    <row r="5844" spans="1:34" ht="14.5" x14ac:dyDescent="0.35">
      <c r="A5844" s="34"/>
      <c r="B5844" s="35"/>
      <c r="C5844" s="36"/>
      <c r="D5844" s="37"/>
      <c r="E5844" s="36"/>
      <c r="F5844" s="42"/>
      <c r="G5844" s="42"/>
      <c r="H5844" s="42"/>
      <c r="AG5844" s="19">
        <v>5843</v>
      </c>
      <c r="AH5844" s="20">
        <v>2635.9464420256604</v>
      </c>
    </row>
    <row r="5845" spans="1:34" ht="14.5" x14ac:dyDescent="0.35">
      <c r="A5845" s="34"/>
      <c r="B5845" s="35"/>
      <c r="C5845" s="36"/>
      <c r="D5845" s="37"/>
      <c r="E5845" s="36"/>
      <c r="F5845" s="42"/>
      <c r="G5845" s="42"/>
      <c r="H5845" s="42"/>
      <c r="AG5845" s="19">
        <v>5844</v>
      </c>
      <c r="AH5845" s="20">
        <v>1302.8916814602799</v>
      </c>
    </row>
    <row r="5846" spans="1:34" ht="14.5" x14ac:dyDescent="0.35">
      <c r="A5846" s="34"/>
      <c r="B5846" s="35"/>
      <c r="C5846" s="36"/>
      <c r="D5846" s="37"/>
      <c r="E5846" s="36"/>
      <c r="F5846" s="42"/>
      <c r="G5846" s="42"/>
      <c r="H5846" s="42"/>
      <c r="AG5846" s="19">
        <v>5845</v>
      </c>
      <c r="AH5846" s="20">
        <v>3192.2297269826795</v>
      </c>
    </row>
    <row r="5847" spans="1:34" ht="14.5" x14ac:dyDescent="0.35">
      <c r="A5847" s="34"/>
      <c r="B5847" s="35"/>
      <c r="C5847" s="36"/>
      <c r="D5847" s="37"/>
      <c r="E5847" s="36"/>
      <c r="F5847" s="42"/>
      <c r="G5847" s="42"/>
      <c r="H5847" s="42"/>
      <c r="AG5847" s="19">
        <v>5846</v>
      </c>
      <c r="AH5847" s="20">
        <v>162.01042343871569</v>
      </c>
    </row>
    <row r="5848" spans="1:34" ht="14.5" x14ac:dyDescent="0.35">
      <c r="A5848" s="34"/>
      <c r="B5848" s="35"/>
      <c r="C5848" s="36"/>
      <c r="D5848" s="37"/>
      <c r="E5848" s="36"/>
      <c r="F5848" s="42"/>
      <c r="G5848" s="42"/>
      <c r="H5848" s="42"/>
      <c r="AG5848" s="19">
        <v>5847</v>
      </c>
      <c r="AH5848" s="20">
        <v>1782.2117534926265</v>
      </c>
    </row>
    <row r="5849" spans="1:34" ht="14.5" x14ac:dyDescent="0.35">
      <c r="A5849" s="34"/>
      <c r="B5849" s="35"/>
      <c r="C5849" s="36"/>
      <c r="D5849" s="37"/>
      <c r="E5849" s="36"/>
      <c r="F5849" s="42"/>
      <c r="G5849" s="42"/>
      <c r="H5849" s="42"/>
      <c r="AG5849" s="19">
        <v>5848</v>
      </c>
      <c r="AH5849" s="20">
        <v>-2284.573862218766</v>
      </c>
    </row>
    <row r="5850" spans="1:34" ht="14.5" x14ac:dyDescent="0.35">
      <c r="A5850" s="34"/>
      <c r="B5850" s="35"/>
      <c r="C5850" s="36"/>
      <c r="D5850" s="37"/>
      <c r="E5850" s="36"/>
      <c r="F5850" s="42"/>
      <c r="G5850" s="42"/>
      <c r="H5850" s="42"/>
      <c r="AG5850" s="19">
        <v>5849</v>
      </c>
      <c r="AH5850" s="20">
        <v>4139.6676422040255</v>
      </c>
    </row>
    <row r="5851" spans="1:34" ht="14.5" x14ac:dyDescent="0.35">
      <c r="A5851" s="34"/>
      <c r="B5851" s="35"/>
      <c r="C5851" s="36"/>
      <c r="D5851" s="37"/>
      <c r="E5851" s="36"/>
      <c r="F5851" s="42"/>
      <c r="G5851" s="42"/>
      <c r="H5851" s="42"/>
      <c r="AG5851" s="19">
        <v>5850</v>
      </c>
      <c r="AH5851" s="20">
        <v>-535.63676076748266</v>
      </c>
    </row>
    <row r="5852" spans="1:34" ht="14.5" x14ac:dyDescent="0.35">
      <c r="A5852" s="34"/>
      <c r="B5852" s="35"/>
      <c r="C5852" s="36"/>
      <c r="D5852" s="37"/>
      <c r="E5852" s="36"/>
      <c r="F5852" s="42"/>
      <c r="G5852" s="42"/>
      <c r="H5852" s="42"/>
      <c r="AG5852" s="19">
        <v>5851</v>
      </c>
      <c r="AH5852" s="20">
        <v>-1737.2531059683135</v>
      </c>
    </row>
    <row r="5853" spans="1:34" ht="14.5" x14ac:dyDescent="0.35">
      <c r="A5853" s="34"/>
      <c r="B5853" s="35"/>
      <c r="C5853" s="36"/>
      <c r="D5853" s="37"/>
      <c r="E5853" s="36"/>
      <c r="F5853" s="42"/>
      <c r="G5853" s="42"/>
      <c r="H5853" s="42"/>
      <c r="AG5853" s="19">
        <v>5852</v>
      </c>
      <c r="AH5853" s="20">
        <v>-177.65323110947537</v>
      </c>
    </row>
    <row r="5854" spans="1:34" ht="14.5" x14ac:dyDescent="0.35">
      <c r="A5854" s="34"/>
      <c r="B5854" s="35"/>
      <c r="C5854" s="36"/>
      <c r="D5854" s="37"/>
      <c r="E5854" s="36"/>
      <c r="F5854" s="42"/>
      <c r="G5854" s="42"/>
      <c r="H5854" s="42"/>
      <c r="AG5854" s="19">
        <v>5853</v>
      </c>
      <c r="AH5854" s="20">
        <v>-828.41682460812422</v>
      </c>
    </row>
    <row r="5855" spans="1:34" ht="14.5" x14ac:dyDescent="0.35">
      <c r="A5855" s="34"/>
      <c r="B5855" s="35"/>
      <c r="C5855" s="36"/>
      <c r="D5855" s="37"/>
      <c r="E5855" s="36"/>
      <c r="F5855" s="42"/>
      <c r="G5855" s="42"/>
      <c r="H5855" s="42"/>
      <c r="AG5855" s="19">
        <v>5854</v>
      </c>
      <c r="AH5855" s="20">
        <v>3396.494087564236</v>
      </c>
    </row>
    <row r="5856" spans="1:34" ht="14.5" x14ac:dyDescent="0.35">
      <c r="A5856" s="34"/>
      <c r="B5856" s="35"/>
      <c r="C5856" s="36"/>
      <c r="D5856" s="37"/>
      <c r="E5856" s="36"/>
      <c r="F5856" s="42"/>
      <c r="G5856" s="42"/>
      <c r="H5856" s="42"/>
      <c r="AG5856" s="19">
        <v>5855</v>
      </c>
      <c r="AH5856" s="20">
        <v>1689.7529842990532</v>
      </c>
    </row>
    <row r="5857" spans="1:34" ht="14.5" x14ac:dyDescent="0.35">
      <c r="A5857" s="34"/>
      <c r="B5857" s="35"/>
      <c r="C5857" s="36"/>
      <c r="D5857" s="37"/>
      <c r="E5857" s="36"/>
      <c r="F5857" s="42"/>
      <c r="G5857" s="42"/>
      <c r="H5857" s="42"/>
      <c r="AG5857" s="19">
        <v>5856</v>
      </c>
      <c r="AH5857" s="20">
        <v>-1677.979149270386</v>
      </c>
    </row>
    <row r="5858" spans="1:34" ht="14.5" x14ac:dyDescent="0.35">
      <c r="A5858" s="34"/>
      <c r="B5858" s="35"/>
      <c r="C5858" s="36"/>
      <c r="D5858" s="37"/>
      <c r="E5858" s="36"/>
      <c r="F5858" s="42"/>
      <c r="G5858" s="42"/>
      <c r="H5858" s="42"/>
      <c r="AG5858" s="19">
        <v>5857</v>
      </c>
      <c r="AH5858" s="20">
        <v>-2620.0761633938764</v>
      </c>
    </row>
    <row r="5859" spans="1:34" ht="14.5" x14ac:dyDescent="0.35">
      <c r="A5859" s="34"/>
      <c r="B5859" s="35"/>
      <c r="C5859" s="36"/>
      <c r="D5859" s="37"/>
      <c r="E5859" s="36"/>
      <c r="F5859" s="42"/>
      <c r="G5859" s="42"/>
      <c r="H5859" s="42"/>
      <c r="AG5859" s="19">
        <v>5858</v>
      </c>
      <c r="AH5859" s="20">
        <v>4074.375038355678</v>
      </c>
    </row>
    <row r="5860" spans="1:34" ht="14.5" x14ac:dyDescent="0.35">
      <c r="A5860" s="34"/>
      <c r="B5860" s="35"/>
      <c r="C5860" s="36"/>
      <c r="D5860" s="37"/>
      <c r="E5860" s="36"/>
      <c r="F5860" s="42"/>
      <c r="G5860" s="42"/>
      <c r="H5860" s="42"/>
      <c r="AG5860" s="19">
        <v>5859</v>
      </c>
      <c r="AH5860" s="20">
        <v>2622.0987015400765</v>
      </c>
    </row>
    <row r="5861" spans="1:34" ht="14.5" x14ac:dyDescent="0.35">
      <c r="A5861" s="34"/>
      <c r="B5861" s="35"/>
      <c r="C5861" s="36"/>
      <c r="D5861" s="37"/>
      <c r="E5861" s="36"/>
      <c r="F5861" s="42"/>
      <c r="G5861" s="42"/>
      <c r="H5861" s="42"/>
      <c r="AG5861" s="19">
        <v>5860</v>
      </c>
      <c r="AH5861" s="20">
        <v>-895.36152807796816</v>
      </c>
    </row>
    <row r="5862" spans="1:34" ht="14.5" x14ac:dyDescent="0.35">
      <c r="A5862" s="34"/>
      <c r="B5862" s="35"/>
      <c r="C5862" s="36"/>
      <c r="D5862" s="37"/>
      <c r="E5862" s="36"/>
      <c r="F5862" s="42"/>
      <c r="G5862" s="42"/>
      <c r="H5862" s="42"/>
      <c r="AG5862" s="19">
        <v>5861</v>
      </c>
      <c r="AH5862" s="20">
        <v>-2710.8799912387253</v>
      </c>
    </row>
    <row r="5863" spans="1:34" ht="14.5" x14ac:dyDescent="0.35">
      <c r="A5863" s="34"/>
      <c r="B5863" s="35"/>
      <c r="C5863" s="36"/>
      <c r="D5863" s="37"/>
      <c r="E5863" s="36"/>
      <c r="F5863" s="42"/>
      <c r="G5863" s="42"/>
      <c r="H5863" s="42"/>
      <c r="AG5863" s="19">
        <v>5862</v>
      </c>
      <c r="AH5863" s="20">
        <v>-2844.0427177808292</v>
      </c>
    </row>
    <row r="5864" spans="1:34" ht="14.5" x14ac:dyDescent="0.35">
      <c r="A5864" s="34"/>
      <c r="B5864" s="35"/>
      <c r="C5864" s="36"/>
      <c r="D5864" s="37"/>
      <c r="E5864" s="36"/>
      <c r="F5864" s="42"/>
      <c r="G5864" s="42"/>
      <c r="H5864" s="42"/>
      <c r="AG5864" s="19">
        <v>5863</v>
      </c>
      <c r="AH5864" s="20">
        <v>3799.1622941798473</v>
      </c>
    </row>
    <row r="5865" spans="1:34" ht="14.5" x14ac:dyDescent="0.35">
      <c r="A5865" s="34"/>
      <c r="B5865" s="35"/>
      <c r="C5865" s="36"/>
      <c r="D5865" s="37"/>
      <c r="E5865" s="36"/>
      <c r="F5865" s="42"/>
      <c r="G5865" s="42"/>
      <c r="H5865" s="42"/>
      <c r="AG5865" s="19">
        <v>5864</v>
      </c>
      <c r="AH5865" s="20">
        <v>-1244.1601150944011</v>
      </c>
    </row>
    <row r="5866" spans="1:34" ht="14.5" x14ac:dyDescent="0.35">
      <c r="A5866" s="34"/>
      <c r="B5866" s="35"/>
      <c r="C5866" s="36"/>
      <c r="D5866" s="37"/>
      <c r="E5866" s="36"/>
      <c r="F5866" s="42"/>
      <c r="G5866" s="42"/>
      <c r="H5866" s="42"/>
      <c r="AG5866" s="19">
        <v>5865</v>
      </c>
      <c r="AH5866" s="20">
        <v>857.17983305591974</v>
      </c>
    </row>
    <row r="5867" spans="1:34" ht="14.5" x14ac:dyDescent="0.35">
      <c r="A5867" s="34"/>
      <c r="B5867" s="35"/>
      <c r="C5867" s="36"/>
      <c r="D5867" s="37"/>
      <c r="E5867" s="36"/>
      <c r="F5867" s="42"/>
      <c r="G5867" s="42"/>
      <c r="H5867" s="42"/>
      <c r="AG5867" s="19">
        <v>5866</v>
      </c>
      <c r="AH5867" s="20">
        <v>1075.7323647529527</v>
      </c>
    </row>
    <row r="5868" spans="1:34" ht="14.5" x14ac:dyDescent="0.35">
      <c r="A5868" s="34"/>
      <c r="B5868" s="35"/>
      <c r="C5868" s="36"/>
      <c r="D5868" s="37"/>
      <c r="E5868" s="36"/>
      <c r="F5868" s="42"/>
      <c r="G5868" s="42"/>
      <c r="H5868" s="42"/>
      <c r="AG5868" s="19">
        <v>5867</v>
      </c>
      <c r="AH5868" s="20">
        <v>1557.2211136164751</v>
      </c>
    </row>
    <row r="5869" spans="1:34" ht="14.5" x14ac:dyDescent="0.35">
      <c r="A5869" s="34"/>
      <c r="B5869" s="35"/>
      <c r="C5869" s="36"/>
      <c r="D5869" s="37"/>
      <c r="E5869" s="36"/>
      <c r="F5869" s="42"/>
      <c r="G5869" s="42"/>
      <c r="H5869" s="42"/>
      <c r="AG5869" s="19">
        <v>5868</v>
      </c>
      <c r="AH5869" s="20">
        <v>-766.60892525764734</v>
      </c>
    </row>
    <row r="5870" spans="1:34" ht="14.5" x14ac:dyDescent="0.35">
      <c r="A5870" s="34"/>
      <c r="B5870" s="35"/>
      <c r="C5870" s="36"/>
      <c r="D5870" s="37"/>
      <c r="E5870" s="36"/>
      <c r="F5870" s="42"/>
      <c r="G5870" s="42"/>
      <c r="H5870" s="42"/>
      <c r="AG5870" s="19">
        <v>5869</v>
      </c>
      <c r="AH5870" s="20">
        <v>490.98872864657335</v>
      </c>
    </row>
    <row r="5871" spans="1:34" ht="14.5" x14ac:dyDescent="0.35">
      <c r="A5871" s="34"/>
      <c r="B5871" s="35"/>
      <c r="C5871" s="36"/>
      <c r="D5871" s="37"/>
      <c r="E5871" s="36"/>
      <c r="F5871" s="42"/>
      <c r="G5871" s="42"/>
      <c r="H5871" s="42"/>
      <c r="AG5871" s="19">
        <v>5870</v>
      </c>
      <c r="AH5871" s="20">
        <v>2279.1606418591609</v>
      </c>
    </row>
    <row r="5872" spans="1:34" ht="14.5" x14ac:dyDescent="0.35">
      <c r="A5872" s="34"/>
      <c r="B5872" s="35"/>
      <c r="C5872" s="36"/>
      <c r="D5872" s="37"/>
      <c r="E5872" s="36"/>
      <c r="F5872" s="42"/>
      <c r="G5872" s="42"/>
      <c r="H5872" s="42"/>
      <c r="AG5872" s="19">
        <v>5871</v>
      </c>
      <c r="AH5872" s="20">
        <v>-2045.2876813080049</v>
      </c>
    </row>
    <row r="5873" spans="1:34" ht="14.5" x14ac:dyDescent="0.35">
      <c r="A5873" s="34"/>
      <c r="B5873" s="35"/>
      <c r="C5873" s="36"/>
      <c r="D5873" s="37"/>
      <c r="E5873" s="36"/>
      <c r="F5873" s="42"/>
      <c r="G5873" s="42"/>
      <c r="H5873" s="42"/>
      <c r="AG5873" s="19">
        <v>5872</v>
      </c>
      <c r="AH5873" s="20">
        <v>-228.78409209519936</v>
      </c>
    </row>
    <row r="5874" spans="1:34" ht="14.5" x14ac:dyDescent="0.35">
      <c r="A5874" s="34"/>
      <c r="B5874" s="35"/>
      <c r="C5874" s="36"/>
      <c r="D5874" s="37"/>
      <c r="E5874" s="36"/>
      <c r="F5874" s="42"/>
      <c r="G5874" s="42"/>
      <c r="H5874" s="42"/>
      <c r="AG5874" s="19">
        <v>5873</v>
      </c>
      <c r="AH5874" s="20">
        <v>2872.0977553952312</v>
      </c>
    </row>
    <row r="5875" spans="1:34" ht="14.5" x14ac:dyDescent="0.35">
      <c r="A5875" s="34"/>
      <c r="B5875" s="35"/>
      <c r="C5875" s="36"/>
      <c r="D5875" s="37"/>
      <c r="E5875" s="36"/>
      <c r="F5875" s="42"/>
      <c r="G5875" s="42"/>
      <c r="H5875" s="42"/>
      <c r="AG5875" s="19">
        <v>5874</v>
      </c>
      <c r="AH5875" s="20">
        <v>1415.4461692185098</v>
      </c>
    </row>
    <row r="5876" spans="1:34" ht="14.5" x14ac:dyDescent="0.35">
      <c r="A5876" s="34"/>
      <c r="B5876" s="35"/>
      <c r="C5876" s="36"/>
      <c r="D5876" s="37"/>
      <c r="E5876" s="36"/>
      <c r="F5876" s="42"/>
      <c r="G5876" s="42"/>
      <c r="H5876" s="42"/>
      <c r="AG5876" s="19">
        <v>5875</v>
      </c>
      <c r="AH5876" s="20">
        <v>1793.0354056406245</v>
      </c>
    </row>
    <row r="5877" spans="1:34" ht="14.5" x14ac:dyDescent="0.35">
      <c r="A5877" s="34"/>
      <c r="B5877" s="35"/>
      <c r="C5877" s="36"/>
      <c r="D5877" s="37"/>
      <c r="E5877" s="36"/>
      <c r="F5877" s="42"/>
      <c r="G5877" s="42"/>
      <c r="H5877" s="42"/>
      <c r="AG5877" s="19">
        <v>5876</v>
      </c>
      <c r="AH5877" s="20">
        <v>452.52439543949254</v>
      </c>
    </row>
    <row r="5878" spans="1:34" ht="14.5" x14ac:dyDescent="0.35">
      <c r="A5878" s="34"/>
      <c r="B5878" s="35"/>
      <c r="C5878" s="36"/>
      <c r="D5878" s="37"/>
      <c r="E5878" s="36"/>
      <c r="F5878" s="42"/>
      <c r="G5878" s="42"/>
      <c r="H5878" s="42"/>
      <c r="AG5878" s="19">
        <v>5877</v>
      </c>
      <c r="AH5878" s="20">
        <v>266.89136280264347</v>
      </c>
    </row>
    <row r="5879" spans="1:34" ht="14.5" x14ac:dyDescent="0.35">
      <c r="A5879" s="34"/>
      <c r="B5879" s="35"/>
      <c r="C5879" s="36"/>
      <c r="D5879" s="37"/>
      <c r="E5879" s="36"/>
      <c r="F5879" s="42"/>
      <c r="G5879" s="42"/>
      <c r="H5879" s="42"/>
      <c r="AG5879" s="19">
        <v>5878</v>
      </c>
      <c r="AH5879" s="20">
        <v>2881.8998822120498</v>
      </c>
    </row>
    <row r="5880" spans="1:34" ht="14.5" x14ac:dyDescent="0.35">
      <c r="A5880" s="34"/>
      <c r="B5880" s="35"/>
      <c r="C5880" s="36"/>
      <c r="D5880" s="37"/>
      <c r="E5880" s="36"/>
      <c r="F5880" s="42"/>
      <c r="G5880" s="42"/>
      <c r="H5880" s="42"/>
      <c r="AG5880" s="19">
        <v>5879</v>
      </c>
      <c r="AH5880" s="20">
        <v>-786.5571057183231</v>
      </c>
    </row>
    <row r="5881" spans="1:34" ht="14.5" x14ac:dyDescent="0.35">
      <c r="A5881" s="34"/>
      <c r="B5881" s="35"/>
      <c r="C5881" s="36"/>
      <c r="D5881" s="37"/>
      <c r="E5881" s="36"/>
      <c r="F5881" s="42"/>
      <c r="G5881" s="42"/>
      <c r="H5881" s="42"/>
      <c r="AG5881" s="19">
        <v>5880</v>
      </c>
      <c r="AH5881" s="20">
        <v>922.28774512052655</v>
      </c>
    </row>
    <row r="5882" spans="1:34" ht="14.5" x14ac:dyDescent="0.35">
      <c r="A5882" s="34"/>
      <c r="B5882" s="35"/>
      <c r="C5882" s="36"/>
      <c r="D5882" s="37"/>
      <c r="E5882" s="36"/>
      <c r="F5882" s="42"/>
      <c r="G5882" s="42"/>
      <c r="H5882" s="42"/>
      <c r="AG5882" s="19">
        <v>5881</v>
      </c>
      <c r="AH5882" s="20">
        <v>2193.428964718204</v>
      </c>
    </row>
    <row r="5883" spans="1:34" ht="14.5" x14ac:dyDescent="0.35">
      <c r="A5883" s="34"/>
      <c r="B5883" s="35"/>
      <c r="C5883" s="36"/>
      <c r="D5883" s="37"/>
      <c r="E5883" s="36"/>
      <c r="F5883" s="42"/>
      <c r="G5883" s="42"/>
      <c r="H5883" s="42"/>
      <c r="AG5883" s="19">
        <v>5882</v>
      </c>
      <c r="AH5883" s="20">
        <v>-4877.1995177893596</v>
      </c>
    </row>
    <row r="5884" spans="1:34" ht="14.5" x14ac:dyDescent="0.35">
      <c r="A5884" s="34"/>
      <c r="B5884" s="35"/>
      <c r="C5884" s="36"/>
      <c r="D5884" s="37"/>
      <c r="E5884" s="36"/>
      <c r="F5884" s="42"/>
      <c r="G5884" s="42"/>
      <c r="H5884" s="42"/>
      <c r="AG5884" s="19">
        <v>5883</v>
      </c>
      <c r="AH5884" s="20">
        <v>-634.40172116236727</v>
      </c>
    </row>
    <row r="5885" spans="1:34" ht="14.5" x14ac:dyDescent="0.35">
      <c r="A5885" s="34"/>
      <c r="B5885" s="35"/>
      <c r="C5885" s="36"/>
      <c r="D5885" s="37"/>
      <c r="E5885" s="36"/>
      <c r="F5885" s="42"/>
      <c r="G5885" s="42"/>
      <c r="H5885" s="42"/>
      <c r="AG5885" s="19">
        <v>5884</v>
      </c>
      <c r="AH5885" s="20">
        <v>-344.43307630922908</v>
      </c>
    </row>
    <row r="5886" spans="1:34" ht="14.5" x14ac:dyDescent="0.35">
      <c r="A5886" s="34"/>
      <c r="B5886" s="35"/>
      <c r="C5886" s="36"/>
      <c r="D5886" s="37"/>
      <c r="E5886" s="36"/>
      <c r="F5886" s="42"/>
      <c r="G5886" s="42"/>
      <c r="H5886" s="42"/>
      <c r="AG5886" s="19">
        <v>5885</v>
      </c>
      <c r="AH5886" s="20">
        <v>1126.0870902860495</v>
      </c>
    </row>
    <row r="5887" spans="1:34" ht="14.5" x14ac:dyDescent="0.35">
      <c r="A5887" s="34"/>
      <c r="B5887" s="35"/>
      <c r="C5887" s="36"/>
      <c r="D5887" s="37"/>
      <c r="E5887" s="36"/>
      <c r="F5887" s="42"/>
      <c r="G5887" s="42"/>
      <c r="H5887" s="42"/>
      <c r="AG5887" s="19">
        <v>5886</v>
      </c>
      <c r="AH5887" s="20">
        <v>-2588.0639702796634</v>
      </c>
    </row>
    <row r="5888" spans="1:34" ht="14.5" x14ac:dyDescent="0.35">
      <c r="A5888" s="34"/>
      <c r="B5888" s="35"/>
      <c r="C5888" s="36"/>
      <c r="D5888" s="37"/>
      <c r="E5888" s="36"/>
      <c r="F5888" s="42"/>
      <c r="G5888" s="42"/>
      <c r="H5888" s="42"/>
      <c r="AG5888" s="19">
        <v>5887</v>
      </c>
      <c r="AH5888" s="20">
        <v>1597.9236654762697</v>
      </c>
    </row>
    <row r="5889" spans="1:34" ht="14.5" x14ac:dyDescent="0.35">
      <c r="A5889" s="34"/>
      <c r="B5889" s="35"/>
      <c r="C5889" s="36"/>
      <c r="D5889" s="37"/>
      <c r="E5889" s="36"/>
      <c r="F5889" s="42"/>
      <c r="G5889" s="42"/>
      <c r="H5889" s="42"/>
      <c r="AG5889" s="19">
        <v>5888</v>
      </c>
      <c r="AH5889" s="20">
        <v>1579.3007274934459</v>
      </c>
    </row>
    <row r="5890" spans="1:34" ht="14.5" x14ac:dyDescent="0.35">
      <c r="A5890" s="34"/>
      <c r="B5890" s="35"/>
      <c r="C5890" s="36"/>
      <c r="D5890" s="37"/>
      <c r="E5890" s="36"/>
      <c r="F5890" s="42"/>
      <c r="G5890" s="42"/>
      <c r="H5890" s="42"/>
      <c r="AG5890" s="19">
        <v>5889</v>
      </c>
      <c r="AH5890" s="20">
        <v>-1313.3027200653369</v>
      </c>
    </row>
    <row r="5891" spans="1:34" ht="14.5" x14ac:dyDescent="0.35">
      <c r="A5891" s="34"/>
      <c r="B5891" s="35"/>
      <c r="C5891" s="36"/>
      <c r="D5891" s="37"/>
      <c r="E5891" s="36"/>
      <c r="F5891" s="42"/>
      <c r="G5891" s="42"/>
      <c r="H5891" s="42"/>
      <c r="AG5891" s="19">
        <v>5890</v>
      </c>
      <c r="AH5891" s="20">
        <v>-1216.5540692177942</v>
      </c>
    </row>
    <row r="5892" spans="1:34" ht="14.5" x14ac:dyDescent="0.35">
      <c r="A5892" s="34"/>
      <c r="B5892" s="35"/>
      <c r="C5892" s="36"/>
      <c r="D5892" s="37"/>
      <c r="E5892" s="36"/>
      <c r="F5892" s="42"/>
      <c r="G5892" s="42"/>
      <c r="H5892" s="42"/>
      <c r="AG5892" s="19">
        <v>5891</v>
      </c>
      <c r="AH5892" s="20">
        <v>671.22055808178925</v>
      </c>
    </row>
    <row r="5893" spans="1:34" ht="14.5" x14ac:dyDescent="0.35">
      <c r="A5893" s="34"/>
      <c r="B5893" s="35"/>
      <c r="C5893" s="36"/>
      <c r="D5893" s="37"/>
      <c r="E5893" s="36"/>
      <c r="F5893" s="42"/>
      <c r="G5893" s="42"/>
      <c r="H5893" s="42"/>
      <c r="AG5893" s="19">
        <v>5892</v>
      </c>
      <c r="AH5893" s="20">
        <v>-957.75873037034626</v>
      </c>
    </row>
    <row r="5894" spans="1:34" ht="14.5" x14ac:dyDescent="0.35">
      <c r="A5894" s="34"/>
      <c r="B5894" s="35"/>
      <c r="C5894" s="36"/>
      <c r="D5894" s="37"/>
      <c r="E5894" s="36"/>
      <c r="F5894" s="42"/>
      <c r="G5894" s="42"/>
      <c r="H5894" s="42"/>
      <c r="AG5894" s="19">
        <v>5893</v>
      </c>
      <c r="AH5894" s="20">
        <v>1668.741171555022</v>
      </c>
    </row>
    <row r="5895" spans="1:34" ht="14.5" x14ac:dyDescent="0.35">
      <c r="A5895" s="34"/>
      <c r="B5895" s="35"/>
      <c r="C5895" s="36"/>
      <c r="D5895" s="37"/>
      <c r="E5895" s="36"/>
      <c r="F5895" s="42"/>
      <c r="G5895" s="42"/>
      <c r="H5895" s="42"/>
      <c r="AG5895" s="19">
        <v>5894</v>
      </c>
      <c r="AH5895" s="20">
        <v>-1902.437262520921</v>
      </c>
    </row>
    <row r="5896" spans="1:34" ht="14.5" x14ac:dyDescent="0.35">
      <c r="A5896" s="34"/>
      <c r="B5896" s="35"/>
      <c r="C5896" s="36"/>
      <c r="D5896" s="37"/>
      <c r="E5896" s="36"/>
      <c r="F5896" s="42"/>
      <c r="G5896" s="42"/>
      <c r="H5896" s="42"/>
      <c r="AG5896" s="19">
        <v>5895</v>
      </c>
      <c r="AH5896" s="20">
        <v>2391.8385876455318</v>
      </c>
    </row>
    <row r="5897" spans="1:34" ht="14.5" x14ac:dyDescent="0.35">
      <c r="A5897" s="34"/>
      <c r="B5897" s="35"/>
      <c r="C5897" s="36"/>
      <c r="D5897" s="37"/>
      <c r="E5897" s="36"/>
      <c r="F5897" s="42"/>
      <c r="G5897" s="42"/>
      <c r="H5897" s="42"/>
      <c r="AG5897" s="19">
        <v>5896</v>
      </c>
      <c r="AH5897" s="20">
        <v>-1420.3935419387149</v>
      </c>
    </row>
    <row r="5898" spans="1:34" ht="14.5" x14ac:dyDescent="0.35">
      <c r="A5898" s="34"/>
      <c r="B5898" s="35"/>
      <c r="C5898" s="36"/>
      <c r="D5898" s="37"/>
      <c r="E5898" s="36"/>
      <c r="F5898" s="42"/>
      <c r="G5898" s="42"/>
      <c r="H5898" s="42"/>
      <c r="AG5898" s="19">
        <v>5897</v>
      </c>
      <c r="AH5898" s="20">
        <v>-1962.5797115746152</v>
      </c>
    </row>
    <row r="5899" spans="1:34" ht="14.5" x14ac:dyDescent="0.35">
      <c r="A5899" s="34"/>
      <c r="B5899" s="35"/>
      <c r="C5899" s="36"/>
      <c r="D5899" s="37"/>
      <c r="E5899" s="36"/>
      <c r="F5899" s="42"/>
      <c r="G5899" s="42"/>
      <c r="H5899" s="42"/>
      <c r="AG5899" s="19">
        <v>5898</v>
      </c>
      <c r="AH5899" s="20">
        <v>2455.2695743578233</v>
      </c>
    </row>
    <row r="5900" spans="1:34" ht="14.5" x14ac:dyDescent="0.35">
      <c r="A5900" s="34"/>
      <c r="B5900" s="35"/>
      <c r="C5900" s="36"/>
      <c r="D5900" s="37"/>
      <c r="E5900" s="36"/>
      <c r="F5900" s="42"/>
      <c r="G5900" s="42"/>
      <c r="H5900" s="42"/>
      <c r="AG5900" s="19">
        <v>5899</v>
      </c>
      <c r="AH5900" s="20">
        <v>1259.5941201847952</v>
      </c>
    </row>
    <row r="5901" spans="1:34" ht="14.5" x14ac:dyDescent="0.35">
      <c r="A5901" s="34"/>
      <c r="B5901" s="35"/>
      <c r="C5901" s="36"/>
      <c r="D5901" s="37"/>
      <c r="E5901" s="36"/>
      <c r="F5901" s="42"/>
      <c r="G5901" s="42"/>
      <c r="H5901" s="42"/>
      <c r="AG5901" s="19">
        <v>5900</v>
      </c>
      <c r="AH5901" s="20">
        <v>1116.822684998971</v>
      </c>
    </row>
    <row r="5902" spans="1:34" ht="14.5" x14ac:dyDescent="0.35">
      <c r="A5902" s="34"/>
      <c r="B5902" s="35"/>
      <c r="C5902" s="36"/>
      <c r="D5902" s="37"/>
      <c r="E5902" s="36"/>
      <c r="F5902" s="42"/>
      <c r="G5902" s="42"/>
      <c r="H5902" s="42"/>
      <c r="AG5902" s="19">
        <v>5901</v>
      </c>
      <c r="AH5902" s="20">
        <v>-954.71253247618256</v>
      </c>
    </row>
    <row r="5903" spans="1:34" ht="14.5" x14ac:dyDescent="0.35">
      <c r="A5903" s="34"/>
      <c r="B5903" s="35"/>
      <c r="C5903" s="36"/>
      <c r="D5903" s="37"/>
      <c r="E5903" s="36"/>
      <c r="F5903" s="42"/>
      <c r="G5903" s="42"/>
      <c r="H5903" s="42"/>
      <c r="AG5903" s="19">
        <v>5902</v>
      </c>
      <c r="AH5903" s="20">
        <v>-1526.5823797463077</v>
      </c>
    </row>
    <row r="5904" spans="1:34" ht="14.5" x14ac:dyDescent="0.35">
      <c r="A5904" s="34"/>
      <c r="B5904" s="35"/>
      <c r="C5904" s="36"/>
      <c r="D5904" s="37"/>
      <c r="E5904" s="36"/>
      <c r="F5904" s="42"/>
      <c r="G5904" s="42"/>
      <c r="H5904" s="42"/>
      <c r="AG5904" s="19">
        <v>5903</v>
      </c>
      <c r="AH5904" s="20">
        <v>2657.4954401692589</v>
      </c>
    </row>
    <row r="5905" spans="1:34" ht="14.5" x14ac:dyDescent="0.35">
      <c r="A5905" s="34"/>
      <c r="B5905" s="35"/>
      <c r="C5905" s="36"/>
      <c r="D5905" s="37"/>
      <c r="E5905" s="36"/>
      <c r="F5905" s="42"/>
      <c r="G5905" s="42"/>
      <c r="H5905" s="42"/>
      <c r="AG5905" s="19">
        <v>5904</v>
      </c>
      <c r="AH5905" s="20">
        <v>3057.7477829916693</v>
      </c>
    </row>
    <row r="5906" spans="1:34" ht="14.5" x14ac:dyDescent="0.35">
      <c r="A5906" s="34"/>
      <c r="B5906" s="35"/>
      <c r="C5906" s="36"/>
      <c r="D5906" s="37"/>
      <c r="E5906" s="36"/>
      <c r="F5906" s="42"/>
      <c r="G5906" s="42"/>
      <c r="H5906" s="42"/>
      <c r="AG5906" s="19">
        <v>5905</v>
      </c>
      <c r="AH5906" s="20">
        <v>2212.2144374101449</v>
      </c>
    </row>
    <row r="5907" spans="1:34" ht="14.5" x14ac:dyDescent="0.35">
      <c r="A5907" s="34"/>
      <c r="B5907" s="35"/>
      <c r="C5907" s="36"/>
      <c r="D5907" s="37"/>
      <c r="E5907" s="36"/>
      <c r="F5907" s="42"/>
      <c r="G5907" s="42"/>
      <c r="H5907" s="42"/>
      <c r="AG5907" s="19">
        <v>5906</v>
      </c>
      <c r="AH5907" s="20">
        <v>1046.6510557533277</v>
      </c>
    </row>
    <row r="5908" spans="1:34" ht="14.5" x14ac:dyDescent="0.35">
      <c r="A5908" s="34"/>
      <c r="B5908" s="35"/>
      <c r="C5908" s="36"/>
      <c r="D5908" s="37"/>
      <c r="E5908" s="36"/>
      <c r="F5908" s="42"/>
      <c r="G5908" s="42"/>
      <c r="H5908" s="42"/>
      <c r="AG5908" s="19">
        <v>5907</v>
      </c>
      <c r="AH5908" s="20">
        <v>1191.2137291865563</v>
      </c>
    </row>
    <row r="5909" spans="1:34" ht="14.5" x14ac:dyDescent="0.35">
      <c r="A5909" s="34"/>
      <c r="B5909" s="35"/>
      <c r="C5909" s="36"/>
      <c r="D5909" s="37"/>
      <c r="E5909" s="36"/>
      <c r="F5909" s="42"/>
      <c r="G5909" s="42"/>
      <c r="H5909" s="42"/>
      <c r="AG5909" s="19">
        <v>5908</v>
      </c>
      <c r="AH5909" s="20">
        <v>291.12156859257527</v>
      </c>
    </row>
    <row r="5910" spans="1:34" ht="14.5" x14ac:dyDescent="0.35">
      <c r="A5910" s="34"/>
      <c r="B5910" s="35"/>
      <c r="C5910" s="36"/>
      <c r="D5910" s="37"/>
      <c r="E5910" s="36"/>
      <c r="F5910" s="42"/>
      <c r="G5910" s="42"/>
      <c r="H5910" s="42"/>
      <c r="AG5910" s="19">
        <v>5909</v>
      </c>
      <c r="AH5910" s="20">
        <v>-2036.4398544990001</v>
      </c>
    </row>
    <row r="5911" spans="1:34" ht="14.5" x14ac:dyDescent="0.35">
      <c r="A5911" s="34"/>
      <c r="B5911" s="35"/>
      <c r="C5911" s="36"/>
      <c r="D5911" s="37"/>
      <c r="E5911" s="36"/>
      <c r="F5911" s="42"/>
      <c r="G5911" s="42"/>
      <c r="H5911" s="42"/>
      <c r="AG5911" s="19">
        <v>5910</v>
      </c>
      <c r="AH5911" s="20">
        <v>1799.604779555789</v>
      </c>
    </row>
    <row r="5912" spans="1:34" ht="14.5" x14ac:dyDescent="0.35">
      <c r="A5912" s="34"/>
      <c r="B5912" s="35"/>
      <c r="C5912" s="36"/>
      <c r="D5912" s="37"/>
      <c r="E5912" s="36"/>
      <c r="F5912" s="42"/>
      <c r="G5912" s="42"/>
      <c r="H5912" s="42"/>
      <c r="AG5912" s="19">
        <v>5911</v>
      </c>
      <c r="AH5912" s="20">
        <v>2513.8667393795454</v>
      </c>
    </row>
    <row r="5913" spans="1:34" ht="14.5" x14ac:dyDescent="0.35">
      <c r="A5913" s="34"/>
      <c r="B5913" s="35"/>
      <c r="C5913" s="36"/>
      <c r="D5913" s="37"/>
      <c r="E5913" s="36"/>
      <c r="F5913" s="42"/>
      <c r="G5913" s="42"/>
      <c r="H5913" s="42"/>
      <c r="AG5913" s="19">
        <v>5912</v>
      </c>
      <c r="AH5913" s="20">
        <v>-264.23537362119856</v>
      </c>
    </row>
    <row r="5914" spans="1:34" ht="14.5" x14ac:dyDescent="0.35">
      <c r="A5914" s="34"/>
      <c r="B5914" s="35"/>
      <c r="C5914" s="36"/>
      <c r="D5914" s="37"/>
      <c r="E5914" s="36"/>
      <c r="F5914" s="42"/>
      <c r="G5914" s="42"/>
      <c r="H5914" s="42"/>
      <c r="AG5914" s="19">
        <v>5913</v>
      </c>
      <c r="AH5914" s="20">
        <v>-888.64703034261038</v>
      </c>
    </row>
    <row r="5915" spans="1:34" ht="14.5" x14ac:dyDescent="0.35">
      <c r="A5915" s="34"/>
      <c r="B5915" s="35"/>
      <c r="C5915" s="36"/>
      <c r="D5915" s="37"/>
      <c r="E5915" s="36"/>
      <c r="F5915" s="42"/>
      <c r="G5915" s="42"/>
      <c r="H5915" s="42"/>
      <c r="AG5915" s="19">
        <v>5914</v>
      </c>
      <c r="AH5915" s="20">
        <v>-1202.3810101521271</v>
      </c>
    </row>
    <row r="5916" spans="1:34" ht="14.5" x14ac:dyDescent="0.35">
      <c r="A5916" s="34"/>
      <c r="B5916" s="35"/>
      <c r="C5916" s="36"/>
      <c r="D5916" s="37"/>
      <c r="E5916" s="36"/>
      <c r="F5916" s="42"/>
      <c r="G5916" s="42"/>
      <c r="H5916" s="42"/>
      <c r="AG5916" s="19">
        <v>5915</v>
      </c>
      <c r="AH5916" s="20">
        <v>755.64782328181809</v>
      </c>
    </row>
    <row r="5917" spans="1:34" ht="14.5" x14ac:dyDescent="0.35">
      <c r="A5917" s="34"/>
      <c r="B5917" s="35"/>
      <c r="C5917" s="36"/>
      <c r="D5917" s="37"/>
      <c r="E5917" s="36"/>
      <c r="F5917" s="42"/>
      <c r="G5917" s="42"/>
      <c r="H5917" s="42"/>
      <c r="AG5917" s="19">
        <v>5916</v>
      </c>
      <c r="AH5917" s="20">
        <v>473.44235828527604</v>
      </c>
    </row>
    <row r="5918" spans="1:34" ht="14.5" x14ac:dyDescent="0.35">
      <c r="A5918" s="34"/>
      <c r="B5918" s="35"/>
      <c r="C5918" s="36"/>
      <c r="D5918" s="37"/>
      <c r="E5918" s="36"/>
      <c r="F5918" s="42"/>
      <c r="G5918" s="42"/>
      <c r="H5918" s="42"/>
      <c r="AG5918" s="19">
        <v>5917</v>
      </c>
      <c r="AH5918" s="20">
        <v>-1058.3634658383514</v>
      </c>
    </row>
    <row r="5919" spans="1:34" ht="14.5" x14ac:dyDescent="0.35">
      <c r="A5919" s="34"/>
      <c r="B5919" s="35"/>
      <c r="C5919" s="36"/>
      <c r="D5919" s="37"/>
      <c r="E5919" s="36"/>
      <c r="F5919" s="42"/>
      <c r="G5919" s="42"/>
      <c r="H5919" s="42"/>
      <c r="AG5919" s="19">
        <v>5918</v>
      </c>
      <c r="AH5919" s="20">
        <v>-1037.8094679441526</v>
      </c>
    </row>
    <row r="5920" spans="1:34" ht="14.5" x14ac:dyDescent="0.35">
      <c r="A5920" s="34"/>
      <c r="B5920" s="35"/>
      <c r="C5920" s="36"/>
      <c r="D5920" s="37"/>
      <c r="E5920" s="36"/>
      <c r="F5920" s="42"/>
      <c r="G5920" s="42"/>
      <c r="H5920" s="42"/>
      <c r="AG5920" s="19">
        <v>5919</v>
      </c>
      <c r="AH5920" s="20">
        <v>-1023.6941636781403</v>
      </c>
    </row>
    <row r="5921" spans="1:34" ht="14.5" x14ac:dyDescent="0.35">
      <c r="A5921" s="34"/>
      <c r="B5921" s="35"/>
      <c r="C5921" s="36"/>
      <c r="D5921" s="37"/>
      <c r="E5921" s="36"/>
      <c r="F5921" s="42"/>
      <c r="G5921" s="42"/>
      <c r="H5921" s="42"/>
      <c r="AG5921" s="19">
        <v>5920</v>
      </c>
      <c r="AH5921" s="20">
        <v>3440.9857006590382</v>
      </c>
    </row>
    <row r="5922" spans="1:34" ht="14.5" x14ac:dyDescent="0.35">
      <c r="A5922" s="34"/>
      <c r="B5922" s="35"/>
      <c r="C5922" s="36"/>
      <c r="D5922" s="37"/>
      <c r="E5922" s="36"/>
      <c r="F5922" s="42"/>
      <c r="G5922" s="42"/>
      <c r="H5922" s="42"/>
      <c r="AG5922" s="19">
        <v>5921</v>
      </c>
      <c r="AH5922" s="20">
        <v>-1510.9928671868088</v>
      </c>
    </row>
    <row r="5923" spans="1:34" ht="14.5" x14ac:dyDescent="0.35">
      <c r="A5923" s="34"/>
      <c r="B5923" s="35"/>
      <c r="C5923" s="36"/>
      <c r="D5923" s="37"/>
      <c r="E5923" s="36"/>
      <c r="F5923" s="42"/>
      <c r="G5923" s="42"/>
      <c r="H5923" s="42"/>
      <c r="AG5923" s="19">
        <v>5922</v>
      </c>
      <c r="AH5923" s="20">
        <v>3565.9053931765279</v>
      </c>
    </row>
    <row r="5924" spans="1:34" ht="14.5" x14ac:dyDescent="0.35">
      <c r="A5924" s="34"/>
      <c r="B5924" s="35"/>
      <c r="C5924" s="36"/>
      <c r="D5924" s="37"/>
      <c r="E5924" s="36"/>
      <c r="F5924" s="42"/>
      <c r="G5924" s="42"/>
      <c r="H5924" s="42"/>
      <c r="AG5924" s="19">
        <v>5923</v>
      </c>
      <c r="AH5924" s="20">
        <v>-1287.3611056482177</v>
      </c>
    </row>
    <row r="5925" spans="1:34" ht="14.5" x14ac:dyDescent="0.35">
      <c r="A5925" s="34"/>
      <c r="B5925" s="35"/>
      <c r="C5925" s="36"/>
      <c r="D5925" s="37"/>
      <c r="E5925" s="36"/>
      <c r="F5925" s="42"/>
      <c r="G5925" s="42"/>
      <c r="H5925" s="42"/>
      <c r="AG5925" s="19">
        <v>5924</v>
      </c>
      <c r="AH5925" s="20">
        <v>431.47658067538163</v>
      </c>
    </row>
    <row r="5926" spans="1:34" ht="14.5" x14ac:dyDescent="0.35">
      <c r="A5926" s="34"/>
      <c r="B5926" s="35"/>
      <c r="C5926" s="36"/>
      <c r="D5926" s="37"/>
      <c r="E5926" s="36"/>
      <c r="F5926" s="42"/>
      <c r="G5926" s="42"/>
      <c r="H5926" s="42"/>
      <c r="AG5926" s="19">
        <v>5925</v>
      </c>
      <c r="AH5926" s="20">
        <v>-988.3089451441781</v>
      </c>
    </row>
    <row r="5927" spans="1:34" ht="14.5" x14ac:dyDescent="0.35">
      <c r="A5927" s="34"/>
      <c r="B5927" s="35"/>
      <c r="C5927" s="36"/>
      <c r="D5927" s="37"/>
      <c r="E5927" s="36"/>
      <c r="F5927" s="42"/>
      <c r="G5927" s="42"/>
      <c r="H5927" s="42"/>
      <c r="AG5927" s="19">
        <v>5926</v>
      </c>
      <c r="AH5927" s="20">
        <v>2378.4885012070959</v>
      </c>
    </row>
    <row r="5928" spans="1:34" ht="14.5" x14ac:dyDescent="0.35">
      <c r="A5928" s="34"/>
      <c r="B5928" s="35"/>
      <c r="C5928" s="36"/>
      <c r="D5928" s="37"/>
      <c r="E5928" s="36"/>
      <c r="F5928" s="42"/>
      <c r="G5928" s="42"/>
      <c r="H5928" s="42"/>
      <c r="AG5928" s="19">
        <v>5927</v>
      </c>
      <c r="AH5928" s="20">
        <v>-19.786254965813271</v>
      </c>
    </row>
    <row r="5929" spans="1:34" ht="14.5" x14ac:dyDescent="0.35">
      <c r="A5929" s="34"/>
      <c r="B5929" s="35"/>
      <c r="C5929" s="36"/>
      <c r="D5929" s="37"/>
      <c r="E5929" s="36"/>
      <c r="F5929" s="42"/>
      <c r="G5929" s="42"/>
      <c r="H5929" s="42"/>
      <c r="AG5929" s="19">
        <v>5928</v>
      </c>
      <c r="AH5929" s="20">
        <v>1213.1306130833882</v>
      </c>
    </row>
    <row r="5930" spans="1:34" ht="14.5" x14ac:dyDescent="0.35">
      <c r="A5930" s="34"/>
      <c r="B5930" s="35"/>
      <c r="C5930" s="36"/>
      <c r="D5930" s="37"/>
      <c r="E5930" s="36"/>
      <c r="F5930" s="42"/>
      <c r="G5930" s="42"/>
      <c r="H5930" s="42"/>
      <c r="AG5930" s="19">
        <v>5929</v>
      </c>
      <c r="AH5930" s="20">
        <v>-1857.5517584412498</v>
      </c>
    </row>
    <row r="5931" spans="1:34" ht="14.5" x14ac:dyDescent="0.35">
      <c r="A5931" s="34"/>
      <c r="B5931" s="35"/>
      <c r="C5931" s="36"/>
      <c r="D5931" s="37"/>
      <c r="E5931" s="36"/>
      <c r="F5931" s="42"/>
      <c r="G5931" s="42"/>
      <c r="H5931" s="42"/>
      <c r="AG5931" s="19">
        <v>5930</v>
      </c>
      <c r="AH5931" s="20">
        <v>462.68829644420168</v>
      </c>
    </row>
    <row r="5932" spans="1:34" ht="14.5" x14ac:dyDescent="0.35">
      <c r="A5932" s="34"/>
      <c r="B5932" s="35"/>
      <c r="C5932" s="36"/>
      <c r="D5932" s="37"/>
      <c r="E5932" s="36"/>
      <c r="F5932" s="42"/>
      <c r="G5932" s="42"/>
      <c r="H5932" s="42"/>
      <c r="AG5932" s="19">
        <v>5931</v>
      </c>
      <c r="AH5932" s="20">
        <v>585.29576230635973</v>
      </c>
    </row>
    <row r="5933" spans="1:34" ht="14.5" x14ac:dyDescent="0.35">
      <c r="A5933" s="34"/>
      <c r="B5933" s="35"/>
      <c r="C5933" s="36"/>
      <c r="D5933" s="37"/>
      <c r="E5933" s="36"/>
      <c r="F5933" s="42"/>
      <c r="G5933" s="42"/>
      <c r="H5933" s="42"/>
      <c r="AG5933" s="19">
        <v>5932</v>
      </c>
      <c r="AH5933" s="20">
        <v>1361.6757817396103</v>
      </c>
    </row>
    <row r="5934" spans="1:34" ht="14.5" x14ac:dyDescent="0.35">
      <c r="A5934" s="34"/>
      <c r="B5934" s="35"/>
      <c r="C5934" s="36"/>
      <c r="D5934" s="37"/>
      <c r="E5934" s="36"/>
      <c r="F5934" s="42"/>
      <c r="G5934" s="42"/>
      <c r="H5934" s="42"/>
      <c r="AG5934" s="19">
        <v>5933</v>
      </c>
      <c r="AH5934" s="20">
        <v>-2288.8401313750273</v>
      </c>
    </row>
    <row r="5935" spans="1:34" ht="14.5" x14ac:dyDescent="0.35">
      <c r="A5935" s="34"/>
      <c r="B5935" s="35"/>
      <c r="C5935" s="36"/>
      <c r="D5935" s="37"/>
      <c r="E5935" s="36"/>
      <c r="F5935" s="42"/>
      <c r="G5935" s="42"/>
      <c r="H5935" s="42"/>
      <c r="AG5935" s="19">
        <v>5934</v>
      </c>
      <c r="AH5935" s="20">
        <v>2480.1800228077323</v>
      </c>
    </row>
    <row r="5936" spans="1:34" ht="14.5" x14ac:dyDescent="0.35">
      <c r="A5936" s="34"/>
      <c r="B5936" s="35"/>
      <c r="C5936" s="36"/>
      <c r="D5936" s="37"/>
      <c r="E5936" s="36"/>
      <c r="F5936" s="42"/>
      <c r="G5936" s="42"/>
      <c r="H5936" s="42"/>
      <c r="AG5936" s="19">
        <v>5935</v>
      </c>
      <c r="AH5936" s="20">
        <v>2470.2072470166854</v>
      </c>
    </row>
    <row r="5937" spans="1:34" ht="14.5" x14ac:dyDescent="0.35">
      <c r="A5937" s="34"/>
      <c r="B5937" s="35"/>
      <c r="C5937" s="36"/>
      <c r="D5937" s="37"/>
      <c r="E5937" s="36"/>
      <c r="F5937" s="42"/>
      <c r="G5937" s="42"/>
      <c r="H5937" s="42"/>
      <c r="AG5937" s="19">
        <v>5936</v>
      </c>
      <c r="AH5937" s="20">
        <v>2921.9108196763627</v>
      </c>
    </row>
    <row r="5938" spans="1:34" ht="14.5" x14ac:dyDescent="0.35">
      <c r="A5938" s="34"/>
      <c r="B5938" s="35"/>
      <c r="C5938" s="36"/>
      <c r="D5938" s="37"/>
      <c r="E5938" s="36"/>
      <c r="F5938" s="42"/>
      <c r="G5938" s="42"/>
      <c r="H5938" s="42"/>
      <c r="AG5938" s="19">
        <v>5937</v>
      </c>
      <c r="AH5938" s="20">
        <v>282.7926310764642</v>
      </c>
    </row>
    <row r="5939" spans="1:34" ht="14.5" x14ac:dyDescent="0.35">
      <c r="A5939" s="34"/>
      <c r="B5939" s="35"/>
      <c r="C5939" s="36"/>
      <c r="D5939" s="37"/>
      <c r="E5939" s="36"/>
      <c r="F5939" s="42"/>
      <c r="G5939" s="42"/>
      <c r="H5939" s="42"/>
      <c r="AG5939" s="19">
        <v>5938</v>
      </c>
      <c r="AH5939" s="20">
        <v>2499.1482892276449</v>
      </c>
    </row>
    <row r="5940" spans="1:34" ht="14.5" x14ac:dyDescent="0.35">
      <c r="A5940" s="34"/>
      <c r="B5940" s="35"/>
      <c r="C5940" s="36"/>
      <c r="D5940" s="37"/>
      <c r="E5940" s="36"/>
      <c r="F5940" s="42"/>
      <c r="G5940" s="42"/>
      <c r="H5940" s="42"/>
      <c r="AG5940" s="19">
        <v>5939</v>
      </c>
      <c r="AH5940" s="20">
        <v>-2286.2663956460551</v>
      </c>
    </row>
    <row r="5941" spans="1:34" ht="14.5" x14ac:dyDescent="0.35">
      <c r="A5941" s="34"/>
      <c r="B5941" s="35"/>
      <c r="C5941" s="36"/>
      <c r="D5941" s="37"/>
      <c r="E5941" s="36"/>
      <c r="F5941" s="42"/>
      <c r="G5941" s="42"/>
      <c r="H5941" s="42"/>
      <c r="AG5941" s="19">
        <v>5940</v>
      </c>
      <c r="AH5941" s="20">
        <v>-2035.4634791710566</v>
      </c>
    </row>
    <row r="5942" spans="1:34" ht="14.5" x14ac:dyDescent="0.35">
      <c r="A5942" s="34"/>
      <c r="B5942" s="35"/>
      <c r="C5942" s="36"/>
      <c r="D5942" s="37"/>
      <c r="E5942" s="36"/>
      <c r="F5942" s="42"/>
      <c r="G5942" s="42"/>
      <c r="H5942" s="42"/>
      <c r="AG5942" s="19">
        <v>5941</v>
      </c>
      <c r="AH5942" s="20">
        <v>977.43534889531679</v>
      </c>
    </row>
    <row r="5943" spans="1:34" ht="14.5" x14ac:dyDescent="0.35">
      <c r="A5943" s="34"/>
      <c r="B5943" s="35"/>
      <c r="C5943" s="36"/>
      <c r="D5943" s="37"/>
      <c r="E5943" s="36"/>
      <c r="F5943" s="42"/>
      <c r="G5943" s="42"/>
      <c r="H5943" s="42"/>
      <c r="AG5943" s="19">
        <v>5942</v>
      </c>
      <c r="AH5943" s="20">
        <v>4186.3183737816271</v>
      </c>
    </row>
    <row r="5944" spans="1:34" ht="14.5" x14ac:dyDescent="0.35">
      <c r="A5944" s="34"/>
      <c r="B5944" s="35"/>
      <c r="C5944" s="36"/>
      <c r="D5944" s="37"/>
      <c r="E5944" s="36"/>
      <c r="F5944" s="42"/>
      <c r="G5944" s="42"/>
      <c r="H5944" s="42"/>
      <c r="AG5944" s="19">
        <v>5943</v>
      </c>
      <c r="AH5944" s="20">
        <v>1751.6224092575994</v>
      </c>
    </row>
    <row r="5945" spans="1:34" ht="14.5" x14ac:dyDescent="0.35">
      <c r="A5945" s="34"/>
      <c r="B5945" s="35"/>
      <c r="C5945" s="36"/>
      <c r="D5945" s="37"/>
      <c r="E5945" s="36"/>
      <c r="F5945" s="42"/>
      <c r="G5945" s="42"/>
      <c r="H5945" s="42"/>
      <c r="AG5945" s="19">
        <v>5944</v>
      </c>
      <c r="AH5945" s="20">
        <v>1779.7795380955388</v>
      </c>
    </row>
    <row r="5946" spans="1:34" ht="14.5" x14ac:dyDescent="0.35">
      <c r="A5946" s="34"/>
      <c r="B5946" s="35"/>
      <c r="C5946" s="36"/>
      <c r="D5946" s="37"/>
      <c r="E5946" s="36"/>
      <c r="F5946" s="42"/>
      <c r="G5946" s="42"/>
      <c r="H5946" s="42"/>
      <c r="AG5946" s="19">
        <v>5945</v>
      </c>
      <c r="AH5946" s="20">
        <v>-973.95840830876955</v>
      </c>
    </row>
    <row r="5947" spans="1:34" ht="14.5" x14ac:dyDescent="0.35">
      <c r="A5947" s="34"/>
      <c r="B5947" s="35"/>
      <c r="C5947" s="36"/>
      <c r="D5947" s="37"/>
      <c r="E5947" s="36"/>
      <c r="F5947" s="42"/>
      <c r="G5947" s="42"/>
      <c r="H5947" s="42"/>
      <c r="AG5947" s="19">
        <v>5946</v>
      </c>
      <c r="AH5947" s="20">
        <v>1250.647091680431</v>
      </c>
    </row>
    <row r="5948" spans="1:34" ht="14.5" x14ac:dyDescent="0.35">
      <c r="A5948" s="34"/>
      <c r="B5948" s="35"/>
      <c r="C5948" s="36"/>
      <c r="D5948" s="37"/>
      <c r="E5948" s="36"/>
      <c r="F5948" s="42"/>
      <c r="G5948" s="42"/>
      <c r="H5948" s="42"/>
      <c r="AG5948" s="19">
        <v>5947</v>
      </c>
      <c r="AH5948" s="20">
        <v>1615.914148234024</v>
      </c>
    </row>
    <row r="5949" spans="1:34" ht="14.5" x14ac:dyDescent="0.35">
      <c r="A5949" s="34"/>
      <c r="B5949" s="35"/>
      <c r="C5949" s="36"/>
      <c r="D5949" s="37"/>
      <c r="E5949" s="36"/>
      <c r="F5949" s="42"/>
      <c r="G5949" s="42"/>
      <c r="H5949" s="42"/>
      <c r="AG5949" s="19">
        <v>5948</v>
      </c>
      <c r="AH5949" s="20">
        <v>2216.5979679854904</v>
      </c>
    </row>
    <row r="5950" spans="1:34" ht="14.5" x14ac:dyDescent="0.35">
      <c r="A5950" s="34"/>
      <c r="B5950" s="35"/>
      <c r="C5950" s="36"/>
      <c r="D5950" s="37"/>
      <c r="E5950" s="36"/>
      <c r="F5950" s="42"/>
      <c r="G5950" s="42"/>
      <c r="H5950" s="42"/>
      <c r="AG5950" s="19">
        <v>5949</v>
      </c>
      <c r="AH5950" s="20">
        <v>-1526.3841305727447</v>
      </c>
    </row>
    <row r="5951" spans="1:34" ht="14.5" x14ac:dyDescent="0.35">
      <c r="A5951" s="34"/>
      <c r="B5951" s="35"/>
      <c r="C5951" s="36"/>
      <c r="D5951" s="37"/>
      <c r="E5951" s="36"/>
      <c r="F5951" s="42"/>
      <c r="G5951" s="42"/>
      <c r="H5951" s="42"/>
      <c r="AG5951" s="19">
        <v>5950</v>
      </c>
      <c r="AH5951" s="20">
        <v>1355.5247849949603</v>
      </c>
    </row>
    <row r="5952" spans="1:34" ht="14.5" x14ac:dyDescent="0.35">
      <c r="A5952" s="34"/>
      <c r="B5952" s="35"/>
      <c r="C5952" s="36"/>
      <c r="D5952" s="37"/>
      <c r="E5952" s="36"/>
      <c r="F5952" s="42"/>
      <c r="G5952" s="42"/>
      <c r="H5952" s="42"/>
      <c r="AG5952" s="19">
        <v>5951</v>
      </c>
      <c r="AH5952" s="20">
        <v>3960.7964706407365</v>
      </c>
    </row>
    <row r="5953" spans="1:34" ht="14.5" x14ac:dyDescent="0.35">
      <c r="A5953" s="34"/>
      <c r="B5953" s="35"/>
      <c r="C5953" s="36"/>
      <c r="D5953" s="37"/>
      <c r="E5953" s="36"/>
      <c r="F5953" s="42"/>
      <c r="G5953" s="42"/>
      <c r="H5953" s="42"/>
      <c r="AG5953" s="19">
        <v>5952</v>
      </c>
      <c r="AH5953" s="20">
        <v>169.29178923132767</v>
      </c>
    </row>
    <row r="5954" spans="1:34" ht="14.5" x14ac:dyDescent="0.35">
      <c r="A5954" s="34"/>
      <c r="B5954" s="35"/>
      <c r="C5954" s="36"/>
      <c r="D5954" s="37"/>
      <c r="E5954" s="36"/>
      <c r="F5954" s="42"/>
      <c r="G5954" s="42"/>
      <c r="H5954" s="42"/>
      <c r="AG5954" s="19">
        <v>5953</v>
      </c>
      <c r="AH5954" s="20">
        <v>-55.826095069058852</v>
      </c>
    </row>
    <row r="5955" spans="1:34" ht="14.5" x14ac:dyDescent="0.35">
      <c r="A5955" s="34"/>
      <c r="B5955" s="35"/>
      <c r="C5955" s="36"/>
      <c r="D5955" s="37"/>
      <c r="E5955" s="36"/>
      <c r="F5955" s="42"/>
      <c r="G5955" s="42"/>
      <c r="H5955" s="42"/>
      <c r="AG5955" s="19">
        <v>5954</v>
      </c>
      <c r="AH5955" s="20">
        <v>1618.7434212720566</v>
      </c>
    </row>
    <row r="5956" spans="1:34" ht="14.5" x14ac:dyDescent="0.35">
      <c r="A5956" s="34"/>
      <c r="B5956" s="35"/>
      <c r="C5956" s="36"/>
      <c r="D5956" s="37"/>
      <c r="E5956" s="36"/>
      <c r="F5956" s="42"/>
      <c r="G5956" s="42"/>
      <c r="H5956" s="42"/>
      <c r="AG5956" s="19">
        <v>5955</v>
      </c>
      <c r="AH5956" s="20">
        <v>-3168.8864899359714</v>
      </c>
    </row>
    <row r="5957" spans="1:34" ht="14.5" x14ac:dyDescent="0.35">
      <c r="A5957" s="34"/>
      <c r="B5957" s="35"/>
      <c r="C5957" s="36"/>
      <c r="D5957" s="37"/>
      <c r="E5957" s="36"/>
      <c r="F5957" s="42"/>
      <c r="G5957" s="42"/>
      <c r="H5957" s="42"/>
      <c r="AG5957" s="19">
        <v>5956</v>
      </c>
      <c r="AH5957" s="20">
        <v>3528.519485625091</v>
      </c>
    </row>
    <row r="5958" spans="1:34" ht="14.5" x14ac:dyDescent="0.35">
      <c r="A5958" s="34"/>
      <c r="B5958" s="35"/>
      <c r="C5958" s="36"/>
      <c r="D5958" s="37"/>
      <c r="E5958" s="36"/>
      <c r="F5958" s="42"/>
      <c r="G5958" s="42"/>
      <c r="H5958" s="42"/>
      <c r="AG5958" s="19">
        <v>5957</v>
      </c>
      <c r="AH5958" s="20">
        <v>1009.5712011020087</v>
      </c>
    </row>
    <row r="5959" spans="1:34" ht="14.5" x14ac:dyDescent="0.35">
      <c r="A5959" s="34"/>
      <c r="B5959" s="35"/>
      <c r="C5959" s="36"/>
      <c r="D5959" s="37"/>
      <c r="E5959" s="36"/>
      <c r="F5959" s="42"/>
      <c r="G5959" s="42"/>
      <c r="H5959" s="42"/>
      <c r="AG5959" s="19">
        <v>5958</v>
      </c>
      <c r="AH5959" s="20">
        <v>1241.8142189894522</v>
      </c>
    </row>
    <row r="5960" spans="1:34" ht="14.5" x14ac:dyDescent="0.35">
      <c r="A5960" s="34"/>
      <c r="B5960" s="35"/>
      <c r="C5960" s="36"/>
      <c r="D5960" s="37"/>
      <c r="E5960" s="36"/>
      <c r="F5960" s="42"/>
      <c r="G5960" s="42"/>
      <c r="H5960" s="42"/>
      <c r="AG5960" s="19">
        <v>5959</v>
      </c>
      <c r="AH5960" s="20">
        <v>-415.61883779979001</v>
      </c>
    </row>
    <row r="5961" spans="1:34" ht="14.5" x14ac:dyDescent="0.35">
      <c r="A5961" s="34"/>
      <c r="B5961" s="35"/>
      <c r="C5961" s="36"/>
      <c r="D5961" s="37"/>
      <c r="E5961" s="36"/>
      <c r="F5961" s="42"/>
      <c r="G5961" s="42"/>
      <c r="H5961" s="42"/>
      <c r="AG5961" s="19">
        <v>5960</v>
      </c>
      <c r="AH5961" s="20">
        <v>353.35119969317856</v>
      </c>
    </row>
    <row r="5962" spans="1:34" ht="14.5" x14ac:dyDescent="0.35">
      <c r="A5962" s="34"/>
      <c r="B5962" s="35"/>
      <c r="C5962" s="36"/>
      <c r="D5962" s="37"/>
      <c r="E5962" s="36"/>
      <c r="F5962" s="42"/>
      <c r="G5962" s="42"/>
      <c r="H5962" s="42"/>
      <c r="AG5962" s="19">
        <v>5961</v>
      </c>
      <c r="AH5962" s="20">
        <v>1162.1251731359873</v>
      </c>
    </row>
    <row r="5963" spans="1:34" ht="14.5" x14ac:dyDescent="0.35">
      <c r="A5963" s="34"/>
      <c r="B5963" s="35"/>
      <c r="C5963" s="36"/>
      <c r="D5963" s="37"/>
      <c r="E5963" s="36"/>
      <c r="F5963" s="42"/>
      <c r="G5963" s="42"/>
      <c r="H5963" s="42"/>
      <c r="AG5963" s="19">
        <v>5962</v>
      </c>
      <c r="AH5963" s="20">
        <v>-2105.1016943702621</v>
      </c>
    </row>
    <row r="5964" spans="1:34" ht="14.5" x14ac:dyDescent="0.35">
      <c r="A5964" s="34"/>
      <c r="B5964" s="35"/>
      <c r="C5964" s="36"/>
      <c r="D5964" s="37"/>
      <c r="E5964" s="36"/>
      <c r="F5964" s="42"/>
      <c r="G5964" s="42"/>
      <c r="H5964" s="42"/>
      <c r="AG5964" s="19">
        <v>5963</v>
      </c>
      <c r="AH5964" s="20">
        <v>-697.04082942541413</v>
      </c>
    </row>
    <row r="5965" spans="1:34" ht="14.5" x14ac:dyDescent="0.35">
      <c r="A5965" s="34"/>
      <c r="B5965" s="35"/>
      <c r="C5965" s="36"/>
      <c r="D5965" s="37"/>
      <c r="E5965" s="36"/>
      <c r="F5965" s="42"/>
      <c r="G5965" s="42"/>
      <c r="H5965" s="42"/>
      <c r="AG5965" s="19">
        <v>5964</v>
      </c>
      <c r="AH5965" s="20">
        <v>1247.2096748057222</v>
      </c>
    </row>
    <row r="5966" spans="1:34" ht="14.5" x14ac:dyDescent="0.35">
      <c r="A5966" s="34"/>
      <c r="B5966" s="35"/>
      <c r="C5966" s="36"/>
      <c r="D5966" s="37"/>
      <c r="E5966" s="36"/>
      <c r="F5966" s="42"/>
      <c r="G5966" s="42"/>
      <c r="H5966" s="42"/>
      <c r="AG5966" s="19">
        <v>5965</v>
      </c>
      <c r="AH5966" s="20">
        <v>-531.34758080323218</v>
      </c>
    </row>
    <row r="5967" spans="1:34" ht="14.5" x14ac:dyDescent="0.35">
      <c r="A5967" s="34"/>
      <c r="B5967" s="35"/>
      <c r="C5967" s="36"/>
      <c r="D5967" s="37"/>
      <c r="E5967" s="36"/>
      <c r="F5967" s="42"/>
      <c r="G5967" s="42"/>
      <c r="H5967" s="42"/>
      <c r="AG5967" s="19">
        <v>5966</v>
      </c>
      <c r="AH5967" s="20">
        <v>1223.796696468552</v>
      </c>
    </row>
    <row r="5968" spans="1:34" ht="14.5" x14ac:dyDescent="0.35">
      <c r="A5968" s="34"/>
      <c r="B5968" s="35"/>
      <c r="C5968" s="36"/>
      <c r="D5968" s="37"/>
      <c r="E5968" s="36"/>
      <c r="F5968" s="42"/>
      <c r="G5968" s="42"/>
      <c r="H5968" s="42"/>
      <c r="AG5968" s="19">
        <v>5967</v>
      </c>
      <c r="AH5968" s="20">
        <v>-124.64034204648596</v>
      </c>
    </row>
    <row r="5969" spans="1:34" ht="14.5" x14ac:dyDescent="0.35">
      <c r="A5969" s="34"/>
      <c r="B5969" s="35"/>
      <c r="C5969" s="36"/>
      <c r="D5969" s="37"/>
      <c r="E5969" s="36"/>
      <c r="F5969" s="42"/>
      <c r="G5969" s="42"/>
      <c r="H5969" s="42"/>
      <c r="AG5969" s="19">
        <v>5968</v>
      </c>
      <c r="AH5969" s="20">
        <v>691.33441168326385</v>
      </c>
    </row>
    <row r="5970" spans="1:34" ht="14.5" x14ac:dyDescent="0.35">
      <c r="A5970" s="34"/>
      <c r="B5970" s="35"/>
      <c r="C5970" s="36"/>
      <c r="D5970" s="37"/>
      <c r="E5970" s="36"/>
      <c r="F5970" s="42"/>
      <c r="G5970" s="42"/>
      <c r="H5970" s="42"/>
      <c r="AG5970" s="19">
        <v>5969</v>
      </c>
      <c r="AH5970" s="20">
        <v>2282.6295688773362</v>
      </c>
    </row>
    <row r="5971" spans="1:34" ht="14.5" x14ac:dyDescent="0.35">
      <c r="A5971" s="34"/>
      <c r="B5971" s="35"/>
      <c r="C5971" s="36"/>
      <c r="D5971" s="37"/>
      <c r="E5971" s="36"/>
      <c r="F5971" s="42"/>
      <c r="G5971" s="42"/>
      <c r="H5971" s="42"/>
      <c r="AG5971" s="19">
        <v>5970</v>
      </c>
      <c r="AH5971" s="20">
        <v>2015.1240997931102</v>
      </c>
    </row>
    <row r="5972" spans="1:34" ht="14.5" x14ac:dyDescent="0.35">
      <c r="A5972" s="34"/>
      <c r="B5972" s="35"/>
      <c r="C5972" s="36"/>
      <c r="D5972" s="37"/>
      <c r="E5972" s="36"/>
      <c r="F5972" s="42"/>
      <c r="G5972" s="42"/>
      <c r="H5972" s="42"/>
      <c r="AG5972" s="19">
        <v>5971</v>
      </c>
      <c r="AH5972" s="20">
        <v>32.642461812030319</v>
      </c>
    </row>
    <row r="5973" spans="1:34" ht="14.5" x14ac:dyDescent="0.35">
      <c r="A5973" s="34"/>
      <c r="B5973" s="35"/>
      <c r="C5973" s="36"/>
      <c r="D5973" s="37"/>
      <c r="E5973" s="36"/>
      <c r="F5973" s="42"/>
      <c r="G5973" s="42"/>
      <c r="H5973" s="42"/>
      <c r="AG5973" s="19">
        <v>5972</v>
      </c>
      <c r="AH5973" s="20">
        <v>-614.35409099750609</v>
      </c>
    </row>
    <row r="5974" spans="1:34" ht="14.5" x14ac:dyDescent="0.35">
      <c r="A5974" s="34"/>
      <c r="B5974" s="35"/>
      <c r="C5974" s="36"/>
      <c r="D5974" s="37"/>
      <c r="E5974" s="36"/>
      <c r="F5974" s="42"/>
      <c r="G5974" s="42"/>
      <c r="H5974" s="42"/>
      <c r="AG5974" s="19">
        <v>5973</v>
      </c>
      <c r="AH5974" s="20">
        <v>-1024.2603386770531</v>
      </c>
    </row>
    <row r="5975" spans="1:34" ht="14.5" x14ac:dyDescent="0.35">
      <c r="A5975" s="34"/>
      <c r="B5975" s="35"/>
      <c r="C5975" s="36"/>
      <c r="D5975" s="37"/>
      <c r="E5975" s="36"/>
      <c r="F5975" s="42"/>
      <c r="G5975" s="42"/>
      <c r="H5975" s="42"/>
      <c r="AG5975" s="19">
        <v>5974</v>
      </c>
      <c r="AH5975" s="20">
        <v>1909.2477321925419</v>
      </c>
    </row>
    <row r="5976" spans="1:34" ht="14.5" x14ac:dyDescent="0.35">
      <c r="A5976" s="34"/>
      <c r="B5976" s="35"/>
      <c r="C5976" s="36"/>
      <c r="D5976" s="37"/>
      <c r="E5976" s="36"/>
      <c r="F5976" s="42"/>
      <c r="G5976" s="42"/>
      <c r="H5976" s="42"/>
      <c r="AG5976" s="19">
        <v>5975</v>
      </c>
      <c r="AH5976" s="20">
        <v>1778.0568423398549</v>
      </c>
    </row>
    <row r="5977" spans="1:34" ht="14.5" x14ac:dyDescent="0.35">
      <c r="A5977" s="34"/>
      <c r="B5977" s="35"/>
      <c r="C5977" s="36"/>
      <c r="D5977" s="37"/>
      <c r="E5977" s="36"/>
      <c r="F5977" s="42"/>
      <c r="G5977" s="42"/>
      <c r="H5977" s="42"/>
      <c r="AG5977" s="19">
        <v>5976</v>
      </c>
      <c r="AH5977" s="20">
        <v>1898.117235105939</v>
      </c>
    </row>
    <row r="5978" spans="1:34" ht="14.5" x14ac:dyDescent="0.35">
      <c r="A5978" s="34"/>
      <c r="B5978" s="35"/>
      <c r="C5978" s="36"/>
      <c r="D5978" s="37"/>
      <c r="E5978" s="36"/>
      <c r="F5978" s="42"/>
      <c r="G5978" s="42"/>
      <c r="H5978" s="42"/>
      <c r="AG5978" s="19">
        <v>5977</v>
      </c>
      <c r="AH5978" s="20">
        <v>968.52014549205455</v>
      </c>
    </row>
    <row r="5979" spans="1:34" ht="14.5" x14ac:dyDescent="0.35">
      <c r="A5979" s="34"/>
      <c r="B5979" s="35"/>
      <c r="C5979" s="36"/>
      <c r="D5979" s="37"/>
      <c r="E5979" s="36"/>
      <c r="F5979" s="42"/>
      <c r="G5979" s="42"/>
      <c r="H5979" s="42"/>
      <c r="AG5979" s="19">
        <v>5978</v>
      </c>
      <c r="AH5979" s="20">
        <v>-358.58368943854038</v>
      </c>
    </row>
    <row r="5980" spans="1:34" ht="14.5" x14ac:dyDescent="0.35">
      <c r="A5980" s="34"/>
      <c r="B5980" s="35"/>
      <c r="C5980" s="36"/>
      <c r="D5980" s="37"/>
      <c r="E5980" s="36"/>
      <c r="F5980" s="42"/>
      <c r="G5980" s="42"/>
      <c r="H5980" s="42"/>
      <c r="AG5980" s="19">
        <v>5979</v>
      </c>
      <c r="AH5980" s="20">
        <v>1731.3417343015883</v>
      </c>
    </row>
    <row r="5981" spans="1:34" ht="14.5" x14ac:dyDescent="0.35">
      <c r="A5981" s="34"/>
      <c r="B5981" s="35"/>
      <c r="C5981" s="36"/>
      <c r="D5981" s="37"/>
      <c r="E5981" s="36"/>
      <c r="F5981" s="42"/>
      <c r="G5981" s="42"/>
      <c r="H5981" s="42"/>
      <c r="AG5981" s="19">
        <v>5980</v>
      </c>
      <c r="AH5981" s="20">
        <v>5745.7463456730566</v>
      </c>
    </row>
    <row r="5982" spans="1:34" ht="14.5" x14ac:dyDescent="0.35">
      <c r="A5982" s="34"/>
      <c r="B5982" s="35"/>
      <c r="C5982" s="36"/>
      <c r="D5982" s="37"/>
      <c r="E5982" s="36"/>
      <c r="F5982" s="42"/>
      <c r="G5982" s="42"/>
      <c r="H5982" s="42"/>
      <c r="AG5982" s="19">
        <v>5981</v>
      </c>
      <c r="AH5982" s="20">
        <v>-2085.7885565609831</v>
      </c>
    </row>
    <row r="5983" spans="1:34" ht="14.5" x14ac:dyDescent="0.35">
      <c r="A5983" s="34"/>
      <c r="B5983" s="35"/>
      <c r="C5983" s="36"/>
      <c r="D5983" s="37"/>
      <c r="E5983" s="36"/>
      <c r="F5983" s="42"/>
      <c r="G5983" s="42"/>
      <c r="H5983" s="42"/>
      <c r="AG5983" s="19">
        <v>5982</v>
      </c>
      <c r="AH5983" s="20">
        <v>-129.6721148709384</v>
      </c>
    </row>
    <row r="5984" spans="1:34" ht="14.5" x14ac:dyDescent="0.35">
      <c r="A5984" s="34"/>
      <c r="B5984" s="35"/>
      <c r="C5984" s="36"/>
      <c r="D5984" s="37"/>
      <c r="E5984" s="36"/>
      <c r="F5984" s="42"/>
      <c r="G5984" s="42"/>
      <c r="H5984" s="42"/>
      <c r="AG5984" s="19">
        <v>5983</v>
      </c>
      <c r="AH5984" s="20">
        <v>116.99270489598638</v>
      </c>
    </row>
    <row r="5985" spans="1:34" ht="14.5" x14ac:dyDescent="0.35">
      <c r="A5985" s="34"/>
      <c r="B5985" s="35"/>
      <c r="C5985" s="36"/>
      <c r="D5985" s="37"/>
      <c r="E5985" s="36"/>
      <c r="F5985" s="42"/>
      <c r="G5985" s="42"/>
      <c r="H5985" s="42"/>
      <c r="AG5985" s="19">
        <v>5984</v>
      </c>
      <c r="AH5985" s="20">
        <v>3641.1222962838642</v>
      </c>
    </row>
    <row r="5986" spans="1:34" ht="14.5" x14ac:dyDescent="0.35">
      <c r="A5986" s="34"/>
      <c r="B5986" s="35"/>
      <c r="C5986" s="36"/>
      <c r="D5986" s="37"/>
      <c r="E5986" s="36"/>
      <c r="F5986" s="42"/>
      <c r="G5986" s="42"/>
      <c r="H5986" s="42"/>
      <c r="AG5986" s="19">
        <v>5985</v>
      </c>
      <c r="AH5986" s="20">
        <v>-348.04216374308788</v>
      </c>
    </row>
    <row r="5987" spans="1:34" ht="14.5" x14ac:dyDescent="0.35">
      <c r="A5987" s="34"/>
      <c r="B5987" s="35"/>
      <c r="C5987" s="36"/>
      <c r="D5987" s="37"/>
      <c r="E5987" s="36"/>
      <c r="F5987" s="42"/>
      <c r="G5987" s="42"/>
      <c r="H5987" s="42"/>
      <c r="AG5987" s="19">
        <v>5986</v>
      </c>
      <c r="AH5987" s="20">
        <v>-3045.8178938464139</v>
      </c>
    </row>
    <row r="5988" spans="1:34" ht="14.5" x14ac:dyDescent="0.35">
      <c r="A5988" s="34"/>
      <c r="B5988" s="35"/>
      <c r="C5988" s="36"/>
      <c r="D5988" s="37"/>
      <c r="E5988" s="36"/>
      <c r="F5988" s="42"/>
      <c r="G5988" s="42"/>
      <c r="H5988" s="42"/>
      <c r="AG5988" s="19">
        <v>5987</v>
      </c>
      <c r="AH5988" s="20">
        <v>-3150.657839038875</v>
      </c>
    </row>
    <row r="5989" spans="1:34" ht="14.5" x14ac:dyDescent="0.35">
      <c r="A5989" s="34"/>
      <c r="B5989" s="35"/>
      <c r="C5989" s="36"/>
      <c r="D5989" s="37"/>
      <c r="E5989" s="36"/>
      <c r="F5989" s="42"/>
      <c r="G5989" s="42"/>
      <c r="H5989" s="42"/>
      <c r="AG5989" s="19">
        <v>5988</v>
      </c>
      <c r="AH5989" s="20">
        <v>1086.681069491437</v>
      </c>
    </row>
    <row r="5990" spans="1:34" ht="14.5" x14ac:dyDescent="0.35">
      <c r="A5990" s="34"/>
      <c r="B5990" s="35"/>
      <c r="C5990" s="36"/>
      <c r="D5990" s="37"/>
      <c r="E5990" s="36"/>
      <c r="F5990" s="42"/>
      <c r="G5990" s="42"/>
      <c r="H5990" s="42"/>
      <c r="AG5990" s="19">
        <v>5989</v>
      </c>
      <c r="AH5990" s="20">
        <v>1302.5272176245508</v>
      </c>
    </row>
    <row r="5991" spans="1:34" ht="14.5" x14ac:dyDescent="0.35">
      <c r="A5991" s="34"/>
      <c r="B5991" s="35"/>
      <c r="C5991" s="36"/>
      <c r="D5991" s="37"/>
      <c r="E5991" s="36"/>
      <c r="F5991" s="42"/>
      <c r="G5991" s="42"/>
      <c r="H5991" s="42"/>
      <c r="AG5991" s="19">
        <v>5990</v>
      </c>
      <c r="AH5991" s="20">
        <v>1552.3998792062162</v>
      </c>
    </row>
    <row r="5992" spans="1:34" ht="14.5" x14ac:dyDescent="0.35">
      <c r="A5992" s="34"/>
      <c r="B5992" s="35"/>
      <c r="C5992" s="36"/>
      <c r="D5992" s="37"/>
      <c r="E5992" s="36"/>
      <c r="F5992" s="42"/>
      <c r="G5992" s="42"/>
      <c r="H5992" s="42"/>
      <c r="AG5992" s="19">
        <v>5991</v>
      </c>
      <c r="AH5992" s="20">
        <v>472.01564153769635</v>
      </c>
    </row>
    <row r="5993" spans="1:34" ht="14.5" x14ac:dyDescent="0.35">
      <c r="A5993" s="34"/>
      <c r="B5993" s="35"/>
      <c r="C5993" s="36"/>
      <c r="D5993" s="37"/>
      <c r="E5993" s="36"/>
      <c r="F5993" s="42"/>
      <c r="G5993" s="42"/>
      <c r="H5993" s="42"/>
      <c r="AG5993" s="19">
        <v>5992</v>
      </c>
      <c r="AH5993" s="20">
        <v>2928.0376220432895</v>
      </c>
    </row>
    <row r="5994" spans="1:34" ht="14.5" x14ac:dyDescent="0.35">
      <c r="A5994" s="34"/>
      <c r="B5994" s="35"/>
      <c r="C5994" s="36"/>
      <c r="D5994" s="37"/>
      <c r="E5994" s="36"/>
      <c r="F5994" s="42"/>
      <c r="G5994" s="42"/>
      <c r="H5994" s="42"/>
      <c r="AG5994" s="19">
        <v>5993</v>
      </c>
      <c r="AH5994" s="20">
        <v>34.227963563737489</v>
      </c>
    </row>
    <row r="5995" spans="1:34" ht="14.5" x14ac:dyDescent="0.35">
      <c r="A5995" s="34"/>
      <c r="B5995" s="35"/>
      <c r="C5995" s="36"/>
      <c r="D5995" s="37"/>
      <c r="E5995" s="36"/>
      <c r="F5995" s="42"/>
      <c r="G5995" s="42"/>
      <c r="H5995" s="42"/>
      <c r="AG5995" s="19">
        <v>5994</v>
      </c>
      <c r="AH5995" s="20">
        <v>1916.2608894405778</v>
      </c>
    </row>
    <row r="5996" spans="1:34" ht="14.5" x14ac:dyDescent="0.35">
      <c r="A5996" s="34"/>
      <c r="B5996" s="35"/>
      <c r="C5996" s="36"/>
      <c r="D5996" s="37"/>
      <c r="E5996" s="36"/>
      <c r="F5996" s="42"/>
      <c r="G5996" s="42"/>
      <c r="H5996" s="42"/>
      <c r="AG5996" s="19">
        <v>5995</v>
      </c>
      <c r="AH5996" s="20">
        <v>-3082.0187430257861</v>
      </c>
    </row>
    <row r="5997" spans="1:34" ht="14.5" x14ac:dyDescent="0.35">
      <c r="A5997" s="34"/>
      <c r="B5997" s="35"/>
      <c r="C5997" s="36"/>
      <c r="D5997" s="37"/>
      <c r="E5997" s="36"/>
      <c r="F5997" s="42"/>
      <c r="G5997" s="42"/>
      <c r="H5997" s="42"/>
      <c r="AG5997" s="19">
        <v>5996</v>
      </c>
      <c r="AH5997" s="20">
        <v>2006.8210535592136</v>
      </c>
    </row>
    <row r="5998" spans="1:34" ht="14.5" x14ac:dyDescent="0.35">
      <c r="A5998" s="34"/>
      <c r="B5998" s="35"/>
      <c r="C5998" s="36"/>
      <c r="D5998" s="37"/>
      <c r="E5998" s="36"/>
      <c r="F5998" s="42"/>
      <c r="G5998" s="42"/>
      <c r="H5998" s="42"/>
      <c r="AG5998" s="19">
        <v>5997</v>
      </c>
      <c r="AH5998" s="20">
        <v>1405.2081258869548</v>
      </c>
    </row>
    <row r="5999" spans="1:34" ht="14.5" x14ac:dyDescent="0.35">
      <c r="A5999" s="34"/>
      <c r="B5999" s="35"/>
      <c r="C5999" s="36"/>
      <c r="D5999" s="37"/>
      <c r="E5999" s="36"/>
      <c r="F5999" s="42"/>
      <c r="G5999" s="42"/>
      <c r="H5999" s="42"/>
      <c r="AG5999" s="19">
        <v>5998</v>
      </c>
      <c r="AH5999" s="20">
        <v>1077.2482331170788</v>
      </c>
    </row>
    <row r="6000" spans="1:34" ht="14.5" x14ac:dyDescent="0.35">
      <c r="A6000" s="34"/>
      <c r="B6000" s="35"/>
      <c r="C6000" s="36"/>
      <c r="D6000" s="37"/>
      <c r="E6000" s="36"/>
      <c r="F6000" s="42"/>
      <c r="G6000" s="42"/>
      <c r="H6000" s="42"/>
      <c r="AG6000" s="19">
        <v>5999</v>
      </c>
      <c r="AH6000" s="20">
        <v>106.87170601779195</v>
      </c>
    </row>
    <row r="6001" spans="1:34" ht="14.5" x14ac:dyDescent="0.35">
      <c r="A6001" s="34"/>
      <c r="B6001" s="35"/>
      <c r="C6001" s="36"/>
      <c r="D6001" s="37"/>
      <c r="E6001" s="36"/>
      <c r="F6001" s="42"/>
      <c r="G6001" s="42"/>
      <c r="H6001" s="42"/>
      <c r="AG6001" s="19">
        <v>6000</v>
      </c>
      <c r="AH6001" s="20">
        <v>-837.29244604536893</v>
      </c>
    </row>
    <row r="6002" spans="1:34" ht="14.5" x14ac:dyDescent="0.35">
      <c r="A6002" s="34"/>
      <c r="B6002" s="35"/>
      <c r="C6002" s="36"/>
      <c r="D6002" s="37"/>
      <c r="E6002" s="36"/>
      <c r="F6002" s="42"/>
      <c r="G6002" s="42"/>
      <c r="H6002" s="42"/>
      <c r="AG6002" s="19">
        <v>6001</v>
      </c>
      <c r="AH6002" s="20">
        <v>2567.4274546012166</v>
      </c>
    </row>
    <row r="6003" spans="1:34" ht="14.5" x14ac:dyDescent="0.35">
      <c r="A6003" s="34"/>
      <c r="B6003" s="35"/>
      <c r="C6003" s="36"/>
      <c r="D6003" s="37"/>
      <c r="E6003" s="36"/>
      <c r="F6003" s="42"/>
      <c r="G6003" s="42"/>
      <c r="H6003" s="42"/>
      <c r="AG6003" s="19">
        <v>6002</v>
      </c>
      <c r="AH6003" s="20">
        <v>1476.6319369667647</v>
      </c>
    </row>
    <row r="6004" spans="1:34" ht="14.5" x14ac:dyDescent="0.35">
      <c r="A6004" s="34"/>
      <c r="B6004" s="35"/>
      <c r="C6004" s="36"/>
      <c r="D6004" s="37"/>
      <c r="E6004" s="36"/>
      <c r="F6004" s="42"/>
      <c r="G6004" s="42"/>
      <c r="H6004" s="42"/>
      <c r="AG6004" s="19">
        <v>6003</v>
      </c>
      <c r="AH6004" s="20">
        <v>1002.5355983260658</v>
      </c>
    </row>
    <row r="6005" spans="1:34" ht="14.5" x14ac:dyDescent="0.35">
      <c r="A6005" s="34"/>
      <c r="B6005" s="35"/>
      <c r="C6005" s="36"/>
      <c r="D6005" s="37"/>
      <c r="E6005" s="36"/>
      <c r="F6005" s="42"/>
      <c r="G6005" s="42"/>
      <c r="H6005" s="42"/>
      <c r="AG6005" s="19">
        <v>6004</v>
      </c>
      <c r="AH6005" s="20">
        <v>-2051.3621901230504</v>
      </c>
    </row>
    <row r="6006" spans="1:34" ht="14.5" x14ac:dyDescent="0.35">
      <c r="A6006" s="34"/>
      <c r="B6006" s="35"/>
      <c r="C6006" s="36"/>
      <c r="D6006" s="37"/>
      <c r="E6006" s="36"/>
      <c r="F6006" s="42"/>
      <c r="G6006" s="42"/>
      <c r="H6006" s="42"/>
      <c r="AG6006" s="19">
        <v>6005</v>
      </c>
      <c r="AH6006" s="20">
        <v>1322.9830108247177</v>
      </c>
    </row>
    <row r="6007" spans="1:34" ht="14.5" x14ac:dyDescent="0.35">
      <c r="A6007" s="34"/>
      <c r="B6007" s="35"/>
      <c r="C6007" s="36"/>
      <c r="D6007" s="37"/>
      <c r="E6007" s="36"/>
      <c r="F6007" s="42"/>
      <c r="G6007" s="42"/>
      <c r="H6007" s="42"/>
      <c r="AG6007" s="19">
        <v>6006</v>
      </c>
      <c r="AH6007" s="20">
        <v>-1214.1814432416147</v>
      </c>
    </row>
    <row r="6008" spans="1:34" ht="14.5" x14ac:dyDescent="0.35">
      <c r="A6008" s="34"/>
      <c r="B6008" s="35"/>
      <c r="C6008" s="36"/>
      <c r="D6008" s="37"/>
      <c r="E6008" s="36"/>
      <c r="F6008" s="42"/>
      <c r="G6008" s="42"/>
      <c r="H6008" s="42"/>
      <c r="AG6008" s="19">
        <v>6007</v>
      </c>
      <c r="AH6008" s="20">
        <v>725.34807238951191</v>
      </c>
    </row>
    <row r="6009" spans="1:34" ht="14.5" x14ac:dyDescent="0.35">
      <c r="A6009" s="34"/>
      <c r="B6009" s="35"/>
      <c r="C6009" s="36"/>
      <c r="D6009" s="37"/>
      <c r="E6009" s="36"/>
      <c r="F6009" s="42"/>
      <c r="G6009" s="42"/>
      <c r="H6009" s="42"/>
      <c r="AG6009" s="19">
        <v>6008</v>
      </c>
      <c r="AH6009" s="20">
        <v>388.44321059196966</v>
      </c>
    </row>
    <row r="6010" spans="1:34" ht="14.5" x14ac:dyDescent="0.35">
      <c r="A6010" s="34"/>
      <c r="B6010" s="35"/>
      <c r="C6010" s="36"/>
      <c r="D6010" s="37"/>
      <c r="E6010" s="36"/>
      <c r="F6010" s="42"/>
      <c r="G6010" s="42"/>
      <c r="H6010" s="42"/>
      <c r="AG6010" s="19">
        <v>6009</v>
      </c>
      <c r="AH6010" s="20">
        <v>1945.7639793659075</v>
      </c>
    </row>
    <row r="6011" spans="1:34" ht="14.5" x14ac:dyDescent="0.35">
      <c r="A6011" s="34"/>
      <c r="B6011" s="35"/>
      <c r="C6011" s="36"/>
      <c r="D6011" s="37"/>
      <c r="E6011" s="36"/>
      <c r="F6011" s="42"/>
      <c r="G6011" s="42"/>
      <c r="H6011" s="42"/>
      <c r="AG6011" s="19">
        <v>6010</v>
      </c>
      <c r="AH6011" s="20">
        <v>-2127.1486909488344</v>
      </c>
    </row>
    <row r="6012" spans="1:34" ht="14.5" x14ac:dyDescent="0.35">
      <c r="A6012" s="34"/>
      <c r="B6012" s="35"/>
      <c r="C6012" s="36"/>
      <c r="D6012" s="37"/>
      <c r="E6012" s="36"/>
      <c r="F6012" s="42"/>
      <c r="G6012" s="42"/>
      <c r="H6012" s="42"/>
      <c r="AG6012" s="19">
        <v>6011</v>
      </c>
      <c r="AH6012" s="20">
        <v>339.81036815526926</v>
      </c>
    </row>
    <row r="6013" spans="1:34" ht="14.5" x14ac:dyDescent="0.35">
      <c r="A6013" s="34"/>
      <c r="B6013" s="35"/>
      <c r="C6013" s="36"/>
      <c r="D6013" s="37"/>
      <c r="E6013" s="36"/>
      <c r="F6013" s="42"/>
      <c r="G6013" s="42"/>
      <c r="H6013" s="42"/>
      <c r="AG6013" s="19">
        <v>6012</v>
      </c>
      <c r="AH6013" s="20">
        <v>1095.7132835581299</v>
      </c>
    </row>
    <row r="6014" spans="1:34" ht="14.5" x14ac:dyDescent="0.35">
      <c r="A6014" s="34"/>
      <c r="B6014" s="35"/>
      <c r="C6014" s="36"/>
      <c r="D6014" s="37"/>
      <c r="E6014" s="36"/>
      <c r="F6014" s="42"/>
      <c r="G6014" s="42"/>
      <c r="H6014" s="42"/>
      <c r="AG6014" s="19">
        <v>6013</v>
      </c>
      <c r="AH6014" s="20">
        <v>-2358.5673287594523</v>
      </c>
    </row>
    <row r="6015" spans="1:34" ht="14.5" x14ac:dyDescent="0.35">
      <c r="A6015" s="34"/>
      <c r="B6015" s="35"/>
      <c r="C6015" s="36"/>
      <c r="D6015" s="37"/>
      <c r="E6015" s="36"/>
      <c r="F6015" s="42"/>
      <c r="G6015" s="42"/>
      <c r="H6015" s="42"/>
      <c r="AG6015" s="19">
        <v>6014</v>
      </c>
      <c r="AH6015" s="20">
        <v>-3209.7519791989566</v>
      </c>
    </row>
    <row r="6016" spans="1:34" ht="14.5" x14ac:dyDescent="0.35">
      <c r="A6016" s="34"/>
      <c r="B6016" s="35"/>
      <c r="C6016" s="36"/>
      <c r="D6016" s="37"/>
      <c r="E6016" s="36"/>
      <c r="F6016" s="42"/>
      <c r="G6016" s="42"/>
      <c r="H6016" s="42"/>
      <c r="AG6016" s="19">
        <v>6015</v>
      </c>
      <c r="AH6016" s="20">
        <v>722.04119417789059</v>
      </c>
    </row>
    <row r="6017" spans="1:34" ht="14.5" x14ac:dyDescent="0.35">
      <c r="A6017" s="34"/>
      <c r="B6017" s="35"/>
      <c r="C6017" s="36"/>
      <c r="D6017" s="37"/>
      <c r="E6017" s="36"/>
      <c r="F6017" s="42"/>
      <c r="G6017" s="42"/>
      <c r="H6017" s="42"/>
      <c r="AG6017" s="19">
        <v>6016</v>
      </c>
      <c r="AH6017" s="20">
        <v>-1627.866002126229</v>
      </c>
    </row>
    <row r="6018" spans="1:34" ht="14.5" x14ac:dyDescent="0.35">
      <c r="A6018" s="34"/>
      <c r="B6018" s="35"/>
      <c r="C6018" s="36"/>
      <c r="D6018" s="37"/>
      <c r="E6018" s="36"/>
      <c r="F6018" s="42"/>
      <c r="G6018" s="42"/>
      <c r="H6018" s="42"/>
      <c r="AG6018" s="19">
        <v>6017</v>
      </c>
      <c r="AH6018" s="20">
        <v>-3759.2454836578909</v>
      </c>
    </row>
    <row r="6019" spans="1:34" ht="14.5" x14ac:dyDescent="0.35">
      <c r="A6019" s="34"/>
      <c r="B6019" s="35"/>
      <c r="C6019" s="36"/>
      <c r="D6019" s="37"/>
      <c r="E6019" s="36"/>
      <c r="F6019" s="42"/>
      <c r="G6019" s="42"/>
      <c r="H6019" s="42"/>
      <c r="AG6019" s="19">
        <v>6018</v>
      </c>
      <c r="AH6019" s="20">
        <v>1132.6189251780556</v>
      </c>
    </row>
    <row r="6020" spans="1:34" ht="14.5" x14ac:dyDescent="0.35">
      <c r="A6020" s="34"/>
      <c r="B6020" s="35"/>
      <c r="C6020" s="36"/>
      <c r="D6020" s="37"/>
      <c r="E6020" s="36"/>
      <c r="F6020" s="42"/>
      <c r="G6020" s="42"/>
      <c r="H6020" s="42"/>
      <c r="AG6020" s="19">
        <v>6019</v>
      </c>
      <c r="AH6020" s="20">
        <v>2662.4474295574969</v>
      </c>
    </row>
    <row r="6021" spans="1:34" ht="14.5" x14ac:dyDescent="0.35">
      <c r="A6021" s="34"/>
      <c r="B6021" s="35"/>
      <c r="C6021" s="36"/>
      <c r="D6021" s="37"/>
      <c r="E6021" s="36"/>
      <c r="F6021" s="42"/>
      <c r="G6021" s="42"/>
      <c r="H6021" s="42"/>
      <c r="AG6021" s="19">
        <v>6020</v>
      </c>
      <c r="AH6021" s="20">
        <v>912.22873778835219</v>
      </c>
    </row>
    <row r="6022" spans="1:34" ht="14.5" x14ac:dyDescent="0.35">
      <c r="A6022" s="34"/>
      <c r="B6022" s="35"/>
      <c r="C6022" s="36"/>
      <c r="D6022" s="37"/>
      <c r="E6022" s="36"/>
      <c r="F6022" s="42"/>
      <c r="G6022" s="42"/>
      <c r="H6022" s="42"/>
      <c r="AG6022" s="19">
        <v>6021</v>
      </c>
      <c r="AH6022" s="20">
        <v>-2214.650258653844</v>
      </c>
    </row>
    <row r="6023" spans="1:34" ht="14.5" x14ac:dyDescent="0.35">
      <c r="A6023" s="34"/>
      <c r="B6023" s="35"/>
      <c r="C6023" s="36"/>
      <c r="D6023" s="37"/>
      <c r="E6023" s="36"/>
      <c r="F6023" s="42"/>
      <c r="G6023" s="42"/>
      <c r="H6023" s="42"/>
      <c r="AG6023" s="19">
        <v>6022</v>
      </c>
      <c r="AH6023" s="20">
        <v>2554.4279602539355</v>
      </c>
    </row>
    <row r="6024" spans="1:34" ht="14.5" x14ac:dyDescent="0.35">
      <c r="A6024" s="34"/>
      <c r="B6024" s="35"/>
      <c r="C6024" s="36"/>
      <c r="D6024" s="37"/>
      <c r="E6024" s="36"/>
      <c r="F6024" s="42"/>
      <c r="G6024" s="42"/>
      <c r="H6024" s="42"/>
      <c r="AG6024" s="19">
        <v>6023</v>
      </c>
      <c r="AH6024" s="20">
        <v>-2730.8121086130727</v>
      </c>
    </row>
    <row r="6025" spans="1:34" ht="14.5" x14ac:dyDescent="0.35">
      <c r="A6025" s="34"/>
      <c r="B6025" s="35"/>
      <c r="C6025" s="36"/>
      <c r="D6025" s="37"/>
      <c r="E6025" s="36"/>
      <c r="F6025" s="42"/>
      <c r="G6025" s="42"/>
      <c r="H6025" s="42"/>
      <c r="AG6025" s="19">
        <v>6024</v>
      </c>
      <c r="AH6025" s="20">
        <v>136.30216067299921</v>
      </c>
    </row>
    <row r="6026" spans="1:34" ht="14.5" x14ac:dyDescent="0.35">
      <c r="A6026" s="34"/>
      <c r="B6026" s="35"/>
      <c r="C6026" s="36"/>
      <c r="D6026" s="37"/>
      <c r="E6026" s="36"/>
      <c r="F6026" s="42"/>
      <c r="G6026" s="42"/>
      <c r="H6026" s="42"/>
      <c r="AG6026" s="19">
        <v>6025</v>
      </c>
      <c r="AH6026" s="20">
        <v>243.65048273960238</v>
      </c>
    </row>
    <row r="6027" spans="1:34" ht="14.5" x14ac:dyDescent="0.35">
      <c r="A6027" s="34"/>
      <c r="B6027" s="35"/>
      <c r="C6027" s="36"/>
      <c r="D6027" s="37"/>
      <c r="E6027" s="36"/>
      <c r="F6027" s="42"/>
      <c r="G6027" s="42"/>
      <c r="H6027" s="42"/>
      <c r="AG6027" s="19">
        <v>6026</v>
      </c>
      <c r="AH6027" s="20">
        <v>-846.53436689061778</v>
      </c>
    </row>
    <row r="6028" spans="1:34" ht="14.5" x14ac:dyDescent="0.35">
      <c r="A6028" s="34"/>
      <c r="B6028" s="35"/>
      <c r="C6028" s="36"/>
      <c r="D6028" s="37"/>
      <c r="E6028" s="36"/>
      <c r="F6028" s="42"/>
      <c r="G6028" s="42"/>
      <c r="H6028" s="42"/>
      <c r="AG6028" s="19">
        <v>6027</v>
      </c>
      <c r="AH6028" s="20">
        <v>-1808.1429263076495</v>
      </c>
    </row>
    <row r="6029" spans="1:34" ht="14.5" x14ac:dyDescent="0.35">
      <c r="A6029" s="34"/>
      <c r="B6029" s="35"/>
      <c r="C6029" s="36"/>
      <c r="D6029" s="37"/>
      <c r="E6029" s="36"/>
      <c r="F6029" s="42"/>
      <c r="G6029" s="42"/>
      <c r="H6029" s="42"/>
      <c r="AG6029" s="19">
        <v>6028</v>
      </c>
      <c r="AH6029" s="20">
        <v>1640.5478670490086</v>
      </c>
    </row>
    <row r="6030" spans="1:34" ht="14.5" x14ac:dyDescent="0.35">
      <c r="A6030" s="34"/>
      <c r="B6030" s="35"/>
      <c r="C6030" s="36"/>
      <c r="D6030" s="37"/>
      <c r="E6030" s="36"/>
      <c r="F6030" s="42"/>
      <c r="G6030" s="42"/>
      <c r="H6030" s="42"/>
      <c r="AG6030" s="19">
        <v>6029</v>
      </c>
      <c r="AH6030" s="20">
        <v>558.51942108088429</v>
      </c>
    </row>
    <row r="6031" spans="1:34" ht="14.5" x14ac:dyDescent="0.35">
      <c r="A6031" s="34"/>
      <c r="B6031" s="35"/>
      <c r="C6031" s="36"/>
      <c r="D6031" s="37"/>
      <c r="E6031" s="36"/>
      <c r="F6031" s="42"/>
      <c r="G6031" s="42"/>
      <c r="H6031" s="42"/>
      <c r="AG6031" s="19">
        <v>6030</v>
      </c>
      <c r="AH6031" s="20">
        <v>284.73063043711869</v>
      </c>
    </row>
    <row r="6032" spans="1:34" ht="14.5" x14ac:dyDescent="0.35">
      <c r="A6032" s="34"/>
      <c r="B6032" s="35"/>
      <c r="C6032" s="36"/>
      <c r="D6032" s="37"/>
      <c r="E6032" s="36"/>
      <c r="F6032" s="42"/>
      <c r="G6032" s="42"/>
      <c r="H6032" s="42"/>
      <c r="AG6032" s="19">
        <v>6031</v>
      </c>
      <c r="AH6032" s="20">
        <v>-453.72008067621476</v>
      </c>
    </row>
    <row r="6033" spans="1:34" ht="14.5" x14ac:dyDescent="0.35">
      <c r="A6033" s="34"/>
      <c r="B6033" s="35"/>
      <c r="C6033" s="36"/>
      <c r="D6033" s="37"/>
      <c r="E6033" s="36"/>
      <c r="F6033" s="42"/>
      <c r="G6033" s="42"/>
      <c r="H6033" s="42"/>
      <c r="AG6033" s="19">
        <v>6032</v>
      </c>
      <c r="AH6033" s="20">
        <v>6.1281090373107645</v>
      </c>
    </row>
    <row r="6034" spans="1:34" ht="14.5" x14ac:dyDescent="0.35">
      <c r="A6034" s="34"/>
      <c r="B6034" s="35"/>
      <c r="C6034" s="36"/>
      <c r="D6034" s="37"/>
      <c r="E6034" s="36"/>
      <c r="F6034" s="42"/>
      <c r="G6034" s="42"/>
      <c r="H6034" s="42"/>
      <c r="AG6034" s="19">
        <v>6033</v>
      </c>
      <c r="AH6034" s="20">
        <v>4496.4893519503821</v>
      </c>
    </row>
    <row r="6035" spans="1:34" ht="14.5" x14ac:dyDescent="0.35">
      <c r="A6035" s="34"/>
      <c r="B6035" s="35"/>
      <c r="C6035" s="36"/>
      <c r="D6035" s="37"/>
      <c r="E6035" s="36"/>
      <c r="F6035" s="42"/>
      <c r="G6035" s="42"/>
      <c r="H6035" s="42"/>
      <c r="AG6035" s="19">
        <v>6034</v>
      </c>
      <c r="AH6035" s="20">
        <v>-362.32307750729234</v>
      </c>
    </row>
    <row r="6036" spans="1:34" ht="14.5" x14ac:dyDescent="0.35">
      <c r="A6036" s="34"/>
      <c r="B6036" s="35"/>
      <c r="C6036" s="36"/>
      <c r="D6036" s="37"/>
      <c r="E6036" s="36"/>
      <c r="F6036" s="42"/>
      <c r="G6036" s="42"/>
      <c r="H6036" s="42"/>
      <c r="AG6036" s="19">
        <v>6035</v>
      </c>
      <c r="AH6036" s="20">
        <v>-2239.1965395439852</v>
      </c>
    </row>
    <row r="6037" spans="1:34" ht="14.5" x14ac:dyDescent="0.35">
      <c r="A6037" s="34"/>
      <c r="B6037" s="35"/>
      <c r="C6037" s="36"/>
      <c r="D6037" s="37"/>
      <c r="E6037" s="36"/>
      <c r="F6037" s="42"/>
      <c r="G6037" s="42"/>
      <c r="H6037" s="42"/>
      <c r="AG6037" s="19">
        <v>6036</v>
      </c>
      <c r="AH6037" s="20">
        <v>2494.7635911738976</v>
      </c>
    </row>
    <row r="6038" spans="1:34" ht="14.5" x14ac:dyDescent="0.35">
      <c r="A6038" s="34"/>
      <c r="B6038" s="35"/>
      <c r="C6038" s="36"/>
      <c r="D6038" s="37"/>
      <c r="E6038" s="36"/>
      <c r="F6038" s="42"/>
      <c r="G6038" s="42"/>
      <c r="H6038" s="42"/>
      <c r="AG6038" s="19">
        <v>6037</v>
      </c>
      <c r="AH6038" s="20">
        <v>-21.833690634503796</v>
      </c>
    </row>
    <row r="6039" spans="1:34" ht="14.5" x14ac:dyDescent="0.35">
      <c r="A6039" s="34"/>
      <c r="B6039" s="35"/>
      <c r="C6039" s="36"/>
      <c r="D6039" s="37"/>
      <c r="E6039" s="36"/>
      <c r="F6039" s="42"/>
      <c r="G6039" s="42"/>
      <c r="H6039" s="42"/>
      <c r="AG6039" s="19">
        <v>6038</v>
      </c>
      <c r="AH6039" s="20">
        <v>2162.3161513921254</v>
      </c>
    </row>
    <row r="6040" spans="1:34" ht="14.5" x14ac:dyDescent="0.35">
      <c r="A6040" s="34"/>
      <c r="B6040" s="35"/>
      <c r="C6040" s="36"/>
      <c r="D6040" s="37"/>
      <c r="E6040" s="36"/>
      <c r="F6040" s="42"/>
      <c r="G6040" s="42"/>
      <c r="H6040" s="42"/>
      <c r="AG6040" s="19">
        <v>6039</v>
      </c>
      <c r="AH6040" s="20">
        <v>-1160.3216829007358</v>
      </c>
    </row>
    <row r="6041" spans="1:34" ht="14.5" x14ac:dyDescent="0.35">
      <c r="A6041" s="34"/>
      <c r="B6041" s="35"/>
      <c r="C6041" s="36"/>
      <c r="D6041" s="37"/>
      <c r="E6041" s="36"/>
      <c r="F6041" s="42"/>
      <c r="G6041" s="42"/>
      <c r="H6041" s="42"/>
      <c r="AG6041" s="19">
        <v>6040</v>
      </c>
      <c r="AH6041" s="20">
        <v>-3607.7554733210654</v>
      </c>
    </row>
    <row r="6042" spans="1:34" ht="14.5" x14ac:dyDescent="0.35">
      <c r="A6042" s="34"/>
      <c r="B6042" s="35"/>
      <c r="C6042" s="36"/>
      <c r="D6042" s="37"/>
      <c r="E6042" s="36"/>
      <c r="F6042" s="42"/>
      <c r="G6042" s="42"/>
      <c r="H6042" s="42"/>
      <c r="AG6042" s="19">
        <v>6041</v>
      </c>
      <c r="AH6042" s="20">
        <v>-1098.9838918523908</v>
      </c>
    </row>
    <row r="6043" spans="1:34" ht="14.5" x14ac:dyDescent="0.35">
      <c r="A6043" s="34"/>
      <c r="B6043" s="35"/>
      <c r="C6043" s="36"/>
      <c r="D6043" s="37"/>
      <c r="E6043" s="36"/>
      <c r="F6043" s="42"/>
      <c r="G6043" s="42"/>
      <c r="H6043" s="42"/>
      <c r="AG6043" s="19">
        <v>6042</v>
      </c>
      <c r="AH6043" s="20">
        <v>3994.1318119255943</v>
      </c>
    </row>
    <row r="6044" spans="1:34" ht="14.5" x14ac:dyDescent="0.35">
      <c r="A6044" s="34"/>
      <c r="B6044" s="35"/>
      <c r="C6044" s="36"/>
      <c r="D6044" s="37"/>
      <c r="E6044" s="36"/>
      <c r="F6044" s="42"/>
      <c r="G6044" s="42"/>
      <c r="H6044" s="42"/>
      <c r="AG6044" s="19">
        <v>6043</v>
      </c>
      <c r="AH6044" s="20">
        <v>1353.1976108472509</v>
      </c>
    </row>
    <row r="6045" spans="1:34" ht="14.5" x14ac:dyDescent="0.35">
      <c r="A6045" s="34"/>
      <c r="B6045" s="35"/>
      <c r="C6045" s="36"/>
      <c r="D6045" s="37"/>
      <c r="E6045" s="36"/>
      <c r="F6045" s="42"/>
      <c r="G6045" s="42"/>
      <c r="H6045" s="42"/>
      <c r="AG6045" s="19">
        <v>6044</v>
      </c>
      <c r="AH6045" s="20">
        <v>338.28740315372204</v>
      </c>
    </row>
    <row r="6046" spans="1:34" ht="14.5" x14ac:dyDescent="0.35">
      <c r="A6046" s="34"/>
      <c r="B6046" s="35"/>
      <c r="C6046" s="36"/>
      <c r="D6046" s="37"/>
      <c r="E6046" s="36"/>
      <c r="F6046" s="42"/>
      <c r="G6046" s="42"/>
      <c r="H6046" s="42"/>
      <c r="AG6046" s="19">
        <v>6045</v>
      </c>
      <c r="AH6046" s="20">
        <v>-3444.7175287198252</v>
      </c>
    </row>
    <row r="6047" spans="1:34" ht="14.5" x14ac:dyDescent="0.35">
      <c r="A6047" s="34"/>
      <c r="B6047" s="35"/>
      <c r="C6047" s="36"/>
      <c r="D6047" s="37"/>
      <c r="E6047" s="36"/>
      <c r="F6047" s="42"/>
      <c r="G6047" s="42"/>
      <c r="H6047" s="42"/>
      <c r="AG6047" s="19">
        <v>6046</v>
      </c>
      <c r="AH6047" s="20">
        <v>-757.76733787586591</v>
      </c>
    </row>
    <row r="6048" spans="1:34" ht="14.5" x14ac:dyDescent="0.35">
      <c r="A6048" s="34"/>
      <c r="B6048" s="35"/>
      <c r="C6048" s="36"/>
      <c r="D6048" s="37"/>
      <c r="E6048" s="36"/>
      <c r="F6048" s="42"/>
      <c r="G6048" s="42"/>
      <c r="H6048" s="42"/>
      <c r="AG6048" s="19">
        <v>6047</v>
      </c>
      <c r="AH6048" s="20">
        <v>-1573.7844132710491</v>
      </c>
    </row>
    <row r="6049" spans="1:34" ht="14.5" x14ac:dyDescent="0.35">
      <c r="A6049" s="34"/>
      <c r="B6049" s="35"/>
      <c r="C6049" s="36"/>
      <c r="D6049" s="37"/>
      <c r="E6049" s="36"/>
      <c r="F6049" s="42"/>
      <c r="G6049" s="42"/>
      <c r="H6049" s="42"/>
      <c r="AG6049" s="19">
        <v>6048</v>
      </c>
      <c r="AH6049" s="20">
        <v>62.834125568335196</v>
      </c>
    </row>
    <row r="6050" spans="1:34" ht="14.5" x14ac:dyDescent="0.35">
      <c r="A6050" s="34"/>
      <c r="B6050" s="35"/>
      <c r="C6050" s="36"/>
      <c r="D6050" s="37"/>
      <c r="E6050" s="36"/>
      <c r="F6050" s="42"/>
      <c r="G6050" s="42"/>
      <c r="H6050" s="42"/>
      <c r="AG6050" s="19">
        <v>6049</v>
      </c>
      <c r="AH6050" s="20">
        <v>2749.2576331419095</v>
      </c>
    </row>
    <row r="6051" spans="1:34" ht="14.5" x14ac:dyDescent="0.35">
      <c r="A6051" s="34"/>
      <c r="B6051" s="35"/>
      <c r="C6051" s="36"/>
      <c r="D6051" s="37"/>
      <c r="E6051" s="36"/>
      <c r="F6051" s="42"/>
      <c r="G6051" s="42"/>
      <c r="H6051" s="42"/>
      <c r="AG6051" s="19">
        <v>6050</v>
      </c>
      <c r="AH6051" s="20">
        <v>2603.7792116563828</v>
      </c>
    </row>
    <row r="6052" spans="1:34" ht="14.5" x14ac:dyDescent="0.35">
      <c r="A6052" s="34"/>
      <c r="B6052" s="35"/>
      <c r="C6052" s="36"/>
      <c r="D6052" s="37"/>
      <c r="E6052" s="36"/>
      <c r="F6052" s="42"/>
      <c r="G6052" s="42"/>
      <c r="H6052" s="42"/>
      <c r="AG6052" s="19">
        <v>6051</v>
      </c>
      <c r="AH6052" s="20">
        <v>-2249.4804089949125</v>
      </c>
    </row>
    <row r="6053" spans="1:34" ht="14.5" x14ac:dyDescent="0.35">
      <c r="A6053" s="34"/>
      <c r="B6053" s="35"/>
      <c r="C6053" s="36"/>
      <c r="D6053" s="37"/>
      <c r="E6053" s="36"/>
      <c r="F6053" s="42"/>
      <c r="G6053" s="42"/>
      <c r="H6053" s="42"/>
      <c r="AG6053" s="19">
        <v>6052</v>
      </c>
      <c r="AH6053" s="20">
        <v>3894.2910767437434</v>
      </c>
    </row>
    <row r="6054" spans="1:34" ht="14.5" x14ac:dyDescent="0.35">
      <c r="A6054" s="34"/>
      <c r="B6054" s="35"/>
      <c r="C6054" s="36"/>
      <c r="D6054" s="37"/>
      <c r="E6054" s="36"/>
      <c r="F6054" s="42"/>
      <c r="G6054" s="42"/>
      <c r="H6054" s="42"/>
      <c r="AG6054" s="19">
        <v>6053</v>
      </c>
      <c r="AH6054" s="20">
        <v>-1742.3412954902867</v>
      </c>
    </row>
    <row r="6055" spans="1:34" ht="14.5" x14ac:dyDescent="0.35">
      <c r="A6055" s="34"/>
      <c r="B6055" s="35"/>
      <c r="C6055" s="36"/>
      <c r="D6055" s="37"/>
      <c r="E6055" s="36"/>
      <c r="F6055" s="42"/>
      <c r="G6055" s="42"/>
      <c r="H6055" s="42"/>
      <c r="AG6055" s="19">
        <v>6054</v>
      </c>
      <c r="AH6055" s="20">
        <v>-298.94083503184203</v>
      </c>
    </row>
    <row r="6056" spans="1:34" ht="14.5" x14ac:dyDescent="0.35">
      <c r="A6056" s="34"/>
      <c r="B6056" s="35"/>
      <c r="C6056" s="36"/>
      <c r="D6056" s="37"/>
      <c r="E6056" s="36"/>
      <c r="F6056" s="42"/>
      <c r="G6056" s="42"/>
      <c r="H6056" s="42"/>
      <c r="AG6056" s="19">
        <v>6055</v>
      </c>
      <c r="AH6056" s="20">
        <v>3682.8882947138532</v>
      </c>
    </row>
    <row r="6057" spans="1:34" ht="14.5" x14ac:dyDescent="0.35">
      <c r="A6057" s="34"/>
      <c r="B6057" s="35"/>
      <c r="C6057" s="36"/>
      <c r="D6057" s="37"/>
      <c r="E6057" s="36"/>
      <c r="F6057" s="42"/>
      <c r="G6057" s="42"/>
      <c r="H6057" s="42"/>
      <c r="AG6057" s="19">
        <v>6056</v>
      </c>
      <c r="AH6057" s="20">
        <v>2730.1693517605536</v>
      </c>
    </row>
    <row r="6058" spans="1:34" ht="14.5" x14ac:dyDescent="0.35">
      <c r="A6058" s="34"/>
      <c r="B6058" s="35"/>
      <c r="C6058" s="36"/>
      <c r="D6058" s="37"/>
      <c r="E6058" s="36"/>
      <c r="F6058" s="42"/>
      <c r="G6058" s="42"/>
      <c r="H6058" s="42"/>
      <c r="AG6058" s="19">
        <v>6057</v>
      </c>
      <c r="AH6058" s="20">
        <v>-2607.0773707707053</v>
      </c>
    </row>
    <row r="6059" spans="1:34" ht="14.5" x14ac:dyDescent="0.35">
      <c r="A6059" s="34"/>
      <c r="B6059" s="35"/>
      <c r="C6059" s="36"/>
      <c r="D6059" s="37"/>
      <c r="E6059" s="36"/>
      <c r="F6059" s="42"/>
      <c r="G6059" s="42"/>
      <c r="H6059" s="42"/>
      <c r="AG6059" s="19">
        <v>6058</v>
      </c>
      <c r="AH6059" s="20">
        <v>3.7602562290337005</v>
      </c>
    </row>
    <row r="6060" spans="1:34" ht="14.5" x14ac:dyDescent="0.35">
      <c r="A6060" s="34"/>
      <c r="B6060" s="35"/>
      <c r="C6060" s="36"/>
      <c r="D6060" s="37"/>
      <c r="E6060" s="36"/>
      <c r="F6060" s="42"/>
      <c r="G6060" s="42"/>
      <c r="H6060" s="42"/>
      <c r="AG6060" s="19">
        <v>6059</v>
      </c>
      <c r="AH6060" s="20">
        <v>1551.6340328392516</v>
      </c>
    </row>
    <row r="6061" spans="1:34" ht="14.5" x14ac:dyDescent="0.35">
      <c r="A6061" s="34"/>
      <c r="B6061" s="35"/>
      <c r="C6061" s="36"/>
      <c r="D6061" s="37"/>
      <c r="E6061" s="36"/>
      <c r="F6061" s="42"/>
      <c r="G6061" s="42"/>
      <c r="H6061" s="42"/>
      <c r="AG6061" s="19">
        <v>6060</v>
      </c>
      <c r="AH6061" s="20">
        <v>3966.8027947994829</v>
      </c>
    </row>
    <row r="6062" spans="1:34" ht="14.5" x14ac:dyDescent="0.35">
      <c r="A6062" s="34"/>
      <c r="B6062" s="35"/>
      <c r="C6062" s="36"/>
      <c r="D6062" s="37"/>
      <c r="E6062" s="36"/>
      <c r="F6062" s="42"/>
      <c r="G6062" s="42"/>
      <c r="H6062" s="42"/>
      <c r="AG6062" s="19">
        <v>6061</v>
      </c>
      <c r="AH6062" s="20">
        <v>-183.51795118369176</v>
      </c>
    </row>
    <row r="6063" spans="1:34" ht="14.5" x14ac:dyDescent="0.35">
      <c r="A6063" s="34"/>
      <c r="B6063" s="35"/>
      <c r="C6063" s="36"/>
      <c r="D6063" s="37"/>
      <c r="E6063" s="36"/>
      <c r="F6063" s="42"/>
      <c r="G6063" s="42"/>
      <c r="H6063" s="42"/>
      <c r="AG6063" s="19">
        <v>6062</v>
      </c>
      <c r="AH6063" s="20">
        <v>-2544.3123028768186</v>
      </c>
    </row>
    <row r="6064" spans="1:34" ht="14.5" x14ac:dyDescent="0.35">
      <c r="A6064" s="34"/>
      <c r="B6064" s="35"/>
      <c r="C6064" s="36"/>
      <c r="D6064" s="37"/>
      <c r="E6064" s="36"/>
      <c r="F6064" s="42"/>
      <c r="G6064" s="42"/>
      <c r="H6064" s="42"/>
      <c r="AG6064" s="19">
        <v>6063</v>
      </c>
      <c r="AH6064" s="20">
        <v>1598.4523679938341</v>
      </c>
    </row>
    <row r="6065" spans="1:34" ht="14.5" x14ac:dyDescent="0.35">
      <c r="A6065" s="34"/>
      <c r="B6065" s="35"/>
      <c r="C6065" s="36"/>
      <c r="D6065" s="37"/>
      <c r="E6065" s="36"/>
      <c r="F6065" s="42"/>
      <c r="G6065" s="42"/>
      <c r="H6065" s="42"/>
      <c r="AG6065" s="19">
        <v>6064</v>
      </c>
      <c r="AH6065" s="20">
        <v>1980.5815795585215</v>
      </c>
    </row>
    <row r="6066" spans="1:34" ht="14.5" x14ac:dyDescent="0.35">
      <c r="A6066" s="34"/>
      <c r="B6066" s="35"/>
      <c r="C6066" s="36"/>
      <c r="D6066" s="37"/>
      <c r="E6066" s="36"/>
      <c r="F6066" s="42"/>
      <c r="G6066" s="42"/>
      <c r="H6066" s="42"/>
      <c r="AG6066" s="19">
        <v>6065</v>
      </c>
      <c r="AH6066" s="20">
        <v>2841.8030623713248</v>
      </c>
    </row>
    <row r="6067" spans="1:34" ht="14.5" x14ac:dyDescent="0.35">
      <c r="A6067" s="34"/>
      <c r="B6067" s="35"/>
      <c r="C6067" s="36"/>
      <c r="D6067" s="37"/>
      <c r="E6067" s="36"/>
      <c r="F6067" s="42"/>
      <c r="G6067" s="42"/>
      <c r="H6067" s="42"/>
      <c r="AG6067" s="19">
        <v>6066</v>
      </c>
      <c r="AH6067" s="20">
        <v>-32.777906775195106</v>
      </c>
    </row>
    <row r="6068" spans="1:34" ht="14.5" x14ac:dyDescent="0.35">
      <c r="A6068" s="34"/>
      <c r="B6068" s="35"/>
      <c r="C6068" s="36"/>
      <c r="D6068" s="37"/>
      <c r="E6068" s="36"/>
      <c r="F6068" s="42"/>
      <c r="G6068" s="42"/>
      <c r="H6068" s="42"/>
      <c r="AG6068" s="19">
        <v>6067</v>
      </c>
      <c r="AH6068" s="20">
        <v>591.75755930690957</v>
      </c>
    </row>
    <row r="6069" spans="1:34" ht="14.5" x14ac:dyDescent="0.35">
      <c r="A6069" s="34"/>
      <c r="B6069" s="35"/>
      <c r="C6069" s="36"/>
      <c r="D6069" s="37"/>
      <c r="E6069" s="36"/>
      <c r="F6069" s="42"/>
      <c r="G6069" s="42"/>
      <c r="H6069" s="42"/>
      <c r="AG6069" s="19">
        <v>6068</v>
      </c>
      <c r="AH6069" s="20">
        <v>1742.4617725130074</v>
      </c>
    </row>
    <row r="6070" spans="1:34" ht="14.5" x14ac:dyDescent="0.35">
      <c r="A6070" s="34"/>
      <c r="B6070" s="35"/>
      <c r="C6070" s="36"/>
      <c r="D6070" s="37"/>
      <c r="E6070" s="36"/>
      <c r="F6070" s="42"/>
      <c r="G6070" s="42"/>
      <c r="H6070" s="42"/>
      <c r="AG6070" s="19">
        <v>6069</v>
      </c>
      <c r="AH6070" s="20">
        <v>-2636.2708090278261</v>
      </c>
    </row>
    <row r="6071" spans="1:34" ht="14.5" x14ac:dyDescent="0.35">
      <c r="A6071" s="34"/>
      <c r="B6071" s="35"/>
      <c r="C6071" s="36"/>
      <c r="D6071" s="37"/>
      <c r="E6071" s="36"/>
      <c r="F6071" s="42"/>
      <c r="G6071" s="42"/>
      <c r="H6071" s="42"/>
      <c r="AG6071" s="19">
        <v>6070</v>
      </c>
      <c r="AH6071" s="20">
        <v>-206.9859814465155</v>
      </c>
    </row>
    <row r="6072" spans="1:34" ht="14.5" x14ac:dyDescent="0.35">
      <c r="A6072" s="34"/>
      <c r="B6072" s="35"/>
      <c r="C6072" s="36"/>
      <c r="D6072" s="37"/>
      <c r="E6072" s="36"/>
      <c r="F6072" s="42"/>
      <c r="G6072" s="42"/>
      <c r="H6072" s="42"/>
      <c r="AG6072" s="19">
        <v>6071</v>
      </c>
      <c r="AH6072" s="20">
        <v>7.7391851538063747</v>
      </c>
    </row>
    <row r="6073" spans="1:34" ht="14.5" x14ac:dyDescent="0.35">
      <c r="A6073" s="34"/>
      <c r="B6073" s="35"/>
      <c r="C6073" s="36"/>
      <c r="D6073" s="37"/>
      <c r="E6073" s="36"/>
      <c r="F6073" s="42"/>
      <c r="G6073" s="42"/>
      <c r="H6073" s="42"/>
      <c r="AG6073" s="19">
        <v>6072</v>
      </c>
      <c r="AH6073" s="20">
        <v>4022.7819922939088</v>
      </c>
    </row>
    <row r="6074" spans="1:34" ht="14.5" x14ac:dyDescent="0.35">
      <c r="A6074" s="34"/>
      <c r="B6074" s="35"/>
      <c r="C6074" s="36"/>
      <c r="D6074" s="37"/>
      <c r="E6074" s="36"/>
      <c r="F6074" s="42"/>
      <c r="G6074" s="42"/>
      <c r="H6074" s="42"/>
      <c r="AG6074" s="19">
        <v>6073</v>
      </c>
      <c r="AH6074" s="20">
        <v>-33.964611059716788</v>
      </c>
    </row>
    <row r="6075" spans="1:34" ht="14.5" x14ac:dyDescent="0.35">
      <c r="A6075" s="34"/>
      <c r="B6075" s="35"/>
      <c r="C6075" s="36"/>
      <c r="D6075" s="37"/>
      <c r="E6075" s="36"/>
      <c r="F6075" s="42"/>
      <c r="G6075" s="42"/>
      <c r="H6075" s="42"/>
      <c r="AG6075" s="19">
        <v>6074</v>
      </c>
      <c r="AH6075" s="20">
        <v>265.00553613880402</v>
      </c>
    </row>
    <row r="6076" spans="1:34" ht="14.5" x14ac:dyDescent="0.35">
      <c r="A6076" s="34"/>
      <c r="B6076" s="35"/>
      <c r="C6076" s="36"/>
      <c r="D6076" s="37"/>
      <c r="E6076" s="36"/>
      <c r="F6076" s="42"/>
      <c r="G6076" s="42"/>
      <c r="H6076" s="42"/>
      <c r="AG6076" s="19">
        <v>6075</v>
      </c>
      <c r="AH6076" s="20">
        <v>-632.96928688629828</v>
      </c>
    </row>
    <row r="6077" spans="1:34" ht="14.5" x14ac:dyDescent="0.35">
      <c r="A6077" s="34"/>
      <c r="B6077" s="35"/>
      <c r="C6077" s="36"/>
      <c r="D6077" s="37"/>
      <c r="E6077" s="36"/>
      <c r="F6077" s="42"/>
      <c r="G6077" s="42"/>
      <c r="H6077" s="42"/>
      <c r="AG6077" s="19">
        <v>6076</v>
      </c>
      <c r="AH6077" s="20">
        <v>-1588.5081375849461</v>
      </c>
    </row>
    <row r="6078" spans="1:34" ht="14.5" x14ac:dyDescent="0.35">
      <c r="A6078" s="34"/>
      <c r="B6078" s="35"/>
      <c r="C6078" s="36"/>
      <c r="D6078" s="37"/>
      <c r="E6078" s="36"/>
      <c r="F6078" s="42"/>
      <c r="G6078" s="42"/>
      <c r="H6078" s="42"/>
      <c r="AG6078" s="19">
        <v>6077</v>
      </c>
      <c r="AH6078" s="20">
        <v>-2183.1978340143592</v>
      </c>
    </row>
    <row r="6079" spans="1:34" ht="14.5" x14ac:dyDescent="0.35">
      <c r="A6079" s="34"/>
      <c r="B6079" s="35"/>
      <c r="C6079" s="36"/>
      <c r="D6079" s="37"/>
      <c r="E6079" s="36"/>
      <c r="F6079" s="42"/>
      <c r="G6079" s="42"/>
      <c r="H6079" s="42"/>
      <c r="AG6079" s="19">
        <v>6078</v>
      </c>
      <c r="AH6079" s="20">
        <v>-459.34310754231734</v>
      </c>
    </row>
    <row r="6080" spans="1:34" ht="14.5" x14ac:dyDescent="0.35">
      <c r="A6080" s="34"/>
      <c r="B6080" s="35"/>
      <c r="C6080" s="36"/>
      <c r="D6080" s="37"/>
      <c r="E6080" s="36"/>
      <c r="F6080" s="42"/>
      <c r="G6080" s="42"/>
      <c r="H6080" s="42"/>
      <c r="AG6080" s="19">
        <v>6079</v>
      </c>
      <c r="AH6080" s="20">
        <v>-1449.6100425761736</v>
      </c>
    </row>
    <row r="6081" spans="1:34" ht="14.5" x14ac:dyDescent="0.35">
      <c r="A6081" s="34"/>
      <c r="B6081" s="35"/>
      <c r="C6081" s="36"/>
      <c r="D6081" s="37"/>
      <c r="E6081" s="36"/>
      <c r="F6081" s="42"/>
      <c r="G6081" s="42"/>
      <c r="H6081" s="42"/>
      <c r="AG6081" s="19">
        <v>6080</v>
      </c>
      <c r="AH6081" s="20">
        <v>-999.84787667727619</v>
      </c>
    </row>
    <row r="6082" spans="1:34" ht="14.5" x14ac:dyDescent="0.35">
      <c r="A6082" s="34"/>
      <c r="B6082" s="35"/>
      <c r="C6082" s="36"/>
      <c r="D6082" s="37"/>
      <c r="E6082" s="36"/>
      <c r="F6082" s="42"/>
      <c r="G6082" s="42"/>
      <c r="H6082" s="42"/>
      <c r="AG6082" s="19">
        <v>6081</v>
      </c>
      <c r="AH6082" s="20">
        <v>-2917.4151162501034</v>
      </c>
    </row>
    <row r="6083" spans="1:34" ht="14.5" x14ac:dyDescent="0.35">
      <c r="A6083" s="34"/>
      <c r="B6083" s="35"/>
      <c r="C6083" s="36"/>
      <c r="D6083" s="37"/>
      <c r="E6083" s="36"/>
      <c r="F6083" s="42"/>
      <c r="G6083" s="42"/>
      <c r="H6083" s="42"/>
      <c r="AG6083" s="19">
        <v>6082</v>
      </c>
      <c r="AH6083" s="20">
        <v>537.24113801108274</v>
      </c>
    </row>
    <row r="6084" spans="1:34" ht="14.5" x14ac:dyDescent="0.35">
      <c r="A6084" s="34"/>
      <c r="B6084" s="35"/>
      <c r="C6084" s="36"/>
      <c r="D6084" s="37"/>
      <c r="E6084" s="36"/>
      <c r="F6084" s="42"/>
      <c r="G6084" s="42"/>
      <c r="H6084" s="42"/>
      <c r="AG6084" s="19">
        <v>6083</v>
      </c>
      <c r="AH6084" s="20">
        <v>1297.7207886887693</v>
      </c>
    </row>
    <row r="6085" spans="1:34" ht="14.5" x14ac:dyDescent="0.35">
      <c r="A6085" s="34"/>
      <c r="B6085" s="35"/>
      <c r="C6085" s="36"/>
      <c r="D6085" s="37"/>
      <c r="E6085" s="36"/>
      <c r="F6085" s="42"/>
      <c r="G6085" s="42"/>
      <c r="H6085" s="42"/>
      <c r="AG6085" s="19">
        <v>6084</v>
      </c>
      <c r="AH6085" s="20">
        <v>-2499.0156655130822</v>
      </c>
    </row>
    <row r="6086" spans="1:34" ht="14.5" x14ac:dyDescent="0.35">
      <c r="A6086" s="34"/>
      <c r="B6086" s="35"/>
      <c r="C6086" s="36"/>
      <c r="D6086" s="37"/>
      <c r="E6086" s="36"/>
      <c r="F6086" s="42"/>
      <c r="G6086" s="42"/>
      <c r="H6086" s="42"/>
      <c r="AG6086" s="19">
        <v>6085</v>
      </c>
      <c r="AH6086" s="20">
        <v>-1297.1223079609395</v>
      </c>
    </row>
    <row r="6087" spans="1:34" ht="14.5" x14ac:dyDescent="0.35">
      <c r="A6087" s="34"/>
      <c r="B6087" s="35"/>
      <c r="C6087" s="36"/>
      <c r="D6087" s="37"/>
      <c r="E6087" s="36"/>
      <c r="F6087" s="42"/>
      <c r="G6087" s="42"/>
      <c r="H6087" s="42"/>
      <c r="AG6087" s="19">
        <v>6086</v>
      </c>
      <c r="AH6087" s="20">
        <v>2489.1127800062927</v>
      </c>
    </row>
    <row r="6088" spans="1:34" ht="14.5" x14ac:dyDescent="0.35">
      <c r="A6088" s="34"/>
      <c r="B6088" s="35"/>
      <c r="C6088" s="36"/>
      <c r="D6088" s="37"/>
      <c r="E6088" s="36"/>
      <c r="F6088" s="42"/>
      <c r="G6088" s="42"/>
      <c r="H6088" s="42"/>
      <c r="AG6088" s="19">
        <v>6087</v>
      </c>
      <c r="AH6088" s="20">
        <v>-304.48685022724425</v>
      </c>
    </row>
    <row r="6089" spans="1:34" ht="14.5" x14ac:dyDescent="0.35">
      <c r="A6089" s="34"/>
      <c r="B6089" s="35"/>
      <c r="C6089" s="36"/>
      <c r="D6089" s="37"/>
      <c r="E6089" s="36"/>
      <c r="F6089" s="42"/>
      <c r="G6089" s="42"/>
      <c r="H6089" s="42"/>
      <c r="AG6089" s="19">
        <v>6088</v>
      </c>
      <c r="AH6089" s="20">
        <v>3381.9351950170208</v>
      </c>
    </row>
    <row r="6090" spans="1:34" ht="14.5" x14ac:dyDescent="0.35">
      <c r="A6090" s="34"/>
      <c r="B6090" s="35"/>
      <c r="C6090" s="36"/>
      <c r="D6090" s="37"/>
      <c r="E6090" s="36"/>
      <c r="F6090" s="42"/>
      <c r="G6090" s="42"/>
      <c r="H6090" s="42"/>
      <c r="AG6090" s="19">
        <v>6089</v>
      </c>
      <c r="AH6090" s="20">
        <v>3225.7458925994847</v>
      </c>
    </row>
    <row r="6091" spans="1:34" ht="14.5" x14ac:dyDescent="0.35">
      <c r="A6091" s="34"/>
      <c r="B6091" s="35"/>
      <c r="C6091" s="36"/>
      <c r="D6091" s="37"/>
      <c r="E6091" s="36"/>
      <c r="F6091" s="42"/>
      <c r="G6091" s="42"/>
      <c r="H6091" s="42"/>
      <c r="AG6091" s="19">
        <v>6090</v>
      </c>
      <c r="AH6091" s="20">
        <v>151.0661332273086</v>
      </c>
    </row>
    <row r="6092" spans="1:34" ht="14.5" x14ac:dyDescent="0.35">
      <c r="A6092" s="34"/>
      <c r="B6092" s="35"/>
      <c r="C6092" s="36"/>
      <c r="D6092" s="37"/>
      <c r="E6092" s="36"/>
      <c r="F6092" s="42"/>
      <c r="G6092" s="42"/>
      <c r="H6092" s="42"/>
      <c r="AG6092" s="19">
        <v>6091</v>
      </c>
      <c r="AH6092" s="20">
        <v>3755.1403630681589</v>
      </c>
    </row>
    <row r="6093" spans="1:34" ht="14.5" x14ac:dyDescent="0.35">
      <c r="A6093" s="34"/>
      <c r="B6093" s="35"/>
      <c r="C6093" s="36"/>
      <c r="D6093" s="37"/>
      <c r="E6093" s="36"/>
      <c r="F6093" s="42"/>
      <c r="G6093" s="42"/>
      <c r="H6093" s="42"/>
      <c r="AG6093" s="19">
        <v>6092</v>
      </c>
      <c r="AH6093" s="20">
        <v>1057.9191844586483</v>
      </c>
    </row>
    <row r="6094" spans="1:34" ht="14.5" x14ac:dyDescent="0.35">
      <c r="A6094" s="34"/>
      <c r="B6094" s="35"/>
      <c r="C6094" s="36"/>
      <c r="D6094" s="37"/>
      <c r="E6094" s="36"/>
      <c r="F6094" s="42"/>
      <c r="G6094" s="42"/>
      <c r="H6094" s="42"/>
      <c r="AG6094" s="19">
        <v>6093</v>
      </c>
      <c r="AH6094" s="20">
        <v>-890.16116223364384</v>
      </c>
    </row>
    <row r="6095" spans="1:34" ht="14.5" x14ac:dyDescent="0.35">
      <c r="A6095" s="34"/>
      <c r="B6095" s="35"/>
      <c r="C6095" s="36"/>
      <c r="D6095" s="37"/>
      <c r="E6095" s="36"/>
      <c r="F6095" s="42"/>
      <c r="G6095" s="42"/>
      <c r="H6095" s="42"/>
      <c r="AG6095" s="19">
        <v>6094</v>
      </c>
      <c r="AH6095" s="20">
        <v>-3630.4935081357266</v>
      </c>
    </row>
    <row r="6096" spans="1:34" ht="14.5" x14ac:dyDescent="0.35">
      <c r="A6096" s="34"/>
      <c r="B6096" s="35"/>
      <c r="C6096" s="36"/>
      <c r="D6096" s="37"/>
      <c r="E6096" s="36"/>
      <c r="F6096" s="42"/>
      <c r="G6096" s="42"/>
      <c r="H6096" s="42"/>
      <c r="AG6096" s="19">
        <v>6095</v>
      </c>
      <c r="AH6096" s="20">
        <v>35.832719653607285</v>
      </c>
    </row>
    <row r="6097" spans="1:34" ht="14.5" x14ac:dyDescent="0.35">
      <c r="A6097" s="34"/>
      <c r="B6097" s="35"/>
      <c r="C6097" s="36"/>
      <c r="D6097" s="37"/>
      <c r="E6097" s="36"/>
      <c r="F6097" s="42"/>
      <c r="G6097" s="42"/>
      <c r="H6097" s="42"/>
      <c r="AG6097" s="19">
        <v>6096</v>
      </c>
      <c r="AH6097" s="20">
        <v>899.36659540570713</v>
      </c>
    </row>
    <row r="6098" spans="1:34" ht="14.5" x14ac:dyDescent="0.35">
      <c r="A6098" s="34"/>
      <c r="B6098" s="35"/>
      <c r="C6098" s="36"/>
      <c r="D6098" s="37"/>
      <c r="E6098" s="36"/>
      <c r="F6098" s="42"/>
      <c r="G6098" s="42"/>
      <c r="H6098" s="42"/>
      <c r="AG6098" s="19">
        <v>6097</v>
      </c>
      <c r="AH6098" s="20">
        <v>2231.2956900829304</v>
      </c>
    </row>
    <row r="6099" spans="1:34" ht="14.5" x14ac:dyDescent="0.35">
      <c r="A6099" s="34"/>
      <c r="B6099" s="35"/>
      <c r="C6099" s="36"/>
      <c r="D6099" s="37"/>
      <c r="E6099" s="36"/>
      <c r="F6099" s="42"/>
      <c r="G6099" s="42"/>
      <c r="H6099" s="42"/>
      <c r="AG6099" s="19">
        <v>6098</v>
      </c>
      <c r="AH6099" s="20">
        <v>-862.51529844206061</v>
      </c>
    </row>
    <row r="6100" spans="1:34" ht="14.5" x14ac:dyDescent="0.35">
      <c r="A6100" s="34"/>
      <c r="B6100" s="35"/>
      <c r="C6100" s="36"/>
      <c r="D6100" s="37"/>
      <c r="E6100" s="36"/>
      <c r="F6100" s="42"/>
      <c r="G6100" s="42"/>
      <c r="H6100" s="42"/>
      <c r="AG6100" s="19">
        <v>6099</v>
      </c>
      <c r="AH6100" s="20">
        <v>792.45634601296513</v>
      </c>
    </row>
    <row r="6101" spans="1:34" ht="14.5" x14ac:dyDescent="0.35">
      <c r="A6101" s="34"/>
      <c r="B6101" s="35"/>
      <c r="C6101" s="36"/>
      <c r="D6101" s="37"/>
      <c r="E6101" s="36"/>
      <c r="F6101" s="42"/>
      <c r="G6101" s="42"/>
      <c r="H6101" s="42"/>
      <c r="AG6101" s="19">
        <v>6100</v>
      </c>
      <c r="AH6101" s="20">
        <v>-3380.1142743466921</v>
      </c>
    </row>
    <row r="6102" spans="1:34" ht="14.5" x14ac:dyDescent="0.35">
      <c r="A6102" s="34"/>
      <c r="B6102" s="35"/>
      <c r="C6102" s="36"/>
      <c r="D6102" s="37"/>
      <c r="E6102" s="36"/>
      <c r="F6102" s="42"/>
      <c r="G6102" s="42"/>
      <c r="H6102" s="42"/>
      <c r="AG6102" s="19">
        <v>6101</v>
      </c>
      <c r="AH6102" s="20">
        <v>1020.8006298035955</v>
      </c>
    </row>
    <row r="6103" spans="1:34" ht="14.5" x14ac:dyDescent="0.35">
      <c r="A6103" s="34"/>
      <c r="B6103" s="35"/>
      <c r="C6103" s="36"/>
      <c r="D6103" s="37"/>
      <c r="E6103" s="36"/>
      <c r="F6103" s="42"/>
      <c r="G6103" s="42"/>
      <c r="H6103" s="42"/>
      <c r="AG6103" s="19">
        <v>6102</v>
      </c>
      <c r="AH6103" s="20">
        <v>-958.17710612219753</v>
      </c>
    </row>
    <row r="6104" spans="1:34" ht="14.5" x14ac:dyDescent="0.35">
      <c r="A6104" s="34"/>
      <c r="B6104" s="35"/>
      <c r="C6104" s="36"/>
      <c r="D6104" s="37"/>
      <c r="E6104" s="36"/>
      <c r="F6104" s="42"/>
      <c r="G6104" s="42"/>
      <c r="H6104" s="42"/>
      <c r="AG6104" s="19">
        <v>6103</v>
      </c>
      <c r="AH6104" s="20">
        <v>1826.876191320973</v>
      </c>
    </row>
    <row r="6105" spans="1:34" ht="14.5" x14ac:dyDescent="0.35">
      <c r="A6105" s="34"/>
      <c r="B6105" s="35"/>
      <c r="C6105" s="36"/>
      <c r="D6105" s="37"/>
      <c r="E6105" s="36"/>
      <c r="F6105" s="42"/>
      <c r="G6105" s="42"/>
      <c r="H6105" s="42"/>
      <c r="AG6105" s="19">
        <v>6104</v>
      </c>
      <c r="AH6105" s="20">
        <v>697.86057558744142</v>
      </c>
    </row>
    <row r="6106" spans="1:34" ht="14.5" x14ac:dyDescent="0.35">
      <c r="A6106" s="34"/>
      <c r="B6106" s="35"/>
      <c r="C6106" s="36"/>
      <c r="D6106" s="37"/>
      <c r="E6106" s="36"/>
      <c r="F6106" s="42"/>
      <c r="G6106" s="42"/>
      <c r="H6106" s="42"/>
      <c r="AG6106" s="19">
        <v>6105</v>
      </c>
      <c r="AH6106" s="20">
        <v>-1695.4690682094094</v>
      </c>
    </row>
    <row r="6107" spans="1:34" ht="14.5" x14ac:dyDescent="0.35">
      <c r="A6107" s="34"/>
      <c r="B6107" s="35"/>
      <c r="C6107" s="36"/>
      <c r="D6107" s="37"/>
      <c r="E6107" s="36"/>
      <c r="F6107" s="42"/>
      <c r="G6107" s="42"/>
      <c r="H6107" s="42"/>
      <c r="AG6107" s="19">
        <v>6106</v>
      </c>
      <c r="AH6107" s="20">
        <v>1190.83297703841</v>
      </c>
    </row>
    <row r="6108" spans="1:34" ht="14.5" x14ac:dyDescent="0.35">
      <c r="A6108" s="34"/>
      <c r="B6108" s="35"/>
      <c r="C6108" s="36"/>
      <c r="D6108" s="37"/>
      <c r="E6108" s="36"/>
      <c r="F6108" s="42"/>
      <c r="G6108" s="42"/>
      <c r="H6108" s="42"/>
      <c r="AG6108" s="19">
        <v>6107</v>
      </c>
      <c r="AH6108" s="20">
        <v>-3259.4621932616205</v>
      </c>
    </row>
    <row r="6109" spans="1:34" ht="14.5" x14ac:dyDescent="0.35">
      <c r="A6109" s="34"/>
      <c r="B6109" s="35"/>
      <c r="C6109" s="36"/>
      <c r="D6109" s="37"/>
      <c r="E6109" s="36"/>
      <c r="F6109" s="42"/>
      <c r="G6109" s="42"/>
      <c r="H6109" s="42"/>
      <c r="AG6109" s="19">
        <v>6108</v>
      </c>
      <c r="AH6109" s="20">
        <v>126.85587625425029</v>
      </c>
    </row>
    <row r="6110" spans="1:34" ht="14.5" x14ac:dyDescent="0.35">
      <c r="A6110" s="34"/>
      <c r="B6110" s="35"/>
      <c r="C6110" s="36"/>
      <c r="D6110" s="37"/>
      <c r="E6110" s="36"/>
      <c r="F6110" s="42"/>
      <c r="G6110" s="42"/>
      <c r="H6110" s="42"/>
      <c r="AG6110" s="19">
        <v>6109</v>
      </c>
      <c r="AH6110" s="20">
        <v>561.32858145778164</v>
      </c>
    </row>
    <row r="6111" spans="1:34" ht="14.5" x14ac:dyDescent="0.35">
      <c r="A6111" s="34"/>
      <c r="B6111" s="35"/>
      <c r="C6111" s="36"/>
      <c r="D6111" s="37"/>
      <c r="E6111" s="36"/>
      <c r="F6111" s="42"/>
      <c r="G6111" s="42"/>
      <c r="H6111" s="42"/>
      <c r="AG6111" s="19">
        <v>6110</v>
      </c>
      <c r="AH6111" s="20">
        <v>812.26252861026205</v>
      </c>
    </row>
    <row r="6112" spans="1:34" ht="14.5" x14ac:dyDescent="0.35">
      <c r="A6112" s="34"/>
      <c r="B6112" s="35"/>
      <c r="C6112" s="36"/>
      <c r="D6112" s="37"/>
      <c r="E6112" s="36"/>
      <c r="F6112" s="42"/>
      <c r="G6112" s="42"/>
      <c r="H6112" s="42"/>
      <c r="AG6112" s="19">
        <v>6111</v>
      </c>
      <c r="AH6112" s="20">
        <v>196.60660148573359</v>
      </c>
    </row>
    <row r="6113" spans="1:34" ht="14.5" x14ac:dyDescent="0.35">
      <c r="A6113" s="34"/>
      <c r="B6113" s="35"/>
      <c r="C6113" s="36"/>
      <c r="D6113" s="37"/>
      <c r="E6113" s="36"/>
      <c r="F6113" s="42"/>
      <c r="G6113" s="42"/>
      <c r="H6113" s="42"/>
      <c r="AG6113" s="19">
        <v>6112</v>
      </c>
      <c r="AH6113" s="20">
        <v>2025.2805760719041</v>
      </c>
    </row>
    <row r="6114" spans="1:34" ht="14.5" x14ac:dyDescent="0.35">
      <c r="A6114" s="34"/>
      <c r="B6114" s="35"/>
      <c r="C6114" s="36"/>
      <c r="D6114" s="37"/>
      <c r="E6114" s="36"/>
      <c r="F6114" s="42"/>
      <c r="G6114" s="42"/>
      <c r="H6114" s="42"/>
      <c r="AG6114" s="19">
        <v>6113</v>
      </c>
      <c r="AH6114" s="20">
        <v>1136.2909044875935</v>
      </c>
    </row>
    <row r="6115" spans="1:34" ht="14.5" x14ac:dyDescent="0.35">
      <c r="A6115" s="34"/>
      <c r="B6115" s="35"/>
      <c r="C6115" s="36"/>
      <c r="D6115" s="37"/>
      <c r="E6115" s="36"/>
      <c r="F6115" s="42"/>
      <c r="G6115" s="42"/>
      <c r="H6115" s="42"/>
      <c r="AG6115" s="19">
        <v>6114</v>
      </c>
      <c r="AH6115" s="20">
        <v>1234.1361484721053</v>
      </c>
    </row>
    <row r="6116" spans="1:34" ht="14.5" x14ac:dyDescent="0.35">
      <c r="A6116" s="34"/>
      <c r="B6116" s="35"/>
      <c r="C6116" s="36"/>
      <c r="D6116" s="37"/>
      <c r="E6116" s="36"/>
      <c r="F6116" s="42"/>
      <c r="G6116" s="42"/>
      <c r="H6116" s="42"/>
      <c r="AG6116" s="19">
        <v>6115</v>
      </c>
      <c r="AH6116" s="20">
        <v>-1564.6237114528644</v>
      </c>
    </row>
    <row r="6117" spans="1:34" ht="14.5" x14ac:dyDescent="0.35">
      <c r="A6117" s="34"/>
      <c r="B6117" s="35"/>
      <c r="C6117" s="36"/>
      <c r="D6117" s="37"/>
      <c r="E6117" s="36"/>
      <c r="F6117" s="42"/>
      <c r="G6117" s="42"/>
      <c r="H6117" s="42"/>
      <c r="AG6117" s="19">
        <v>6116</v>
      </c>
      <c r="AH6117" s="20">
        <v>3242.1969977086374</v>
      </c>
    </row>
    <row r="6118" spans="1:34" ht="14.5" x14ac:dyDescent="0.35">
      <c r="A6118" s="34"/>
      <c r="B6118" s="35"/>
      <c r="C6118" s="36"/>
      <c r="D6118" s="37"/>
      <c r="E6118" s="36"/>
      <c r="F6118" s="42"/>
      <c r="G6118" s="42"/>
      <c r="H6118" s="42"/>
      <c r="AG6118" s="19">
        <v>6117</v>
      </c>
      <c r="AH6118" s="20">
        <v>1322.6774959636118</v>
      </c>
    </row>
    <row r="6119" spans="1:34" ht="14.5" x14ac:dyDescent="0.35">
      <c r="A6119" s="34"/>
      <c r="B6119" s="35"/>
      <c r="C6119" s="36"/>
      <c r="D6119" s="37"/>
      <c r="E6119" s="36"/>
      <c r="F6119" s="42"/>
      <c r="G6119" s="42"/>
      <c r="H6119" s="42"/>
      <c r="AG6119" s="19">
        <v>6118</v>
      </c>
      <c r="AH6119" s="20">
        <v>-730.27126202613999</v>
      </c>
    </row>
    <row r="6120" spans="1:34" ht="14.5" x14ac:dyDescent="0.35">
      <c r="A6120" s="34"/>
      <c r="B6120" s="35"/>
      <c r="C6120" s="36"/>
      <c r="D6120" s="37"/>
      <c r="E6120" s="36"/>
      <c r="F6120" s="42"/>
      <c r="G6120" s="42"/>
      <c r="H6120" s="42"/>
      <c r="AG6120" s="19">
        <v>6119</v>
      </c>
      <c r="AH6120" s="20">
        <v>-380.48431459979787</v>
      </c>
    </row>
    <row r="6121" spans="1:34" ht="14.5" x14ac:dyDescent="0.35">
      <c r="A6121" s="34"/>
      <c r="B6121" s="35"/>
      <c r="C6121" s="36"/>
      <c r="D6121" s="37"/>
      <c r="E6121" s="36"/>
      <c r="F6121" s="42"/>
      <c r="G6121" s="42"/>
      <c r="H6121" s="42"/>
      <c r="AG6121" s="19">
        <v>6120</v>
      </c>
      <c r="AH6121" s="20">
        <v>1378.4397875536474</v>
      </c>
    </row>
    <row r="6122" spans="1:34" ht="14.5" x14ac:dyDescent="0.35">
      <c r="A6122" s="34"/>
      <c r="B6122" s="35"/>
      <c r="C6122" s="36"/>
      <c r="D6122" s="37"/>
      <c r="E6122" s="36"/>
      <c r="F6122" s="42"/>
      <c r="G6122" s="42"/>
      <c r="H6122" s="42"/>
      <c r="AG6122" s="19">
        <v>6121</v>
      </c>
      <c r="AH6122" s="20">
        <v>-3188.5963466235867</v>
      </c>
    </row>
    <row r="6123" spans="1:34" ht="14.5" x14ac:dyDescent="0.35">
      <c r="A6123" s="34"/>
      <c r="B6123" s="35"/>
      <c r="C6123" s="36"/>
      <c r="D6123" s="37"/>
      <c r="E6123" s="36"/>
      <c r="F6123" s="42"/>
      <c r="G6123" s="42"/>
      <c r="H6123" s="42"/>
      <c r="AG6123" s="19">
        <v>6122</v>
      </c>
      <c r="AH6123" s="20">
        <v>-2814.0512254467671</v>
      </c>
    </row>
    <row r="6124" spans="1:34" ht="14.5" x14ac:dyDescent="0.35">
      <c r="A6124" s="34"/>
      <c r="B6124" s="35"/>
      <c r="C6124" s="36"/>
      <c r="D6124" s="37"/>
      <c r="E6124" s="36"/>
      <c r="F6124" s="42"/>
      <c r="G6124" s="42"/>
      <c r="H6124" s="42"/>
      <c r="AG6124" s="19">
        <v>6123</v>
      </c>
      <c r="AH6124" s="20">
        <v>4220.9865193286814</v>
      </c>
    </row>
    <row r="6125" spans="1:34" ht="14.5" x14ac:dyDescent="0.35">
      <c r="A6125" s="34"/>
      <c r="B6125" s="35"/>
      <c r="C6125" s="36"/>
      <c r="D6125" s="37"/>
      <c r="E6125" s="36"/>
      <c r="F6125" s="42"/>
      <c r="G6125" s="42"/>
      <c r="H6125" s="42"/>
      <c r="AG6125" s="19">
        <v>6124</v>
      </c>
      <c r="AH6125" s="20">
        <v>799.67418648555758</v>
      </c>
    </row>
    <row r="6126" spans="1:34" ht="14.5" x14ac:dyDescent="0.35">
      <c r="A6126" s="34"/>
      <c r="B6126" s="35"/>
      <c r="C6126" s="36"/>
      <c r="D6126" s="37"/>
      <c r="E6126" s="36"/>
      <c r="F6126" s="42"/>
      <c r="G6126" s="42"/>
      <c r="H6126" s="42"/>
      <c r="AG6126" s="19">
        <v>6125</v>
      </c>
      <c r="AH6126" s="20">
        <v>1620.6724501061269</v>
      </c>
    </row>
    <row r="6127" spans="1:34" ht="14.5" x14ac:dyDescent="0.35">
      <c r="A6127" s="34"/>
      <c r="B6127" s="35"/>
      <c r="C6127" s="36"/>
      <c r="D6127" s="37"/>
      <c r="E6127" s="36"/>
      <c r="F6127" s="42"/>
      <c r="G6127" s="42"/>
      <c r="H6127" s="42"/>
      <c r="AG6127" s="19">
        <v>6126</v>
      </c>
      <c r="AH6127" s="20">
        <v>275.45022259903322</v>
      </c>
    </row>
    <row r="6128" spans="1:34" ht="14.5" x14ac:dyDescent="0.35">
      <c r="A6128" s="34"/>
      <c r="B6128" s="35"/>
      <c r="C6128" s="36"/>
      <c r="D6128" s="37"/>
      <c r="E6128" s="36"/>
      <c r="F6128" s="42"/>
      <c r="G6128" s="42"/>
      <c r="H6128" s="42"/>
      <c r="AG6128" s="19">
        <v>6127</v>
      </c>
      <c r="AH6128" s="20">
        <v>-3031.621011261087</v>
      </c>
    </row>
    <row r="6129" spans="1:34" ht="14.5" x14ac:dyDescent="0.35">
      <c r="A6129" s="34"/>
      <c r="B6129" s="35"/>
      <c r="C6129" s="36"/>
      <c r="D6129" s="37"/>
      <c r="E6129" s="36"/>
      <c r="F6129" s="42"/>
      <c r="G6129" s="42"/>
      <c r="H6129" s="42"/>
      <c r="AG6129" s="19">
        <v>6128</v>
      </c>
      <c r="AH6129" s="20">
        <v>-1556.6299767566338</v>
      </c>
    </row>
    <row r="6130" spans="1:34" ht="14.5" x14ac:dyDescent="0.35">
      <c r="A6130" s="34"/>
      <c r="B6130" s="35"/>
      <c r="C6130" s="36"/>
      <c r="D6130" s="37"/>
      <c r="E6130" s="36"/>
      <c r="F6130" s="42"/>
      <c r="G6130" s="42"/>
      <c r="H6130" s="42"/>
      <c r="AG6130" s="19">
        <v>6129</v>
      </c>
      <c r="AH6130" s="20">
        <v>71.952415911440255</v>
      </c>
    </row>
    <row r="6131" spans="1:34" ht="14.5" x14ac:dyDescent="0.35">
      <c r="A6131" s="34"/>
      <c r="B6131" s="35"/>
      <c r="C6131" s="36"/>
      <c r="D6131" s="37"/>
      <c r="E6131" s="36"/>
      <c r="F6131" s="42"/>
      <c r="G6131" s="42"/>
      <c r="H6131" s="42"/>
      <c r="AG6131" s="19">
        <v>6130</v>
      </c>
      <c r="AH6131" s="20">
        <v>899.03735936379053</v>
      </c>
    </row>
    <row r="6132" spans="1:34" ht="14.5" x14ac:dyDescent="0.35">
      <c r="A6132" s="34"/>
      <c r="B6132" s="35"/>
      <c r="C6132" s="36"/>
      <c r="D6132" s="37"/>
      <c r="E6132" s="36"/>
      <c r="F6132" s="42"/>
      <c r="G6132" s="42"/>
      <c r="H6132" s="42"/>
      <c r="AG6132" s="19">
        <v>6131</v>
      </c>
      <c r="AH6132" s="20">
        <v>-531.43120022143125</v>
      </c>
    </row>
    <row r="6133" spans="1:34" ht="14.5" x14ac:dyDescent="0.35">
      <c r="A6133" s="34"/>
      <c r="B6133" s="35"/>
      <c r="C6133" s="36"/>
      <c r="D6133" s="37"/>
      <c r="E6133" s="36"/>
      <c r="F6133" s="42"/>
      <c r="G6133" s="42"/>
      <c r="H6133" s="42"/>
      <c r="AG6133" s="19">
        <v>6132</v>
      </c>
      <c r="AH6133" s="20">
        <v>2186.9296130477351</v>
      </c>
    </row>
    <row r="6134" spans="1:34" ht="14.5" x14ac:dyDescent="0.35">
      <c r="A6134" s="34"/>
      <c r="B6134" s="35"/>
      <c r="C6134" s="36"/>
      <c r="D6134" s="37"/>
      <c r="E6134" s="36"/>
      <c r="F6134" s="42"/>
      <c r="G6134" s="42"/>
      <c r="H6134" s="42"/>
      <c r="AG6134" s="19">
        <v>6133</v>
      </c>
      <c r="AH6134" s="20">
        <v>582.88191450531986</v>
      </c>
    </row>
    <row r="6135" spans="1:34" ht="14.5" x14ac:dyDescent="0.35">
      <c r="A6135" s="34"/>
      <c r="B6135" s="35"/>
      <c r="C6135" s="36"/>
      <c r="D6135" s="37"/>
      <c r="E6135" s="36"/>
      <c r="F6135" s="42"/>
      <c r="G6135" s="42"/>
      <c r="H6135" s="42"/>
      <c r="AG6135" s="19">
        <v>6134</v>
      </c>
      <c r="AH6135" s="20">
        <v>-2579.4121738529134</v>
      </c>
    </row>
    <row r="6136" spans="1:34" ht="14.5" x14ac:dyDescent="0.35">
      <c r="A6136" s="34"/>
      <c r="B6136" s="35"/>
      <c r="C6136" s="36"/>
      <c r="D6136" s="37"/>
      <c r="E6136" s="36"/>
      <c r="F6136" s="42"/>
      <c r="G6136" s="42"/>
      <c r="H6136" s="42"/>
      <c r="AG6136" s="19">
        <v>6135</v>
      </c>
      <c r="AH6136" s="20">
        <v>2441.4307500028203</v>
      </c>
    </row>
    <row r="6137" spans="1:34" ht="14.5" x14ac:dyDescent="0.35">
      <c r="A6137" s="34"/>
      <c r="B6137" s="35"/>
      <c r="C6137" s="36"/>
      <c r="D6137" s="37"/>
      <c r="E6137" s="36"/>
      <c r="F6137" s="42"/>
      <c r="G6137" s="42"/>
      <c r="H6137" s="42"/>
      <c r="AG6137" s="19">
        <v>6136</v>
      </c>
      <c r="AH6137" s="20">
        <v>3089.1255442948495</v>
      </c>
    </row>
    <row r="6138" spans="1:34" ht="14.5" x14ac:dyDescent="0.35">
      <c r="A6138" s="34"/>
      <c r="B6138" s="35"/>
      <c r="C6138" s="36"/>
      <c r="D6138" s="37"/>
      <c r="E6138" s="36"/>
      <c r="F6138" s="42"/>
      <c r="G6138" s="42"/>
      <c r="H6138" s="42"/>
      <c r="AG6138" s="19">
        <v>6137</v>
      </c>
      <c r="AH6138" s="20">
        <v>205.21467307159614</v>
      </c>
    </row>
    <row r="6139" spans="1:34" ht="14.5" x14ac:dyDescent="0.35">
      <c r="A6139" s="34"/>
      <c r="B6139" s="35"/>
      <c r="C6139" s="36"/>
      <c r="D6139" s="37"/>
      <c r="E6139" s="36"/>
      <c r="F6139" s="42"/>
      <c r="G6139" s="42"/>
      <c r="H6139" s="42"/>
      <c r="AG6139" s="19">
        <v>6138</v>
      </c>
      <c r="AH6139" s="20">
        <v>597.80802789746338</v>
      </c>
    </row>
    <row r="6140" spans="1:34" ht="14.5" x14ac:dyDescent="0.35">
      <c r="A6140" s="34"/>
      <c r="B6140" s="35"/>
      <c r="C6140" s="36"/>
      <c r="D6140" s="37"/>
      <c r="E6140" s="36"/>
      <c r="F6140" s="42"/>
      <c r="G6140" s="42"/>
      <c r="H6140" s="42"/>
      <c r="AG6140" s="19">
        <v>6139</v>
      </c>
      <c r="AH6140" s="20">
        <v>2213.2555862296122</v>
      </c>
    </row>
    <row r="6141" spans="1:34" ht="14.5" x14ac:dyDescent="0.35">
      <c r="A6141" s="34"/>
      <c r="B6141" s="35"/>
      <c r="C6141" s="36"/>
      <c r="D6141" s="37"/>
      <c r="E6141" s="36"/>
      <c r="F6141" s="42"/>
      <c r="G6141" s="42"/>
      <c r="H6141" s="42"/>
      <c r="AG6141" s="19">
        <v>6140</v>
      </c>
      <c r="AH6141" s="20">
        <v>334.0578218779284</v>
      </c>
    </row>
    <row r="6142" spans="1:34" ht="14.5" x14ac:dyDescent="0.35">
      <c r="A6142" s="34"/>
      <c r="B6142" s="35"/>
      <c r="C6142" s="36"/>
      <c r="D6142" s="37"/>
      <c r="E6142" s="36"/>
      <c r="F6142" s="42"/>
      <c r="G6142" s="42"/>
      <c r="H6142" s="42"/>
      <c r="AG6142" s="19">
        <v>6141</v>
      </c>
      <c r="AH6142" s="20">
        <v>-4110.269853785584</v>
      </c>
    </row>
    <row r="6143" spans="1:34" ht="14.5" x14ac:dyDescent="0.35">
      <c r="A6143" s="34"/>
      <c r="B6143" s="35"/>
      <c r="C6143" s="36"/>
      <c r="D6143" s="37"/>
      <c r="E6143" s="36"/>
      <c r="F6143" s="42"/>
      <c r="G6143" s="42"/>
      <c r="H6143" s="42"/>
      <c r="AG6143" s="19">
        <v>6142</v>
      </c>
      <c r="AH6143" s="20">
        <v>-42.879170768962069</v>
      </c>
    </row>
    <row r="6144" spans="1:34" ht="14.5" x14ac:dyDescent="0.35">
      <c r="A6144" s="34"/>
      <c r="B6144" s="35"/>
      <c r="C6144" s="36"/>
      <c r="D6144" s="37"/>
      <c r="E6144" s="36"/>
      <c r="F6144" s="42"/>
      <c r="G6144" s="42"/>
      <c r="H6144" s="42"/>
      <c r="AG6144" s="19">
        <v>6143</v>
      </c>
      <c r="AH6144" s="20">
        <v>-252.82776260168583</v>
      </c>
    </row>
    <row r="6145" spans="1:34" ht="14.5" x14ac:dyDescent="0.35">
      <c r="A6145" s="34"/>
      <c r="B6145" s="35"/>
      <c r="C6145" s="36"/>
      <c r="D6145" s="37"/>
      <c r="E6145" s="36"/>
      <c r="F6145" s="42"/>
      <c r="G6145" s="42"/>
      <c r="H6145" s="42"/>
      <c r="AG6145" s="19">
        <v>6144</v>
      </c>
      <c r="AH6145" s="20">
        <v>1441.1418518237313</v>
      </c>
    </row>
    <row r="6146" spans="1:34" ht="14.5" x14ac:dyDescent="0.35">
      <c r="A6146" s="34"/>
      <c r="B6146" s="35"/>
      <c r="C6146" s="36"/>
      <c r="D6146" s="37"/>
      <c r="E6146" s="36"/>
      <c r="F6146" s="42"/>
      <c r="G6146" s="42"/>
      <c r="H6146" s="42"/>
      <c r="AG6146" s="19">
        <v>6145</v>
      </c>
      <c r="AH6146" s="20">
        <v>-5022.9758058662073</v>
      </c>
    </row>
    <row r="6147" spans="1:34" ht="14.5" x14ac:dyDescent="0.35">
      <c r="A6147" s="34"/>
      <c r="B6147" s="35"/>
      <c r="C6147" s="36"/>
      <c r="D6147" s="37"/>
      <c r="E6147" s="36"/>
      <c r="F6147" s="42"/>
      <c r="G6147" s="42"/>
      <c r="H6147" s="42"/>
      <c r="AG6147" s="19">
        <v>6146</v>
      </c>
      <c r="AH6147" s="20">
        <v>4807.3325222455287</v>
      </c>
    </row>
    <row r="6148" spans="1:34" ht="14.5" x14ac:dyDescent="0.35">
      <c r="A6148" s="34"/>
      <c r="B6148" s="35"/>
      <c r="C6148" s="36"/>
      <c r="D6148" s="37"/>
      <c r="E6148" s="36"/>
      <c r="F6148" s="42"/>
      <c r="G6148" s="42"/>
      <c r="H6148" s="42"/>
      <c r="AG6148" s="19">
        <v>6147</v>
      </c>
      <c r="AH6148" s="20">
        <v>-2928.9807420943939</v>
      </c>
    </row>
    <row r="6149" spans="1:34" ht="14.5" x14ac:dyDescent="0.35">
      <c r="A6149" s="34"/>
      <c r="B6149" s="35"/>
      <c r="C6149" s="36"/>
      <c r="D6149" s="37"/>
      <c r="E6149" s="36"/>
      <c r="F6149" s="42"/>
      <c r="G6149" s="42"/>
      <c r="H6149" s="42"/>
      <c r="AG6149" s="19">
        <v>6148</v>
      </c>
      <c r="AH6149" s="20">
        <v>-1893.5492472883855</v>
      </c>
    </row>
    <row r="6150" spans="1:34" ht="14.5" x14ac:dyDescent="0.35">
      <c r="A6150" s="34"/>
      <c r="B6150" s="35"/>
      <c r="C6150" s="36"/>
      <c r="D6150" s="37"/>
      <c r="E6150" s="36"/>
      <c r="F6150" s="42"/>
      <c r="G6150" s="42"/>
      <c r="H6150" s="42"/>
      <c r="AG6150" s="19">
        <v>6149</v>
      </c>
      <c r="AH6150" s="20">
        <v>-1962.2233490116776</v>
      </c>
    </row>
    <row r="6151" spans="1:34" ht="14.5" x14ac:dyDescent="0.35">
      <c r="A6151" s="34"/>
      <c r="B6151" s="35"/>
      <c r="C6151" s="36"/>
      <c r="D6151" s="37"/>
      <c r="E6151" s="36"/>
      <c r="F6151" s="42"/>
      <c r="G6151" s="42"/>
      <c r="H6151" s="42"/>
      <c r="AG6151" s="19">
        <v>6150</v>
      </c>
      <c r="AH6151" s="20">
        <v>-90.991338084229312</v>
      </c>
    </row>
    <row r="6152" spans="1:34" ht="14.5" x14ac:dyDescent="0.35">
      <c r="A6152" s="34"/>
      <c r="B6152" s="35"/>
      <c r="C6152" s="36"/>
      <c r="D6152" s="37"/>
      <c r="E6152" s="36"/>
      <c r="F6152" s="42"/>
      <c r="G6152" s="42"/>
      <c r="H6152" s="42"/>
      <c r="AG6152" s="19">
        <v>6151</v>
      </c>
      <c r="AH6152" s="20">
        <v>-162.02892235382757</v>
      </c>
    </row>
    <row r="6153" spans="1:34" ht="14.5" x14ac:dyDescent="0.35">
      <c r="A6153" s="34"/>
      <c r="B6153" s="35"/>
      <c r="C6153" s="36"/>
      <c r="D6153" s="37"/>
      <c r="E6153" s="36"/>
      <c r="F6153" s="42"/>
      <c r="G6153" s="42"/>
      <c r="H6153" s="42"/>
      <c r="AG6153" s="19">
        <v>6152</v>
      </c>
      <c r="AH6153" s="20">
        <v>4499.8860788631173</v>
      </c>
    </row>
    <row r="6154" spans="1:34" ht="14.5" x14ac:dyDescent="0.35">
      <c r="A6154" s="34"/>
      <c r="B6154" s="35"/>
      <c r="C6154" s="36"/>
      <c r="D6154" s="37"/>
      <c r="E6154" s="36"/>
      <c r="F6154" s="42"/>
      <c r="G6154" s="42"/>
      <c r="H6154" s="42"/>
      <c r="AG6154" s="19">
        <v>6153</v>
      </c>
      <c r="AH6154" s="20">
        <v>276.75629484095231</v>
      </c>
    </row>
    <row r="6155" spans="1:34" ht="14.5" x14ac:dyDescent="0.35">
      <c r="A6155" s="34"/>
      <c r="B6155" s="35"/>
      <c r="C6155" s="36"/>
      <c r="D6155" s="37"/>
      <c r="E6155" s="36"/>
      <c r="F6155" s="42"/>
      <c r="G6155" s="42"/>
      <c r="H6155" s="42"/>
      <c r="AG6155" s="19">
        <v>6154</v>
      </c>
      <c r="AH6155" s="20">
        <v>3889.5697088211218</v>
      </c>
    </row>
    <row r="6156" spans="1:34" ht="14.5" x14ac:dyDescent="0.35">
      <c r="A6156" s="34"/>
      <c r="B6156" s="35"/>
      <c r="C6156" s="36"/>
      <c r="D6156" s="37"/>
      <c r="E6156" s="36"/>
      <c r="F6156" s="42"/>
      <c r="G6156" s="42"/>
      <c r="H6156" s="42"/>
      <c r="AG6156" s="19">
        <v>6155</v>
      </c>
      <c r="AH6156" s="20">
        <v>-1313.4527063751705</v>
      </c>
    </row>
    <row r="6157" spans="1:34" ht="14.5" x14ac:dyDescent="0.35">
      <c r="A6157" s="34"/>
      <c r="B6157" s="35"/>
      <c r="C6157" s="36"/>
      <c r="D6157" s="37"/>
      <c r="E6157" s="36"/>
      <c r="F6157" s="42"/>
      <c r="G6157" s="42"/>
      <c r="H6157" s="42"/>
      <c r="AG6157" s="19">
        <v>6156</v>
      </c>
      <c r="AH6157" s="20">
        <v>-386.02917492963223</v>
      </c>
    </row>
    <row r="6158" spans="1:34" ht="14.5" x14ac:dyDescent="0.35">
      <c r="A6158" s="34"/>
      <c r="B6158" s="35"/>
      <c r="C6158" s="36"/>
      <c r="D6158" s="37"/>
      <c r="E6158" s="36"/>
      <c r="F6158" s="42"/>
      <c r="G6158" s="42"/>
      <c r="H6158" s="42"/>
      <c r="AG6158" s="19">
        <v>6157</v>
      </c>
      <c r="AH6158" s="20">
        <v>-932.52847842607025</v>
      </c>
    </row>
    <row r="6159" spans="1:34" ht="14.5" x14ac:dyDescent="0.35">
      <c r="A6159" s="34"/>
      <c r="B6159" s="35"/>
      <c r="C6159" s="36"/>
      <c r="D6159" s="37"/>
      <c r="E6159" s="36"/>
      <c r="F6159" s="42"/>
      <c r="G6159" s="42"/>
      <c r="H6159" s="42"/>
      <c r="AG6159" s="19">
        <v>6158</v>
      </c>
      <c r="AH6159" s="20">
        <v>-196.98294637379951</v>
      </c>
    </row>
    <row r="6160" spans="1:34" ht="14.5" x14ac:dyDescent="0.35">
      <c r="A6160" s="34"/>
      <c r="B6160" s="35"/>
      <c r="C6160" s="36"/>
      <c r="D6160" s="37"/>
      <c r="E6160" s="36"/>
      <c r="F6160" s="42"/>
      <c r="G6160" s="42"/>
      <c r="H6160" s="42"/>
      <c r="AG6160" s="19">
        <v>6159</v>
      </c>
      <c r="AH6160" s="20">
        <v>-4803.3026924842006</v>
      </c>
    </row>
    <row r="6161" spans="1:34" ht="14.5" x14ac:dyDescent="0.35">
      <c r="A6161" s="34"/>
      <c r="B6161" s="35"/>
      <c r="C6161" s="36"/>
      <c r="D6161" s="37"/>
      <c r="E6161" s="36"/>
      <c r="F6161" s="42"/>
      <c r="G6161" s="42"/>
      <c r="H6161" s="42"/>
      <c r="AG6161" s="19">
        <v>6160</v>
      </c>
      <c r="AH6161" s="20">
        <v>-1874.2398956840145</v>
      </c>
    </row>
    <row r="6162" spans="1:34" ht="14.5" x14ac:dyDescent="0.35">
      <c r="A6162" s="34"/>
      <c r="B6162" s="35"/>
      <c r="C6162" s="36"/>
      <c r="D6162" s="37"/>
      <c r="E6162" s="36"/>
      <c r="F6162" s="42"/>
      <c r="G6162" s="42"/>
      <c r="H6162" s="42"/>
      <c r="AG6162" s="19">
        <v>6161</v>
      </c>
      <c r="AH6162" s="20">
        <v>2690.8111167563243</v>
      </c>
    </row>
    <row r="6163" spans="1:34" ht="14.5" x14ac:dyDescent="0.35">
      <c r="A6163" s="34"/>
      <c r="B6163" s="35"/>
      <c r="C6163" s="36"/>
      <c r="D6163" s="37"/>
      <c r="E6163" s="36"/>
      <c r="F6163" s="42"/>
      <c r="G6163" s="42"/>
      <c r="H6163" s="42"/>
      <c r="AG6163" s="19">
        <v>6162</v>
      </c>
      <c r="AH6163" s="20">
        <v>-619.35271546753893</v>
      </c>
    </row>
    <row r="6164" spans="1:34" ht="14.5" x14ac:dyDescent="0.35">
      <c r="A6164" s="34"/>
      <c r="B6164" s="35"/>
      <c r="C6164" s="36"/>
      <c r="D6164" s="37"/>
      <c r="E6164" s="36"/>
      <c r="F6164" s="42"/>
      <c r="G6164" s="42"/>
      <c r="H6164" s="42"/>
      <c r="AG6164" s="19">
        <v>6163</v>
      </c>
      <c r="AH6164" s="20">
        <v>-2533.9703138671393</v>
      </c>
    </row>
    <row r="6165" spans="1:34" ht="14.5" x14ac:dyDescent="0.35">
      <c r="A6165" s="34"/>
      <c r="B6165" s="35"/>
      <c r="C6165" s="36"/>
      <c r="D6165" s="37"/>
      <c r="E6165" s="36"/>
      <c r="F6165" s="42"/>
      <c r="G6165" s="42"/>
      <c r="H6165" s="42"/>
      <c r="AG6165" s="19">
        <v>6164</v>
      </c>
      <c r="AH6165" s="20">
        <v>2982.0620369373951</v>
      </c>
    </row>
    <row r="6166" spans="1:34" ht="14.5" x14ac:dyDescent="0.35">
      <c r="A6166" s="34"/>
      <c r="B6166" s="35"/>
      <c r="C6166" s="36"/>
      <c r="D6166" s="37"/>
      <c r="E6166" s="36"/>
      <c r="F6166" s="42"/>
      <c r="G6166" s="42"/>
      <c r="H6166" s="42"/>
      <c r="AG6166" s="19">
        <v>6165</v>
      </c>
      <c r="AH6166" s="20">
        <v>-1477.3399128637018</v>
      </c>
    </row>
    <row r="6167" spans="1:34" ht="14.5" x14ac:dyDescent="0.35">
      <c r="A6167" s="34"/>
      <c r="B6167" s="35"/>
      <c r="C6167" s="36"/>
      <c r="D6167" s="37"/>
      <c r="E6167" s="36"/>
      <c r="F6167" s="42"/>
      <c r="G6167" s="42"/>
      <c r="H6167" s="42"/>
      <c r="AG6167" s="19">
        <v>6166</v>
      </c>
      <c r="AH6167" s="20">
        <v>-626.50277159331858</v>
      </c>
    </row>
    <row r="6168" spans="1:34" ht="14.5" x14ac:dyDescent="0.35">
      <c r="A6168" s="34"/>
      <c r="B6168" s="35"/>
      <c r="C6168" s="36"/>
      <c r="D6168" s="37"/>
      <c r="E6168" s="36"/>
      <c r="F6168" s="42"/>
      <c r="G6168" s="42"/>
      <c r="H6168" s="42"/>
      <c r="AG6168" s="19">
        <v>6167</v>
      </c>
      <c r="AH6168" s="20">
        <v>972.39747107026687</v>
      </c>
    </row>
    <row r="6169" spans="1:34" ht="14.5" x14ac:dyDescent="0.35">
      <c r="A6169" s="34"/>
      <c r="B6169" s="35"/>
      <c r="C6169" s="36"/>
      <c r="D6169" s="37"/>
      <c r="E6169" s="36"/>
      <c r="F6169" s="42"/>
      <c r="G6169" s="42"/>
      <c r="H6169" s="42"/>
      <c r="AG6169" s="19">
        <v>6168</v>
      </c>
      <c r="AH6169" s="20">
        <v>709.6388888734873</v>
      </c>
    </row>
    <row r="6170" spans="1:34" ht="14.5" x14ac:dyDescent="0.35">
      <c r="A6170" s="34"/>
      <c r="B6170" s="35"/>
      <c r="C6170" s="36"/>
      <c r="D6170" s="37"/>
      <c r="E6170" s="36"/>
      <c r="F6170" s="42"/>
      <c r="G6170" s="42"/>
      <c r="H6170" s="42"/>
      <c r="AG6170" s="19">
        <v>6169</v>
      </c>
      <c r="AH6170" s="20">
        <v>2831.8544029443519</v>
      </c>
    </row>
    <row r="6171" spans="1:34" ht="14.5" x14ac:dyDescent="0.35">
      <c r="A6171" s="34"/>
      <c r="B6171" s="35"/>
      <c r="C6171" s="36"/>
      <c r="D6171" s="37"/>
      <c r="E6171" s="36"/>
      <c r="F6171" s="42"/>
      <c r="G6171" s="42"/>
      <c r="H6171" s="42"/>
      <c r="AG6171" s="19">
        <v>6170</v>
      </c>
      <c r="AH6171" s="20">
        <v>2101.5632585699632</v>
      </c>
    </row>
    <row r="6172" spans="1:34" ht="14.5" x14ac:dyDescent="0.35">
      <c r="A6172" s="34"/>
      <c r="B6172" s="35"/>
      <c r="C6172" s="36"/>
      <c r="D6172" s="37"/>
      <c r="E6172" s="36"/>
      <c r="F6172" s="42"/>
      <c r="G6172" s="42"/>
      <c r="H6172" s="42"/>
      <c r="AG6172" s="19">
        <v>6171</v>
      </c>
      <c r="AH6172" s="20">
        <v>2869.3347449061357</v>
      </c>
    </row>
    <row r="6173" spans="1:34" ht="14.5" x14ac:dyDescent="0.35">
      <c r="A6173" s="34"/>
      <c r="B6173" s="35"/>
      <c r="C6173" s="36"/>
      <c r="D6173" s="37"/>
      <c r="E6173" s="36"/>
      <c r="F6173" s="42"/>
      <c r="G6173" s="42"/>
      <c r="H6173" s="42"/>
      <c r="AG6173" s="19">
        <v>6172</v>
      </c>
      <c r="AH6173" s="20">
        <v>554.11211971416401</v>
      </c>
    </row>
    <row r="6174" spans="1:34" ht="14.5" x14ac:dyDescent="0.35">
      <c r="A6174" s="34"/>
      <c r="B6174" s="35"/>
      <c r="C6174" s="36"/>
      <c r="D6174" s="37"/>
      <c r="E6174" s="36"/>
      <c r="F6174" s="42"/>
      <c r="G6174" s="42"/>
      <c r="H6174" s="42"/>
      <c r="AG6174" s="19">
        <v>6173</v>
      </c>
      <c r="AH6174" s="20">
        <v>1742.2871305467947</v>
      </c>
    </row>
    <row r="6175" spans="1:34" ht="14.5" x14ac:dyDescent="0.35">
      <c r="A6175" s="34"/>
      <c r="B6175" s="35"/>
      <c r="C6175" s="36"/>
      <c r="D6175" s="37"/>
      <c r="E6175" s="36"/>
      <c r="F6175" s="42"/>
      <c r="G6175" s="42"/>
      <c r="H6175" s="42"/>
      <c r="AG6175" s="19">
        <v>6174</v>
      </c>
      <c r="AH6175" s="20">
        <v>-2603.8997807916367</v>
      </c>
    </row>
    <row r="6176" spans="1:34" ht="14.5" x14ac:dyDescent="0.35">
      <c r="A6176" s="34"/>
      <c r="B6176" s="35"/>
      <c r="C6176" s="36"/>
      <c r="D6176" s="37"/>
      <c r="E6176" s="36"/>
      <c r="F6176" s="42"/>
      <c r="G6176" s="42"/>
      <c r="H6176" s="42"/>
      <c r="AG6176" s="19">
        <v>6175</v>
      </c>
      <c r="AH6176" s="20">
        <v>-2151.9660620768354</v>
      </c>
    </row>
    <row r="6177" spans="1:34" ht="14.5" x14ac:dyDescent="0.35">
      <c r="A6177" s="34"/>
      <c r="B6177" s="35"/>
      <c r="C6177" s="36"/>
      <c r="D6177" s="37"/>
      <c r="E6177" s="36"/>
      <c r="F6177" s="42"/>
      <c r="G6177" s="42"/>
      <c r="H6177" s="42"/>
      <c r="AG6177" s="19">
        <v>6176</v>
      </c>
      <c r="AH6177" s="20">
        <v>-1322.2776702540075</v>
      </c>
    </row>
    <row r="6178" spans="1:34" ht="14.5" x14ac:dyDescent="0.35">
      <c r="A6178" s="34"/>
      <c r="B6178" s="35"/>
      <c r="C6178" s="36"/>
      <c r="D6178" s="37"/>
      <c r="E6178" s="36"/>
      <c r="F6178" s="42"/>
      <c r="G6178" s="42"/>
      <c r="H6178" s="42"/>
      <c r="AG6178" s="19">
        <v>6177</v>
      </c>
      <c r="AH6178" s="20">
        <v>4228.5154088472</v>
      </c>
    </row>
    <row r="6179" spans="1:34" ht="14.5" x14ac:dyDescent="0.35">
      <c r="A6179" s="34"/>
      <c r="B6179" s="35"/>
      <c r="C6179" s="36"/>
      <c r="D6179" s="37"/>
      <c r="E6179" s="36"/>
      <c r="F6179" s="42"/>
      <c r="G6179" s="42"/>
      <c r="H6179" s="42"/>
      <c r="AG6179" s="19">
        <v>6178</v>
      </c>
      <c r="AH6179" s="20">
        <v>-2052.7369158474521</v>
      </c>
    </row>
    <row r="6180" spans="1:34" ht="14.5" x14ac:dyDescent="0.35">
      <c r="A6180" s="34"/>
      <c r="B6180" s="35"/>
      <c r="C6180" s="36"/>
      <c r="D6180" s="37"/>
      <c r="E6180" s="36"/>
      <c r="F6180" s="42"/>
      <c r="G6180" s="42"/>
      <c r="H6180" s="42"/>
      <c r="AG6180" s="19">
        <v>6179</v>
      </c>
      <c r="AH6180" s="20">
        <v>-1411.6427594791064</v>
      </c>
    </row>
    <row r="6181" spans="1:34" ht="14.5" x14ac:dyDescent="0.35">
      <c r="A6181" s="34"/>
      <c r="B6181" s="35"/>
      <c r="C6181" s="36"/>
      <c r="D6181" s="37"/>
      <c r="E6181" s="36"/>
      <c r="F6181" s="42"/>
      <c r="G6181" s="42"/>
      <c r="H6181" s="42"/>
      <c r="AG6181" s="19">
        <v>6180</v>
      </c>
      <c r="AH6181" s="20">
        <v>-2738.5160511261533</v>
      </c>
    </row>
    <row r="6182" spans="1:34" ht="14.5" x14ac:dyDescent="0.35">
      <c r="A6182" s="34"/>
      <c r="B6182" s="35"/>
      <c r="C6182" s="36"/>
      <c r="D6182" s="37"/>
      <c r="E6182" s="36"/>
      <c r="F6182" s="42"/>
      <c r="G6182" s="42"/>
      <c r="H6182" s="42"/>
      <c r="AG6182" s="19">
        <v>6181</v>
      </c>
      <c r="AH6182" s="20">
        <v>-1513.8810525961969</v>
      </c>
    </row>
    <row r="6183" spans="1:34" ht="14.5" x14ac:dyDescent="0.35">
      <c r="A6183" s="34"/>
      <c r="B6183" s="35"/>
      <c r="C6183" s="36"/>
      <c r="D6183" s="37"/>
      <c r="E6183" s="36"/>
      <c r="F6183" s="42"/>
      <c r="G6183" s="42"/>
      <c r="H6183" s="42"/>
      <c r="AG6183" s="19">
        <v>6182</v>
      </c>
      <c r="AH6183" s="20">
        <v>808.43216899550146</v>
      </c>
    </row>
    <row r="6184" spans="1:34" ht="14.5" x14ac:dyDescent="0.35">
      <c r="A6184" s="34"/>
      <c r="B6184" s="35"/>
      <c r="C6184" s="36"/>
      <c r="D6184" s="37"/>
      <c r="E6184" s="36"/>
      <c r="F6184" s="42"/>
      <c r="G6184" s="42"/>
      <c r="H6184" s="42"/>
      <c r="AG6184" s="19">
        <v>6183</v>
      </c>
      <c r="AH6184" s="20">
        <v>4151.6333397543285</v>
      </c>
    </row>
    <row r="6185" spans="1:34" ht="14.5" x14ac:dyDescent="0.35">
      <c r="A6185" s="34"/>
      <c r="B6185" s="35"/>
      <c r="C6185" s="36"/>
      <c r="D6185" s="37"/>
      <c r="E6185" s="36"/>
      <c r="F6185" s="42"/>
      <c r="G6185" s="42"/>
      <c r="H6185" s="42"/>
      <c r="AG6185" s="19">
        <v>6184</v>
      </c>
      <c r="AH6185" s="20">
        <v>3079.8100676652712</v>
      </c>
    </row>
    <row r="6186" spans="1:34" ht="14.5" x14ac:dyDescent="0.35">
      <c r="A6186" s="34"/>
      <c r="B6186" s="35"/>
      <c r="C6186" s="36"/>
      <c r="D6186" s="37"/>
      <c r="E6186" s="36"/>
      <c r="F6186" s="42"/>
      <c r="G6186" s="42"/>
      <c r="H6186" s="42"/>
      <c r="AG6186" s="19">
        <v>6185</v>
      </c>
      <c r="AH6186" s="20">
        <v>1024.2484797819629</v>
      </c>
    </row>
    <row r="6187" spans="1:34" ht="14.5" x14ac:dyDescent="0.35">
      <c r="A6187" s="34"/>
      <c r="B6187" s="35"/>
      <c r="C6187" s="36"/>
      <c r="D6187" s="37"/>
      <c r="E6187" s="36"/>
      <c r="F6187" s="42"/>
      <c r="G6187" s="42"/>
      <c r="H6187" s="42"/>
      <c r="AG6187" s="19">
        <v>6186</v>
      </c>
      <c r="AH6187" s="20">
        <v>-3015.2277256920479</v>
      </c>
    </row>
    <row r="6188" spans="1:34" ht="14.5" x14ac:dyDescent="0.35">
      <c r="A6188" s="34"/>
      <c r="B6188" s="35"/>
      <c r="C6188" s="36"/>
      <c r="D6188" s="37"/>
      <c r="E6188" s="36"/>
      <c r="F6188" s="42"/>
      <c r="G6188" s="42"/>
      <c r="H6188" s="42"/>
      <c r="AG6188" s="19">
        <v>6187</v>
      </c>
      <c r="AH6188" s="20">
        <v>-246.13738765109366</v>
      </c>
    </row>
    <row r="6189" spans="1:34" ht="14.5" x14ac:dyDescent="0.35">
      <c r="A6189" s="34"/>
      <c r="B6189" s="35"/>
      <c r="C6189" s="36"/>
      <c r="D6189" s="37"/>
      <c r="E6189" s="36"/>
      <c r="F6189" s="42"/>
      <c r="G6189" s="42"/>
      <c r="H6189" s="42"/>
      <c r="AG6189" s="19">
        <v>6188</v>
      </c>
      <c r="AH6189" s="20">
        <v>-3188.5556434496689</v>
      </c>
    </row>
    <row r="6190" spans="1:34" ht="14.5" x14ac:dyDescent="0.35">
      <c r="A6190" s="34"/>
      <c r="B6190" s="35"/>
      <c r="C6190" s="36"/>
      <c r="D6190" s="37"/>
      <c r="E6190" s="36"/>
      <c r="F6190" s="42"/>
      <c r="G6190" s="42"/>
      <c r="H6190" s="42"/>
      <c r="AG6190" s="19">
        <v>6189</v>
      </c>
      <c r="AH6190" s="20">
        <v>-198.50583194399923</v>
      </c>
    </row>
    <row r="6191" spans="1:34" ht="14.5" x14ac:dyDescent="0.35">
      <c r="A6191" s="34"/>
      <c r="B6191" s="35"/>
      <c r="C6191" s="36"/>
      <c r="D6191" s="37"/>
      <c r="E6191" s="36"/>
      <c r="F6191" s="42"/>
      <c r="G6191" s="42"/>
      <c r="H6191" s="42"/>
      <c r="AG6191" s="19">
        <v>6190</v>
      </c>
      <c r="AH6191" s="20">
        <v>403.82299525655367</v>
      </c>
    </row>
    <row r="6192" spans="1:34" ht="14.5" x14ac:dyDescent="0.35">
      <c r="A6192" s="34"/>
      <c r="B6192" s="35"/>
      <c r="C6192" s="36"/>
      <c r="D6192" s="37"/>
      <c r="E6192" s="36"/>
      <c r="F6192" s="42"/>
      <c r="G6192" s="42"/>
      <c r="H6192" s="42"/>
      <c r="AG6192" s="19">
        <v>6191</v>
      </c>
      <c r="AH6192" s="20">
        <v>-2109.5282156085286</v>
      </c>
    </row>
    <row r="6193" spans="1:34" ht="14.5" x14ac:dyDescent="0.35">
      <c r="A6193" s="34"/>
      <c r="B6193" s="35"/>
      <c r="C6193" s="36"/>
      <c r="D6193" s="37"/>
      <c r="E6193" s="36"/>
      <c r="F6193" s="42"/>
      <c r="G6193" s="42"/>
      <c r="H6193" s="42"/>
      <c r="AG6193" s="19">
        <v>6192</v>
      </c>
      <c r="AH6193" s="20">
        <v>-991.59183949043677</v>
      </c>
    </row>
    <row r="6194" spans="1:34" ht="14.5" x14ac:dyDescent="0.35">
      <c r="A6194" s="34"/>
      <c r="B6194" s="35"/>
      <c r="C6194" s="36"/>
      <c r="D6194" s="37"/>
      <c r="E6194" s="36"/>
      <c r="F6194" s="42"/>
      <c r="G6194" s="42"/>
      <c r="H6194" s="42"/>
      <c r="AG6194" s="19">
        <v>6193</v>
      </c>
      <c r="AH6194" s="20">
        <v>1985.9277386546562</v>
      </c>
    </row>
    <row r="6195" spans="1:34" ht="14.5" x14ac:dyDescent="0.35">
      <c r="A6195" s="34"/>
      <c r="B6195" s="35"/>
      <c r="C6195" s="36"/>
      <c r="D6195" s="37"/>
      <c r="E6195" s="36"/>
      <c r="F6195" s="42"/>
      <c r="G6195" s="42"/>
      <c r="H6195" s="42"/>
      <c r="AG6195" s="19">
        <v>6194</v>
      </c>
      <c r="AH6195" s="20">
        <v>3540.4183949666872</v>
      </c>
    </row>
    <row r="6196" spans="1:34" ht="14.5" x14ac:dyDescent="0.35">
      <c r="A6196" s="34"/>
      <c r="B6196" s="35"/>
      <c r="C6196" s="36"/>
      <c r="D6196" s="37"/>
      <c r="E6196" s="36"/>
      <c r="F6196" s="42"/>
      <c r="G6196" s="42"/>
      <c r="H6196" s="42"/>
      <c r="AG6196" s="19">
        <v>6195</v>
      </c>
      <c r="AH6196" s="20">
        <v>2221.4482925954499</v>
      </c>
    </row>
    <row r="6197" spans="1:34" ht="14.5" x14ac:dyDescent="0.35">
      <c r="A6197" s="34"/>
      <c r="B6197" s="35"/>
      <c r="C6197" s="36"/>
      <c r="D6197" s="37"/>
      <c r="E6197" s="36"/>
      <c r="F6197" s="42"/>
      <c r="G6197" s="42"/>
      <c r="H6197" s="42"/>
      <c r="AG6197" s="19">
        <v>6196</v>
      </c>
      <c r="AH6197" s="20">
        <v>534.84403076533795</v>
      </c>
    </row>
    <row r="6198" spans="1:34" ht="14.5" x14ac:dyDescent="0.35">
      <c r="A6198" s="34"/>
      <c r="B6198" s="35"/>
      <c r="C6198" s="36"/>
      <c r="D6198" s="37"/>
      <c r="E6198" s="36"/>
      <c r="F6198" s="42"/>
      <c r="G6198" s="42"/>
      <c r="H6198" s="42"/>
      <c r="AG6198" s="19">
        <v>6197</v>
      </c>
      <c r="AH6198" s="20">
        <v>2736.0904962286504</v>
      </c>
    </row>
    <row r="6199" spans="1:34" ht="14.5" x14ac:dyDescent="0.35">
      <c r="A6199" s="34"/>
      <c r="B6199" s="35"/>
      <c r="C6199" s="36"/>
      <c r="D6199" s="37"/>
      <c r="E6199" s="36"/>
      <c r="F6199" s="42"/>
      <c r="G6199" s="42"/>
      <c r="H6199" s="42"/>
      <c r="AG6199" s="19">
        <v>6198</v>
      </c>
      <c r="AH6199" s="20">
        <v>759.97234937471353</v>
      </c>
    </row>
    <row r="6200" spans="1:34" ht="14.5" x14ac:dyDescent="0.35">
      <c r="A6200" s="34"/>
      <c r="B6200" s="35"/>
      <c r="C6200" s="36"/>
      <c r="D6200" s="37"/>
      <c r="E6200" s="36"/>
      <c r="F6200" s="42"/>
      <c r="G6200" s="42"/>
      <c r="H6200" s="42"/>
      <c r="AG6200" s="19">
        <v>6199</v>
      </c>
      <c r="AH6200" s="20">
        <v>-892.43139300799362</v>
      </c>
    </row>
    <row r="6201" spans="1:34" ht="14.5" x14ac:dyDescent="0.35">
      <c r="A6201" s="34"/>
      <c r="B6201" s="35"/>
      <c r="C6201" s="36"/>
      <c r="D6201" s="37"/>
      <c r="E6201" s="36"/>
      <c r="F6201" s="42"/>
      <c r="G6201" s="42"/>
      <c r="H6201" s="42"/>
      <c r="AG6201" s="19">
        <v>6200</v>
      </c>
      <c r="AH6201" s="20">
        <v>471.46381117671046</v>
      </c>
    </row>
    <row r="6202" spans="1:34" ht="14.5" x14ac:dyDescent="0.35">
      <c r="A6202" s="34"/>
      <c r="B6202" s="35"/>
      <c r="C6202" s="36"/>
      <c r="D6202" s="37"/>
      <c r="E6202" s="36"/>
      <c r="F6202" s="42"/>
      <c r="G6202" s="42"/>
      <c r="H6202" s="42"/>
      <c r="AG6202" s="19">
        <v>6201</v>
      </c>
      <c r="AH6202" s="20">
        <v>3921.6771613141004</v>
      </c>
    </row>
    <row r="6203" spans="1:34" ht="14.5" x14ac:dyDescent="0.35">
      <c r="A6203" s="34"/>
      <c r="B6203" s="35"/>
      <c r="C6203" s="36"/>
      <c r="D6203" s="37"/>
      <c r="E6203" s="36"/>
      <c r="F6203" s="42"/>
      <c r="G6203" s="42"/>
      <c r="H6203" s="42"/>
      <c r="AG6203" s="19">
        <v>6202</v>
      </c>
      <c r="AH6203" s="20">
        <v>-1600.229905785541</v>
      </c>
    </row>
    <row r="6204" spans="1:34" ht="14.5" x14ac:dyDescent="0.35">
      <c r="A6204" s="34"/>
      <c r="B6204" s="35"/>
      <c r="C6204" s="36"/>
      <c r="D6204" s="37"/>
      <c r="E6204" s="36"/>
      <c r="F6204" s="42"/>
      <c r="G6204" s="42"/>
      <c r="H6204" s="42"/>
      <c r="AG6204" s="19">
        <v>6203</v>
      </c>
      <c r="AH6204" s="20">
        <v>-70.682405390342979</v>
      </c>
    </row>
    <row r="6205" spans="1:34" ht="14.5" x14ac:dyDescent="0.35">
      <c r="A6205" s="34"/>
      <c r="B6205" s="35"/>
      <c r="C6205" s="36"/>
      <c r="D6205" s="37"/>
      <c r="E6205" s="36"/>
      <c r="F6205" s="42"/>
      <c r="G6205" s="42"/>
      <c r="H6205" s="42"/>
      <c r="AG6205" s="19">
        <v>6204</v>
      </c>
      <c r="AH6205" s="20">
        <v>-1118.8657969980443</v>
      </c>
    </row>
    <row r="6206" spans="1:34" ht="14.5" x14ac:dyDescent="0.35">
      <c r="A6206" s="34"/>
      <c r="B6206" s="35"/>
      <c r="C6206" s="36"/>
      <c r="D6206" s="37"/>
      <c r="E6206" s="36"/>
      <c r="F6206" s="42"/>
      <c r="G6206" s="42"/>
      <c r="H6206" s="42"/>
      <c r="AG6206" s="19">
        <v>6205</v>
      </c>
      <c r="AH6206" s="20">
        <v>-1270.5407843451269</v>
      </c>
    </row>
    <row r="6207" spans="1:34" ht="14.5" x14ac:dyDescent="0.35">
      <c r="A6207" s="34"/>
      <c r="B6207" s="35"/>
      <c r="C6207" s="36"/>
      <c r="D6207" s="37"/>
      <c r="E6207" s="36"/>
      <c r="F6207" s="42"/>
      <c r="G6207" s="42"/>
      <c r="H6207" s="42"/>
      <c r="AG6207" s="19">
        <v>6206</v>
      </c>
      <c r="AH6207" s="20">
        <v>4564.4397281938363</v>
      </c>
    </row>
    <row r="6208" spans="1:34" ht="14.5" x14ac:dyDescent="0.35">
      <c r="A6208" s="34"/>
      <c r="B6208" s="35"/>
      <c r="C6208" s="36"/>
      <c r="D6208" s="37"/>
      <c r="E6208" s="36"/>
      <c r="F6208" s="42"/>
      <c r="G6208" s="42"/>
      <c r="H6208" s="42"/>
      <c r="AG6208" s="19">
        <v>6207</v>
      </c>
      <c r="AH6208" s="20">
        <v>2239.6288989892473</v>
      </c>
    </row>
    <row r="6209" spans="1:34" ht="14.5" x14ac:dyDescent="0.35">
      <c r="A6209" s="34"/>
      <c r="B6209" s="35"/>
      <c r="C6209" s="36"/>
      <c r="D6209" s="37"/>
      <c r="E6209" s="36"/>
      <c r="F6209" s="42"/>
      <c r="G6209" s="42"/>
      <c r="H6209" s="42"/>
      <c r="AG6209" s="19">
        <v>6208</v>
      </c>
      <c r="AH6209" s="20">
        <v>1126.5552670124057</v>
      </c>
    </row>
    <row r="6210" spans="1:34" ht="14.5" x14ac:dyDescent="0.35">
      <c r="A6210" s="34"/>
      <c r="B6210" s="35"/>
      <c r="C6210" s="36"/>
      <c r="D6210" s="37"/>
      <c r="E6210" s="36"/>
      <c r="F6210" s="42"/>
      <c r="G6210" s="42"/>
      <c r="H6210" s="42"/>
      <c r="AG6210" s="19">
        <v>6209</v>
      </c>
      <c r="AH6210" s="20">
        <v>2646.4039704194647</v>
      </c>
    </row>
    <row r="6211" spans="1:34" ht="14.5" x14ac:dyDescent="0.35">
      <c r="A6211" s="34"/>
      <c r="B6211" s="35"/>
      <c r="C6211" s="36"/>
      <c r="D6211" s="37"/>
      <c r="E6211" s="36"/>
      <c r="F6211" s="42"/>
      <c r="G6211" s="42"/>
      <c r="H6211" s="42"/>
      <c r="AG6211" s="19">
        <v>6210</v>
      </c>
      <c r="AH6211" s="20">
        <v>-1099.5804057738549</v>
      </c>
    </row>
    <row r="6212" spans="1:34" ht="14.5" x14ac:dyDescent="0.35">
      <c r="A6212" s="34"/>
      <c r="B6212" s="35"/>
      <c r="C6212" s="36"/>
      <c r="D6212" s="37"/>
      <c r="E6212" s="36"/>
      <c r="F6212" s="42"/>
      <c r="G6212" s="42"/>
      <c r="H6212" s="42"/>
      <c r="AG6212" s="19">
        <v>6211</v>
      </c>
      <c r="AH6212" s="20">
        <v>3601.7208595121779</v>
      </c>
    </row>
    <row r="6213" spans="1:34" ht="14.5" x14ac:dyDescent="0.35">
      <c r="A6213" s="34"/>
      <c r="B6213" s="35"/>
      <c r="C6213" s="36"/>
      <c r="D6213" s="37"/>
      <c r="E6213" s="36"/>
      <c r="F6213" s="42"/>
      <c r="G6213" s="42"/>
      <c r="H6213" s="42"/>
      <c r="AG6213" s="19">
        <v>6212</v>
      </c>
      <c r="AH6213" s="20">
        <v>-2167.8572027622968</v>
      </c>
    </row>
    <row r="6214" spans="1:34" ht="14.5" x14ac:dyDescent="0.35">
      <c r="A6214" s="34"/>
      <c r="B6214" s="35"/>
      <c r="C6214" s="36"/>
      <c r="D6214" s="37"/>
      <c r="E6214" s="36"/>
      <c r="F6214" s="42"/>
      <c r="G6214" s="42"/>
      <c r="H6214" s="42"/>
      <c r="AG6214" s="19">
        <v>6213</v>
      </c>
      <c r="AH6214" s="20">
        <v>434.39284195233347</v>
      </c>
    </row>
    <row r="6215" spans="1:34" ht="14.5" x14ac:dyDescent="0.35">
      <c r="A6215" s="34"/>
      <c r="B6215" s="35"/>
      <c r="C6215" s="36"/>
      <c r="D6215" s="37"/>
      <c r="E6215" s="36"/>
      <c r="F6215" s="42"/>
      <c r="G6215" s="42"/>
      <c r="H6215" s="42"/>
      <c r="AG6215" s="19">
        <v>6214</v>
      </c>
      <c r="AH6215" s="20">
        <v>182.40832596057226</v>
      </c>
    </row>
    <row r="6216" spans="1:34" ht="14.5" x14ac:dyDescent="0.35">
      <c r="A6216" s="34"/>
      <c r="B6216" s="35"/>
      <c r="C6216" s="36"/>
      <c r="D6216" s="37"/>
      <c r="E6216" s="36"/>
      <c r="F6216" s="42"/>
      <c r="G6216" s="42"/>
      <c r="H6216" s="42"/>
      <c r="AG6216" s="19">
        <v>6215</v>
      </c>
      <c r="AH6216" s="20">
        <v>-1774.0381555152865</v>
      </c>
    </row>
    <row r="6217" spans="1:34" ht="14.5" x14ac:dyDescent="0.35">
      <c r="A6217" s="34"/>
      <c r="B6217" s="35"/>
      <c r="C6217" s="36"/>
      <c r="D6217" s="37"/>
      <c r="E6217" s="36"/>
      <c r="F6217" s="42"/>
      <c r="G6217" s="42"/>
      <c r="H6217" s="42"/>
      <c r="AG6217" s="19">
        <v>6216</v>
      </c>
      <c r="AH6217" s="20">
        <v>1927.9624188155108</v>
      </c>
    </row>
    <row r="6218" spans="1:34" ht="14.5" x14ac:dyDescent="0.35">
      <c r="A6218" s="34"/>
      <c r="B6218" s="35"/>
      <c r="C6218" s="36"/>
      <c r="D6218" s="37"/>
      <c r="E6218" s="36"/>
      <c r="F6218" s="42"/>
      <c r="G6218" s="42"/>
      <c r="H6218" s="42"/>
      <c r="AG6218" s="19">
        <v>6217</v>
      </c>
      <c r="AH6218" s="20">
        <v>830.17728585418331</v>
      </c>
    </row>
    <row r="6219" spans="1:34" ht="14.5" x14ac:dyDescent="0.35">
      <c r="A6219" s="34"/>
      <c r="B6219" s="35"/>
      <c r="C6219" s="36"/>
      <c r="D6219" s="37"/>
      <c r="E6219" s="36"/>
      <c r="F6219" s="42"/>
      <c r="G6219" s="42"/>
      <c r="H6219" s="42"/>
      <c r="AG6219" s="19">
        <v>6218</v>
      </c>
      <c r="AH6219" s="20">
        <v>2212.4734117789189</v>
      </c>
    </row>
    <row r="6220" spans="1:34" ht="14.5" x14ac:dyDescent="0.35">
      <c r="A6220" s="34"/>
      <c r="B6220" s="35"/>
      <c r="C6220" s="36"/>
      <c r="D6220" s="37"/>
      <c r="E6220" s="36"/>
      <c r="F6220" s="42"/>
      <c r="G6220" s="42"/>
      <c r="H6220" s="42"/>
      <c r="AG6220" s="19">
        <v>6219</v>
      </c>
      <c r="AH6220" s="20">
        <v>-1070.0558875682286</v>
      </c>
    </row>
    <row r="6221" spans="1:34" ht="14.5" x14ac:dyDescent="0.35">
      <c r="A6221" s="34"/>
      <c r="B6221" s="35"/>
      <c r="C6221" s="36"/>
      <c r="D6221" s="37"/>
      <c r="E6221" s="36"/>
      <c r="F6221" s="42"/>
      <c r="G6221" s="42"/>
      <c r="H6221" s="42"/>
      <c r="AG6221" s="19">
        <v>6220</v>
      </c>
      <c r="AH6221" s="20">
        <v>-2482.9598822368839</v>
      </c>
    </row>
    <row r="6222" spans="1:34" ht="14.5" x14ac:dyDescent="0.35">
      <c r="A6222" s="34"/>
      <c r="B6222" s="35"/>
      <c r="C6222" s="36"/>
      <c r="D6222" s="37"/>
      <c r="E6222" s="36"/>
      <c r="F6222" s="42"/>
      <c r="G6222" s="42"/>
      <c r="H6222" s="42"/>
      <c r="AG6222" s="19">
        <v>6221</v>
      </c>
      <c r="AH6222" s="20">
        <v>-570.19035123034837</v>
      </c>
    </row>
    <row r="6223" spans="1:34" ht="14.5" x14ac:dyDescent="0.35">
      <c r="A6223" s="34"/>
      <c r="B6223" s="35"/>
      <c r="C6223" s="36"/>
      <c r="D6223" s="37"/>
      <c r="E6223" s="36"/>
      <c r="F6223" s="42"/>
      <c r="G6223" s="42"/>
      <c r="H6223" s="42"/>
      <c r="AG6223" s="19">
        <v>6222</v>
      </c>
      <c r="AH6223" s="20">
        <v>-13.323781827933942</v>
      </c>
    </row>
    <row r="6224" spans="1:34" ht="14.5" x14ac:dyDescent="0.35">
      <c r="A6224" s="34"/>
      <c r="B6224" s="35"/>
      <c r="C6224" s="36"/>
      <c r="D6224" s="37"/>
      <c r="E6224" s="36"/>
      <c r="F6224" s="42"/>
      <c r="G6224" s="42"/>
      <c r="H6224" s="42"/>
      <c r="AG6224" s="19">
        <v>6223</v>
      </c>
      <c r="AH6224" s="20">
        <v>-1648.0121823946527</v>
      </c>
    </row>
    <row r="6225" spans="1:34" ht="14.5" x14ac:dyDescent="0.35">
      <c r="A6225" s="34"/>
      <c r="B6225" s="35"/>
      <c r="C6225" s="36"/>
      <c r="D6225" s="37"/>
      <c r="E6225" s="36"/>
      <c r="F6225" s="42"/>
      <c r="G6225" s="42"/>
      <c r="H6225" s="42"/>
      <c r="AG6225" s="19">
        <v>6224</v>
      </c>
      <c r="AH6225" s="20">
        <v>5304.7974807317669</v>
      </c>
    </row>
    <row r="6226" spans="1:34" ht="14.5" x14ac:dyDescent="0.35">
      <c r="A6226" s="34"/>
      <c r="B6226" s="35"/>
      <c r="C6226" s="36"/>
      <c r="D6226" s="37"/>
      <c r="E6226" s="36"/>
      <c r="F6226" s="42"/>
      <c r="G6226" s="42"/>
      <c r="H6226" s="42"/>
      <c r="AG6226" s="19">
        <v>6225</v>
      </c>
      <c r="AH6226" s="20">
        <v>789.29865341584377</v>
      </c>
    </row>
    <row r="6227" spans="1:34" ht="14.5" x14ac:dyDescent="0.35">
      <c r="A6227" s="34"/>
      <c r="B6227" s="35"/>
      <c r="C6227" s="36"/>
      <c r="D6227" s="37"/>
      <c r="E6227" s="36"/>
      <c r="F6227" s="42"/>
      <c r="G6227" s="42"/>
      <c r="H6227" s="42"/>
      <c r="AG6227" s="19">
        <v>6226</v>
      </c>
      <c r="AH6227" s="20">
        <v>394.20153180409812</v>
      </c>
    </row>
    <row r="6228" spans="1:34" ht="14.5" x14ac:dyDescent="0.35">
      <c r="A6228" s="34"/>
      <c r="B6228" s="35"/>
      <c r="C6228" s="36"/>
      <c r="D6228" s="37"/>
      <c r="E6228" s="36"/>
      <c r="F6228" s="42"/>
      <c r="G6228" s="42"/>
      <c r="H6228" s="42"/>
      <c r="AG6228" s="19">
        <v>6227</v>
      </c>
      <c r="AH6228" s="20">
        <v>977.23965190511672</v>
      </c>
    </row>
    <row r="6229" spans="1:34" ht="14.5" x14ac:dyDescent="0.35">
      <c r="A6229" s="34"/>
      <c r="B6229" s="35"/>
      <c r="C6229" s="36"/>
      <c r="D6229" s="37"/>
      <c r="E6229" s="36"/>
      <c r="F6229" s="42"/>
      <c r="G6229" s="42"/>
      <c r="H6229" s="42"/>
      <c r="AG6229" s="19">
        <v>6228</v>
      </c>
      <c r="AH6229" s="20">
        <v>-1135.9798149139715</v>
      </c>
    </row>
    <row r="6230" spans="1:34" ht="14.5" x14ac:dyDescent="0.35">
      <c r="A6230" s="34"/>
      <c r="B6230" s="35"/>
      <c r="C6230" s="36"/>
      <c r="D6230" s="37"/>
      <c r="E6230" s="36"/>
      <c r="F6230" s="42"/>
      <c r="G6230" s="42"/>
      <c r="H6230" s="42"/>
      <c r="AG6230" s="19">
        <v>6229</v>
      </c>
      <c r="AH6230" s="20">
        <v>1010.5130356767713</v>
      </c>
    </row>
    <row r="6231" spans="1:34" ht="14.5" x14ac:dyDescent="0.35">
      <c r="A6231" s="34"/>
      <c r="B6231" s="35"/>
      <c r="C6231" s="36"/>
      <c r="D6231" s="37"/>
      <c r="E6231" s="36"/>
      <c r="F6231" s="42"/>
      <c r="G6231" s="42"/>
      <c r="H6231" s="42"/>
      <c r="AG6231" s="19">
        <v>6230</v>
      </c>
      <c r="AH6231" s="20">
        <v>55.292605741694842</v>
      </c>
    </row>
    <row r="6232" spans="1:34" ht="14.5" x14ac:dyDescent="0.35">
      <c r="A6232" s="34"/>
      <c r="B6232" s="35"/>
      <c r="C6232" s="36"/>
      <c r="D6232" s="37"/>
      <c r="E6232" s="36"/>
      <c r="F6232" s="42"/>
      <c r="G6232" s="42"/>
      <c r="H6232" s="42"/>
      <c r="AG6232" s="19">
        <v>6231</v>
      </c>
      <c r="AH6232" s="20">
        <v>3337.7930151385331</v>
      </c>
    </row>
    <row r="6233" spans="1:34" ht="14.5" x14ac:dyDescent="0.35">
      <c r="A6233" s="34"/>
      <c r="B6233" s="35"/>
      <c r="C6233" s="36"/>
      <c r="D6233" s="37"/>
      <c r="E6233" s="36"/>
      <c r="F6233" s="42"/>
      <c r="G6233" s="42"/>
      <c r="H6233" s="42"/>
      <c r="AG6233" s="19">
        <v>6232</v>
      </c>
      <c r="AH6233" s="20">
        <v>-306.70651040793751</v>
      </c>
    </row>
    <row r="6234" spans="1:34" ht="14.5" x14ac:dyDescent="0.35">
      <c r="A6234" s="34"/>
      <c r="B6234" s="35"/>
      <c r="C6234" s="36"/>
      <c r="D6234" s="37"/>
      <c r="E6234" s="36"/>
      <c r="F6234" s="42"/>
      <c r="G6234" s="42"/>
      <c r="H6234" s="42"/>
      <c r="AG6234" s="19">
        <v>6233</v>
      </c>
      <c r="AH6234" s="20">
        <v>-2587.4403227857183</v>
      </c>
    </row>
    <row r="6235" spans="1:34" ht="14.5" x14ac:dyDescent="0.35">
      <c r="A6235" s="34"/>
      <c r="B6235" s="35"/>
      <c r="C6235" s="36"/>
      <c r="D6235" s="37"/>
      <c r="E6235" s="36"/>
      <c r="F6235" s="42"/>
      <c r="G6235" s="42"/>
      <c r="H6235" s="42"/>
      <c r="AG6235" s="19">
        <v>6234</v>
      </c>
      <c r="AH6235" s="20">
        <v>-576.03104791373539</v>
      </c>
    </row>
    <row r="6236" spans="1:34" ht="14.5" x14ac:dyDescent="0.35">
      <c r="A6236" s="34"/>
      <c r="B6236" s="35"/>
      <c r="C6236" s="36"/>
      <c r="D6236" s="37"/>
      <c r="E6236" s="36"/>
      <c r="F6236" s="42"/>
      <c r="G6236" s="42"/>
      <c r="H6236" s="42"/>
      <c r="AG6236" s="19">
        <v>6235</v>
      </c>
      <c r="AH6236" s="20">
        <v>-3234.2644694923488</v>
      </c>
    </row>
    <row r="6237" spans="1:34" ht="14.5" x14ac:dyDescent="0.35">
      <c r="A6237" s="34"/>
      <c r="B6237" s="35"/>
      <c r="C6237" s="36"/>
      <c r="D6237" s="37"/>
      <c r="E6237" s="36"/>
      <c r="F6237" s="42"/>
      <c r="G6237" s="42"/>
      <c r="H6237" s="42"/>
      <c r="AG6237" s="19">
        <v>6236</v>
      </c>
      <c r="AH6237" s="20">
        <v>-4479.423433918053</v>
      </c>
    </row>
    <row r="6238" spans="1:34" ht="14.5" x14ac:dyDescent="0.35">
      <c r="A6238" s="34"/>
      <c r="B6238" s="35"/>
      <c r="C6238" s="36"/>
      <c r="D6238" s="37"/>
      <c r="E6238" s="36"/>
      <c r="F6238" s="42"/>
      <c r="G6238" s="42"/>
      <c r="H6238" s="42"/>
      <c r="AG6238" s="19">
        <v>6237</v>
      </c>
      <c r="AH6238" s="20">
        <v>4121.4166205513193</v>
      </c>
    </row>
    <row r="6239" spans="1:34" ht="14.5" x14ac:dyDescent="0.35">
      <c r="A6239" s="34"/>
      <c r="B6239" s="35"/>
      <c r="C6239" s="36"/>
      <c r="D6239" s="37"/>
      <c r="E6239" s="36"/>
      <c r="F6239" s="42"/>
      <c r="G6239" s="42"/>
      <c r="H6239" s="42"/>
      <c r="AG6239" s="19">
        <v>6238</v>
      </c>
      <c r="AH6239" s="20">
        <v>-1642.3184145062744</v>
      </c>
    </row>
    <row r="6240" spans="1:34" ht="14.5" x14ac:dyDescent="0.35">
      <c r="A6240" s="34"/>
      <c r="B6240" s="35"/>
      <c r="C6240" s="36"/>
      <c r="D6240" s="37"/>
      <c r="E6240" s="36"/>
      <c r="F6240" s="42"/>
      <c r="G6240" s="42"/>
      <c r="H6240" s="42"/>
      <c r="AG6240" s="19">
        <v>6239</v>
      </c>
      <c r="AH6240" s="20">
        <v>-1959.2442653119967</v>
      </c>
    </row>
    <row r="6241" spans="1:34" ht="14.5" x14ac:dyDescent="0.35">
      <c r="A6241" s="34"/>
      <c r="B6241" s="35"/>
      <c r="C6241" s="36"/>
      <c r="D6241" s="37"/>
      <c r="E6241" s="36"/>
      <c r="F6241" s="42"/>
      <c r="G6241" s="42"/>
      <c r="H6241" s="42"/>
      <c r="AG6241" s="19">
        <v>6240</v>
      </c>
      <c r="AH6241" s="20">
        <v>-2019.3387791992916</v>
      </c>
    </row>
    <row r="6242" spans="1:34" ht="14.5" x14ac:dyDescent="0.35">
      <c r="A6242" s="34"/>
      <c r="B6242" s="35"/>
      <c r="C6242" s="36"/>
      <c r="D6242" s="37"/>
      <c r="E6242" s="36"/>
      <c r="F6242" s="42"/>
      <c r="G6242" s="42"/>
      <c r="H6242" s="42"/>
      <c r="AG6242" s="19">
        <v>6241</v>
      </c>
      <c r="AH6242" s="20">
        <v>766.0162959563994</v>
      </c>
    </row>
    <row r="6243" spans="1:34" ht="14.5" x14ac:dyDescent="0.35">
      <c r="A6243" s="34"/>
      <c r="B6243" s="35"/>
      <c r="C6243" s="36"/>
      <c r="D6243" s="37"/>
      <c r="E6243" s="36"/>
      <c r="F6243" s="42"/>
      <c r="G6243" s="42"/>
      <c r="H6243" s="42"/>
      <c r="AG6243" s="19">
        <v>6242</v>
      </c>
      <c r="AH6243" s="20">
        <v>-862.77528501067695</v>
      </c>
    </row>
    <row r="6244" spans="1:34" ht="14.5" x14ac:dyDescent="0.35">
      <c r="A6244" s="34"/>
      <c r="B6244" s="35"/>
      <c r="C6244" s="36"/>
      <c r="D6244" s="37"/>
      <c r="E6244" s="36"/>
      <c r="F6244" s="42"/>
      <c r="G6244" s="42"/>
      <c r="H6244" s="42"/>
      <c r="AG6244" s="19">
        <v>6243</v>
      </c>
      <c r="AH6244" s="20">
        <v>1182.6207966699214</v>
      </c>
    </row>
    <row r="6245" spans="1:34" ht="14.5" x14ac:dyDescent="0.35">
      <c r="A6245" s="34"/>
      <c r="B6245" s="35"/>
      <c r="C6245" s="36"/>
      <c r="D6245" s="37"/>
      <c r="E6245" s="36"/>
      <c r="F6245" s="42"/>
      <c r="G6245" s="42"/>
      <c r="H6245" s="42"/>
      <c r="AG6245" s="19">
        <v>6244</v>
      </c>
      <c r="AH6245" s="20">
        <v>3591.0019887696626</v>
      </c>
    </row>
    <row r="6246" spans="1:34" ht="14.5" x14ac:dyDescent="0.35">
      <c r="A6246" s="34"/>
      <c r="B6246" s="35"/>
      <c r="C6246" s="36"/>
      <c r="D6246" s="37"/>
      <c r="E6246" s="36"/>
      <c r="F6246" s="42"/>
      <c r="G6246" s="42"/>
      <c r="H6246" s="42"/>
      <c r="AG6246" s="19">
        <v>6245</v>
      </c>
      <c r="AH6246" s="20">
        <v>-448.00053371667144</v>
      </c>
    </row>
    <row r="6247" spans="1:34" ht="14.5" x14ac:dyDescent="0.35">
      <c r="A6247" s="34"/>
      <c r="B6247" s="35"/>
      <c r="C6247" s="36"/>
      <c r="D6247" s="37"/>
      <c r="E6247" s="36"/>
      <c r="F6247" s="42"/>
      <c r="G6247" s="42"/>
      <c r="H6247" s="42"/>
      <c r="AG6247" s="19">
        <v>6246</v>
      </c>
      <c r="AH6247" s="20">
        <v>-1305.640002775529</v>
      </c>
    </row>
    <row r="6248" spans="1:34" ht="14.5" x14ac:dyDescent="0.35">
      <c r="A6248" s="34"/>
      <c r="B6248" s="35"/>
      <c r="C6248" s="36"/>
      <c r="D6248" s="37"/>
      <c r="E6248" s="36"/>
      <c r="F6248" s="42"/>
      <c r="G6248" s="42"/>
      <c r="H6248" s="42"/>
      <c r="AG6248" s="19">
        <v>6247</v>
      </c>
      <c r="AH6248" s="20">
        <v>-240.48890281341306</v>
      </c>
    </row>
    <row r="6249" spans="1:34" ht="14.5" x14ac:dyDescent="0.35">
      <c r="A6249" s="34"/>
      <c r="B6249" s="35"/>
      <c r="C6249" s="36"/>
      <c r="D6249" s="37"/>
      <c r="E6249" s="36"/>
      <c r="F6249" s="42"/>
      <c r="G6249" s="42"/>
      <c r="H6249" s="42"/>
      <c r="AG6249" s="19">
        <v>6248</v>
      </c>
      <c r="AH6249" s="20">
        <v>-35.934908322495971</v>
      </c>
    </row>
    <row r="6250" spans="1:34" ht="14.5" x14ac:dyDescent="0.35">
      <c r="A6250" s="34"/>
      <c r="B6250" s="35"/>
      <c r="C6250" s="36"/>
      <c r="D6250" s="37"/>
      <c r="E6250" s="36"/>
      <c r="F6250" s="42"/>
      <c r="G6250" s="42"/>
      <c r="H6250" s="42"/>
      <c r="AG6250" s="19">
        <v>6249</v>
      </c>
      <c r="AH6250" s="20">
        <v>1984.9517386087325</v>
      </c>
    </row>
    <row r="6251" spans="1:34" ht="14.5" x14ac:dyDescent="0.35">
      <c r="A6251" s="34"/>
      <c r="B6251" s="35"/>
      <c r="C6251" s="36"/>
      <c r="D6251" s="37"/>
      <c r="E6251" s="36"/>
      <c r="F6251" s="42"/>
      <c r="G6251" s="42"/>
      <c r="H6251" s="42"/>
      <c r="AG6251" s="19">
        <v>6250</v>
      </c>
      <c r="AH6251" s="20">
        <v>386.1780793624946</v>
      </c>
    </row>
    <row r="6252" spans="1:34" ht="14.5" x14ac:dyDescent="0.35">
      <c r="A6252" s="34"/>
      <c r="B6252" s="35"/>
      <c r="C6252" s="36"/>
      <c r="D6252" s="37"/>
      <c r="E6252" s="36"/>
      <c r="F6252" s="42"/>
      <c r="G6252" s="42"/>
      <c r="H6252" s="42"/>
      <c r="AG6252" s="19">
        <v>6251</v>
      </c>
      <c r="AH6252" s="20">
        <v>2327.2562144006238</v>
      </c>
    </row>
    <row r="6253" spans="1:34" ht="14.5" x14ac:dyDescent="0.35">
      <c r="A6253" s="34"/>
      <c r="B6253" s="35"/>
      <c r="C6253" s="36"/>
      <c r="D6253" s="37"/>
      <c r="E6253" s="36"/>
      <c r="F6253" s="42"/>
      <c r="G6253" s="42"/>
      <c r="H6253" s="42"/>
      <c r="AG6253" s="19">
        <v>6252</v>
      </c>
      <c r="AH6253" s="20">
        <v>2047.4764639484117</v>
      </c>
    </row>
    <row r="6254" spans="1:34" ht="14.5" x14ac:dyDescent="0.35">
      <c r="A6254" s="34"/>
      <c r="B6254" s="35"/>
      <c r="C6254" s="36"/>
      <c r="D6254" s="37"/>
      <c r="E6254" s="36"/>
      <c r="F6254" s="42"/>
      <c r="G6254" s="42"/>
      <c r="H6254" s="42"/>
      <c r="AG6254" s="19">
        <v>6253</v>
      </c>
      <c r="AH6254" s="20">
        <v>-905.4973888722634</v>
      </c>
    </row>
    <row r="6255" spans="1:34" ht="14.5" x14ac:dyDescent="0.35">
      <c r="A6255" s="34"/>
      <c r="B6255" s="35"/>
      <c r="C6255" s="36"/>
      <c r="D6255" s="37"/>
      <c r="E6255" s="36"/>
      <c r="F6255" s="42"/>
      <c r="G6255" s="42"/>
      <c r="H6255" s="42"/>
      <c r="AG6255" s="19">
        <v>6254</v>
      </c>
      <c r="AH6255" s="20">
        <v>1650.7406973645568</v>
      </c>
    </row>
    <row r="6256" spans="1:34" ht="14.5" x14ac:dyDescent="0.35">
      <c r="A6256" s="34"/>
      <c r="B6256" s="35"/>
      <c r="C6256" s="36"/>
      <c r="D6256" s="37"/>
      <c r="E6256" s="36"/>
      <c r="F6256" s="42"/>
      <c r="G6256" s="42"/>
      <c r="H6256" s="42"/>
      <c r="AG6256" s="19">
        <v>6255</v>
      </c>
      <c r="AH6256" s="20">
        <v>-21.972696519655585</v>
      </c>
    </row>
    <row r="6257" spans="1:34" ht="14.5" x14ac:dyDescent="0.35">
      <c r="A6257" s="34"/>
      <c r="B6257" s="35"/>
      <c r="C6257" s="36"/>
      <c r="D6257" s="37"/>
      <c r="E6257" s="36"/>
      <c r="F6257" s="42"/>
      <c r="G6257" s="42"/>
      <c r="H6257" s="42"/>
      <c r="AG6257" s="19">
        <v>6256</v>
      </c>
      <c r="AH6257" s="20">
        <v>-1278.6935162018979</v>
      </c>
    </row>
    <row r="6258" spans="1:34" ht="14.5" x14ac:dyDescent="0.35">
      <c r="A6258" s="34"/>
      <c r="B6258" s="35"/>
      <c r="C6258" s="36"/>
      <c r="D6258" s="37"/>
      <c r="E6258" s="36"/>
      <c r="F6258" s="42"/>
      <c r="G6258" s="42"/>
      <c r="H6258" s="42"/>
      <c r="AG6258" s="19">
        <v>6257</v>
      </c>
      <c r="AH6258" s="20">
        <v>484.37384527105166</v>
      </c>
    </row>
    <row r="6259" spans="1:34" ht="14.5" x14ac:dyDescent="0.35">
      <c r="A6259" s="34"/>
      <c r="B6259" s="35"/>
      <c r="C6259" s="36"/>
      <c r="D6259" s="37"/>
      <c r="E6259" s="36"/>
      <c r="F6259" s="42"/>
      <c r="G6259" s="42"/>
      <c r="H6259" s="42"/>
      <c r="AG6259" s="19">
        <v>6258</v>
      </c>
      <c r="AH6259" s="20">
        <v>-2509.2626118853741</v>
      </c>
    </row>
    <row r="6260" spans="1:34" ht="14.5" x14ac:dyDescent="0.35">
      <c r="A6260" s="34"/>
      <c r="B6260" s="35"/>
      <c r="C6260" s="36"/>
      <c r="D6260" s="37"/>
      <c r="E6260" s="36"/>
      <c r="F6260" s="42"/>
      <c r="G6260" s="42"/>
      <c r="H6260" s="42"/>
      <c r="AG6260" s="19">
        <v>6259</v>
      </c>
      <c r="AH6260" s="20">
        <v>1875.6818193440226</v>
      </c>
    </row>
    <row r="6261" spans="1:34" ht="14.5" x14ac:dyDescent="0.35">
      <c r="A6261" s="34"/>
      <c r="B6261" s="35"/>
      <c r="C6261" s="36"/>
      <c r="D6261" s="37"/>
      <c r="E6261" s="36"/>
      <c r="F6261" s="42"/>
      <c r="G6261" s="42"/>
      <c r="H6261" s="42"/>
      <c r="AG6261" s="19">
        <v>6260</v>
      </c>
      <c r="AH6261" s="20">
        <v>688.27479463475584</v>
      </c>
    </row>
    <row r="6262" spans="1:34" ht="14.5" x14ac:dyDescent="0.35">
      <c r="A6262" s="34"/>
      <c r="B6262" s="35"/>
      <c r="C6262" s="36"/>
      <c r="D6262" s="37"/>
      <c r="E6262" s="36"/>
      <c r="F6262" s="42"/>
      <c r="G6262" s="42"/>
      <c r="H6262" s="42"/>
      <c r="AG6262" s="19">
        <v>6261</v>
      </c>
      <c r="AH6262" s="20">
        <v>1106.9563431193767</v>
      </c>
    </row>
    <row r="6263" spans="1:34" ht="14.5" x14ac:dyDescent="0.35">
      <c r="A6263" s="34"/>
      <c r="B6263" s="35"/>
      <c r="C6263" s="36"/>
      <c r="D6263" s="37"/>
      <c r="E6263" s="36"/>
      <c r="F6263" s="42"/>
      <c r="G6263" s="42"/>
      <c r="H6263" s="42"/>
      <c r="AG6263" s="19">
        <v>6262</v>
      </c>
      <c r="AH6263" s="20">
        <v>2081.1451349045178</v>
      </c>
    </row>
    <row r="6264" spans="1:34" ht="14.5" x14ac:dyDescent="0.35">
      <c r="A6264" s="34"/>
      <c r="B6264" s="35"/>
      <c r="C6264" s="36"/>
      <c r="D6264" s="37"/>
      <c r="E6264" s="36"/>
      <c r="F6264" s="42"/>
      <c r="G6264" s="42"/>
      <c r="H6264" s="42"/>
      <c r="AG6264" s="19">
        <v>6263</v>
      </c>
      <c r="AH6264" s="20">
        <v>-1124.5340323189455</v>
      </c>
    </row>
    <row r="6265" spans="1:34" ht="14.5" x14ac:dyDescent="0.35">
      <c r="A6265" s="34"/>
      <c r="B6265" s="35"/>
      <c r="C6265" s="36"/>
      <c r="D6265" s="37"/>
      <c r="E6265" s="36"/>
      <c r="F6265" s="42"/>
      <c r="G6265" s="42"/>
      <c r="H6265" s="42"/>
      <c r="AG6265" s="19">
        <v>6264</v>
      </c>
      <c r="AH6265" s="20">
        <v>-1023.2633244678893</v>
      </c>
    </row>
    <row r="6266" spans="1:34" ht="14.5" x14ac:dyDescent="0.35">
      <c r="A6266" s="34"/>
      <c r="B6266" s="35"/>
      <c r="C6266" s="36"/>
      <c r="D6266" s="37"/>
      <c r="E6266" s="36"/>
      <c r="F6266" s="42"/>
      <c r="G6266" s="42"/>
      <c r="H6266" s="42"/>
      <c r="AG6266" s="19">
        <v>6265</v>
      </c>
      <c r="AH6266" s="20">
        <v>-1871.5333268562074</v>
      </c>
    </row>
    <row r="6267" spans="1:34" ht="14.5" x14ac:dyDescent="0.35">
      <c r="A6267" s="34"/>
      <c r="B6267" s="35"/>
      <c r="C6267" s="36"/>
      <c r="D6267" s="37"/>
      <c r="E6267" s="36"/>
      <c r="F6267" s="42"/>
      <c r="G6267" s="42"/>
      <c r="H6267" s="42"/>
      <c r="AG6267" s="19">
        <v>6266</v>
      </c>
      <c r="AH6267" s="20">
        <v>5521.7336259769509</v>
      </c>
    </row>
    <row r="6268" spans="1:34" ht="14.5" x14ac:dyDescent="0.35">
      <c r="A6268" s="34"/>
      <c r="B6268" s="35"/>
      <c r="C6268" s="36"/>
      <c r="D6268" s="37"/>
      <c r="E6268" s="36"/>
      <c r="F6268" s="42"/>
      <c r="G6268" s="42"/>
      <c r="H6268" s="42"/>
      <c r="AG6268" s="19">
        <v>6267</v>
      </c>
      <c r="AH6268" s="20">
        <v>219.94607275268328</v>
      </c>
    </row>
    <row r="6269" spans="1:34" ht="14.5" x14ac:dyDescent="0.35">
      <c r="A6269" s="34"/>
      <c r="B6269" s="35"/>
      <c r="C6269" s="36"/>
      <c r="D6269" s="37"/>
      <c r="E6269" s="36"/>
      <c r="F6269" s="42"/>
      <c r="G6269" s="42"/>
      <c r="H6269" s="42"/>
      <c r="AG6269" s="19">
        <v>6268</v>
      </c>
      <c r="AH6269" s="20">
        <v>877.4391535718953</v>
      </c>
    </row>
    <row r="6270" spans="1:34" ht="14.5" x14ac:dyDescent="0.35">
      <c r="A6270" s="34"/>
      <c r="B6270" s="35"/>
      <c r="C6270" s="36"/>
      <c r="D6270" s="37"/>
      <c r="E6270" s="36"/>
      <c r="F6270" s="42"/>
      <c r="G6270" s="42"/>
      <c r="H6270" s="42"/>
      <c r="AG6270" s="19">
        <v>6269</v>
      </c>
      <c r="AH6270" s="20">
        <v>1207.5874053674913</v>
      </c>
    </row>
    <row r="6271" spans="1:34" ht="14.5" x14ac:dyDescent="0.35">
      <c r="A6271" s="34"/>
      <c r="B6271" s="35"/>
      <c r="C6271" s="36"/>
      <c r="D6271" s="37"/>
      <c r="E6271" s="36"/>
      <c r="F6271" s="42"/>
      <c r="G6271" s="42"/>
      <c r="H6271" s="42"/>
      <c r="AG6271" s="19">
        <v>6270</v>
      </c>
      <c r="AH6271" s="20">
        <v>611.89462915583647</v>
      </c>
    </row>
    <row r="6272" spans="1:34" ht="14.5" x14ac:dyDescent="0.35">
      <c r="A6272" s="34"/>
      <c r="B6272" s="35"/>
      <c r="C6272" s="36"/>
      <c r="D6272" s="37"/>
      <c r="E6272" s="36"/>
      <c r="F6272" s="42"/>
      <c r="G6272" s="42"/>
      <c r="H6272" s="42"/>
      <c r="AG6272" s="19">
        <v>6271</v>
      </c>
      <c r="AH6272" s="20">
        <v>3046.6792346657221</v>
      </c>
    </row>
    <row r="6273" spans="1:34" ht="14.5" x14ac:dyDescent="0.35">
      <c r="A6273" s="34"/>
      <c r="B6273" s="35"/>
      <c r="C6273" s="36"/>
      <c r="D6273" s="37"/>
      <c r="E6273" s="36"/>
      <c r="F6273" s="42"/>
      <c r="G6273" s="42"/>
      <c r="H6273" s="42"/>
      <c r="AG6273" s="19">
        <v>6272</v>
      </c>
      <c r="AH6273" s="20">
        <v>960.28931544427473</v>
      </c>
    </row>
    <row r="6274" spans="1:34" ht="14.5" x14ac:dyDescent="0.35">
      <c r="A6274" s="34"/>
      <c r="B6274" s="35"/>
      <c r="C6274" s="36"/>
      <c r="D6274" s="37"/>
      <c r="E6274" s="36"/>
      <c r="F6274" s="42"/>
      <c r="G6274" s="42"/>
      <c r="H6274" s="42"/>
      <c r="AG6274" s="19">
        <v>6273</v>
      </c>
      <c r="AH6274" s="20">
        <v>2673.9756275624877</v>
      </c>
    </row>
    <row r="6275" spans="1:34" ht="14.5" x14ac:dyDescent="0.35">
      <c r="A6275" s="34"/>
      <c r="B6275" s="35"/>
      <c r="C6275" s="36"/>
      <c r="D6275" s="37"/>
      <c r="E6275" s="36"/>
      <c r="F6275" s="42"/>
      <c r="G6275" s="42"/>
      <c r="H6275" s="42"/>
      <c r="AG6275" s="19">
        <v>6274</v>
      </c>
      <c r="AH6275" s="20">
        <v>471.07868128719491</v>
      </c>
    </row>
    <row r="6276" spans="1:34" ht="14.5" x14ac:dyDescent="0.35">
      <c r="A6276" s="34"/>
      <c r="B6276" s="35"/>
      <c r="C6276" s="36"/>
      <c r="D6276" s="37"/>
      <c r="E6276" s="36"/>
      <c r="F6276" s="42"/>
      <c r="G6276" s="42"/>
      <c r="H6276" s="42"/>
      <c r="AG6276" s="19">
        <v>6275</v>
      </c>
      <c r="AH6276" s="20">
        <v>-210.57810454544079</v>
      </c>
    </row>
    <row r="6277" spans="1:34" ht="14.5" x14ac:dyDescent="0.35">
      <c r="A6277" s="34"/>
      <c r="B6277" s="35"/>
      <c r="C6277" s="36"/>
      <c r="D6277" s="37"/>
      <c r="E6277" s="36"/>
      <c r="F6277" s="42"/>
      <c r="G6277" s="42"/>
      <c r="H6277" s="42"/>
      <c r="AG6277" s="19">
        <v>6276</v>
      </c>
      <c r="AH6277" s="20">
        <v>392.57040479385125</v>
      </c>
    </row>
    <row r="6278" spans="1:34" ht="14.5" x14ac:dyDescent="0.35">
      <c r="A6278" s="34"/>
      <c r="B6278" s="35"/>
      <c r="C6278" s="36"/>
      <c r="D6278" s="37"/>
      <c r="E6278" s="36"/>
      <c r="F6278" s="42"/>
      <c r="G6278" s="42"/>
      <c r="H6278" s="42"/>
      <c r="AG6278" s="19">
        <v>6277</v>
      </c>
      <c r="AH6278" s="20">
        <v>1281.1241937965538</v>
      </c>
    </row>
    <row r="6279" spans="1:34" ht="14.5" x14ac:dyDescent="0.35">
      <c r="A6279" s="34"/>
      <c r="B6279" s="35"/>
      <c r="C6279" s="36"/>
      <c r="D6279" s="37"/>
      <c r="E6279" s="36"/>
      <c r="F6279" s="42"/>
      <c r="G6279" s="42"/>
      <c r="H6279" s="42"/>
      <c r="AG6279" s="19">
        <v>6278</v>
      </c>
      <c r="AH6279" s="20">
        <v>-1857.8025315365433</v>
      </c>
    </row>
    <row r="6280" spans="1:34" ht="14.5" x14ac:dyDescent="0.35">
      <c r="A6280" s="34"/>
      <c r="B6280" s="35"/>
      <c r="C6280" s="36"/>
      <c r="D6280" s="37"/>
      <c r="E6280" s="36"/>
      <c r="F6280" s="42"/>
      <c r="G6280" s="42"/>
      <c r="H6280" s="42"/>
      <c r="AG6280" s="19">
        <v>6279</v>
      </c>
      <c r="AH6280" s="20">
        <v>3264.3960335303927</v>
      </c>
    </row>
    <row r="6281" spans="1:34" ht="14.5" x14ac:dyDescent="0.35">
      <c r="A6281" s="34"/>
      <c r="B6281" s="35"/>
      <c r="C6281" s="36"/>
      <c r="D6281" s="37"/>
      <c r="E6281" s="36"/>
      <c r="F6281" s="42"/>
      <c r="G6281" s="42"/>
      <c r="H6281" s="42"/>
      <c r="AG6281" s="19">
        <v>6280</v>
      </c>
      <c r="AH6281" s="20">
        <v>-1680.931974434123</v>
      </c>
    </row>
    <row r="6282" spans="1:34" ht="14.5" x14ac:dyDescent="0.35">
      <c r="A6282" s="34"/>
      <c r="B6282" s="35"/>
      <c r="C6282" s="36"/>
      <c r="D6282" s="37"/>
      <c r="E6282" s="36"/>
      <c r="F6282" s="42"/>
      <c r="G6282" s="42"/>
      <c r="H6282" s="42"/>
      <c r="AG6282" s="19">
        <v>6281</v>
      </c>
      <c r="AH6282" s="20">
        <v>3433.7483530677591</v>
      </c>
    </row>
    <row r="6283" spans="1:34" ht="14.5" x14ac:dyDescent="0.35">
      <c r="A6283" s="34"/>
      <c r="B6283" s="35"/>
      <c r="C6283" s="36"/>
      <c r="D6283" s="37"/>
      <c r="E6283" s="36"/>
      <c r="F6283" s="42"/>
      <c r="G6283" s="42"/>
      <c r="H6283" s="42"/>
      <c r="AG6283" s="19">
        <v>6282</v>
      </c>
      <c r="AH6283" s="20">
        <v>1324.3856719631492</v>
      </c>
    </row>
    <row r="6284" spans="1:34" ht="14.5" x14ac:dyDescent="0.35">
      <c r="A6284" s="34"/>
      <c r="B6284" s="35"/>
      <c r="C6284" s="36"/>
      <c r="D6284" s="37"/>
      <c r="E6284" s="36"/>
      <c r="F6284" s="42"/>
      <c r="G6284" s="42"/>
      <c r="H6284" s="42"/>
      <c r="AG6284" s="19">
        <v>6283</v>
      </c>
      <c r="AH6284" s="20">
        <v>-146.92878477865275</v>
      </c>
    </row>
    <row r="6285" spans="1:34" ht="14.5" x14ac:dyDescent="0.35">
      <c r="A6285" s="34"/>
      <c r="B6285" s="35"/>
      <c r="C6285" s="36"/>
      <c r="D6285" s="37"/>
      <c r="E6285" s="36"/>
      <c r="F6285" s="42"/>
      <c r="G6285" s="42"/>
      <c r="H6285" s="42"/>
      <c r="AG6285" s="19">
        <v>6284</v>
      </c>
      <c r="AH6285" s="20">
        <v>-675.51623015862469</v>
      </c>
    </row>
    <row r="6286" spans="1:34" ht="14.5" x14ac:dyDescent="0.35">
      <c r="A6286" s="34"/>
      <c r="B6286" s="35"/>
      <c r="C6286" s="36"/>
      <c r="D6286" s="37"/>
      <c r="E6286" s="36"/>
      <c r="F6286" s="42"/>
      <c r="G6286" s="42"/>
      <c r="H6286" s="42"/>
      <c r="AG6286" s="19">
        <v>6285</v>
      </c>
      <c r="AH6286" s="20">
        <v>1489.9028977303481</v>
      </c>
    </row>
    <row r="6287" spans="1:34" ht="14.5" x14ac:dyDescent="0.35">
      <c r="A6287" s="34"/>
      <c r="B6287" s="35"/>
      <c r="C6287" s="36"/>
      <c r="D6287" s="37"/>
      <c r="E6287" s="36"/>
      <c r="F6287" s="42"/>
      <c r="G6287" s="42"/>
      <c r="H6287" s="42"/>
      <c r="AG6287" s="19">
        <v>6286</v>
      </c>
      <c r="AH6287" s="20">
        <v>763.19958805770852</v>
      </c>
    </row>
    <row r="6288" spans="1:34" ht="14.5" x14ac:dyDescent="0.35">
      <c r="A6288" s="34"/>
      <c r="B6288" s="35"/>
      <c r="C6288" s="36"/>
      <c r="D6288" s="37"/>
      <c r="E6288" s="36"/>
      <c r="F6288" s="42"/>
      <c r="G6288" s="42"/>
      <c r="H6288" s="42"/>
      <c r="AG6288" s="19">
        <v>6287</v>
      </c>
      <c r="AH6288" s="20">
        <v>-151.95357021075876</v>
      </c>
    </row>
    <row r="6289" spans="1:34" ht="14.5" x14ac:dyDescent="0.35">
      <c r="A6289" s="34"/>
      <c r="B6289" s="35"/>
      <c r="C6289" s="36"/>
      <c r="D6289" s="37"/>
      <c r="E6289" s="36"/>
      <c r="F6289" s="42"/>
      <c r="G6289" s="42"/>
      <c r="H6289" s="42"/>
      <c r="AG6289" s="19">
        <v>6288</v>
      </c>
      <c r="AH6289" s="20">
        <v>1995.5955748902938</v>
      </c>
    </row>
    <row r="6290" spans="1:34" ht="14.5" x14ac:dyDescent="0.35">
      <c r="A6290" s="34"/>
      <c r="B6290" s="35"/>
      <c r="C6290" s="36"/>
      <c r="D6290" s="37"/>
      <c r="E6290" s="36"/>
      <c r="F6290" s="42"/>
      <c r="G6290" s="42"/>
      <c r="H6290" s="42"/>
      <c r="AG6290" s="19">
        <v>6289</v>
      </c>
      <c r="AH6290" s="20">
        <v>2944.2226811747287</v>
      </c>
    </row>
    <row r="6291" spans="1:34" ht="14.5" x14ac:dyDescent="0.35">
      <c r="A6291" s="34"/>
      <c r="B6291" s="35"/>
      <c r="C6291" s="36"/>
      <c r="D6291" s="37"/>
      <c r="E6291" s="36"/>
      <c r="F6291" s="42"/>
      <c r="G6291" s="42"/>
      <c r="H6291" s="42"/>
      <c r="AG6291" s="19">
        <v>6290</v>
      </c>
      <c r="AH6291" s="20">
        <v>-1577.1798295825452</v>
      </c>
    </row>
    <row r="6292" spans="1:34" ht="14.5" x14ac:dyDescent="0.35">
      <c r="A6292" s="34"/>
      <c r="B6292" s="35"/>
      <c r="C6292" s="36"/>
      <c r="D6292" s="37"/>
      <c r="E6292" s="36"/>
      <c r="F6292" s="42"/>
      <c r="G6292" s="42"/>
      <c r="H6292" s="42"/>
      <c r="AG6292" s="19">
        <v>6291</v>
      </c>
      <c r="AH6292" s="20">
        <v>-1091.2932962822549</v>
      </c>
    </row>
    <row r="6293" spans="1:34" ht="14.5" x14ac:dyDescent="0.35">
      <c r="A6293" s="34"/>
      <c r="B6293" s="35"/>
      <c r="C6293" s="36"/>
      <c r="D6293" s="37"/>
      <c r="E6293" s="36"/>
      <c r="F6293" s="42"/>
      <c r="G6293" s="42"/>
      <c r="H6293" s="42"/>
      <c r="AG6293" s="19">
        <v>6292</v>
      </c>
      <c r="AH6293" s="20">
        <v>5186.2623967383261</v>
      </c>
    </row>
    <row r="6294" spans="1:34" ht="14.5" x14ac:dyDescent="0.35">
      <c r="A6294" s="34"/>
      <c r="B6294" s="35"/>
      <c r="C6294" s="36"/>
      <c r="D6294" s="37"/>
      <c r="E6294" s="36"/>
      <c r="F6294" s="42"/>
      <c r="G6294" s="42"/>
      <c r="H6294" s="42"/>
      <c r="AG6294" s="19">
        <v>6293</v>
      </c>
      <c r="AH6294" s="20">
        <v>3184.944287819661</v>
      </c>
    </row>
    <row r="6295" spans="1:34" ht="14.5" x14ac:dyDescent="0.35">
      <c r="A6295" s="34"/>
      <c r="B6295" s="35"/>
      <c r="C6295" s="36"/>
      <c r="D6295" s="37"/>
      <c r="E6295" s="36"/>
      <c r="F6295" s="42"/>
      <c r="G6295" s="42"/>
      <c r="H6295" s="42"/>
      <c r="AG6295" s="19">
        <v>6294</v>
      </c>
      <c r="AH6295" s="20">
        <v>-2206.672342941531</v>
      </c>
    </row>
    <row r="6296" spans="1:34" ht="14.5" x14ac:dyDescent="0.35">
      <c r="A6296" s="34"/>
      <c r="B6296" s="35"/>
      <c r="C6296" s="36"/>
      <c r="D6296" s="37"/>
      <c r="E6296" s="36"/>
      <c r="F6296" s="42"/>
      <c r="G6296" s="42"/>
      <c r="H6296" s="42"/>
      <c r="AG6296" s="19">
        <v>6295</v>
      </c>
      <c r="AH6296" s="20">
        <v>1295.4191675032787</v>
      </c>
    </row>
    <row r="6297" spans="1:34" ht="14.5" x14ac:dyDescent="0.35">
      <c r="A6297" s="34"/>
      <c r="B6297" s="35"/>
      <c r="C6297" s="36"/>
      <c r="D6297" s="37"/>
      <c r="E6297" s="36"/>
      <c r="F6297" s="42"/>
      <c r="G6297" s="42"/>
      <c r="H6297" s="42"/>
      <c r="AG6297" s="19">
        <v>6296</v>
      </c>
      <c r="AH6297" s="20">
        <v>4298.1122925346899</v>
      </c>
    </row>
    <row r="6298" spans="1:34" ht="14.5" x14ac:dyDescent="0.35">
      <c r="A6298" s="34"/>
      <c r="B6298" s="35"/>
      <c r="C6298" s="36"/>
      <c r="D6298" s="37"/>
      <c r="E6298" s="36"/>
      <c r="F6298" s="42"/>
      <c r="G6298" s="42"/>
      <c r="H6298" s="42"/>
      <c r="AG6298" s="19">
        <v>6297</v>
      </c>
      <c r="AH6298" s="20">
        <v>-169.82860019314097</v>
      </c>
    </row>
    <row r="6299" spans="1:34" ht="14.5" x14ac:dyDescent="0.35">
      <c r="A6299" s="34"/>
      <c r="B6299" s="35"/>
      <c r="C6299" s="36"/>
      <c r="D6299" s="37"/>
      <c r="E6299" s="36"/>
      <c r="F6299" s="42"/>
      <c r="G6299" s="42"/>
      <c r="H6299" s="42"/>
      <c r="AG6299" s="19">
        <v>6298</v>
      </c>
      <c r="AH6299" s="20">
        <v>501.95097932867293</v>
      </c>
    </row>
    <row r="6300" spans="1:34" ht="14.5" x14ac:dyDescent="0.35">
      <c r="A6300" s="34"/>
      <c r="B6300" s="35"/>
      <c r="C6300" s="36"/>
      <c r="D6300" s="37"/>
      <c r="E6300" s="36"/>
      <c r="F6300" s="42"/>
      <c r="G6300" s="42"/>
      <c r="H6300" s="42"/>
      <c r="AG6300" s="19">
        <v>6299</v>
      </c>
      <c r="AH6300" s="20">
        <v>-422.88203253150851</v>
      </c>
    </row>
    <row r="6301" spans="1:34" ht="14.5" x14ac:dyDescent="0.35">
      <c r="A6301" s="34"/>
      <c r="B6301" s="35"/>
      <c r="C6301" s="36"/>
      <c r="D6301" s="37"/>
      <c r="E6301" s="36"/>
      <c r="F6301" s="42"/>
      <c r="G6301" s="42"/>
      <c r="H6301" s="42"/>
      <c r="AG6301" s="19">
        <v>6300</v>
      </c>
      <c r="AH6301" s="20">
        <v>-1533.0301015115836</v>
      </c>
    </row>
    <row r="6302" spans="1:34" ht="14.5" x14ac:dyDescent="0.35">
      <c r="A6302" s="34"/>
      <c r="B6302" s="35"/>
      <c r="C6302" s="36"/>
      <c r="D6302" s="37"/>
      <c r="E6302" s="36"/>
      <c r="F6302" s="42"/>
      <c r="G6302" s="42"/>
      <c r="H6302" s="42"/>
      <c r="AG6302" s="19">
        <v>6301</v>
      </c>
      <c r="AH6302" s="20">
        <v>4575.6128932571719</v>
      </c>
    </row>
    <row r="6303" spans="1:34" ht="14.5" x14ac:dyDescent="0.35">
      <c r="A6303" s="34"/>
      <c r="B6303" s="35"/>
      <c r="C6303" s="36"/>
      <c r="D6303" s="37"/>
      <c r="E6303" s="36"/>
      <c r="F6303" s="42"/>
      <c r="G6303" s="42"/>
      <c r="H6303" s="42"/>
      <c r="AG6303" s="19">
        <v>6302</v>
      </c>
      <c r="AH6303" s="20">
        <v>327.83633064450044</v>
      </c>
    </row>
    <row r="6304" spans="1:34" ht="14.5" x14ac:dyDescent="0.35">
      <c r="A6304" s="34"/>
      <c r="B6304" s="35"/>
      <c r="C6304" s="36"/>
      <c r="D6304" s="37"/>
      <c r="E6304" s="36"/>
      <c r="F6304" s="42"/>
      <c r="G6304" s="42"/>
      <c r="H6304" s="42"/>
      <c r="AG6304" s="19">
        <v>6303</v>
      </c>
      <c r="AH6304" s="20">
        <v>2663.393218761159</v>
      </c>
    </row>
    <row r="6305" spans="1:34" ht="14.5" x14ac:dyDescent="0.35">
      <c r="A6305" s="34"/>
      <c r="B6305" s="35"/>
      <c r="C6305" s="36"/>
      <c r="D6305" s="37"/>
      <c r="E6305" s="36"/>
      <c r="F6305" s="42"/>
      <c r="G6305" s="42"/>
      <c r="H6305" s="42"/>
      <c r="AG6305" s="19">
        <v>6304</v>
      </c>
      <c r="AH6305" s="20">
        <v>-2399.2798481973214</v>
      </c>
    </row>
    <row r="6306" spans="1:34" ht="14.5" x14ac:dyDescent="0.35">
      <c r="A6306" s="34"/>
      <c r="B6306" s="35"/>
      <c r="C6306" s="36"/>
      <c r="D6306" s="37"/>
      <c r="E6306" s="36"/>
      <c r="F6306" s="42"/>
      <c r="G6306" s="42"/>
      <c r="H6306" s="42"/>
      <c r="AG6306" s="19">
        <v>6305</v>
      </c>
      <c r="AH6306" s="20">
        <v>2539.6419796314012</v>
      </c>
    </row>
    <row r="6307" spans="1:34" ht="14.5" x14ac:dyDescent="0.35">
      <c r="A6307" s="34"/>
      <c r="B6307" s="35"/>
      <c r="C6307" s="36"/>
      <c r="D6307" s="37"/>
      <c r="E6307" s="36"/>
      <c r="F6307" s="42"/>
      <c r="G6307" s="42"/>
      <c r="H6307" s="42"/>
      <c r="AG6307" s="19">
        <v>6306</v>
      </c>
      <c r="AH6307" s="20">
        <v>-1701.8847846125611</v>
      </c>
    </row>
    <row r="6308" spans="1:34" ht="14.5" x14ac:dyDescent="0.35">
      <c r="A6308" s="34"/>
      <c r="B6308" s="35"/>
      <c r="C6308" s="36"/>
      <c r="D6308" s="37"/>
      <c r="E6308" s="36"/>
      <c r="F6308" s="42"/>
      <c r="G6308" s="42"/>
      <c r="H6308" s="42"/>
      <c r="AG6308" s="19">
        <v>6307</v>
      </c>
      <c r="AH6308" s="20">
        <v>-3739.3468326166603</v>
      </c>
    </row>
    <row r="6309" spans="1:34" ht="14.5" x14ac:dyDescent="0.35">
      <c r="A6309" s="34"/>
      <c r="B6309" s="35"/>
      <c r="C6309" s="36"/>
      <c r="D6309" s="37"/>
      <c r="E6309" s="36"/>
      <c r="F6309" s="42"/>
      <c r="G6309" s="42"/>
      <c r="H6309" s="42"/>
      <c r="AG6309" s="19">
        <v>6308</v>
      </c>
      <c r="AH6309" s="20">
        <v>3924.6661615021203</v>
      </c>
    </row>
    <row r="6310" spans="1:34" ht="14.5" x14ac:dyDescent="0.35">
      <c r="A6310" s="34"/>
      <c r="B6310" s="35"/>
      <c r="C6310" s="36"/>
      <c r="D6310" s="37"/>
      <c r="E6310" s="36"/>
      <c r="F6310" s="42"/>
      <c r="G6310" s="42"/>
      <c r="H6310" s="42"/>
      <c r="AG6310" s="19">
        <v>6309</v>
      </c>
      <c r="AH6310" s="20">
        <v>198.35959975741321</v>
      </c>
    </row>
    <row r="6311" spans="1:34" ht="14.5" x14ac:dyDescent="0.35">
      <c r="A6311" s="34"/>
      <c r="B6311" s="35"/>
      <c r="C6311" s="36"/>
      <c r="D6311" s="37"/>
      <c r="E6311" s="36"/>
      <c r="F6311" s="42"/>
      <c r="G6311" s="42"/>
      <c r="H6311" s="42"/>
      <c r="AG6311" s="19">
        <v>6310</v>
      </c>
      <c r="AH6311" s="20">
        <v>2887.1634224622635</v>
      </c>
    </row>
    <row r="6312" spans="1:34" ht="14.5" x14ac:dyDescent="0.35">
      <c r="A6312" s="34"/>
      <c r="B6312" s="35"/>
      <c r="C6312" s="36"/>
      <c r="D6312" s="37"/>
      <c r="E6312" s="36"/>
      <c r="F6312" s="42"/>
      <c r="G6312" s="42"/>
      <c r="H6312" s="42"/>
      <c r="AG6312" s="19">
        <v>6311</v>
      </c>
      <c r="AH6312" s="20">
        <v>2181.4606909947993</v>
      </c>
    </row>
    <row r="6313" spans="1:34" ht="14.5" x14ac:dyDescent="0.35">
      <c r="A6313" s="34"/>
      <c r="B6313" s="35"/>
      <c r="C6313" s="36"/>
      <c r="D6313" s="37"/>
      <c r="E6313" s="36"/>
      <c r="F6313" s="42"/>
      <c r="G6313" s="42"/>
      <c r="H6313" s="42"/>
      <c r="AG6313" s="19">
        <v>6312</v>
      </c>
      <c r="AH6313" s="20">
        <v>4410.0887050426127</v>
      </c>
    </row>
    <row r="6314" spans="1:34" ht="14.5" x14ac:dyDescent="0.35">
      <c r="A6314" s="34"/>
      <c r="B6314" s="35"/>
      <c r="C6314" s="36"/>
      <c r="D6314" s="37"/>
      <c r="E6314" s="36"/>
      <c r="F6314" s="42"/>
      <c r="G6314" s="42"/>
      <c r="H6314" s="42"/>
      <c r="AG6314" s="19">
        <v>6313</v>
      </c>
      <c r="AH6314" s="20">
        <v>-1443.3927401337849</v>
      </c>
    </row>
    <row r="6315" spans="1:34" ht="14.5" x14ac:dyDescent="0.35">
      <c r="A6315" s="34"/>
      <c r="B6315" s="35"/>
      <c r="C6315" s="36"/>
      <c r="D6315" s="37"/>
      <c r="E6315" s="36"/>
      <c r="F6315" s="42"/>
      <c r="G6315" s="42"/>
      <c r="H6315" s="42"/>
      <c r="AG6315" s="19">
        <v>6314</v>
      </c>
      <c r="AH6315" s="20">
        <v>2395.606074572157</v>
      </c>
    </row>
    <row r="6316" spans="1:34" ht="14.5" x14ac:dyDescent="0.35">
      <c r="A6316" s="34"/>
      <c r="B6316" s="35"/>
      <c r="C6316" s="36"/>
      <c r="D6316" s="37"/>
      <c r="E6316" s="36"/>
      <c r="F6316" s="42"/>
      <c r="G6316" s="42"/>
      <c r="H6316" s="42"/>
      <c r="AG6316" s="19">
        <v>6315</v>
      </c>
      <c r="AH6316" s="20">
        <v>1500.0615494526412</v>
      </c>
    </row>
    <row r="6317" spans="1:34" ht="14.5" x14ac:dyDescent="0.35">
      <c r="A6317" s="34"/>
      <c r="B6317" s="35"/>
      <c r="C6317" s="36"/>
      <c r="D6317" s="37"/>
      <c r="E6317" s="36"/>
      <c r="F6317" s="42"/>
      <c r="G6317" s="42"/>
      <c r="H6317" s="42"/>
      <c r="AG6317" s="19">
        <v>6316</v>
      </c>
      <c r="AH6317" s="20">
        <v>2212.003389403621</v>
      </c>
    </row>
    <row r="6318" spans="1:34" ht="14.5" x14ac:dyDescent="0.35">
      <c r="A6318" s="34"/>
      <c r="B6318" s="35"/>
      <c r="C6318" s="36"/>
      <c r="D6318" s="37"/>
      <c r="E6318" s="36"/>
      <c r="F6318" s="42"/>
      <c r="G6318" s="42"/>
      <c r="H6318" s="42"/>
      <c r="AG6318" s="19">
        <v>6317</v>
      </c>
      <c r="AH6318" s="20">
        <v>-864.29939501901049</v>
      </c>
    </row>
    <row r="6319" spans="1:34" ht="14.5" x14ac:dyDescent="0.35">
      <c r="A6319" s="34"/>
      <c r="B6319" s="35"/>
      <c r="C6319" s="36"/>
      <c r="D6319" s="37"/>
      <c r="E6319" s="36"/>
      <c r="F6319" s="42"/>
      <c r="G6319" s="42"/>
      <c r="H6319" s="42"/>
      <c r="AG6319" s="19">
        <v>6318</v>
      </c>
      <c r="AH6319" s="20">
        <v>-3024.8386049949249</v>
      </c>
    </row>
    <row r="6320" spans="1:34" ht="14.5" x14ac:dyDescent="0.35">
      <c r="A6320" s="34"/>
      <c r="B6320" s="35"/>
      <c r="C6320" s="36"/>
      <c r="D6320" s="37"/>
      <c r="E6320" s="36"/>
      <c r="F6320" s="42"/>
      <c r="G6320" s="42"/>
      <c r="H6320" s="42"/>
      <c r="AG6320" s="19">
        <v>6319</v>
      </c>
      <c r="AH6320" s="20">
        <v>1417.5029708276372</v>
      </c>
    </row>
    <row r="6321" spans="1:34" ht="14.5" x14ac:dyDescent="0.35">
      <c r="A6321" s="34"/>
      <c r="B6321" s="35"/>
      <c r="C6321" s="36"/>
      <c r="D6321" s="37"/>
      <c r="E6321" s="36"/>
      <c r="F6321" s="42"/>
      <c r="G6321" s="42"/>
      <c r="H6321" s="42"/>
      <c r="AG6321" s="19">
        <v>6320</v>
      </c>
      <c r="AH6321" s="20">
        <v>4201.8042630421141</v>
      </c>
    </row>
    <row r="6322" spans="1:34" ht="14.5" x14ac:dyDescent="0.35">
      <c r="A6322" s="34"/>
      <c r="B6322" s="35"/>
      <c r="C6322" s="36"/>
      <c r="D6322" s="37"/>
      <c r="E6322" s="36"/>
      <c r="F6322" s="42"/>
      <c r="G6322" s="42"/>
      <c r="H6322" s="42"/>
      <c r="AG6322" s="19">
        <v>6321</v>
      </c>
      <c r="AH6322" s="20">
        <v>755.46499668147089</v>
      </c>
    </row>
    <row r="6323" spans="1:34" ht="14.5" x14ac:dyDescent="0.35">
      <c r="A6323" s="34"/>
      <c r="B6323" s="35"/>
      <c r="C6323" s="36"/>
      <c r="D6323" s="37"/>
      <c r="E6323" s="36"/>
      <c r="F6323" s="42"/>
      <c r="G6323" s="42"/>
      <c r="H6323" s="42"/>
      <c r="AG6323" s="19">
        <v>6322</v>
      </c>
      <c r="AH6323" s="20">
        <v>1264.8785737341052</v>
      </c>
    </row>
    <row r="6324" spans="1:34" ht="14.5" x14ac:dyDescent="0.35">
      <c r="A6324" s="34"/>
      <c r="B6324" s="35"/>
      <c r="C6324" s="36"/>
      <c r="D6324" s="37"/>
      <c r="E6324" s="36"/>
      <c r="F6324" s="42"/>
      <c r="G6324" s="42"/>
      <c r="H6324" s="42"/>
      <c r="AG6324" s="19">
        <v>6323</v>
      </c>
      <c r="AH6324" s="20">
        <v>-2734.3488537509775</v>
      </c>
    </row>
    <row r="6325" spans="1:34" ht="14.5" x14ac:dyDescent="0.35">
      <c r="A6325" s="34"/>
      <c r="B6325" s="35"/>
      <c r="C6325" s="36"/>
      <c r="D6325" s="37"/>
      <c r="E6325" s="36"/>
      <c r="F6325" s="42"/>
      <c r="G6325" s="42"/>
      <c r="H6325" s="42"/>
      <c r="AG6325" s="19">
        <v>6324</v>
      </c>
      <c r="AH6325" s="20">
        <v>-1181.1818011818714</v>
      </c>
    </row>
    <row r="6326" spans="1:34" ht="14.5" x14ac:dyDescent="0.35">
      <c r="A6326" s="34"/>
      <c r="B6326" s="35"/>
      <c r="C6326" s="36"/>
      <c r="D6326" s="37"/>
      <c r="E6326" s="36"/>
      <c r="F6326" s="42"/>
      <c r="G6326" s="42"/>
      <c r="H6326" s="42"/>
      <c r="AG6326" s="19">
        <v>6325</v>
      </c>
      <c r="AH6326" s="20">
        <v>1312.9592216465364</v>
      </c>
    </row>
    <row r="6327" spans="1:34" ht="14.5" x14ac:dyDescent="0.35">
      <c r="A6327" s="34"/>
      <c r="B6327" s="35"/>
      <c r="C6327" s="36"/>
      <c r="D6327" s="37"/>
      <c r="E6327" s="36"/>
      <c r="F6327" s="42"/>
      <c r="G6327" s="42"/>
      <c r="H6327" s="42"/>
      <c r="AG6327" s="19">
        <v>6326</v>
      </c>
      <c r="AH6327" s="20">
        <v>-320.4573771278296</v>
      </c>
    </row>
    <row r="6328" spans="1:34" ht="14.5" x14ac:dyDescent="0.35">
      <c r="A6328" s="34"/>
      <c r="B6328" s="35"/>
      <c r="C6328" s="36"/>
      <c r="D6328" s="37"/>
      <c r="E6328" s="36"/>
      <c r="F6328" s="42"/>
      <c r="G6328" s="42"/>
      <c r="H6328" s="42"/>
      <c r="AG6328" s="19">
        <v>6327</v>
      </c>
      <c r="AH6328" s="20">
        <v>2098.1133228590916</v>
      </c>
    </row>
    <row r="6329" spans="1:34" ht="14.5" x14ac:dyDescent="0.35">
      <c r="A6329" s="34"/>
      <c r="B6329" s="35"/>
      <c r="C6329" s="36"/>
      <c r="D6329" s="37"/>
      <c r="E6329" s="36"/>
      <c r="F6329" s="42"/>
      <c r="G6329" s="42"/>
      <c r="H6329" s="42"/>
      <c r="AG6329" s="19">
        <v>6328</v>
      </c>
      <c r="AH6329" s="20">
        <v>755.46968089075119</v>
      </c>
    </row>
    <row r="6330" spans="1:34" ht="14.5" x14ac:dyDescent="0.35">
      <c r="A6330" s="34"/>
      <c r="B6330" s="35"/>
      <c r="C6330" s="36"/>
      <c r="D6330" s="37"/>
      <c r="E6330" s="36"/>
      <c r="F6330" s="42"/>
      <c r="G6330" s="42"/>
      <c r="H6330" s="42"/>
      <c r="AG6330" s="19">
        <v>6329</v>
      </c>
      <c r="AH6330" s="20">
        <v>-61.274651791414954</v>
      </c>
    </row>
    <row r="6331" spans="1:34" ht="14.5" x14ac:dyDescent="0.35">
      <c r="A6331" s="34"/>
      <c r="B6331" s="35"/>
      <c r="C6331" s="36"/>
      <c r="D6331" s="37"/>
      <c r="E6331" s="36"/>
      <c r="F6331" s="42"/>
      <c r="G6331" s="42"/>
      <c r="H6331" s="42"/>
      <c r="AG6331" s="19">
        <v>6330</v>
      </c>
      <c r="AH6331" s="20">
        <v>-2736.2122037484232</v>
      </c>
    </row>
    <row r="6332" spans="1:34" ht="14.5" x14ac:dyDescent="0.35">
      <c r="A6332" s="34"/>
      <c r="B6332" s="35"/>
      <c r="C6332" s="36"/>
      <c r="D6332" s="37"/>
      <c r="E6332" s="36"/>
      <c r="F6332" s="42"/>
      <c r="G6332" s="42"/>
      <c r="H6332" s="42"/>
      <c r="AG6332" s="19">
        <v>6331</v>
      </c>
      <c r="AH6332" s="20">
        <v>-235.5956258659931</v>
      </c>
    </row>
    <row r="6333" spans="1:34" ht="14.5" x14ac:dyDescent="0.35">
      <c r="A6333" s="34"/>
      <c r="B6333" s="35"/>
      <c r="C6333" s="36"/>
      <c r="D6333" s="37"/>
      <c r="E6333" s="36"/>
      <c r="F6333" s="42"/>
      <c r="G6333" s="42"/>
      <c r="H6333" s="42"/>
      <c r="AG6333" s="19">
        <v>6332</v>
      </c>
      <c r="AH6333" s="20">
        <v>-1558.051612047866</v>
      </c>
    </row>
    <row r="6334" spans="1:34" ht="14.5" x14ac:dyDescent="0.35">
      <c r="A6334" s="34"/>
      <c r="B6334" s="35"/>
      <c r="C6334" s="36"/>
      <c r="D6334" s="37"/>
      <c r="E6334" s="36"/>
      <c r="F6334" s="42"/>
      <c r="G6334" s="42"/>
      <c r="H6334" s="42"/>
      <c r="AG6334" s="19">
        <v>6333</v>
      </c>
      <c r="AH6334" s="20">
        <v>2965.4033537796072</v>
      </c>
    </row>
    <row r="6335" spans="1:34" ht="14.5" x14ac:dyDescent="0.35">
      <c r="A6335" s="34"/>
      <c r="B6335" s="35"/>
      <c r="C6335" s="36"/>
      <c r="D6335" s="37"/>
      <c r="E6335" s="36"/>
      <c r="F6335" s="42"/>
      <c r="G6335" s="42"/>
      <c r="H6335" s="42"/>
      <c r="AG6335" s="19">
        <v>6334</v>
      </c>
      <c r="AH6335" s="20">
        <v>-2195.5614386412831</v>
      </c>
    </row>
    <row r="6336" spans="1:34" ht="14.5" x14ac:dyDescent="0.35">
      <c r="A6336" s="34"/>
      <c r="B6336" s="35"/>
      <c r="C6336" s="36"/>
      <c r="D6336" s="37"/>
      <c r="E6336" s="36"/>
      <c r="F6336" s="42"/>
      <c r="G6336" s="42"/>
      <c r="H6336" s="42"/>
      <c r="AG6336" s="19">
        <v>6335</v>
      </c>
      <c r="AH6336" s="20">
        <v>148.89549755291446</v>
      </c>
    </row>
    <row r="6337" spans="1:34" ht="14.5" x14ac:dyDescent="0.35">
      <c r="A6337" s="34"/>
      <c r="B6337" s="35"/>
      <c r="C6337" s="36"/>
      <c r="D6337" s="37"/>
      <c r="E6337" s="36"/>
      <c r="F6337" s="42"/>
      <c r="G6337" s="42"/>
      <c r="H6337" s="42"/>
      <c r="AG6337" s="19">
        <v>6336</v>
      </c>
      <c r="AH6337" s="20">
        <v>-2657.0958063579392</v>
      </c>
    </row>
    <row r="6338" spans="1:34" ht="14.5" x14ac:dyDescent="0.35">
      <c r="A6338" s="34"/>
      <c r="B6338" s="35"/>
      <c r="C6338" s="36"/>
      <c r="D6338" s="37"/>
      <c r="E6338" s="36"/>
      <c r="F6338" s="42"/>
      <c r="G6338" s="42"/>
      <c r="H6338" s="42"/>
      <c r="AG6338" s="19">
        <v>6337</v>
      </c>
      <c r="AH6338" s="20">
        <v>2529.0259389343187</v>
      </c>
    </row>
    <row r="6339" spans="1:34" ht="14.5" x14ac:dyDescent="0.35">
      <c r="A6339" s="34"/>
      <c r="B6339" s="35"/>
      <c r="C6339" s="36"/>
      <c r="D6339" s="37"/>
      <c r="E6339" s="36"/>
      <c r="F6339" s="42"/>
      <c r="G6339" s="42"/>
      <c r="H6339" s="42"/>
      <c r="AG6339" s="19">
        <v>6338</v>
      </c>
      <c r="AH6339" s="20">
        <v>-760.28185365281843</v>
      </c>
    </row>
    <row r="6340" spans="1:34" ht="14.5" x14ac:dyDescent="0.35">
      <c r="A6340" s="34"/>
      <c r="B6340" s="35"/>
      <c r="C6340" s="36"/>
      <c r="D6340" s="37"/>
      <c r="E6340" s="36"/>
      <c r="F6340" s="42"/>
      <c r="G6340" s="42"/>
      <c r="H6340" s="42"/>
      <c r="AG6340" s="19">
        <v>6339</v>
      </c>
      <c r="AH6340" s="20">
        <v>3323.9516818301749</v>
      </c>
    </row>
    <row r="6341" spans="1:34" ht="14.5" x14ac:dyDescent="0.35">
      <c r="A6341" s="34"/>
      <c r="B6341" s="35"/>
      <c r="C6341" s="36"/>
      <c r="D6341" s="37"/>
      <c r="E6341" s="36"/>
      <c r="F6341" s="42"/>
      <c r="G6341" s="42"/>
      <c r="H6341" s="42"/>
      <c r="AG6341" s="19">
        <v>6340</v>
      </c>
      <c r="AH6341" s="20">
        <v>716.21748592172798</v>
      </c>
    </row>
    <row r="6342" spans="1:34" ht="14.5" x14ac:dyDescent="0.35">
      <c r="A6342" s="34"/>
      <c r="B6342" s="35"/>
      <c r="C6342" s="36"/>
      <c r="D6342" s="37"/>
      <c r="E6342" s="36"/>
      <c r="F6342" s="42"/>
      <c r="G6342" s="42"/>
      <c r="H6342" s="42"/>
      <c r="AG6342" s="19">
        <v>6341</v>
      </c>
      <c r="AH6342" s="20">
        <v>-638.21369709956502</v>
      </c>
    </row>
    <row r="6343" spans="1:34" ht="14.5" x14ac:dyDescent="0.35">
      <c r="A6343" s="34"/>
      <c r="B6343" s="35"/>
      <c r="C6343" s="36"/>
      <c r="D6343" s="37"/>
      <c r="E6343" s="36"/>
      <c r="F6343" s="42"/>
      <c r="G6343" s="42"/>
      <c r="H6343" s="42"/>
      <c r="AG6343" s="19">
        <v>6342</v>
      </c>
      <c r="AH6343" s="20">
        <v>830.5888285847941</v>
      </c>
    </row>
    <row r="6344" spans="1:34" ht="14.5" x14ac:dyDescent="0.35">
      <c r="A6344" s="34"/>
      <c r="B6344" s="35"/>
      <c r="C6344" s="36"/>
      <c r="D6344" s="37"/>
      <c r="E6344" s="36"/>
      <c r="F6344" s="42"/>
      <c r="G6344" s="42"/>
      <c r="H6344" s="42"/>
      <c r="AG6344" s="19">
        <v>6343</v>
      </c>
      <c r="AH6344" s="20">
        <v>491.32811060265914</v>
      </c>
    </row>
    <row r="6345" spans="1:34" ht="14.5" x14ac:dyDescent="0.35">
      <c r="A6345" s="34"/>
      <c r="B6345" s="35"/>
      <c r="C6345" s="36"/>
      <c r="D6345" s="37"/>
      <c r="E6345" s="36"/>
      <c r="F6345" s="42"/>
      <c r="G6345" s="42"/>
      <c r="H6345" s="42"/>
      <c r="AG6345" s="19">
        <v>6344</v>
      </c>
      <c r="AH6345" s="20">
        <v>-1431.9774061765979</v>
      </c>
    </row>
    <row r="6346" spans="1:34" ht="14.5" x14ac:dyDescent="0.35">
      <c r="A6346" s="34"/>
      <c r="B6346" s="35"/>
      <c r="C6346" s="36"/>
      <c r="D6346" s="37"/>
      <c r="E6346" s="36"/>
      <c r="F6346" s="42"/>
      <c r="G6346" s="42"/>
      <c r="H6346" s="42"/>
      <c r="AG6346" s="19">
        <v>6345</v>
      </c>
      <c r="AH6346" s="20">
        <v>-1903.7115672421653</v>
      </c>
    </row>
    <row r="6347" spans="1:34" ht="14.5" x14ac:dyDescent="0.35">
      <c r="A6347" s="34"/>
      <c r="B6347" s="35"/>
      <c r="C6347" s="36"/>
      <c r="D6347" s="37"/>
      <c r="E6347" s="36"/>
      <c r="F6347" s="42"/>
      <c r="G6347" s="42"/>
      <c r="H6347" s="42"/>
      <c r="AG6347" s="19">
        <v>6346</v>
      </c>
      <c r="AH6347" s="20">
        <v>-2083.6798443053935</v>
      </c>
    </row>
    <row r="6348" spans="1:34" ht="14.5" x14ac:dyDescent="0.35">
      <c r="A6348" s="34"/>
      <c r="B6348" s="35"/>
      <c r="C6348" s="36"/>
      <c r="D6348" s="37"/>
      <c r="E6348" s="36"/>
      <c r="F6348" s="42"/>
      <c r="G6348" s="42"/>
      <c r="H6348" s="42"/>
      <c r="AG6348" s="19">
        <v>6347</v>
      </c>
      <c r="AH6348" s="20">
        <v>-1061.8452127112078</v>
      </c>
    </row>
    <row r="6349" spans="1:34" ht="14.5" x14ac:dyDescent="0.35">
      <c r="A6349" s="34"/>
      <c r="B6349" s="35"/>
      <c r="C6349" s="36"/>
      <c r="D6349" s="37"/>
      <c r="E6349" s="36"/>
      <c r="F6349" s="42"/>
      <c r="G6349" s="42"/>
      <c r="H6349" s="42"/>
      <c r="AG6349" s="19">
        <v>6348</v>
      </c>
      <c r="AH6349" s="20">
        <v>1133.0811044990876</v>
      </c>
    </row>
    <row r="6350" spans="1:34" ht="14.5" x14ac:dyDescent="0.35">
      <c r="A6350" s="34"/>
      <c r="B6350" s="35"/>
      <c r="C6350" s="36"/>
      <c r="D6350" s="37"/>
      <c r="E6350" s="36"/>
      <c r="F6350" s="42"/>
      <c r="G6350" s="42"/>
      <c r="H6350" s="42"/>
      <c r="AG6350" s="19">
        <v>6349</v>
      </c>
      <c r="AH6350" s="20">
        <v>1123.6764989389837</v>
      </c>
    </row>
    <row r="6351" spans="1:34" ht="14.5" x14ac:dyDescent="0.35">
      <c r="A6351" s="34"/>
      <c r="B6351" s="35"/>
      <c r="C6351" s="36"/>
      <c r="D6351" s="37"/>
      <c r="E6351" s="36"/>
      <c r="F6351" s="42"/>
      <c r="G6351" s="42"/>
      <c r="H6351" s="42"/>
      <c r="AG6351" s="19">
        <v>6350</v>
      </c>
      <c r="AH6351" s="20">
        <v>-1352.2912399382569</v>
      </c>
    </row>
    <row r="6352" spans="1:34" ht="14.5" x14ac:dyDescent="0.35">
      <c r="A6352" s="34"/>
      <c r="B6352" s="35"/>
      <c r="C6352" s="36"/>
      <c r="D6352" s="37"/>
      <c r="E6352" s="36"/>
      <c r="F6352" s="42"/>
      <c r="G6352" s="42"/>
      <c r="H6352" s="42"/>
      <c r="AG6352" s="19">
        <v>6351</v>
      </c>
      <c r="AH6352" s="20">
        <v>-1889.2761928717093</v>
      </c>
    </row>
    <row r="6353" spans="1:34" ht="14.5" x14ac:dyDescent="0.35">
      <c r="A6353" s="34"/>
      <c r="B6353" s="35"/>
      <c r="C6353" s="36"/>
      <c r="D6353" s="37"/>
      <c r="E6353" s="36"/>
      <c r="F6353" s="42"/>
      <c r="G6353" s="42"/>
      <c r="H6353" s="42"/>
      <c r="AG6353" s="19">
        <v>6352</v>
      </c>
      <c r="AH6353" s="20">
        <v>-1042.1582012949796</v>
      </c>
    </row>
    <row r="6354" spans="1:34" ht="14.5" x14ac:dyDescent="0.35">
      <c r="A6354" s="34"/>
      <c r="B6354" s="35"/>
      <c r="C6354" s="36"/>
      <c r="D6354" s="37"/>
      <c r="E6354" s="36"/>
      <c r="F6354" s="42"/>
      <c r="G6354" s="42"/>
      <c r="H6354" s="42"/>
      <c r="AG6354" s="19">
        <v>6353</v>
      </c>
      <c r="AH6354" s="20">
        <v>-2959.3797282602945</v>
      </c>
    </row>
    <row r="6355" spans="1:34" ht="14.5" x14ac:dyDescent="0.35">
      <c r="A6355" s="34"/>
      <c r="B6355" s="35"/>
      <c r="C6355" s="36"/>
      <c r="D6355" s="37"/>
      <c r="E6355" s="36"/>
      <c r="F6355" s="42"/>
      <c r="G6355" s="42"/>
      <c r="H6355" s="42"/>
      <c r="AG6355" s="19">
        <v>6354</v>
      </c>
      <c r="AH6355" s="20">
        <v>3794.0718900527454</v>
      </c>
    </row>
    <row r="6356" spans="1:34" ht="14.5" x14ac:dyDescent="0.35">
      <c r="A6356" s="34"/>
      <c r="B6356" s="35"/>
      <c r="C6356" s="36"/>
      <c r="D6356" s="37"/>
      <c r="E6356" s="36"/>
      <c r="F6356" s="42"/>
      <c r="G6356" s="42"/>
      <c r="H6356" s="42"/>
      <c r="AG6356" s="19">
        <v>6355</v>
      </c>
      <c r="AH6356" s="20">
        <v>2941.6305501593611</v>
      </c>
    </row>
    <row r="6357" spans="1:34" ht="14.5" x14ac:dyDescent="0.35">
      <c r="A6357" s="34"/>
      <c r="B6357" s="35"/>
      <c r="C6357" s="36"/>
      <c r="D6357" s="37"/>
      <c r="E6357" s="36"/>
      <c r="F6357" s="42"/>
      <c r="G6357" s="42"/>
      <c r="H6357" s="42"/>
      <c r="AG6357" s="19">
        <v>6356</v>
      </c>
      <c r="AH6357" s="20">
        <v>-4223.4012463620711</v>
      </c>
    </row>
    <row r="6358" spans="1:34" ht="14.5" x14ac:dyDescent="0.35">
      <c r="A6358" s="34"/>
      <c r="B6358" s="35"/>
      <c r="C6358" s="36"/>
      <c r="D6358" s="37"/>
      <c r="E6358" s="36"/>
      <c r="F6358" s="42"/>
      <c r="G6358" s="42"/>
      <c r="H6358" s="42"/>
      <c r="AG6358" s="19">
        <v>6357</v>
      </c>
      <c r="AH6358" s="20">
        <v>2923.351173622144</v>
      </c>
    </row>
    <row r="6359" spans="1:34" ht="14.5" x14ac:dyDescent="0.35">
      <c r="A6359" s="34"/>
      <c r="B6359" s="35"/>
      <c r="C6359" s="36"/>
      <c r="D6359" s="37"/>
      <c r="E6359" s="36"/>
      <c r="F6359" s="42"/>
      <c r="G6359" s="42"/>
      <c r="H6359" s="42"/>
      <c r="AG6359" s="19">
        <v>6358</v>
      </c>
      <c r="AH6359" s="20">
        <v>2923.7856826226034</v>
      </c>
    </row>
    <row r="6360" spans="1:34" ht="14.5" x14ac:dyDescent="0.35">
      <c r="A6360" s="34"/>
      <c r="B6360" s="35"/>
      <c r="C6360" s="36"/>
      <c r="D6360" s="37"/>
      <c r="E6360" s="36"/>
      <c r="F6360" s="42"/>
      <c r="G6360" s="42"/>
      <c r="H6360" s="42"/>
      <c r="AG6360" s="19">
        <v>6359</v>
      </c>
      <c r="AH6360" s="20">
        <v>436.46294906266417</v>
      </c>
    </row>
    <row r="6361" spans="1:34" ht="14.5" x14ac:dyDescent="0.35">
      <c r="A6361" s="34"/>
      <c r="B6361" s="35"/>
      <c r="C6361" s="36"/>
      <c r="D6361" s="37"/>
      <c r="E6361" s="36"/>
      <c r="F6361" s="42"/>
      <c r="G6361" s="42"/>
      <c r="H6361" s="42"/>
      <c r="AG6361" s="19">
        <v>6360</v>
      </c>
      <c r="AH6361" s="20">
        <v>-490.19564734201634</v>
      </c>
    </row>
    <row r="6362" spans="1:34" ht="14.5" x14ac:dyDescent="0.35">
      <c r="A6362" s="34"/>
      <c r="B6362" s="35"/>
      <c r="C6362" s="36"/>
      <c r="D6362" s="37"/>
      <c r="E6362" s="36"/>
      <c r="F6362" s="42"/>
      <c r="G6362" s="42"/>
      <c r="H6362" s="42"/>
      <c r="AG6362" s="19">
        <v>6361</v>
      </c>
      <c r="AH6362" s="20">
        <v>-981.20449188805219</v>
      </c>
    </row>
    <row r="6363" spans="1:34" ht="14.5" x14ac:dyDescent="0.35">
      <c r="A6363" s="34"/>
      <c r="B6363" s="35"/>
      <c r="C6363" s="36"/>
      <c r="D6363" s="37"/>
      <c r="E6363" s="36"/>
      <c r="F6363" s="42"/>
      <c r="G6363" s="42"/>
      <c r="H6363" s="42"/>
      <c r="AG6363" s="19">
        <v>6362</v>
      </c>
      <c r="AH6363" s="20">
        <v>-731.70564221024006</v>
      </c>
    </row>
    <row r="6364" spans="1:34" ht="14.5" x14ac:dyDescent="0.35">
      <c r="A6364" s="34"/>
      <c r="B6364" s="35"/>
      <c r="C6364" s="36"/>
      <c r="D6364" s="37"/>
      <c r="E6364" s="36"/>
      <c r="F6364" s="42"/>
      <c r="G6364" s="42"/>
      <c r="H6364" s="42"/>
      <c r="AG6364" s="19">
        <v>6363</v>
      </c>
      <c r="AH6364" s="20">
        <v>2414.8890524660192</v>
      </c>
    </row>
    <row r="6365" spans="1:34" ht="14.5" x14ac:dyDescent="0.35">
      <c r="A6365" s="34"/>
      <c r="B6365" s="35"/>
      <c r="C6365" s="36"/>
      <c r="D6365" s="37"/>
      <c r="E6365" s="36"/>
      <c r="F6365" s="42"/>
      <c r="G6365" s="42"/>
      <c r="H6365" s="42"/>
      <c r="AG6365" s="19">
        <v>6364</v>
      </c>
      <c r="AH6365" s="20">
        <v>-1542.5412171657501</v>
      </c>
    </row>
    <row r="6366" spans="1:34" ht="14.5" x14ac:dyDescent="0.35">
      <c r="A6366" s="34"/>
      <c r="B6366" s="35"/>
      <c r="C6366" s="36"/>
      <c r="D6366" s="37"/>
      <c r="E6366" s="36"/>
      <c r="F6366" s="42"/>
      <c r="G6366" s="42"/>
      <c r="H6366" s="42"/>
      <c r="AG6366" s="19">
        <v>6365</v>
      </c>
      <c r="AH6366" s="20">
        <v>1383.7585006928218</v>
      </c>
    </row>
    <row r="6367" spans="1:34" ht="14.5" x14ac:dyDescent="0.35">
      <c r="A6367" s="34"/>
      <c r="B6367" s="35"/>
      <c r="C6367" s="36"/>
      <c r="D6367" s="37"/>
      <c r="E6367" s="36"/>
      <c r="F6367" s="42"/>
      <c r="G6367" s="42"/>
      <c r="H6367" s="42"/>
      <c r="AG6367" s="19">
        <v>6366</v>
      </c>
      <c r="AH6367" s="20">
        <v>1174.963604161451</v>
      </c>
    </row>
    <row r="6368" spans="1:34" ht="14.5" x14ac:dyDescent="0.35">
      <c r="A6368" s="34"/>
      <c r="B6368" s="35"/>
      <c r="C6368" s="36"/>
      <c r="D6368" s="37"/>
      <c r="E6368" s="36"/>
      <c r="F6368" s="42"/>
      <c r="G6368" s="42"/>
      <c r="H6368" s="42"/>
      <c r="AG6368" s="19">
        <v>6367</v>
      </c>
      <c r="AH6368" s="20">
        <v>-1171.0274136198698</v>
      </c>
    </row>
    <row r="6369" spans="1:34" ht="14.5" x14ac:dyDescent="0.35">
      <c r="A6369" s="34"/>
      <c r="B6369" s="35"/>
      <c r="C6369" s="36"/>
      <c r="D6369" s="37"/>
      <c r="E6369" s="36"/>
      <c r="F6369" s="42"/>
      <c r="G6369" s="42"/>
      <c r="H6369" s="42"/>
      <c r="AG6369" s="19">
        <v>6368</v>
      </c>
      <c r="AH6369" s="20">
        <v>2483.1864925039486</v>
      </c>
    </row>
    <row r="6370" spans="1:34" ht="14.5" x14ac:dyDescent="0.35">
      <c r="A6370" s="34"/>
      <c r="B6370" s="35"/>
      <c r="C6370" s="36"/>
      <c r="D6370" s="37"/>
      <c r="E6370" s="36"/>
      <c r="F6370" s="42"/>
      <c r="G6370" s="42"/>
      <c r="H6370" s="42"/>
      <c r="AG6370" s="19">
        <v>6369</v>
      </c>
      <c r="AH6370" s="20">
        <v>-3535.3384038223617</v>
      </c>
    </row>
    <row r="6371" spans="1:34" ht="14.5" x14ac:dyDescent="0.35">
      <c r="A6371" s="34"/>
      <c r="B6371" s="35"/>
      <c r="C6371" s="36"/>
      <c r="D6371" s="37"/>
      <c r="E6371" s="36"/>
      <c r="F6371" s="42"/>
      <c r="G6371" s="42"/>
      <c r="H6371" s="42"/>
      <c r="AG6371" s="19">
        <v>6370</v>
      </c>
      <c r="AH6371" s="20">
        <v>2619.4658961826008</v>
      </c>
    </row>
    <row r="6372" spans="1:34" ht="14.5" x14ac:dyDescent="0.35">
      <c r="A6372" s="34"/>
      <c r="B6372" s="35"/>
      <c r="C6372" s="36"/>
      <c r="D6372" s="37"/>
      <c r="E6372" s="36"/>
      <c r="F6372" s="42"/>
      <c r="G6372" s="42"/>
      <c r="H6372" s="42"/>
      <c r="AG6372" s="19">
        <v>6371</v>
      </c>
      <c r="AH6372" s="20">
        <v>-1745.1238323796649</v>
      </c>
    </row>
    <row r="6373" spans="1:34" ht="14.5" x14ac:dyDescent="0.35">
      <c r="A6373" s="34"/>
      <c r="B6373" s="35"/>
      <c r="C6373" s="36"/>
      <c r="D6373" s="37"/>
      <c r="E6373" s="36"/>
      <c r="F6373" s="42"/>
      <c r="G6373" s="42"/>
      <c r="H6373" s="42"/>
      <c r="AG6373" s="19">
        <v>6372</v>
      </c>
      <c r="AH6373" s="20">
        <v>2089.1142118221405</v>
      </c>
    </row>
    <row r="6374" spans="1:34" ht="14.5" x14ac:dyDescent="0.35">
      <c r="A6374" s="34"/>
      <c r="B6374" s="35"/>
      <c r="C6374" s="36"/>
      <c r="D6374" s="37"/>
      <c r="E6374" s="36"/>
      <c r="F6374" s="42"/>
      <c r="G6374" s="42"/>
      <c r="H6374" s="42"/>
      <c r="AG6374" s="19">
        <v>6373</v>
      </c>
      <c r="AH6374" s="20">
        <v>111.21068107016634</v>
      </c>
    </row>
    <row r="6375" spans="1:34" ht="14.5" x14ac:dyDescent="0.35">
      <c r="A6375" s="34"/>
      <c r="B6375" s="35"/>
      <c r="C6375" s="36"/>
      <c r="D6375" s="37"/>
      <c r="E6375" s="36"/>
      <c r="F6375" s="42"/>
      <c r="G6375" s="42"/>
      <c r="H6375" s="42"/>
      <c r="AG6375" s="19">
        <v>6374</v>
      </c>
      <c r="AH6375" s="20">
        <v>4720.5163408383623</v>
      </c>
    </row>
    <row r="6376" spans="1:34" ht="14.5" x14ac:dyDescent="0.35">
      <c r="A6376" s="34"/>
      <c r="B6376" s="35"/>
      <c r="C6376" s="36"/>
      <c r="D6376" s="37"/>
      <c r="E6376" s="36"/>
      <c r="F6376" s="42"/>
      <c r="G6376" s="42"/>
      <c r="H6376" s="42"/>
      <c r="AG6376" s="19">
        <v>6375</v>
      </c>
      <c r="AH6376" s="20">
        <v>3177.0313812468971</v>
      </c>
    </row>
    <row r="6377" spans="1:34" ht="14.5" x14ac:dyDescent="0.35">
      <c r="A6377" s="34"/>
      <c r="B6377" s="35"/>
      <c r="C6377" s="36"/>
      <c r="D6377" s="37"/>
      <c r="E6377" s="36"/>
      <c r="F6377" s="42"/>
      <c r="G6377" s="42"/>
      <c r="H6377" s="42"/>
      <c r="AG6377" s="19">
        <v>6376</v>
      </c>
      <c r="AH6377" s="20">
        <v>-281.36252882041657</v>
      </c>
    </row>
    <row r="6378" spans="1:34" ht="14.5" x14ac:dyDescent="0.35">
      <c r="A6378" s="34"/>
      <c r="B6378" s="35"/>
      <c r="C6378" s="36"/>
      <c r="D6378" s="37"/>
      <c r="E6378" s="36"/>
      <c r="F6378" s="42"/>
      <c r="G6378" s="42"/>
      <c r="H6378" s="42"/>
      <c r="AG6378" s="19">
        <v>6377</v>
      </c>
      <c r="AH6378" s="20">
        <v>582.92490038776407</v>
      </c>
    </row>
    <row r="6379" spans="1:34" ht="14.5" x14ac:dyDescent="0.35">
      <c r="A6379" s="34"/>
      <c r="B6379" s="35"/>
      <c r="C6379" s="36"/>
      <c r="D6379" s="37"/>
      <c r="E6379" s="36"/>
      <c r="F6379" s="42"/>
      <c r="G6379" s="42"/>
      <c r="H6379" s="42"/>
      <c r="AG6379" s="19">
        <v>6378</v>
      </c>
      <c r="AH6379" s="20">
        <v>-1984.1428325766085</v>
      </c>
    </row>
    <row r="6380" spans="1:34" ht="14.5" x14ac:dyDescent="0.35">
      <c r="A6380" s="34"/>
      <c r="B6380" s="35"/>
      <c r="C6380" s="36"/>
      <c r="D6380" s="37"/>
      <c r="E6380" s="36"/>
      <c r="F6380" s="42"/>
      <c r="G6380" s="42"/>
      <c r="H6380" s="42"/>
      <c r="AG6380" s="19">
        <v>6379</v>
      </c>
      <c r="AH6380" s="20">
        <v>3453.0576098222386</v>
      </c>
    </row>
    <row r="6381" spans="1:34" ht="14.5" x14ac:dyDescent="0.35">
      <c r="A6381" s="34"/>
      <c r="B6381" s="35"/>
      <c r="C6381" s="36"/>
      <c r="D6381" s="37"/>
      <c r="E6381" s="36"/>
      <c r="F6381" s="42"/>
      <c r="G6381" s="42"/>
      <c r="H6381" s="42"/>
      <c r="AG6381" s="19">
        <v>6380</v>
      </c>
      <c r="AH6381" s="20">
        <v>-2638.0279027075103</v>
      </c>
    </row>
    <row r="6382" spans="1:34" ht="14.5" x14ac:dyDescent="0.35">
      <c r="A6382" s="34"/>
      <c r="B6382" s="35"/>
      <c r="C6382" s="36"/>
      <c r="D6382" s="37"/>
      <c r="E6382" s="36"/>
      <c r="F6382" s="42"/>
      <c r="G6382" s="42"/>
      <c r="H6382" s="42"/>
      <c r="AG6382" s="19">
        <v>6381</v>
      </c>
      <c r="AH6382" s="20">
        <v>-1099.7461894551961</v>
      </c>
    </row>
    <row r="6383" spans="1:34" ht="14.5" x14ac:dyDescent="0.35">
      <c r="A6383" s="34"/>
      <c r="B6383" s="35"/>
      <c r="C6383" s="36"/>
      <c r="D6383" s="37"/>
      <c r="E6383" s="36"/>
      <c r="F6383" s="42"/>
      <c r="G6383" s="42"/>
      <c r="H6383" s="42"/>
      <c r="AG6383" s="19">
        <v>6382</v>
      </c>
      <c r="AH6383" s="20">
        <v>4400.9963914005029</v>
      </c>
    </row>
    <row r="6384" spans="1:34" ht="14.5" x14ac:dyDescent="0.35">
      <c r="A6384" s="34"/>
      <c r="B6384" s="35"/>
      <c r="C6384" s="36"/>
      <c r="D6384" s="37"/>
      <c r="E6384" s="36"/>
      <c r="F6384" s="42"/>
      <c r="G6384" s="42"/>
      <c r="H6384" s="42"/>
      <c r="AG6384" s="19">
        <v>6383</v>
      </c>
      <c r="AH6384" s="20">
        <v>1879.182655556612</v>
      </c>
    </row>
    <row r="6385" spans="1:34" ht="14.5" x14ac:dyDescent="0.35">
      <c r="A6385" s="34"/>
      <c r="B6385" s="35"/>
      <c r="C6385" s="36"/>
      <c r="D6385" s="37"/>
      <c r="E6385" s="36"/>
      <c r="F6385" s="42"/>
      <c r="G6385" s="42"/>
      <c r="H6385" s="42"/>
      <c r="AG6385" s="19">
        <v>6384</v>
      </c>
      <c r="AH6385" s="20">
        <v>1655.4989233073404</v>
      </c>
    </row>
    <row r="6386" spans="1:34" ht="14.5" x14ac:dyDescent="0.35">
      <c r="A6386" s="34"/>
      <c r="B6386" s="35"/>
      <c r="C6386" s="36"/>
      <c r="D6386" s="37"/>
      <c r="E6386" s="36"/>
      <c r="F6386" s="42"/>
      <c r="G6386" s="42"/>
      <c r="H6386" s="42"/>
      <c r="AG6386" s="19">
        <v>6385</v>
      </c>
      <c r="AH6386" s="20">
        <v>5683.4401538638431</v>
      </c>
    </row>
    <row r="6387" spans="1:34" ht="14.5" x14ac:dyDescent="0.35">
      <c r="A6387" s="34"/>
      <c r="B6387" s="35"/>
      <c r="C6387" s="36"/>
      <c r="D6387" s="37"/>
      <c r="E6387" s="36"/>
      <c r="F6387" s="42"/>
      <c r="G6387" s="42"/>
      <c r="H6387" s="42"/>
      <c r="AG6387" s="19">
        <v>6386</v>
      </c>
      <c r="AH6387" s="20">
        <v>2358.0305394333068</v>
      </c>
    </row>
    <row r="6388" spans="1:34" ht="14.5" x14ac:dyDescent="0.35">
      <c r="A6388" s="34"/>
      <c r="B6388" s="35"/>
      <c r="C6388" s="36"/>
      <c r="D6388" s="37"/>
      <c r="E6388" s="36"/>
      <c r="F6388" s="42"/>
      <c r="G6388" s="42"/>
      <c r="H6388" s="42"/>
      <c r="AG6388" s="19">
        <v>6387</v>
      </c>
      <c r="AH6388" s="20">
        <v>828.19177278399229</v>
      </c>
    </row>
    <row r="6389" spans="1:34" ht="14.5" x14ac:dyDescent="0.35">
      <c r="A6389" s="34"/>
      <c r="B6389" s="35"/>
      <c r="C6389" s="36"/>
      <c r="D6389" s="37"/>
      <c r="E6389" s="36"/>
      <c r="F6389" s="42"/>
      <c r="G6389" s="42"/>
      <c r="H6389" s="42"/>
      <c r="AG6389" s="19">
        <v>6388</v>
      </c>
      <c r="AH6389" s="20">
        <v>1096.335165861346</v>
      </c>
    </row>
    <row r="6390" spans="1:34" ht="14.5" x14ac:dyDescent="0.35">
      <c r="A6390" s="34"/>
      <c r="B6390" s="35"/>
      <c r="C6390" s="36"/>
      <c r="D6390" s="37"/>
      <c r="E6390" s="36"/>
      <c r="F6390" s="42"/>
      <c r="G6390" s="42"/>
      <c r="H6390" s="42"/>
      <c r="AG6390" s="19">
        <v>6389</v>
      </c>
      <c r="AH6390" s="20">
        <v>323.36907606188822</v>
      </c>
    </row>
    <row r="6391" spans="1:34" ht="14.5" x14ac:dyDescent="0.35">
      <c r="A6391" s="34"/>
      <c r="B6391" s="35"/>
      <c r="C6391" s="36"/>
      <c r="D6391" s="37"/>
      <c r="E6391" s="36"/>
      <c r="F6391" s="42"/>
      <c r="G6391" s="42"/>
      <c r="H6391" s="42"/>
      <c r="AG6391" s="19">
        <v>6390</v>
      </c>
      <c r="AH6391" s="20">
        <v>337.56549134233148</v>
      </c>
    </row>
    <row r="6392" spans="1:34" ht="14.5" x14ac:dyDescent="0.35">
      <c r="A6392" s="34"/>
      <c r="B6392" s="35"/>
      <c r="C6392" s="36"/>
      <c r="D6392" s="37"/>
      <c r="E6392" s="36"/>
      <c r="F6392" s="42"/>
      <c r="G6392" s="42"/>
      <c r="H6392" s="42"/>
      <c r="AG6392" s="19">
        <v>6391</v>
      </c>
      <c r="AH6392" s="20">
        <v>54.198109514278713</v>
      </c>
    </row>
    <row r="6393" spans="1:34" ht="14.5" x14ac:dyDescent="0.35">
      <c r="A6393" s="34"/>
      <c r="B6393" s="35"/>
      <c r="C6393" s="36"/>
      <c r="D6393" s="37"/>
      <c r="E6393" s="36"/>
      <c r="F6393" s="42"/>
      <c r="G6393" s="42"/>
      <c r="H6393" s="42"/>
      <c r="AG6393" s="19">
        <v>6392</v>
      </c>
      <c r="AH6393" s="20">
        <v>1588.528096408957</v>
      </c>
    </row>
    <row r="6394" spans="1:34" ht="14.5" x14ac:dyDescent="0.35">
      <c r="A6394" s="34"/>
      <c r="B6394" s="35"/>
      <c r="C6394" s="36"/>
      <c r="D6394" s="37"/>
      <c r="E6394" s="36"/>
      <c r="F6394" s="42"/>
      <c r="G6394" s="42"/>
      <c r="H6394" s="42"/>
      <c r="AG6394" s="19">
        <v>6393</v>
      </c>
      <c r="AH6394" s="20">
        <v>1224.7136943964395</v>
      </c>
    </row>
    <row r="6395" spans="1:34" ht="14.5" x14ac:dyDescent="0.35">
      <c r="A6395" s="34"/>
      <c r="B6395" s="35"/>
      <c r="C6395" s="36"/>
      <c r="D6395" s="37"/>
      <c r="E6395" s="36"/>
      <c r="F6395" s="42"/>
      <c r="G6395" s="42"/>
      <c r="H6395" s="42"/>
      <c r="AG6395" s="19">
        <v>6394</v>
      </c>
      <c r="AH6395" s="20">
        <v>-159.72338416777842</v>
      </c>
    </row>
    <row r="6396" spans="1:34" ht="14.5" x14ac:dyDescent="0.35">
      <c r="A6396" s="34"/>
      <c r="B6396" s="35"/>
      <c r="C6396" s="36"/>
      <c r="D6396" s="37"/>
      <c r="E6396" s="36"/>
      <c r="F6396" s="42"/>
      <c r="G6396" s="42"/>
      <c r="H6396" s="42"/>
      <c r="AG6396" s="19">
        <v>6395</v>
      </c>
      <c r="AH6396" s="20">
        <v>1064.2446501923578</v>
      </c>
    </row>
    <row r="6397" spans="1:34" ht="14.5" x14ac:dyDescent="0.35">
      <c r="A6397" s="34"/>
      <c r="B6397" s="35"/>
      <c r="C6397" s="36"/>
      <c r="D6397" s="37"/>
      <c r="E6397" s="36"/>
      <c r="F6397" s="42"/>
      <c r="G6397" s="42"/>
      <c r="H6397" s="42"/>
      <c r="AG6397" s="19">
        <v>6396</v>
      </c>
      <c r="AH6397" s="20">
        <v>-1157.7377645336553</v>
      </c>
    </row>
    <row r="6398" spans="1:34" ht="14.5" x14ac:dyDescent="0.35">
      <c r="A6398" s="34"/>
      <c r="B6398" s="35"/>
      <c r="C6398" s="36"/>
      <c r="D6398" s="37"/>
      <c r="E6398" s="36"/>
      <c r="F6398" s="42"/>
      <c r="G6398" s="42"/>
      <c r="H6398" s="42"/>
      <c r="AG6398" s="19">
        <v>6397</v>
      </c>
      <c r="AH6398" s="20">
        <v>3106.7555367611735</v>
      </c>
    </row>
    <row r="6399" spans="1:34" ht="14.5" x14ac:dyDescent="0.35">
      <c r="A6399" s="34"/>
      <c r="B6399" s="35"/>
      <c r="C6399" s="36"/>
      <c r="D6399" s="37"/>
      <c r="E6399" s="36"/>
      <c r="F6399" s="42"/>
      <c r="G6399" s="42"/>
      <c r="H6399" s="42"/>
      <c r="AG6399" s="19">
        <v>6398</v>
      </c>
      <c r="AH6399" s="20">
        <v>1297.491250907374</v>
      </c>
    </row>
    <row r="6400" spans="1:34" ht="14.5" x14ac:dyDescent="0.35">
      <c r="A6400" s="34"/>
      <c r="B6400" s="35"/>
      <c r="C6400" s="36"/>
      <c r="D6400" s="37"/>
      <c r="E6400" s="36"/>
      <c r="F6400" s="42"/>
      <c r="G6400" s="42"/>
      <c r="H6400" s="42"/>
      <c r="AG6400" s="19">
        <v>6399</v>
      </c>
      <c r="AH6400" s="20">
        <v>-1838.5242246871246</v>
      </c>
    </row>
    <row r="6401" spans="1:34" ht="14.5" x14ac:dyDescent="0.35">
      <c r="A6401" s="34"/>
      <c r="B6401" s="35"/>
      <c r="C6401" s="36"/>
      <c r="D6401" s="37"/>
      <c r="E6401" s="36"/>
      <c r="F6401" s="42"/>
      <c r="G6401" s="42"/>
      <c r="H6401" s="42"/>
      <c r="AG6401" s="19">
        <v>6400</v>
      </c>
      <c r="AH6401" s="20">
        <v>2397.5814550436494</v>
      </c>
    </row>
    <row r="6402" spans="1:34" ht="14.5" x14ac:dyDescent="0.35">
      <c r="A6402" s="34"/>
      <c r="B6402" s="35"/>
      <c r="C6402" s="36"/>
      <c r="D6402" s="37"/>
      <c r="E6402" s="36"/>
      <c r="F6402" s="42"/>
      <c r="G6402" s="42"/>
      <c r="H6402" s="42"/>
      <c r="AG6402" s="19">
        <v>6401</v>
      </c>
      <c r="AH6402" s="20">
        <v>-443.69040267644726</v>
      </c>
    </row>
    <row r="6403" spans="1:34" ht="14.5" x14ac:dyDescent="0.35">
      <c r="A6403" s="34"/>
      <c r="B6403" s="35"/>
      <c r="C6403" s="36"/>
      <c r="D6403" s="37"/>
      <c r="E6403" s="36"/>
      <c r="F6403" s="42"/>
      <c r="G6403" s="42"/>
      <c r="H6403" s="42"/>
      <c r="AG6403" s="19">
        <v>6402</v>
      </c>
      <c r="AH6403" s="20">
        <v>1342.2407705705086</v>
      </c>
    </row>
    <row r="6404" spans="1:34" ht="14.5" x14ac:dyDescent="0.35">
      <c r="A6404" s="34"/>
      <c r="B6404" s="35"/>
      <c r="C6404" s="36"/>
      <c r="D6404" s="37"/>
      <c r="E6404" s="36"/>
      <c r="F6404" s="42"/>
      <c r="G6404" s="42"/>
      <c r="H6404" s="42"/>
      <c r="AG6404" s="19">
        <v>6403</v>
      </c>
      <c r="AH6404" s="20">
        <v>3398.0772123214874</v>
      </c>
    </row>
    <row r="6405" spans="1:34" ht="14.5" x14ac:dyDescent="0.35">
      <c r="A6405" s="34"/>
      <c r="B6405" s="35"/>
      <c r="C6405" s="36"/>
      <c r="D6405" s="37"/>
      <c r="E6405" s="36"/>
      <c r="F6405" s="42"/>
      <c r="G6405" s="42"/>
      <c r="H6405" s="42"/>
      <c r="AG6405" s="19">
        <v>6404</v>
      </c>
      <c r="AH6405" s="20">
        <v>1190.8745373788026</v>
      </c>
    </row>
    <row r="6406" spans="1:34" ht="14.5" x14ac:dyDescent="0.35">
      <c r="A6406" s="34"/>
      <c r="B6406" s="35"/>
      <c r="C6406" s="36"/>
      <c r="D6406" s="37"/>
      <c r="E6406" s="36"/>
      <c r="F6406" s="42"/>
      <c r="G6406" s="42"/>
      <c r="H6406" s="42"/>
      <c r="AG6406" s="19">
        <v>6405</v>
      </c>
      <c r="AH6406" s="20">
        <v>2658.5242455162634</v>
      </c>
    </row>
    <row r="6407" spans="1:34" ht="14.5" x14ac:dyDescent="0.35">
      <c r="A6407" s="34"/>
      <c r="B6407" s="35"/>
      <c r="C6407" s="36"/>
      <c r="D6407" s="37"/>
      <c r="E6407" s="36"/>
      <c r="F6407" s="42"/>
      <c r="G6407" s="42"/>
      <c r="H6407" s="42"/>
      <c r="AG6407" s="19">
        <v>6406</v>
      </c>
      <c r="AH6407" s="20">
        <v>-2338.6719961773852</v>
      </c>
    </row>
    <row r="6408" spans="1:34" ht="14.5" x14ac:dyDescent="0.35">
      <c r="A6408" s="34"/>
      <c r="B6408" s="35"/>
      <c r="C6408" s="36"/>
      <c r="D6408" s="37"/>
      <c r="E6408" s="36"/>
      <c r="F6408" s="42"/>
      <c r="G6408" s="42"/>
      <c r="H6408" s="42"/>
      <c r="AG6408" s="19">
        <v>6407</v>
      </c>
      <c r="AH6408" s="20">
        <v>2075.0718803063073</v>
      </c>
    </row>
    <row r="6409" spans="1:34" ht="14.5" x14ac:dyDescent="0.35">
      <c r="A6409" s="34"/>
      <c r="B6409" s="35"/>
      <c r="C6409" s="36"/>
      <c r="D6409" s="37"/>
      <c r="E6409" s="36"/>
      <c r="F6409" s="42"/>
      <c r="G6409" s="42"/>
      <c r="H6409" s="42"/>
      <c r="AG6409" s="19">
        <v>6408</v>
      </c>
      <c r="AH6409" s="20">
        <v>-3141.0252587282507</v>
      </c>
    </row>
    <row r="6410" spans="1:34" ht="14.5" x14ac:dyDescent="0.35">
      <c r="A6410" s="34"/>
      <c r="B6410" s="35"/>
      <c r="C6410" s="36"/>
      <c r="D6410" s="37"/>
      <c r="E6410" s="36"/>
      <c r="F6410" s="42"/>
      <c r="G6410" s="42"/>
      <c r="H6410" s="42"/>
      <c r="AG6410" s="19">
        <v>6409</v>
      </c>
      <c r="AH6410" s="20">
        <v>1046.7253422960778</v>
      </c>
    </row>
    <row r="6411" spans="1:34" ht="14.5" x14ac:dyDescent="0.35">
      <c r="A6411" s="34"/>
      <c r="B6411" s="35"/>
      <c r="C6411" s="36"/>
      <c r="D6411" s="37"/>
      <c r="E6411" s="36"/>
      <c r="F6411" s="42"/>
      <c r="G6411" s="42"/>
      <c r="H6411" s="42"/>
      <c r="AG6411" s="19">
        <v>6410</v>
      </c>
      <c r="AH6411" s="20">
        <v>560.7008900879041</v>
      </c>
    </row>
    <row r="6412" spans="1:34" ht="14.5" x14ac:dyDescent="0.35">
      <c r="A6412" s="34"/>
      <c r="B6412" s="35"/>
      <c r="C6412" s="36"/>
      <c r="D6412" s="37"/>
      <c r="E6412" s="36"/>
      <c r="F6412" s="42"/>
      <c r="G6412" s="42"/>
      <c r="H6412" s="42"/>
      <c r="AG6412" s="19">
        <v>6411</v>
      </c>
      <c r="AH6412" s="20">
        <v>-3113.7779127310723</v>
      </c>
    </row>
    <row r="6413" spans="1:34" ht="14.5" x14ac:dyDescent="0.35">
      <c r="A6413" s="34"/>
      <c r="B6413" s="35"/>
      <c r="C6413" s="36"/>
      <c r="D6413" s="37"/>
      <c r="E6413" s="36"/>
      <c r="F6413" s="42"/>
      <c r="G6413" s="42"/>
      <c r="H6413" s="42"/>
      <c r="AG6413" s="19">
        <v>6412</v>
      </c>
      <c r="AH6413" s="20">
        <v>-293.3626875752513</v>
      </c>
    </row>
    <row r="6414" spans="1:34" ht="14.5" x14ac:dyDescent="0.35">
      <c r="A6414" s="34"/>
      <c r="B6414" s="35"/>
      <c r="C6414" s="36"/>
      <c r="D6414" s="37"/>
      <c r="E6414" s="36"/>
      <c r="F6414" s="42"/>
      <c r="G6414" s="42"/>
      <c r="H6414" s="42"/>
      <c r="AG6414" s="19">
        <v>6413</v>
      </c>
      <c r="AH6414" s="20">
        <v>1781.9554723661147</v>
      </c>
    </row>
    <row r="6415" spans="1:34" ht="14.5" x14ac:dyDescent="0.35">
      <c r="A6415" s="34"/>
      <c r="B6415" s="35"/>
      <c r="C6415" s="36"/>
      <c r="D6415" s="37"/>
      <c r="E6415" s="36"/>
      <c r="F6415" s="42"/>
      <c r="G6415" s="42"/>
      <c r="H6415" s="42"/>
      <c r="AG6415" s="19">
        <v>6414</v>
      </c>
      <c r="AH6415" s="20">
        <v>-1577.6833960642384</v>
      </c>
    </row>
    <row r="6416" spans="1:34" ht="14.5" x14ac:dyDescent="0.35">
      <c r="A6416" s="34"/>
      <c r="B6416" s="35"/>
      <c r="C6416" s="36"/>
      <c r="D6416" s="37"/>
      <c r="E6416" s="36"/>
      <c r="F6416" s="42"/>
      <c r="G6416" s="42"/>
      <c r="H6416" s="42"/>
      <c r="AG6416" s="19">
        <v>6415</v>
      </c>
      <c r="AH6416" s="20">
        <v>-1693.298987349847</v>
      </c>
    </row>
    <row r="6417" spans="1:34" ht="14.5" x14ac:dyDescent="0.35">
      <c r="A6417" s="34"/>
      <c r="B6417" s="35"/>
      <c r="C6417" s="36"/>
      <c r="D6417" s="37"/>
      <c r="E6417" s="36"/>
      <c r="F6417" s="42"/>
      <c r="G6417" s="42"/>
      <c r="H6417" s="42"/>
      <c r="AG6417" s="19">
        <v>6416</v>
      </c>
      <c r="AH6417" s="20">
        <v>-1098.6490428271723</v>
      </c>
    </row>
    <row r="6418" spans="1:34" ht="14.5" x14ac:dyDescent="0.35">
      <c r="A6418" s="34"/>
      <c r="B6418" s="35"/>
      <c r="C6418" s="36"/>
      <c r="D6418" s="37"/>
      <c r="E6418" s="36"/>
      <c r="F6418" s="42"/>
      <c r="G6418" s="42"/>
      <c r="H6418" s="42"/>
      <c r="AG6418" s="19">
        <v>6417</v>
      </c>
      <c r="AH6418" s="20">
        <v>-168.65534906432305</v>
      </c>
    </row>
    <row r="6419" spans="1:34" ht="14.5" x14ac:dyDescent="0.35">
      <c r="A6419" s="34"/>
      <c r="B6419" s="35"/>
      <c r="C6419" s="36"/>
      <c r="D6419" s="37"/>
      <c r="E6419" s="36"/>
      <c r="F6419" s="42"/>
      <c r="G6419" s="42"/>
      <c r="H6419" s="42"/>
      <c r="AG6419" s="19">
        <v>6418</v>
      </c>
      <c r="AH6419" s="20">
        <v>-677.19287472729434</v>
      </c>
    </row>
    <row r="6420" spans="1:34" ht="14.5" x14ac:dyDescent="0.35">
      <c r="A6420" s="34"/>
      <c r="B6420" s="35"/>
      <c r="C6420" s="36"/>
      <c r="D6420" s="37"/>
      <c r="E6420" s="36"/>
      <c r="F6420" s="42"/>
      <c r="G6420" s="42"/>
      <c r="H6420" s="42"/>
      <c r="AG6420" s="19">
        <v>6419</v>
      </c>
      <c r="AH6420" s="20">
        <v>-1872.1435219834391</v>
      </c>
    </row>
    <row r="6421" spans="1:34" ht="14.5" x14ac:dyDescent="0.35">
      <c r="A6421" s="34"/>
      <c r="B6421" s="35"/>
      <c r="C6421" s="36"/>
      <c r="D6421" s="37"/>
      <c r="E6421" s="36"/>
      <c r="F6421" s="42"/>
      <c r="G6421" s="42"/>
      <c r="H6421" s="42"/>
      <c r="AG6421" s="19">
        <v>6420</v>
      </c>
      <c r="AH6421" s="20">
        <v>2233.4318601238324</v>
      </c>
    </row>
    <row r="6422" spans="1:34" ht="14.5" x14ac:dyDescent="0.35">
      <c r="A6422" s="34"/>
      <c r="B6422" s="35"/>
      <c r="C6422" s="36"/>
      <c r="D6422" s="37"/>
      <c r="E6422" s="36"/>
      <c r="F6422" s="42"/>
      <c r="G6422" s="42"/>
      <c r="H6422" s="42"/>
      <c r="AG6422" s="19">
        <v>6421</v>
      </c>
      <c r="AH6422" s="20">
        <v>2704.4516130501315</v>
      </c>
    </row>
    <row r="6423" spans="1:34" ht="14.5" x14ac:dyDescent="0.35">
      <c r="A6423" s="34"/>
      <c r="B6423" s="35"/>
      <c r="C6423" s="36"/>
      <c r="D6423" s="37"/>
      <c r="E6423" s="36"/>
      <c r="F6423" s="42"/>
      <c r="G6423" s="42"/>
      <c r="H6423" s="42"/>
      <c r="AG6423" s="19">
        <v>6422</v>
      </c>
      <c r="AH6423" s="20">
        <v>1319.8389845219474</v>
      </c>
    </row>
    <row r="6424" spans="1:34" ht="14.5" x14ac:dyDescent="0.35">
      <c r="A6424" s="34"/>
      <c r="B6424" s="35"/>
      <c r="C6424" s="36"/>
      <c r="D6424" s="37"/>
      <c r="E6424" s="36"/>
      <c r="F6424" s="42"/>
      <c r="G6424" s="42"/>
      <c r="H6424" s="42"/>
      <c r="AG6424" s="19">
        <v>6423</v>
      </c>
      <c r="AH6424" s="20">
        <v>4408.1272824323623</v>
      </c>
    </row>
    <row r="6425" spans="1:34" ht="14.5" x14ac:dyDescent="0.35">
      <c r="A6425" s="34"/>
      <c r="B6425" s="35"/>
      <c r="C6425" s="36"/>
      <c r="D6425" s="37"/>
      <c r="E6425" s="36"/>
      <c r="F6425" s="42"/>
      <c r="G6425" s="42"/>
      <c r="H6425" s="42"/>
      <c r="AG6425" s="19">
        <v>6424</v>
      </c>
      <c r="AH6425" s="20">
        <v>1447.9998520796414</v>
      </c>
    </row>
    <row r="6426" spans="1:34" ht="14.5" x14ac:dyDescent="0.35">
      <c r="A6426" s="34"/>
      <c r="B6426" s="35"/>
      <c r="C6426" s="36"/>
      <c r="D6426" s="37"/>
      <c r="E6426" s="36"/>
      <c r="F6426" s="42"/>
      <c r="G6426" s="42"/>
      <c r="H6426" s="42"/>
      <c r="AG6426" s="19">
        <v>6425</v>
      </c>
      <c r="AH6426" s="20">
        <v>-2348.1010276350707</v>
      </c>
    </row>
    <row r="6427" spans="1:34" ht="14.5" x14ac:dyDescent="0.35">
      <c r="A6427" s="34"/>
      <c r="B6427" s="35"/>
      <c r="C6427" s="36"/>
      <c r="D6427" s="37"/>
      <c r="E6427" s="36"/>
      <c r="F6427" s="42"/>
      <c r="G6427" s="42"/>
      <c r="H6427" s="42"/>
      <c r="AG6427" s="19">
        <v>6426</v>
      </c>
      <c r="AH6427" s="20">
        <v>616.21546342076635</v>
      </c>
    </row>
    <row r="6428" spans="1:34" ht="14.5" x14ac:dyDescent="0.35">
      <c r="A6428" s="34"/>
      <c r="B6428" s="35"/>
      <c r="C6428" s="36"/>
      <c r="D6428" s="37"/>
      <c r="E6428" s="36"/>
      <c r="F6428" s="42"/>
      <c r="G6428" s="42"/>
      <c r="H6428" s="42"/>
      <c r="AG6428" s="19">
        <v>6427</v>
      </c>
      <c r="AH6428" s="20">
        <v>-1358.8621496860887</v>
      </c>
    </row>
    <row r="6429" spans="1:34" ht="14.5" x14ac:dyDescent="0.35">
      <c r="A6429" s="34"/>
      <c r="B6429" s="35"/>
      <c r="C6429" s="36"/>
      <c r="D6429" s="37"/>
      <c r="E6429" s="36"/>
      <c r="F6429" s="42"/>
      <c r="G6429" s="42"/>
      <c r="H6429" s="42"/>
      <c r="AG6429" s="19">
        <v>6428</v>
      </c>
      <c r="AH6429" s="20">
        <v>2035.225665831648</v>
      </c>
    </row>
    <row r="6430" spans="1:34" ht="14.5" x14ac:dyDescent="0.35">
      <c r="A6430" s="34"/>
      <c r="B6430" s="35"/>
      <c r="C6430" s="36"/>
      <c r="D6430" s="37"/>
      <c r="E6430" s="36"/>
      <c r="F6430" s="42"/>
      <c r="G6430" s="42"/>
      <c r="H6430" s="42"/>
      <c r="AG6430" s="19">
        <v>6429</v>
      </c>
      <c r="AH6430" s="20">
        <v>1067.0784993726709</v>
      </c>
    </row>
    <row r="6431" spans="1:34" ht="14.5" x14ac:dyDescent="0.35">
      <c r="A6431" s="34"/>
      <c r="B6431" s="35"/>
      <c r="C6431" s="36"/>
      <c r="D6431" s="37"/>
      <c r="E6431" s="36"/>
      <c r="F6431" s="42"/>
      <c r="G6431" s="42"/>
      <c r="H6431" s="42"/>
      <c r="AG6431" s="19">
        <v>6430</v>
      </c>
      <c r="AH6431" s="20">
        <v>-1614.6446029856695</v>
      </c>
    </row>
    <row r="6432" spans="1:34" ht="14.5" x14ac:dyDescent="0.35">
      <c r="A6432" s="34"/>
      <c r="B6432" s="35"/>
      <c r="C6432" s="36"/>
      <c r="D6432" s="37"/>
      <c r="E6432" s="36"/>
      <c r="F6432" s="42"/>
      <c r="G6432" s="42"/>
      <c r="H6432" s="42"/>
      <c r="AG6432" s="19">
        <v>6431</v>
      </c>
      <c r="AH6432" s="20">
        <v>-2740.6652010575731</v>
      </c>
    </row>
    <row r="6433" spans="1:34" ht="14.5" x14ac:dyDescent="0.35">
      <c r="A6433" s="34"/>
      <c r="B6433" s="35"/>
      <c r="C6433" s="36"/>
      <c r="D6433" s="37"/>
      <c r="E6433" s="36"/>
      <c r="F6433" s="42"/>
      <c r="G6433" s="42"/>
      <c r="H6433" s="42"/>
      <c r="AG6433" s="19">
        <v>6432</v>
      </c>
      <c r="AH6433" s="20">
        <v>-2971.8825921367848</v>
      </c>
    </row>
    <row r="6434" spans="1:34" ht="14.5" x14ac:dyDescent="0.35">
      <c r="A6434" s="34"/>
      <c r="B6434" s="35"/>
      <c r="C6434" s="36"/>
      <c r="D6434" s="37"/>
      <c r="E6434" s="36"/>
      <c r="F6434" s="42"/>
      <c r="G6434" s="42"/>
      <c r="H6434" s="42"/>
      <c r="AG6434" s="19">
        <v>6433</v>
      </c>
      <c r="AH6434" s="20">
        <v>-1369.9060775152354</v>
      </c>
    </row>
    <row r="6435" spans="1:34" ht="14.5" x14ac:dyDescent="0.35">
      <c r="A6435" s="34"/>
      <c r="B6435" s="35"/>
      <c r="C6435" s="36"/>
      <c r="D6435" s="37"/>
      <c r="E6435" s="36"/>
      <c r="F6435" s="42"/>
      <c r="G6435" s="42"/>
      <c r="H6435" s="42"/>
      <c r="AG6435" s="19">
        <v>6434</v>
      </c>
      <c r="AH6435" s="20">
        <v>1208.2131790732067</v>
      </c>
    </row>
    <row r="6436" spans="1:34" ht="14.5" x14ac:dyDescent="0.35">
      <c r="A6436" s="34"/>
      <c r="B6436" s="35"/>
      <c r="C6436" s="36"/>
      <c r="D6436" s="37"/>
      <c r="E6436" s="36"/>
      <c r="F6436" s="42"/>
      <c r="G6436" s="42"/>
      <c r="H6436" s="42"/>
      <c r="AG6436" s="19">
        <v>6435</v>
      </c>
      <c r="AH6436" s="20">
        <v>280.11121905258932</v>
      </c>
    </row>
    <row r="6437" spans="1:34" ht="14.5" x14ac:dyDescent="0.35">
      <c r="A6437" s="34"/>
      <c r="B6437" s="35"/>
      <c r="C6437" s="36"/>
      <c r="D6437" s="37"/>
      <c r="E6437" s="36"/>
      <c r="F6437" s="42"/>
      <c r="G6437" s="42"/>
      <c r="H6437" s="42"/>
      <c r="AG6437" s="19">
        <v>6436</v>
      </c>
      <c r="AH6437" s="20">
        <v>1773.7022212345905</v>
      </c>
    </row>
    <row r="6438" spans="1:34" ht="14.5" x14ac:dyDescent="0.35">
      <c r="A6438" s="34"/>
      <c r="B6438" s="35"/>
      <c r="C6438" s="36"/>
      <c r="D6438" s="37"/>
      <c r="E6438" s="36"/>
      <c r="F6438" s="42"/>
      <c r="G6438" s="42"/>
      <c r="H6438" s="42"/>
      <c r="AG6438" s="19">
        <v>6437</v>
      </c>
      <c r="AH6438" s="20">
        <v>5279.7729442570535</v>
      </c>
    </row>
    <row r="6439" spans="1:34" ht="14.5" x14ac:dyDescent="0.35">
      <c r="A6439" s="34"/>
      <c r="B6439" s="35"/>
      <c r="C6439" s="36"/>
      <c r="D6439" s="37"/>
      <c r="E6439" s="36"/>
      <c r="F6439" s="42"/>
      <c r="G6439" s="42"/>
      <c r="H6439" s="42"/>
      <c r="AG6439" s="19">
        <v>6438</v>
      </c>
      <c r="AH6439" s="20">
        <v>2194.7822886384074</v>
      </c>
    </row>
    <row r="6440" spans="1:34" ht="14.5" x14ac:dyDescent="0.35">
      <c r="A6440" s="34"/>
      <c r="B6440" s="35"/>
      <c r="C6440" s="36"/>
      <c r="D6440" s="37"/>
      <c r="E6440" s="36"/>
      <c r="F6440" s="42"/>
      <c r="G6440" s="42"/>
      <c r="H6440" s="42"/>
      <c r="AG6440" s="19">
        <v>6439</v>
      </c>
      <c r="AH6440" s="20">
        <v>-763.60441630350306</v>
      </c>
    </row>
    <row r="6441" spans="1:34" ht="14.5" x14ac:dyDescent="0.35">
      <c r="A6441" s="34"/>
      <c r="B6441" s="35"/>
      <c r="C6441" s="36"/>
      <c r="D6441" s="37"/>
      <c r="E6441" s="36"/>
      <c r="F6441" s="42"/>
      <c r="G6441" s="42"/>
      <c r="H6441" s="42"/>
      <c r="AG6441" s="19">
        <v>6440</v>
      </c>
      <c r="AH6441" s="20">
        <v>1190.4556784844299</v>
      </c>
    </row>
    <row r="6442" spans="1:34" ht="14.5" x14ac:dyDescent="0.35">
      <c r="A6442" s="34"/>
      <c r="B6442" s="35"/>
      <c r="C6442" s="36"/>
      <c r="D6442" s="37"/>
      <c r="E6442" s="36"/>
      <c r="F6442" s="42"/>
      <c r="G6442" s="42"/>
      <c r="H6442" s="42"/>
      <c r="AG6442" s="19">
        <v>6441</v>
      </c>
      <c r="AH6442" s="20">
        <v>492.5559482195701</v>
      </c>
    </row>
    <row r="6443" spans="1:34" ht="14.5" x14ac:dyDescent="0.35">
      <c r="A6443" s="34"/>
      <c r="B6443" s="35"/>
      <c r="C6443" s="36"/>
      <c r="D6443" s="37"/>
      <c r="E6443" s="36"/>
      <c r="F6443" s="42"/>
      <c r="G6443" s="42"/>
      <c r="H6443" s="42"/>
      <c r="AG6443" s="19">
        <v>6442</v>
      </c>
      <c r="AH6443" s="20">
        <v>-421.12582807973848</v>
      </c>
    </row>
    <row r="6444" spans="1:34" ht="14.5" x14ac:dyDescent="0.35">
      <c r="A6444" s="34"/>
      <c r="B6444" s="35"/>
      <c r="C6444" s="36"/>
      <c r="D6444" s="37"/>
      <c r="E6444" s="36"/>
      <c r="F6444" s="42"/>
      <c r="G6444" s="42"/>
      <c r="H6444" s="42"/>
      <c r="AG6444" s="19">
        <v>6443</v>
      </c>
      <c r="AH6444" s="20">
        <v>287.35506248326226</v>
      </c>
    </row>
    <row r="6445" spans="1:34" ht="14.5" x14ac:dyDescent="0.35">
      <c r="A6445" s="34"/>
      <c r="B6445" s="35"/>
      <c r="C6445" s="36"/>
      <c r="D6445" s="37"/>
      <c r="E6445" s="36"/>
      <c r="F6445" s="42"/>
      <c r="G6445" s="42"/>
      <c r="H6445" s="42"/>
      <c r="AG6445" s="19">
        <v>6444</v>
      </c>
      <c r="AH6445" s="20">
        <v>2007.7787328384825</v>
      </c>
    </row>
    <row r="6446" spans="1:34" ht="14.5" x14ac:dyDescent="0.35">
      <c r="A6446" s="34"/>
      <c r="B6446" s="35"/>
      <c r="C6446" s="36"/>
      <c r="D6446" s="37"/>
      <c r="E6446" s="36"/>
      <c r="F6446" s="42"/>
      <c r="G6446" s="42"/>
      <c r="H6446" s="42"/>
      <c r="AG6446" s="19">
        <v>6445</v>
      </c>
      <c r="AH6446" s="20">
        <v>1718.6023987112981</v>
      </c>
    </row>
    <row r="6447" spans="1:34" ht="14.5" x14ac:dyDescent="0.35">
      <c r="A6447" s="34"/>
      <c r="B6447" s="35"/>
      <c r="C6447" s="36"/>
      <c r="D6447" s="37"/>
      <c r="E6447" s="36"/>
      <c r="F6447" s="42"/>
      <c r="G6447" s="42"/>
      <c r="H6447" s="42"/>
      <c r="AG6447" s="19">
        <v>6446</v>
      </c>
      <c r="AH6447" s="20">
        <v>-3565.2985496181773</v>
      </c>
    </row>
    <row r="6448" spans="1:34" ht="14.5" x14ac:dyDescent="0.35">
      <c r="A6448" s="34"/>
      <c r="B6448" s="35"/>
      <c r="C6448" s="36"/>
      <c r="D6448" s="37"/>
      <c r="E6448" s="36"/>
      <c r="F6448" s="42"/>
      <c r="G6448" s="42"/>
      <c r="H6448" s="42"/>
      <c r="AG6448" s="19">
        <v>6447</v>
      </c>
      <c r="AH6448" s="20">
        <v>14.697203629764942</v>
      </c>
    </row>
    <row r="6449" spans="1:34" ht="14.5" x14ac:dyDescent="0.35">
      <c r="A6449" s="34"/>
      <c r="B6449" s="35"/>
      <c r="C6449" s="36"/>
      <c r="D6449" s="37"/>
      <c r="E6449" s="36"/>
      <c r="F6449" s="42"/>
      <c r="G6449" s="42"/>
      <c r="H6449" s="42"/>
      <c r="AG6449" s="19">
        <v>6448</v>
      </c>
      <c r="AH6449" s="20">
        <v>3316.7137857252665</v>
      </c>
    </row>
    <row r="6450" spans="1:34" ht="14.5" x14ac:dyDescent="0.35">
      <c r="A6450" s="34"/>
      <c r="B6450" s="35"/>
      <c r="C6450" s="36"/>
      <c r="D6450" s="37"/>
      <c r="E6450" s="36"/>
      <c r="F6450" s="42"/>
      <c r="G6450" s="42"/>
      <c r="H6450" s="42"/>
      <c r="AG6450" s="19">
        <v>6449</v>
      </c>
      <c r="AH6450" s="20">
        <v>-575.03307896777483</v>
      </c>
    </row>
    <row r="6451" spans="1:34" ht="14.5" x14ac:dyDescent="0.35">
      <c r="A6451" s="34"/>
      <c r="B6451" s="35"/>
      <c r="C6451" s="36"/>
      <c r="D6451" s="37"/>
      <c r="E6451" s="36"/>
      <c r="F6451" s="42"/>
      <c r="G6451" s="42"/>
      <c r="H6451" s="42"/>
      <c r="AG6451" s="19">
        <v>6450</v>
      </c>
      <c r="AH6451" s="20">
        <v>2994.6984244823611</v>
      </c>
    </row>
    <row r="6452" spans="1:34" ht="14.5" x14ac:dyDescent="0.35">
      <c r="A6452" s="34"/>
      <c r="B6452" s="35"/>
      <c r="C6452" s="36"/>
      <c r="D6452" s="37"/>
      <c r="E6452" s="36"/>
      <c r="F6452" s="42"/>
      <c r="G6452" s="42"/>
      <c r="H6452" s="42"/>
      <c r="AG6452" s="19">
        <v>6451</v>
      </c>
      <c r="AH6452" s="20">
        <v>-322.96015730255073</v>
      </c>
    </row>
    <row r="6453" spans="1:34" ht="14.5" x14ac:dyDescent="0.35">
      <c r="A6453" s="34"/>
      <c r="B6453" s="35"/>
      <c r="C6453" s="36"/>
      <c r="D6453" s="37"/>
      <c r="E6453" s="36"/>
      <c r="F6453" s="42"/>
      <c r="G6453" s="42"/>
      <c r="H6453" s="42"/>
      <c r="AG6453" s="19">
        <v>6452</v>
      </c>
      <c r="AH6453" s="20">
        <v>-2233.6163060327062</v>
      </c>
    </row>
    <row r="6454" spans="1:34" ht="14.5" x14ac:dyDescent="0.35">
      <c r="A6454" s="34"/>
      <c r="B6454" s="35"/>
      <c r="C6454" s="36"/>
      <c r="D6454" s="37"/>
      <c r="E6454" s="36"/>
      <c r="F6454" s="42"/>
      <c r="G6454" s="42"/>
      <c r="H6454" s="42"/>
      <c r="AG6454" s="19">
        <v>6453</v>
      </c>
      <c r="AH6454" s="20">
        <v>1135.354010577486</v>
      </c>
    </row>
    <row r="6455" spans="1:34" ht="14.5" x14ac:dyDescent="0.35">
      <c r="A6455" s="34"/>
      <c r="B6455" s="35"/>
      <c r="C6455" s="36"/>
      <c r="D6455" s="37"/>
      <c r="E6455" s="36"/>
      <c r="F6455" s="42"/>
      <c r="G6455" s="42"/>
      <c r="H6455" s="42"/>
      <c r="AG6455" s="19">
        <v>6454</v>
      </c>
      <c r="AH6455" s="20">
        <v>1627.6805464068302</v>
      </c>
    </row>
    <row r="6456" spans="1:34" ht="14.5" x14ac:dyDescent="0.35">
      <c r="A6456" s="34"/>
      <c r="B6456" s="35"/>
      <c r="C6456" s="36"/>
      <c r="D6456" s="37"/>
      <c r="E6456" s="36"/>
      <c r="F6456" s="42"/>
      <c r="G6456" s="42"/>
      <c r="H6456" s="42"/>
      <c r="AG6456" s="19">
        <v>6455</v>
      </c>
      <c r="AH6456" s="20">
        <v>1126.7418571398982</v>
      </c>
    </row>
    <row r="6457" spans="1:34" ht="14.5" x14ac:dyDescent="0.35">
      <c r="A6457" s="34"/>
      <c r="B6457" s="35"/>
      <c r="C6457" s="36"/>
      <c r="D6457" s="37"/>
      <c r="E6457" s="36"/>
      <c r="F6457" s="42"/>
      <c r="G6457" s="42"/>
      <c r="H6457" s="42"/>
      <c r="AG6457" s="19">
        <v>6456</v>
      </c>
      <c r="AH6457" s="20">
        <v>-1147.6010262681627</v>
      </c>
    </row>
    <row r="6458" spans="1:34" ht="14.5" x14ac:dyDescent="0.35">
      <c r="A6458" s="34"/>
      <c r="B6458" s="35"/>
      <c r="C6458" s="36"/>
      <c r="D6458" s="37"/>
      <c r="E6458" s="36"/>
      <c r="F6458" s="42"/>
      <c r="G6458" s="42"/>
      <c r="H6458" s="42"/>
      <c r="AG6458" s="19">
        <v>6457</v>
      </c>
      <c r="AH6458" s="20">
        <v>530.42379279677129</v>
      </c>
    </row>
    <row r="6459" spans="1:34" ht="14.5" x14ac:dyDescent="0.35">
      <c r="A6459" s="34"/>
      <c r="B6459" s="35"/>
      <c r="C6459" s="36"/>
      <c r="D6459" s="37"/>
      <c r="E6459" s="36"/>
      <c r="F6459" s="42"/>
      <c r="G6459" s="42"/>
      <c r="H6459" s="42"/>
      <c r="AG6459" s="19">
        <v>6458</v>
      </c>
      <c r="AH6459" s="20">
        <v>1625.9366373426619</v>
      </c>
    </row>
    <row r="6460" spans="1:34" ht="14.5" x14ac:dyDescent="0.35">
      <c r="A6460" s="34"/>
      <c r="B6460" s="35"/>
      <c r="C6460" s="36"/>
      <c r="D6460" s="37"/>
      <c r="E6460" s="36"/>
      <c r="F6460" s="42"/>
      <c r="G6460" s="42"/>
      <c r="H6460" s="42"/>
      <c r="AG6460" s="19">
        <v>6459</v>
      </c>
      <c r="AH6460" s="20">
        <v>387.51707236980513</v>
      </c>
    </row>
    <row r="6461" spans="1:34" ht="14.5" x14ac:dyDescent="0.35">
      <c r="A6461" s="34"/>
      <c r="B6461" s="35"/>
      <c r="C6461" s="36"/>
      <c r="D6461" s="37"/>
      <c r="E6461" s="36"/>
      <c r="F6461" s="42"/>
      <c r="G6461" s="42"/>
      <c r="H6461" s="42"/>
      <c r="AG6461" s="19">
        <v>6460</v>
      </c>
      <c r="AH6461" s="20">
        <v>76.239777451090845</v>
      </c>
    </row>
    <row r="6462" spans="1:34" ht="14.5" x14ac:dyDescent="0.35">
      <c r="A6462" s="34"/>
      <c r="B6462" s="35"/>
      <c r="C6462" s="36"/>
      <c r="D6462" s="37"/>
      <c r="E6462" s="36"/>
      <c r="F6462" s="42"/>
      <c r="G6462" s="42"/>
      <c r="H6462" s="42"/>
      <c r="AG6462" s="19">
        <v>6461</v>
      </c>
      <c r="AH6462" s="20">
        <v>-2111.7136369839618</v>
      </c>
    </row>
    <row r="6463" spans="1:34" ht="14.5" x14ac:dyDescent="0.35">
      <c r="A6463" s="34"/>
      <c r="B6463" s="35"/>
      <c r="C6463" s="36"/>
      <c r="D6463" s="37"/>
      <c r="E6463" s="36"/>
      <c r="F6463" s="42"/>
      <c r="G6463" s="42"/>
      <c r="H6463" s="42"/>
      <c r="AG6463" s="19">
        <v>6462</v>
      </c>
      <c r="AH6463" s="20">
        <v>2851.0187303442926</v>
      </c>
    </row>
    <row r="6464" spans="1:34" ht="14.5" x14ac:dyDescent="0.35">
      <c r="A6464" s="34"/>
      <c r="B6464" s="35"/>
      <c r="C6464" s="36"/>
      <c r="D6464" s="37"/>
      <c r="E6464" s="36"/>
      <c r="F6464" s="42"/>
      <c r="G6464" s="42"/>
      <c r="H6464" s="42"/>
      <c r="AG6464" s="19">
        <v>6463</v>
      </c>
      <c r="AH6464" s="20">
        <v>546.95838586676018</v>
      </c>
    </row>
    <row r="6465" spans="1:34" ht="14.5" x14ac:dyDescent="0.35">
      <c r="A6465" s="34"/>
      <c r="B6465" s="35"/>
      <c r="C6465" s="36"/>
      <c r="D6465" s="37"/>
      <c r="E6465" s="36"/>
      <c r="F6465" s="42"/>
      <c r="G6465" s="42"/>
      <c r="H6465" s="42"/>
      <c r="AG6465" s="19">
        <v>6464</v>
      </c>
      <c r="AH6465" s="20">
        <v>-2266.8835121999305</v>
      </c>
    </row>
    <row r="6466" spans="1:34" ht="14.5" x14ac:dyDescent="0.35">
      <c r="A6466" s="34"/>
      <c r="B6466" s="35"/>
      <c r="C6466" s="36"/>
      <c r="D6466" s="37"/>
      <c r="E6466" s="36"/>
      <c r="F6466" s="42"/>
      <c r="G6466" s="42"/>
      <c r="H6466" s="42"/>
      <c r="AG6466" s="19">
        <v>6465</v>
      </c>
      <c r="AH6466" s="20">
        <v>4298.4798248459638</v>
      </c>
    </row>
    <row r="6467" spans="1:34" ht="14.5" x14ac:dyDescent="0.35">
      <c r="A6467" s="34"/>
      <c r="B6467" s="35"/>
      <c r="C6467" s="36"/>
      <c r="D6467" s="37"/>
      <c r="E6467" s="36"/>
      <c r="F6467" s="42"/>
      <c r="G6467" s="42"/>
      <c r="H6467" s="42"/>
      <c r="AG6467" s="19">
        <v>6466</v>
      </c>
      <c r="AH6467" s="20">
        <v>-2019.3998993021175</v>
      </c>
    </row>
    <row r="6468" spans="1:34" ht="14.5" x14ac:dyDescent="0.35">
      <c r="A6468" s="34"/>
      <c r="B6468" s="35"/>
      <c r="C6468" s="36"/>
      <c r="D6468" s="37"/>
      <c r="E6468" s="36"/>
      <c r="F6468" s="42"/>
      <c r="G6468" s="42"/>
      <c r="H6468" s="42"/>
      <c r="AG6468" s="19">
        <v>6467</v>
      </c>
      <c r="AH6468" s="20">
        <v>1624.3701157501382</v>
      </c>
    </row>
    <row r="6469" spans="1:34" ht="14.5" x14ac:dyDescent="0.35">
      <c r="A6469" s="34"/>
      <c r="B6469" s="35"/>
      <c r="C6469" s="36"/>
      <c r="D6469" s="37"/>
      <c r="E6469" s="36"/>
      <c r="F6469" s="42"/>
      <c r="G6469" s="42"/>
      <c r="H6469" s="42"/>
      <c r="AG6469" s="19">
        <v>6468</v>
      </c>
      <c r="AH6469" s="20">
        <v>-165.76443616648652</v>
      </c>
    </row>
    <row r="6470" spans="1:34" ht="14.5" x14ac:dyDescent="0.35">
      <c r="A6470" s="34"/>
      <c r="B6470" s="35"/>
      <c r="C6470" s="36"/>
      <c r="D6470" s="37"/>
      <c r="E6470" s="36"/>
      <c r="F6470" s="42"/>
      <c r="G6470" s="42"/>
      <c r="H6470" s="42"/>
      <c r="AG6470" s="19">
        <v>6469</v>
      </c>
      <c r="AH6470" s="20">
        <v>3404.3234016648016</v>
      </c>
    </row>
    <row r="6471" spans="1:34" ht="14.5" x14ac:dyDescent="0.35">
      <c r="A6471" s="34"/>
      <c r="B6471" s="35"/>
      <c r="C6471" s="36"/>
      <c r="D6471" s="37"/>
      <c r="E6471" s="36"/>
      <c r="F6471" s="42"/>
      <c r="G6471" s="42"/>
      <c r="H6471" s="42"/>
      <c r="AG6471" s="19">
        <v>6470</v>
      </c>
      <c r="AH6471" s="20">
        <v>-954.52999346391925</v>
      </c>
    </row>
    <row r="6472" spans="1:34" ht="14.5" x14ac:dyDescent="0.35">
      <c r="A6472" s="34"/>
      <c r="B6472" s="35"/>
      <c r="C6472" s="36"/>
      <c r="D6472" s="37"/>
      <c r="E6472" s="36"/>
      <c r="F6472" s="42"/>
      <c r="G6472" s="42"/>
      <c r="H6472" s="42"/>
      <c r="AG6472" s="19">
        <v>6471</v>
      </c>
      <c r="AH6472" s="20">
        <v>5352.6811534803264</v>
      </c>
    </row>
    <row r="6473" spans="1:34" ht="14.5" x14ac:dyDescent="0.35">
      <c r="A6473" s="34"/>
      <c r="B6473" s="35"/>
      <c r="C6473" s="36"/>
      <c r="D6473" s="37"/>
      <c r="E6473" s="36"/>
      <c r="F6473" s="42"/>
      <c r="G6473" s="42"/>
      <c r="H6473" s="42"/>
      <c r="AG6473" s="19">
        <v>6472</v>
      </c>
      <c r="AH6473" s="20">
        <v>2576.2089578503637</v>
      </c>
    </row>
    <row r="6474" spans="1:34" ht="14.5" x14ac:dyDescent="0.35">
      <c r="A6474" s="34"/>
      <c r="B6474" s="35"/>
      <c r="C6474" s="36"/>
      <c r="D6474" s="37"/>
      <c r="E6474" s="36"/>
      <c r="F6474" s="42"/>
      <c r="G6474" s="42"/>
      <c r="H6474" s="42"/>
      <c r="AG6474" s="19">
        <v>6473</v>
      </c>
      <c r="AH6474" s="20">
        <v>-1349.2217747526538</v>
      </c>
    </row>
    <row r="6475" spans="1:34" ht="14.5" x14ac:dyDescent="0.35">
      <c r="A6475" s="34"/>
      <c r="B6475" s="35"/>
      <c r="C6475" s="36"/>
      <c r="D6475" s="37"/>
      <c r="E6475" s="36"/>
      <c r="F6475" s="42"/>
      <c r="G6475" s="42"/>
      <c r="H6475" s="42"/>
      <c r="AG6475" s="19">
        <v>6474</v>
      </c>
      <c r="AH6475" s="20">
        <v>428.81479384041171</v>
      </c>
    </row>
    <row r="6476" spans="1:34" ht="14.5" x14ac:dyDescent="0.35">
      <c r="A6476" s="34"/>
      <c r="B6476" s="35"/>
      <c r="C6476" s="36"/>
      <c r="D6476" s="37"/>
      <c r="E6476" s="36"/>
      <c r="F6476" s="42"/>
      <c r="G6476" s="42"/>
      <c r="H6476" s="42"/>
      <c r="AG6476" s="19">
        <v>6475</v>
      </c>
      <c r="AH6476" s="20">
        <v>1613.1817521998084</v>
      </c>
    </row>
    <row r="6477" spans="1:34" ht="14.5" x14ac:dyDescent="0.35">
      <c r="A6477" s="34"/>
      <c r="B6477" s="35"/>
      <c r="C6477" s="36"/>
      <c r="D6477" s="37"/>
      <c r="E6477" s="36"/>
      <c r="F6477" s="42"/>
      <c r="G6477" s="42"/>
      <c r="H6477" s="42"/>
      <c r="AG6477" s="19">
        <v>6476</v>
      </c>
      <c r="AH6477" s="20">
        <v>3478.9078535309395</v>
      </c>
    </row>
    <row r="6478" spans="1:34" ht="14.5" x14ac:dyDescent="0.35">
      <c r="A6478" s="34"/>
      <c r="B6478" s="35"/>
      <c r="C6478" s="36"/>
      <c r="D6478" s="37"/>
      <c r="E6478" s="36"/>
      <c r="F6478" s="42"/>
      <c r="G6478" s="42"/>
      <c r="H6478" s="42"/>
      <c r="AG6478" s="19">
        <v>6477</v>
      </c>
      <c r="AH6478" s="20">
        <v>-111.87115553689063</v>
      </c>
    </row>
    <row r="6479" spans="1:34" ht="14.5" x14ac:dyDescent="0.35">
      <c r="A6479" s="34"/>
      <c r="B6479" s="35"/>
      <c r="C6479" s="36"/>
      <c r="D6479" s="37"/>
      <c r="E6479" s="36"/>
      <c r="F6479" s="42"/>
      <c r="G6479" s="42"/>
      <c r="H6479" s="42"/>
      <c r="AG6479" s="19">
        <v>6478</v>
      </c>
      <c r="AH6479" s="20">
        <v>-846.68096949921232</v>
      </c>
    </row>
    <row r="6480" spans="1:34" ht="14.5" x14ac:dyDescent="0.35">
      <c r="A6480" s="34"/>
      <c r="B6480" s="35"/>
      <c r="C6480" s="36"/>
      <c r="D6480" s="37"/>
      <c r="E6480" s="36"/>
      <c r="F6480" s="42"/>
      <c r="G6480" s="42"/>
      <c r="H6480" s="42"/>
      <c r="AG6480" s="19">
        <v>6479</v>
      </c>
      <c r="AH6480" s="20">
        <v>2097.1865535293041</v>
      </c>
    </row>
    <row r="6481" spans="1:34" ht="14.5" x14ac:dyDescent="0.35">
      <c r="A6481" s="34"/>
      <c r="B6481" s="35"/>
      <c r="C6481" s="36"/>
      <c r="D6481" s="37"/>
      <c r="E6481" s="36"/>
      <c r="F6481" s="42"/>
      <c r="G6481" s="42"/>
      <c r="H6481" s="42"/>
      <c r="AG6481" s="19">
        <v>6480</v>
      </c>
      <c r="AH6481" s="20">
        <v>-650.17942813344098</v>
      </c>
    </row>
    <row r="6482" spans="1:34" ht="14.5" x14ac:dyDescent="0.35">
      <c r="A6482" s="34"/>
      <c r="B6482" s="35"/>
      <c r="C6482" s="36"/>
      <c r="D6482" s="37"/>
      <c r="E6482" s="36"/>
      <c r="F6482" s="42"/>
      <c r="G6482" s="42"/>
      <c r="H6482" s="42"/>
      <c r="AG6482" s="19">
        <v>6481</v>
      </c>
      <c r="AH6482" s="20">
        <v>-688.87181207061758</v>
      </c>
    </row>
    <row r="6483" spans="1:34" ht="14.5" x14ac:dyDescent="0.35">
      <c r="A6483" s="34"/>
      <c r="B6483" s="35"/>
      <c r="C6483" s="36"/>
      <c r="D6483" s="37"/>
      <c r="E6483" s="36"/>
      <c r="F6483" s="42"/>
      <c r="G6483" s="42"/>
      <c r="H6483" s="42"/>
      <c r="AG6483" s="19">
        <v>6482</v>
      </c>
      <c r="AH6483" s="20">
        <v>1680.441834368484</v>
      </c>
    </row>
    <row r="6484" spans="1:34" ht="14.5" x14ac:dyDescent="0.35">
      <c r="A6484" s="34"/>
      <c r="B6484" s="35"/>
      <c r="C6484" s="36"/>
      <c r="D6484" s="37"/>
      <c r="E6484" s="36"/>
      <c r="F6484" s="42"/>
      <c r="G6484" s="42"/>
      <c r="H6484" s="42"/>
      <c r="AG6484" s="19">
        <v>6483</v>
      </c>
      <c r="AH6484" s="20">
        <v>-2201.2235799820487</v>
      </c>
    </row>
    <row r="6485" spans="1:34" ht="14.5" x14ac:dyDescent="0.35">
      <c r="A6485" s="34"/>
      <c r="B6485" s="35"/>
      <c r="C6485" s="36"/>
      <c r="D6485" s="37"/>
      <c r="E6485" s="36"/>
      <c r="F6485" s="42"/>
      <c r="G6485" s="42"/>
      <c r="H6485" s="42"/>
      <c r="AG6485" s="19">
        <v>6484</v>
      </c>
      <c r="AH6485" s="20">
        <v>-697.44677789628849</v>
      </c>
    </row>
    <row r="6486" spans="1:34" ht="14.5" x14ac:dyDescent="0.35">
      <c r="A6486" s="34"/>
      <c r="B6486" s="35"/>
      <c r="C6486" s="36"/>
      <c r="D6486" s="37"/>
      <c r="E6486" s="36"/>
      <c r="F6486" s="42"/>
      <c r="G6486" s="42"/>
      <c r="H6486" s="42"/>
      <c r="AG6486" s="19">
        <v>6485</v>
      </c>
      <c r="AH6486" s="20">
        <v>-3153.3581554091975</v>
      </c>
    </row>
    <row r="6487" spans="1:34" ht="14.5" x14ac:dyDescent="0.35">
      <c r="A6487" s="34"/>
      <c r="B6487" s="35"/>
      <c r="C6487" s="36"/>
      <c r="D6487" s="37"/>
      <c r="E6487" s="36"/>
      <c r="F6487" s="42"/>
      <c r="G6487" s="42"/>
      <c r="H6487" s="42"/>
      <c r="AG6487" s="19">
        <v>6486</v>
      </c>
      <c r="AH6487" s="20">
        <v>801.74321062238982</v>
      </c>
    </row>
    <row r="6488" spans="1:34" ht="14.5" x14ac:dyDescent="0.35">
      <c r="A6488" s="34"/>
      <c r="B6488" s="35"/>
      <c r="C6488" s="36"/>
      <c r="D6488" s="37"/>
      <c r="E6488" s="36"/>
      <c r="F6488" s="42"/>
      <c r="G6488" s="42"/>
      <c r="H6488" s="42"/>
      <c r="AG6488" s="19">
        <v>6487</v>
      </c>
      <c r="AH6488" s="20">
        <v>1850.9420610256457</v>
      </c>
    </row>
    <row r="6489" spans="1:34" ht="14.5" x14ac:dyDescent="0.35">
      <c r="A6489" s="34"/>
      <c r="B6489" s="35"/>
      <c r="C6489" s="36"/>
      <c r="D6489" s="37"/>
      <c r="E6489" s="36"/>
      <c r="F6489" s="42"/>
      <c r="G6489" s="42"/>
      <c r="H6489" s="42"/>
      <c r="AG6489" s="19">
        <v>6488</v>
      </c>
      <c r="AH6489" s="20">
        <v>-2860.2514671243221</v>
      </c>
    </row>
    <row r="6490" spans="1:34" ht="14.5" x14ac:dyDescent="0.35">
      <c r="A6490" s="34"/>
      <c r="B6490" s="35"/>
      <c r="C6490" s="36"/>
      <c r="D6490" s="37"/>
      <c r="E6490" s="36"/>
      <c r="F6490" s="42"/>
      <c r="G6490" s="42"/>
      <c r="H6490" s="42"/>
      <c r="AG6490" s="19">
        <v>6489</v>
      </c>
      <c r="AH6490" s="20">
        <v>-1299.886464502729</v>
      </c>
    </row>
    <row r="6491" spans="1:34" ht="14.5" x14ac:dyDescent="0.35">
      <c r="A6491" s="34"/>
      <c r="B6491" s="35"/>
      <c r="C6491" s="36"/>
      <c r="D6491" s="37"/>
      <c r="E6491" s="36"/>
      <c r="F6491" s="42"/>
      <c r="G6491" s="42"/>
      <c r="H6491" s="42"/>
      <c r="AG6491" s="19">
        <v>6490</v>
      </c>
      <c r="AH6491" s="20">
        <v>-842.65617723038895</v>
      </c>
    </row>
    <row r="6492" spans="1:34" ht="14.5" x14ac:dyDescent="0.35">
      <c r="A6492" s="34"/>
      <c r="B6492" s="35"/>
      <c r="C6492" s="36"/>
      <c r="D6492" s="37"/>
      <c r="E6492" s="36"/>
      <c r="F6492" s="42"/>
      <c r="G6492" s="42"/>
      <c r="H6492" s="42"/>
      <c r="AG6492" s="19">
        <v>6491</v>
      </c>
      <c r="AH6492" s="20">
        <v>881.7361177435215</v>
      </c>
    </row>
    <row r="6493" spans="1:34" ht="14.5" x14ac:dyDescent="0.35">
      <c r="A6493" s="34"/>
      <c r="B6493" s="35"/>
      <c r="C6493" s="36"/>
      <c r="D6493" s="37"/>
      <c r="E6493" s="36"/>
      <c r="F6493" s="42"/>
      <c r="G6493" s="42"/>
      <c r="H6493" s="42"/>
      <c r="AG6493" s="19">
        <v>6492</v>
      </c>
      <c r="AH6493" s="20">
        <v>3813.1383357147811</v>
      </c>
    </row>
    <row r="6494" spans="1:34" ht="14.5" x14ac:dyDescent="0.35">
      <c r="A6494" s="34"/>
      <c r="B6494" s="35"/>
      <c r="C6494" s="36"/>
      <c r="D6494" s="37"/>
      <c r="E6494" s="36"/>
      <c r="F6494" s="42"/>
      <c r="G6494" s="42"/>
      <c r="H6494" s="42"/>
      <c r="AG6494" s="19">
        <v>6493</v>
      </c>
      <c r="AH6494" s="20">
        <v>-1253.7445441343225</v>
      </c>
    </row>
    <row r="6495" spans="1:34" ht="14.5" x14ac:dyDescent="0.35">
      <c r="A6495" s="34"/>
      <c r="B6495" s="35"/>
      <c r="C6495" s="36"/>
      <c r="D6495" s="37"/>
      <c r="E6495" s="36"/>
      <c r="F6495" s="42"/>
      <c r="G6495" s="42"/>
      <c r="H6495" s="42"/>
      <c r="AG6495" s="19">
        <v>6494</v>
      </c>
      <c r="AH6495" s="20">
        <v>870.19365079803742</v>
      </c>
    </row>
    <row r="6496" spans="1:34" ht="14.5" x14ac:dyDescent="0.35">
      <c r="A6496" s="34"/>
      <c r="B6496" s="35"/>
      <c r="C6496" s="36"/>
      <c r="D6496" s="37"/>
      <c r="E6496" s="36"/>
      <c r="F6496" s="42"/>
      <c r="G6496" s="42"/>
      <c r="H6496" s="42"/>
      <c r="AG6496" s="19">
        <v>6495</v>
      </c>
      <c r="AH6496" s="20">
        <v>231.42350377972494</v>
      </c>
    </row>
    <row r="6497" spans="1:34" ht="14.5" x14ac:dyDescent="0.35">
      <c r="A6497" s="34"/>
      <c r="B6497" s="35"/>
      <c r="C6497" s="36"/>
      <c r="D6497" s="37"/>
      <c r="E6497" s="36"/>
      <c r="F6497" s="42"/>
      <c r="G6497" s="42"/>
      <c r="H6497" s="42"/>
      <c r="AG6497" s="19">
        <v>6496</v>
      </c>
      <c r="AH6497" s="20">
        <v>1996.1974079550068</v>
      </c>
    </row>
    <row r="6498" spans="1:34" ht="14.5" x14ac:dyDescent="0.35">
      <c r="A6498" s="34"/>
      <c r="B6498" s="35"/>
      <c r="C6498" s="36"/>
      <c r="D6498" s="37"/>
      <c r="E6498" s="36"/>
      <c r="F6498" s="42"/>
      <c r="G6498" s="42"/>
      <c r="H6498" s="42"/>
      <c r="AG6498" s="19">
        <v>6497</v>
      </c>
      <c r="AH6498" s="20">
        <v>-2037.005420579673</v>
      </c>
    </row>
    <row r="6499" spans="1:34" ht="14.5" x14ac:dyDescent="0.35">
      <c r="A6499" s="34"/>
      <c r="B6499" s="35"/>
      <c r="C6499" s="36"/>
      <c r="D6499" s="37"/>
      <c r="E6499" s="36"/>
      <c r="F6499" s="42"/>
      <c r="G6499" s="42"/>
      <c r="H6499" s="42"/>
      <c r="AG6499" s="19">
        <v>6498</v>
      </c>
      <c r="AH6499" s="20">
        <v>-4043.4305290970533</v>
      </c>
    </row>
    <row r="6500" spans="1:34" ht="14.5" x14ac:dyDescent="0.35">
      <c r="A6500" s="34"/>
      <c r="B6500" s="35"/>
      <c r="C6500" s="36"/>
      <c r="D6500" s="37"/>
      <c r="E6500" s="36"/>
      <c r="F6500" s="42"/>
      <c r="G6500" s="42"/>
      <c r="H6500" s="42"/>
      <c r="AG6500" s="19">
        <v>6499</v>
      </c>
      <c r="AH6500" s="20">
        <v>4168.5874290993352</v>
      </c>
    </row>
    <row r="6501" spans="1:34" ht="14.5" x14ac:dyDescent="0.35">
      <c r="A6501" s="34"/>
      <c r="B6501" s="35"/>
      <c r="C6501" s="36"/>
      <c r="D6501" s="37"/>
      <c r="E6501" s="36"/>
      <c r="F6501" s="42"/>
      <c r="G6501" s="42"/>
      <c r="H6501" s="42"/>
      <c r="AG6501" s="19">
        <v>6500</v>
      </c>
      <c r="AH6501" s="20">
        <v>430.34945036217982</v>
      </c>
    </row>
    <row r="6502" spans="1:34" ht="14.5" x14ac:dyDescent="0.35">
      <c r="A6502" s="34"/>
      <c r="B6502" s="35"/>
      <c r="C6502" s="36"/>
      <c r="D6502" s="37"/>
      <c r="E6502" s="36"/>
      <c r="F6502" s="42"/>
      <c r="G6502" s="42"/>
      <c r="H6502" s="42"/>
      <c r="AG6502" s="19">
        <v>6501</v>
      </c>
      <c r="AH6502" s="20">
        <v>1353.7811652012626</v>
      </c>
    </row>
    <row r="6503" spans="1:34" ht="14.5" x14ac:dyDescent="0.35">
      <c r="A6503" s="34"/>
      <c r="B6503" s="35"/>
      <c r="C6503" s="36"/>
      <c r="D6503" s="37"/>
      <c r="E6503" s="36"/>
      <c r="F6503" s="42"/>
      <c r="G6503" s="42"/>
      <c r="H6503" s="42"/>
      <c r="AG6503" s="19">
        <v>6502</v>
      </c>
      <c r="AH6503" s="20">
        <v>2899.8374144514901</v>
      </c>
    </row>
    <row r="6504" spans="1:34" ht="14.5" x14ac:dyDescent="0.35">
      <c r="A6504" s="34"/>
      <c r="B6504" s="35"/>
      <c r="C6504" s="36"/>
      <c r="D6504" s="37"/>
      <c r="E6504" s="36"/>
      <c r="F6504" s="42"/>
      <c r="G6504" s="42"/>
      <c r="H6504" s="42"/>
      <c r="AG6504" s="19">
        <v>6503</v>
      </c>
      <c r="AH6504" s="20">
        <v>1266.4815122225621</v>
      </c>
    </row>
    <row r="6505" spans="1:34" ht="14.5" x14ac:dyDescent="0.35">
      <c r="A6505" s="34"/>
      <c r="B6505" s="35"/>
      <c r="C6505" s="36"/>
      <c r="D6505" s="37"/>
      <c r="E6505" s="36"/>
      <c r="F6505" s="42"/>
      <c r="G6505" s="42"/>
      <c r="H6505" s="42"/>
      <c r="AG6505" s="19">
        <v>6504</v>
      </c>
      <c r="AH6505" s="20">
        <v>-670.23193940930969</v>
      </c>
    </row>
    <row r="6506" spans="1:34" ht="14.5" x14ac:dyDescent="0.35">
      <c r="A6506" s="34"/>
      <c r="B6506" s="35"/>
      <c r="C6506" s="36"/>
      <c r="D6506" s="37"/>
      <c r="E6506" s="36"/>
      <c r="F6506" s="42"/>
      <c r="G6506" s="42"/>
      <c r="H6506" s="42"/>
      <c r="AG6506" s="19">
        <v>6505</v>
      </c>
      <c r="AH6506" s="20">
        <v>-2067.2397477136337</v>
      </c>
    </row>
    <row r="6507" spans="1:34" ht="14.5" x14ac:dyDescent="0.35">
      <c r="A6507" s="34"/>
      <c r="B6507" s="35"/>
      <c r="C6507" s="36"/>
      <c r="D6507" s="37"/>
      <c r="E6507" s="36"/>
      <c r="F6507" s="42"/>
      <c r="G6507" s="42"/>
      <c r="H6507" s="42"/>
      <c r="AG6507" s="19">
        <v>6506</v>
      </c>
      <c r="AH6507" s="20">
        <v>2100.5943288214526</v>
      </c>
    </row>
    <row r="6508" spans="1:34" ht="14.5" x14ac:dyDescent="0.35">
      <c r="A6508" s="34"/>
      <c r="B6508" s="35"/>
      <c r="C6508" s="36"/>
      <c r="D6508" s="37"/>
      <c r="E6508" s="36"/>
      <c r="F6508" s="42"/>
      <c r="G6508" s="42"/>
      <c r="H6508" s="42"/>
      <c r="AG6508" s="19">
        <v>6507</v>
      </c>
      <c r="AH6508" s="20">
        <v>2200.5364687247511</v>
      </c>
    </row>
    <row r="6509" spans="1:34" ht="14.5" x14ac:dyDescent="0.35">
      <c r="A6509" s="34"/>
      <c r="B6509" s="35"/>
      <c r="C6509" s="36"/>
      <c r="D6509" s="37"/>
      <c r="E6509" s="36"/>
      <c r="F6509" s="42"/>
      <c r="G6509" s="42"/>
      <c r="H6509" s="42"/>
      <c r="AG6509" s="19">
        <v>6508</v>
      </c>
      <c r="AH6509" s="20">
        <v>1921.4137065780549</v>
      </c>
    </row>
    <row r="6510" spans="1:34" ht="14.5" x14ac:dyDescent="0.35">
      <c r="A6510" s="34"/>
      <c r="B6510" s="35"/>
      <c r="C6510" s="36"/>
      <c r="D6510" s="37"/>
      <c r="E6510" s="36"/>
      <c r="F6510" s="42"/>
      <c r="G6510" s="42"/>
      <c r="H6510" s="42"/>
      <c r="AG6510" s="19">
        <v>6509</v>
      </c>
      <c r="AH6510" s="20">
        <v>-482.34630465951665</v>
      </c>
    </row>
    <row r="6511" spans="1:34" ht="14.5" x14ac:dyDescent="0.35">
      <c r="A6511" s="34"/>
      <c r="B6511" s="35"/>
      <c r="C6511" s="36"/>
      <c r="D6511" s="37"/>
      <c r="E6511" s="36"/>
      <c r="F6511" s="42"/>
      <c r="G6511" s="42"/>
      <c r="H6511" s="42"/>
      <c r="AG6511" s="19">
        <v>6510</v>
      </c>
      <c r="AH6511" s="20">
        <v>70.009192687540178</v>
      </c>
    </row>
    <row r="6512" spans="1:34" ht="14.5" x14ac:dyDescent="0.35">
      <c r="A6512" s="34"/>
      <c r="B6512" s="35"/>
      <c r="C6512" s="36"/>
      <c r="D6512" s="37"/>
      <c r="E6512" s="36"/>
      <c r="F6512" s="42"/>
      <c r="G6512" s="42"/>
      <c r="H6512" s="42"/>
      <c r="AG6512" s="19">
        <v>6511</v>
      </c>
      <c r="AH6512" s="20">
        <v>1586.6223723177227</v>
      </c>
    </row>
    <row r="6513" spans="1:34" ht="14.5" x14ac:dyDescent="0.35">
      <c r="A6513" s="34"/>
      <c r="B6513" s="35"/>
      <c r="C6513" s="36"/>
      <c r="D6513" s="37"/>
      <c r="E6513" s="36"/>
      <c r="F6513" s="42"/>
      <c r="G6513" s="42"/>
      <c r="H6513" s="42"/>
      <c r="AG6513" s="19">
        <v>6512</v>
      </c>
      <c r="AH6513" s="20">
        <v>-2947.6637757555204</v>
      </c>
    </row>
    <row r="6514" spans="1:34" ht="14.5" x14ac:dyDescent="0.35">
      <c r="A6514" s="34"/>
      <c r="B6514" s="35"/>
      <c r="C6514" s="36"/>
      <c r="D6514" s="37"/>
      <c r="E6514" s="36"/>
      <c r="F6514" s="42"/>
      <c r="G6514" s="42"/>
      <c r="H6514" s="42"/>
      <c r="AG6514" s="19">
        <v>6513</v>
      </c>
      <c r="AH6514" s="20">
        <v>2017.8052367749858</v>
      </c>
    </row>
    <row r="6515" spans="1:34" ht="14.5" x14ac:dyDescent="0.35">
      <c r="A6515" s="34"/>
      <c r="B6515" s="35"/>
      <c r="C6515" s="36"/>
      <c r="D6515" s="37"/>
      <c r="E6515" s="36"/>
      <c r="F6515" s="42"/>
      <c r="G6515" s="42"/>
      <c r="H6515" s="42"/>
      <c r="AG6515" s="19">
        <v>6514</v>
      </c>
      <c r="AH6515" s="20">
        <v>2604.914693110507</v>
      </c>
    </row>
    <row r="6516" spans="1:34" ht="14.5" x14ac:dyDescent="0.35">
      <c r="A6516" s="34"/>
      <c r="B6516" s="35"/>
      <c r="C6516" s="36"/>
      <c r="D6516" s="37"/>
      <c r="E6516" s="36"/>
      <c r="F6516" s="42"/>
      <c r="G6516" s="42"/>
      <c r="H6516" s="42"/>
      <c r="AG6516" s="19">
        <v>6515</v>
      </c>
      <c r="AH6516" s="20">
        <v>440.49574253859527</v>
      </c>
    </row>
    <row r="6517" spans="1:34" ht="14.5" x14ac:dyDescent="0.35">
      <c r="A6517" s="34"/>
      <c r="B6517" s="35"/>
      <c r="C6517" s="36"/>
      <c r="D6517" s="37"/>
      <c r="E6517" s="36"/>
      <c r="F6517" s="42"/>
      <c r="G6517" s="42"/>
      <c r="H6517" s="42"/>
      <c r="AG6517" s="19">
        <v>6516</v>
      </c>
      <c r="AH6517" s="20">
        <v>-845.13081622954132</v>
      </c>
    </row>
    <row r="6518" spans="1:34" ht="14.5" x14ac:dyDescent="0.35">
      <c r="A6518" s="34"/>
      <c r="B6518" s="35"/>
      <c r="C6518" s="36"/>
      <c r="D6518" s="37"/>
      <c r="E6518" s="36"/>
      <c r="F6518" s="42"/>
      <c r="G6518" s="42"/>
      <c r="H6518" s="42"/>
      <c r="AG6518" s="19">
        <v>6517</v>
      </c>
      <c r="AH6518" s="20">
        <v>4907.094279722618</v>
      </c>
    </row>
    <row r="6519" spans="1:34" ht="14.5" x14ac:dyDescent="0.35">
      <c r="A6519" s="34"/>
      <c r="B6519" s="35"/>
      <c r="C6519" s="36"/>
      <c r="D6519" s="37"/>
      <c r="E6519" s="36"/>
      <c r="F6519" s="42"/>
      <c r="G6519" s="42"/>
      <c r="H6519" s="42"/>
      <c r="AG6519" s="19">
        <v>6518</v>
      </c>
      <c r="AH6519" s="20">
        <v>880.23469783269911</v>
      </c>
    </row>
    <row r="6520" spans="1:34" ht="14.5" x14ac:dyDescent="0.35">
      <c r="A6520" s="34"/>
      <c r="B6520" s="35"/>
      <c r="C6520" s="36"/>
      <c r="D6520" s="37"/>
      <c r="E6520" s="36"/>
      <c r="F6520" s="42"/>
      <c r="G6520" s="42"/>
      <c r="H6520" s="42"/>
      <c r="AG6520" s="19">
        <v>6519</v>
      </c>
      <c r="AH6520" s="20">
        <v>3318.1152412196125</v>
      </c>
    </row>
    <row r="6521" spans="1:34" ht="14.5" x14ac:dyDescent="0.35">
      <c r="A6521" s="34"/>
      <c r="B6521" s="35"/>
      <c r="C6521" s="36"/>
      <c r="D6521" s="37"/>
      <c r="E6521" s="36"/>
      <c r="F6521" s="42"/>
      <c r="G6521" s="42"/>
      <c r="H6521" s="42"/>
      <c r="AG6521" s="19">
        <v>6520</v>
      </c>
      <c r="AH6521" s="20">
        <v>-904.21987508967186</v>
      </c>
    </row>
    <row r="6522" spans="1:34" ht="14.5" x14ac:dyDescent="0.35">
      <c r="A6522" s="34"/>
      <c r="B6522" s="35"/>
      <c r="C6522" s="36"/>
      <c r="D6522" s="37"/>
      <c r="E6522" s="36"/>
      <c r="F6522" s="42"/>
      <c r="G6522" s="42"/>
      <c r="H6522" s="42"/>
      <c r="AG6522" s="19">
        <v>6521</v>
      </c>
      <c r="AH6522" s="20">
        <v>2418.6141007483475</v>
      </c>
    </row>
    <row r="6523" spans="1:34" ht="14.5" x14ac:dyDescent="0.35">
      <c r="A6523" s="34"/>
      <c r="B6523" s="35"/>
      <c r="C6523" s="36"/>
      <c r="D6523" s="37"/>
      <c r="E6523" s="36"/>
      <c r="F6523" s="42"/>
      <c r="G6523" s="42"/>
      <c r="H6523" s="42"/>
      <c r="AG6523" s="19">
        <v>6522</v>
      </c>
      <c r="AH6523" s="20">
        <v>-550.46758556546911</v>
      </c>
    </row>
    <row r="6524" spans="1:34" ht="14.5" x14ac:dyDescent="0.35">
      <c r="A6524" s="34"/>
      <c r="B6524" s="35"/>
      <c r="C6524" s="36"/>
      <c r="D6524" s="37"/>
      <c r="E6524" s="36"/>
      <c r="F6524" s="42"/>
      <c r="G6524" s="42"/>
      <c r="H6524" s="42"/>
      <c r="AG6524" s="19">
        <v>6523</v>
      </c>
      <c r="AH6524" s="20">
        <v>1996.6775966447697</v>
      </c>
    </row>
    <row r="6525" spans="1:34" ht="14.5" x14ac:dyDescent="0.35">
      <c r="A6525" s="34"/>
      <c r="B6525" s="35"/>
      <c r="C6525" s="36"/>
      <c r="D6525" s="37"/>
      <c r="E6525" s="36"/>
      <c r="F6525" s="42"/>
      <c r="G6525" s="42"/>
      <c r="H6525" s="42"/>
      <c r="AG6525" s="19">
        <v>6524</v>
      </c>
      <c r="AH6525" s="20">
        <v>424.2530457136989</v>
      </c>
    </row>
    <row r="6526" spans="1:34" ht="14.5" x14ac:dyDescent="0.35">
      <c r="A6526" s="34"/>
      <c r="B6526" s="35"/>
      <c r="C6526" s="36"/>
      <c r="D6526" s="37"/>
      <c r="E6526" s="36"/>
      <c r="F6526" s="42"/>
      <c r="G6526" s="42"/>
      <c r="H6526" s="42"/>
      <c r="AG6526" s="19">
        <v>6525</v>
      </c>
      <c r="AH6526" s="20">
        <v>2313.5323531458621</v>
      </c>
    </row>
    <row r="6527" spans="1:34" ht="14.5" x14ac:dyDescent="0.35">
      <c r="A6527" s="34"/>
      <c r="B6527" s="35"/>
      <c r="C6527" s="36"/>
      <c r="D6527" s="37"/>
      <c r="E6527" s="36"/>
      <c r="F6527" s="42"/>
      <c r="G6527" s="42"/>
      <c r="H6527" s="42"/>
      <c r="AG6527" s="19">
        <v>6526</v>
      </c>
      <c r="AH6527" s="20">
        <v>2941.1913720542534</v>
      </c>
    </row>
    <row r="6528" spans="1:34" ht="14.5" x14ac:dyDescent="0.35">
      <c r="A6528" s="34"/>
      <c r="B6528" s="35"/>
      <c r="C6528" s="36"/>
      <c r="D6528" s="37"/>
      <c r="E6528" s="36"/>
      <c r="F6528" s="42"/>
      <c r="G6528" s="42"/>
      <c r="H6528" s="42"/>
      <c r="AG6528" s="19">
        <v>6527</v>
      </c>
      <c r="AH6528" s="20">
        <v>2541.2264445328915</v>
      </c>
    </row>
    <row r="6529" spans="1:34" ht="14.5" x14ac:dyDescent="0.35">
      <c r="A6529" s="34"/>
      <c r="B6529" s="35"/>
      <c r="C6529" s="36"/>
      <c r="D6529" s="37"/>
      <c r="E6529" s="36"/>
      <c r="F6529" s="42"/>
      <c r="G6529" s="42"/>
      <c r="H6529" s="42"/>
      <c r="AG6529" s="19">
        <v>6528</v>
      </c>
      <c r="AH6529" s="20">
        <v>-1884.6513777074267</v>
      </c>
    </row>
    <row r="6530" spans="1:34" ht="14.5" x14ac:dyDescent="0.35">
      <c r="A6530" s="34"/>
      <c r="B6530" s="35"/>
      <c r="C6530" s="36"/>
      <c r="D6530" s="37"/>
      <c r="E6530" s="36"/>
      <c r="F6530" s="42"/>
      <c r="G6530" s="42"/>
      <c r="H6530" s="42"/>
      <c r="AG6530" s="19">
        <v>6529</v>
      </c>
      <c r="AH6530" s="20">
        <v>768.97438957878853</v>
      </c>
    </row>
    <row r="6531" spans="1:34" ht="14.5" x14ac:dyDescent="0.35">
      <c r="A6531" s="34"/>
      <c r="B6531" s="35"/>
      <c r="C6531" s="36"/>
      <c r="D6531" s="37"/>
      <c r="E6531" s="36"/>
      <c r="F6531" s="42"/>
      <c r="G6531" s="42"/>
      <c r="H6531" s="42"/>
      <c r="AG6531" s="19">
        <v>6530</v>
      </c>
      <c r="AH6531" s="20">
        <v>-27.137844530043083</v>
      </c>
    </row>
    <row r="6532" spans="1:34" ht="14.5" x14ac:dyDescent="0.35">
      <c r="A6532" s="34"/>
      <c r="B6532" s="35"/>
      <c r="C6532" s="36"/>
      <c r="D6532" s="37"/>
      <c r="E6532" s="36"/>
      <c r="F6532" s="42"/>
      <c r="G6532" s="42"/>
      <c r="H6532" s="42"/>
      <c r="AG6532" s="19">
        <v>6531</v>
      </c>
      <c r="AH6532" s="20">
        <v>2187.4868217159019</v>
      </c>
    </row>
    <row r="6533" spans="1:34" ht="14.5" x14ac:dyDescent="0.35">
      <c r="A6533" s="34"/>
      <c r="B6533" s="35"/>
      <c r="C6533" s="36"/>
      <c r="D6533" s="37"/>
      <c r="E6533" s="36"/>
      <c r="F6533" s="42"/>
      <c r="G6533" s="42"/>
      <c r="H6533" s="42"/>
      <c r="AG6533" s="19">
        <v>6532</v>
      </c>
      <c r="AH6533" s="20">
        <v>701.01948921317285</v>
      </c>
    </row>
    <row r="6534" spans="1:34" ht="14.5" x14ac:dyDescent="0.35">
      <c r="A6534" s="34"/>
      <c r="B6534" s="35"/>
      <c r="C6534" s="36"/>
      <c r="D6534" s="37"/>
      <c r="E6534" s="36"/>
      <c r="F6534" s="42"/>
      <c r="G6534" s="42"/>
      <c r="H6534" s="42"/>
      <c r="AG6534" s="19">
        <v>6533</v>
      </c>
      <c r="AH6534" s="20">
        <v>1570.0848189270455</v>
      </c>
    </row>
    <row r="6535" spans="1:34" ht="14.5" x14ac:dyDescent="0.35">
      <c r="A6535" s="34"/>
      <c r="B6535" s="35"/>
      <c r="C6535" s="36"/>
      <c r="D6535" s="37"/>
      <c r="E6535" s="36"/>
      <c r="F6535" s="42"/>
      <c r="G6535" s="42"/>
      <c r="H6535" s="42"/>
      <c r="AG6535" s="19">
        <v>6534</v>
      </c>
      <c r="AH6535" s="20">
        <v>3275.7149878149821</v>
      </c>
    </row>
    <row r="6536" spans="1:34" ht="14.5" x14ac:dyDescent="0.35">
      <c r="A6536" s="34"/>
      <c r="B6536" s="35"/>
      <c r="C6536" s="36"/>
      <c r="D6536" s="37"/>
      <c r="E6536" s="36"/>
      <c r="F6536" s="42"/>
      <c r="G6536" s="42"/>
      <c r="H6536" s="42"/>
      <c r="AG6536" s="19">
        <v>6535</v>
      </c>
      <c r="AH6536" s="20">
        <v>3372.8698725772215</v>
      </c>
    </row>
    <row r="6537" spans="1:34" ht="14.5" x14ac:dyDescent="0.35">
      <c r="A6537" s="34"/>
      <c r="B6537" s="35"/>
      <c r="C6537" s="36"/>
      <c r="D6537" s="37"/>
      <c r="E6537" s="36"/>
      <c r="F6537" s="42"/>
      <c r="G6537" s="42"/>
      <c r="H6537" s="42"/>
      <c r="AG6537" s="19">
        <v>6536</v>
      </c>
      <c r="AH6537" s="20">
        <v>1053.5209186950901</v>
      </c>
    </row>
    <row r="6538" spans="1:34" ht="14.5" x14ac:dyDescent="0.35">
      <c r="A6538" s="34"/>
      <c r="B6538" s="35"/>
      <c r="C6538" s="36"/>
      <c r="D6538" s="37"/>
      <c r="E6538" s="36"/>
      <c r="F6538" s="42"/>
      <c r="G6538" s="42"/>
      <c r="H6538" s="42"/>
      <c r="AG6538" s="19">
        <v>6537</v>
      </c>
      <c r="AH6538" s="20">
        <v>3618.5549883571657</v>
      </c>
    </row>
    <row r="6539" spans="1:34" ht="14.5" x14ac:dyDescent="0.35">
      <c r="A6539" s="34"/>
      <c r="B6539" s="35"/>
      <c r="C6539" s="36"/>
      <c r="D6539" s="37"/>
      <c r="E6539" s="36"/>
      <c r="F6539" s="42"/>
      <c r="G6539" s="42"/>
      <c r="H6539" s="42"/>
      <c r="AG6539" s="19">
        <v>6538</v>
      </c>
      <c r="AH6539" s="20">
        <v>-2127.2278834788613</v>
      </c>
    </row>
    <row r="6540" spans="1:34" ht="14.5" x14ac:dyDescent="0.35">
      <c r="A6540" s="34"/>
      <c r="B6540" s="35"/>
      <c r="C6540" s="36"/>
      <c r="D6540" s="37"/>
      <c r="E6540" s="36"/>
      <c r="F6540" s="42"/>
      <c r="G6540" s="42"/>
      <c r="H6540" s="42"/>
      <c r="AG6540" s="19">
        <v>6539</v>
      </c>
      <c r="AH6540" s="20">
        <v>-3170.0133496360354</v>
      </c>
    </row>
    <row r="6541" spans="1:34" ht="14.5" x14ac:dyDescent="0.35">
      <c r="A6541" s="34"/>
      <c r="B6541" s="35"/>
      <c r="C6541" s="36"/>
      <c r="D6541" s="37"/>
      <c r="E6541" s="36"/>
      <c r="F6541" s="42"/>
      <c r="G6541" s="42"/>
      <c r="H6541" s="42"/>
      <c r="AG6541" s="19">
        <v>6540</v>
      </c>
      <c r="AH6541" s="20">
        <v>-2417.9701524225356</v>
      </c>
    </row>
    <row r="6542" spans="1:34" ht="14.5" x14ac:dyDescent="0.35">
      <c r="A6542" s="34"/>
      <c r="B6542" s="35"/>
      <c r="C6542" s="36"/>
      <c r="D6542" s="37"/>
      <c r="E6542" s="36"/>
      <c r="F6542" s="42"/>
      <c r="G6542" s="42"/>
      <c r="H6542" s="42"/>
      <c r="AG6542" s="19">
        <v>6541</v>
      </c>
      <c r="AH6542" s="20">
        <v>-462.52774061794599</v>
      </c>
    </row>
    <row r="6543" spans="1:34" ht="14.5" x14ac:dyDescent="0.35">
      <c r="A6543" s="34"/>
      <c r="B6543" s="35"/>
      <c r="C6543" s="36"/>
      <c r="D6543" s="37"/>
      <c r="E6543" s="36"/>
      <c r="F6543" s="42"/>
      <c r="G6543" s="42"/>
      <c r="H6543" s="42"/>
      <c r="AG6543" s="19">
        <v>6542</v>
      </c>
      <c r="AH6543" s="20">
        <v>1121.479919311188</v>
      </c>
    </row>
    <row r="6544" spans="1:34" ht="14.5" x14ac:dyDescent="0.35">
      <c r="A6544" s="34"/>
      <c r="B6544" s="35"/>
      <c r="C6544" s="36"/>
      <c r="D6544" s="37"/>
      <c r="E6544" s="36"/>
      <c r="F6544" s="42"/>
      <c r="G6544" s="42"/>
      <c r="H6544" s="42"/>
      <c r="AG6544" s="19">
        <v>6543</v>
      </c>
      <c r="AH6544" s="20">
        <v>198.21404528681501</v>
      </c>
    </row>
    <row r="6545" spans="1:34" ht="14.5" x14ac:dyDescent="0.35">
      <c r="A6545" s="34"/>
      <c r="B6545" s="35"/>
      <c r="C6545" s="36"/>
      <c r="D6545" s="37"/>
      <c r="E6545" s="36"/>
      <c r="F6545" s="42"/>
      <c r="G6545" s="42"/>
      <c r="H6545" s="42"/>
      <c r="AG6545" s="19">
        <v>6544</v>
      </c>
      <c r="AH6545" s="20">
        <v>1017.3124627342161</v>
      </c>
    </row>
    <row r="6546" spans="1:34" ht="14.5" x14ac:dyDescent="0.35">
      <c r="A6546" s="34"/>
      <c r="B6546" s="35"/>
      <c r="C6546" s="36"/>
      <c r="D6546" s="37"/>
      <c r="E6546" s="36"/>
      <c r="F6546" s="42"/>
      <c r="G6546" s="42"/>
      <c r="H6546" s="42"/>
      <c r="AG6546" s="19">
        <v>6545</v>
      </c>
      <c r="AH6546" s="20">
        <v>-723.08576539292426</v>
      </c>
    </row>
    <row r="6547" spans="1:34" ht="14.5" x14ac:dyDescent="0.35">
      <c r="A6547" s="34"/>
      <c r="B6547" s="35"/>
      <c r="C6547" s="36"/>
      <c r="D6547" s="37"/>
      <c r="E6547" s="36"/>
      <c r="F6547" s="42"/>
      <c r="G6547" s="42"/>
      <c r="H6547" s="42"/>
      <c r="AG6547" s="19">
        <v>6546</v>
      </c>
      <c r="AH6547" s="20">
        <v>1366.7048658081344</v>
      </c>
    </row>
    <row r="6548" spans="1:34" ht="14.5" x14ac:dyDescent="0.35">
      <c r="A6548" s="34"/>
      <c r="B6548" s="35"/>
      <c r="C6548" s="36"/>
      <c r="D6548" s="37"/>
      <c r="E6548" s="36"/>
      <c r="F6548" s="42"/>
      <c r="G6548" s="42"/>
      <c r="H6548" s="42"/>
      <c r="AG6548" s="19">
        <v>6547</v>
      </c>
      <c r="AH6548" s="20">
        <v>712.41389713242916</v>
      </c>
    </row>
    <row r="6549" spans="1:34" ht="14.5" x14ac:dyDescent="0.35">
      <c r="A6549" s="34"/>
      <c r="B6549" s="35"/>
      <c r="C6549" s="36"/>
      <c r="D6549" s="37"/>
      <c r="E6549" s="36"/>
      <c r="F6549" s="42"/>
      <c r="G6549" s="42"/>
      <c r="H6549" s="42"/>
      <c r="AG6549" s="19">
        <v>6548</v>
      </c>
      <c r="AH6549" s="20">
        <v>1764.4923646857271</v>
      </c>
    </row>
    <row r="6550" spans="1:34" ht="14.5" x14ac:dyDescent="0.35">
      <c r="A6550" s="34"/>
      <c r="B6550" s="35"/>
      <c r="C6550" s="36"/>
      <c r="D6550" s="37"/>
      <c r="E6550" s="36"/>
      <c r="F6550" s="42"/>
      <c r="G6550" s="42"/>
      <c r="H6550" s="42"/>
      <c r="AG6550" s="19">
        <v>6549</v>
      </c>
      <c r="AH6550" s="20">
        <v>769.3798900274619</v>
      </c>
    </row>
    <row r="6551" spans="1:34" ht="14.5" x14ac:dyDescent="0.35">
      <c r="A6551" s="34"/>
      <c r="B6551" s="35"/>
      <c r="C6551" s="36"/>
      <c r="D6551" s="37"/>
      <c r="E6551" s="36"/>
      <c r="F6551" s="42"/>
      <c r="G6551" s="42"/>
      <c r="H6551" s="42"/>
      <c r="AG6551" s="19">
        <v>6550</v>
      </c>
      <c r="AH6551" s="20">
        <v>145.72562982072026</v>
      </c>
    </row>
    <row r="6552" spans="1:34" ht="14.5" x14ac:dyDescent="0.35">
      <c r="A6552" s="34"/>
      <c r="B6552" s="35"/>
      <c r="C6552" s="36"/>
      <c r="D6552" s="37"/>
      <c r="E6552" s="36"/>
      <c r="F6552" s="42"/>
      <c r="G6552" s="42"/>
      <c r="H6552" s="42"/>
      <c r="AG6552" s="19">
        <v>6551</v>
      </c>
      <c r="AH6552" s="20">
        <v>834.91420721379336</v>
      </c>
    </row>
    <row r="6553" spans="1:34" ht="14.5" x14ac:dyDescent="0.35">
      <c r="A6553" s="34"/>
      <c r="B6553" s="35"/>
      <c r="C6553" s="36"/>
      <c r="D6553" s="37"/>
      <c r="E6553" s="36"/>
      <c r="F6553" s="42"/>
      <c r="G6553" s="42"/>
      <c r="H6553" s="42"/>
      <c r="AG6553" s="19">
        <v>6552</v>
      </c>
      <c r="AH6553" s="20">
        <v>-429.23910747802364</v>
      </c>
    </row>
    <row r="6554" spans="1:34" ht="14.5" x14ac:dyDescent="0.35">
      <c r="A6554" s="34"/>
      <c r="B6554" s="35"/>
      <c r="C6554" s="36"/>
      <c r="D6554" s="37"/>
      <c r="E6554" s="36"/>
      <c r="F6554" s="42"/>
      <c r="G6554" s="42"/>
      <c r="H6554" s="42"/>
      <c r="AG6554" s="19">
        <v>6553</v>
      </c>
      <c r="AH6554" s="20">
        <v>-1041.2502886089733</v>
      </c>
    </row>
    <row r="6555" spans="1:34" ht="14.5" x14ac:dyDescent="0.35">
      <c r="A6555" s="34"/>
      <c r="B6555" s="35"/>
      <c r="C6555" s="36"/>
      <c r="D6555" s="37"/>
      <c r="E6555" s="36"/>
      <c r="F6555" s="42"/>
      <c r="G6555" s="42"/>
      <c r="H6555" s="42"/>
      <c r="AG6555" s="19">
        <v>6554</v>
      </c>
      <c r="AH6555" s="20">
        <v>-1710.8293904130408</v>
      </c>
    </row>
    <row r="6556" spans="1:34" ht="14.5" x14ac:dyDescent="0.35">
      <c r="A6556" s="34"/>
      <c r="B6556" s="35"/>
      <c r="C6556" s="36"/>
      <c r="D6556" s="37"/>
      <c r="E6556" s="36"/>
      <c r="F6556" s="42"/>
      <c r="G6556" s="42"/>
      <c r="H6556" s="42"/>
      <c r="AG6556" s="19">
        <v>6555</v>
      </c>
      <c r="AH6556" s="20">
        <v>1139.7493901047819</v>
      </c>
    </row>
    <row r="6557" spans="1:34" ht="14.5" x14ac:dyDescent="0.35">
      <c r="A6557" s="34"/>
      <c r="B6557" s="35"/>
      <c r="C6557" s="36"/>
      <c r="D6557" s="37"/>
      <c r="E6557" s="36"/>
      <c r="F6557" s="42"/>
      <c r="G6557" s="42"/>
      <c r="H6557" s="42"/>
      <c r="AG6557" s="19">
        <v>6556</v>
      </c>
      <c r="AH6557" s="20">
        <v>-1823.5935999876608</v>
      </c>
    </row>
    <row r="6558" spans="1:34" ht="14.5" x14ac:dyDescent="0.35">
      <c r="A6558" s="34"/>
      <c r="B6558" s="35"/>
      <c r="C6558" s="36"/>
      <c r="D6558" s="37"/>
      <c r="E6558" s="36"/>
      <c r="F6558" s="42"/>
      <c r="G6558" s="42"/>
      <c r="H6558" s="42"/>
      <c r="AG6558" s="19">
        <v>6557</v>
      </c>
      <c r="AH6558" s="20">
        <v>3245.6467914190475</v>
      </c>
    </row>
    <row r="6559" spans="1:34" ht="14.5" x14ac:dyDescent="0.35">
      <c r="A6559" s="34"/>
      <c r="B6559" s="35"/>
      <c r="C6559" s="36"/>
      <c r="D6559" s="37"/>
      <c r="E6559" s="36"/>
      <c r="F6559" s="42"/>
      <c r="G6559" s="42"/>
      <c r="H6559" s="42"/>
      <c r="AG6559" s="19">
        <v>6558</v>
      </c>
      <c r="AH6559" s="20">
        <v>1985.6086841868273</v>
      </c>
    </row>
    <row r="6560" spans="1:34" ht="14.5" x14ac:dyDescent="0.35">
      <c r="A6560" s="34"/>
      <c r="B6560" s="35"/>
      <c r="C6560" s="36"/>
      <c r="D6560" s="37"/>
      <c r="E6560" s="36"/>
      <c r="F6560" s="42"/>
      <c r="G6560" s="42"/>
      <c r="H6560" s="42"/>
      <c r="AG6560" s="19">
        <v>6559</v>
      </c>
      <c r="AH6560" s="20">
        <v>1750.2078886144009</v>
      </c>
    </row>
    <row r="6561" spans="1:34" ht="14.5" x14ac:dyDescent="0.35">
      <c r="A6561" s="34"/>
      <c r="B6561" s="35"/>
      <c r="C6561" s="36"/>
      <c r="D6561" s="37"/>
      <c r="E6561" s="36"/>
      <c r="F6561" s="42"/>
      <c r="G6561" s="42"/>
      <c r="H6561" s="42"/>
      <c r="AG6561" s="19">
        <v>6560</v>
      </c>
      <c r="AH6561" s="20">
        <v>3510.3316977653794</v>
      </c>
    </row>
    <row r="6562" spans="1:34" ht="14.5" x14ac:dyDescent="0.35">
      <c r="A6562" s="34"/>
      <c r="B6562" s="35"/>
      <c r="C6562" s="36"/>
      <c r="D6562" s="37"/>
      <c r="E6562" s="36"/>
      <c r="F6562" s="42"/>
      <c r="G6562" s="42"/>
      <c r="H6562" s="42"/>
      <c r="AG6562" s="19">
        <v>6561</v>
      </c>
      <c r="AH6562" s="20">
        <v>5900.7423692601897</v>
      </c>
    </row>
    <row r="6563" spans="1:34" ht="14.5" x14ac:dyDescent="0.35">
      <c r="A6563" s="34"/>
      <c r="B6563" s="35"/>
      <c r="C6563" s="36"/>
      <c r="D6563" s="37"/>
      <c r="E6563" s="36"/>
      <c r="F6563" s="42"/>
      <c r="G6563" s="42"/>
      <c r="H6563" s="42"/>
      <c r="AG6563" s="19">
        <v>6562</v>
      </c>
      <c r="AH6563" s="20">
        <v>-176.82914086999625</v>
      </c>
    </row>
    <row r="6564" spans="1:34" ht="14.5" x14ac:dyDescent="0.35">
      <c r="A6564" s="34"/>
      <c r="B6564" s="35"/>
      <c r="C6564" s="36"/>
      <c r="D6564" s="37"/>
      <c r="E6564" s="36"/>
      <c r="F6564" s="42"/>
      <c r="G6564" s="42"/>
      <c r="H6564" s="42"/>
      <c r="AG6564" s="19">
        <v>6563</v>
      </c>
      <c r="AH6564" s="20">
        <v>170.89177171068087</v>
      </c>
    </row>
    <row r="6565" spans="1:34" ht="14.5" x14ac:dyDescent="0.35">
      <c r="A6565" s="34"/>
      <c r="B6565" s="35"/>
      <c r="C6565" s="36"/>
      <c r="D6565" s="37"/>
      <c r="E6565" s="36"/>
      <c r="F6565" s="42"/>
      <c r="G6565" s="42"/>
      <c r="H6565" s="42"/>
      <c r="AG6565" s="19">
        <v>6564</v>
      </c>
      <c r="AH6565" s="20">
        <v>-957.77613817541919</v>
      </c>
    </row>
    <row r="6566" spans="1:34" ht="14.5" x14ac:dyDescent="0.35">
      <c r="A6566" s="34"/>
      <c r="B6566" s="35"/>
      <c r="C6566" s="36"/>
      <c r="D6566" s="37"/>
      <c r="E6566" s="36"/>
      <c r="F6566" s="42"/>
      <c r="G6566" s="42"/>
      <c r="H6566" s="42"/>
      <c r="AG6566" s="19">
        <v>6565</v>
      </c>
      <c r="AH6566" s="20">
        <v>782.7049262958983</v>
      </c>
    </row>
    <row r="6567" spans="1:34" ht="14.5" x14ac:dyDescent="0.35">
      <c r="A6567" s="34"/>
      <c r="B6567" s="35"/>
      <c r="C6567" s="36"/>
      <c r="D6567" s="37"/>
      <c r="E6567" s="36"/>
      <c r="F6567" s="42"/>
      <c r="G6567" s="42"/>
      <c r="H6567" s="42"/>
      <c r="AG6567" s="19">
        <v>6566</v>
      </c>
      <c r="AH6567" s="20">
        <v>3455.456222540105</v>
      </c>
    </row>
    <row r="6568" spans="1:34" ht="14.5" x14ac:dyDescent="0.35">
      <c r="A6568" s="34"/>
      <c r="B6568" s="35"/>
      <c r="C6568" s="36"/>
      <c r="D6568" s="37"/>
      <c r="E6568" s="36"/>
      <c r="F6568" s="42"/>
      <c r="G6568" s="42"/>
      <c r="H6568" s="42"/>
      <c r="AG6568" s="19">
        <v>6567</v>
      </c>
      <c r="AH6568" s="20">
        <v>-4166.9694880614616</v>
      </c>
    </row>
    <row r="6569" spans="1:34" ht="14.5" x14ac:dyDescent="0.35">
      <c r="A6569" s="34"/>
      <c r="B6569" s="35"/>
      <c r="C6569" s="36"/>
      <c r="D6569" s="37"/>
      <c r="E6569" s="36"/>
      <c r="F6569" s="42"/>
      <c r="G6569" s="42"/>
      <c r="H6569" s="42"/>
      <c r="AG6569" s="19">
        <v>6568</v>
      </c>
      <c r="AH6569" s="20">
        <v>-1594.9857956125516</v>
      </c>
    </row>
    <row r="6570" spans="1:34" ht="14.5" x14ac:dyDescent="0.35">
      <c r="A6570" s="34"/>
      <c r="B6570" s="35"/>
      <c r="C6570" s="36"/>
      <c r="D6570" s="37"/>
      <c r="E6570" s="36"/>
      <c r="F6570" s="42"/>
      <c r="G6570" s="42"/>
      <c r="H6570" s="42"/>
      <c r="AG6570" s="19">
        <v>6569</v>
      </c>
      <c r="AH6570" s="20">
        <v>-2257.3821374672648</v>
      </c>
    </row>
    <row r="6571" spans="1:34" ht="14.5" x14ac:dyDescent="0.35">
      <c r="A6571" s="34"/>
      <c r="B6571" s="35"/>
      <c r="C6571" s="36"/>
      <c r="D6571" s="37"/>
      <c r="E6571" s="36"/>
      <c r="F6571" s="42"/>
      <c r="G6571" s="42"/>
      <c r="H6571" s="42"/>
      <c r="AG6571" s="19">
        <v>6570</v>
      </c>
      <c r="AH6571" s="20">
        <v>1485.2317222763525</v>
      </c>
    </row>
    <row r="6572" spans="1:34" ht="14.5" x14ac:dyDescent="0.35">
      <c r="A6572" s="34"/>
      <c r="B6572" s="35"/>
      <c r="C6572" s="36"/>
      <c r="D6572" s="37"/>
      <c r="E6572" s="36"/>
      <c r="F6572" s="42"/>
      <c r="G6572" s="42"/>
      <c r="H6572" s="42"/>
      <c r="AG6572" s="19">
        <v>6571</v>
      </c>
      <c r="AH6572" s="20">
        <v>-3045.5266341418069</v>
      </c>
    </row>
    <row r="6573" spans="1:34" ht="14.5" x14ac:dyDescent="0.35">
      <c r="A6573" s="34"/>
      <c r="B6573" s="35"/>
      <c r="C6573" s="36"/>
      <c r="D6573" s="37"/>
      <c r="E6573" s="36"/>
      <c r="F6573" s="42"/>
      <c r="G6573" s="42"/>
      <c r="H6573" s="42"/>
      <c r="AG6573" s="19">
        <v>6572</v>
      </c>
      <c r="AH6573" s="20">
        <v>2236.4231474144403</v>
      </c>
    </row>
    <row r="6574" spans="1:34" ht="14.5" x14ac:dyDescent="0.35">
      <c r="A6574" s="34"/>
      <c r="B6574" s="35"/>
      <c r="C6574" s="36"/>
      <c r="D6574" s="37"/>
      <c r="E6574" s="36"/>
      <c r="F6574" s="42"/>
      <c r="G6574" s="42"/>
      <c r="H6574" s="42"/>
      <c r="AG6574" s="19">
        <v>6573</v>
      </c>
      <c r="AH6574" s="20">
        <v>3258.1907216143313</v>
      </c>
    </row>
    <row r="6575" spans="1:34" ht="14.5" x14ac:dyDescent="0.35">
      <c r="A6575" s="34"/>
      <c r="B6575" s="35"/>
      <c r="C6575" s="36"/>
      <c r="D6575" s="37"/>
      <c r="E6575" s="36"/>
      <c r="F6575" s="42"/>
      <c r="G6575" s="42"/>
      <c r="H6575" s="42"/>
      <c r="AG6575" s="19">
        <v>6574</v>
      </c>
      <c r="AH6575" s="20">
        <v>2887.1976234519902</v>
      </c>
    </row>
    <row r="6576" spans="1:34" ht="14.5" x14ac:dyDescent="0.35">
      <c r="A6576" s="34"/>
      <c r="B6576" s="35"/>
      <c r="C6576" s="36"/>
      <c r="D6576" s="37"/>
      <c r="E6576" s="36"/>
      <c r="F6576" s="42"/>
      <c r="G6576" s="42"/>
      <c r="H6576" s="42"/>
      <c r="AG6576" s="19">
        <v>6575</v>
      </c>
      <c r="AH6576" s="20">
        <v>2717.3492973537723</v>
      </c>
    </row>
    <row r="6577" spans="1:34" ht="14.5" x14ac:dyDescent="0.35">
      <c r="A6577" s="34"/>
      <c r="B6577" s="35"/>
      <c r="C6577" s="36"/>
      <c r="D6577" s="37"/>
      <c r="E6577" s="36"/>
      <c r="F6577" s="42"/>
      <c r="G6577" s="42"/>
      <c r="H6577" s="42"/>
      <c r="AG6577" s="19">
        <v>6576</v>
      </c>
      <c r="AH6577" s="20">
        <v>-2111.0755127903881</v>
      </c>
    </row>
    <row r="6578" spans="1:34" ht="14.5" x14ac:dyDescent="0.35">
      <c r="A6578" s="34"/>
      <c r="B6578" s="35"/>
      <c r="C6578" s="36"/>
      <c r="D6578" s="37"/>
      <c r="E6578" s="36"/>
      <c r="F6578" s="42"/>
      <c r="G6578" s="42"/>
      <c r="H6578" s="42"/>
      <c r="AG6578" s="19">
        <v>6577</v>
      </c>
      <c r="AH6578" s="20">
        <v>153.56790274900624</v>
      </c>
    </row>
    <row r="6579" spans="1:34" ht="14.5" x14ac:dyDescent="0.35">
      <c r="A6579" s="34"/>
      <c r="B6579" s="35"/>
      <c r="C6579" s="36"/>
      <c r="D6579" s="37"/>
      <c r="E6579" s="36"/>
      <c r="F6579" s="42"/>
      <c r="G6579" s="42"/>
      <c r="H6579" s="42"/>
      <c r="AG6579" s="19">
        <v>6578</v>
      </c>
      <c r="AH6579" s="20">
        <v>-3340.643800861656</v>
      </c>
    </row>
    <row r="6580" spans="1:34" ht="14.5" x14ac:dyDescent="0.35">
      <c r="A6580" s="34"/>
      <c r="B6580" s="35"/>
      <c r="C6580" s="36"/>
      <c r="D6580" s="37"/>
      <c r="E6580" s="36"/>
      <c r="F6580" s="42"/>
      <c r="G6580" s="42"/>
      <c r="H6580" s="42"/>
      <c r="AG6580" s="19">
        <v>6579</v>
      </c>
      <c r="AH6580" s="20">
        <v>-1437.8798669260318</v>
      </c>
    </row>
    <row r="6581" spans="1:34" ht="14.5" x14ac:dyDescent="0.35">
      <c r="A6581" s="34"/>
      <c r="B6581" s="35"/>
      <c r="C6581" s="36"/>
      <c r="D6581" s="37"/>
      <c r="E6581" s="36"/>
      <c r="F6581" s="42"/>
      <c r="G6581" s="42"/>
      <c r="H6581" s="42"/>
      <c r="AG6581" s="19">
        <v>6580</v>
      </c>
      <c r="AH6581" s="20">
        <v>1731.0336828402619</v>
      </c>
    </row>
    <row r="6582" spans="1:34" ht="14.5" x14ac:dyDescent="0.35">
      <c r="A6582" s="34"/>
      <c r="B6582" s="35"/>
      <c r="C6582" s="36"/>
      <c r="D6582" s="37"/>
      <c r="E6582" s="36"/>
      <c r="F6582" s="42"/>
      <c r="G6582" s="42"/>
      <c r="H6582" s="42"/>
      <c r="AG6582" s="19">
        <v>6581</v>
      </c>
      <c r="AH6582" s="20">
        <v>-162.6060655600823</v>
      </c>
    </row>
    <row r="6583" spans="1:34" ht="14.5" x14ac:dyDescent="0.35">
      <c r="A6583" s="34"/>
      <c r="B6583" s="35"/>
      <c r="C6583" s="36"/>
      <c r="D6583" s="37"/>
      <c r="E6583" s="36"/>
      <c r="F6583" s="42"/>
      <c r="G6583" s="42"/>
      <c r="H6583" s="42"/>
      <c r="AG6583" s="19">
        <v>6582</v>
      </c>
      <c r="AH6583" s="20">
        <v>3312.5356756281094</v>
      </c>
    </row>
    <row r="6584" spans="1:34" ht="14.5" x14ac:dyDescent="0.35">
      <c r="A6584" s="34"/>
      <c r="B6584" s="35"/>
      <c r="C6584" s="36"/>
      <c r="D6584" s="37"/>
      <c r="E6584" s="36"/>
      <c r="F6584" s="42"/>
      <c r="G6584" s="42"/>
      <c r="H6584" s="42"/>
      <c r="AG6584" s="19">
        <v>6583</v>
      </c>
      <c r="AH6584" s="20">
        <v>2594.8345522869281</v>
      </c>
    </row>
    <row r="6585" spans="1:34" ht="14.5" x14ac:dyDescent="0.35">
      <c r="A6585" s="34"/>
      <c r="B6585" s="35"/>
      <c r="C6585" s="36"/>
      <c r="D6585" s="37"/>
      <c r="E6585" s="36"/>
      <c r="F6585" s="42"/>
      <c r="G6585" s="42"/>
      <c r="H6585" s="42"/>
      <c r="AG6585" s="19">
        <v>6584</v>
      </c>
      <c r="AH6585" s="20">
        <v>2901.5144207039339</v>
      </c>
    </row>
    <row r="6586" spans="1:34" ht="14.5" x14ac:dyDescent="0.35">
      <c r="A6586" s="34"/>
      <c r="B6586" s="35"/>
      <c r="C6586" s="36"/>
      <c r="D6586" s="37"/>
      <c r="E6586" s="36"/>
      <c r="F6586" s="42"/>
      <c r="G6586" s="42"/>
      <c r="H6586" s="42"/>
      <c r="AG6586" s="19">
        <v>6585</v>
      </c>
      <c r="AH6586" s="20">
        <v>-1172.6596865915908</v>
      </c>
    </row>
    <row r="6587" spans="1:34" ht="14.5" x14ac:dyDescent="0.35">
      <c r="A6587" s="34"/>
      <c r="B6587" s="35"/>
      <c r="C6587" s="36"/>
      <c r="D6587" s="37"/>
      <c r="E6587" s="36"/>
      <c r="F6587" s="42"/>
      <c r="G6587" s="42"/>
      <c r="H6587" s="42"/>
      <c r="AG6587" s="19">
        <v>6586</v>
      </c>
      <c r="AH6587" s="20">
        <v>-671.3288913515737</v>
      </c>
    </row>
    <row r="6588" spans="1:34" ht="14.5" x14ac:dyDescent="0.35">
      <c r="A6588" s="34"/>
      <c r="B6588" s="35"/>
      <c r="C6588" s="36"/>
      <c r="D6588" s="37"/>
      <c r="E6588" s="36"/>
      <c r="F6588" s="42"/>
      <c r="G6588" s="42"/>
      <c r="H6588" s="42"/>
      <c r="AG6588" s="19">
        <v>6587</v>
      </c>
      <c r="AH6588" s="20">
        <v>1732.6201341293449</v>
      </c>
    </row>
    <row r="6589" spans="1:34" ht="14.5" x14ac:dyDescent="0.35">
      <c r="A6589" s="34"/>
      <c r="B6589" s="35"/>
      <c r="C6589" s="36"/>
      <c r="D6589" s="37"/>
      <c r="E6589" s="36"/>
      <c r="F6589" s="42"/>
      <c r="G6589" s="42"/>
      <c r="H6589" s="42"/>
      <c r="AG6589" s="19">
        <v>6588</v>
      </c>
      <c r="AH6589" s="20">
        <v>4413.3822876187078</v>
      </c>
    </row>
    <row r="6590" spans="1:34" ht="14.5" x14ac:dyDescent="0.35">
      <c r="A6590" s="34"/>
      <c r="B6590" s="35"/>
      <c r="C6590" s="36"/>
      <c r="D6590" s="37"/>
      <c r="E6590" s="36"/>
      <c r="F6590" s="42"/>
      <c r="G6590" s="42"/>
      <c r="H6590" s="42"/>
      <c r="AG6590" s="19">
        <v>6589</v>
      </c>
      <c r="AH6590" s="20">
        <v>-33.73679069703951</v>
      </c>
    </row>
    <row r="6591" spans="1:34" ht="14.5" x14ac:dyDescent="0.35">
      <c r="A6591" s="34"/>
      <c r="B6591" s="35"/>
      <c r="C6591" s="36"/>
      <c r="D6591" s="37"/>
      <c r="E6591" s="36"/>
      <c r="F6591" s="42"/>
      <c r="G6591" s="42"/>
      <c r="H6591" s="42"/>
      <c r="AG6591" s="19">
        <v>6590</v>
      </c>
      <c r="AH6591" s="20">
        <v>-1319.5069449260097</v>
      </c>
    </row>
    <row r="6592" spans="1:34" ht="14.5" x14ac:dyDescent="0.35">
      <c r="A6592" s="34"/>
      <c r="B6592" s="35"/>
      <c r="C6592" s="36"/>
      <c r="D6592" s="37"/>
      <c r="E6592" s="36"/>
      <c r="F6592" s="42"/>
      <c r="G6592" s="42"/>
      <c r="H6592" s="42"/>
      <c r="AG6592" s="19">
        <v>6591</v>
      </c>
      <c r="AH6592" s="20">
        <v>1872.9835958470819</v>
      </c>
    </row>
    <row r="6593" spans="1:34" ht="14.5" x14ac:dyDescent="0.35">
      <c r="A6593" s="34"/>
      <c r="B6593" s="35"/>
      <c r="C6593" s="36"/>
      <c r="D6593" s="37"/>
      <c r="E6593" s="36"/>
      <c r="F6593" s="42"/>
      <c r="G6593" s="42"/>
      <c r="H6593" s="42"/>
      <c r="AG6593" s="19">
        <v>6592</v>
      </c>
      <c r="AH6593" s="20">
        <v>-96.447819113975811</v>
      </c>
    </row>
    <row r="6594" spans="1:34" ht="14.5" x14ac:dyDescent="0.35">
      <c r="A6594" s="34"/>
      <c r="B6594" s="35"/>
      <c r="C6594" s="36"/>
      <c r="D6594" s="37"/>
      <c r="E6594" s="36"/>
      <c r="F6594" s="42"/>
      <c r="G6594" s="42"/>
      <c r="H6594" s="42"/>
      <c r="AG6594" s="19">
        <v>6593</v>
      </c>
      <c r="AH6594" s="20">
        <v>-687.74913513853789</v>
      </c>
    </row>
    <row r="6595" spans="1:34" ht="14.5" x14ac:dyDescent="0.35">
      <c r="A6595" s="34"/>
      <c r="B6595" s="35"/>
      <c r="C6595" s="36"/>
      <c r="D6595" s="37"/>
      <c r="E6595" s="36"/>
      <c r="F6595" s="42"/>
      <c r="G6595" s="42"/>
      <c r="H6595" s="42"/>
      <c r="AG6595" s="19">
        <v>6594</v>
      </c>
      <c r="AH6595" s="20">
        <v>-1572.9113583561175</v>
      </c>
    </row>
    <row r="6596" spans="1:34" ht="14.5" x14ac:dyDescent="0.35">
      <c r="A6596" s="34"/>
      <c r="B6596" s="35"/>
      <c r="C6596" s="36"/>
      <c r="D6596" s="37"/>
      <c r="E6596" s="36"/>
      <c r="F6596" s="42"/>
      <c r="G6596" s="42"/>
      <c r="H6596" s="42"/>
      <c r="AG6596" s="19">
        <v>6595</v>
      </c>
      <c r="AH6596" s="20">
        <v>1373.0494762972289</v>
      </c>
    </row>
    <row r="6597" spans="1:34" ht="14.5" x14ac:dyDescent="0.35">
      <c r="A6597" s="34"/>
      <c r="B6597" s="35"/>
      <c r="C6597" s="36"/>
      <c r="D6597" s="37"/>
      <c r="E6597" s="36"/>
      <c r="F6597" s="42"/>
      <c r="G6597" s="42"/>
      <c r="H6597" s="42"/>
      <c r="AG6597" s="19">
        <v>6596</v>
      </c>
      <c r="AH6597" s="20">
        <v>1831.586932641407</v>
      </c>
    </row>
    <row r="6598" spans="1:34" ht="14.5" x14ac:dyDescent="0.35">
      <c r="A6598" s="34"/>
      <c r="B6598" s="35"/>
      <c r="C6598" s="36"/>
      <c r="D6598" s="37"/>
      <c r="E6598" s="36"/>
      <c r="F6598" s="42"/>
      <c r="G6598" s="42"/>
      <c r="H6598" s="42"/>
      <c r="AG6598" s="19">
        <v>6597</v>
      </c>
      <c r="AH6598" s="20">
        <v>-3239.2911912229501</v>
      </c>
    </row>
    <row r="6599" spans="1:34" ht="14.5" x14ac:dyDescent="0.35">
      <c r="A6599" s="34"/>
      <c r="B6599" s="35"/>
      <c r="C6599" s="36"/>
      <c r="D6599" s="37"/>
      <c r="E6599" s="36"/>
      <c r="F6599" s="42"/>
      <c r="G6599" s="42"/>
      <c r="H6599" s="42"/>
      <c r="AG6599" s="19">
        <v>6598</v>
      </c>
      <c r="AH6599" s="20">
        <v>2018.803581099254</v>
      </c>
    </row>
    <row r="6600" spans="1:34" ht="14.5" x14ac:dyDescent="0.35">
      <c r="A6600" s="34"/>
      <c r="B6600" s="35"/>
      <c r="C6600" s="36"/>
      <c r="D6600" s="37"/>
      <c r="E6600" s="36"/>
      <c r="F6600" s="42"/>
      <c r="G6600" s="42"/>
      <c r="H6600" s="42"/>
      <c r="AG6600" s="19">
        <v>6599</v>
      </c>
      <c r="AH6600" s="20">
        <v>2864.2772214702936</v>
      </c>
    </row>
    <row r="6601" spans="1:34" ht="14.5" x14ac:dyDescent="0.35">
      <c r="A6601" s="34"/>
      <c r="B6601" s="35"/>
      <c r="C6601" s="36"/>
      <c r="D6601" s="37"/>
      <c r="E6601" s="36"/>
      <c r="F6601" s="42"/>
      <c r="G6601" s="42"/>
      <c r="H6601" s="42"/>
      <c r="AG6601" s="19">
        <v>6600</v>
      </c>
      <c r="AH6601" s="20">
        <v>-1333.0148219565376</v>
      </c>
    </row>
    <row r="6602" spans="1:34" ht="14.5" x14ac:dyDescent="0.35">
      <c r="A6602" s="34"/>
      <c r="B6602" s="35"/>
      <c r="C6602" s="36"/>
      <c r="D6602" s="37"/>
      <c r="E6602" s="36"/>
      <c r="F6602" s="42"/>
      <c r="G6602" s="42"/>
      <c r="H6602" s="42"/>
      <c r="AG6602" s="19">
        <v>6601</v>
      </c>
      <c r="AH6602" s="20">
        <v>24.079117582904871</v>
      </c>
    </row>
    <row r="6603" spans="1:34" ht="14.5" x14ac:dyDescent="0.35">
      <c r="A6603" s="34"/>
      <c r="B6603" s="35"/>
      <c r="C6603" s="36"/>
      <c r="D6603" s="37"/>
      <c r="E6603" s="36"/>
      <c r="F6603" s="42"/>
      <c r="G6603" s="42"/>
      <c r="H6603" s="42"/>
      <c r="AG6603" s="19">
        <v>6602</v>
      </c>
      <c r="AH6603" s="20">
        <v>577.25984269501828</v>
      </c>
    </row>
    <row r="6604" spans="1:34" ht="14.5" x14ac:dyDescent="0.35">
      <c r="A6604" s="34"/>
      <c r="B6604" s="35"/>
      <c r="C6604" s="36"/>
      <c r="D6604" s="37"/>
      <c r="E6604" s="36"/>
      <c r="F6604" s="42"/>
      <c r="G6604" s="42"/>
      <c r="H6604" s="42"/>
      <c r="AG6604" s="19">
        <v>6603</v>
      </c>
      <c r="AH6604" s="20">
        <v>-636.42474665542773</v>
      </c>
    </row>
    <row r="6605" spans="1:34" ht="14.5" x14ac:dyDescent="0.35">
      <c r="A6605" s="34"/>
      <c r="B6605" s="35"/>
      <c r="C6605" s="36"/>
      <c r="D6605" s="37"/>
      <c r="E6605" s="36"/>
      <c r="F6605" s="42"/>
      <c r="G6605" s="42"/>
      <c r="H6605" s="42"/>
      <c r="AG6605" s="19">
        <v>6604</v>
      </c>
      <c r="AH6605" s="20">
        <v>595.4811176823199</v>
      </c>
    </row>
    <row r="6606" spans="1:34" ht="14.5" x14ac:dyDescent="0.35">
      <c r="A6606" s="34"/>
      <c r="B6606" s="35"/>
      <c r="C6606" s="36"/>
      <c r="D6606" s="37"/>
      <c r="E6606" s="36"/>
      <c r="F6606" s="42"/>
      <c r="G6606" s="42"/>
      <c r="H6606" s="42"/>
      <c r="AG6606" s="19">
        <v>6605</v>
      </c>
      <c r="AH6606" s="20">
        <v>-5871.9845366201162</v>
      </c>
    </row>
    <row r="6607" spans="1:34" ht="14.5" x14ac:dyDescent="0.35">
      <c r="A6607" s="34"/>
      <c r="B6607" s="35"/>
      <c r="C6607" s="36"/>
      <c r="D6607" s="37"/>
      <c r="E6607" s="36"/>
      <c r="F6607" s="42"/>
      <c r="G6607" s="42"/>
      <c r="H6607" s="42"/>
      <c r="AG6607" s="19">
        <v>6606</v>
      </c>
      <c r="AH6607" s="20">
        <v>1024.0558553714748</v>
      </c>
    </row>
    <row r="6608" spans="1:34" ht="14.5" x14ac:dyDescent="0.35">
      <c r="A6608" s="34"/>
      <c r="B6608" s="35"/>
      <c r="C6608" s="36"/>
      <c r="D6608" s="37"/>
      <c r="E6608" s="36"/>
      <c r="F6608" s="42"/>
      <c r="G6608" s="42"/>
      <c r="H6608" s="42"/>
      <c r="AG6608" s="19">
        <v>6607</v>
      </c>
      <c r="AH6608" s="20">
        <v>3590.7065331190811</v>
      </c>
    </row>
    <row r="6609" spans="1:34" ht="14.5" x14ac:dyDescent="0.35">
      <c r="A6609" s="34"/>
      <c r="B6609" s="35"/>
      <c r="C6609" s="36"/>
      <c r="D6609" s="37"/>
      <c r="E6609" s="36"/>
      <c r="F6609" s="42"/>
      <c r="G6609" s="42"/>
      <c r="H6609" s="42"/>
      <c r="AG6609" s="19">
        <v>6608</v>
      </c>
      <c r="AH6609" s="20">
        <v>-55.773571828074182</v>
      </c>
    </row>
    <row r="6610" spans="1:34" ht="14.5" x14ac:dyDescent="0.35">
      <c r="A6610" s="34"/>
      <c r="B6610" s="35"/>
      <c r="C6610" s="36"/>
      <c r="D6610" s="37"/>
      <c r="E6610" s="36"/>
      <c r="F6610" s="42"/>
      <c r="G6610" s="42"/>
      <c r="H6610" s="42"/>
      <c r="AG6610" s="19">
        <v>6609</v>
      </c>
      <c r="AH6610" s="20">
        <v>396.92475468244669</v>
      </c>
    </row>
    <row r="6611" spans="1:34" ht="14.5" x14ac:dyDescent="0.35">
      <c r="A6611" s="34"/>
      <c r="B6611" s="35"/>
      <c r="C6611" s="36"/>
      <c r="D6611" s="37"/>
      <c r="E6611" s="36"/>
      <c r="F6611" s="42"/>
      <c r="G6611" s="42"/>
      <c r="H6611" s="42"/>
      <c r="AG6611" s="19">
        <v>6610</v>
      </c>
      <c r="AH6611" s="20">
        <v>-3080.7807258471921</v>
      </c>
    </row>
    <row r="6612" spans="1:34" ht="14.5" x14ac:dyDescent="0.35">
      <c r="A6612" s="34"/>
      <c r="B6612" s="35"/>
      <c r="C6612" s="36"/>
      <c r="D6612" s="37"/>
      <c r="E6612" s="36"/>
      <c r="F6612" s="42"/>
      <c r="G6612" s="42"/>
      <c r="H6612" s="42"/>
      <c r="AG6612" s="19">
        <v>6611</v>
      </c>
      <c r="AH6612" s="20">
        <v>2995.3616317905771</v>
      </c>
    </row>
    <row r="6613" spans="1:34" ht="14.5" x14ac:dyDescent="0.35">
      <c r="A6613" s="34"/>
      <c r="B6613" s="35"/>
      <c r="C6613" s="36"/>
      <c r="D6613" s="37"/>
      <c r="E6613" s="36"/>
      <c r="F6613" s="42"/>
      <c r="G6613" s="42"/>
      <c r="H6613" s="42"/>
      <c r="AG6613" s="19">
        <v>6612</v>
      </c>
      <c r="AH6613" s="20">
        <v>-562.12333829754448</v>
      </c>
    </row>
    <row r="6614" spans="1:34" ht="14.5" x14ac:dyDescent="0.35">
      <c r="A6614" s="34"/>
      <c r="B6614" s="35"/>
      <c r="C6614" s="36"/>
      <c r="D6614" s="37"/>
      <c r="E6614" s="36"/>
      <c r="F6614" s="42"/>
      <c r="G6614" s="42"/>
      <c r="H6614" s="42"/>
      <c r="AG6614" s="19">
        <v>6613</v>
      </c>
      <c r="AH6614" s="20">
        <v>-2196.9122069032983</v>
      </c>
    </row>
    <row r="6615" spans="1:34" ht="14.5" x14ac:dyDescent="0.35">
      <c r="A6615" s="34"/>
      <c r="B6615" s="35"/>
      <c r="C6615" s="36"/>
      <c r="D6615" s="37"/>
      <c r="E6615" s="36"/>
      <c r="F6615" s="42"/>
      <c r="G6615" s="42"/>
      <c r="H6615" s="42"/>
      <c r="AG6615" s="19">
        <v>6614</v>
      </c>
      <c r="AH6615" s="20">
        <v>958.4206472956073</v>
      </c>
    </row>
    <row r="6616" spans="1:34" ht="14.5" x14ac:dyDescent="0.35">
      <c r="A6616" s="34"/>
      <c r="B6616" s="35"/>
      <c r="C6616" s="36"/>
      <c r="D6616" s="37"/>
      <c r="E6616" s="36"/>
      <c r="F6616" s="42"/>
      <c r="G6616" s="42"/>
      <c r="H6616" s="42"/>
      <c r="AG6616" s="19">
        <v>6615</v>
      </c>
      <c r="AH6616" s="20">
        <v>2113.8558473399926</v>
      </c>
    </row>
    <row r="6617" spans="1:34" ht="14.5" x14ac:dyDescent="0.35">
      <c r="A6617" s="34"/>
      <c r="B6617" s="35"/>
      <c r="C6617" s="36"/>
      <c r="D6617" s="37"/>
      <c r="E6617" s="36"/>
      <c r="F6617" s="42"/>
      <c r="G6617" s="42"/>
      <c r="H6617" s="42"/>
      <c r="AG6617" s="19">
        <v>6616</v>
      </c>
      <c r="AH6617" s="20">
        <v>1931.1757896867655</v>
      </c>
    </row>
    <row r="6618" spans="1:34" ht="14.5" x14ac:dyDescent="0.35">
      <c r="A6618" s="34"/>
      <c r="B6618" s="35"/>
      <c r="C6618" s="36"/>
      <c r="D6618" s="37"/>
      <c r="E6618" s="36"/>
      <c r="F6618" s="42"/>
      <c r="G6618" s="42"/>
      <c r="H6618" s="42"/>
      <c r="AG6618" s="19">
        <v>6617</v>
      </c>
      <c r="AH6618" s="20">
        <v>-1055.7884488002344</v>
      </c>
    </row>
    <row r="6619" spans="1:34" ht="14.5" x14ac:dyDescent="0.35">
      <c r="A6619" s="34"/>
      <c r="B6619" s="35"/>
      <c r="C6619" s="36"/>
      <c r="D6619" s="37"/>
      <c r="E6619" s="36"/>
      <c r="F6619" s="42"/>
      <c r="G6619" s="42"/>
      <c r="H6619" s="42"/>
      <c r="AG6619" s="19">
        <v>6618</v>
      </c>
      <c r="AH6619" s="20">
        <v>973.54952008253667</v>
      </c>
    </row>
    <row r="6620" spans="1:34" ht="14.5" x14ac:dyDescent="0.35">
      <c r="A6620" s="34"/>
      <c r="B6620" s="35"/>
      <c r="C6620" s="36"/>
      <c r="D6620" s="37"/>
      <c r="E6620" s="36"/>
      <c r="F6620" s="42"/>
      <c r="G6620" s="42"/>
      <c r="H6620" s="42"/>
      <c r="AG6620" s="19">
        <v>6619</v>
      </c>
      <c r="AH6620" s="20">
        <v>-2497.3997455161566</v>
      </c>
    </row>
    <row r="6621" spans="1:34" ht="14.5" x14ac:dyDescent="0.35">
      <c r="A6621" s="34"/>
      <c r="B6621" s="35"/>
      <c r="C6621" s="36"/>
      <c r="D6621" s="37"/>
      <c r="E6621" s="36"/>
      <c r="F6621" s="42"/>
      <c r="G6621" s="42"/>
      <c r="H6621" s="42"/>
      <c r="AG6621" s="19">
        <v>6620</v>
      </c>
      <c r="AH6621" s="20">
        <v>1976.7406525197646</v>
      </c>
    </row>
    <row r="6622" spans="1:34" ht="14.5" x14ac:dyDescent="0.35">
      <c r="A6622" s="34"/>
      <c r="B6622" s="35"/>
      <c r="C6622" s="36"/>
      <c r="D6622" s="37"/>
      <c r="E6622" s="36"/>
      <c r="F6622" s="42"/>
      <c r="G6622" s="42"/>
      <c r="H6622" s="42"/>
      <c r="AG6622" s="19">
        <v>6621</v>
      </c>
      <c r="AH6622" s="20">
        <v>-1052.6797536093929</v>
      </c>
    </row>
    <row r="6623" spans="1:34" ht="14.5" x14ac:dyDescent="0.35">
      <c r="A6623" s="34"/>
      <c r="B6623" s="35"/>
      <c r="C6623" s="36"/>
      <c r="D6623" s="37"/>
      <c r="E6623" s="36"/>
      <c r="F6623" s="42"/>
      <c r="G6623" s="42"/>
      <c r="H6623" s="42"/>
      <c r="AG6623" s="19">
        <v>6622</v>
      </c>
      <c r="AH6623" s="20">
        <v>2155.6728880189644</v>
      </c>
    </row>
    <row r="6624" spans="1:34" ht="14.5" x14ac:dyDescent="0.35">
      <c r="A6624" s="34"/>
      <c r="B6624" s="35"/>
      <c r="C6624" s="36"/>
      <c r="D6624" s="37"/>
      <c r="E6624" s="36"/>
      <c r="F6624" s="42"/>
      <c r="G6624" s="42"/>
      <c r="H6624" s="42"/>
      <c r="AG6624" s="19">
        <v>6623</v>
      </c>
      <c r="AH6624" s="20">
        <v>385.79053463305979</v>
      </c>
    </row>
    <row r="6625" spans="1:34" ht="14.5" x14ac:dyDescent="0.35">
      <c r="A6625" s="34"/>
      <c r="B6625" s="35"/>
      <c r="C6625" s="36"/>
      <c r="D6625" s="37"/>
      <c r="E6625" s="36"/>
      <c r="F6625" s="42"/>
      <c r="G6625" s="42"/>
      <c r="H6625" s="42"/>
      <c r="AG6625" s="19">
        <v>6624</v>
      </c>
      <c r="AH6625" s="20">
        <v>5786.3863073754474</v>
      </c>
    </row>
    <row r="6626" spans="1:34" ht="14.5" x14ac:dyDescent="0.35">
      <c r="A6626" s="34"/>
      <c r="B6626" s="35"/>
      <c r="C6626" s="36"/>
      <c r="D6626" s="37"/>
      <c r="E6626" s="36"/>
      <c r="F6626" s="42"/>
      <c r="G6626" s="42"/>
      <c r="H6626" s="42"/>
      <c r="AG6626" s="19">
        <v>6625</v>
      </c>
      <c r="AH6626" s="20">
        <v>2496.3850189728696</v>
      </c>
    </row>
    <row r="6627" spans="1:34" ht="14.5" x14ac:dyDescent="0.35">
      <c r="A6627" s="34"/>
      <c r="B6627" s="35"/>
      <c r="C6627" s="36"/>
      <c r="D6627" s="37"/>
      <c r="E6627" s="36"/>
      <c r="F6627" s="42"/>
      <c r="G6627" s="42"/>
      <c r="H6627" s="42"/>
      <c r="AG6627" s="19">
        <v>6626</v>
      </c>
      <c r="AH6627" s="20">
        <v>636.4007352863207</v>
      </c>
    </row>
    <row r="6628" spans="1:34" ht="14.5" x14ac:dyDescent="0.35">
      <c r="A6628" s="34"/>
      <c r="B6628" s="35"/>
      <c r="C6628" s="36"/>
      <c r="D6628" s="37"/>
      <c r="E6628" s="36"/>
      <c r="F6628" s="42"/>
      <c r="G6628" s="42"/>
      <c r="H6628" s="42"/>
      <c r="AG6628" s="19">
        <v>6627</v>
      </c>
      <c r="AH6628" s="20">
        <v>5897.7966863683559</v>
      </c>
    </row>
    <row r="6629" spans="1:34" ht="14.5" x14ac:dyDescent="0.35">
      <c r="A6629" s="34"/>
      <c r="B6629" s="35"/>
      <c r="C6629" s="36"/>
      <c r="D6629" s="37"/>
      <c r="E6629" s="36"/>
      <c r="F6629" s="42"/>
      <c r="G6629" s="42"/>
      <c r="H6629" s="42"/>
      <c r="AG6629" s="19">
        <v>6628</v>
      </c>
      <c r="AH6629" s="20">
        <v>380.34502534492981</v>
      </c>
    </row>
    <row r="6630" spans="1:34" ht="14.5" x14ac:dyDescent="0.35">
      <c r="A6630" s="34"/>
      <c r="B6630" s="35"/>
      <c r="C6630" s="36"/>
      <c r="D6630" s="37"/>
      <c r="E6630" s="36"/>
      <c r="F6630" s="42"/>
      <c r="G6630" s="42"/>
      <c r="H6630" s="42"/>
      <c r="AG6630" s="19">
        <v>6629</v>
      </c>
      <c r="AH6630" s="20">
        <v>1152.8389959605765</v>
      </c>
    </row>
    <row r="6631" spans="1:34" ht="14.5" x14ac:dyDescent="0.35">
      <c r="A6631" s="34"/>
      <c r="B6631" s="35"/>
      <c r="C6631" s="36"/>
      <c r="D6631" s="37"/>
      <c r="E6631" s="36"/>
      <c r="F6631" s="42"/>
      <c r="G6631" s="42"/>
      <c r="H6631" s="42"/>
      <c r="AG6631" s="19">
        <v>6630</v>
      </c>
      <c r="AH6631" s="20">
        <v>-855.93384254917487</v>
      </c>
    </row>
    <row r="6632" spans="1:34" ht="14.5" x14ac:dyDescent="0.35">
      <c r="A6632" s="34"/>
      <c r="B6632" s="35"/>
      <c r="C6632" s="36"/>
      <c r="D6632" s="37"/>
      <c r="E6632" s="36"/>
      <c r="F6632" s="42"/>
      <c r="G6632" s="42"/>
      <c r="H6632" s="42"/>
      <c r="AG6632" s="19">
        <v>6631</v>
      </c>
      <c r="AH6632" s="20">
        <v>-773.27051977787096</v>
      </c>
    </row>
    <row r="6633" spans="1:34" ht="14.5" x14ac:dyDescent="0.35">
      <c r="A6633" s="34"/>
      <c r="B6633" s="35"/>
      <c r="C6633" s="36"/>
      <c r="D6633" s="37"/>
      <c r="E6633" s="36"/>
      <c r="F6633" s="42"/>
      <c r="G6633" s="42"/>
      <c r="H6633" s="42"/>
      <c r="AG6633" s="19">
        <v>6632</v>
      </c>
      <c r="AH6633" s="20">
        <v>-3331.3863785773055</v>
      </c>
    </row>
    <row r="6634" spans="1:34" ht="14.5" x14ac:dyDescent="0.35">
      <c r="A6634" s="34"/>
      <c r="B6634" s="35"/>
      <c r="C6634" s="36"/>
      <c r="D6634" s="37"/>
      <c r="E6634" s="36"/>
      <c r="F6634" s="42"/>
      <c r="G6634" s="42"/>
      <c r="H6634" s="42"/>
      <c r="AG6634" s="19">
        <v>6633</v>
      </c>
      <c r="AH6634" s="20">
        <v>-1621.0515266902378</v>
      </c>
    </row>
    <row r="6635" spans="1:34" ht="14.5" x14ac:dyDescent="0.35">
      <c r="A6635" s="34"/>
      <c r="B6635" s="35"/>
      <c r="C6635" s="36"/>
      <c r="D6635" s="37"/>
      <c r="E6635" s="36"/>
      <c r="F6635" s="42"/>
      <c r="G6635" s="42"/>
      <c r="H6635" s="42"/>
      <c r="AG6635" s="19">
        <v>6634</v>
      </c>
      <c r="AH6635" s="20">
        <v>1648.8910273298898</v>
      </c>
    </row>
    <row r="6636" spans="1:34" ht="14.5" x14ac:dyDescent="0.35">
      <c r="A6636" s="34"/>
      <c r="B6636" s="35"/>
      <c r="C6636" s="36"/>
      <c r="D6636" s="37"/>
      <c r="E6636" s="36"/>
      <c r="F6636" s="42"/>
      <c r="G6636" s="42"/>
      <c r="H6636" s="42"/>
      <c r="AG6636" s="19">
        <v>6635</v>
      </c>
      <c r="AH6636" s="20">
        <v>1961.8031485952381</v>
      </c>
    </row>
    <row r="6637" spans="1:34" ht="14.5" x14ac:dyDescent="0.35">
      <c r="A6637" s="34"/>
      <c r="B6637" s="35"/>
      <c r="C6637" s="36"/>
      <c r="D6637" s="37"/>
      <c r="E6637" s="36"/>
      <c r="F6637" s="42"/>
      <c r="G6637" s="42"/>
      <c r="H6637" s="42"/>
      <c r="AG6637" s="19">
        <v>6636</v>
      </c>
      <c r="AH6637" s="20">
        <v>963.8199517273124</v>
      </c>
    </row>
    <row r="6638" spans="1:34" ht="14.5" x14ac:dyDescent="0.35">
      <c r="A6638" s="34"/>
      <c r="B6638" s="35"/>
      <c r="C6638" s="36"/>
      <c r="D6638" s="37"/>
      <c r="E6638" s="36"/>
      <c r="F6638" s="42"/>
      <c r="G6638" s="42"/>
      <c r="H6638" s="42"/>
      <c r="AG6638" s="19">
        <v>6637</v>
      </c>
      <c r="AH6638" s="20">
        <v>-726.4188404690608</v>
      </c>
    </row>
    <row r="6639" spans="1:34" ht="14.5" x14ac:dyDescent="0.35">
      <c r="A6639" s="34"/>
      <c r="B6639" s="35"/>
      <c r="C6639" s="36"/>
      <c r="D6639" s="37"/>
      <c r="E6639" s="36"/>
      <c r="F6639" s="42"/>
      <c r="G6639" s="42"/>
      <c r="H6639" s="42"/>
      <c r="AG6639" s="19">
        <v>6638</v>
      </c>
      <c r="AH6639" s="20">
        <v>3043.9830428875985</v>
      </c>
    </row>
    <row r="6640" spans="1:34" ht="14.5" x14ac:dyDescent="0.35">
      <c r="A6640" s="34"/>
      <c r="B6640" s="35"/>
      <c r="C6640" s="36"/>
      <c r="D6640" s="37"/>
      <c r="E6640" s="36"/>
      <c r="F6640" s="42"/>
      <c r="G6640" s="42"/>
      <c r="H6640" s="42"/>
      <c r="AG6640" s="19">
        <v>6639</v>
      </c>
      <c r="AH6640" s="20">
        <v>856.91885919081426</v>
      </c>
    </row>
    <row r="6641" spans="1:34" ht="14.5" x14ac:dyDescent="0.35">
      <c r="A6641" s="34"/>
      <c r="B6641" s="35"/>
      <c r="C6641" s="36"/>
      <c r="D6641" s="37"/>
      <c r="E6641" s="36"/>
      <c r="F6641" s="42"/>
      <c r="G6641" s="42"/>
      <c r="H6641" s="42"/>
      <c r="AG6641" s="19">
        <v>6640</v>
      </c>
      <c r="AH6641" s="20">
        <v>-1881.0520624341532</v>
      </c>
    </row>
    <row r="6642" spans="1:34" ht="14.5" x14ac:dyDescent="0.35">
      <c r="A6642" s="34"/>
      <c r="B6642" s="35"/>
      <c r="C6642" s="36"/>
      <c r="D6642" s="37"/>
      <c r="E6642" s="36"/>
      <c r="F6642" s="42"/>
      <c r="G6642" s="42"/>
      <c r="H6642" s="42"/>
      <c r="AG6642" s="19">
        <v>6641</v>
      </c>
      <c r="AH6642" s="20">
        <v>483.06058233370914</v>
      </c>
    </row>
    <row r="6643" spans="1:34" ht="14.5" x14ac:dyDescent="0.35">
      <c r="A6643" s="34"/>
      <c r="B6643" s="35"/>
      <c r="C6643" s="36"/>
      <c r="D6643" s="37"/>
      <c r="E6643" s="36"/>
      <c r="F6643" s="42"/>
      <c r="G6643" s="42"/>
      <c r="H6643" s="42"/>
      <c r="AG6643" s="19">
        <v>6642</v>
      </c>
      <c r="AH6643" s="20">
        <v>1572.112936393306</v>
      </c>
    </row>
    <row r="6644" spans="1:34" ht="14.5" x14ac:dyDescent="0.35">
      <c r="A6644" s="34"/>
      <c r="B6644" s="35"/>
      <c r="C6644" s="36"/>
      <c r="D6644" s="37"/>
      <c r="E6644" s="36"/>
      <c r="F6644" s="42"/>
      <c r="G6644" s="42"/>
      <c r="H6644" s="42"/>
      <c r="AG6644" s="19">
        <v>6643</v>
      </c>
      <c r="AH6644" s="20">
        <v>1812.9974075631803</v>
      </c>
    </row>
    <row r="6645" spans="1:34" ht="14.5" x14ac:dyDescent="0.35">
      <c r="A6645" s="34"/>
      <c r="B6645" s="35"/>
      <c r="C6645" s="36"/>
      <c r="D6645" s="37"/>
      <c r="E6645" s="36"/>
      <c r="F6645" s="42"/>
      <c r="G6645" s="42"/>
      <c r="H6645" s="42"/>
      <c r="AG6645" s="19">
        <v>6644</v>
      </c>
      <c r="AH6645" s="20">
        <v>-864.48222614546103</v>
      </c>
    </row>
    <row r="6646" spans="1:34" ht="14.5" x14ac:dyDescent="0.35">
      <c r="A6646" s="34"/>
      <c r="B6646" s="35"/>
      <c r="C6646" s="36"/>
      <c r="D6646" s="37"/>
      <c r="E6646" s="36"/>
      <c r="F6646" s="42"/>
      <c r="G6646" s="42"/>
      <c r="H6646" s="42"/>
      <c r="AG6646" s="19">
        <v>6645</v>
      </c>
      <c r="AH6646" s="20">
        <v>-1482.2416496147946</v>
      </c>
    </row>
    <row r="6647" spans="1:34" ht="14.5" x14ac:dyDescent="0.35">
      <c r="A6647" s="34"/>
      <c r="B6647" s="35"/>
      <c r="C6647" s="36"/>
      <c r="D6647" s="37"/>
      <c r="E6647" s="36"/>
      <c r="F6647" s="42"/>
      <c r="G6647" s="42"/>
      <c r="H6647" s="42"/>
      <c r="AG6647" s="19">
        <v>6646</v>
      </c>
      <c r="AH6647" s="20">
        <v>-395.09946660799739</v>
      </c>
    </row>
    <row r="6648" spans="1:34" ht="14.5" x14ac:dyDescent="0.35">
      <c r="A6648" s="34"/>
      <c r="B6648" s="35"/>
      <c r="C6648" s="36"/>
      <c r="D6648" s="37"/>
      <c r="E6648" s="36"/>
      <c r="F6648" s="42"/>
      <c r="G6648" s="42"/>
      <c r="H6648" s="42"/>
      <c r="AG6648" s="19">
        <v>6647</v>
      </c>
      <c r="AH6648" s="20">
        <v>2657.302522347039</v>
      </c>
    </row>
    <row r="6649" spans="1:34" ht="14.5" x14ac:dyDescent="0.35">
      <c r="A6649" s="34"/>
      <c r="B6649" s="35"/>
      <c r="C6649" s="36"/>
      <c r="D6649" s="37"/>
      <c r="E6649" s="36"/>
      <c r="F6649" s="42"/>
      <c r="G6649" s="42"/>
      <c r="H6649" s="42"/>
      <c r="AG6649" s="19">
        <v>6648</v>
      </c>
      <c r="AH6649" s="20">
        <v>2254.7333295019885</v>
      </c>
    </row>
    <row r="6650" spans="1:34" ht="14.5" x14ac:dyDescent="0.35">
      <c r="A6650" s="34"/>
      <c r="B6650" s="35"/>
      <c r="C6650" s="36"/>
      <c r="D6650" s="37"/>
      <c r="E6650" s="36"/>
      <c r="F6650" s="42"/>
      <c r="G6650" s="42"/>
      <c r="H6650" s="42"/>
      <c r="AG6650" s="19">
        <v>6649</v>
      </c>
      <c r="AH6650" s="20">
        <v>-2707.644285818898</v>
      </c>
    </row>
    <row r="6651" spans="1:34" ht="14.5" x14ac:dyDescent="0.35">
      <c r="A6651" s="34"/>
      <c r="B6651" s="35"/>
      <c r="C6651" s="36"/>
      <c r="D6651" s="37"/>
      <c r="E6651" s="36"/>
      <c r="F6651" s="42"/>
      <c r="G6651" s="42"/>
      <c r="H6651" s="42"/>
      <c r="AG6651" s="19">
        <v>6650</v>
      </c>
      <c r="AH6651" s="20">
        <v>1627.8669545099572</v>
      </c>
    </row>
    <row r="6652" spans="1:34" ht="14.5" x14ac:dyDescent="0.35">
      <c r="A6652" s="34"/>
      <c r="B6652" s="35"/>
      <c r="C6652" s="36"/>
      <c r="D6652" s="37"/>
      <c r="E6652" s="36"/>
      <c r="F6652" s="42"/>
      <c r="G6652" s="42"/>
      <c r="H6652" s="42"/>
      <c r="AG6652" s="19">
        <v>6651</v>
      </c>
      <c r="AH6652" s="20">
        <v>161.35269642453864</v>
      </c>
    </row>
    <row r="6653" spans="1:34" ht="14.5" x14ac:dyDescent="0.35">
      <c r="A6653" s="34"/>
      <c r="B6653" s="35"/>
      <c r="C6653" s="36"/>
      <c r="D6653" s="37"/>
      <c r="E6653" s="36"/>
      <c r="F6653" s="42"/>
      <c r="G6653" s="42"/>
      <c r="H6653" s="42"/>
      <c r="AG6653" s="19">
        <v>6652</v>
      </c>
      <c r="AH6653" s="20">
        <v>1033.8666379989716</v>
      </c>
    </row>
    <row r="6654" spans="1:34" ht="14.5" x14ac:dyDescent="0.35">
      <c r="A6654" s="34"/>
      <c r="B6654" s="35"/>
      <c r="C6654" s="36"/>
      <c r="D6654" s="37"/>
      <c r="E6654" s="36"/>
      <c r="F6654" s="42"/>
      <c r="G6654" s="42"/>
      <c r="H6654" s="42"/>
      <c r="AG6654" s="19">
        <v>6653</v>
      </c>
      <c r="AH6654" s="20">
        <v>-2229.4620362729079</v>
      </c>
    </row>
    <row r="6655" spans="1:34" ht="14.5" x14ac:dyDescent="0.35">
      <c r="A6655" s="34"/>
      <c r="B6655" s="35"/>
      <c r="C6655" s="36"/>
      <c r="D6655" s="37"/>
      <c r="E6655" s="36"/>
      <c r="F6655" s="42"/>
      <c r="G6655" s="42"/>
      <c r="H6655" s="42"/>
      <c r="AG6655" s="19">
        <v>6654</v>
      </c>
      <c r="AH6655" s="20">
        <v>-2705.9997741925499</v>
      </c>
    </row>
    <row r="6656" spans="1:34" ht="14.5" x14ac:dyDescent="0.35">
      <c r="A6656" s="34"/>
      <c r="B6656" s="35"/>
      <c r="C6656" s="36"/>
      <c r="D6656" s="37"/>
      <c r="E6656" s="36"/>
      <c r="F6656" s="42"/>
      <c r="G6656" s="42"/>
      <c r="H6656" s="42"/>
      <c r="AG6656" s="19">
        <v>6655</v>
      </c>
      <c r="AH6656" s="20">
        <v>-3438.5634653736452</v>
      </c>
    </row>
    <row r="6657" spans="1:34" ht="14.5" x14ac:dyDescent="0.35">
      <c r="A6657" s="34"/>
      <c r="B6657" s="35"/>
      <c r="C6657" s="36"/>
      <c r="D6657" s="37"/>
      <c r="E6657" s="36"/>
      <c r="F6657" s="42"/>
      <c r="G6657" s="42"/>
      <c r="H6657" s="42"/>
      <c r="AG6657" s="19">
        <v>6656</v>
      </c>
      <c r="AH6657" s="20">
        <v>1073.5175229574504</v>
      </c>
    </row>
    <row r="6658" spans="1:34" ht="14.5" x14ac:dyDescent="0.35">
      <c r="A6658" s="34"/>
      <c r="B6658" s="35"/>
      <c r="C6658" s="36"/>
      <c r="D6658" s="37"/>
      <c r="E6658" s="36"/>
      <c r="F6658" s="42"/>
      <c r="G6658" s="42"/>
      <c r="H6658" s="42"/>
      <c r="AG6658" s="19">
        <v>6657</v>
      </c>
      <c r="AH6658" s="20">
        <v>657.41709083912019</v>
      </c>
    </row>
    <row r="6659" spans="1:34" ht="14.5" x14ac:dyDescent="0.35">
      <c r="A6659" s="34"/>
      <c r="B6659" s="35"/>
      <c r="C6659" s="36"/>
      <c r="D6659" s="37"/>
      <c r="E6659" s="36"/>
      <c r="F6659" s="42"/>
      <c r="G6659" s="42"/>
      <c r="H6659" s="42"/>
      <c r="AG6659" s="19">
        <v>6658</v>
      </c>
      <c r="AH6659" s="20">
        <v>1072.3715947681872</v>
      </c>
    </row>
    <row r="6660" spans="1:34" ht="14.5" x14ac:dyDescent="0.35">
      <c r="A6660" s="34"/>
      <c r="B6660" s="35"/>
      <c r="C6660" s="36"/>
      <c r="D6660" s="37"/>
      <c r="E6660" s="36"/>
      <c r="F6660" s="42"/>
      <c r="G6660" s="42"/>
      <c r="H6660" s="42"/>
      <c r="AG6660" s="19">
        <v>6659</v>
      </c>
      <c r="AH6660" s="20">
        <v>2770.568579343927</v>
      </c>
    </row>
    <row r="6661" spans="1:34" ht="14.5" x14ac:dyDescent="0.35">
      <c r="A6661" s="34"/>
      <c r="B6661" s="35"/>
      <c r="C6661" s="36"/>
      <c r="D6661" s="37"/>
      <c r="E6661" s="36"/>
      <c r="F6661" s="42"/>
      <c r="G6661" s="42"/>
      <c r="H6661" s="42"/>
      <c r="AG6661" s="19">
        <v>6660</v>
      </c>
      <c r="AH6661" s="20">
        <v>1022.4826404607074</v>
      </c>
    </row>
    <row r="6662" spans="1:34" ht="14.5" x14ac:dyDescent="0.35">
      <c r="A6662" s="34"/>
      <c r="B6662" s="35"/>
      <c r="C6662" s="36"/>
      <c r="D6662" s="37"/>
      <c r="E6662" s="36"/>
      <c r="F6662" s="42"/>
      <c r="G6662" s="42"/>
      <c r="H6662" s="42"/>
      <c r="AG6662" s="19">
        <v>6661</v>
      </c>
      <c r="AH6662" s="20">
        <v>979.74024215873055</v>
      </c>
    </row>
    <row r="6663" spans="1:34" ht="14.5" x14ac:dyDescent="0.35">
      <c r="A6663" s="34"/>
      <c r="B6663" s="35"/>
      <c r="C6663" s="36"/>
      <c r="D6663" s="37"/>
      <c r="E6663" s="36"/>
      <c r="F6663" s="42"/>
      <c r="G6663" s="42"/>
      <c r="H6663" s="42"/>
      <c r="AG6663" s="19">
        <v>6662</v>
      </c>
      <c r="AH6663" s="20">
        <v>-1037.1111688823944</v>
      </c>
    </row>
    <row r="6664" spans="1:34" ht="14.5" x14ac:dyDescent="0.35">
      <c r="A6664" s="34"/>
      <c r="B6664" s="35"/>
      <c r="C6664" s="36"/>
      <c r="D6664" s="37"/>
      <c r="E6664" s="36"/>
      <c r="F6664" s="42"/>
      <c r="G6664" s="42"/>
      <c r="H6664" s="42"/>
      <c r="AG6664" s="19">
        <v>6663</v>
      </c>
      <c r="AH6664" s="20">
        <v>-1670.709136442814</v>
      </c>
    </row>
    <row r="6665" spans="1:34" ht="14.5" x14ac:dyDescent="0.35">
      <c r="A6665" s="34"/>
      <c r="B6665" s="35"/>
      <c r="C6665" s="36"/>
      <c r="D6665" s="37"/>
      <c r="E6665" s="36"/>
      <c r="F6665" s="42"/>
      <c r="G6665" s="42"/>
      <c r="H6665" s="42"/>
      <c r="AG6665" s="19">
        <v>6664</v>
      </c>
      <c r="AH6665" s="20">
        <v>-319.22190332327767</v>
      </c>
    </row>
    <row r="6666" spans="1:34" ht="14.5" x14ac:dyDescent="0.35">
      <c r="A6666" s="34"/>
      <c r="B6666" s="35"/>
      <c r="C6666" s="36"/>
      <c r="D6666" s="37"/>
      <c r="E6666" s="36"/>
      <c r="F6666" s="42"/>
      <c r="G6666" s="42"/>
      <c r="H6666" s="42"/>
      <c r="AG6666" s="19">
        <v>6665</v>
      </c>
      <c r="AH6666" s="20">
        <v>673.8213790765044</v>
      </c>
    </row>
    <row r="6667" spans="1:34" ht="14.5" x14ac:dyDescent="0.35">
      <c r="A6667" s="34"/>
      <c r="B6667" s="35"/>
      <c r="C6667" s="36"/>
      <c r="D6667" s="37"/>
      <c r="E6667" s="36"/>
      <c r="F6667" s="42"/>
      <c r="G6667" s="42"/>
      <c r="H6667" s="42"/>
      <c r="AG6667" s="19">
        <v>6666</v>
      </c>
      <c r="AH6667" s="20">
        <v>-1016.6594097284822</v>
      </c>
    </row>
    <row r="6668" spans="1:34" ht="14.5" x14ac:dyDescent="0.35">
      <c r="A6668" s="34"/>
      <c r="B6668" s="35"/>
      <c r="C6668" s="36"/>
      <c r="D6668" s="37"/>
      <c r="E6668" s="36"/>
      <c r="F6668" s="42"/>
      <c r="G6668" s="42"/>
      <c r="H6668" s="42"/>
      <c r="AG6668" s="19">
        <v>6667</v>
      </c>
      <c r="AH6668" s="20">
        <v>593.7295387392976</v>
      </c>
    </row>
    <row r="6669" spans="1:34" ht="14.5" x14ac:dyDescent="0.35">
      <c r="A6669" s="34"/>
      <c r="B6669" s="35"/>
      <c r="C6669" s="36"/>
      <c r="D6669" s="37"/>
      <c r="E6669" s="36"/>
      <c r="F6669" s="42"/>
      <c r="G6669" s="42"/>
      <c r="H6669" s="42"/>
      <c r="AG6669" s="19">
        <v>6668</v>
      </c>
      <c r="AH6669" s="20">
        <v>1142.9065211101038</v>
      </c>
    </row>
    <row r="6670" spans="1:34" ht="14.5" x14ac:dyDescent="0.35">
      <c r="A6670" s="34"/>
      <c r="B6670" s="35"/>
      <c r="C6670" s="36"/>
      <c r="D6670" s="37"/>
      <c r="E6670" s="36"/>
      <c r="F6670" s="42"/>
      <c r="G6670" s="42"/>
      <c r="H6670" s="42"/>
      <c r="AG6670" s="19">
        <v>6669</v>
      </c>
      <c r="AH6670" s="20">
        <v>2666.3067508373492</v>
      </c>
    </row>
    <row r="6671" spans="1:34" ht="14.5" x14ac:dyDescent="0.35">
      <c r="A6671" s="34"/>
      <c r="B6671" s="35"/>
      <c r="C6671" s="36"/>
      <c r="D6671" s="37"/>
      <c r="E6671" s="36"/>
      <c r="F6671" s="42"/>
      <c r="G6671" s="42"/>
      <c r="H6671" s="42"/>
      <c r="AG6671" s="19">
        <v>6670</v>
      </c>
      <c r="AH6671" s="20">
        <v>951.03050662518149</v>
      </c>
    </row>
    <row r="6672" spans="1:34" ht="14.5" x14ac:dyDescent="0.35">
      <c r="A6672" s="34"/>
      <c r="B6672" s="35"/>
      <c r="C6672" s="36"/>
      <c r="D6672" s="37"/>
      <c r="E6672" s="36"/>
      <c r="F6672" s="42"/>
      <c r="G6672" s="42"/>
      <c r="H6672" s="42"/>
      <c r="AG6672" s="19">
        <v>6671</v>
      </c>
      <c r="AH6672" s="20">
        <v>3270.0702248220891</v>
      </c>
    </row>
    <row r="6673" spans="1:34" ht="14.5" x14ac:dyDescent="0.35">
      <c r="A6673" s="34"/>
      <c r="B6673" s="35"/>
      <c r="C6673" s="36"/>
      <c r="D6673" s="37"/>
      <c r="E6673" s="36"/>
      <c r="F6673" s="42"/>
      <c r="G6673" s="42"/>
      <c r="H6673" s="42"/>
      <c r="AG6673" s="19">
        <v>6672</v>
      </c>
      <c r="AH6673" s="20">
        <v>-661.11373123640556</v>
      </c>
    </row>
    <row r="6674" spans="1:34" ht="14.5" x14ac:dyDescent="0.35">
      <c r="A6674" s="34"/>
      <c r="B6674" s="35"/>
      <c r="C6674" s="36"/>
      <c r="D6674" s="37"/>
      <c r="E6674" s="36"/>
      <c r="F6674" s="42"/>
      <c r="G6674" s="42"/>
      <c r="H6674" s="42"/>
      <c r="AG6674" s="19">
        <v>6673</v>
      </c>
      <c r="AH6674" s="20">
        <v>-176.2563816588949</v>
      </c>
    </row>
    <row r="6675" spans="1:34" ht="14.5" x14ac:dyDescent="0.35">
      <c r="A6675" s="34"/>
      <c r="B6675" s="35"/>
      <c r="C6675" s="36"/>
      <c r="D6675" s="37"/>
      <c r="E6675" s="36"/>
      <c r="F6675" s="42"/>
      <c r="G6675" s="42"/>
      <c r="H6675" s="42"/>
      <c r="AG6675" s="19">
        <v>6674</v>
      </c>
      <c r="AH6675" s="20">
        <v>105.16629707171495</v>
      </c>
    </row>
    <row r="6676" spans="1:34" ht="14.5" x14ac:dyDescent="0.35">
      <c r="A6676" s="34"/>
      <c r="B6676" s="35"/>
      <c r="C6676" s="36"/>
      <c r="D6676" s="37"/>
      <c r="E6676" s="36"/>
      <c r="F6676" s="42"/>
      <c r="G6676" s="42"/>
      <c r="H6676" s="42"/>
      <c r="AG6676" s="19">
        <v>6675</v>
      </c>
      <c r="AH6676" s="20">
        <v>377.20852980210935</v>
      </c>
    </row>
    <row r="6677" spans="1:34" ht="14.5" x14ac:dyDescent="0.35">
      <c r="A6677" s="34"/>
      <c r="B6677" s="35"/>
      <c r="C6677" s="36"/>
      <c r="D6677" s="37"/>
      <c r="E6677" s="36"/>
      <c r="F6677" s="42"/>
      <c r="G6677" s="42"/>
      <c r="H6677" s="42"/>
      <c r="AG6677" s="19">
        <v>6676</v>
      </c>
      <c r="AH6677" s="20">
        <v>-2489.7414581443609</v>
      </c>
    </row>
    <row r="6678" spans="1:34" ht="14.5" x14ac:dyDescent="0.35">
      <c r="A6678" s="34"/>
      <c r="B6678" s="35"/>
      <c r="C6678" s="36"/>
      <c r="D6678" s="37"/>
      <c r="E6678" s="36"/>
      <c r="F6678" s="42"/>
      <c r="G6678" s="42"/>
      <c r="H6678" s="42"/>
      <c r="AG6678" s="19">
        <v>6677</v>
      </c>
      <c r="AH6678" s="20">
        <v>-2712.2352783871052</v>
      </c>
    </row>
    <row r="6679" spans="1:34" ht="14.5" x14ac:dyDescent="0.35">
      <c r="A6679" s="34"/>
      <c r="B6679" s="35"/>
      <c r="C6679" s="36"/>
      <c r="D6679" s="37"/>
      <c r="E6679" s="36"/>
      <c r="F6679" s="42"/>
      <c r="G6679" s="42"/>
      <c r="H6679" s="42"/>
      <c r="AG6679" s="19">
        <v>6678</v>
      </c>
      <c r="AH6679" s="20">
        <v>-4229.4976047072396</v>
      </c>
    </row>
    <row r="6680" spans="1:34" ht="14.5" x14ac:dyDescent="0.35">
      <c r="A6680" s="34"/>
      <c r="B6680" s="35"/>
      <c r="C6680" s="36"/>
      <c r="D6680" s="37"/>
      <c r="E6680" s="36"/>
      <c r="F6680" s="42"/>
      <c r="G6680" s="42"/>
      <c r="H6680" s="42"/>
      <c r="AG6680" s="19">
        <v>6679</v>
      </c>
      <c r="AH6680" s="20">
        <v>3323.6624057532053</v>
      </c>
    </row>
    <row r="6681" spans="1:34" ht="14.5" x14ac:dyDescent="0.35">
      <c r="A6681" s="34"/>
      <c r="B6681" s="35"/>
      <c r="C6681" s="36"/>
      <c r="D6681" s="37"/>
      <c r="E6681" s="36"/>
      <c r="F6681" s="42"/>
      <c r="G6681" s="42"/>
      <c r="H6681" s="42"/>
      <c r="AG6681" s="19">
        <v>6680</v>
      </c>
      <c r="AH6681" s="20">
        <v>1637.0902591242202</v>
      </c>
    </row>
    <row r="6682" spans="1:34" ht="14.5" x14ac:dyDescent="0.35">
      <c r="A6682" s="34"/>
      <c r="B6682" s="35"/>
      <c r="C6682" s="36"/>
      <c r="D6682" s="37"/>
      <c r="E6682" s="36"/>
      <c r="F6682" s="42"/>
      <c r="G6682" s="42"/>
      <c r="H6682" s="42"/>
      <c r="AG6682" s="19">
        <v>6681</v>
      </c>
      <c r="AH6682" s="20">
        <v>2290.3060429249626</v>
      </c>
    </row>
    <row r="6683" spans="1:34" ht="14.5" x14ac:dyDescent="0.35">
      <c r="A6683" s="34"/>
      <c r="B6683" s="35"/>
      <c r="C6683" s="36"/>
      <c r="D6683" s="37"/>
      <c r="E6683" s="36"/>
      <c r="F6683" s="42"/>
      <c r="G6683" s="42"/>
      <c r="H6683" s="42"/>
      <c r="AG6683" s="19">
        <v>6682</v>
      </c>
      <c r="AH6683" s="20">
        <v>-79.123733783638727</v>
      </c>
    </row>
    <row r="6684" spans="1:34" ht="14.5" x14ac:dyDescent="0.35">
      <c r="A6684" s="34"/>
      <c r="B6684" s="35"/>
      <c r="C6684" s="36"/>
      <c r="D6684" s="37"/>
      <c r="E6684" s="36"/>
      <c r="F6684" s="42"/>
      <c r="G6684" s="42"/>
      <c r="H6684" s="42"/>
      <c r="AG6684" s="19">
        <v>6683</v>
      </c>
      <c r="AH6684" s="20">
        <v>-1619.6633226621805</v>
      </c>
    </row>
    <row r="6685" spans="1:34" ht="14.5" x14ac:dyDescent="0.35">
      <c r="A6685" s="34"/>
      <c r="B6685" s="35"/>
      <c r="C6685" s="36"/>
      <c r="D6685" s="37"/>
      <c r="E6685" s="36"/>
      <c r="F6685" s="42"/>
      <c r="G6685" s="42"/>
      <c r="H6685" s="42"/>
      <c r="AG6685" s="19">
        <v>6684</v>
      </c>
      <c r="AH6685" s="20">
        <v>559.2616098370778</v>
      </c>
    </row>
    <row r="6686" spans="1:34" ht="14.5" x14ac:dyDescent="0.35">
      <c r="A6686" s="34"/>
      <c r="B6686" s="35"/>
      <c r="C6686" s="36"/>
      <c r="D6686" s="37"/>
      <c r="E6686" s="36"/>
      <c r="F6686" s="42"/>
      <c r="G6686" s="42"/>
      <c r="H6686" s="42"/>
      <c r="AG6686" s="19">
        <v>6685</v>
      </c>
      <c r="AH6686" s="20">
        <v>-2911.5003151225319</v>
      </c>
    </row>
    <row r="6687" spans="1:34" ht="14.5" x14ac:dyDescent="0.35">
      <c r="A6687" s="34"/>
      <c r="B6687" s="35"/>
      <c r="C6687" s="36"/>
      <c r="D6687" s="37"/>
      <c r="E6687" s="36"/>
      <c r="F6687" s="42"/>
      <c r="G6687" s="42"/>
      <c r="H6687" s="42"/>
      <c r="AG6687" s="19">
        <v>6686</v>
      </c>
      <c r="AH6687" s="20">
        <v>2973.6251141188695</v>
      </c>
    </row>
    <row r="6688" spans="1:34" ht="14.5" x14ac:dyDescent="0.35">
      <c r="A6688" s="34"/>
      <c r="B6688" s="35"/>
      <c r="C6688" s="36"/>
      <c r="D6688" s="37"/>
      <c r="E6688" s="36"/>
      <c r="F6688" s="42"/>
      <c r="G6688" s="42"/>
      <c r="H6688" s="42"/>
      <c r="AG6688" s="19">
        <v>6687</v>
      </c>
      <c r="AH6688" s="20">
        <v>430.11648728989923</v>
      </c>
    </row>
    <row r="6689" spans="1:34" ht="14.5" x14ac:dyDescent="0.35">
      <c r="A6689" s="34"/>
      <c r="B6689" s="35"/>
      <c r="C6689" s="36"/>
      <c r="D6689" s="37"/>
      <c r="E6689" s="36"/>
      <c r="F6689" s="42"/>
      <c r="G6689" s="42"/>
      <c r="H6689" s="42"/>
      <c r="AG6689" s="19">
        <v>6688</v>
      </c>
      <c r="AH6689" s="20">
        <v>-3162.340493464591</v>
      </c>
    </row>
    <row r="6690" spans="1:34" ht="14.5" x14ac:dyDescent="0.35">
      <c r="A6690" s="34"/>
      <c r="B6690" s="35"/>
      <c r="C6690" s="36"/>
      <c r="D6690" s="37"/>
      <c r="E6690" s="36"/>
      <c r="F6690" s="42"/>
      <c r="G6690" s="42"/>
      <c r="H6690" s="42"/>
      <c r="AG6690" s="19">
        <v>6689</v>
      </c>
      <c r="AH6690" s="20">
        <v>533.71426368603397</v>
      </c>
    </row>
    <row r="6691" spans="1:34" ht="14.5" x14ac:dyDescent="0.35">
      <c r="A6691" s="34"/>
      <c r="B6691" s="35"/>
      <c r="C6691" s="36"/>
      <c r="D6691" s="37"/>
      <c r="E6691" s="36"/>
      <c r="F6691" s="42"/>
      <c r="G6691" s="42"/>
      <c r="H6691" s="42"/>
      <c r="AG6691" s="19">
        <v>6690</v>
      </c>
      <c r="AH6691" s="20">
        <v>-3602.6918911766111</v>
      </c>
    </row>
    <row r="6692" spans="1:34" ht="14.5" x14ac:dyDescent="0.35">
      <c r="A6692" s="34"/>
      <c r="B6692" s="35"/>
      <c r="C6692" s="36"/>
      <c r="D6692" s="37"/>
      <c r="E6692" s="36"/>
      <c r="F6692" s="42"/>
      <c r="G6692" s="42"/>
      <c r="H6692" s="42"/>
      <c r="AG6692" s="19">
        <v>6691</v>
      </c>
      <c r="AH6692" s="20">
        <v>4898.4987113262969</v>
      </c>
    </row>
    <row r="6693" spans="1:34" ht="14.5" x14ac:dyDescent="0.35">
      <c r="A6693" s="34"/>
      <c r="B6693" s="35"/>
      <c r="C6693" s="36"/>
      <c r="D6693" s="37"/>
      <c r="E6693" s="36"/>
      <c r="F6693" s="42"/>
      <c r="G6693" s="42"/>
      <c r="H6693" s="42"/>
      <c r="AG6693" s="19">
        <v>6692</v>
      </c>
      <c r="AH6693" s="20">
        <v>-170.14932408374597</v>
      </c>
    </row>
    <row r="6694" spans="1:34" ht="14.5" x14ac:dyDescent="0.35">
      <c r="A6694" s="34"/>
      <c r="B6694" s="35"/>
      <c r="C6694" s="36"/>
      <c r="D6694" s="37"/>
      <c r="E6694" s="36"/>
      <c r="F6694" s="42"/>
      <c r="G6694" s="42"/>
      <c r="H6694" s="42"/>
      <c r="AG6694" s="19">
        <v>6693</v>
      </c>
      <c r="AH6694" s="20">
        <v>-536.07255594996013</v>
      </c>
    </row>
    <row r="6695" spans="1:34" ht="14.5" x14ac:dyDescent="0.35">
      <c r="A6695" s="34"/>
      <c r="B6695" s="35"/>
      <c r="C6695" s="36"/>
      <c r="D6695" s="37"/>
      <c r="E6695" s="36"/>
      <c r="F6695" s="42"/>
      <c r="G6695" s="42"/>
      <c r="H6695" s="42"/>
      <c r="AG6695" s="19">
        <v>6694</v>
      </c>
      <c r="AH6695" s="20">
        <v>-762.71849350508842</v>
      </c>
    </row>
    <row r="6696" spans="1:34" ht="14.5" x14ac:dyDescent="0.35">
      <c r="A6696" s="34"/>
      <c r="B6696" s="35"/>
      <c r="C6696" s="36"/>
      <c r="D6696" s="37"/>
      <c r="E6696" s="36"/>
      <c r="F6696" s="42"/>
      <c r="G6696" s="42"/>
      <c r="H6696" s="42"/>
      <c r="AG6696" s="19">
        <v>6695</v>
      </c>
      <c r="AH6696" s="20">
        <v>-1063.8283395703061</v>
      </c>
    </row>
    <row r="6697" spans="1:34" ht="14.5" x14ac:dyDescent="0.35">
      <c r="A6697" s="34"/>
      <c r="B6697" s="35"/>
      <c r="C6697" s="36"/>
      <c r="D6697" s="37"/>
      <c r="E6697" s="36"/>
      <c r="F6697" s="42"/>
      <c r="G6697" s="42"/>
      <c r="H6697" s="42"/>
      <c r="AG6697" s="19">
        <v>6696</v>
      </c>
      <c r="AH6697" s="20">
        <v>4.864276662009047</v>
      </c>
    </row>
    <row r="6698" spans="1:34" ht="14.5" x14ac:dyDescent="0.35">
      <c r="A6698" s="34"/>
      <c r="B6698" s="35"/>
      <c r="C6698" s="36"/>
      <c r="D6698" s="37"/>
      <c r="E6698" s="36"/>
      <c r="F6698" s="42"/>
      <c r="G6698" s="42"/>
      <c r="H6698" s="42"/>
      <c r="AG6698" s="19">
        <v>6697</v>
      </c>
      <c r="AH6698" s="20">
        <v>1692.6139447904209</v>
      </c>
    </row>
    <row r="6699" spans="1:34" ht="14.5" x14ac:dyDescent="0.35">
      <c r="A6699" s="34"/>
      <c r="B6699" s="35"/>
      <c r="C6699" s="36"/>
      <c r="D6699" s="37"/>
      <c r="E6699" s="36"/>
      <c r="F6699" s="42"/>
      <c r="G6699" s="42"/>
      <c r="H6699" s="42"/>
      <c r="AG6699" s="19">
        <v>6698</v>
      </c>
      <c r="AH6699" s="20">
        <v>-747.02395366174915</v>
      </c>
    </row>
    <row r="6700" spans="1:34" ht="14.5" x14ac:dyDescent="0.35">
      <c r="A6700" s="34"/>
      <c r="B6700" s="35"/>
      <c r="C6700" s="36"/>
      <c r="D6700" s="37"/>
      <c r="E6700" s="36"/>
      <c r="F6700" s="42"/>
      <c r="G6700" s="42"/>
      <c r="H6700" s="42"/>
      <c r="AG6700" s="19">
        <v>6699</v>
      </c>
      <c r="AH6700" s="20">
        <v>-2252.9854301709424</v>
      </c>
    </row>
    <row r="6701" spans="1:34" ht="14.5" x14ac:dyDescent="0.35">
      <c r="A6701" s="34"/>
      <c r="B6701" s="35"/>
      <c r="C6701" s="36"/>
      <c r="D6701" s="37"/>
      <c r="E6701" s="36"/>
      <c r="F6701" s="42"/>
      <c r="G6701" s="42"/>
      <c r="H6701" s="42"/>
      <c r="AG6701" s="19">
        <v>6700</v>
      </c>
      <c r="AH6701" s="20">
        <v>867.90878291258832</v>
      </c>
    </row>
    <row r="6702" spans="1:34" ht="14.5" x14ac:dyDescent="0.35">
      <c r="A6702" s="34"/>
      <c r="B6702" s="35"/>
      <c r="C6702" s="36"/>
      <c r="D6702" s="37"/>
      <c r="E6702" s="36"/>
      <c r="F6702" s="42"/>
      <c r="G6702" s="42"/>
      <c r="H6702" s="42"/>
      <c r="AG6702" s="19">
        <v>6701</v>
      </c>
      <c r="AH6702" s="20">
        <v>-4645.8763964364598</v>
      </c>
    </row>
    <row r="6703" spans="1:34" ht="14.5" x14ac:dyDescent="0.35">
      <c r="A6703" s="34"/>
      <c r="B6703" s="35"/>
      <c r="C6703" s="36"/>
      <c r="D6703" s="37"/>
      <c r="E6703" s="36"/>
      <c r="F6703" s="42"/>
      <c r="G6703" s="42"/>
      <c r="H6703" s="42"/>
      <c r="AG6703" s="19">
        <v>6702</v>
      </c>
      <c r="AH6703" s="20">
        <v>-2086.5208074632901</v>
      </c>
    </row>
    <row r="6704" spans="1:34" ht="14.5" x14ac:dyDescent="0.35">
      <c r="A6704" s="34"/>
      <c r="B6704" s="35"/>
      <c r="C6704" s="36"/>
      <c r="D6704" s="37"/>
      <c r="E6704" s="36"/>
      <c r="F6704" s="42"/>
      <c r="G6704" s="42"/>
      <c r="H6704" s="42"/>
      <c r="AG6704" s="19">
        <v>6703</v>
      </c>
      <c r="AH6704" s="20">
        <v>2553.2631925717274</v>
      </c>
    </row>
    <row r="6705" spans="1:34" ht="14.5" x14ac:dyDescent="0.35">
      <c r="A6705" s="34"/>
      <c r="B6705" s="35"/>
      <c r="C6705" s="36"/>
      <c r="D6705" s="37"/>
      <c r="E6705" s="36"/>
      <c r="F6705" s="42"/>
      <c r="G6705" s="42"/>
      <c r="H6705" s="42"/>
      <c r="AG6705" s="19">
        <v>6704</v>
      </c>
      <c r="AH6705" s="20">
        <v>747.9410587253285</v>
      </c>
    </row>
    <row r="6706" spans="1:34" ht="14.5" x14ac:dyDescent="0.35">
      <c r="A6706" s="34"/>
      <c r="B6706" s="35"/>
      <c r="C6706" s="36"/>
      <c r="D6706" s="37"/>
      <c r="E6706" s="36"/>
      <c r="F6706" s="42"/>
      <c r="G6706" s="42"/>
      <c r="H6706" s="42"/>
      <c r="AG6706" s="19">
        <v>6705</v>
      </c>
      <c r="AH6706" s="20">
        <v>-1115.216414185177</v>
      </c>
    </row>
    <row r="6707" spans="1:34" ht="14.5" x14ac:dyDescent="0.35">
      <c r="A6707" s="34"/>
      <c r="B6707" s="35"/>
      <c r="C6707" s="36"/>
      <c r="D6707" s="37"/>
      <c r="E6707" s="36"/>
      <c r="F6707" s="42"/>
      <c r="G6707" s="42"/>
      <c r="H6707" s="42"/>
      <c r="AG6707" s="19">
        <v>6706</v>
      </c>
      <c r="AH6707" s="20">
        <v>-1132.0459816572343</v>
      </c>
    </row>
    <row r="6708" spans="1:34" ht="14.5" x14ac:dyDescent="0.35">
      <c r="A6708" s="34"/>
      <c r="B6708" s="35"/>
      <c r="C6708" s="36"/>
      <c r="D6708" s="37"/>
      <c r="E6708" s="36"/>
      <c r="F6708" s="42"/>
      <c r="G6708" s="42"/>
      <c r="H6708" s="42"/>
      <c r="AG6708" s="19">
        <v>6707</v>
      </c>
      <c r="AH6708" s="20">
        <v>1113.6954040901276</v>
      </c>
    </row>
    <row r="6709" spans="1:34" ht="14.5" x14ac:dyDescent="0.35">
      <c r="A6709" s="34"/>
      <c r="B6709" s="35"/>
      <c r="C6709" s="36"/>
      <c r="D6709" s="37"/>
      <c r="E6709" s="36"/>
      <c r="F6709" s="42"/>
      <c r="G6709" s="42"/>
      <c r="H6709" s="42"/>
      <c r="AG6709" s="19">
        <v>6708</v>
      </c>
      <c r="AH6709" s="20">
        <v>197.12566011728373</v>
      </c>
    </row>
    <row r="6710" spans="1:34" ht="14.5" x14ac:dyDescent="0.35">
      <c r="A6710" s="34"/>
      <c r="B6710" s="35"/>
      <c r="C6710" s="36"/>
      <c r="D6710" s="37"/>
      <c r="E6710" s="36"/>
      <c r="F6710" s="42"/>
      <c r="G6710" s="42"/>
      <c r="H6710" s="42"/>
      <c r="AG6710" s="19">
        <v>6709</v>
      </c>
      <c r="AH6710" s="20">
        <v>3631.2160466752835</v>
      </c>
    </row>
    <row r="6711" spans="1:34" ht="14.5" x14ac:dyDescent="0.35">
      <c r="A6711" s="34"/>
      <c r="B6711" s="35"/>
      <c r="C6711" s="36"/>
      <c r="D6711" s="37"/>
      <c r="E6711" s="36"/>
      <c r="F6711" s="42"/>
      <c r="G6711" s="42"/>
      <c r="H6711" s="42"/>
      <c r="AG6711" s="19">
        <v>6710</v>
      </c>
      <c r="AH6711" s="20">
        <v>-315.62206427638642</v>
      </c>
    </row>
    <row r="6712" spans="1:34" ht="14.5" x14ac:dyDescent="0.35">
      <c r="A6712" s="34"/>
      <c r="B6712" s="35"/>
      <c r="C6712" s="36"/>
      <c r="D6712" s="37"/>
      <c r="E6712" s="36"/>
      <c r="F6712" s="42"/>
      <c r="G6712" s="42"/>
      <c r="H6712" s="42"/>
      <c r="AG6712" s="19">
        <v>6711</v>
      </c>
      <c r="AH6712" s="20">
        <v>-1308.4596373939346</v>
      </c>
    </row>
    <row r="6713" spans="1:34" ht="14.5" x14ac:dyDescent="0.35">
      <c r="A6713" s="34"/>
      <c r="B6713" s="35"/>
      <c r="C6713" s="36"/>
      <c r="D6713" s="37"/>
      <c r="E6713" s="36"/>
      <c r="F6713" s="42"/>
      <c r="G6713" s="42"/>
      <c r="H6713" s="42"/>
      <c r="AG6713" s="19">
        <v>6712</v>
      </c>
      <c r="AH6713" s="20">
        <v>6072.3254479466277</v>
      </c>
    </row>
    <row r="6714" spans="1:34" ht="14.5" x14ac:dyDescent="0.35">
      <c r="A6714" s="34"/>
      <c r="B6714" s="35"/>
      <c r="C6714" s="36"/>
      <c r="D6714" s="37"/>
      <c r="E6714" s="36"/>
      <c r="F6714" s="42"/>
      <c r="G6714" s="42"/>
      <c r="H6714" s="42"/>
      <c r="AG6714" s="19">
        <v>6713</v>
      </c>
      <c r="AH6714" s="20">
        <v>650.63638944248919</v>
      </c>
    </row>
    <row r="6715" spans="1:34" ht="14.5" x14ac:dyDescent="0.35">
      <c r="A6715" s="34"/>
      <c r="B6715" s="35"/>
      <c r="C6715" s="36"/>
      <c r="D6715" s="37"/>
      <c r="E6715" s="36"/>
      <c r="F6715" s="42"/>
      <c r="G6715" s="42"/>
      <c r="H6715" s="42"/>
      <c r="AG6715" s="19">
        <v>6714</v>
      </c>
      <c r="AH6715" s="20">
        <v>306.62457042714493</v>
      </c>
    </row>
    <row r="6716" spans="1:34" ht="14.5" x14ac:dyDescent="0.35">
      <c r="A6716" s="34"/>
      <c r="B6716" s="35"/>
      <c r="C6716" s="36"/>
      <c r="D6716" s="37"/>
      <c r="E6716" s="36"/>
      <c r="F6716" s="42"/>
      <c r="G6716" s="42"/>
      <c r="H6716" s="42"/>
      <c r="AG6716" s="19">
        <v>6715</v>
      </c>
      <c r="AH6716" s="20">
        <v>4088.6071542152731</v>
      </c>
    </row>
    <row r="6717" spans="1:34" ht="14.5" x14ac:dyDescent="0.35">
      <c r="A6717" s="34"/>
      <c r="B6717" s="35"/>
      <c r="C6717" s="36"/>
      <c r="D6717" s="37"/>
      <c r="E6717" s="36"/>
      <c r="F6717" s="42"/>
      <c r="G6717" s="42"/>
      <c r="H6717" s="42"/>
      <c r="AG6717" s="19">
        <v>6716</v>
      </c>
      <c r="AH6717" s="20">
        <v>-1126.7107193370962</v>
      </c>
    </row>
    <row r="6718" spans="1:34" ht="14.5" x14ac:dyDescent="0.35">
      <c r="A6718" s="34"/>
      <c r="B6718" s="35"/>
      <c r="C6718" s="36"/>
      <c r="D6718" s="37"/>
      <c r="E6718" s="36"/>
      <c r="F6718" s="42"/>
      <c r="G6718" s="42"/>
      <c r="H6718" s="42"/>
      <c r="AG6718" s="19">
        <v>6717</v>
      </c>
      <c r="AH6718" s="20">
        <v>211.35990504811795</v>
      </c>
    </row>
    <row r="6719" spans="1:34" ht="14.5" x14ac:dyDescent="0.35">
      <c r="A6719" s="34"/>
      <c r="B6719" s="35"/>
      <c r="C6719" s="36"/>
      <c r="D6719" s="37"/>
      <c r="E6719" s="36"/>
      <c r="F6719" s="42"/>
      <c r="G6719" s="42"/>
      <c r="H6719" s="42"/>
      <c r="AG6719" s="19">
        <v>6718</v>
      </c>
      <c r="AH6719" s="20">
        <v>-2546.4257828857858</v>
      </c>
    </row>
    <row r="6720" spans="1:34" ht="14.5" x14ac:dyDescent="0.35">
      <c r="A6720" s="34"/>
      <c r="B6720" s="35"/>
      <c r="C6720" s="36"/>
      <c r="D6720" s="37"/>
      <c r="E6720" s="36"/>
      <c r="F6720" s="42"/>
      <c r="G6720" s="42"/>
      <c r="H6720" s="42"/>
      <c r="AG6720" s="19">
        <v>6719</v>
      </c>
      <c r="AH6720" s="20">
        <v>204.68582407283412</v>
      </c>
    </row>
    <row r="6721" spans="1:34" ht="14.5" x14ac:dyDescent="0.35">
      <c r="A6721" s="34"/>
      <c r="B6721" s="35"/>
      <c r="C6721" s="36"/>
      <c r="D6721" s="37"/>
      <c r="E6721" s="36"/>
      <c r="F6721" s="42"/>
      <c r="G6721" s="42"/>
      <c r="H6721" s="42"/>
      <c r="AG6721" s="19">
        <v>6720</v>
      </c>
      <c r="AH6721" s="20">
        <v>2046.5791892064935</v>
      </c>
    </row>
    <row r="6722" spans="1:34" ht="14.5" x14ac:dyDescent="0.35">
      <c r="A6722" s="34"/>
      <c r="B6722" s="35"/>
      <c r="C6722" s="36"/>
      <c r="D6722" s="37"/>
      <c r="E6722" s="36"/>
      <c r="F6722" s="42"/>
      <c r="G6722" s="42"/>
      <c r="H6722" s="42"/>
      <c r="AG6722" s="19">
        <v>6721</v>
      </c>
      <c r="AH6722" s="20">
        <v>-1935.2861099055483</v>
      </c>
    </row>
    <row r="6723" spans="1:34" ht="14.5" x14ac:dyDescent="0.35">
      <c r="A6723" s="34"/>
      <c r="B6723" s="35"/>
      <c r="C6723" s="36"/>
      <c r="D6723" s="37"/>
      <c r="E6723" s="36"/>
      <c r="F6723" s="42"/>
      <c r="G6723" s="42"/>
      <c r="H6723" s="42"/>
      <c r="AG6723" s="19">
        <v>6722</v>
      </c>
      <c r="AH6723" s="20">
        <v>-1133.4816841798581</v>
      </c>
    </row>
    <row r="6724" spans="1:34" ht="14.5" x14ac:dyDescent="0.35">
      <c r="A6724" s="34"/>
      <c r="B6724" s="35"/>
      <c r="C6724" s="36"/>
      <c r="D6724" s="37"/>
      <c r="E6724" s="36"/>
      <c r="F6724" s="42"/>
      <c r="G6724" s="42"/>
      <c r="H6724" s="42"/>
      <c r="AG6724" s="19">
        <v>6723</v>
      </c>
      <c r="AH6724" s="20">
        <v>2375.762571750045</v>
      </c>
    </row>
    <row r="6725" spans="1:34" ht="14.5" x14ac:dyDescent="0.35">
      <c r="A6725" s="34"/>
      <c r="B6725" s="35"/>
      <c r="C6725" s="36"/>
      <c r="D6725" s="37"/>
      <c r="E6725" s="36"/>
      <c r="F6725" s="42"/>
      <c r="G6725" s="42"/>
      <c r="H6725" s="42"/>
      <c r="AG6725" s="19">
        <v>6724</v>
      </c>
      <c r="AH6725" s="20">
        <v>2310.7433054312146</v>
      </c>
    </row>
    <row r="6726" spans="1:34" ht="14.5" x14ac:dyDescent="0.35">
      <c r="A6726" s="34"/>
      <c r="B6726" s="35"/>
      <c r="C6726" s="36"/>
      <c r="D6726" s="37"/>
      <c r="E6726" s="36"/>
      <c r="F6726" s="42"/>
      <c r="G6726" s="42"/>
      <c r="H6726" s="42"/>
      <c r="AG6726" s="19">
        <v>6725</v>
      </c>
      <c r="AH6726" s="20">
        <v>-1570.4071779044689</v>
      </c>
    </row>
    <row r="6727" spans="1:34" ht="14.5" x14ac:dyDescent="0.35">
      <c r="A6727" s="34"/>
      <c r="B6727" s="35"/>
      <c r="C6727" s="36"/>
      <c r="D6727" s="37"/>
      <c r="E6727" s="36"/>
      <c r="F6727" s="42"/>
      <c r="G6727" s="42"/>
      <c r="H6727" s="42"/>
      <c r="AG6727" s="19">
        <v>6726</v>
      </c>
      <c r="AH6727" s="20">
        <v>-1144.8862821612254</v>
      </c>
    </row>
    <row r="6728" spans="1:34" ht="14.5" x14ac:dyDescent="0.35">
      <c r="A6728" s="34"/>
      <c r="B6728" s="35"/>
      <c r="C6728" s="36"/>
      <c r="D6728" s="37"/>
      <c r="E6728" s="36"/>
      <c r="F6728" s="42"/>
      <c r="G6728" s="42"/>
      <c r="H6728" s="42"/>
      <c r="AG6728" s="19">
        <v>6727</v>
      </c>
      <c r="AH6728" s="20">
        <v>-1342.565133232308</v>
      </c>
    </row>
    <row r="6729" spans="1:34" ht="14.5" x14ac:dyDescent="0.35">
      <c r="A6729" s="34"/>
      <c r="B6729" s="35"/>
      <c r="C6729" s="36"/>
      <c r="D6729" s="37"/>
      <c r="E6729" s="36"/>
      <c r="F6729" s="42"/>
      <c r="G6729" s="42"/>
      <c r="H6729" s="42"/>
      <c r="AG6729" s="19">
        <v>6728</v>
      </c>
      <c r="AH6729" s="20">
        <v>-266.50122113524782</v>
      </c>
    </row>
    <row r="6730" spans="1:34" ht="14.5" x14ac:dyDescent="0.35">
      <c r="A6730" s="34"/>
      <c r="B6730" s="35"/>
      <c r="C6730" s="36"/>
      <c r="D6730" s="37"/>
      <c r="E6730" s="36"/>
      <c r="F6730" s="42"/>
      <c r="G6730" s="42"/>
      <c r="H6730" s="42"/>
      <c r="AG6730" s="19">
        <v>6729</v>
      </c>
      <c r="AH6730" s="20">
        <v>-455.27763057173973</v>
      </c>
    </row>
    <row r="6731" spans="1:34" ht="14.5" x14ac:dyDescent="0.35">
      <c r="A6731" s="34"/>
      <c r="B6731" s="35"/>
      <c r="C6731" s="36"/>
      <c r="D6731" s="37"/>
      <c r="E6731" s="36"/>
      <c r="F6731" s="42"/>
      <c r="G6731" s="42"/>
      <c r="H6731" s="42"/>
      <c r="AG6731" s="19">
        <v>6730</v>
      </c>
      <c r="AH6731" s="20">
        <v>1849.8464127729403</v>
      </c>
    </row>
    <row r="6732" spans="1:34" ht="14.5" x14ac:dyDescent="0.35">
      <c r="A6732" s="34"/>
      <c r="B6732" s="35"/>
      <c r="C6732" s="36"/>
      <c r="D6732" s="37"/>
      <c r="E6732" s="36"/>
      <c r="F6732" s="42"/>
      <c r="G6732" s="42"/>
      <c r="H6732" s="42"/>
      <c r="AG6732" s="19">
        <v>6731</v>
      </c>
      <c r="AH6732" s="20">
        <v>-1482.9089414542734</v>
      </c>
    </row>
    <row r="6733" spans="1:34" ht="14.5" x14ac:dyDescent="0.35">
      <c r="A6733" s="34"/>
      <c r="B6733" s="35"/>
      <c r="C6733" s="36"/>
      <c r="D6733" s="37"/>
      <c r="E6733" s="36"/>
      <c r="F6733" s="42"/>
      <c r="G6733" s="42"/>
      <c r="H6733" s="42"/>
      <c r="AG6733" s="19">
        <v>6732</v>
      </c>
      <c r="AH6733" s="20">
        <v>-1790.4807746506688</v>
      </c>
    </row>
    <row r="6734" spans="1:34" ht="14.5" x14ac:dyDescent="0.35">
      <c r="A6734" s="34"/>
      <c r="B6734" s="35"/>
      <c r="C6734" s="36"/>
      <c r="D6734" s="37"/>
      <c r="E6734" s="36"/>
      <c r="F6734" s="42"/>
      <c r="G6734" s="42"/>
      <c r="H6734" s="42"/>
      <c r="AG6734" s="19">
        <v>6733</v>
      </c>
      <c r="AH6734" s="20">
        <v>303.74112290935193</v>
      </c>
    </row>
    <row r="6735" spans="1:34" ht="14.5" x14ac:dyDescent="0.35">
      <c r="A6735" s="34"/>
      <c r="B6735" s="35"/>
      <c r="C6735" s="36"/>
      <c r="D6735" s="37"/>
      <c r="E6735" s="36"/>
      <c r="F6735" s="42"/>
      <c r="G6735" s="42"/>
      <c r="H6735" s="42"/>
      <c r="AG6735" s="19">
        <v>6734</v>
      </c>
      <c r="AH6735" s="20">
        <v>1848.4404264743425</v>
      </c>
    </row>
    <row r="6736" spans="1:34" ht="14.5" x14ac:dyDescent="0.35">
      <c r="A6736" s="34"/>
      <c r="B6736" s="35"/>
      <c r="C6736" s="36"/>
      <c r="D6736" s="37"/>
      <c r="E6736" s="36"/>
      <c r="F6736" s="42"/>
      <c r="G6736" s="42"/>
      <c r="H6736" s="42"/>
      <c r="AG6736" s="19">
        <v>6735</v>
      </c>
      <c r="AH6736" s="20">
        <v>2250.4405999435735</v>
      </c>
    </row>
    <row r="6737" spans="1:34" ht="14.5" x14ac:dyDescent="0.35">
      <c r="A6737" s="34"/>
      <c r="B6737" s="35"/>
      <c r="C6737" s="36"/>
      <c r="D6737" s="37"/>
      <c r="E6737" s="36"/>
      <c r="F6737" s="42"/>
      <c r="G6737" s="42"/>
      <c r="H6737" s="42"/>
      <c r="AG6737" s="19">
        <v>6736</v>
      </c>
      <c r="AH6737" s="20">
        <v>-1866.0384567029771</v>
      </c>
    </row>
    <row r="6738" spans="1:34" ht="14.5" x14ac:dyDescent="0.35">
      <c r="A6738" s="34"/>
      <c r="B6738" s="35"/>
      <c r="C6738" s="36"/>
      <c r="D6738" s="37"/>
      <c r="E6738" s="36"/>
      <c r="F6738" s="42"/>
      <c r="G6738" s="42"/>
      <c r="H6738" s="42"/>
      <c r="AG6738" s="19">
        <v>6737</v>
      </c>
      <c r="AH6738" s="20">
        <v>1883.2289508170975</v>
      </c>
    </row>
    <row r="6739" spans="1:34" ht="14.5" x14ac:dyDescent="0.35">
      <c r="A6739" s="34"/>
      <c r="B6739" s="35"/>
      <c r="C6739" s="36"/>
      <c r="D6739" s="37"/>
      <c r="E6739" s="36"/>
      <c r="F6739" s="42"/>
      <c r="G6739" s="42"/>
      <c r="H6739" s="42"/>
      <c r="AG6739" s="19">
        <v>6738</v>
      </c>
      <c r="AH6739" s="20">
        <v>2467.5613522934896</v>
      </c>
    </row>
    <row r="6740" spans="1:34" ht="14.5" x14ac:dyDescent="0.35">
      <c r="A6740" s="34"/>
      <c r="B6740" s="35"/>
      <c r="C6740" s="36"/>
      <c r="D6740" s="37"/>
      <c r="E6740" s="36"/>
      <c r="F6740" s="42"/>
      <c r="G6740" s="42"/>
      <c r="H6740" s="42"/>
      <c r="AG6740" s="19">
        <v>6739</v>
      </c>
      <c r="AH6740" s="20">
        <v>1947.9873771762529</v>
      </c>
    </row>
    <row r="6741" spans="1:34" ht="14.5" x14ac:dyDescent="0.35">
      <c r="A6741" s="34"/>
      <c r="B6741" s="35"/>
      <c r="C6741" s="36"/>
      <c r="D6741" s="37"/>
      <c r="E6741" s="36"/>
      <c r="F6741" s="42"/>
      <c r="G6741" s="42"/>
      <c r="H6741" s="42"/>
      <c r="AG6741" s="19">
        <v>6740</v>
      </c>
      <c r="AH6741" s="20">
        <v>-1165.8411081676866</v>
      </c>
    </row>
    <row r="6742" spans="1:34" ht="14.5" x14ac:dyDescent="0.35">
      <c r="A6742" s="34"/>
      <c r="B6742" s="35"/>
      <c r="C6742" s="36"/>
      <c r="D6742" s="37"/>
      <c r="E6742" s="36"/>
      <c r="F6742" s="42"/>
      <c r="G6742" s="42"/>
      <c r="H6742" s="42"/>
      <c r="AG6742" s="19">
        <v>6741</v>
      </c>
      <c r="AH6742" s="20">
        <v>4307.5195878394461</v>
      </c>
    </row>
    <row r="6743" spans="1:34" ht="14.5" x14ac:dyDescent="0.35">
      <c r="A6743" s="34"/>
      <c r="B6743" s="35"/>
      <c r="C6743" s="36"/>
      <c r="D6743" s="37"/>
      <c r="E6743" s="36"/>
      <c r="F6743" s="42"/>
      <c r="G6743" s="42"/>
      <c r="H6743" s="42"/>
      <c r="AG6743" s="19">
        <v>6742</v>
      </c>
      <c r="AH6743" s="20">
        <v>2012.7720914195331</v>
      </c>
    </row>
    <row r="6744" spans="1:34" ht="14.5" x14ac:dyDescent="0.35">
      <c r="A6744" s="34"/>
      <c r="B6744" s="35"/>
      <c r="C6744" s="36"/>
      <c r="D6744" s="37"/>
      <c r="E6744" s="36"/>
      <c r="F6744" s="42"/>
      <c r="G6744" s="42"/>
      <c r="H6744" s="42"/>
      <c r="AG6744" s="19">
        <v>6743</v>
      </c>
      <c r="AH6744" s="20">
        <v>-3483.6346323373086</v>
      </c>
    </row>
    <row r="6745" spans="1:34" ht="14.5" x14ac:dyDescent="0.35">
      <c r="A6745" s="34"/>
      <c r="B6745" s="35"/>
      <c r="C6745" s="36"/>
      <c r="D6745" s="37"/>
      <c r="E6745" s="36"/>
      <c r="F6745" s="42"/>
      <c r="G6745" s="42"/>
      <c r="H6745" s="42"/>
      <c r="AG6745" s="19">
        <v>6744</v>
      </c>
      <c r="AH6745" s="20">
        <v>-1505.5369162236441</v>
      </c>
    </row>
    <row r="6746" spans="1:34" ht="14.5" x14ac:dyDescent="0.35">
      <c r="A6746" s="34"/>
      <c r="B6746" s="35"/>
      <c r="C6746" s="36"/>
      <c r="D6746" s="37"/>
      <c r="E6746" s="36"/>
      <c r="F6746" s="42"/>
      <c r="G6746" s="42"/>
      <c r="H6746" s="42"/>
      <c r="AG6746" s="19">
        <v>6745</v>
      </c>
      <c r="AH6746" s="20">
        <v>4684.9313629784792</v>
      </c>
    </row>
    <row r="6747" spans="1:34" ht="14.5" x14ac:dyDescent="0.35">
      <c r="A6747" s="34"/>
      <c r="B6747" s="35"/>
      <c r="C6747" s="36"/>
      <c r="D6747" s="37"/>
      <c r="E6747" s="36"/>
      <c r="F6747" s="42"/>
      <c r="G6747" s="42"/>
      <c r="H6747" s="42"/>
      <c r="AG6747" s="19">
        <v>6746</v>
      </c>
      <c r="AH6747" s="20">
        <v>1497.2732599124338</v>
      </c>
    </row>
    <row r="6748" spans="1:34" ht="14.5" x14ac:dyDescent="0.35">
      <c r="A6748" s="34"/>
      <c r="B6748" s="35"/>
      <c r="C6748" s="36"/>
      <c r="D6748" s="37"/>
      <c r="E6748" s="36"/>
      <c r="F6748" s="42"/>
      <c r="G6748" s="42"/>
      <c r="H6748" s="42"/>
      <c r="AG6748" s="19">
        <v>6747</v>
      </c>
      <c r="AH6748" s="20">
        <v>3233.7548839762635</v>
      </c>
    </row>
    <row r="6749" spans="1:34" ht="14.5" x14ac:dyDescent="0.35">
      <c r="A6749" s="34"/>
      <c r="B6749" s="35"/>
      <c r="C6749" s="36"/>
      <c r="D6749" s="37"/>
      <c r="E6749" s="36"/>
      <c r="F6749" s="42"/>
      <c r="G6749" s="42"/>
      <c r="H6749" s="42"/>
      <c r="AG6749" s="19">
        <v>6748</v>
      </c>
      <c r="AH6749" s="20">
        <v>-2200.5661618661225</v>
      </c>
    </row>
    <row r="6750" spans="1:34" ht="14.5" x14ac:dyDescent="0.35">
      <c r="A6750" s="34"/>
      <c r="B6750" s="35"/>
      <c r="C6750" s="36"/>
      <c r="D6750" s="37"/>
      <c r="E6750" s="36"/>
      <c r="F6750" s="42"/>
      <c r="G6750" s="42"/>
      <c r="H6750" s="42"/>
      <c r="AG6750" s="19">
        <v>6749</v>
      </c>
      <c r="AH6750" s="20">
        <v>2227.9227573377557</v>
      </c>
    </row>
    <row r="6751" spans="1:34" ht="14.5" x14ac:dyDescent="0.35">
      <c r="A6751" s="34"/>
      <c r="B6751" s="35"/>
      <c r="C6751" s="36"/>
      <c r="D6751" s="37"/>
      <c r="E6751" s="36"/>
      <c r="F6751" s="42"/>
      <c r="G6751" s="42"/>
      <c r="H6751" s="42"/>
      <c r="AG6751" s="19">
        <v>6750</v>
      </c>
      <c r="AH6751" s="20">
        <v>294.29167421175248</v>
      </c>
    </row>
    <row r="6752" spans="1:34" ht="14.5" x14ac:dyDescent="0.35">
      <c r="A6752" s="34"/>
      <c r="B6752" s="35"/>
      <c r="C6752" s="36"/>
      <c r="D6752" s="37"/>
      <c r="E6752" s="36"/>
      <c r="F6752" s="42"/>
      <c r="G6752" s="42"/>
      <c r="H6752" s="42"/>
      <c r="AG6752" s="19">
        <v>6751</v>
      </c>
      <c r="AH6752" s="20">
        <v>-2242.2148533914074</v>
      </c>
    </row>
    <row r="6753" spans="1:34" ht="14.5" x14ac:dyDescent="0.35">
      <c r="A6753" s="34"/>
      <c r="B6753" s="35"/>
      <c r="C6753" s="36"/>
      <c r="D6753" s="37"/>
      <c r="E6753" s="36"/>
      <c r="F6753" s="42"/>
      <c r="G6753" s="42"/>
      <c r="H6753" s="42"/>
      <c r="AG6753" s="19">
        <v>6752</v>
      </c>
      <c r="AH6753" s="20">
        <v>-3852.6178381686304</v>
      </c>
    </row>
    <row r="6754" spans="1:34" ht="14.5" x14ac:dyDescent="0.35">
      <c r="A6754" s="34"/>
      <c r="B6754" s="35"/>
      <c r="C6754" s="36"/>
      <c r="D6754" s="37"/>
      <c r="E6754" s="36"/>
      <c r="F6754" s="42"/>
      <c r="G6754" s="42"/>
      <c r="H6754" s="42"/>
      <c r="AG6754" s="19">
        <v>6753</v>
      </c>
      <c r="AH6754" s="20">
        <v>2484.7684455502617</v>
      </c>
    </row>
    <row r="6755" spans="1:34" ht="14.5" x14ac:dyDescent="0.35">
      <c r="A6755" s="34"/>
      <c r="B6755" s="35"/>
      <c r="C6755" s="36"/>
      <c r="D6755" s="37"/>
      <c r="E6755" s="36"/>
      <c r="F6755" s="42"/>
      <c r="G6755" s="42"/>
      <c r="H6755" s="42"/>
      <c r="AG6755" s="19">
        <v>6754</v>
      </c>
      <c r="AH6755" s="20">
        <v>-425.40452233435502</v>
      </c>
    </row>
    <row r="6756" spans="1:34" ht="14.5" x14ac:dyDescent="0.35">
      <c r="A6756" s="34"/>
      <c r="B6756" s="35"/>
      <c r="C6756" s="36"/>
      <c r="D6756" s="37"/>
      <c r="E6756" s="36"/>
      <c r="F6756" s="42"/>
      <c r="G6756" s="42"/>
      <c r="H6756" s="42"/>
      <c r="AG6756" s="19">
        <v>6755</v>
      </c>
      <c r="AH6756" s="20">
        <v>-247.8318426103221</v>
      </c>
    </row>
    <row r="6757" spans="1:34" ht="14.5" x14ac:dyDescent="0.35">
      <c r="A6757" s="34"/>
      <c r="B6757" s="35"/>
      <c r="C6757" s="36"/>
      <c r="D6757" s="37"/>
      <c r="E6757" s="36"/>
      <c r="F6757" s="42"/>
      <c r="G6757" s="42"/>
      <c r="H6757" s="42"/>
      <c r="AG6757" s="19">
        <v>6756</v>
      </c>
      <c r="AH6757" s="20">
        <v>591.69107917702763</v>
      </c>
    </row>
    <row r="6758" spans="1:34" ht="14.5" x14ac:dyDescent="0.35">
      <c r="A6758" s="34"/>
      <c r="B6758" s="35"/>
      <c r="C6758" s="36"/>
      <c r="D6758" s="37"/>
      <c r="E6758" s="36"/>
      <c r="F6758" s="42"/>
      <c r="G6758" s="42"/>
      <c r="H6758" s="42"/>
      <c r="AG6758" s="19">
        <v>6757</v>
      </c>
      <c r="AH6758" s="20">
        <v>3436.2985909984018</v>
      </c>
    </row>
    <row r="6759" spans="1:34" ht="14.5" x14ac:dyDescent="0.35">
      <c r="A6759" s="34"/>
      <c r="B6759" s="35"/>
      <c r="C6759" s="36"/>
      <c r="D6759" s="37"/>
      <c r="E6759" s="36"/>
      <c r="F6759" s="42"/>
      <c r="G6759" s="42"/>
      <c r="H6759" s="42"/>
      <c r="AG6759" s="19">
        <v>6758</v>
      </c>
      <c r="AH6759" s="20">
        <v>-357.49320076612258</v>
      </c>
    </row>
    <row r="6760" spans="1:34" ht="14.5" x14ac:dyDescent="0.35">
      <c r="A6760" s="34"/>
      <c r="B6760" s="35"/>
      <c r="C6760" s="36"/>
      <c r="D6760" s="37"/>
      <c r="E6760" s="36"/>
      <c r="F6760" s="42"/>
      <c r="G6760" s="42"/>
      <c r="H6760" s="42"/>
      <c r="AG6760" s="19">
        <v>6759</v>
      </c>
      <c r="AH6760" s="20">
        <v>-255.97448761740094</v>
      </c>
    </row>
    <row r="6761" spans="1:34" ht="14.5" x14ac:dyDescent="0.35">
      <c r="A6761" s="34"/>
      <c r="B6761" s="35"/>
      <c r="C6761" s="36"/>
      <c r="D6761" s="37"/>
      <c r="E6761" s="36"/>
      <c r="F6761" s="42"/>
      <c r="G6761" s="42"/>
      <c r="H6761" s="42"/>
      <c r="AG6761" s="19">
        <v>6760</v>
      </c>
      <c r="AH6761" s="20">
        <v>-59.252824328356439</v>
      </c>
    </row>
    <row r="6762" spans="1:34" ht="14.5" x14ac:dyDescent="0.35">
      <c r="A6762" s="34"/>
      <c r="B6762" s="35"/>
      <c r="C6762" s="36"/>
      <c r="D6762" s="37"/>
      <c r="E6762" s="36"/>
      <c r="F6762" s="42"/>
      <c r="G6762" s="42"/>
      <c r="H6762" s="42"/>
      <c r="AG6762" s="19">
        <v>6761</v>
      </c>
      <c r="AH6762" s="20">
        <v>-5057.2049814759939</v>
      </c>
    </row>
    <row r="6763" spans="1:34" ht="14.5" x14ac:dyDescent="0.35">
      <c r="A6763" s="34"/>
      <c r="B6763" s="35"/>
      <c r="C6763" s="36"/>
      <c r="D6763" s="37"/>
      <c r="E6763" s="36"/>
      <c r="F6763" s="42"/>
      <c r="G6763" s="42"/>
      <c r="H6763" s="42"/>
      <c r="AG6763" s="19">
        <v>6762</v>
      </c>
      <c r="AH6763" s="20">
        <v>3463.1872733766786</v>
      </c>
    </row>
    <row r="6764" spans="1:34" ht="14.5" x14ac:dyDescent="0.35">
      <c r="A6764" s="34"/>
      <c r="B6764" s="35"/>
      <c r="C6764" s="36"/>
      <c r="D6764" s="37"/>
      <c r="E6764" s="36"/>
      <c r="F6764" s="42"/>
      <c r="G6764" s="42"/>
      <c r="H6764" s="42"/>
      <c r="AG6764" s="19">
        <v>6763</v>
      </c>
      <c r="AH6764" s="20">
        <v>-1522.1348995766323</v>
      </c>
    </row>
    <row r="6765" spans="1:34" ht="14.5" x14ac:dyDescent="0.35">
      <c r="A6765" s="34"/>
      <c r="B6765" s="35"/>
      <c r="C6765" s="36"/>
      <c r="D6765" s="37"/>
      <c r="E6765" s="36"/>
      <c r="F6765" s="42"/>
      <c r="G6765" s="42"/>
      <c r="H6765" s="42"/>
      <c r="AG6765" s="19">
        <v>6764</v>
      </c>
      <c r="AH6765" s="20">
        <v>1598.0267779451883</v>
      </c>
    </row>
    <row r="6766" spans="1:34" ht="14.5" x14ac:dyDescent="0.35">
      <c r="A6766" s="34"/>
      <c r="B6766" s="35"/>
      <c r="C6766" s="36"/>
      <c r="D6766" s="37"/>
      <c r="E6766" s="36"/>
      <c r="F6766" s="42"/>
      <c r="G6766" s="42"/>
      <c r="H6766" s="42"/>
      <c r="AG6766" s="19">
        <v>6765</v>
      </c>
      <c r="AH6766" s="20">
        <v>3361.7337389740915</v>
      </c>
    </row>
    <row r="6767" spans="1:34" ht="14.5" x14ac:dyDescent="0.35">
      <c r="A6767" s="34"/>
      <c r="B6767" s="35"/>
      <c r="C6767" s="36"/>
      <c r="D6767" s="37"/>
      <c r="E6767" s="36"/>
      <c r="F6767" s="42"/>
      <c r="G6767" s="42"/>
      <c r="H6767" s="42"/>
      <c r="AG6767" s="19">
        <v>6766</v>
      </c>
      <c r="AH6767" s="20">
        <v>409.54236980999724</v>
      </c>
    </row>
    <row r="6768" spans="1:34" ht="14.5" x14ac:dyDescent="0.35">
      <c r="A6768" s="34"/>
      <c r="B6768" s="35"/>
      <c r="C6768" s="36"/>
      <c r="D6768" s="37"/>
      <c r="E6768" s="36"/>
      <c r="F6768" s="42"/>
      <c r="G6768" s="42"/>
      <c r="H6768" s="42"/>
      <c r="AG6768" s="19">
        <v>6767</v>
      </c>
      <c r="AH6768" s="20">
        <v>-1614.3494656424614</v>
      </c>
    </row>
    <row r="6769" spans="1:34" ht="14.5" x14ac:dyDescent="0.35">
      <c r="A6769" s="34"/>
      <c r="B6769" s="35"/>
      <c r="C6769" s="36"/>
      <c r="D6769" s="37"/>
      <c r="E6769" s="36"/>
      <c r="F6769" s="42"/>
      <c r="G6769" s="42"/>
      <c r="H6769" s="42"/>
      <c r="AG6769" s="19">
        <v>6768</v>
      </c>
      <c r="AH6769" s="20">
        <v>664.07628234734079</v>
      </c>
    </row>
    <row r="6770" spans="1:34" ht="14.5" x14ac:dyDescent="0.35">
      <c r="A6770" s="34"/>
      <c r="B6770" s="35"/>
      <c r="C6770" s="36"/>
      <c r="D6770" s="37"/>
      <c r="E6770" s="36"/>
      <c r="F6770" s="42"/>
      <c r="G6770" s="42"/>
      <c r="H6770" s="42"/>
      <c r="AG6770" s="19">
        <v>6769</v>
      </c>
      <c r="AH6770" s="20">
        <v>1473.7934524818397</v>
      </c>
    </row>
    <row r="6771" spans="1:34" ht="14.5" x14ac:dyDescent="0.35">
      <c r="A6771" s="34"/>
      <c r="B6771" s="35"/>
      <c r="C6771" s="36"/>
      <c r="D6771" s="37"/>
      <c r="E6771" s="36"/>
      <c r="F6771" s="42"/>
      <c r="G6771" s="42"/>
      <c r="H6771" s="42"/>
      <c r="AG6771" s="19">
        <v>6770</v>
      </c>
      <c r="AH6771" s="20">
        <v>1819.3450919262359</v>
      </c>
    </row>
    <row r="6772" spans="1:34" ht="14.5" x14ac:dyDescent="0.35">
      <c r="A6772" s="34"/>
      <c r="B6772" s="35"/>
      <c r="C6772" s="36"/>
      <c r="D6772" s="37"/>
      <c r="E6772" s="36"/>
      <c r="F6772" s="42"/>
      <c r="G6772" s="42"/>
      <c r="H6772" s="42"/>
      <c r="AG6772" s="19">
        <v>6771</v>
      </c>
      <c r="AH6772" s="20">
        <v>-3604.6638186388768</v>
      </c>
    </row>
    <row r="6773" spans="1:34" ht="14.5" x14ac:dyDescent="0.35">
      <c r="A6773" s="34"/>
      <c r="B6773" s="35"/>
      <c r="C6773" s="36"/>
      <c r="D6773" s="37"/>
      <c r="E6773" s="36"/>
      <c r="F6773" s="42"/>
      <c r="G6773" s="42"/>
      <c r="H6773" s="42"/>
      <c r="AG6773" s="19">
        <v>6772</v>
      </c>
      <c r="AH6773" s="20">
        <v>1663.3324117698137</v>
      </c>
    </row>
    <row r="6774" spans="1:34" ht="14.5" x14ac:dyDescent="0.35">
      <c r="A6774" s="34"/>
      <c r="B6774" s="35"/>
      <c r="C6774" s="36"/>
      <c r="D6774" s="37"/>
      <c r="E6774" s="36"/>
      <c r="F6774" s="42"/>
      <c r="G6774" s="42"/>
      <c r="H6774" s="42"/>
      <c r="AG6774" s="19">
        <v>6773</v>
      </c>
      <c r="AH6774" s="20">
        <v>-1655.9555119356567</v>
      </c>
    </row>
    <row r="6775" spans="1:34" ht="14.5" x14ac:dyDescent="0.35">
      <c r="A6775" s="34"/>
      <c r="B6775" s="35"/>
      <c r="C6775" s="36"/>
      <c r="D6775" s="37"/>
      <c r="E6775" s="36"/>
      <c r="F6775" s="42"/>
      <c r="G6775" s="42"/>
      <c r="H6775" s="42"/>
      <c r="AG6775" s="19">
        <v>6774</v>
      </c>
      <c r="AH6775" s="20">
        <v>2686.3998312955428</v>
      </c>
    </row>
    <row r="6776" spans="1:34" ht="14.5" x14ac:dyDescent="0.35">
      <c r="A6776" s="34"/>
      <c r="B6776" s="35"/>
      <c r="C6776" s="36"/>
      <c r="D6776" s="37"/>
      <c r="E6776" s="36"/>
      <c r="F6776" s="42"/>
      <c r="G6776" s="42"/>
      <c r="H6776" s="42"/>
      <c r="AG6776" s="19">
        <v>6775</v>
      </c>
      <c r="AH6776" s="20">
        <v>2717.5227701844583</v>
      </c>
    </row>
    <row r="6777" spans="1:34" ht="14.5" x14ac:dyDescent="0.35">
      <c r="A6777" s="34"/>
      <c r="B6777" s="35"/>
      <c r="C6777" s="36"/>
      <c r="D6777" s="37"/>
      <c r="E6777" s="36"/>
      <c r="F6777" s="42"/>
      <c r="G6777" s="42"/>
      <c r="H6777" s="42"/>
      <c r="AG6777" s="19">
        <v>6776</v>
      </c>
      <c r="AH6777" s="20">
        <v>-405.20117179483253</v>
      </c>
    </row>
    <row r="6778" spans="1:34" ht="14.5" x14ac:dyDescent="0.35">
      <c r="A6778" s="34"/>
      <c r="B6778" s="35"/>
      <c r="C6778" s="36"/>
      <c r="D6778" s="37"/>
      <c r="E6778" s="36"/>
      <c r="F6778" s="42"/>
      <c r="G6778" s="42"/>
      <c r="H6778" s="42"/>
      <c r="AG6778" s="19">
        <v>6777</v>
      </c>
      <c r="AH6778" s="20">
        <v>2405.526595130204</v>
      </c>
    </row>
    <row r="6779" spans="1:34" ht="14.5" x14ac:dyDescent="0.35">
      <c r="A6779" s="34"/>
      <c r="B6779" s="35"/>
      <c r="C6779" s="36"/>
      <c r="D6779" s="37"/>
      <c r="E6779" s="36"/>
      <c r="F6779" s="42"/>
      <c r="G6779" s="42"/>
      <c r="H6779" s="42"/>
      <c r="AG6779" s="19">
        <v>6778</v>
      </c>
      <c r="AH6779" s="20">
        <v>2679.164079659306</v>
      </c>
    </row>
    <row r="6780" spans="1:34" ht="14.5" x14ac:dyDescent="0.35">
      <c r="A6780" s="34"/>
      <c r="B6780" s="35"/>
      <c r="C6780" s="36"/>
      <c r="D6780" s="37"/>
      <c r="E6780" s="36"/>
      <c r="F6780" s="42"/>
      <c r="G6780" s="42"/>
      <c r="H6780" s="42"/>
      <c r="AG6780" s="19">
        <v>6779</v>
      </c>
      <c r="AH6780" s="20">
        <v>4076.3439091239634</v>
      </c>
    </row>
    <row r="6781" spans="1:34" ht="14.5" x14ac:dyDescent="0.35">
      <c r="A6781" s="34"/>
      <c r="B6781" s="35"/>
      <c r="C6781" s="36"/>
      <c r="D6781" s="37"/>
      <c r="E6781" s="36"/>
      <c r="F6781" s="42"/>
      <c r="G6781" s="42"/>
      <c r="H6781" s="42"/>
      <c r="AG6781" s="19">
        <v>6780</v>
      </c>
      <c r="AH6781" s="20">
        <v>-1609.6436788328194</v>
      </c>
    </row>
    <row r="6782" spans="1:34" ht="14.5" x14ac:dyDescent="0.35">
      <c r="A6782" s="34"/>
      <c r="B6782" s="35"/>
      <c r="C6782" s="36"/>
      <c r="D6782" s="37"/>
      <c r="E6782" s="36"/>
      <c r="F6782" s="42"/>
      <c r="G6782" s="42"/>
      <c r="H6782" s="42"/>
      <c r="AG6782" s="19">
        <v>6781</v>
      </c>
      <c r="AH6782" s="20">
        <v>-1834.4277109034981</v>
      </c>
    </row>
    <row r="6783" spans="1:34" ht="14.5" x14ac:dyDescent="0.35">
      <c r="A6783" s="34"/>
      <c r="B6783" s="35"/>
      <c r="C6783" s="36"/>
      <c r="D6783" s="37"/>
      <c r="E6783" s="36"/>
      <c r="F6783" s="42"/>
      <c r="G6783" s="42"/>
      <c r="H6783" s="42"/>
      <c r="AG6783" s="19">
        <v>6782</v>
      </c>
      <c r="AH6783" s="20">
        <v>178.0861946472607</v>
      </c>
    </row>
    <row r="6784" spans="1:34" ht="14.5" x14ac:dyDescent="0.35">
      <c r="A6784" s="34"/>
      <c r="B6784" s="35"/>
      <c r="C6784" s="36"/>
      <c r="D6784" s="37"/>
      <c r="E6784" s="36"/>
      <c r="F6784" s="42"/>
      <c r="G6784" s="42"/>
      <c r="H6784" s="42"/>
      <c r="AG6784" s="19">
        <v>6783</v>
      </c>
      <c r="AH6784" s="20">
        <v>2997.1788810318972</v>
      </c>
    </row>
    <row r="6785" spans="1:34" ht="14.5" x14ac:dyDescent="0.35">
      <c r="A6785" s="34"/>
      <c r="B6785" s="35"/>
      <c r="C6785" s="36"/>
      <c r="D6785" s="37"/>
      <c r="E6785" s="36"/>
      <c r="F6785" s="42"/>
      <c r="G6785" s="42"/>
      <c r="H6785" s="42"/>
      <c r="AG6785" s="19">
        <v>6784</v>
      </c>
      <c r="AH6785" s="20">
        <v>-4486.1045575022499</v>
      </c>
    </row>
    <row r="6786" spans="1:34" ht="14.5" x14ac:dyDescent="0.35">
      <c r="A6786" s="34"/>
      <c r="B6786" s="35"/>
      <c r="C6786" s="36"/>
      <c r="D6786" s="37"/>
      <c r="E6786" s="36"/>
      <c r="F6786" s="42"/>
      <c r="G6786" s="42"/>
      <c r="H6786" s="42"/>
      <c r="AG6786" s="19">
        <v>6785</v>
      </c>
      <c r="AH6786" s="20">
        <v>-971.21591273263471</v>
      </c>
    </row>
    <row r="6787" spans="1:34" ht="14.5" x14ac:dyDescent="0.35">
      <c r="A6787" s="34"/>
      <c r="B6787" s="35"/>
      <c r="C6787" s="36"/>
      <c r="D6787" s="37"/>
      <c r="E6787" s="36"/>
      <c r="F6787" s="42"/>
      <c r="G6787" s="42"/>
      <c r="H6787" s="42"/>
      <c r="AG6787" s="19">
        <v>6786</v>
      </c>
      <c r="AH6787" s="20">
        <v>2391.45673109987</v>
      </c>
    </row>
    <row r="6788" spans="1:34" ht="14.5" x14ac:dyDescent="0.35">
      <c r="A6788" s="34"/>
      <c r="B6788" s="35"/>
      <c r="C6788" s="36"/>
      <c r="D6788" s="37"/>
      <c r="E6788" s="36"/>
      <c r="F6788" s="42"/>
      <c r="G6788" s="42"/>
      <c r="H6788" s="42"/>
      <c r="AG6788" s="19">
        <v>6787</v>
      </c>
      <c r="AH6788" s="20">
        <v>-364.95246664968334</v>
      </c>
    </row>
    <row r="6789" spans="1:34" ht="14.5" x14ac:dyDescent="0.35">
      <c r="A6789" s="34"/>
      <c r="B6789" s="35"/>
      <c r="C6789" s="36"/>
      <c r="D6789" s="37"/>
      <c r="E6789" s="36"/>
      <c r="F6789" s="42"/>
      <c r="G6789" s="42"/>
      <c r="H6789" s="42"/>
      <c r="AG6789" s="19">
        <v>6788</v>
      </c>
      <c r="AH6789" s="20">
        <v>1138.9803675127566</v>
      </c>
    </row>
    <row r="6790" spans="1:34" ht="14.5" x14ac:dyDescent="0.35">
      <c r="A6790" s="34"/>
      <c r="B6790" s="35"/>
      <c r="C6790" s="36"/>
      <c r="D6790" s="37"/>
      <c r="E6790" s="36"/>
      <c r="F6790" s="42"/>
      <c r="G6790" s="42"/>
      <c r="H6790" s="42"/>
      <c r="AG6790" s="19">
        <v>6789</v>
      </c>
      <c r="AH6790" s="20">
        <v>-1089.0566361920639</v>
      </c>
    </row>
    <row r="6791" spans="1:34" ht="14.5" x14ac:dyDescent="0.35">
      <c r="A6791" s="34"/>
      <c r="B6791" s="35"/>
      <c r="C6791" s="36"/>
      <c r="D6791" s="37"/>
      <c r="E6791" s="36"/>
      <c r="F6791" s="42"/>
      <c r="G6791" s="42"/>
      <c r="H6791" s="42"/>
      <c r="AG6791" s="19">
        <v>6790</v>
      </c>
      <c r="AH6791" s="20">
        <v>-2479.3551610374248</v>
      </c>
    </row>
    <row r="6792" spans="1:34" ht="14.5" x14ac:dyDescent="0.35">
      <c r="A6792" s="34"/>
      <c r="B6792" s="35"/>
      <c r="C6792" s="36"/>
      <c r="D6792" s="37"/>
      <c r="E6792" s="36"/>
      <c r="F6792" s="42"/>
      <c r="G6792" s="42"/>
      <c r="H6792" s="42"/>
      <c r="AG6792" s="19">
        <v>6791</v>
      </c>
      <c r="AH6792" s="20">
        <v>-976.25186454748246</v>
      </c>
    </row>
    <row r="6793" spans="1:34" ht="14.5" x14ac:dyDescent="0.35">
      <c r="A6793" s="34"/>
      <c r="B6793" s="35"/>
      <c r="C6793" s="36"/>
      <c r="D6793" s="37"/>
      <c r="E6793" s="36"/>
      <c r="F6793" s="42"/>
      <c r="G6793" s="42"/>
      <c r="H6793" s="42"/>
      <c r="AG6793" s="19">
        <v>6792</v>
      </c>
      <c r="AH6793" s="20">
        <v>1107.7938390043864</v>
      </c>
    </row>
    <row r="6794" spans="1:34" ht="14.5" x14ac:dyDescent="0.35">
      <c r="A6794" s="34"/>
      <c r="B6794" s="35"/>
      <c r="C6794" s="36"/>
      <c r="D6794" s="37"/>
      <c r="E6794" s="36"/>
      <c r="F6794" s="42"/>
      <c r="G6794" s="42"/>
      <c r="H6794" s="42"/>
      <c r="AG6794" s="19">
        <v>6793</v>
      </c>
      <c r="AH6794" s="20">
        <v>-2255.0044645684411</v>
      </c>
    </row>
    <row r="6795" spans="1:34" ht="14.5" x14ac:dyDescent="0.35">
      <c r="A6795" s="34"/>
      <c r="B6795" s="35"/>
      <c r="C6795" s="36"/>
      <c r="D6795" s="37"/>
      <c r="E6795" s="36"/>
      <c r="F6795" s="42"/>
      <c r="G6795" s="42"/>
      <c r="H6795" s="42"/>
      <c r="AG6795" s="19">
        <v>6794</v>
      </c>
      <c r="AH6795" s="20">
        <v>1776.3267607307068</v>
      </c>
    </row>
    <row r="6796" spans="1:34" ht="14.5" x14ac:dyDescent="0.35">
      <c r="A6796" s="34"/>
      <c r="B6796" s="35"/>
      <c r="C6796" s="36"/>
      <c r="D6796" s="37"/>
      <c r="E6796" s="36"/>
      <c r="F6796" s="42"/>
      <c r="G6796" s="42"/>
      <c r="H6796" s="42"/>
      <c r="AG6796" s="19">
        <v>6795</v>
      </c>
      <c r="AH6796" s="20">
        <v>5193.5533714770208</v>
      </c>
    </row>
    <row r="6797" spans="1:34" ht="14.5" x14ac:dyDescent="0.35">
      <c r="A6797" s="34"/>
      <c r="B6797" s="35"/>
      <c r="C6797" s="36"/>
      <c r="D6797" s="37"/>
      <c r="E6797" s="36"/>
      <c r="F6797" s="42"/>
      <c r="G6797" s="42"/>
      <c r="H6797" s="42"/>
      <c r="AG6797" s="19">
        <v>6796</v>
      </c>
      <c r="AH6797" s="20">
        <v>-216.91485768227273</v>
      </c>
    </row>
    <row r="6798" spans="1:34" ht="14.5" x14ac:dyDescent="0.35">
      <c r="A6798" s="34"/>
      <c r="B6798" s="35"/>
      <c r="C6798" s="36"/>
      <c r="D6798" s="37"/>
      <c r="E6798" s="36"/>
      <c r="F6798" s="42"/>
      <c r="G6798" s="42"/>
      <c r="H6798" s="42"/>
      <c r="AG6798" s="19">
        <v>6797</v>
      </c>
      <c r="AH6798" s="20">
        <v>174.4579139240837</v>
      </c>
    </row>
    <row r="6799" spans="1:34" ht="14.5" x14ac:dyDescent="0.35">
      <c r="A6799" s="34"/>
      <c r="B6799" s="35"/>
      <c r="C6799" s="36"/>
      <c r="D6799" s="37"/>
      <c r="E6799" s="36"/>
      <c r="F6799" s="42"/>
      <c r="G6799" s="42"/>
      <c r="H6799" s="42"/>
      <c r="AG6799" s="19">
        <v>6798</v>
      </c>
      <c r="AH6799" s="20">
        <v>-260.11378327717188</v>
      </c>
    </row>
    <row r="6800" spans="1:34" ht="14.5" x14ac:dyDescent="0.35">
      <c r="A6800" s="34"/>
      <c r="B6800" s="35"/>
      <c r="C6800" s="36"/>
      <c r="D6800" s="37"/>
      <c r="E6800" s="36"/>
      <c r="F6800" s="42"/>
      <c r="G6800" s="42"/>
      <c r="H6800" s="42"/>
      <c r="AG6800" s="19">
        <v>6799</v>
      </c>
      <c r="AH6800" s="20">
        <v>-5485.0767636192959</v>
      </c>
    </row>
    <row r="6801" spans="1:34" ht="14.5" x14ac:dyDescent="0.35">
      <c r="A6801" s="34"/>
      <c r="B6801" s="35"/>
      <c r="C6801" s="36"/>
      <c r="D6801" s="37"/>
      <c r="E6801" s="36"/>
      <c r="F6801" s="42"/>
      <c r="G6801" s="42"/>
      <c r="H6801" s="42"/>
      <c r="AG6801" s="19">
        <v>6800</v>
      </c>
      <c r="AH6801" s="20">
        <v>2572.4206198567099</v>
      </c>
    </row>
    <row r="6802" spans="1:34" ht="14.5" x14ac:dyDescent="0.35">
      <c r="A6802" s="34"/>
      <c r="B6802" s="35"/>
      <c r="C6802" s="36"/>
      <c r="D6802" s="37"/>
      <c r="E6802" s="36"/>
      <c r="F6802" s="42"/>
      <c r="G6802" s="42"/>
      <c r="H6802" s="42"/>
      <c r="AG6802" s="19">
        <v>6801</v>
      </c>
      <c r="AH6802" s="20">
        <v>1224.6525771452273</v>
      </c>
    </row>
    <row r="6803" spans="1:34" ht="14.5" x14ac:dyDescent="0.35">
      <c r="A6803" s="34"/>
      <c r="B6803" s="35"/>
      <c r="C6803" s="36"/>
      <c r="D6803" s="37"/>
      <c r="E6803" s="36"/>
      <c r="F6803" s="42"/>
      <c r="G6803" s="42"/>
      <c r="H6803" s="42"/>
      <c r="AG6803" s="19">
        <v>6802</v>
      </c>
      <c r="AH6803" s="20">
        <v>684.42064466785769</v>
      </c>
    </row>
    <row r="6804" spans="1:34" ht="14.5" x14ac:dyDescent="0.35">
      <c r="A6804" s="34"/>
      <c r="B6804" s="35"/>
      <c r="C6804" s="36"/>
      <c r="D6804" s="37"/>
      <c r="E6804" s="36"/>
      <c r="F6804" s="42"/>
      <c r="G6804" s="42"/>
      <c r="H6804" s="42"/>
      <c r="AG6804" s="19">
        <v>6803</v>
      </c>
      <c r="AH6804" s="20">
        <v>398.80736037829007</v>
      </c>
    </row>
    <row r="6805" spans="1:34" ht="14.5" x14ac:dyDescent="0.35">
      <c r="A6805" s="34"/>
      <c r="B6805" s="35"/>
      <c r="C6805" s="36"/>
      <c r="D6805" s="37"/>
      <c r="E6805" s="36"/>
      <c r="F6805" s="42"/>
      <c r="G6805" s="42"/>
      <c r="H6805" s="42"/>
      <c r="AG6805" s="19">
        <v>6804</v>
      </c>
      <c r="AH6805" s="20">
        <v>1584.902130588772</v>
      </c>
    </row>
    <row r="6806" spans="1:34" ht="14.5" x14ac:dyDescent="0.35">
      <c r="A6806" s="34"/>
      <c r="B6806" s="35"/>
      <c r="C6806" s="36"/>
      <c r="D6806" s="37"/>
      <c r="E6806" s="36"/>
      <c r="F6806" s="42"/>
      <c r="G6806" s="42"/>
      <c r="H6806" s="42"/>
      <c r="AG6806" s="19">
        <v>6805</v>
      </c>
      <c r="AH6806" s="20">
        <v>550.94588813548376</v>
      </c>
    </row>
    <row r="6807" spans="1:34" ht="14.5" x14ac:dyDescent="0.35">
      <c r="A6807" s="34"/>
      <c r="B6807" s="35"/>
      <c r="C6807" s="36"/>
      <c r="D6807" s="37"/>
      <c r="E6807" s="36"/>
      <c r="F6807" s="42"/>
      <c r="G6807" s="42"/>
      <c r="H6807" s="42"/>
      <c r="AG6807" s="19">
        <v>6806</v>
      </c>
      <c r="AH6807" s="20">
        <v>369.52063651183983</v>
      </c>
    </row>
    <row r="6808" spans="1:34" ht="14.5" x14ac:dyDescent="0.35">
      <c r="A6808" s="34"/>
      <c r="B6808" s="35"/>
      <c r="C6808" s="36"/>
      <c r="D6808" s="37"/>
      <c r="E6808" s="36"/>
      <c r="F6808" s="42"/>
      <c r="G6808" s="42"/>
      <c r="H6808" s="42"/>
      <c r="AG6808" s="19">
        <v>6807</v>
      </c>
      <c r="AH6808" s="20">
        <v>-447.96849993958909</v>
      </c>
    </row>
    <row r="6809" spans="1:34" ht="14.5" x14ac:dyDescent="0.35">
      <c r="A6809" s="34"/>
      <c r="B6809" s="35"/>
      <c r="C6809" s="36"/>
      <c r="D6809" s="37"/>
      <c r="E6809" s="36"/>
      <c r="F6809" s="42"/>
      <c r="G6809" s="42"/>
      <c r="H6809" s="42"/>
      <c r="AG6809" s="19">
        <v>6808</v>
      </c>
      <c r="AH6809" s="20">
        <v>-2673.6944066456294</v>
      </c>
    </row>
    <row r="6810" spans="1:34" ht="14.5" x14ac:dyDescent="0.35">
      <c r="A6810" s="34"/>
      <c r="B6810" s="35"/>
      <c r="C6810" s="36"/>
      <c r="D6810" s="37"/>
      <c r="E6810" s="36"/>
      <c r="F6810" s="42"/>
      <c r="G6810" s="42"/>
      <c r="H6810" s="42"/>
      <c r="AG6810" s="19">
        <v>6809</v>
      </c>
      <c r="AH6810" s="20">
        <v>-1716.6713025367683</v>
      </c>
    </row>
    <row r="6811" spans="1:34" ht="14.5" x14ac:dyDescent="0.35">
      <c r="A6811" s="34"/>
      <c r="B6811" s="35"/>
      <c r="C6811" s="36"/>
      <c r="D6811" s="37"/>
      <c r="E6811" s="36"/>
      <c r="F6811" s="42"/>
      <c r="G6811" s="42"/>
      <c r="H6811" s="42"/>
      <c r="AG6811" s="19">
        <v>6810</v>
      </c>
      <c r="AH6811" s="20">
        <v>1367.7682631316986</v>
      </c>
    </row>
    <row r="6812" spans="1:34" ht="14.5" x14ac:dyDescent="0.35">
      <c r="A6812" s="34"/>
      <c r="B6812" s="35"/>
      <c r="C6812" s="36"/>
      <c r="D6812" s="37"/>
      <c r="E6812" s="36"/>
      <c r="F6812" s="42"/>
      <c r="G6812" s="42"/>
      <c r="H6812" s="42"/>
      <c r="AG6812" s="19">
        <v>6811</v>
      </c>
      <c r="AH6812" s="20">
        <v>-404.02632613066402</v>
      </c>
    </row>
    <row r="6813" spans="1:34" ht="14.5" x14ac:dyDescent="0.35">
      <c r="A6813" s="34"/>
      <c r="B6813" s="35"/>
      <c r="C6813" s="36"/>
      <c r="D6813" s="37"/>
      <c r="E6813" s="36"/>
      <c r="F6813" s="42"/>
      <c r="G6813" s="42"/>
      <c r="H6813" s="42"/>
      <c r="AG6813" s="19">
        <v>6812</v>
      </c>
      <c r="AH6813" s="20">
        <v>-428.4083545205487</v>
      </c>
    </row>
    <row r="6814" spans="1:34" ht="14.5" x14ac:dyDescent="0.35">
      <c r="A6814" s="34"/>
      <c r="B6814" s="35"/>
      <c r="C6814" s="36"/>
      <c r="D6814" s="37"/>
      <c r="E6814" s="36"/>
      <c r="F6814" s="42"/>
      <c r="G6814" s="42"/>
      <c r="H6814" s="42"/>
      <c r="AG6814" s="19">
        <v>6813</v>
      </c>
      <c r="AH6814" s="20">
        <v>-2711.6009368127579</v>
      </c>
    </row>
    <row r="6815" spans="1:34" ht="14.5" x14ac:dyDescent="0.35">
      <c r="A6815" s="34"/>
      <c r="B6815" s="35"/>
      <c r="C6815" s="36"/>
      <c r="D6815" s="37"/>
      <c r="E6815" s="36"/>
      <c r="F6815" s="42"/>
      <c r="G6815" s="42"/>
      <c r="H6815" s="42"/>
      <c r="AG6815" s="19">
        <v>6814</v>
      </c>
      <c r="AH6815" s="20">
        <v>-539.65777064787676</v>
      </c>
    </row>
    <row r="6816" spans="1:34" ht="14.5" x14ac:dyDescent="0.35">
      <c r="A6816" s="34"/>
      <c r="B6816" s="35"/>
      <c r="C6816" s="36"/>
      <c r="D6816" s="37"/>
      <c r="E6816" s="36"/>
      <c r="F6816" s="42"/>
      <c r="G6816" s="42"/>
      <c r="H6816" s="42"/>
      <c r="AG6816" s="19">
        <v>6815</v>
      </c>
      <c r="AH6816" s="20">
        <v>1546.5246153807798</v>
      </c>
    </row>
    <row r="6817" spans="1:34" ht="14.5" x14ac:dyDescent="0.35">
      <c r="A6817" s="34"/>
      <c r="B6817" s="35"/>
      <c r="C6817" s="36"/>
      <c r="D6817" s="37"/>
      <c r="E6817" s="36"/>
      <c r="F6817" s="42"/>
      <c r="G6817" s="42"/>
      <c r="H6817" s="42"/>
      <c r="AG6817" s="19">
        <v>6816</v>
      </c>
      <c r="AH6817" s="20">
        <v>1811.2552566983752</v>
      </c>
    </row>
    <row r="6818" spans="1:34" ht="14.5" x14ac:dyDescent="0.35">
      <c r="A6818" s="34"/>
      <c r="B6818" s="35"/>
      <c r="C6818" s="36"/>
      <c r="D6818" s="37"/>
      <c r="E6818" s="36"/>
      <c r="F6818" s="42"/>
      <c r="G6818" s="42"/>
      <c r="H6818" s="42"/>
      <c r="AG6818" s="19">
        <v>6817</v>
      </c>
      <c r="AH6818" s="20">
        <v>-115.63462588502335</v>
      </c>
    </row>
    <row r="6819" spans="1:34" ht="14.5" x14ac:dyDescent="0.35">
      <c r="A6819" s="34"/>
      <c r="B6819" s="35"/>
      <c r="C6819" s="36"/>
      <c r="D6819" s="37"/>
      <c r="E6819" s="36"/>
      <c r="F6819" s="42"/>
      <c r="G6819" s="42"/>
      <c r="H6819" s="42"/>
      <c r="AG6819" s="19">
        <v>6818</v>
      </c>
      <c r="AH6819" s="20">
        <v>70.905242941851782</v>
      </c>
    </row>
    <row r="6820" spans="1:34" ht="14.5" x14ac:dyDescent="0.35">
      <c r="A6820" s="34"/>
      <c r="B6820" s="35"/>
      <c r="C6820" s="36"/>
      <c r="D6820" s="37"/>
      <c r="E6820" s="36"/>
      <c r="F6820" s="42"/>
      <c r="G6820" s="42"/>
      <c r="H6820" s="42"/>
      <c r="AG6820" s="19">
        <v>6819</v>
      </c>
      <c r="AH6820" s="20">
        <v>5706.0184396037821</v>
      </c>
    </row>
    <row r="6821" spans="1:34" ht="14.5" x14ac:dyDescent="0.35">
      <c r="A6821" s="34"/>
      <c r="B6821" s="35"/>
      <c r="C6821" s="36"/>
      <c r="D6821" s="37"/>
      <c r="E6821" s="36"/>
      <c r="F6821" s="42"/>
      <c r="G6821" s="42"/>
      <c r="H6821" s="42"/>
      <c r="AG6821" s="19">
        <v>6820</v>
      </c>
      <c r="AH6821" s="20">
        <v>1957.0631719706309</v>
      </c>
    </row>
    <row r="6822" spans="1:34" ht="14.5" x14ac:dyDescent="0.35">
      <c r="A6822" s="34"/>
      <c r="B6822" s="35"/>
      <c r="C6822" s="36"/>
      <c r="D6822" s="37"/>
      <c r="E6822" s="36"/>
      <c r="F6822" s="42"/>
      <c r="G6822" s="42"/>
      <c r="H6822" s="42"/>
      <c r="AG6822" s="19">
        <v>6821</v>
      </c>
      <c r="AH6822" s="20">
        <v>997.73896581744498</v>
      </c>
    </row>
    <row r="6823" spans="1:34" ht="14.5" x14ac:dyDescent="0.35">
      <c r="A6823" s="34"/>
      <c r="B6823" s="35"/>
      <c r="C6823" s="36"/>
      <c r="D6823" s="37"/>
      <c r="E6823" s="36"/>
      <c r="F6823" s="42"/>
      <c r="G6823" s="42"/>
      <c r="H6823" s="42"/>
      <c r="AG6823" s="19">
        <v>6822</v>
      </c>
      <c r="AH6823" s="20">
        <v>3573.7049349317754</v>
      </c>
    </row>
    <row r="6824" spans="1:34" ht="14.5" x14ac:dyDescent="0.35">
      <c r="A6824" s="34"/>
      <c r="B6824" s="35"/>
      <c r="C6824" s="36"/>
      <c r="D6824" s="37"/>
      <c r="E6824" s="36"/>
      <c r="F6824" s="42"/>
      <c r="G6824" s="42"/>
      <c r="H6824" s="42"/>
      <c r="AG6824" s="19">
        <v>6823</v>
      </c>
      <c r="AH6824" s="20">
        <v>-977.92467525266966</v>
      </c>
    </row>
    <row r="6825" spans="1:34" ht="14.5" x14ac:dyDescent="0.35">
      <c r="A6825" s="34"/>
      <c r="B6825" s="35"/>
      <c r="C6825" s="36"/>
      <c r="D6825" s="37"/>
      <c r="E6825" s="36"/>
      <c r="F6825" s="42"/>
      <c r="G6825" s="42"/>
      <c r="H6825" s="42"/>
      <c r="AG6825" s="19">
        <v>6824</v>
      </c>
      <c r="AH6825" s="20">
        <v>-2082.6396166825521</v>
      </c>
    </row>
    <row r="6826" spans="1:34" ht="14.5" x14ac:dyDescent="0.35">
      <c r="A6826" s="34"/>
      <c r="B6826" s="35"/>
      <c r="C6826" s="36"/>
      <c r="D6826" s="37"/>
      <c r="E6826" s="36"/>
      <c r="F6826" s="42"/>
      <c r="G6826" s="42"/>
      <c r="H6826" s="42"/>
      <c r="AG6826" s="19">
        <v>6825</v>
      </c>
      <c r="AH6826" s="20">
        <v>-1897.987792550761</v>
      </c>
    </row>
    <row r="6827" spans="1:34" ht="14.5" x14ac:dyDescent="0.35">
      <c r="A6827" s="34"/>
      <c r="B6827" s="35"/>
      <c r="C6827" s="36"/>
      <c r="D6827" s="37"/>
      <c r="E6827" s="36"/>
      <c r="F6827" s="42"/>
      <c r="G6827" s="42"/>
      <c r="H6827" s="42"/>
      <c r="AG6827" s="19">
        <v>6826</v>
      </c>
      <c r="AH6827" s="20">
        <v>7039.5870981620774</v>
      </c>
    </row>
    <row r="6828" spans="1:34" ht="14.5" x14ac:dyDescent="0.35">
      <c r="A6828" s="34"/>
      <c r="B6828" s="35"/>
      <c r="C6828" s="36"/>
      <c r="D6828" s="37"/>
      <c r="E6828" s="36"/>
      <c r="F6828" s="42"/>
      <c r="G6828" s="42"/>
      <c r="H6828" s="42"/>
      <c r="AG6828" s="19">
        <v>6827</v>
      </c>
      <c r="AH6828" s="20">
        <v>280.39798846230445</v>
      </c>
    </row>
    <row r="6829" spans="1:34" ht="14.5" x14ac:dyDescent="0.35">
      <c r="A6829" s="34"/>
      <c r="B6829" s="35"/>
      <c r="C6829" s="36"/>
      <c r="D6829" s="37"/>
      <c r="E6829" s="36"/>
      <c r="F6829" s="42"/>
      <c r="G6829" s="42"/>
      <c r="H6829" s="42"/>
      <c r="AG6829" s="19">
        <v>6828</v>
      </c>
      <c r="AH6829" s="20">
        <v>2816.8606598537949</v>
      </c>
    </row>
    <row r="6830" spans="1:34" ht="14.5" x14ac:dyDescent="0.35">
      <c r="A6830" s="34"/>
      <c r="B6830" s="35"/>
      <c r="C6830" s="36"/>
      <c r="D6830" s="37"/>
      <c r="E6830" s="36"/>
      <c r="F6830" s="42"/>
      <c r="G6830" s="42"/>
      <c r="H6830" s="42"/>
      <c r="AG6830" s="19">
        <v>6829</v>
      </c>
      <c r="AH6830" s="20">
        <v>2006.4031494423791</v>
      </c>
    </row>
    <row r="6831" spans="1:34" ht="14.5" x14ac:dyDescent="0.35">
      <c r="A6831" s="34"/>
      <c r="B6831" s="35"/>
      <c r="C6831" s="36"/>
      <c r="D6831" s="37"/>
      <c r="E6831" s="36"/>
      <c r="F6831" s="42"/>
      <c r="G6831" s="42"/>
      <c r="H6831" s="42"/>
      <c r="AG6831" s="19">
        <v>6830</v>
      </c>
      <c r="AH6831" s="20">
        <v>4594.1057454441834</v>
      </c>
    </row>
    <row r="6832" spans="1:34" ht="14.5" x14ac:dyDescent="0.35">
      <c r="A6832" s="34"/>
      <c r="B6832" s="35"/>
      <c r="C6832" s="36"/>
      <c r="D6832" s="37"/>
      <c r="E6832" s="36"/>
      <c r="F6832" s="42"/>
      <c r="G6832" s="42"/>
      <c r="H6832" s="42"/>
      <c r="AG6832" s="19">
        <v>6831</v>
      </c>
      <c r="AH6832" s="20">
        <v>204.37525144319235</v>
      </c>
    </row>
    <row r="6833" spans="1:34" ht="14.5" x14ac:dyDescent="0.35">
      <c r="A6833" s="34"/>
      <c r="B6833" s="35"/>
      <c r="C6833" s="36"/>
      <c r="D6833" s="37"/>
      <c r="E6833" s="36"/>
      <c r="F6833" s="42"/>
      <c r="G6833" s="42"/>
      <c r="H6833" s="42"/>
      <c r="AG6833" s="19">
        <v>6832</v>
      </c>
      <c r="AH6833" s="20">
        <v>1425.1232740030382</v>
      </c>
    </row>
    <row r="6834" spans="1:34" ht="14.5" x14ac:dyDescent="0.35">
      <c r="A6834" s="34"/>
      <c r="B6834" s="35"/>
      <c r="C6834" s="36"/>
      <c r="D6834" s="37"/>
      <c r="E6834" s="36"/>
      <c r="F6834" s="42"/>
      <c r="G6834" s="42"/>
      <c r="H6834" s="42"/>
      <c r="AG6834" s="19">
        <v>6833</v>
      </c>
      <c r="AH6834" s="20">
        <v>-4024.1902452260847</v>
      </c>
    </row>
    <row r="6835" spans="1:34" ht="14.5" x14ac:dyDescent="0.35">
      <c r="A6835" s="34"/>
      <c r="B6835" s="35"/>
      <c r="C6835" s="36"/>
      <c r="D6835" s="37"/>
      <c r="E6835" s="36"/>
      <c r="F6835" s="42"/>
      <c r="G6835" s="42"/>
      <c r="H6835" s="42"/>
      <c r="AG6835" s="19">
        <v>6834</v>
      </c>
      <c r="AH6835" s="20">
        <v>-470.00054322129364</v>
      </c>
    </row>
    <row r="6836" spans="1:34" ht="14.5" x14ac:dyDescent="0.35">
      <c r="A6836" s="34"/>
      <c r="B6836" s="35"/>
      <c r="C6836" s="36"/>
      <c r="D6836" s="37"/>
      <c r="E6836" s="36"/>
      <c r="F6836" s="42"/>
      <c r="G6836" s="42"/>
      <c r="H6836" s="42"/>
      <c r="AG6836" s="19">
        <v>6835</v>
      </c>
      <c r="AH6836" s="20">
        <v>-2799.9109481536734</v>
      </c>
    </row>
    <row r="6837" spans="1:34" ht="14.5" x14ac:dyDescent="0.35">
      <c r="A6837" s="34"/>
      <c r="B6837" s="35"/>
      <c r="C6837" s="36"/>
      <c r="D6837" s="37"/>
      <c r="E6837" s="36"/>
      <c r="F6837" s="42"/>
      <c r="G6837" s="42"/>
      <c r="H6837" s="42"/>
      <c r="AG6837" s="19">
        <v>6836</v>
      </c>
      <c r="AH6837" s="20">
        <v>-254.17104003342268</v>
      </c>
    </row>
    <row r="6838" spans="1:34" ht="14.5" x14ac:dyDescent="0.35">
      <c r="A6838" s="34"/>
      <c r="B6838" s="35"/>
      <c r="C6838" s="36"/>
      <c r="D6838" s="37"/>
      <c r="E6838" s="36"/>
      <c r="F6838" s="42"/>
      <c r="G6838" s="42"/>
      <c r="H6838" s="42"/>
      <c r="AG6838" s="19">
        <v>6837</v>
      </c>
      <c r="AH6838" s="20">
        <v>-2722.389950725586</v>
      </c>
    </row>
    <row r="6839" spans="1:34" ht="14.5" x14ac:dyDescent="0.35">
      <c r="A6839" s="34"/>
      <c r="B6839" s="35"/>
      <c r="C6839" s="36"/>
      <c r="D6839" s="37"/>
      <c r="E6839" s="36"/>
      <c r="F6839" s="42"/>
      <c r="G6839" s="42"/>
      <c r="H6839" s="42"/>
      <c r="AG6839" s="19">
        <v>6838</v>
      </c>
      <c r="AH6839" s="20">
        <v>264.31005519247555</v>
      </c>
    </row>
    <row r="6840" spans="1:34" ht="14.5" x14ac:dyDescent="0.35">
      <c r="A6840" s="34"/>
      <c r="B6840" s="35"/>
      <c r="C6840" s="36"/>
      <c r="D6840" s="37"/>
      <c r="E6840" s="36"/>
      <c r="F6840" s="42"/>
      <c r="G6840" s="42"/>
      <c r="H6840" s="42"/>
      <c r="AG6840" s="19">
        <v>6839</v>
      </c>
      <c r="AH6840" s="20">
        <v>-2474.8980581834871</v>
      </c>
    </row>
    <row r="6841" spans="1:34" ht="14.5" x14ac:dyDescent="0.35">
      <c r="A6841" s="34"/>
      <c r="B6841" s="35"/>
      <c r="C6841" s="36"/>
      <c r="D6841" s="37"/>
      <c r="E6841" s="36"/>
      <c r="F6841" s="42"/>
      <c r="G6841" s="42"/>
      <c r="H6841" s="42"/>
      <c r="AG6841" s="19">
        <v>6840</v>
      </c>
      <c r="AH6841" s="20">
        <v>1762.0766276183883</v>
      </c>
    </row>
    <row r="6842" spans="1:34" ht="14.5" x14ac:dyDescent="0.35">
      <c r="A6842" s="34"/>
      <c r="B6842" s="35"/>
      <c r="C6842" s="36"/>
      <c r="D6842" s="37"/>
      <c r="E6842" s="36"/>
      <c r="F6842" s="42"/>
      <c r="G6842" s="42"/>
      <c r="H6842" s="42"/>
      <c r="AG6842" s="19">
        <v>6841</v>
      </c>
      <c r="AH6842" s="20">
        <v>246.99349662981479</v>
      </c>
    </row>
    <row r="6843" spans="1:34" ht="14.5" x14ac:dyDescent="0.35">
      <c r="A6843" s="34"/>
      <c r="B6843" s="35"/>
      <c r="C6843" s="36"/>
      <c r="D6843" s="37"/>
      <c r="E6843" s="36"/>
      <c r="F6843" s="42"/>
      <c r="G6843" s="42"/>
      <c r="H6843" s="42"/>
      <c r="AG6843" s="19">
        <v>6842</v>
      </c>
      <c r="AH6843" s="20">
        <v>3165.1640298966963</v>
      </c>
    </row>
    <row r="6844" spans="1:34" ht="14.5" x14ac:dyDescent="0.35">
      <c r="A6844" s="34"/>
      <c r="B6844" s="35"/>
      <c r="C6844" s="36"/>
      <c r="D6844" s="37"/>
      <c r="E6844" s="36"/>
      <c r="F6844" s="42"/>
      <c r="G6844" s="42"/>
      <c r="H6844" s="42"/>
      <c r="AG6844" s="19">
        <v>6843</v>
      </c>
      <c r="AH6844" s="20">
        <v>395.39085417703319</v>
      </c>
    </row>
    <row r="6845" spans="1:34" ht="14.5" x14ac:dyDescent="0.35">
      <c r="A6845" s="34"/>
      <c r="B6845" s="35"/>
      <c r="C6845" s="36"/>
      <c r="D6845" s="37"/>
      <c r="E6845" s="36"/>
      <c r="F6845" s="42"/>
      <c r="G6845" s="42"/>
      <c r="H6845" s="42"/>
      <c r="AG6845" s="19">
        <v>6844</v>
      </c>
      <c r="AH6845" s="20">
        <v>3362.0549802223977</v>
      </c>
    </row>
    <row r="6846" spans="1:34" ht="14.5" x14ac:dyDescent="0.35">
      <c r="A6846" s="34"/>
      <c r="B6846" s="35"/>
      <c r="C6846" s="36"/>
      <c r="D6846" s="37"/>
      <c r="E6846" s="36"/>
      <c r="F6846" s="42"/>
      <c r="G6846" s="42"/>
      <c r="H6846" s="42"/>
      <c r="AG6846" s="19">
        <v>6845</v>
      </c>
      <c r="AH6846" s="20">
        <v>-3461.4903987539783</v>
      </c>
    </row>
    <row r="6847" spans="1:34" ht="14.5" x14ac:dyDescent="0.35">
      <c r="A6847" s="34"/>
      <c r="B6847" s="35"/>
      <c r="C6847" s="36"/>
      <c r="D6847" s="37"/>
      <c r="E6847" s="36"/>
      <c r="F6847" s="42"/>
      <c r="G6847" s="42"/>
      <c r="H6847" s="42"/>
      <c r="AG6847" s="19">
        <v>6846</v>
      </c>
      <c r="AH6847" s="20">
        <v>-16.043193958147583</v>
      </c>
    </row>
    <row r="6848" spans="1:34" ht="14.5" x14ac:dyDescent="0.35">
      <c r="A6848" s="34"/>
      <c r="B6848" s="35"/>
      <c r="C6848" s="36"/>
      <c r="D6848" s="37"/>
      <c r="E6848" s="36"/>
      <c r="F6848" s="42"/>
      <c r="G6848" s="42"/>
      <c r="H6848" s="42"/>
      <c r="AG6848" s="19">
        <v>6847</v>
      </c>
      <c r="AH6848" s="20">
        <v>1375.8887041979508</v>
      </c>
    </row>
    <row r="6849" spans="1:34" ht="14.5" x14ac:dyDescent="0.35">
      <c r="A6849" s="34"/>
      <c r="B6849" s="35"/>
      <c r="C6849" s="36"/>
      <c r="D6849" s="37"/>
      <c r="E6849" s="36"/>
      <c r="F6849" s="42"/>
      <c r="G6849" s="42"/>
      <c r="H6849" s="42"/>
      <c r="AG6849" s="19">
        <v>6848</v>
      </c>
      <c r="AH6849" s="20">
        <v>1757.1220700545646</v>
      </c>
    </row>
    <row r="6850" spans="1:34" ht="14.5" x14ac:dyDescent="0.35">
      <c r="A6850" s="34"/>
      <c r="B6850" s="35"/>
      <c r="C6850" s="36"/>
      <c r="D6850" s="37"/>
      <c r="E6850" s="36"/>
      <c r="F6850" s="42"/>
      <c r="G6850" s="42"/>
      <c r="H6850" s="42"/>
      <c r="AG6850" s="19">
        <v>6849</v>
      </c>
      <c r="AH6850" s="20">
        <v>3645.2657891046015</v>
      </c>
    </row>
    <row r="6851" spans="1:34" ht="14.5" x14ac:dyDescent="0.35">
      <c r="A6851" s="34"/>
      <c r="B6851" s="35"/>
      <c r="C6851" s="36"/>
      <c r="D6851" s="37"/>
      <c r="E6851" s="36"/>
      <c r="F6851" s="42"/>
      <c r="G6851" s="42"/>
      <c r="H6851" s="42"/>
      <c r="AG6851" s="19">
        <v>6850</v>
      </c>
      <c r="AH6851" s="20">
        <v>2124.3977281552729</v>
      </c>
    </row>
    <row r="6852" spans="1:34" ht="14.5" x14ac:dyDescent="0.35">
      <c r="A6852" s="34"/>
      <c r="B6852" s="35"/>
      <c r="C6852" s="36"/>
      <c r="D6852" s="37"/>
      <c r="E6852" s="36"/>
      <c r="F6852" s="42"/>
      <c r="G6852" s="42"/>
      <c r="H6852" s="42"/>
      <c r="AG6852" s="19">
        <v>6851</v>
      </c>
      <c r="AH6852" s="20">
        <v>146.16321022312974</v>
      </c>
    </row>
    <row r="6853" spans="1:34" ht="14.5" x14ac:dyDescent="0.35">
      <c r="A6853" s="34"/>
      <c r="B6853" s="35"/>
      <c r="C6853" s="36"/>
      <c r="D6853" s="37"/>
      <c r="E6853" s="36"/>
      <c r="F6853" s="42"/>
      <c r="G6853" s="42"/>
      <c r="H6853" s="42"/>
      <c r="AG6853" s="19">
        <v>6852</v>
      </c>
      <c r="AH6853" s="20">
        <v>1994.5530118569859</v>
      </c>
    </row>
    <row r="6854" spans="1:34" ht="14.5" x14ac:dyDescent="0.35">
      <c r="A6854" s="34"/>
      <c r="B6854" s="35"/>
      <c r="C6854" s="36"/>
      <c r="D6854" s="37"/>
      <c r="E6854" s="36"/>
      <c r="F6854" s="42"/>
      <c r="G6854" s="42"/>
      <c r="H6854" s="42"/>
      <c r="AG6854" s="19">
        <v>6853</v>
      </c>
      <c r="AH6854" s="20">
        <v>-932.50401828916461</v>
      </c>
    </row>
    <row r="6855" spans="1:34" ht="14.5" x14ac:dyDescent="0.35">
      <c r="A6855" s="34"/>
      <c r="B6855" s="35"/>
      <c r="C6855" s="36"/>
      <c r="D6855" s="37"/>
      <c r="E6855" s="36"/>
      <c r="F6855" s="42"/>
      <c r="G6855" s="42"/>
      <c r="H6855" s="42"/>
      <c r="AG6855" s="19">
        <v>6854</v>
      </c>
      <c r="AH6855" s="20">
        <v>1401.8565538917019</v>
      </c>
    </row>
    <row r="6856" spans="1:34" ht="14.5" x14ac:dyDescent="0.35">
      <c r="A6856" s="34"/>
      <c r="B6856" s="35"/>
      <c r="C6856" s="36"/>
      <c r="D6856" s="37"/>
      <c r="E6856" s="36"/>
      <c r="F6856" s="42"/>
      <c r="G6856" s="42"/>
      <c r="H6856" s="42"/>
      <c r="AG6856" s="19">
        <v>6855</v>
      </c>
      <c r="AH6856" s="20">
        <v>-1925.5778486411716</v>
      </c>
    </row>
    <row r="6857" spans="1:34" ht="14.5" x14ac:dyDescent="0.35">
      <c r="A6857" s="34"/>
      <c r="B6857" s="35"/>
      <c r="C6857" s="36"/>
      <c r="D6857" s="37"/>
      <c r="E6857" s="36"/>
      <c r="F6857" s="42"/>
      <c r="G6857" s="42"/>
      <c r="H6857" s="42"/>
      <c r="AG6857" s="19">
        <v>6856</v>
      </c>
      <c r="AH6857" s="20">
        <v>-1114.6972237358875</v>
      </c>
    </row>
    <row r="6858" spans="1:34" ht="14.5" x14ac:dyDescent="0.35">
      <c r="A6858" s="34"/>
      <c r="B6858" s="35"/>
      <c r="C6858" s="36"/>
      <c r="D6858" s="37"/>
      <c r="E6858" s="36"/>
      <c r="F6858" s="42"/>
      <c r="G6858" s="42"/>
      <c r="H6858" s="42"/>
      <c r="AG6858" s="19">
        <v>6857</v>
      </c>
      <c r="AH6858" s="20">
        <v>-1926.0419262456178</v>
      </c>
    </row>
    <row r="6859" spans="1:34" ht="14.5" x14ac:dyDescent="0.35">
      <c r="A6859" s="34"/>
      <c r="B6859" s="35"/>
      <c r="C6859" s="36"/>
      <c r="D6859" s="37"/>
      <c r="E6859" s="36"/>
      <c r="F6859" s="42"/>
      <c r="G6859" s="42"/>
      <c r="H6859" s="42"/>
      <c r="AG6859" s="19">
        <v>6858</v>
      </c>
      <c r="AH6859" s="20">
        <v>-605.26706768100325</v>
      </c>
    </row>
    <row r="6860" spans="1:34" ht="14.5" x14ac:dyDescent="0.35">
      <c r="A6860" s="34"/>
      <c r="B6860" s="35"/>
      <c r="C6860" s="36"/>
      <c r="D6860" s="37"/>
      <c r="E6860" s="36"/>
      <c r="F6860" s="42"/>
      <c r="G6860" s="42"/>
      <c r="H6860" s="42"/>
      <c r="AG6860" s="19">
        <v>6859</v>
      </c>
      <c r="AH6860" s="20">
        <v>1467.9813983032566</v>
      </c>
    </row>
    <row r="6861" spans="1:34" ht="14.5" x14ac:dyDescent="0.35">
      <c r="A6861" s="34"/>
      <c r="B6861" s="35"/>
      <c r="C6861" s="36"/>
      <c r="D6861" s="37"/>
      <c r="E6861" s="36"/>
      <c r="F6861" s="42"/>
      <c r="G6861" s="42"/>
      <c r="H6861" s="42"/>
      <c r="AG6861" s="19">
        <v>6860</v>
      </c>
      <c r="AH6861" s="20">
        <v>631.44569102956052</v>
      </c>
    </row>
    <row r="6862" spans="1:34" ht="14.5" x14ac:dyDescent="0.35">
      <c r="A6862" s="34"/>
      <c r="B6862" s="35"/>
      <c r="C6862" s="36"/>
      <c r="D6862" s="37"/>
      <c r="E6862" s="36"/>
      <c r="F6862" s="42"/>
      <c r="G6862" s="42"/>
      <c r="H6862" s="42"/>
      <c r="AG6862" s="19">
        <v>6861</v>
      </c>
      <c r="AH6862" s="20">
        <v>2217.8043108263196</v>
      </c>
    </row>
    <row r="6863" spans="1:34" ht="14.5" x14ac:dyDescent="0.35">
      <c r="A6863" s="34"/>
      <c r="B6863" s="35"/>
      <c r="C6863" s="36"/>
      <c r="D6863" s="37"/>
      <c r="E6863" s="36"/>
      <c r="F6863" s="42"/>
      <c r="G6863" s="42"/>
      <c r="H6863" s="42"/>
      <c r="AG6863" s="19">
        <v>6862</v>
      </c>
      <c r="AH6863" s="20">
        <v>3308.0161444858932</v>
      </c>
    </row>
    <row r="6864" spans="1:34" ht="14.5" x14ac:dyDescent="0.35">
      <c r="A6864" s="34"/>
      <c r="B6864" s="35"/>
      <c r="C6864" s="36"/>
      <c r="D6864" s="37"/>
      <c r="E6864" s="36"/>
      <c r="F6864" s="42"/>
      <c r="G6864" s="42"/>
      <c r="H6864" s="42"/>
      <c r="AG6864" s="19">
        <v>6863</v>
      </c>
      <c r="AH6864" s="20">
        <v>-347.88817763981586</v>
      </c>
    </row>
    <row r="6865" spans="1:34" ht="14.5" x14ac:dyDescent="0.35">
      <c r="A6865" s="34"/>
      <c r="B6865" s="35"/>
      <c r="C6865" s="36"/>
      <c r="D6865" s="37"/>
      <c r="E6865" s="36"/>
      <c r="F6865" s="42"/>
      <c r="G6865" s="42"/>
      <c r="H6865" s="42"/>
      <c r="AG6865" s="19">
        <v>6864</v>
      </c>
      <c r="AH6865" s="20">
        <v>-1029.1327603354011</v>
      </c>
    </row>
    <row r="6866" spans="1:34" ht="14.5" x14ac:dyDescent="0.35">
      <c r="A6866" s="34"/>
      <c r="B6866" s="35"/>
      <c r="C6866" s="36"/>
      <c r="D6866" s="37"/>
      <c r="E6866" s="36"/>
      <c r="F6866" s="42"/>
      <c r="G6866" s="42"/>
      <c r="H6866" s="42"/>
      <c r="AG6866" s="19">
        <v>6865</v>
      </c>
      <c r="AH6866" s="20">
        <v>1153.0980994349704</v>
      </c>
    </row>
    <row r="6867" spans="1:34" ht="14.5" x14ac:dyDescent="0.35">
      <c r="A6867" s="34"/>
      <c r="B6867" s="35"/>
      <c r="C6867" s="36"/>
      <c r="D6867" s="37"/>
      <c r="E6867" s="36"/>
      <c r="F6867" s="42"/>
      <c r="G6867" s="42"/>
      <c r="H6867" s="42"/>
      <c r="AG6867" s="19">
        <v>6866</v>
      </c>
      <c r="AH6867" s="20">
        <v>-633.85306259386743</v>
      </c>
    </row>
    <row r="6868" spans="1:34" ht="14.5" x14ac:dyDescent="0.35">
      <c r="A6868" s="34"/>
      <c r="B6868" s="35"/>
      <c r="C6868" s="36"/>
      <c r="D6868" s="37"/>
      <c r="E6868" s="36"/>
      <c r="F6868" s="42"/>
      <c r="G6868" s="42"/>
      <c r="H6868" s="42"/>
      <c r="AG6868" s="19">
        <v>6867</v>
      </c>
      <c r="AH6868" s="20">
        <v>547.19973677931671</v>
      </c>
    </row>
    <row r="6869" spans="1:34" ht="14.5" x14ac:dyDescent="0.35">
      <c r="A6869" s="34"/>
      <c r="B6869" s="35"/>
      <c r="C6869" s="36"/>
      <c r="D6869" s="37"/>
      <c r="E6869" s="36"/>
      <c r="F6869" s="42"/>
      <c r="G6869" s="42"/>
      <c r="H6869" s="42"/>
      <c r="AG6869" s="19">
        <v>6868</v>
      </c>
      <c r="AH6869" s="20">
        <v>1333.2400607416259</v>
      </c>
    </row>
    <row r="6870" spans="1:34" ht="14.5" x14ac:dyDescent="0.35">
      <c r="A6870" s="34"/>
      <c r="B6870" s="35"/>
      <c r="C6870" s="36"/>
      <c r="D6870" s="37"/>
      <c r="E6870" s="36"/>
      <c r="F6870" s="42"/>
      <c r="G6870" s="42"/>
      <c r="H6870" s="42"/>
      <c r="AG6870" s="19">
        <v>6869</v>
      </c>
      <c r="AH6870" s="20">
        <v>2063.436029315204</v>
      </c>
    </row>
    <row r="6871" spans="1:34" ht="14.5" x14ac:dyDescent="0.35">
      <c r="A6871" s="34"/>
      <c r="B6871" s="35"/>
      <c r="C6871" s="36"/>
      <c r="D6871" s="37"/>
      <c r="E6871" s="36"/>
      <c r="F6871" s="42"/>
      <c r="G6871" s="42"/>
      <c r="H6871" s="42"/>
      <c r="AG6871" s="19">
        <v>6870</v>
      </c>
      <c r="AH6871" s="20">
        <v>-5088.2758435005944</v>
      </c>
    </row>
    <row r="6872" spans="1:34" ht="14.5" x14ac:dyDescent="0.35">
      <c r="A6872" s="34"/>
      <c r="B6872" s="35"/>
      <c r="C6872" s="36"/>
      <c r="D6872" s="37"/>
      <c r="E6872" s="36"/>
      <c r="F6872" s="42"/>
      <c r="G6872" s="42"/>
      <c r="H6872" s="42"/>
      <c r="AG6872" s="19">
        <v>6871</v>
      </c>
      <c r="AH6872" s="20">
        <v>-1265.2520244278303</v>
      </c>
    </row>
    <row r="6873" spans="1:34" ht="14.5" x14ac:dyDescent="0.35">
      <c r="A6873" s="34"/>
      <c r="B6873" s="35"/>
      <c r="C6873" s="36"/>
      <c r="D6873" s="37"/>
      <c r="E6873" s="36"/>
      <c r="F6873" s="42"/>
      <c r="G6873" s="42"/>
      <c r="H6873" s="42"/>
      <c r="AG6873" s="19">
        <v>6872</v>
      </c>
      <c r="AH6873" s="20">
        <v>742.62973582077871</v>
      </c>
    </row>
    <row r="6874" spans="1:34" ht="14.5" x14ac:dyDescent="0.35">
      <c r="A6874" s="34"/>
      <c r="B6874" s="35"/>
      <c r="C6874" s="36"/>
      <c r="D6874" s="37"/>
      <c r="E6874" s="36"/>
      <c r="F6874" s="42"/>
      <c r="G6874" s="42"/>
      <c r="H6874" s="42"/>
      <c r="AG6874" s="19">
        <v>6873</v>
      </c>
      <c r="AH6874" s="20">
        <v>1651.3119130556495</v>
      </c>
    </row>
    <row r="6875" spans="1:34" ht="14.5" x14ac:dyDescent="0.35">
      <c r="A6875" s="34"/>
      <c r="B6875" s="35"/>
      <c r="C6875" s="36"/>
      <c r="D6875" s="37"/>
      <c r="E6875" s="36"/>
      <c r="F6875" s="42"/>
      <c r="G6875" s="42"/>
      <c r="H6875" s="42"/>
      <c r="AG6875" s="19">
        <v>6874</v>
      </c>
      <c r="AH6875" s="20">
        <v>-1954.255508067424</v>
      </c>
    </row>
    <row r="6876" spans="1:34" ht="14.5" x14ac:dyDescent="0.35">
      <c r="A6876" s="34"/>
      <c r="B6876" s="35"/>
      <c r="C6876" s="36"/>
      <c r="D6876" s="37"/>
      <c r="E6876" s="36"/>
      <c r="F6876" s="42"/>
      <c r="G6876" s="42"/>
      <c r="H6876" s="42"/>
      <c r="AG6876" s="19">
        <v>6875</v>
      </c>
      <c r="AH6876" s="20">
        <v>-2054.7562818903416</v>
      </c>
    </row>
    <row r="6877" spans="1:34" ht="14.5" x14ac:dyDescent="0.35">
      <c r="A6877" s="34"/>
      <c r="B6877" s="35"/>
      <c r="C6877" s="36"/>
      <c r="D6877" s="37"/>
      <c r="E6877" s="36"/>
      <c r="F6877" s="42"/>
      <c r="G6877" s="42"/>
      <c r="H6877" s="42"/>
      <c r="AG6877" s="19">
        <v>6876</v>
      </c>
      <c r="AH6877" s="20">
        <v>-19.839653286109012</v>
      </c>
    </row>
    <row r="6878" spans="1:34" ht="14.5" x14ac:dyDescent="0.35">
      <c r="A6878" s="34"/>
      <c r="B6878" s="35"/>
      <c r="C6878" s="36"/>
      <c r="D6878" s="37"/>
      <c r="E6878" s="36"/>
      <c r="F6878" s="42"/>
      <c r="G6878" s="42"/>
      <c r="H6878" s="42"/>
      <c r="AG6878" s="19">
        <v>6877</v>
      </c>
      <c r="AH6878" s="20">
        <v>1406.905093419824</v>
      </c>
    </row>
    <row r="6879" spans="1:34" ht="14.5" x14ac:dyDescent="0.35">
      <c r="A6879" s="34"/>
      <c r="B6879" s="35"/>
      <c r="C6879" s="36"/>
      <c r="D6879" s="37"/>
      <c r="E6879" s="36"/>
      <c r="F6879" s="42"/>
      <c r="G6879" s="42"/>
      <c r="H6879" s="42"/>
      <c r="AG6879" s="19">
        <v>6878</v>
      </c>
      <c r="AH6879" s="20">
        <v>2620.1064197937321</v>
      </c>
    </row>
    <row r="6880" spans="1:34" ht="14.5" x14ac:dyDescent="0.35">
      <c r="A6880" s="34"/>
      <c r="B6880" s="35"/>
      <c r="C6880" s="36"/>
      <c r="D6880" s="37"/>
      <c r="E6880" s="36"/>
      <c r="F6880" s="42"/>
      <c r="G6880" s="42"/>
      <c r="H6880" s="42"/>
      <c r="AG6880" s="19">
        <v>6879</v>
      </c>
      <c r="AH6880" s="20">
        <v>688.9428091393786</v>
      </c>
    </row>
    <row r="6881" spans="1:34" ht="14.5" x14ac:dyDescent="0.35">
      <c r="A6881" s="34"/>
      <c r="B6881" s="35"/>
      <c r="C6881" s="36"/>
      <c r="D6881" s="37"/>
      <c r="E6881" s="36"/>
      <c r="F6881" s="42"/>
      <c r="G6881" s="42"/>
      <c r="H6881" s="42"/>
      <c r="AG6881" s="19">
        <v>6880</v>
      </c>
      <c r="AH6881" s="20">
        <v>1564.8712157457032</v>
      </c>
    </row>
    <row r="6882" spans="1:34" ht="14.5" x14ac:dyDescent="0.35">
      <c r="A6882" s="34"/>
      <c r="B6882" s="35"/>
      <c r="C6882" s="36"/>
      <c r="D6882" s="37"/>
      <c r="E6882" s="36"/>
      <c r="F6882" s="42"/>
      <c r="G6882" s="42"/>
      <c r="H6882" s="42"/>
      <c r="AG6882" s="19">
        <v>6881</v>
      </c>
      <c r="AH6882" s="20">
        <v>-2260.65751041669</v>
      </c>
    </row>
    <row r="6883" spans="1:34" ht="14.5" x14ac:dyDescent="0.35">
      <c r="A6883" s="34"/>
      <c r="B6883" s="35"/>
      <c r="C6883" s="36"/>
      <c r="D6883" s="37"/>
      <c r="E6883" s="36"/>
      <c r="F6883" s="42"/>
      <c r="G6883" s="42"/>
      <c r="H6883" s="42"/>
      <c r="AG6883" s="19">
        <v>6882</v>
      </c>
      <c r="AH6883" s="20">
        <v>951.50491715574435</v>
      </c>
    </row>
    <row r="6884" spans="1:34" ht="14.5" x14ac:dyDescent="0.35">
      <c r="A6884" s="34"/>
      <c r="B6884" s="35"/>
      <c r="C6884" s="36"/>
      <c r="D6884" s="37"/>
      <c r="E6884" s="36"/>
      <c r="F6884" s="42"/>
      <c r="G6884" s="42"/>
      <c r="H6884" s="42"/>
      <c r="AG6884" s="19">
        <v>6883</v>
      </c>
      <c r="AH6884" s="20">
        <v>3487.0327270407097</v>
      </c>
    </row>
    <row r="6885" spans="1:34" ht="14.5" x14ac:dyDescent="0.35">
      <c r="A6885" s="34"/>
      <c r="B6885" s="35"/>
      <c r="C6885" s="36"/>
      <c r="D6885" s="37"/>
      <c r="E6885" s="36"/>
      <c r="F6885" s="42"/>
      <c r="G6885" s="42"/>
      <c r="H6885" s="42"/>
      <c r="AG6885" s="19">
        <v>6884</v>
      </c>
      <c r="AH6885" s="20">
        <v>266.42484053016403</v>
      </c>
    </row>
    <row r="6886" spans="1:34" ht="14.5" x14ac:dyDescent="0.35">
      <c r="A6886" s="34"/>
      <c r="B6886" s="35"/>
      <c r="C6886" s="36"/>
      <c r="D6886" s="37"/>
      <c r="E6886" s="36"/>
      <c r="F6886" s="42"/>
      <c r="G6886" s="42"/>
      <c r="H6886" s="42"/>
      <c r="AG6886" s="19">
        <v>6885</v>
      </c>
      <c r="AH6886" s="20">
        <v>-520.79341604909587</v>
      </c>
    </row>
    <row r="6887" spans="1:34" ht="14.5" x14ac:dyDescent="0.35">
      <c r="A6887" s="34"/>
      <c r="B6887" s="35"/>
      <c r="C6887" s="36"/>
      <c r="D6887" s="37"/>
      <c r="E6887" s="36"/>
      <c r="F6887" s="42"/>
      <c r="G6887" s="42"/>
      <c r="H6887" s="42"/>
      <c r="AG6887" s="19">
        <v>6886</v>
      </c>
      <c r="AH6887" s="20">
        <v>870.2338360378244</v>
      </c>
    </row>
    <row r="6888" spans="1:34" ht="14.5" x14ac:dyDescent="0.35">
      <c r="A6888" s="34"/>
      <c r="B6888" s="35"/>
      <c r="C6888" s="36"/>
      <c r="D6888" s="37"/>
      <c r="E6888" s="36"/>
      <c r="F6888" s="42"/>
      <c r="G6888" s="42"/>
      <c r="H6888" s="42"/>
      <c r="AG6888" s="19">
        <v>6887</v>
      </c>
      <c r="AH6888" s="20">
        <v>4846.1019626732477</v>
      </c>
    </row>
    <row r="6889" spans="1:34" ht="14.5" x14ac:dyDescent="0.35">
      <c r="A6889" s="34"/>
      <c r="B6889" s="35"/>
      <c r="C6889" s="36"/>
      <c r="D6889" s="37"/>
      <c r="E6889" s="36"/>
      <c r="F6889" s="42"/>
      <c r="G6889" s="42"/>
      <c r="H6889" s="42"/>
      <c r="AG6889" s="19">
        <v>6888</v>
      </c>
      <c r="AH6889" s="20">
        <v>1974.3714310225107</v>
      </c>
    </row>
    <row r="6890" spans="1:34" ht="14.5" x14ac:dyDescent="0.35">
      <c r="A6890" s="34"/>
      <c r="B6890" s="35"/>
      <c r="C6890" s="36"/>
      <c r="D6890" s="37"/>
      <c r="E6890" s="36"/>
      <c r="F6890" s="42"/>
      <c r="G6890" s="42"/>
      <c r="H6890" s="42"/>
      <c r="AG6890" s="19">
        <v>6889</v>
      </c>
      <c r="AH6890" s="20">
        <v>2718.2259830583143</v>
      </c>
    </row>
    <row r="6891" spans="1:34" ht="14.5" x14ac:dyDescent="0.35">
      <c r="A6891" s="34"/>
      <c r="B6891" s="35"/>
      <c r="C6891" s="36"/>
      <c r="D6891" s="37"/>
      <c r="E6891" s="36"/>
      <c r="F6891" s="42"/>
      <c r="G6891" s="42"/>
      <c r="H6891" s="42"/>
      <c r="AG6891" s="19">
        <v>6890</v>
      </c>
      <c r="AH6891" s="20">
        <v>3529.3834777549682</v>
      </c>
    </row>
    <row r="6892" spans="1:34" ht="14.5" x14ac:dyDescent="0.35">
      <c r="A6892" s="34"/>
      <c r="B6892" s="35"/>
      <c r="C6892" s="36"/>
      <c r="D6892" s="37"/>
      <c r="E6892" s="36"/>
      <c r="F6892" s="42"/>
      <c r="G6892" s="42"/>
      <c r="H6892" s="42"/>
      <c r="AG6892" s="19">
        <v>6891</v>
      </c>
      <c r="AH6892" s="20">
        <v>1753.3235886439957</v>
      </c>
    </row>
    <row r="6893" spans="1:34" ht="14.5" x14ac:dyDescent="0.35">
      <c r="A6893" s="34"/>
      <c r="B6893" s="35"/>
      <c r="C6893" s="36"/>
      <c r="D6893" s="37"/>
      <c r="E6893" s="36"/>
      <c r="F6893" s="42"/>
      <c r="G6893" s="42"/>
      <c r="H6893" s="42"/>
      <c r="AG6893" s="19">
        <v>6892</v>
      </c>
      <c r="AH6893" s="20">
        <v>-1077.7158472550091</v>
      </c>
    </row>
    <row r="6894" spans="1:34" ht="14.5" x14ac:dyDescent="0.35">
      <c r="A6894" s="34"/>
      <c r="B6894" s="35"/>
      <c r="C6894" s="36"/>
      <c r="D6894" s="37"/>
      <c r="E6894" s="36"/>
      <c r="F6894" s="42"/>
      <c r="G6894" s="42"/>
      <c r="H6894" s="42"/>
      <c r="AG6894" s="19">
        <v>6893</v>
      </c>
      <c r="AH6894" s="20">
        <v>-2061.5396147285965</v>
      </c>
    </row>
    <row r="6895" spans="1:34" ht="14.5" x14ac:dyDescent="0.35">
      <c r="A6895" s="34"/>
      <c r="B6895" s="35"/>
      <c r="C6895" s="36"/>
      <c r="D6895" s="37"/>
      <c r="E6895" s="36"/>
      <c r="F6895" s="42"/>
      <c r="G6895" s="42"/>
      <c r="H6895" s="42"/>
      <c r="AG6895" s="19">
        <v>6894</v>
      </c>
      <c r="AH6895" s="20">
        <v>974.53908674465833</v>
      </c>
    </row>
    <row r="6896" spans="1:34" ht="14.5" x14ac:dyDescent="0.35">
      <c r="A6896" s="34"/>
      <c r="B6896" s="35"/>
      <c r="C6896" s="36"/>
      <c r="D6896" s="37"/>
      <c r="E6896" s="36"/>
      <c r="F6896" s="42"/>
      <c r="G6896" s="42"/>
      <c r="H6896" s="42"/>
      <c r="AG6896" s="19">
        <v>6895</v>
      </c>
      <c r="AH6896" s="20">
        <v>-414.39602039209529</v>
      </c>
    </row>
    <row r="6897" spans="1:34" ht="14.5" x14ac:dyDescent="0.35">
      <c r="A6897" s="34"/>
      <c r="B6897" s="35"/>
      <c r="C6897" s="36"/>
      <c r="D6897" s="37"/>
      <c r="E6897" s="36"/>
      <c r="F6897" s="42"/>
      <c r="G6897" s="42"/>
      <c r="H6897" s="42"/>
      <c r="AG6897" s="19">
        <v>6896</v>
      </c>
      <c r="AH6897" s="20">
        <v>1427.0784896846221</v>
      </c>
    </row>
    <row r="6898" spans="1:34" ht="14.5" x14ac:dyDescent="0.35">
      <c r="A6898" s="34"/>
      <c r="B6898" s="35"/>
      <c r="C6898" s="36"/>
      <c r="D6898" s="37"/>
      <c r="E6898" s="36"/>
      <c r="F6898" s="42"/>
      <c r="G6898" s="42"/>
      <c r="H6898" s="42"/>
      <c r="AG6898" s="19">
        <v>6897</v>
      </c>
      <c r="AH6898" s="20">
        <v>991.95161770494155</v>
      </c>
    </row>
    <row r="6899" spans="1:34" ht="14.5" x14ac:dyDescent="0.35">
      <c r="A6899" s="34"/>
      <c r="B6899" s="35"/>
      <c r="C6899" s="36"/>
      <c r="D6899" s="37"/>
      <c r="E6899" s="36"/>
      <c r="F6899" s="42"/>
      <c r="G6899" s="42"/>
      <c r="H6899" s="42"/>
      <c r="AG6899" s="19">
        <v>6898</v>
      </c>
      <c r="AH6899" s="20">
        <v>1451.7406855956899</v>
      </c>
    </row>
    <row r="6900" spans="1:34" ht="14.5" x14ac:dyDescent="0.35">
      <c r="A6900" s="34"/>
      <c r="B6900" s="35"/>
      <c r="C6900" s="36"/>
      <c r="D6900" s="37"/>
      <c r="E6900" s="36"/>
      <c r="F6900" s="42"/>
      <c r="G6900" s="42"/>
      <c r="H6900" s="42"/>
      <c r="AG6900" s="19">
        <v>6899</v>
      </c>
      <c r="AH6900" s="20">
        <v>-401.12398735269011</v>
      </c>
    </row>
    <row r="6901" spans="1:34" ht="14.5" x14ac:dyDescent="0.35">
      <c r="A6901" s="34"/>
      <c r="B6901" s="35"/>
      <c r="C6901" s="36"/>
      <c r="D6901" s="37"/>
      <c r="E6901" s="36"/>
      <c r="F6901" s="42"/>
      <c r="G6901" s="42"/>
      <c r="H6901" s="42"/>
      <c r="AG6901" s="19">
        <v>6900</v>
      </c>
      <c r="AH6901" s="20">
        <v>-286.94994957230728</v>
      </c>
    </row>
    <row r="6902" spans="1:34" ht="14.5" x14ac:dyDescent="0.35">
      <c r="A6902" s="34"/>
      <c r="B6902" s="35"/>
      <c r="C6902" s="36"/>
      <c r="D6902" s="37"/>
      <c r="E6902" s="36"/>
      <c r="F6902" s="42"/>
      <c r="G6902" s="42"/>
      <c r="H6902" s="42"/>
      <c r="AG6902" s="19">
        <v>6901</v>
      </c>
      <c r="AH6902" s="20">
        <v>1251.7196527242177</v>
      </c>
    </row>
    <row r="6903" spans="1:34" ht="14.5" x14ac:dyDescent="0.35">
      <c r="A6903" s="34"/>
      <c r="B6903" s="35"/>
      <c r="C6903" s="36"/>
      <c r="D6903" s="37"/>
      <c r="E6903" s="36"/>
      <c r="F6903" s="42"/>
      <c r="G6903" s="42"/>
      <c r="H6903" s="42"/>
      <c r="AG6903" s="19">
        <v>6902</v>
      </c>
      <c r="AH6903" s="20">
        <v>525.77809907741084</v>
      </c>
    </row>
    <row r="6904" spans="1:34" ht="14.5" x14ac:dyDescent="0.35">
      <c r="A6904" s="34"/>
      <c r="B6904" s="35"/>
      <c r="C6904" s="36"/>
      <c r="D6904" s="37"/>
      <c r="E6904" s="36"/>
      <c r="F6904" s="42"/>
      <c r="G6904" s="42"/>
      <c r="H6904" s="42"/>
      <c r="AG6904" s="19">
        <v>6903</v>
      </c>
      <c r="AH6904" s="20">
        <v>895.72422845622259</v>
      </c>
    </row>
    <row r="6905" spans="1:34" ht="14.5" x14ac:dyDescent="0.35">
      <c r="A6905" s="34"/>
      <c r="B6905" s="35"/>
      <c r="C6905" s="36"/>
      <c r="D6905" s="37"/>
      <c r="E6905" s="36"/>
      <c r="F6905" s="42"/>
      <c r="G6905" s="42"/>
      <c r="H6905" s="42"/>
      <c r="AG6905" s="19">
        <v>6904</v>
      </c>
      <c r="AH6905" s="20">
        <v>674.76279840101677</v>
      </c>
    </row>
    <row r="6906" spans="1:34" ht="14.5" x14ac:dyDescent="0.35">
      <c r="A6906" s="34"/>
      <c r="B6906" s="35"/>
      <c r="C6906" s="36"/>
      <c r="D6906" s="37"/>
      <c r="E6906" s="36"/>
      <c r="F6906" s="42"/>
      <c r="G6906" s="42"/>
      <c r="H6906" s="42"/>
      <c r="AG6906" s="19">
        <v>6905</v>
      </c>
      <c r="AH6906" s="20">
        <v>1377.3332641487086</v>
      </c>
    </row>
    <row r="6907" spans="1:34" ht="14.5" x14ac:dyDescent="0.35">
      <c r="A6907" s="34"/>
      <c r="B6907" s="35"/>
      <c r="C6907" s="36"/>
      <c r="D6907" s="37"/>
      <c r="E6907" s="36"/>
      <c r="F6907" s="42"/>
      <c r="G6907" s="42"/>
      <c r="H6907" s="42"/>
      <c r="AG6907" s="19">
        <v>6906</v>
      </c>
      <c r="AH6907" s="20">
        <v>-5034.2116853110738</v>
      </c>
    </row>
    <row r="6908" spans="1:34" ht="14.5" x14ac:dyDescent="0.35">
      <c r="A6908" s="34"/>
      <c r="B6908" s="35"/>
      <c r="C6908" s="36"/>
      <c r="D6908" s="37"/>
      <c r="E6908" s="36"/>
      <c r="F6908" s="42"/>
      <c r="G6908" s="42"/>
      <c r="H6908" s="42"/>
      <c r="AG6908" s="19">
        <v>6907</v>
      </c>
      <c r="AH6908" s="20">
        <v>1621.3413026613464</v>
      </c>
    </row>
    <row r="6909" spans="1:34" ht="14.5" x14ac:dyDescent="0.35">
      <c r="A6909" s="34"/>
      <c r="B6909" s="35"/>
      <c r="C6909" s="36"/>
      <c r="D6909" s="37"/>
      <c r="E6909" s="36"/>
      <c r="F6909" s="42"/>
      <c r="G6909" s="42"/>
      <c r="H6909" s="42"/>
      <c r="AG6909" s="19">
        <v>6908</v>
      </c>
      <c r="AH6909" s="20">
        <v>1833.6378954419058</v>
      </c>
    </row>
    <row r="6910" spans="1:34" ht="14.5" x14ac:dyDescent="0.35">
      <c r="A6910" s="34"/>
      <c r="B6910" s="35"/>
      <c r="C6910" s="36"/>
      <c r="D6910" s="37"/>
      <c r="E6910" s="36"/>
      <c r="F6910" s="42"/>
      <c r="G6910" s="42"/>
      <c r="H6910" s="42"/>
      <c r="AG6910" s="19">
        <v>6909</v>
      </c>
      <c r="AH6910" s="20">
        <v>459.34198032841044</v>
      </c>
    </row>
    <row r="6911" spans="1:34" ht="14.5" x14ac:dyDescent="0.35">
      <c r="A6911" s="34"/>
      <c r="B6911" s="35"/>
      <c r="C6911" s="36"/>
      <c r="D6911" s="37"/>
      <c r="E6911" s="36"/>
      <c r="F6911" s="42"/>
      <c r="G6911" s="42"/>
      <c r="H6911" s="42"/>
      <c r="AG6911" s="19">
        <v>6910</v>
      </c>
      <c r="AH6911" s="20">
        <v>-2438.533830959329</v>
      </c>
    </row>
    <row r="6912" spans="1:34" ht="14.5" x14ac:dyDescent="0.35">
      <c r="A6912" s="34"/>
      <c r="B6912" s="35"/>
      <c r="C6912" s="36"/>
      <c r="D6912" s="37"/>
      <c r="E6912" s="36"/>
      <c r="F6912" s="42"/>
      <c r="G6912" s="42"/>
      <c r="H6912" s="42"/>
      <c r="AG6912" s="19">
        <v>6911</v>
      </c>
      <c r="AH6912" s="20">
        <v>-3808.6402834367318</v>
      </c>
    </row>
    <row r="6913" spans="1:34" ht="14.5" x14ac:dyDescent="0.35">
      <c r="A6913" s="34"/>
      <c r="B6913" s="35"/>
      <c r="C6913" s="36"/>
      <c r="D6913" s="37"/>
      <c r="E6913" s="36"/>
      <c r="F6913" s="42"/>
      <c r="G6913" s="42"/>
      <c r="H6913" s="42"/>
      <c r="AG6913" s="19">
        <v>6912</v>
      </c>
      <c r="AH6913" s="20">
        <v>1822.9789012120789</v>
      </c>
    </row>
    <row r="6914" spans="1:34" ht="14.5" x14ac:dyDescent="0.35">
      <c r="A6914" s="34"/>
      <c r="B6914" s="35"/>
      <c r="C6914" s="36"/>
      <c r="D6914" s="37"/>
      <c r="E6914" s="36"/>
      <c r="F6914" s="42"/>
      <c r="G6914" s="42"/>
      <c r="H6914" s="42"/>
      <c r="AG6914" s="19">
        <v>6913</v>
      </c>
      <c r="AH6914" s="20">
        <v>-233.33074390773203</v>
      </c>
    </row>
    <row r="6915" spans="1:34" ht="14.5" x14ac:dyDescent="0.35">
      <c r="A6915" s="34"/>
      <c r="B6915" s="35"/>
      <c r="C6915" s="36"/>
      <c r="D6915" s="37"/>
      <c r="E6915" s="36"/>
      <c r="F6915" s="42"/>
      <c r="G6915" s="42"/>
      <c r="H6915" s="42"/>
      <c r="AG6915" s="19">
        <v>6914</v>
      </c>
      <c r="AH6915" s="20">
        <v>560.76832767572523</v>
      </c>
    </row>
    <row r="6916" spans="1:34" ht="14.5" x14ac:dyDescent="0.35">
      <c r="A6916" s="34"/>
      <c r="B6916" s="35"/>
      <c r="C6916" s="36"/>
      <c r="D6916" s="37"/>
      <c r="E6916" s="36"/>
      <c r="F6916" s="42"/>
      <c r="G6916" s="42"/>
      <c r="H6916" s="42"/>
      <c r="AG6916" s="19">
        <v>6915</v>
      </c>
      <c r="AH6916" s="20">
        <v>-1216.9182298942326</v>
      </c>
    </row>
    <row r="6917" spans="1:34" ht="14.5" x14ac:dyDescent="0.35">
      <c r="A6917" s="34"/>
      <c r="B6917" s="35"/>
      <c r="C6917" s="36"/>
      <c r="D6917" s="37"/>
      <c r="E6917" s="36"/>
      <c r="F6917" s="42"/>
      <c r="G6917" s="42"/>
      <c r="H6917" s="42"/>
      <c r="AG6917" s="19">
        <v>6916</v>
      </c>
      <c r="AH6917" s="20">
        <v>242.40202144738745</v>
      </c>
    </row>
    <row r="6918" spans="1:34" ht="14.5" x14ac:dyDescent="0.35">
      <c r="A6918" s="34"/>
      <c r="B6918" s="35"/>
      <c r="C6918" s="36"/>
      <c r="D6918" s="37"/>
      <c r="E6918" s="36"/>
      <c r="F6918" s="42"/>
      <c r="G6918" s="42"/>
      <c r="H6918" s="42"/>
      <c r="AG6918" s="19">
        <v>6917</v>
      </c>
      <c r="AH6918" s="20">
        <v>-1472.9778013941743</v>
      </c>
    </row>
    <row r="6919" spans="1:34" ht="14.5" x14ac:dyDescent="0.35">
      <c r="A6919" s="34"/>
      <c r="B6919" s="35"/>
      <c r="C6919" s="36"/>
      <c r="D6919" s="37"/>
      <c r="E6919" s="36"/>
      <c r="F6919" s="42"/>
      <c r="G6919" s="42"/>
      <c r="H6919" s="42"/>
      <c r="AG6919" s="19">
        <v>6918</v>
      </c>
      <c r="AH6919" s="20">
        <v>29.610775842631142</v>
      </c>
    </row>
    <row r="6920" spans="1:34" ht="14.5" x14ac:dyDescent="0.35">
      <c r="A6920" s="34"/>
      <c r="B6920" s="35"/>
      <c r="C6920" s="36"/>
      <c r="D6920" s="37"/>
      <c r="E6920" s="36"/>
      <c r="F6920" s="42"/>
      <c r="G6920" s="42"/>
      <c r="H6920" s="42"/>
      <c r="AG6920" s="19">
        <v>6919</v>
      </c>
      <c r="AH6920" s="20">
        <v>1841.7151339962795</v>
      </c>
    </row>
    <row r="6921" spans="1:34" ht="14.5" x14ac:dyDescent="0.35">
      <c r="A6921" s="34"/>
      <c r="B6921" s="35"/>
      <c r="C6921" s="36"/>
      <c r="D6921" s="37"/>
      <c r="E6921" s="36"/>
      <c r="F6921" s="42"/>
      <c r="G6921" s="42"/>
      <c r="H6921" s="42"/>
      <c r="AG6921" s="19">
        <v>6920</v>
      </c>
      <c r="AH6921" s="20">
        <v>2781.0652657308801</v>
      </c>
    </row>
    <row r="6922" spans="1:34" ht="14.5" x14ac:dyDescent="0.35">
      <c r="A6922" s="34"/>
      <c r="B6922" s="35"/>
      <c r="C6922" s="36"/>
      <c r="D6922" s="37"/>
      <c r="E6922" s="36"/>
      <c r="F6922" s="42"/>
      <c r="G6922" s="42"/>
      <c r="H6922" s="42"/>
      <c r="AG6922" s="19">
        <v>6921</v>
      </c>
      <c r="AH6922" s="20">
        <v>281.53836639387117</v>
      </c>
    </row>
    <row r="6923" spans="1:34" ht="14.5" x14ac:dyDescent="0.35">
      <c r="A6923" s="34"/>
      <c r="B6923" s="35"/>
      <c r="C6923" s="36"/>
      <c r="D6923" s="37"/>
      <c r="E6923" s="36"/>
      <c r="F6923" s="42"/>
      <c r="G6923" s="42"/>
      <c r="H6923" s="42"/>
      <c r="AG6923" s="19">
        <v>6922</v>
      </c>
      <c r="AH6923" s="20">
        <v>-859.99358444379845</v>
      </c>
    </row>
    <row r="6924" spans="1:34" ht="14.5" x14ac:dyDescent="0.35">
      <c r="A6924" s="34"/>
      <c r="B6924" s="35"/>
      <c r="C6924" s="36"/>
      <c r="D6924" s="37"/>
      <c r="E6924" s="36"/>
      <c r="F6924" s="42"/>
      <c r="G6924" s="42"/>
      <c r="H6924" s="42"/>
      <c r="AG6924" s="19">
        <v>6923</v>
      </c>
      <c r="AH6924" s="20">
        <v>314.08995471744407</v>
      </c>
    </row>
    <row r="6925" spans="1:34" ht="14.5" x14ac:dyDescent="0.35">
      <c r="A6925" s="34"/>
      <c r="B6925" s="35"/>
      <c r="C6925" s="36"/>
      <c r="D6925" s="37"/>
      <c r="E6925" s="36"/>
      <c r="F6925" s="42"/>
      <c r="G6925" s="42"/>
      <c r="H6925" s="42"/>
      <c r="AG6925" s="19">
        <v>6924</v>
      </c>
      <c r="AH6925" s="20">
        <v>3356.25605381176</v>
      </c>
    </row>
    <row r="6926" spans="1:34" ht="14.5" x14ac:dyDescent="0.35">
      <c r="A6926" s="34"/>
      <c r="B6926" s="35"/>
      <c r="C6926" s="36"/>
      <c r="D6926" s="37"/>
      <c r="E6926" s="36"/>
      <c r="F6926" s="42"/>
      <c r="G6926" s="42"/>
      <c r="H6926" s="42"/>
      <c r="AG6926" s="19">
        <v>6925</v>
      </c>
      <c r="AH6926" s="20">
        <v>133.30166817664184</v>
      </c>
    </row>
    <row r="6927" spans="1:34" ht="14.5" x14ac:dyDescent="0.35">
      <c r="A6927" s="34"/>
      <c r="B6927" s="35"/>
      <c r="C6927" s="36"/>
      <c r="D6927" s="37"/>
      <c r="E6927" s="36"/>
      <c r="F6927" s="42"/>
      <c r="G6927" s="42"/>
      <c r="H6927" s="42"/>
      <c r="AG6927" s="19">
        <v>6926</v>
      </c>
      <c r="AH6927" s="20">
        <v>957.07988874135413</v>
      </c>
    </row>
    <row r="6928" spans="1:34" ht="14.5" x14ac:dyDescent="0.35">
      <c r="A6928" s="34"/>
      <c r="B6928" s="35"/>
      <c r="C6928" s="36"/>
      <c r="D6928" s="37"/>
      <c r="E6928" s="36"/>
      <c r="F6928" s="42"/>
      <c r="G6928" s="42"/>
      <c r="H6928" s="42"/>
      <c r="AG6928" s="19">
        <v>6927</v>
      </c>
      <c r="AH6928" s="20">
        <v>-593.61025463947749</v>
      </c>
    </row>
    <row r="6929" spans="1:34" ht="14.5" x14ac:dyDescent="0.35">
      <c r="A6929" s="34"/>
      <c r="B6929" s="35"/>
      <c r="C6929" s="36"/>
      <c r="D6929" s="37"/>
      <c r="E6929" s="36"/>
      <c r="F6929" s="42"/>
      <c r="G6929" s="42"/>
      <c r="H6929" s="42"/>
      <c r="AG6929" s="19">
        <v>6928</v>
      </c>
      <c r="AH6929" s="20">
        <v>-2998.961420204259</v>
      </c>
    </row>
    <row r="6930" spans="1:34" ht="14.5" x14ac:dyDescent="0.35">
      <c r="A6930" s="34"/>
      <c r="B6930" s="35"/>
      <c r="C6930" s="36"/>
      <c r="D6930" s="37"/>
      <c r="E6930" s="36"/>
      <c r="F6930" s="42"/>
      <c r="G6930" s="42"/>
      <c r="H6930" s="42"/>
      <c r="AG6930" s="19">
        <v>6929</v>
      </c>
      <c r="AH6930" s="20">
        <v>5681.4401122439976</v>
      </c>
    </row>
    <row r="6931" spans="1:34" ht="14.5" x14ac:dyDescent="0.35">
      <c r="A6931" s="34"/>
      <c r="B6931" s="35"/>
      <c r="C6931" s="36"/>
      <c r="D6931" s="37"/>
      <c r="E6931" s="36"/>
      <c r="F6931" s="42"/>
      <c r="G6931" s="42"/>
      <c r="H6931" s="42"/>
      <c r="AG6931" s="19">
        <v>6930</v>
      </c>
      <c r="AH6931" s="20">
        <v>3535.0490845781901</v>
      </c>
    </row>
    <row r="6932" spans="1:34" ht="14.5" x14ac:dyDescent="0.35">
      <c r="A6932" s="34"/>
      <c r="B6932" s="35"/>
      <c r="C6932" s="36"/>
      <c r="D6932" s="37"/>
      <c r="E6932" s="36"/>
      <c r="F6932" s="42"/>
      <c r="G6932" s="42"/>
      <c r="H6932" s="42"/>
      <c r="AG6932" s="19">
        <v>6931</v>
      </c>
      <c r="AH6932" s="20">
        <v>-1078.1230750933698</v>
      </c>
    </row>
    <row r="6933" spans="1:34" ht="14.5" x14ac:dyDescent="0.35">
      <c r="A6933" s="34"/>
      <c r="B6933" s="35"/>
      <c r="C6933" s="36"/>
      <c r="D6933" s="37"/>
      <c r="E6933" s="36"/>
      <c r="F6933" s="42"/>
      <c r="G6933" s="42"/>
      <c r="H6933" s="42"/>
      <c r="AG6933" s="19">
        <v>6932</v>
      </c>
      <c r="AH6933" s="20">
        <v>867.68250004005654</v>
      </c>
    </row>
    <row r="6934" spans="1:34" ht="14.5" x14ac:dyDescent="0.35">
      <c r="A6934" s="34"/>
      <c r="B6934" s="35"/>
      <c r="C6934" s="36"/>
      <c r="D6934" s="37"/>
      <c r="E6934" s="36"/>
      <c r="F6934" s="42"/>
      <c r="G6934" s="42"/>
      <c r="H6934" s="42"/>
      <c r="AG6934" s="19">
        <v>6933</v>
      </c>
      <c r="AH6934" s="20">
        <v>-897.35140463523544</v>
      </c>
    </row>
    <row r="6935" spans="1:34" ht="14.5" x14ac:dyDescent="0.35">
      <c r="A6935" s="34"/>
      <c r="B6935" s="35"/>
      <c r="C6935" s="36"/>
      <c r="D6935" s="37"/>
      <c r="E6935" s="36"/>
      <c r="F6935" s="42"/>
      <c r="G6935" s="42"/>
      <c r="H6935" s="42"/>
      <c r="AG6935" s="19">
        <v>6934</v>
      </c>
      <c r="AH6935" s="20">
        <v>-1211.7284952427938</v>
      </c>
    </row>
    <row r="6936" spans="1:34" ht="14.5" x14ac:dyDescent="0.35">
      <c r="A6936" s="34"/>
      <c r="B6936" s="35"/>
      <c r="C6936" s="36"/>
      <c r="D6936" s="37"/>
      <c r="E6936" s="36"/>
      <c r="F6936" s="42"/>
      <c r="G6936" s="42"/>
      <c r="H6936" s="42"/>
      <c r="AG6936" s="19">
        <v>6935</v>
      </c>
      <c r="AH6936" s="20">
        <v>1107.3607213560731</v>
      </c>
    </row>
    <row r="6937" spans="1:34" ht="14.5" x14ac:dyDescent="0.35">
      <c r="A6937" s="34"/>
      <c r="B6937" s="35"/>
      <c r="C6937" s="36"/>
      <c r="D6937" s="37"/>
      <c r="E6937" s="36"/>
      <c r="F6937" s="42"/>
      <c r="G6937" s="42"/>
      <c r="H6937" s="42"/>
      <c r="AG6937" s="19">
        <v>6936</v>
      </c>
      <c r="AH6937" s="20">
        <v>1874.1444091895592</v>
      </c>
    </row>
    <row r="6938" spans="1:34" ht="14.5" x14ac:dyDescent="0.35">
      <c r="A6938" s="34"/>
      <c r="B6938" s="35"/>
      <c r="C6938" s="36"/>
      <c r="D6938" s="37"/>
      <c r="E6938" s="36"/>
      <c r="F6938" s="42"/>
      <c r="G6938" s="42"/>
      <c r="H6938" s="42"/>
      <c r="AG6938" s="19">
        <v>6937</v>
      </c>
      <c r="AH6938" s="20">
        <v>-810.25472643499825</v>
      </c>
    </row>
    <row r="6939" spans="1:34" ht="14.5" x14ac:dyDescent="0.35">
      <c r="A6939" s="34"/>
      <c r="B6939" s="35"/>
      <c r="C6939" s="36"/>
      <c r="D6939" s="37"/>
      <c r="E6939" s="36"/>
      <c r="F6939" s="42"/>
      <c r="G6939" s="42"/>
      <c r="H6939" s="42"/>
      <c r="AG6939" s="19">
        <v>6938</v>
      </c>
      <c r="AH6939" s="20">
        <v>-694.1032791838843</v>
      </c>
    </row>
    <row r="6940" spans="1:34" ht="14.5" x14ac:dyDescent="0.35">
      <c r="A6940" s="34"/>
      <c r="B6940" s="35"/>
      <c r="C6940" s="36"/>
      <c r="D6940" s="37"/>
      <c r="E6940" s="36"/>
      <c r="F6940" s="42"/>
      <c r="G6940" s="42"/>
      <c r="H6940" s="42"/>
      <c r="AG6940" s="19">
        <v>6939</v>
      </c>
      <c r="AH6940" s="20">
        <v>4059.056013912269</v>
      </c>
    </row>
    <row r="6941" spans="1:34" ht="14.5" x14ac:dyDescent="0.35">
      <c r="A6941" s="34"/>
      <c r="B6941" s="35"/>
      <c r="C6941" s="36"/>
      <c r="D6941" s="37"/>
      <c r="E6941" s="36"/>
      <c r="F6941" s="42"/>
      <c r="G6941" s="42"/>
      <c r="H6941" s="42"/>
      <c r="AG6941" s="19">
        <v>6940</v>
      </c>
      <c r="AH6941" s="20">
        <v>428.63945310063986</v>
      </c>
    </row>
    <row r="6942" spans="1:34" ht="14.5" x14ac:dyDescent="0.35">
      <c r="A6942" s="34"/>
      <c r="B6942" s="35"/>
      <c r="C6942" s="36"/>
      <c r="D6942" s="37"/>
      <c r="E6942" s="36"/>
      <c r="F6942" s="42"/>
      <c r="G6942" s="42"/>
      <c r="H6942" s="42"/>
      <c r="AG6942" s="19">
        <v>6941</v>
      </c>
      <c r="AH6942" s="20">
        <v>-636.48357125468874</v>
      </c>
    </row>
    <row r="6943" spans="1:34" ht="14.5" x14ac:dyDescent="0.35">
      <c r="A6943" s="34"/>
      <c r="B6943" s="35"/>
      <c r="C6943" s="36"/>
      <c r="D6943" s="37"/>
      <c r="E6943" s="36"/>
      <c r="F6943" s="42"/>
      <c r="G6943" s="42"/>
      <c r="H6943" s="42"/>
      <c r="AG6943" s="19">
        <v>6942</v>
      </c>
      <c r="AH6943" s="20">
        <v>1075.7548120934421</v>
      </c>
    </row>
    <row r="6944" spans="1:34" ht="14.5" x14ac:dyDescent="0.35">
      <c r="A6944" s="34"/>
      <c r="B6944" s="35"/>
      <c r="C6944" s="36"/>
      <c r="D6944" s="37"/>
      <c r="E6944" s="36"/>
      <c r="F6944" s="42"/>
      <c r="G6944" s="42"/>
      <c r="H6944" s="42"/>
      <c r="AG6944" s="19">
        <v>6943</v>
      </c>
      <c r="AH6944" s="20">
        <v>1537.3659624327231</v>
      </c>
    </row>
    <row r="6945" spans="1:34" ht="14.5" x14ac:dyDescent="0.35">
      <c r="A6945" s="34"/>
      <c r="B6945" s="35"/>
      <c r="C6945" s="36"/>
      <c r="D6945" s="37"/>
      <c r="E6945" s="36"/>
      <c r="F6945" s="42"/>
      <c r="G6945" s="42"/>
      <c r="H6945" s="42"/>
      <c r="AG6945" s="19">
        <v>6944</v>
      </c>
      <c r="AH6945" s="20">
        <v>-2172.5363874778559</v>
      </c>
    </row>
    <row r="6946" spans="1:34" ht="14.5" x14ac:dyDescent="0.35">
      <c r="A6946" s="34"/>
      <c r="B6946" s="35"/>
      <c r="C6946" s="36"/>
      <c r="D6946" s="37"/>
      <c r="E6946" s="36"/>
      <c r="F6946" s="42"/>
      <c r="G6946" s="42"/>
      <c r="H6946" s="42"/>
      <c r="AG6946" s="19">
        <v>6945</v>
      </c>
      <c r="AH6946" s="20">
        <v>-2768.0727287343848</v>
      </c>
    </row>
    <row r="6947" spans="1:34" ht="14.5" x14ac:dyDescent="0.35">
      <c r="A6947" s="34"/>
      <c r="B6947" s="35"/>
      <c r="C6947" s="36"/>
      <c r="D6947" s="37"/>
      <c r="E6947" s="36"/>
      <c r="F6947" s="42"/>
      <c r="G6947" s="42"/>
      <c r="H6947" s="42"/>
      <c r="AG6947" s="19">
        <v>6946</v>
      </c>
      <c r="AH6947" s="20">
        <v>1629.0250788711344</v>
      </c>
    </row>
    <row r="6948" spans="1:34" ht="14.5" x14ac:dyDescent="0.35">
      <c r="A6948" s="34"/>
      <c r="B6948" s="35"/>
      <c r="C6948" s="36"/>
      <c r="D6948" s="37"/>
      <c r="E6948" s="36"/>
      <c r="F6948" s="42"/>
      <c r="G6948" s="42"/>
      <c r="H6948" s="42"/>
      <c r="AG6948" s="19">
        <v>6947</v>
      </c>
      <c r="AH6948" s="20">
        <v>128.18778620594844</v>
      </c>
    </row>
    <row r="6949" spans="1:34" ht="14.5" x14ac:dyDescent="0.35">
      <c r="A6949" s="34"/>
      <c r="B6949" s="35"/>
      <c r="C6949" s="36"/>
      <c r="D6949" s="37"/>
      <c r="E6949" s="36"/>
      <c r="F6949" s="42"/>
      <c r="G6949" s="42"/>
      <c r="H6949" s="42"/>
      <c r="AG6949" s="19">
        <v>6948</v>
      </c>
      <c r="AH6949" s="20">
        <v>-1444.6077327039809</v>
      </c>
    </row>
    <row r="6950" spans="1:34" ht="14.5" x14ac:dyDescent="0.35">
      <c r="A6950" s="34"/>
      <c r="B6950" s="35"/>
      <c r="C6950" s="36"/>
      <c r="D6950" s="37"/>
      <c r="E6950" s="36"/>
      <c r="F6950" s="42"/>
      <c r="G6950" s="42"/>
      <c r="H6950" s="42"/>
      <c r="AG6950" s="19">
        <v>6949</v>
      </c>
      <c r="AH6950" s="20">
        <v>531.49838579981702</v>
      </c>
    </row>
    <row r="6951" spans="1:34" ht="14.5" x14ac:dyDescent="0.35">
      <c r="A6951" s="34"/>
      <c r="B6951" s="35"/>
      <c r="C6951" s="36"/>
      <c r="D6951" s="37"/>
      <c r="E6951" s="36"/>
      <c r="F6951" s="42"/>
      <c r="G6951" s="42"/>
      <c r="H6951" s="42"/>
      <c r="AG6951" s="19">
        <v>6950</v>
      </c>
      <c r="AH6951" s="20">
        <v>1184.7452024011798</v>
      </c>
    </row>
    <row r="6952" spans="1:34" ht="14.5" x14ac:dyDescent="0.35">
      <c r="A6952" s="34"/>
      <c r="B6952" s="35"/>
      <c r="C6952" s="36"/>
      <c r="D6952" s="37"/>
      <c r="E6952" s="36"/>
      <c r="F6952" s="42"/>
      <c r="G6952" s="42"/>
      <c r="H6952" s="42"/>
      <c r="AG6952" s="19">
        <v>6951</v>
      </c>
      <c r="AH6952" s="20">
        <v>-83.383953258102906</v>
      </c>
    </row>
    <row r="6953" spans="1:34" ht="14.5" x14ac:dyDescent="0.35">
      <c r="A6953" s="34"/>
      <c r="B6953" s="35"/>
      <c r="C6953" s="36"/>
      <c r="D6953" s="37"/>
      <c r="E6953" s="36"/>
      <c r="F6953" s="42"/>
      <c r="G6953" s="42"/>
      <c r="H6953" s="42"/>
      <c r="AG6953" s="19">
        <v>6952</v>
      </c>
      <c r="AH6953" s="20">
        <v>-2400.3714106021589</v>
      </c>
    </row>
    <row r="6954" spans="1:34" ht="14.5" x14ac:dyDescent="0.35">
      <c r="A6954" s="34"/>
      <c r="B6954" s="35"/>
      <c r="C6954" s="36"/>
      <c r="D6954" s="37"/>
      <c r="E6954" s="36"/>
      <c r="F6954" s="42"/>
      <c r="G6954" s="42"/>
      <c r="H6954" s="42"/>
      <c r="AG6954" s="19">
        <v>6953</v>
      </c>
      <c r="AH6954" s="20">
        <v>827.15961382911655</v>
      </c>
    </row>
    <row r="6955" spans="1:34" ht="14.5" x14ac:dyDescent="0.35">
      <c r="A6955" s="34"/>
      <c r="B6955" s="35"/>
      <c r="C6955" s="36"/>
      <c r="D6955" s="37"/>
      <c r="E6955" s="36"/>
      <c r="F6955" s="42"/>
      <c r="G6955" s="42"/>
      <c r="H6955" s="42"/>
      <c r="AG6955" s="19">
        <v>6954</v>
      </c>
      <c r="AH6955" s="20">
        <v>-4139.5483052661639</v>
      </c>
    </row>
    <row r="6956" spans="1:34" ht="14.5" x14ac:dyDescent="0.35">
      <c r="A6956" s="34"/>
      <c r="B6956" s="35"/>
      <c r="C6956" s="36"/>
      <c r="D6956" s="37"/>
      <c r="E6956" s="36"/>
      <c r="F6956" s="42"/>
      <c r="G6956" s="42"/>
      <c r="H6956" s="42"/>
      <c r="AG6956" s="19">
        <v>6955</v>
      </c>
      <c r="AH6956" s="20">
        <v>1820.8657920034698</v>
      </c>
    </row>
    <row r="6957" spans="1:34" ht="14.5" x14ac:dyDescent="0.35">
      <c r="A6957" s="34"/>
      <c r="B6957" s="35"/>
      <c r="C6957" s="36"/>
      <c r="D6957" s="37"/>
      <c r="E6957" s="36"/>
      <c r="F6957" s="42"/>
      <c r="G6957" s="42"/>
      <c r="H6957" s="42"/>
      <c r="AG6957" s="19">
        <v>6956</v>
      </c>
      <c r="AH6957" s="20">
        <v>2310.9921850570654</v>
      </c>
    </row>
    <row r="6958" spans="1:34" ht="14.5" x14ac:dyDescent="0.35">
      <c r="A6958" s="34"/>
      <c r="B6958" s="35"/>
      <c r="C6958" s="36"/>
      <c r="D6958" s="37"/>
      <c r="E6958" s="36"/>
      <c r="F6958" s="42"/>
      <c r="G6958" s="42"/>
      <c r="H6958" s="42"/>
      <c r="AG6958" s="19">
        <v>6957</v>
      </c>
      <c r="AH6958" s="20">
        <v>-12.063632906621706</v>
      </c>
    </row>
    <row r="6959" spans="1:34" ht="14.5" x14ac:dyDescent="0.35">
      <c r="A6959" s="34"/>
      <c r="B6959" s="35"/>
      <c r="C6959" s="36"/>
      <c r="D6959" s="37"/>
      <c r="E6959" s="36"/>
      <c r="F6959" s="42"/>
      <c r="G6959" s="42"/>
      <c r="H6959" s="42"/>
      <c r="AG6959" s="19">
        <v>6958</v>
      </c>
      <c r="AH6959" s="20">
        <v>-2009.7318865042987</v>
      </c>
    </row>
    <row r="6960" spans="1:34" ht="14.5" x14ac:dyDescent="0.35">
      <c r="A6960" s="34"/>
      <c r="B6960" s="35"/>
      <c r="C6960" s="36"/>
      <c r="D6960" s="37"/>
      <c r="E6960" s="36"/>
      <c r="F6960" s="42"/>
      <c r="G6960" s="42"/>
      <c r="H6960" s="42"/>
      <c r="AG6960" s="19">
        <v>6959</v>
      </c>
      <c r="AH6960" s="20">
        <v>-287.81719887236437</v>
      </c>
    </row>
    <row r="6961" spans="1:34" ht="14.5" x14ac:dyDescent="0.35">
      <c r="A6961" s="34"/>
      <c r="B6961" s="35"/>
      <c r="C6961" s="36"/>
      <c r="D6961" s="37"/>
      <c r="E6961" s="36"/>
      <c r="F6961" s="42"/>
      <c r="G6961" s="42"/>
      <c r="H6961" s="42"/>
      <c r="AG6961" s="19">
        <v>6960</v>
      </c>
      <c r="AH6961" s="20">
        <v>-2338.9799211275417</v>
      </c>
    </row>
    <row r="6962" spans="1:34" ht="14.5" x14ac:dyDescent="0.35">
      <c r="A6962" s="34"/>
      <c r="B6962" s="35"/>
      <c r="C6962" s="36"/>
      <c r="D6962" s="37"/>
      <c r="E6962" s="36"/>
      <c r="F6962" s="42"/>
      <c r="G6962" s="42"/>
      <c r="H6962" s="42"/>
      <c r="AG6962" s="19">
        <v>6961</v>
      </c>
      <c r="AH6962" s="20">
        <v>-539.8537663360346</v>
      </c>
    </row>
    <row r="6963" spans="1:34" ht="14.5" x14ac:dyDescent="0.35">
      <c r="A6963" s="34"/>
      <c r="B6963" s="35"/>
      <c r="C6963" s="36"/>
      <c r="D6963" s="37"/>
      <c r="E6963" s="36"/>
      <c r="F6963" s="42"/>
      <c r="G6963" s="42"/>
      <c r="H6963" s="42"/>
      <c r="AG6963" s="19">
        <v>6962</v>
      </c>
      <c r="AH6963" s="20">
        <v>204.50917699236129</v>
      </c>
    </row>
    <row r="6964" spans="1:34" ht="14.5" x14ac:dyDescent="0.35">
      <c r="A6964" s="34"/>
      <c r="B6964" s="35"/>
      <c r="C6964" s="36"/>
      <c r="D6964" s="37"/>
      <c r="E6964" s="36"/>
      <c r="F6964" s="42"/>
      <c r="G6964" s="42"/>
      <c r="H6964" s="42"/>
      <c r="AG6964" s="19">
        <v>6963</v>
      </c>
      <c r="AH6964" s="20">
        <v>-237.80343437869209</v>
      </c>
    </row>
    <row r="6965" spans="1:34" ht="14.5" x14ac:dyDescent="0.35">
      <c r="A6965" s="34"/>
      <c r="B6965" s="35"/>
      <c r="C6965" s="36"/>
      <c r="D6965" s="37"/>
      <c r="E6965" s="36"/>
      <c r="F6965" s="42"/>
      <c r="G6965" s="42"/>
      <c r="H6965" s="42"/>
      <c r="AG6965" s="19">
        <v>6964</v>
      </c>
      <c r="AH6965" s="20">
        <v>291.75431117288753</v>
      </c>
    </row>
    <row r="6966" spans="1:34" ht="14.5" x14ac:dyDescent="0.35">
      <c r="A6966" s="34"/>
      <c r="B6966" s="35"/>
      <c r="C6966" s="36"/>
      <c r="D6966" s="37"/>
      <c r="E6966" s="36"/>
      <c r="F6966" s="42"/>
      <c r="G6966" s="42"/>
      <c r="H6966" s="42"/>
      <c r="AG6966" s="19">
        <v>6965</v>
      </c>
      <c r="AH6966" s="20">
        <v>541.41271851760803</v>
      </c>
    </row>
    <row r="6967" spans="1:34" ht="14.5" x14ac:dyDescent="0.35">
      <c r="A6967" s="34"/>
      <c r="B6967" s="35"/>
      <c r="C6967" s="36"/>
      <c r="D6967" s="37"/>
      <c r="E6967" s="36"/>
      <c r="F6967" s="42"/>
      <c r="G6967" s="42"/>
      <c r="H6967" s="42"/>
      <c r="AG6967" s="19">
        <v>6966</v>
      </c>
      <c r="AH6967" s="20">
        <v>3225.5092063012949</v>
      </c>
    </row>
    <row r="6968" spans="1:34" ht="14.5" x14ac:dyDescent="0.35">
      <c r="A6968" s="34"/>
      <c r="B6968" s="35"/>
      <c r="C6968" s="36"/>
      <c r="D6968" s="37"/>
      <c r="E6968" s="36"/>
      <c r="F6968" s="42"/>
      <c r="G6968" s="42"/>
      <c r="H6968" s="42"/>
      <c r="AG6968" s="19">
        <v>6967</v>
      </c>
      <c r="AH6968" s="20">
        <v>1011.9886908613723</v>
      </c>
    </row>
    <row r="6969" spans="1:34" ht="14.5" x14ac:dyDescent="0.35">
      <c r="A6969" s="34"/>
      <c r="B6969" s="35"/>
      <c r="C6969" s="36"/>
      <c r="D6969" s="37"/>
      <c r="E6969" s="36"/>
      <c r="F6969" s="42"/>
      <c r="G6969" s="42"/>
      <c r="H6969" s="42"/>
      <c r="AG6969" s="19">
        <v>6968</v>
      </c>
      <c r="AH6969" s="20">
        <v>1382.7137170142648</v>
      </c>
    </row>
    <row r="6970" spans="1:34" ht="14.5" x14ac:dyDescent="0.35">
      <c r="A6970" s="34"/>
      <c r="B6970" s="35"/>
      <c r="C6970" s="36"/>
      <c r="D6970" s="37"/>
      <c r="E6970" s="36"/>
      <c r="F6970" s="42"/>
      <c r="G6970" s="42"/>
      <c r="H6970" s="42"/>
      <c r="AG6970" s="19">
        <v>6969</v>
      </c>
      <c r="AH6970" s="20">
        <v>-2671.4759629440696</v>
      </c>
    </row>
    <row r="6971" spans="1:34" ht="14.5" x14ac:dyDescent="0.35">
      <c r="A6971" s="34"/>
      <c r="B6971" s="35"/>
      <c r="C6971" s="36"/>
      <c r="D6971" s="37"/>
      <c r="E6971" s="36"/>
      <c r="F6971" s="42"/>
      <c r="G6971" s="42"/>
      <c r="H6971" s="42"/>
      <c r="AG6971" s="19">
        <v>6970</v>
      </c>
      <c r="AH6971" s="20">
        <v>2172.6870170292445</v>
      </c>
    </row>
    <row r="6972" spans="1:34" ht="14.5" x14ac:dyDescent="0.35">
      <c r="A6972" s="34"/>
      <c r="B6972" s="35"/>
      <c r="C6972" s="36"/>
      <c r="D6972" s="37"/>
      <c r="E6972" s="36"/>
      <c r="F6972" s="42"/>
      <c r="G6972" s="42"/>
      <c r="H6972" s="42"/>
      <c r="AG6972" s="19">
        <v>6971</v>
      </c>
      <c r="AH6972" s="20">
        <v>567.74538339713649</v>
      </c>
    </row>
    <row r="6973" spans="1:34" ht="14.5" x14ac:dyDescent="0.35">
      <c r="A6973" s="34"/>
      <c r="B6973" s="35"/>
      <c r="C6973" s="36"/>
      <c r="D6973" s="37"/>
      <c r="E6973" s="36"/>
      <c r="F6973" s="42"/>
      <c r="G6973" s="42"/>
      <c r="H6973" s="42"/>
      <c r="AG6973" s="19">
        <v>6972</v>
      </c>
      <c r="AH6973" s="20">
        <v>596.13655358536346</v>
      </c>
    </row>
    <row r="6974" spans="1:34" ht="14.5" x14ac:dyDescent="0.35">
      <c r="A6974" s="34"/>
      <c r="B6974" s="35"/>
      <c r="C6974" s="36"/>
      <c r="D6974" s="37"/>
      <c r="E6974" s="36"/>
      <c r="F6974" s="42"/>
      <c r="G6974" s="42"/>
      <c r="H6974" s="42"/>
      <c r="AG6974" s="19">
        <v>6973</v>
      </c>
      <c r="AH6974" s="20">
        <v>2301.10840647435</v>
      </c>
    </row>
    <row r="6975" spans="1:34" ht="14.5" x14ac:dyDescent="0.35">
      <c r="A6975" s="34"/>
      <c r="B6975" s="35"/>
      <c r="C6975" s="36"/>
      <c r="D6975" s="37"/>
      <c r="E6975" s="36"/>
      <c r="F6975" s="42"/>
      <c r="G6975" s="42"/>
      <c r="H6975" s="42"/>
      <c r="AG6975" s="19">
        <v>6974</v>
      </c>
      <c r="AH6975" s="20">
        <v>3250.7517888437042</v>
      </c>
    </row>
    <row r="6976" spans="1:34" ht="14.5" x14ac:dyDescent="0.35">
      <c r="A6976" s="34"/>
      <c r="B6976" s="35"/>
      <c r="C6976" s="36"/>
      <c r="D6976" s="37"/>
      <c r="E6976" s="36"/>
      <c r="F6976" s="42"/>
      <c r="G6976" s="42"/>
      <c r="H6976" s="42"/>
      <c r="AG6976" s="19">
        <v>6975</v>
      </c>
      <c r="AH6976" s="20">
        <v>-735.00980967338978</v>
      </c>
    </row>
    <row r="6977" spans="1:34" ht="14.5" x14ac:dyDescent="0.35">
      <c r="A6977" s="34"/>
      <c r="B6977" s="35"/>
      <c r="C6977" s="36"/>
      <c r="D6977" s="37"/>
      <c r="E6977" s="36"/>
      <c r="F6977" s="42"/>
      <c r="G6977" s="42"/>
      <c r="H6977" s="42"/>
      <c r="AG6977" s="19">
        <v>6976</v>
      </c>
      <c r="AH6977" s="20">
        <v>-799.74833567664723</v>
      </c>
    </row>
    <row r="6978" spans="1:34" ht="14.5" x14ac:dyDescent="0.35">
      <c r="A6978" s="34"/>
      <c r="B6978" s="35"/>
      <c r="C6978" s="36"/>
      <c r="D6978" s="37"/>
      <c r="E6978" s="36"/>
      <c r="F6978" s="42"/>
      <c r="G6978" s="42"/>
      <c r="H6978" s="42"/>
      <c r="AG6978" s="19">
        <v>6977</v>
      </c>
      <c r="AH6978" s="20">
        <v>127.81469088991264</v>
      </c>
    </row>
    <row r="6979" spans="1:34" ht="14.5" x14ac:dyDescent="0.35">
      <c r="A6979" s="34"/>
      <c r="B6979" s="35"/>
      <c r="C6979" s="36"/>
      <c r="D6979" s="37"/>
      <c r="E6979" s="36"/>
      <c r="F6979" s="42"/>
      <c r="G6979" s="42"/>
      <c r="H6979" s="42"/>
      <c r="AG6979" s="19">
        <v>6978</v>
      </c>
      <c r="AH6979" s="20">
        <v>-3689.5192000709067</v>
      </c>
    </row>
    <row r="6980" spans="1:34" ht="14.5" x14ac:dyDescent="0.35">
      <c r="A6980" s="34"/>
      <c r="B6980" s="35"/>
      <c r="C6980" s="36"/>
      <c r="D6980" s="37"/>
      <c r="E6980" s="36"/>
      <c r="F6980" s="42"/>
      <c r="G6980" s="42"/>
      <c r="H6980" s="42"/>
      <c r="AG6980" s="19">
        <v>6979</v>
      </c>
      <c r="AH6980" s="20">
        <v>2973.2869049150527</v>
      </c>
    </row>
    <row r="6981" spans="1:34" ht="14.5" x14ac:dyDescent="0.35">
      <c r="A6981" s="34"/>
      <c r="B6981" s="35"/>
      <c r="C6981" s="36"/>
      <c r="D6981" s="37"/>
      <c r="E6981" s="36"/>
      <c r="F6981" s="42"/>
      <c r="G6981" s="42"/>
      <c r="H6981" s="42"/>
      <c r="AG6981" s="19">
        <v>6980</v>
      </c>
      <c r="AH6981" s="20">
        <v>1651.7138314855893</v>
      </c>
    </row>
    <row r="6982" spans="1:34" ht="14.5" x14ac:dyDescent="0.35">
      <c r="A6982" s="34"/>
      <c r="B6982" s="35"/>
      <c r="C6982" s="36"/>
      <c r="D6982" s="37"/>
      <c r="E6982" s="36"/>
      <c r="F6982" s="42"/>
      <c r="G6982" s="42"/>
      <c r="H6982" s="42"/>
      <c r="AG6982" s="19">
        <v>6981</v>
      </c>
      <c r="AH6982" s="20">
        <v>-3125.9793180546908</v>
      </c>
    </row>
    <row r="6983" spans="1:34" ht="14.5" x14ac:dyDescent="0.35">
      <c r="A6983" s="34"/>
      <c r="B6983" s="35"/>
      <c r="C6983" s="36"/>
      <c r="D6983" s="37"/>
      <c r="E6983" s="36"/>
      <c r="F6983" s="42"/>
      <c r="G6983" s="42"/>
      <c r="H6983" s="42"/>
      <c r="AG6983" s="19">
        <v>6982</v>
      </c>
      <c r="AH6983" s="20">
        <v>782.84023747430729</v>
      </c>
    </row>
    <row r="6984" spans="1:34" ht="14.5" x14ac:dyDescent="0.35">
      <c r="A6984" s="34"/>
      <c r="B6984" s="35"/>
      <c r="C6984" s="36"/>
      <c r="D6984" s="37"/>
      <c r="E6984" s="36"/>
      <c r="F6984" s="42"/>
      <c r="G6984" s="42"/>
      <c r="H6984" s="42"/>
      <c r="AG6984" s="19">
        <v>6983</v>
      </c>
      <c r="AH6984" s="20">
        <v>-383.20806158639647</v>
      </c>
    </row>
    <row r="6985" spans="1:34" ht="14.5" x14ac:dyDescent="0.35">
      <c r="A6985" s="34"/>
      <c r="B6985" s="35"/>
      <c r="C6985" s="36"/>
      <c r="D6985" s="37"/>
      <c r="E6985" s="36"/>
      <c r="F6985" s="42"/>
      <c r="G6985" s="42"/>
      <c r="H6985" s="42"/>
      <c r="AG6985" s="19">
        <v>6984</v>
      </c>
      <c r="AH6985" s="20">
        <v>1508.9187355663964</v>
      </c>
    </row>
    <row r="6986" spans="1:34" ht="14.5" x14ac:dyDescent="0.35">
      <c r="A6986" s="34"/>
      <c r="B6986" s="35"/>
      <c r="C6986" s="36"/>
      <c r="D6986" s="37"/>
      <c r="E6986" s="36"/>
      <c r="F6986" s="42"/>
      <c r="G6986" s="42"/>
      <c r="H6986" s="42"/>
      <c r="AG6986" s="19">
        <v>6985</v>
      </c>
      <c r="AH6986" s="20">
        <v>1160.8792141021149</v>
      </c>
    </row>
    <row r="6987" spans="1:34" ht="14.5" x14ac:dyDescent="0.35">
      <c r="A6987" s="34"/>
      <c r="B6987" s="35"/>
      <c r="C6987" s="36"/>
      <c r="D6987" s="37"/>
      <c r="E6987" s="36"/>
      <c r="F6987" s="42"/>
      <c r="G6987" s="42"/>
      <c r="H6987" s="42"/>
      <c r="AG6987" s="19">
        <v>6986</v>
      </c>
      <c r="AH6987" s="20">
        <v>1724.4776819831638</v>
      </c>
    </row>
    <row r="6988" spans="1:34" ht="14.5" x14ac:dyDescent="0.35">
      <c r="A6988" s="34"/>
      <c r="B6988" s="35"/>
      <c r="C6988" s="36"/>
      <c r="D6988" s="37"/>
      <c r="E6988" s="36"/>
      <c r="F6988" s="42"/>
      <c r="G6988" s="42"/>
      <c r="H6988" s="42"/>
      <c r="AG6988" s="19">
        <v>6987</v>
      </c>
      <c r="AH6988" s="20">
        <v>2075.4289122394935</v>
      </c>
    </row>
    <row r="6989" spans="1:34" ht="14.5" x14ac:dyDescent="0.35">
      <c r="A6989" s="34"/>
      <c r="B6989" s="35"/>
      <c r="C6989" s="36"/>
      <c r="D6989" s="37"/>
      <c r="E6989" s="36"/>
      <c r="F6989" s="42"/>
      <c r="G6989" s="42"/>
      <c r="H6989" s="42"/>
      <c r="AG6989" s="19">
        <v>6988</v>
      </c>
      <c r="AH6989" s="20">
        <v>-109.61479402141413</v>
      </c>
    </row>
    <row r="6990" spans="1:34" ht="14.5" x14ac:dyDescent="0.35">
      <c r="A6990" s="34"/>
      <c r="B6990" s="35"/>
      <c r="C6990" s="36"/>
      <c r="D6990" s="37"/>
      <c r="E6990" s="36"/>
      <c r="F6990" s="42"/>
      <c r="G6990" s="42"/>
      <c r="H6990" s="42"/>
      <c r="AG6990" s="19">
        <v>6989</v>
      </c>
      <c r="AH6990" s="20">
        <v>-3439.9439926273785</v>
      </c>
    </row>
    <row r="6991" spans="1:34" ht="14.5" x14ac:dyDescent="0.35">
      <c r="A6991" s="34"/>
      <c r="B6991" s="35"/>
      <c r="C6991" s="36"/>
      <c r="D6991" s="37"/>
      <c r="E6991" s="36"/>
      <c r="F6991" s="42"/>
      <c r="G6991" s="42"/>
      <c r="H6991" s="42"/>
      <c r="AG6991" s="19">
        <v>6990</v>
      </c>
      <c r="AH6991" s="20">
        <v>2791.3663520414507</v>
      </c>
    </row>
    <row r="6992" spans="1:34" ht="14.5" x14ac:dyDescent="0.35">
      <c r="A6992" s="34"/>
      <c r="B6992" s="35"/>
      <c r="C6992" s="36"/>
      <c r="D6992" s="37"/>
      <c r="E6992" s="36"/>
      <c r="F6992" s="42"/>
      <c r="G6992" s="42"/>
      <c r="H6992" s="42"/>
      <c r="AG6992" s="19">
        <v>6991</v>
      </c>
      <c r="AH6992" s="20">
        <v>-1718.5240588811973</v>
      </c>
    </row>
    <row r="6993" spans="1:34" ht="14.5" x14ac:dyDescent="0.35">
      <c r="A6993" s="34"/>
      <c r="B6993" s="35"/>
      <c r="C6993" s="36"/>
      <c r="D6993" s="37"/>
      <c r="E6993" s="36"/>
      <c r="F6993" s="42"/>
      <c r="G6993" s="42"/>
      <c r="H6993" s="42"/>
      <c r="AG6993" s="19">
        <v>6992</v>
      </c>
      <c r="AH6993" s="20">
        <v>688.11208199790804</v>
      </c>
    </row>
    <row r="6994" spans="1:34" ht="14.5" x14ac:dyDescent="0.35">
      <c r="A6994" s="34"/>
      <c r="B6994" s="35"/>
      <c r="C6994" s="36"/>
      <c r="D6994" s="37"/>
      <c r="E6994" s="36"/>
      <c r="F6994" s="42"/>
      <c r="G6994" s="42"/>
      <c r="H6994" s="42"/>
      <c r="AG6994" s="19">
        <v>6993</v>
      </c>
      <c r="AH6994" s="20">
        <v>1308.48381022586</v>
      </c>
    </row>
    <row r="6995" spans="1:34" ht="14.5" x14ac:dyDescent="0.35">
      <c r="A6995" s="34"/>
      <c r="B6995" s="35"/>
      <c r="C6995" s="36"/>
      <c r="D6995" s="37"/>
      <c r="E6995" s="36"/>
      <c r="F6995" s="42"/>
      <c r="G6995" s="42"/>
      <c r="H6995" s="42"/>
      <c r="AG6995" s="19">
        <v>6994</v>
      </c>
      <c r="AH6995" s="20">
        <v>286.57720362609871</v>
      </c>
    </row>
    <row r="6996" spans="1:34" ht="14.5" x14ac:dyDescent="0.35">
      <c r="A6996" s="34"/>
      <c r="B6996" s="35"/>
      <c r="C6996" s="36"/>
      <c r="D6996" s="37"/>
      <c r="E6996" s="36"/>
      <c r="F6996" s="42"/>
      <c r="G6996" s="42"/>
      <c r="H6996" s="42"/>
      <c r="AG6996" s="19">
        <v>6995</v>
      </c>
      <c r="AH6996" s="20">
        <v>2612.6148020173423</v>
      </c>
    </row>
    <row r="6997" spans="1:34" ht="14.5" x14ac:dyDescent="0.35">
      <c r="A6997" s="34"/>
      <c r="B6997" s="35"/>
      <c r="C6997" s="36"/>
      <c r="D6997" s="37"/>
      <c r="E6997" s="36"/>
      <c r="F6997" s="42"/>
      <c r="G6997" s="42"/>
      <c r="H6997" s="42"/>
      <c r="AG6997" s="19">
        <v>6996</v>
      </c>
      <c r="AH6997" s="20">
        <v>1692.8920559798514</v>
      </c>
    </row>
    <row r="6998" spans="1:34" ht="14.5" x14ac:dyDescent="0.35">
      <c r="A6998" s="34"/>
      <c r="B6998" s="35"/>
      <c r="C6998" s="36"/>
      <c r="D6998" s="37"/>
      <c r="E6998" s="36"/>
      <c r="F6998" s="42"/>
      <c r="G6998" s="42"/>
      <c r="H6998" s="42"/>
      <c r="AG6998" s="19">
        <v>6997</v>
      </c>
      <c r="AH6998" s="20">
        <v>460.19586967994007</v>
      </c>
    </row>
    <row r="6999" spans="1:34" ht="14.5" x14ac:dyDescent="0.35">
      <c r="A6999" s="34"/>
      <c r="B6999" s="35"/>
      <c r="C6999" s="36"/>
      <c r="D6999" s="37"/>
      <c r="E6999" s="36"/>
      <c r="F6999" s="42"/>
      <c r="G6999" s="42"/>
      <c r="H6999" s="42"/>
      <c r="AG6999" s="19">
        <v>6998</v>
      </c>
      <c r="AH6999" s="20">
        <v>4582.4655222481451</v>
      </c>
    </row>
    <row r="7000" spans="1:34" ht="14.5" x14ac:dyDescent="0.35">
      <c r="A7000" s="34"/>
      <c r="B7000" s="35"/>
      <c r="C7000" s="36"/>
      <c r="D7000" s="37"/>
      <c r="E7000" s="36"/>
      <c r="F7000" s="42"/>
      <c r="G7000" s="42"/>
      <c r="H7000" s="42"/>
      <c r="AG7000" s="19">
        <v>6999</v>
      </c>
      <c r="AH7000" s="20">
        <v>-852.28273187449486</v>
      </c>
    </row>
    <row r="7001" spans="1:34" ht="14.5" x14ac:dyDescent="0.35">
      <c r="A7001" s="34"/>
      <c r="B7001" s="35"/>
      <c r="C7001" s="36"/>
      <c r="D7001" s="37"/>
      <c r="E7001" s="36"/>
      <c r="F7001" s="42"/>
      <c r="G7001" s="42"/>
      <c r="H7001" s="42"/>
      <c r="AG7001" s="19">
        <v>7000</v>
      </c>
      <c r="AH7001" s="20">
        <v>1560.8509228791556</v>
      </c>
    </row>
    <row r="7002" spans="1:34" ht="14.5" x14ac:dyDescent="0.35">
      <c r="A7002" s="34"/>
      <c r="B7002" s="35"/>
      <c r="C7002" s="36"/>
      <c r="D7002" s="37"/>
      <c r="E7002" s="36"/>
      <c r="F7002" s="42"/>
      <c r="G7002" s="42"/>
      <c r="H7002" s="42"/>
      <c r="AG7002" s="19">
        <v>7001</v>
      </c>
      <c r="AH7002" s="20">
        <v>-606.05303762733706</v>
      </c>
    </row>
    <row r="7003" spans="1:34" ht="14.5" x14ac:dyDescent="0.35">
      <c r="A7003" s="34"/>
      <c r="B7003" s="35"/>
      <c r="C7003" s="36"/>
      <c r="D7003" s="37"/>
      <c r="E7003" s="36"/>
      <c r="F7003" s="42"/>
      <c r="G7003" s="42"/>
      <c r="H7003" s="42"/>
      <c r="AG7003" s="19">
        <v>7002</v>
      </c>
      <c r="AH7003" s="20">
        <v>-1620.5599594046255</v>
      </c>
    </row>
    <row r="7004" spans="1:34" ht="14.5" x14ac:dyDescent="0.35">
      <c r="A7004" s="34"/>
      <c r="B7004" s="35"/>
      <c r="C7004" s="36"/>
      <c r="D7004" s="37"/>
      <c r="E7004" s="36"/>
      <c r="F7004" s="42"/>
      <c r="G7004" s="42"/>
      <c r="H7004" s="42"/>
      <c r="AG7004" s="19">
        <v>7003</v>
      </c>
      <c r="AH7004" s="20">
        <v>-2267.4454961368888</v>
      </c>
    </row>
    <row r="7005" spans="1:34" ht="14.5" x14ac:dyDescent="0.35">
      <c r="A7005" s="34"/>
      <c r="B7005" s="35"/>
      <c r="C7005" s="36"/>
      <c r="D7005" s="37"/>
      <c r="E7005" s="36"/>
      <c r="F7005" s="42"/>
      <c r="G7005" s="42"/>
      <c r="H7005" s="42"/>
      <c r="AG7005" s="19">
        <v>7004</v>
      </c>
      <c r="AH7005" s="20">
        <v>-1169.4460918653194</v>
      </c>
    </row>
    <row r="7006" spans="1:34" ht="14.5" x14ac:dyDescent="0.35">
      <c r="A7006" s="34"/>
      <c r="B7006" s="35"/>
      <c r="C7006" s="36"/>
      <c r="D7006" s="37"/>
      <c r="E7006" s="36"/>
      <c r="F7006" s="42"/>
      <c r="G7006" s="42"/>
      <c r="H7006" s="42"/>
      <c r="AG7006" s="19">
        <v>7005</v>
      </c>
      <c r="AH7006" s="20">
        <v>369.74158184258636</v>
      </c>
    </row>
    <row r="7007" spans="1:34" ht="14.5" x14ac:dyDescent="0.35">
      <c r="A7007" s="34"/>
      <c r="B7007" s="35"/>
      <c r="C7007" s="36"/>
      <c r="D7007" s="37"/>
      <c r="E7007" s="36"/>
      <c r="F7007" s="42"/>
      <c r="G7007" s="42"/>
      <c r="H7007" s="42"/>
      <c r="AG7007" s="19">
        <v>7006</v>
      </c>
      <c r="AH7007" s="20">
        <v>-4254.7610505823714</v>
      </c>
    </row>
    <row r="7008" spans="1:34" ht="14.5" x14ac:dyDescent="0.35">
      <c r="A7008" s="34"/>
      <c r="B7008" s="35"/>
      <c r="C7008" s="36"/>
      <c r="D7008" s="37"/>
      <c r="E7008" s="36"/>
      <c r="F7008" s="42"/>
      <c r="G7008" s="42"/>
      <c r="H7008" s="42"/>
      <c r="AG7008" s="19">
        <v>7007</v>
      </c>
      <c r="AH7008" s="20">
        <v>-1696.1062051084371</v>
      </c>
    </row>
    <row r="7009" spans="1:34" ht="14.5" x14ac:dyDescent="0.35">
      <c r="A7009" s="34"/>
      <c r="B7009" s="35"/>
      <c r="C7009" s="36"/>
      <c r="D7009" s="37"/>
      <c r="E7009" s="36"/>
      <c r="F7009" s="42"/>
      <c r="G7009" s="42"/>
      <c r="H7009" s="42"/>
      <c r="AG7009" s="19">
        <v>7008</v>
      </c>
      <c r="AH7009" s="20">
        <v>2529.1276449028192</v>
      </c>
    </row>
    <row r="7010" spans="1:34" ht="14.5" x14ac:dyDescent="0.35">
      <c r="A7010" s="34"/>
      <c r="B7010" s="35"/>
      <c r="C7010" s="36"/>
      <c r="D7010" s="37"/>
      <c r="E7010" s="36"/>
      <c r="F7010" s="42"/>
      <c r="G7010" s="42"/>
      <c r="H7010" s="42"/>
      <c r="AG7010" s="19">
        <v>7009</v>
      </c>
      <c r="AH7010" s="20">
        <v>-1182.8139614583058</v>
      </c>
    </row>
    <row r="7011" spans="1:34" ht="14.5" x14ac:dyDescent="0.35">
      <c r="A7011" s="34"/>
      <c r="B7011" s="35"/>
      <c r="C7011" s="36"/>
      <c r="D7011" s="37"/>
      <c r="E7011" s="36"/>
      <c r="F7011" s="42"/>
      <c r="G7011" s="42"/>
      <c r="H7011" s="42"/>
      <c r="AG7011" s="19">
        <v>7010</v>
      </c>
      <c r="AH7011" s="20">
        <v>2475.6758509959018</v>
      </c>
    </row>
    <row r="7012" spans="1:34" ht="14.5" x14ac:dyDescent="0.35">
      <c r="A7012" s="34"/>
      <c r="B7012" s="35"/>
      <c r="C7012" s="36"/>
      <c r="D7012" s="37"/>
      <c r="E7012" s="36"/>
      <c r="F7012" s="42"/>
      <c r="G7012" s="42"/>
      <c r="H7012" s="42"/>
      <c r="AG7012" s="19">
        <v>7011</v>
      </c>
      <c r="AH7012" s="20">
        <v>-4632.2866943374884</v>
      </c>
    </row>
    <row r="7013" spans="1:34" ht="14.5" x14ac:dyDescent="0.35">
      <c r="A7013" s="34"/>
      <c r="B7013" s="35"/>
      <c r="C7013" s="36"/>
      <c r="D7013" s="37"/>
      <c r="E7013" s="36"/>
      <c r="F7013" s="42"/>
      <c r="G7013" s="42"/>
      <c r="H7013" s="42"/>
      <c r="AG7013" s="19">
        <v>7012</v>
      </c>
      <c r="AH7013" s="20">
        <v>3437.720366435708</v>
      </c>
    </row>
    <row r="7014" spans="1:34" ht="14.5" x14ac:dyDescent="0.35">
      <c r="A7014" s="34"/>
      <c r="B7014" s="35"/>
      <c r="C7014" s="36"/>
      <c r="D7014" s="37"/>
      <c r="E7014" s="36"/>
      <c r="F7014" s="42"/>
      <c r="G7014" s="42"/>
      <c r="H7014" s="42"/>
      <c r="AG7014" s="19">
        <v>7013</v>
      </c>
      <c r="AH7014" s="20">
        <v>3590.324760673248</v>
      </c>
    </row>
    <row r="7015" spans="1:34" ht="14.5" x14ac:dyDescent="0.35">
      <c r="A7015" s="34"/>
      <c r="B7015" s="35"/>
      <c r="C7015" s="36"/>
      <c r="D7015" s="37"/>
      <c r="E7015" s="36"/>
      <c r="F7015" s="42"/>
      <c r="G7015" s="42"/>
      <c r="H7015" s="42"/>
      <c r="AG7015" s="19">
        <v>7014</v>
      </c>
      <c r="AH7015" s="20">
        <v>-2328.2784717072532</v>
      </c>
    </row>
    <row r="7016" spans="1:34" ht="14.5" x14ac:dyDescent="0.35">
      <c r="A7016" s="34"/>
      <c r="B7016" s="35"/>
      <c r="C7016" s="36"/>
      <c r="D7016" s="37"/>
      <c r="E7016" s="36"/>
      <c r="F7016" s="42"/>
      <c r="G7016" s="42"/>
      <c r="H7016" s="42"/>
      <c r="AG7016" s="19">
        <v>7015</v>
      </c>
      <c r="AH7016" s="20">
        <v>3046.3783559949343</v>
      </c>
    </row>
    <row r="7017" spans="1:34" ht="14.5" x14ac:dyDescent="0.35">
      <c r="A7017" s="34"/>
      <c r="B7017" s="35"/>
      <c r="C7017" s="36"/>
      <c r="D7017" s="37"/>
      <c r="E7017" s="36"/>
      <c r="F7017" s="42"/>
      <c r="G7017" s="42"/>
      <c r="H7017" s="42"/>
      <c r="AG7017" s="19">
        <v>7016</v>
      </c>
      <c r="AH7017" s="20">
        <v>-1016.2247436857258</v>
      </c>
    </row>
    <row r="7018" spans="1:34" ht="14.5" x14ac:dyDescent="0.35">
      <c r="A7018" s="34"/>
      <c r="B7018" s="35"/>
      <c r="C7018" s="36"/>
      <c r="D7018" s="37"/>
      <c r="E7018" s="36"/>
      <c r="F7018" s="42"/>
      <c r="G7018" s="42"/>
      <c r="H7018" s="42"/>
      <c r="AG7018" s="19">
        <v>7017</v>
      </c>
      <c r="AH7018" s="20">
        <v>-32.701326847392977</v>
      </c>
    </row>
    <row r="7019" spans="1:34" ht="14.5" x14ac:dyDescent="0.35">
      <c r="A7019" s="34"/>
      <c r="B7019" s="35"/>
      <c r="C7019" s="36"/>
      <c r="D7019" s="37"/>
      <c r="E7019" s="36"/>
      <c r="F7019" s="42"/>
      <c r="G7019" s="42"/>
      <c r="H7019" s="42"/>
      <c r="AG7019" s="19">
        <v>7018</v>
      </c>
      <c r="AH7019" s="20">
        <v>-1900.0250410013275</v>
      </c>
    </row>
    <row r="7020" spans="1:34" ht="14.5" x14ac:dyDescent="0.35">
      <c r="A7020" s="34"/>
      <c r="B7020" s="35"/>
      <c r="C7020" s="36"/>
      <c r="D7020" s="37"/>
      <c r="E7020" s="36"/>
      <c r="F7020" s="42"/>
      <c r="G7020" s="42"/>
      <c r="H7020" s="42"/>
      <c r="AG7020" s="19">
        <v>7019</v>
      </c>
      <c r="AH7020" s="20">
        <v>-1437.0704800069057</v>
      </c>
    </row>
    <row r="7021" spans="1:34" ht="14.5" x14ac:dyDescent="0.35">
      <c r="A7021" s="34"/>
      <c r="B7021" s="35"/>
      <c r="C7021" s="36"/>
      <c r="D7021" s="37"/>
      <c r="E7021" s="36"/>
      <c r="F7021" s="42"/>
      <c r="G7021" s="42"/>
      <c r="H7021" s="42"/>
      <c r="AG7021" s="19">
        <v>7020</v>
      </c>
      <c r="AH7021" s="20">
        <v>5017.7207711287228</v>
      </c>
    </row>
    <row r="7022" spans="1:34" ht="14.5" x14ac:dyDescent="0.35">
      <c r="A7022" s="34"/>
      <c r="B7022" s="35"/>
      <c r="C7022" s="36"/>
      <c r="D7022" s="37"/>
      <c r="E7022" s="36"/>
      <c r="F7022" s="42"/>
      <c r="G7022" s="42"/>
      <c r="H7022" s="42"/>
      <c r="AG7022" s="19">
        <v>7021</v>
      </c>
      <c r="AH7022" s="20">
        <v>1367.5554365559062</v>
      </c>
    </row>
    <row r="7023" spans="1:34" ht="14.5" x14ac:dyDescent="0.35">
      <c r="A7023" s="34"/>
      <c r="B7023" s="35"/>
      <c r="C7023" s="36"/>
      <c r="D7023" s="37"/>
      <c r="E7023" s="36"/>
      <c r="F7023" s="42"/>
      <c r="G7023" s="42"/>
      <c r="H7023" s="42"/>
      <c r="AG7023" s="19">
        <v>7022</v>
      </c>
      <c r="AH7023" s="20">
        <v>-990.03461280888519</v>
      </c>
    </row>
    <row r="7024" spans="1:34" ht="14.5" x14ac:dyDescent="0.35">
      <c r="A7024" s="34"/>
      <c r="B7024" s="35"/>
      <c r="C7024" s="36"/>
      <c r="D7024" s="37"/>
      <c r="E7024" s="36"/>
      <c r="F7024" s="42"/>
      <c r="G7024" s="42"/>
      <c r="H7024" s="42"/>
      <c r="AG7024" s="19">
        <v>7023</v>
      </c>
      <c r="AH7024" s="20">
        <v>-1777.456154549697</v>
      </c>
    </row>
    <row r="7025" spans="1:34" ht="14.5" x14ac:dyDescent="0.35">
      <c r="A7025" s="34"/>
      <c r="B7025" s="35"/>
      <c r="C7025" s="36"/>
      <c r="D7025" s="37"/>
      <c r="E7025" s="36"/>
      <c r="F7025" s="42"/>
      <c r="G7025" s="42"/>
      <c r="H7025" s="42"/>
      <c r="AG7025" s="19">
        <v>7024</v>
      </c>
      <c r="AH7025" s="20">
        <v>531.84473322550753</v>
      </c>
    </row>
    <row r="7026" spans="1:34" ht="14.5" x14ac:dyDescent="0.35">
      <c r="A7026" s="34"/>
      <c r="B7026" s="35"/>
      <c r="C7026" s="36"/>
      <c r="D7026" s="37"/>
      <c r="E7026" s="36"/>
      <c r="F7026" s="42"/>
      <c r="G7026" s="42"/>
      <c r="H7026" s="42"/>
      <c r="AG7026" s="19">
        <v>7025</v>
      </c>
      <c r="AH7026" s="20">
        <v>-942.42691785756006</v>
      </c>
    </row>
    <row r="7027" spans="1:34" ht="14.5" x14ac:dyDescent="0.35">
      <c r="A7027" s="34"/>
      <c r="B7027" s="35"/>
      <c r="C7027" s="36"/>
      <c r="D7027" s="37"/>
      <c r="E7027" s="36"/>
      <c r="F7027" s="42"/>
      <c r="G7027" s="42"/>
      <c r="H7027" s="42"/>
      <c r="AG7027" s="19">
        <v>7026</v>
      </c>
      <c r="AH7027" s="20">
        <v>104.48501937278513</v>
      </c>
    </row>
    <row r="7028" spans="1:34" ht="14.5" x14ac:dyDescent="0.35">
      <c r="A7028" s="34"/>
      <c r="B7028" s="35"/>
      <c r="C7028" s="36"/>
      <c r="D7028" s="37"/>
      <c r="E7028" s="36"/>
      <c r="F7028" s="42"/>
      <c r="G7028" s="42"/>
      <c r="H7028" s="42"/>
      <c r="AG7028" s="19">
        <v>7027</v>
      </c>
      <c r="AH7028" s="20">
        <v>-31.634149737382756</v>
      </c>
    </row>
    <row r="7029" spans="1:34" ht="14.5" x14ac:dyDescent="0.35">
      <c r="A7029" s="34"/>
      <c r="B7029" s="35"/>
      <c r="C7029" s="36"/>
      <c r="D7029" s="37"/>
      <c r="E7029" s="36"/>
      <c r="F7029" s="42"/>
      <c r="G7029" s="42"/>
      <c r="H7029" s="42"/>
      <c r="AG7029" s="19">
        <v>7028</v>
      </c>
      <c r="AH7029" s="20">
        <v>-1294.1840058933051</v>
      </c>
    </row>
    <row r="7030" spans="1:34" ht="14.5" x14ac:dyDescent="0.35">
      <c r="A7030" s="34"/>
      <c r="B7030" s="35"/>
      <c r="C7030" s="36"/>
      <c r="D7030" s="37"/>
      <c r="E7030" s="36"/>
      <c r="F7030" s="42"/>
      <c r="G7030" s="42"/>
      <c r="H7030" s="42"/>
      <c r="AG7030" s="19">
        <v>7029</v>
      </c>
      <c r="AH7030" s="20">
        <v>1118.0684874519372</v>
      </c>
    </row>
    <row r="7031" spans="1:34" ht="14.5" x14ac:dyDescent="0.35">
      <c r="A7031" s="34"/>
      <c r="B7031" s="35"/>
      <c r="C7031" s="36"/>
      <c r="D7031" s="37"/>
      <c r="E7031" s="36"/>
      <c r="F7031" s="42"/>
      <c r="G7031" s="42"/>
      <c r="H7031" s="42"/>
      <c r="AG7031" s="19">
        <v>7030</v>
      </c>
      <c r="AH7031" s="20">
        <v>4950.484666144338</v>
      </c>
    </row>
    <row r="7032" spans="1:34" ht="14.5" x14ac:dyDescent="0.35">
      <c r="A7032" s="34"/>
      <c r="B7032" s="35"/>
      <c r="C7032" s="36"/>
      <c r="D7032" s="37"/>
      <c r="E7032" s="36"/>
      <c r="F7032" s="42"/>
      <c r="G7032" s="42"/>
      <c r="H7032" s="42"/>
      <c r="AG7032" s="19">
        <v>7031</v>
      </c>
      <c r="AH7032" s="20">
        <v>-134.42451107220467</v>
      </c>
    </row>
    <row r="7033" spans="1:34" ht="14.5" x14ac:dyDescent="0.35">
      <c r="A7033" s="34"/>
      <c r="B7033" s="35"/>
      <c r="C7033" s="36"/>
      <c r="D7033" s="37"/>
      <c r="E7033" s="36"/>
      <c r="F7033" s="42"/>
      <c r="G7033" s="42"/>
      <c r="H7033" s="42"/>
      <c r="AG7033" s="19">
        <v>7032</v>
      </c>
      <c r="AH7033" s="20">
        <v>-2092.4704075207751</v>
      </c>
    </row>
    <row r="7034" spans="1:34" ht="14.5" x14ac:dyDescent="0.35">
      <c r="A7034" s="34"/>
      <c r="B7034" s="35"/>
      <c r="C7034" s="36"/>
      <c r="D7034" s="37"/>
      <c r="E7034" s="36"/>
      <c r="F7034" s="42"/>
      <c r="G7034" s="42"/>
      <c r="H7034" s="42"/>
      <c r="AG7034" s="19">
        <v>7033</v>
      </c>
      <c r="AH7034" s="20">
        <v>-1164.3517067213577</v>
      </c>
    </row>
    <row r="7035" spans="1:34" ht="14.5" x14ac:dyDescent="0.35">
      <c r="A7035" s="34"/>
      <c r="B7035" s="35"/>
      <c r="C7035" s="36"/>
      <c r="D7035" s="37"/>
      <c r="E7035" s="36"/>
      <c r="F7035" s="42"/>
      <c r="G7035" s="42"/>
      <c r="H7035" s="42"/>
      <c r="AG7035" s="19">
        <v>7034</v>
      </c>
      <c r="AH7035" s="20">
        <v>306.76999167218264</v>
      </c>
    </row>
    <row r="7036" spans="1:34" ht="14.5" x14ac:dyDescent="0.35">
      <c r="A7036" s="34"/>
      <c r="B7036" s="35"/>
      <c r="C7036" s="36"/>
      <c r="D7036" s="37"/>
      <c r="E7036" s="36"/>
      <c r="F7036" s="42"/>
      <c r="G7036" s="42"/>
      <c r="H7036" s="42"/>
      <c r="AG7036" s="19">
        <v>7035</v>
      </c>
      <c r="AH7036" s="20">
        <v>-384.71946814189454</v>
      </c>
    </row>
    <row r="7037" spans="1:34" ht="14.5" x14ac:dyDescent="0.35">
      <c r="A7037" s="34"/>
      <c r="B7037" s="35"/>
      <c r="C7037" s="36"/>
      <c r="D7037" s="37"/>
      <c r="E7037" s="36"/>
      <c r="F7037" s="42"/>
      <c r="G7037" s="42"/>
      <c r="H7037" s="42"/>
      <c r="AG7037" s="19">
        <v>7036</v>
      </c>
      <c r="AH7037" s="20">
        <v>-3671.0523947771176</v>
      </c>
    </row>
    <row r="7038" spans="1:34" ht="14.5" x14ac:dyDescent="0.35">
      <c r="A7038" s="34"/>
      <c r="B7038" s="35"/>
      <c r="C7038" s="36"/>
      <c r="D7038" s="37"/>
      <c r="E7038" s="36"/>
      <c r="F7038" s="42"/>
      <c r="G7038" s="42"/>
      <c r="H7038" s="42"/>
      <c r="AG7038" s="19">
        <v>7037</v>
      </c>
      <c r="AH7038" s="20">
        <v>-1410.4043381275787</v>
      </c>
    </row>
    <row r="7039" spans="1:34" ht="14.5" x14ac:dyDescent="0.35">
      <c r="A7039" s="34"/>
      <c r="B7039" s="35"/>
      <c r="C7039" s="36"/>
      <c r="D7039" s="37"/>
      <c r="E7039" s="36"/>
      <c r="F7039" s="42"/>
      <c r="G7039" s="42"/>
      <c r="H7039" s="42"/>
      <c r="AG7039" s="19">
        <v>7038</v>
      </c>
      <c r="AH7039" s="20">
        <v>-1331.8147706016969</v>
      </c>
    </row>
    <row r="7040" spans="1:34" ht="14.5" x14ac:dyDescent="0.35">
      <c r="A7040" s="34"/>
      <c r="B7040" s="35"/>
      <c r="C7040" s="36"/>
      <c r="D7040" s="37"/>
      <c r="E7040" s="36"/>
      <c r="F7040" s="42"/>
      <c r="G7040" s="42"/>
      <c r="H7040" s="42"/>
      <c r="AG7040" s="19">
        <v>7039</v>
      </c>
      <c r="AH7040" s="20">
        <v>1427.9908962833381</v>
      </c>
    </row>
    <row r="7041" spans="1:34" ht="14.5" x14ac:dyDescent="0.35">
      <c r="A7041" s="34"/>
      <c r="B7041" s="35"/>
      <c r="C7041" s="36"/>
      <c r="D7041" s="37"/>
      <c r="E7041" s="36"/>
      <c r="F7041" s="42"/>
      <c r="G7041" s="42"/>
      <c r="H7041" s="42"/>
      <c r="AG7041" s="19">
        <v>7040</v>
      </c>
      <c r="AH7041" s="20">
        <v>-373.16934230621501</v>
      </c>
    </row>
    <row r="7042" spans="1:34" ht="14.5" x14ac:dyDescent="0.35">
      <c r="A7042" s="34"/>
      <c r="B7042" s="35"/>
      <c r="C7042" s="36"/>
      <c r="D7042" s="37"/>
      <c r="E7042" s="36"/>
      <c r="F7042" s="42"/>
      <c r="G7042" s="42"/>
      <c r="H7042" s="42"/>
      <c r="AG7042" s="19">
        <v>7041</v>
      </c>
      <c r="AH7042" s="20">
        <v>3998.6158883439866</v>
      </c>
    </row>
    <row r="7043" spans="1:34" ht="14.5" x14ac:dyDescent="0.35">
      <c r="A7043" s="34"/>
      <c r="B7043" s="35"/>
      <c r="C7043" s="36"/>
      <c r="D7043" s="37"/>
      <c r="E7043" s="36"/>
      <c r="F7043" s="42"/>
      <c r="G7043" s="42"/>
      <c r="H7043" s="42"/>
      <c r="AG7043" s="19">
        <v>7042</v>
      </c>
      <c r="AH7043" s="20">
        <v>-911.11525454667731</v>
      </c>
    </row>
    <row r="7044" spans="1:34" ht="14.5" x14ac:dyDescent="0.35">
      <c r="A7044" s="34"/>
      <c r="B7044" s="35"/>
      <c r="C7044" s="36"/>
      <c r="D7044" s="37"/>
      <c r="E7044" s="36"/>
      <c r="F7044" s="42"/>
      <c r="G7044" s="42"/>
      <c r="H7044" s="42"/>
      <c r="AG7044" s="19">
        <v>7043</v>
      </c>
      <c r="AH7044" s="20">
        <v>3614.1969157198755</v>
      </c>
    </row>
    <row r="7045" spans="1:34" ht="14.5" x14ac:dyDescent="0.35">
      <c r="A7045" s="34"/>
      <c r="B7045" s="35"/>
      <c r="C7045" s="36"/>
      <c r="D7045" s="37"/>
      <c r="E7045" s="36"/>
      <c r="F7045" s="42"/>
      <c r="G7045" s="42"/>
      <c r="H7045" s="42"/>
      <c r="AG7045" s="19">
        <v>7044</v>
      </c>
      <c r="AH7045" s="20">
        <v>1177.1099654093186</v>
      </c>
    </row>
    <row r="7046" spans="1:34" ht="14.5" x14ac:dyDescent="0.35">
      <c r="A7046" s="34"/>
      <c r="B7046" s="35"/>
      <c r="C7046" s="36"/>
      <c r="D7046" s="37"/>
      <c r="E7046" s="36"/>
      <c r="F7046" s="42"/>
      <c r="G7046" s="42"/>
      <c r="H7046" s="42"/>
      <c r="AG7046" s="19">
        <v>7045</v>
      </c>
      <c r="AH7046" s="20">
        <v>210.7517225474933</v>
      </c>
    </row>
    <row r="7047" spans="1:34" ht="14.5" x14ac:dyDescent="0.35">
      <c r="A7047" s="34"/>
      <c r="B7047" s="35"/>
      <c r="C7047" s="36"/>
      <c r="D7047" s="37"/>
      <c r="E7047" s="36"/>
      <c r="F7047" s="42"/>
      <c r="G7047" s="42"/>
      <c r="H7047" s="42"/>
      <c r="AG7047" s="19">
        <v>7046</v>
      </c>
      <c r="AH7047" s="20">
        <v>-1895.790954817078</v>
      </c>
    </row>
    <row r="7048" spans="1:34" ht="14.5" x14ac:dyDescent="0.35">
      <c r="A7048" s="34"/>
      <c r="B7048" s="35"/>
      <c r="C7048" s="36"/>
      <c r="D7048" s="37"/>
      <c r="E7048" s="36"/>
      <c r="F7048" s="42"/>
      <c r="G7048" s="42"/>
      <c r="H7048" s="42"/>
      <c r="AG7048" s="19">
        <v>7047</v>
      </c>
      <c r="AH7048" s="20">
        <v>1704.1674743605395</v>
      </c>
    </row>
    <row r="7049" spans="1:34" ht="14.5" x14ac:dyDescent="0.35">
      <c r="A7049" s="34"/>
      <c r="B7049" s="35"/>
      <c r="C7049" s="36"/>
      <c r="D7049" s="37"/>
      <c r="E7049" s="36"/>
      <c r="F7049" s="42"/>
      <c r="G7049" s="42"/>
      <c r="H7049" s="42"/>
      <c r="AG7049" s="19">
        <v>7048</v>
      </c>
      <c r="AH7049" s="20">
        <v>-1440.8813637500002</v>
      </c>
    </row>
    <row r="7050" spans="1:34" ht="14.5" x14ac:dyDescent="0.35">
      <c r="A7050" s="34"/>
      <c r="B7050" s="35"/>
      <c r="C7050" s="36"/>
      <c r="D7050" s="37"/>
      <c r="E7050" s="36"/>
      <c r="F7050" s="42"/>
      <c r="G7050" s="42"/>
      <c r="H7050" s="42"/>
      <c r="AG7050" s="19">
        <v>7049</v>
      </c>
      <c r="AH7050" s="20">
        <v>248.13389009571233</v>
      </c>
    </row>
    <row r="7051" spans="1:34" ht="14.5" x14ac:dyDescent="0.35">
      <c r="A7051" s="34"/>
      <c r="B7051" s="35"/>
      <c r="C7051" s="36"/>
      <c r="D7051" s="37"/>
      <c r="E7051" s="36"/>
      <c r="F7051" s="42"/>
      <c r="G7051" s="42"/>
      <c r="H7051" s="42"/>
      <c r="AG7051" s="19">
        <v>7050</v>
      </c>
      <c r="AH7051" s="20">
        <v>-2258.516788748153</v>
      </c>
    </row>
    <row r="7052" spans="1:34" ht="14.5" x14ac:dyDescent="0.35">
      <c r="A7052" s="34"/>
      <c r="B7052" s="35"/>
      <c r="C7052" s="36"/>
      <c r="D7052" s="37"/>
      <c r="E7052" s="36"/>
      <c r="F7052" s="42"/>
      <c r="G7052" s="42"/>
      <c r="H7052" s="42"/>
      <c r="AG7052" s="19">
        <v>7051</v>
      </c>
      <c r="AH7052" s="20">
        <v>-174.34535783023199</v>
      </c>
    </row>
    <row r="7053" spans="1:34" ht="14.5" x14ac:dyDescent="0.35">
      <c r="A7053" s="34"/>
      <c r="B7053" s="35"/>
      <c r="C7053" s="36"/>
      <c r="D7053" s="37"/>
      <c r="E7053" s="36"/>
      <c r="F7053" s="42"/>
      <c r="G7053" s="42"/>
      <c r="H7053" s="42"/>
      <c r="AG7053" s="19">
        <v>7052</v>
      </c>
      <c r="AH7053" s="20">
        <v>3022.5522094678513</v>
      </c>
    </row>
    <row r="7054" spans="1:34" ht="14.5" x14ac:dyDescent="0.35">
      <c r="A7054" s="34"/>
      <c r="B7054" s="35"/>
      <c r="C7054" s="36"/>
      <c r="D7054" s="37"/>
      <c r="E7054" s="36"/>
      <c r="F7054" s="42"/>
      <c r="G7054" s="42"/>
      <c r="H7054" s="42"/>
      <c r="AG7054" s="19">
        <v>7053</v>
      </c>
      <c r="AH7054" s="20">
        <v>1880.8452013930546</v>
      </c>
    </row>
    <row r="7055" spans="1:34" ht="14.5" x14ac:dyDescent="0.35">
      <c r="A7055" s="34"/>
      <c r="B7055" s="35"/>
      <c r="C7055" s="36"/>
      <c r="D7055" s="37"/>
      <c r="E7055" s="36"/>
      <c r="F7055" s="42"/>
      <c r="G7055" s="42"/>
      <c r="H7055" s="42"/>
      <c r="AG7055" s="19">
        <v>7054</v>
      </c>
      <c r="AH7055" s="20">
        <v>-2530.8808301356926</v>
      </c>
    </row>
    <row r="7056" spans="1:34" ht="14.5" x14ac:dyDescent="0.35">
      <c r="A7056" s="34"/>
      <c r="B7056" s="35"/>
      <c r="C7056" s="36"/>
      <c r="D7056" s="37"/>
      <c r="E7056" s="36"/>
      <c r="F7056" s="42"/>
      <c r="G7056" s="42"/>
      <c r="H7056" s="42"/>
      <c r="AG7056" s="19">
        <v>7055</v>
      </c>
      <c r="AH7056" s="20">
        <v>-273.87496589627898</v>
      </c>
    </row>
    <row r="7057" spans="1:34" ht="14.5" x14ac:dyDescent="0.35">
      <c r="A7057" s="34"/>
      <c r="B7057" s="35"/>
      <c r="C7057" s="36"/>
      <c r="D7057" s="37"/>
      <c r="E7057" s="36"/>
      <c r="F7057" s="42"/>
      <c r="G7057" s="42"/>
      <c r="H7057" s="42"/>
      <c r="AG7057" s="19">
        <v>7056</v>
      </c>
      <c r="AH7057" s="20">
        <v>-2150.1897281154465</v>
      </c>
    </row>
    <row r="7058" spans="1:34" ht="14.5" x14ac:dyDescent="0.35">
      <c r="A7058" s="34"/>
      <c r="B7058" s="35"/>
      <c r="C7058" s="36"/>
      <c r="D7058" s="37"/>
      <c r="E7058" s="36"/>
      <c r="F7058" s="42"/>
      <c r="G7058" s="42"/>
      <c r="H7058" s="42"/>
      <c r="AG7058" s="19">
        <v>7057</v>
      </c>
      <c r="AH7058" s="20">
        <v>2994.4423769480427</v>
      </c>
    </row>
    <row r="7059" spans="1:34" ht="14.5" x14ac:dyDescent="0.35">
      <c r="A7059" s="34"/>
      <c r="B7059" s="35"/>
      <c r="C7059" s="36"/>
      <c r="D7059" s="37"/>
      <c r="E7059" s="36"/>
      <c r="F7059" s="42"/>
      <c r="G7059" s="42"/>
      <c r="H7059" s="42"/>
      <c r="AG7059" s="19">
        <v>7058</v>
      </c>
      <c r="AH7059" s="20">
        <v>2200.6048461207115</v>
      </c>
    </row>
    <row r="7060" spans="1:34" ht="14.5" x14ac:dyDescent="0.35">
      <c r="A7060" s="34"/>
      <c r="B7060" s="35"/>
      <c r="C7060" s="36"/>
      <c r="D7060" s="37"/>
      <c r="E7060" s="36"/>
      <c r="F7060" s="42"/>
      <c r="G7060" s="42"/>
      <c r="H7060" s="42"/>
      <c r="AG7060" s="19">
        <v>7059</v>
      </c>
      <c r="AH7060" s="20">
        <v>-2656.1233077230763</v>
      </c>
    </row>
    <row r="7061" spans="1:34" ht="14.5" x14ac:dyDescent="0.35">
      <c r="A7061" s="34"/>
      <c r="B7061" s="35"/>
      <c r="C7061" s="36"/>
      <c r="D7061" s="37"/>
      <c r="E7061" s="36"/>
      <c r="F7061" s="42"/>
      <c r="G7061" s="42"/>
      <c r="H7061" s="42"/>
      <c r="AG7061" s="19">
        <v>7060</v>
      </c>
      <c r="AH7061" s="20">
        <v>-908.28911769488695</v>
      </c>
    </row>
    <row r="7062" spans="1:34" ht="14.5" x14ac:dyDescent="0.35">
      <c r="A7062" s="34"/>
      <c r="B7062" s="35"/>
      <c r="C7062" s="36"/>
      <c r="D7062" s="37"/>
      <c r="E7062" s="36"/>
      <c r="F7062" s="42"/>
      <c r="G7062" s="42"/>
      <c r="H7062" s="42"/>
      <c r="AG7062" s="19">
        <v>7061</v>
      </c>
      <c r="AH7062" s="20">
        <v>-735.14665664083964</v>
      </c>
    </row>
    <row r="7063" spans="1:34" ht="14.5" x14ac:dyDescent="0.35">
      <c r="A7063" s="34"/>
      <c r="B7063" s="35"/>
      <c r="C7063" s="36"/>
      <c r="D7063" s="37"/>
      <c r="E7063" s="36"/>
      <c r="F7063" s="42"/>
      <c r="G7063" s="42"/>
      <c r="H7063" s="42"/>
      <c r="AG7063" s="19">
        <v>7062</v>
      </c>
      <c r="AH7063" s="20">
        <v>523.61161513874447</v>
      </c>
    </row>
    <row r="7064" spans="1:34" ht="14.5" x14ac:dyDescent="0.35">
      <c r="A7064" s="34"/>
      <c r="B7064" s="35"/>
      <c r="C7064" s="36"/>
      <c r="D7064" s="37"/>
      <c r="E7064" s="36"/>
      <c r="F7064" s="42"/>
      <c r="G7064" s="42"/>
      <c r="H7064" s="42"/>
      <c r="AG7064" s="19">
        <v>7063</v>
      </c>
      <c r="AH7064" s="20">
        <v>85.897975839354046</v>
      </c>
    </row>
    <row r="7065" spans="1:34" ht="14.5" x14ac:dyDescent="0.35">
      <c r="A7065" s="34"/>
      <c r="B7065" s="35"/>
      <c r="C7065" s="36"/>
      <c r="D7065" s="37"/>
      <c r="E7065" s="36"/>
      <c r="F7065" s="42"/>
      <c r="G7065" s="42"/>
      <c r="H7065" s="42"/>
      <c r="AG7065" s="19">
        <v>7064</v>
      </c>
      <c r="AH7065" s="20">
        <v>-1241.6393265371955</v>
      </c>
    </row>
    <row r="7066" spans="1:34" ht="14.5" x14ac:dyDescent="0.35">
      <c r="A7066" s="34"/>
      <c r="B7066" s="35"/>
      <c r="C7066" s="36"/>
      <c r="D7066" s="37"/>
      <c r="E7066" s="36"/>
      <c r="F7066" s="42"/>
      <c r="G7066" s="42"/>
      <c r="H7066" s="42"/>
      <c r="AG7066" s="19">
        <v>7065</v>
      </c>
      <c r="AH7066" s="20">
        <v>4256.954746662761</v>
      </c>
    </row>
    <row r="7067" spans="1:34" ht="14.5" x14ac:dyDescent="0.35">
      <c r="A7067" s="34"/>
      <c r="B7067" s="35"/>
      <c r="C7067" s="36"/>
      <c r="D7067" s="37"/>
      <c r="E7067" s="36"/>
      <c r="F7067" s="42"/>
      <c r="G7067" s="42"/>
      <c r="H7067" s="42"/>
      <c r="AG7067" s="19">
        <v>7066</v>
      </c>
      <c r="AH7067" s="20">
        <v>1258.0232580920842</v>
      </c>
    </row>
    <row r="7068" spans="1:34" ht="14.5" x14ac:dyDescent="0.35">
      <c r="A7068" s="34"/>
      <c r="B7068" s="35"/>
      <c r="C7068" s="36"/>
      <c r="D7068" s="37"/>
      <c r="E7068" s="36"/>
      <c r="F7068" s="42"/>
      <c r="G7068" s="42"/>
      <c r="H7068" s="42"/>
      <c r="AG7068" s="19">
        <v>7067</v>
      </c>
      <c r="AH7068" s="20">
        <v>-3927.8219972688648</v>
      </c>
    </row>
    <row r="7069" spans="1:34" ht="14.5" x14ac:dyDescent="0.35">
      <c r="A7069" s="34"/>
      <c r="B7069" s="35"/>
      <c r="C7069" s="36"/>
      <c r="D7069" s="37"/>
      <c r="E7069" s="36"/>
      <c r="F7069" s="42"/>
      <c r="G7069" s="42"/>
      <c r="H7069" s="42"/>
      <c r="AG7069" s="19">
        <v>7068</v>
      </c>
      <c r="AH7069" s="20">
        <v>1068.757535062673</v>
      </c>
    </row>
    <row r="7070" spans="1:34" ht="14.5" x14ac:dyDescent="0.35">
      <c r="A7070" s="34"/>
      <c r="B7070" s="35"/>
      <c r="C7070" s="36"/>
      <c r="D7070" s="37"/>
      <c r="E7070" s="36"/>
      <c r="F7070" s="42"/>
      <c r="G7070" s="42"/>
      <c r="H7070" s="42"/>
      <c r="AG7070" s="19">
        <v>7069</v>
      </c>
      <c r="AH7070" s="20">
        <v>697.22247247319001</v>
      </c>
    </row>
    <row r="7071" spans="1:34" ht="14.5" x14ac:dyDescent="0.35">
      <c r="A7071" s="34"/>
      <c r="B7071" s="35"/>
      <c r="C7071" s="36"/>
      <c r="D7071" s="37"/>
      <c r="E7071" s="36"/>
      <c r="F7071" s="42"/>
      <c r="G7071" s="42"/>
      <c r="H7071" s="42"/>
      <c r="AG7071" s="19">
        <v>7070</v>
      </c>
      <c r="AH7071" s="20">
        <v>2043.9965317757612</v>
      </c>
    </row>
    <row r="7072" spans="1:34" ht="14.5" x14ac:dyDescent="0.35">
      <c r="A7072" s="34"/>
      <c r="B7072" s="35"/>
      <c r="C7072" s="36"/>
      <c r="D7072" s="37"/>
      <c r="E7072" s="36"/>
      <c r="F7072" s="42"/>
      <c r="G7072" s="42"/>
      <c r="H7072" s="42"/>
      <c r="AG7072" s="19">
        <v>7071</v>
      </c>
      <c r="AH7072" s="20">
        <v>1654.7234785327985</v>
      </c>
    </row>
    <row r="7073" spans="1:34" ht="14.5" x14ac:dyDescent="0.35">
      <c r="A7073" s="34"/>
      <c r="B7073" s="35"/>
      <c r="C7073" s="36"/>
      <c r="D7073" s="37"/>
      <c r="E7073" s="36"/>
      <c r="F7073" s="42"/>
      <c r="G7073" s="42"/>
      <c r="H7073" s="42"/>
      <c r="AG7073" s="19">
        <v>7072</v>
      </c>
      <c r="AH7073" s="20">
        <v>904.16845497437612</v>
      </c>
    </row>
    <row r="7074" spans="1:34" ht="14.5" x14ac:dyDescent="0.35">
      <c r="A7074" s="34"/>
      <c r="B7074" s="35"/>
      <c r="C7074" s="36"/>
      <c r="D7074" s="37"/>
      <c r="E7074" s="36"/>
      <c r="F7074" s="42"/>
      <c r="G7074" s="42"/>
      <c r="H7074" s="42"/>
      <c r="AG7074" s="19">
        <v>7073</v>
      </c>
      <c r="AH7074" s="20">
        <v>687.555966495549</v>
      </c>
    </row>
    <row r="7075" spans="1:34" ht="14.5" x14ac:dyDescent="0.35">
      <c r="A7075" s="34"/>
      <c r="B7075" s="35"/>
      <c r="C7075" s="36"/>
      <c r="D7075" s="37"/>
      <c r="E7075" s="36"/>
      <c r="F7075" s="42"/>
      <c r="G7075" s="42"/>
      <c r="H7075" s="42"/>
      <c r="AG7075" s="19">
        <v>7074</v>
      </c>
      <c r="AH7075" s="20">
        <v>4894.5066380934795</v>
      </c>
    </row>
    <row r="7076" spans="1:34" ht="14.5" x14ac:dyDescent="0.35">
      <c r="A7076" s="34"/>
      <c r="B7076" s="35"/>
      <c r="C7076" s="36"/>
      <c r="D7076" s="37"/>
      <c r="E7076" s="36"/>
      <c r="F7076" s="42"/>
      <c r="G7076" s="42"/>
      <c r="H7076" s="42"/>
      <c r="AG7076" s="19">
        <v>7075</v>
      </c>
      <c r="AH7076" s="20">
        <v>1613.3768794068226</v>
      </c>
    </row>
    <row r="7077" spans="1:34" ht="14.5" x14ac:dyDescent="0.35">
      <c r="A7077" s="34"/>
      <c r="B7077" s="35"/>
      <c r="C7077" s="36"/>
      <c r="D7077" s="37"/>
      <c r="E7077" s="36"/>
      <c r="F7077" s="42"/>
      <c r="G7077" s="42"/>
      <c r="H7077" s="42"/>
      <c r="AG7077" s="19">
        <v>7076</v>
      </c>
      <c r="AH7077" s="20">
        <v>759.87668654370907</v>
      </c>
    </row>
    <row r="7078" spans="1:34" ht="14.5" x14ac:dyDescent="0.35">
      <c r="A7078" s="34"/>
      <c r="B7078" s="35"/>
      <c r="C7078" s="36"/>
      <c r="D7078" s="37"/>
      <c r="E7078" s="36"/>
      <c r="F7078" s="42"/>
      <c r="G7078" s="42"/>
      <c r="H7078" s="42"/>
      <c r="AG7078" s="19">
        <v>7077</v>
      </c>
      <c r="AH7078" s="20">
        <v>753.19714129427746</v>
      </c>
    </row>
    <row r="7079" spans="1:34" ht="14.5" x14ac:dyDescent="0.35">
      <c r="A7079" s="34"/>
      <c r="B7079" s="35"/>
      <c r="C7079" s="36"/>
      <c r="D7079" s="37"/>
      <c r="E7079" s="36"/>
      <c r="F7079" s="42"/>
      <c r="G7079" s="42"/>
      <c r="H7079" s="42"/>
      <c r="AG7079" s="19">
        <v>7078</v>
      </c>
      <c r="AH7079" s="20">
        <v>504.43336522175935</v>
      </c>
    </row>
    <row r="7080" spans="1:34" ht="14.5" x14ac:dyDescent="0.35">
      <c r="A7080" s="34"/>
      <c r="B7080" s="35"/>
      <c r="C7080" s="36"/>
      <c r="D7080" s="37"/>
      <c r="E7080" s="36"/>
      <c r="F7080" s="42"/>
      <c r="G7080" s="42"/>
      <c r="H7080" s="42"/>
      <c r="AG7080" s="19">
        <v>7079</v>
      </c>
      <c r="AH7080" s="20">
        <v>-2210.8974699523601</v>
      </c>
    </row>
    <row r="7081" spans="1:34" ht="14.5" x14ac:dyDescent="0.35">
      <c r="A7081" s="34"/>
      <c r="B7081" s="35"/>
      <c r="C7081" s="36"/>
      <c r="D7081" s="37"/>
      <c r="E7081" s="36"/>
      <c r="F7081" s="42"/>
      <c r="G7081" s="42"/>
      <c r="H7081" s="42"/>
      <c r="AG7081" s="19">
        <v>7080</v>
      </c>
      <c r="AH7081" s="20">
        <v>920.00059355710437</v>
      </c>
    </row>
    <row r="7082" spans="1:34" ht="14.5" x14ac:dyDescent="0.35">
      <c r="A7082" s="34"/>
      <c r="B7082" s="35"/>
      <c r="C7082" s="36"/>
      <c r="D7082" s="37"/>
      <c r="E7082" s="36"/>
      <c r="F7082" s="42"/>
      <c r="G7082" s="42"/>
      <c r="H7082" s="42"/>
      <c r="AG7082" s="19">
        <v>7081</v>
      </c>
      <c r="AH7082" s="20">
        <v>-707.05603490309181</v>
      </c>
    </row>
    <row r="7083" spans="1:34" ht="14.5" x14ac:dyDescent="0.35">
      <c r="A7083" s="34"/>
      <c r="B7083" s="35"/>
      <c r="C7083" s="36"/>
      <c r="D7083" s="37"/>
      <c r="E7083" s="36"/>
      <c r="F7083" s="42"/>
      <c r="G7083" s="42"/>
      <c r="H7083" s="42"/>
      <c r="AG7083" s="19">
        <v>7082</v>
      </c>
      <c r="AH7083" s="20">
        <v>492.81072491337352</v>
      </c>
    </row>
    <row r="7084" spans="1:34" ht="14.5" x14ac:dyDescent="0.35">
      <c r="A7084" s="34"/>
      <c r="B7084" s="35"/>
      <c r="C7084" s="36"/>
      <c r="D7084" s="37"/>
      <c r="E7084" s="36"/>
      <c r="F7084" s="42"/>
      <c r="G7084" s="42"/>
      <c r="H7084" s="42"/>
      <c r="AG7084" s="19">
        <v>7083</v>
      </c>
      <c r="AH7084" s="20">
        <v>989.83748679023279</v>
      </c>
    </row>
    <row r="7085" spans="1:34" ht="14.5" x14ac:dyDescent="0.35">
      <c r="A7085" s="34"/>
      <c r="B7085" s="35"/>
      <c r="C7085" s="36"/>
      <c r="D7085" s="37"/>
      <c r="E7085" s="36"/>
      <c r="F7085" s="42"/>
      <c r="G7085" s="42"/>
      <c r="H7085" s="42"/>
      <c r="AG7085" s="19">
        <v>7084</v>
      </c>
      <c r="AH7085" s="20">
        <v>392.57762011577427</v>
      </c>
    </row>
    <row r="7086" spans="1:34" ht="14.5" x14ac:dyDescent="0.35">
      <c r="A7086" s="34"/>
      <c r="B7086" s="35"/>
      <c r="C7086" s="36"/>
      <c r="D7086" s="37"/>
      <c r="E7086" s="36"/>
      <c r="F7086" s="42"/>
      <c r="G7086" s="42"/>
      <c r="H7086" s="42"/>
      <c r="AG7086" s="19">
        <v>7085</v>
      </c>
      <c r="AH7086" s="20">
        <v>838.66686025855938</v>
      </c>
    </row>
    <row r="7087" spans="1:34" ht="14.5" x14ac:dyDescent="0.35">
      <c r="A7087" s="34"/>
      <c r="B7087" s="35"/>
      <c r="C7087" s="36"/>
      <c r="D7087" s="37"/>
      <c r="E7087" s="36"/>
      <c r="F7087" s="42"/>
      <c r="G7087" s="42"/>
      <c r="H7087" s="42"/>
      <c r="AG7087" s="19">
        <v>7086</v>
      </c>
      <c r="AH7087" s="20">
        <v>-315.3747351887809</v>
      </c>
    </row>
    <row r="7088" spans="1:34" ht="14.5" x14ac:dyDescent="0.35">
      <c r="A7088" s="34"/>
      <c r="B7088" s="35"/>
      <c r="C7088" s="36"/>
      <c r="D7088" s="37"/>
      <c r="E7088" s="36"/>
      <c r="F7088" s="42"/>
      <c r="G7088" s="42"/>
      <c r="H7088" s="42"/>
      <c r="AG7088" s="19">
        <v>7087</v>
      </c>
      <c r="AH7088" s="20">
        <v>-2038.8469360367251</v>
      </c>
    </row>
    <row r="7089" spans="1:34" ht="14.5" x14ac:dyDescent="0.35">
      <c r="A7089" s="34"/>
      <c r="B7089" s="35"/>
      <c r="C7089" s="36"/>
      <c r="D7089" s="37"/>
      <c r="E7089" s="36"/>
      <c r="F7089" s="42"/>
      <c r="G7089" s="42"/>
      <c r="H7089" s="42"/>
      <c r="AG7089" s="19">
        <v>7088</v>
      </c>
      <c r="AH7089" s="20">
        <v>3087.4345317089678</v>
      </c>
    </row>
    <row r="7090" spans="1:34" ht="14.5" x14ac:dyDescent="0.35">
      <c r="A7090" s="34"/>
      <c r="B7090" s="35"/>
      <c r="C7090" s="36"/>
      <c r="D7090" s="37"/>
      <c r="E7090" s="36"/>
      <c r="F7090" s="42"/>
      <c r="G7090" s="42"/>
      <c r="H7090" s="42"/>
      <c r="AG7090" s="19">
        <v>7089</v>
      </c>
      <c r="AH7090" s="20">
        <v>-1950.5084711932175</v>
      </c>
    </row>
    <row r="7091" spans="1:34" ht="14.5" x14ac:dyDescent="0.35">
      <c r="A7091" s="34"/>
      <c r="B7091" s="35"/>
      <c r="C7091" s="36"/>
      <c r="D7091" s="37"/>
      <c r="E7091" s="36"/>
      <c r="F7091" s="42"/>
      <c r="G7091" s="42"/>
      <c r="H7091" s="42"/>
      <c r="AG7091" s="19">
        <v>7090</v>
      </c>
      <c r="AH7091" s="20">
        <v>2797.0624163243856</v>
      </c>
    </row>
    <row r="7092" spans="1:34" ht="14.5" x14ac:dyDescent="0.35">
      <c r="A7092" s="34"/>
      <c r="B7092" s="35"/>
      <c r="C7092" s="36"/>
      <c r="D7092" s="37"/>
      <c r="E7092" s="36"/>
      <c r="F7092" s="42"/>
      <c r="G7092" s="42"/>
      <c r="H7092" s="42"/>
      <c r="AG7092" s="19">
        <v>7091</v>
      </c>
      <c r="AH7092" s="20">
        <v>-1130.8843167985362</v>
      </c>
    </row>
    <row r="7093" spans="1:34" ht="14.5" x14ac:dyDescent="0.35">
      <c r="A7093" s="34"/>
      <c r="B7093" s="35"/>
      <c r="C7093" s="36"/>
      <c r="D7093" s="37"/>
      <c r="E7093" s="36"/>
      <c r="F7093" s="42"/>
      <c r="G7093" s="42"/>
      <c r="H7093" s="42"/>
      <c r="AG7093" s="19">
        <v>7092</v>
      </c>
      <c r="AH7093" s="20">
        <v>-1647.8044461545353</v>
      </c>
    </row>
    <row r="7094" spans="1:34" ht="14.5" x14ac:dyDescent="0.35">
      <c r="A7094" s="34"/>
      <c r="B7094" s="35"/>
      <c r="C7094" s="36"/>
      <c r="D7094" s="37"/>
      <c r="E7094" s="36"/>
      <c r="F7094" s="42"/>
      <c r="G7094" s="42"/>
      <c r="H7094" s="42"/>
      <c r="AG7094" s="19">
        <v>7093</v>
      </c>
      <c r="AH7094" s="20">
        <v>1369.029858236418</v>
      </c>
    </row>
    <row r="7095" spans="1:34" ht="14.5" x14ac:dyDescent="0.35">
      <c r="A7095" s="34"/>
      <c r="B7095" s="35"/>
      <c r="C7095" s="36"/>
      <c r="D7095" s="37"/>
      <c r="E7095" s="36"/>
      <c r="F7095" s="42"/>
      <c r="G7095" s="42"/>
      <c r="H7095" s="42"/>
      <c r="AG7095" s="19">
        <v>7094</v>
      </c>
      <c r="AH7095" s="20">
        <v>-2393.5007922360978</v>
      </c>
    </row>
    <row r="7096" spans="1:34" ht="14.5" x14ac:dyDescent="0.35">
      <c r="A7096" s="34"/>
      <c r="B7096" s="35"/>
      <c r="C7096" s="36"/>
      <c r="D7096" s="37"/>
      <c r="E7096" s="36"/>
      <c r="F7096" s="42"/>
      <c r="G7096" s="42"/>
      <c r="H7096" s="42"/>
      <c r="AG7096" s="19">
        <v>7095</v>
      </c>
      <c r="AH7096" s="20">
        <v>-371.23844862613345</v>
      </c>
    </row>
    <row r="7097" spans="1:34" ht="14.5" x14ac:dyDescent="0.35">
      <c r="A7097" s="34"/>
      <c r="B7097" s="35"/>
      <c r="C7097" s="36"/>
      <c r="D7097" s="37"/>
      <c r="E7097" s="36"/>
      <c r="F7097" s="42"/>
      <c r="G7097" s="42"/>
      <c r="H7097" s="42"/>
      <c r="AG7097" s="19">
        <v>7096</v>
      </c>
      <c r="AH7097" s="20">
        <v>-1237.036984731692</v>
      </c>
    </row>
    <row r="7098" spans="1:34" ht="14.5" x14ac:dyDescent="0.35">
      <c r="A7098" s="34"/>
      <c r="B7098" s="35"/>
      <c r="C7098" s="36"/>
      <c r="D7098" s="37"/>
      <c r="E7098" s="36"/>
      <c r="F7098" s="42"/>
      <c r="G7098" s="42"/>
      <c r="H7098" s="42"/>
      <c r="AG7098" s="19">
        <v>7097</v>
      </c>
      <c r="AH7098" s="20">
        <v>-1742.3942966498259</v>
      </c>
    </row>
    <row r="7099" spans="1:34" ht="14.5" x14ac:dyDescent="0.35">
      <c r="A7099" s="34"/>
      <c r="B7099" s="35"/>
      <c r="C7099" s="36"/>
      <c r="D7099" s="37"/>
      <c r="E7099" s="36"/>
      <c r="F7099" s="42"/>
      <c r="G7099" s="42"/>
      <c r="H7099" s="42"/>
      <c r="AG7099" s="19">
        <v>7098</v>
      </c>
      <c r="AH7099" s="20">
        <v>2529.2051860152255</v>
      </c>
    </row>
    <row r="7100" spans="1:34" ht="14.5" x14ac:dyDescent="0.35">
      <c r="A7100" s="34"/>
      <c r="B7100" s="35"/>
      <c r="C7100" s="36"/>
      <c r="D7100" s="37"/>
      <c r="E7100" s="36"/>
      <c r="F7100" s="42"/>
      <c r="G7100" s="42"/>
      <c r="H7100" s="42"/>
      <c r="AG7100" s="19">
        <v>7099</v>
      </c>
      <c r="AH7100" s="20">
        <v>-3501.5837602085298</v>
      </c>
    </row>
    <row r="7101" spans="1:34" ht="14.5" x14ac:dyDescent="0.35">
      <c r="A7101" s="34"/>
      <c r="B7101" s="35"/>
      <c r="C7101" s="36"/>
      <c r="D7101" s="37"/>
      <c r="E7101" s="36"/>
      <c r="F7101" s="42"/>
      <c r="G7101" s="42"/>
      <c r="H7101" s="42"/>
      <c r="AG7101" s="19">
        <v>7100</v>
      </c>
      <c r="AH7101" s="20">
        <v>-799.24298872869349</v>
      </c>
    </row>
    <row r="7102" spans="1:34" ht="14.5" x14ac:dyDescent="0.35">
      <c r="A7102" s="34"/>
      <c r="B7102" s="35"/>
      <c r="C7102" s="36"/>
      <c r="D7102" s="37"/>
      <c r="E7102" s="36"/>
      <c r="F7102" s="42"/>
      <c r="G7102" s="42"/>
      <c r="H7102" s="42"/>
      <c r="AG7102" s="19">
        <v>7101</v>
      </c>
      <c r="AH7102" s="20">
        <v>-430.08579913771638</v>
      </c>
    </row>
    <row r="7103" spans="1:34" ht="14.5" x14ac:dyDescent="0.35">
      <c r="A7103" s="34"/>
      <c r="B7103" s="35"/>
      <c r="C7103" s="36"/>
      <c r="D7103" s="37"/>
      <c r="E7103" s="36"/>
      <c r="F7103" s="42"/>
      <c r="G7103" s="42"/>
      <c r="H7103" s="42"/>
      <c r="AG7103" s="19">
        <v>7102</v>
      </c>
      <c r="AH7103" s="20">
        <v>434.18533056493646</v>
      </c>
    </row>
    <row r="7104" spans="1:34" ht="14.5" x14ac:dyDescent="0.35">
      <c r="A7104" s="34"/>
      <c r="B7104" s="35"/>
      <c r="C7104" s="36"/>
      <c r="D7104" s="37"/>
      <c r="E7104" s="36"/>
      <c r="F7104" s="42"/>
      <c r="G7104" s="42"/>
      <c r="H7104" s="42"/>
      <c r="AG7104" s="19">
        <v>7103</v>
      </c>
      <c r="AH7104" s="20">
        <v>-595.0214215828837</v>
      </c>
    </row>
    <row r="7105" spans="1:34" ht="14.5" x14ac:dyDescent="0.35">
      <c r="A7105" s="34"/>
      <c r="B7105" s="35"/>
      <c r="C7105" s="36"/>
      <c r="D7105" s="37"/>
      <c r="E7105" s="36"/>
      <c r="F7105" s="42"/>
      <c r="G7105" s="42"/>
      <c r="H7105" s="42"/>
      <c r="AG7105" s="19">
        <v>7104</v>
      </c>
      <c r="AH7105" s="20">
        <v>-1448.8021128428838</v>
      </c>
    </row>
    <row r="7106" spans="1:34" ht="14.5" x14ac:dyDescent="0.35">
      <c r="A7106" s="34"/>
      <c r="B7106" s="35"/>
      <c r="C7106" s="36"/>
      <c r="D7106" s="37"/>
      <c r="E7106" s="36"/>
      <c r="F7106" s="42"/>
      <c r="G7106" s="42"/>
      <c r="H7106" s="42"/>
      <c r="AG7106" s="19">
        <v>7105</v>
      </c>
      <c r="AH7106" s="20">
        <v>3112.9347497574622</v>
      </c>
    </row>
    <row r="7107" spans="1:34" ht="14.5" x14ac:dyDescent="0.35">
      <c r="A7107" s="34"/>
      <c r="B7107" s="35"/>
      <c r="C7107" s="36"/>
      <c r="D7107" s="37"/>
      <c r="E7107" s="36"/>
      <c r="F7107" s="42"/>
      <c r="G7107" s="42"/>
      <c r="H7107" s="42"/>
      <c r="AG7107" s="19">
        <v>7106</v>
      </c>
      <c r="AH7107" s="20">
        <v>168.6783491870475</v>
      </c>
    </row>
    <row r="7108" spans="1:34" ht="14.5" x14ac:dyDescent="0.35">
      <c r="A7108" s="34"/>
      <c r="B7108" s="35"/>
      <c r="C7108" s="36"/>
      <c r="D7108" s="37"/>
      <c r="E7108" s="36"/>
      <c r="F7108" s="42"/>
      <c r="G7108" s="42"/>
      <c r="H7108" s="42"/>
      <c r="AG7108" s="19">
        <v>7107</v>
      </c>
      <c r="AH7108" s="20">
        <v>344.7180313684139</v>
      </c>
    </row>
    <row r="7109" spans="1:34" ht="14.5" x14ac:dyDescent="0.35">
      <c r="A7109" s="34"/>
      <c r="B7109" s="35"/>
      <c r="C7109" s="36"/>
      <c r="D7109" s="37"/>
      <c r="E7109" s="36"/>
      <c r="F7109" s="42"/>
      <c r="G7109" s="42"/>
      <c r="H7109" s="42"/>
      <c r="AG7109" s="19">
        <v>7108</v>
      </c>
      <c r="AH7109" s="20">
        <v>-438.09899257498301</v>
      </c>
    </row>
    <row r="7110" spans="1:34" ht="14.5" x14ac:dyDescent="0.35">
      <c r="A7110" s="34"/>
      <c r="B7110" s="35"/>
      <c r="C7110" s="36"/>
      <c r="D7110" s="37"/>
      <c r="E7110" s="36"/>
      <c r="F7110" s="42"/>
      <c r="G7110" s="42"/>
      <c r="H7110" s="42"/>
      <c r="AG7110" s="19">
        <v>7109</v>
      </c>
      <c r="AH7110" s="20">
        <v>-2159.4736934843013</v>
      </c>
    </row>
    <row r="7111" spans="1:34" ht="14.5" x14ac:dyDescent="0.35">
      <c r="A7111" s="34"/>
      <c r="B7111" s="35"/>
      <c r="C7111" s="36"/>
      <c r="D7111" s="37"/>
      <c r="E7111" s="36"/>
      <c r="F7111" s="42"/>
      <c r="G7111" s="42"/>
      <c r="H7111" s="42"/>
      <c r="AG7111" s="19">
        <v>7110</v>
      </c>
      <c r="AH7111" s="20">
        <v>-1122.7524482842095</v>
      </c>
    </row>
    <row r="7112" spans="1:34" ht="14.5" x14ac:dyDescent="0.35">
      <c r="A7112" s="34"/>
      <c r="B7112" s="35"/>
      <c r="C7112" s="36"/>
      <c r="D7112" s="37"/>
      <c r="E7112" s="36"/>
      <c r="F7112" s="42"/>
      <c r="G7112" s="42"/>
      <c r="H7112" s="42"/>
      <c r="AG7112" s="19">
        <v>7111</v>
      </c>
      <c r="AH7112" s="20">
        <v>3624.1877995849377</v>
      </c>
    </row>
    <row r="7113" spans="1:34" ht="14.5" x14ac:dyDescent="0.35">
      <c r="A7113" s="34"/>
      <c r="B7113" s="35"/>
      <c r="C7113" s="36"/>
      <c r="D7113" s="37"/>
      <c r="E7113" s="36"/>
      <c r="F7113" s="42"/>
      <c r="G7113" s="42"/>
      <c r="H7113" s="42"/>
      <c r="AG7113" s="19">
        <v>7112</v>
      </c>
      <c r="AH7113" s="20">
        <v>-2372.530009332997</v>
      </c>
    </row>
    <row r="7114" spans="1:34" ht="14.5" x14ac:dyDescent="0.35">
      <c r="A7114" s="34"/>
      <c r="B7114" s="35"/>
      <c r="C7114" s="36"/>
      <c r="D7114" s="37"/>
      <c r="E7114" s="36"/>
      <c r="F7114" s="42"/>
      <c r="G7114" s="42"/>
      <c r="H7114" s="42"/>
      <c r="AG7114" s="19">
        <v>7113</v>
      </c>
      <c r="AH7114" s="20">
        <v>1334.9733055466447</v>
      </c>
    </row>
    <row r="7115" spans="1:34" ht="14.5" x14ac:dyDescent="0.35">
      <c r="A7115" s="34"/>
      <c r="B7115" s="35"/>
      <c r="C7115" s="36"/>
      <c r="D7115" s="37"/>
      <c r="E7115" s="36"/>
      <c r="F7115" s="42"/>
      <c r="G7115" s="42"/>
      <c r="H7115" s="42"/>
      <c r="AG7115" s="19">
        <v>7114</v>
      </c>
      <c r="AH7115" s="20">
        <v>-357.60729064885214</v>
      </c>
    </row>
    <row r="7116" spans="1:34" ht="14.5" x14ac:dyDescent="0.35">
      <c r="A7116" s="34"/>
      <c r="B7116" s="35"/>
      <c r="C7116" s="36"/>
      <c r="D7116" s="37"/>
      <c r="E7116" s="36"/>
      <c r="F7116" s="42"/>
      <c r="G7116" s="42"/>
      <c r="H7116" s="42"/>
      <c r="AG7116" s="19">
        <v>7115</v>
      </c>
      <c r="AH7116" s="20">
        <v>791.29503411984899</v>
      </c>
    </row>
    <row r="7117" spans="1:34" ht="14.5" x14ac:dyDescent="0.35">
      <c r="A7117" s="34"/>
      <c r="B7117" s="35"/>
      <c r="C7117" s="36"/>
      <c r="D7117" s="37"/>
      <c r="E7117" s="36"/>
      <c r="F7117" s="42"/>
      <c r="G7117" s="42"/>
      <c r="H7117" s="42"/>
      <c r="AG7117" s="19">
        <v>7116</v>
      </c>
      <c r="AH7117" s="20">
        <v>-62.876475931855452</v>
      </c>
    </row>
    <row r="7118" spans="1:34" ht="14.5" x14ac:dyDescent="0.35">
      <c r="A7118" s="34"/>
      <c r="B7118" s="35"/>
      <c r="C7118" s="36"/>
      <c r="D7118" s="37"/>
      <c r="E7118" s="36"/>
      <c r="F7118" s="42"/>
      <c r="G7118" s="42"/>
      <c r="H7118" s="42"/>
      <c r="AG7118" s="19">
        <v>7117</v>
      </c>
      <c r="AH7118" s="20">
        <v>2800.5965190307561</v>
      </c>
    </row>
    <row r="7119" spans="1:34" ht="14.5" x14ac:dyDescent="0.35">
      <c r="A7119" s="34"/>
      <c r="B7119" s="35"/>
      <c r="C7119" s="36"/>
      <c r="D7119" s="37"/>
      <c r="E7119" s="36"/>
      <c r="F7119" s="42"/>
      <c r="G7119" s="42"/>
      <c r="H7119" s="42"/>
      <c r="AG7119" s="19">
        <v>7118</v>
      </c>
      <c r="AH7119" s="20">
        <v>1332.5179312025296</v>
      </c>
    </row>
    <row r="7120" spans="1:34" ht="14.5" x14ac:dyDescent="0.35">
      <c r="A7120" s="34"/>
      <c r="B7120" s="35"/>
      <c r="C7120" s="36"/>
      <c r="D7120" s="37"/>
      <c r="E7120" s="36"/>
      <c r="F7120" s="42"/>
      <c r="G7120" s="42"/>
      <c r="H7120" s="42"/>
      <c r="AG7120" s="19">
        <v>7119</v>
      </c>
      <c r="AH7120" s="20">
        <v>-2916.8554784446242</v>
      </c>
    </row>
    <row r="7121" spans="1:34" ht="14.5" x14ac:dyDescent="0.35">
      <c r="A7121" s="34"/>
      <c r="B7121" s="35"/>
      <c r="C7121" s="36"/>
      <c r="D7121" s="37"/>
      <c r="E7121" s="36"/>
      <c r="F7121" s="42"/>
      <c r="G7121" s="42"/>
      <c r="H7121" s="42"/>
      <c r="AG7121" s="19">
        <v>7120</v>
      </c>
      <c r="AH7121" s="20">
        <v>-1658.6676000699256</v>
      </c>
    </row>
    <row r="7122" spans="1:34" ht="14.5" x14ac:dyDescent="0.35">
      <c r="A7122" s="34"/>
      <c r="B7122" s="35"/>
      <c r="C7122" s="36"/>
      <c r="D7122" s="37"/>
      <c r="E7122" s="36"/>
      <c r="F7122" s="42"/>
      <c r="G7122" s="42"/>
      <c r="H7122" s="42"/>
      <c r="AG7122" s="19">
        <v>7121</v>
      </c>
      <c r="AH7122" s="20">
        <v>-1466.8059179573895</v>
      </c>
    </row>
    <row r="7123" spans="1:34" ht="14.5" x14ac:dyDescent="0.35">
      <c r="A7123" s="34"/>
      <c r="B7123" s="35"/>
      <c r="C7123" s="36"/>
      <c r="D7123" s="37"/>
      <c r="E7123" s="36"/>
      <c r="F7123" s="42"/>
      <c r="G7123" s="42"/>
      <c r="H7123" s="42"/>
      <c r="AG7123" s="19">
        <v>7122</v>
      </c>
      <c r="AH7123" s="20">
        <v>-75.114377384694137</v>
      </c>
    </row>
    <row r="7124" spans="1:34" ht="14.5" x14ac:dyDescent="0.35">
      <c r="A7124" s="34"/>
      <c r="B7124" s="35"/>
      <c r="C7124" s="36"/>
      <c r="D7124" s="37"/>
      <c r="E7124" s="36"/>
      <c r="F7124" s="42"/>
      <c r="G7124" s="42"/>
      <c r="H7124" s="42"/>
      <c r="AG7124" s="19">
        <v>7123</v>
      </c>
      <c r="AH7124" s="20">
        <v>829.39586489347266</v>
      </c>
    </row>
    <row r="7125" spans="1:34" ht="14.5" x14ac:dyDescent="0.35">
      <c r="A7125" s="34"/>
      <c r="B7125" s="35"/>
      <c r="C7125" s="36"/>
      <c r="D7125" s="37"/>
      <c r="E7125" s="36"/>
      <c r="F7125" s="42"/>
      <c r="G7125" s="42"/>
      <c r="H7125" s="42"/>
      <c r="AG7125" s="19">
        <v>7124</v>
      </c>
      <c r="AH7125" s="20">
        <v>139.54673757968578</v>
      </c>
    </row>
    <row r="7126" spans="1:34" ht="14.5" x14ac:dyDescent="0.35">
      <c r="A7126" s="34"/>
      <c r="B7126" s="35"/>
      <c r="C7126" s="36"/>
      <c r="D7126" s="37"/>
      <c r="E7126" s="36"/>
      <c r="F7126" s="42"/>
      <c r="G7126" s="42"/>
      <c r="H7126" s="42"/>
      <c r="AG7126" s="19">
        <v>7125</v>
      </c>
      <c r="AH7126" s="20">
        <v>1673.5897427029929</v>
      </c>
    </row>
    <row r="7127" spans="1:34" ht="14.5" x14ac:dyDescent="0.35">
      <c r="A7127" s="34"/>
      <c r="B7127" s="35"/>
      <c r="C7127" s="36"/>
      <c r="D7127" s="37"/>
      <c r="E7127" s="36"/>
      <c r="F7127" s="42"/>
      <c r="G7127" s="42"/>
      <c r="H7127" s="42"/>
      <c r="AG7127" s="19">
        <v>7126</v>
      </c>
      <c r="AH7127" s="20">
        <v>2973.6007734713107</v>
      </c>
    </row>
    <row r="7128" spans="1:34" ht="14.5" x14ac:dyDescent="0.35">
      <c r="A7128" s="34"/>
      <c r="B7128" s="35"/>
      <c r="C7128" s="36"/>
      <c r="D7128" s="37"/>
      <c r="E7128" s="36"/>
      <c r="F7128" s="42"/>
      <c r="G7128" s="42"/>
      <c r="H7128" s="42"/>
      <c r="AG7128" s="19">
        <v>7127</v>
      </c>
      <c r="AH7128" s="20">
        <v>847.04169407648135</v>
      </c>
    </row>
    <row r="7129" spans="1:34" ht="14.5" x14ac:dyDescent="0.35">
      <c r="A7129" s="34"/>
      <c r="B7129" s="35"/>
      <c r="C7129" s="36"/>
      <c r="D7129" s="37"/>
      <c r="E7129" s="36"/>
      <c r="F7129" s="42"/>
      <c r="G7129" s="42"/>
      <c r="H7129" s="42"/>
      <c r="AG7129" s="19">
        <v>7128</v>
      </c>
      <c r="AH7129" s="20">
        <v>39.786034043812265</v>
      </c>
    </row>
    <row r="7130" spans="1:34" ht="14.5" x14ac:dyDescent="0.35">
      <c r="A7130" s="34"/>
      <c r="B7130" s="35"/>
      <c r="C7130" s="36"/>
      <c r="D7130" s="37"/>
      <c r="E7130" s="36"/>
      <c r="F7130" s="42"/>
      <c r="G7130" s="42"/>
      <c r="H7130" s="42"/>
      <c r="AG7130" s="19">
        <v>7129</v>
      </c>
      <c r="AH7130" s="20">
        <v>-2120.596560509915</v>
      </c>
    </row>
    <row r="7131" spans="1:34" ht="14.5" x14ac:dyDescent="0.35">
      <c r="A7131" s="34"/>
      <c r="B7131" s="35"/>
      <c r="C7131" s="36"/>
      <c r="D7131" s="37"/>
      <c r="E7131" s="36"/>
      <c r="F7131" s="42"/>
      <c r="G7131" s="42"/>
      <c r="H7131" s="42"/>
      <c r="AG7131" s="19">
        <v>7130</v>
      </c>
      <c r="AH7131" s="20">
        <v>-1215.6178175817736</v>
      </c>
    </row>
    <row r="7132" spans="1:34" ht="14.5" x14ac:dyDescent="0.35">
      <c r="A7132" s="34"/>
      <c r="B7132" s="35"/>
      <c r="C7132" s="36"/>
      <c r="D7132" s="37"/>
      <c r="E7132" s="36"/>
      <c r="F7132" s="42"/>
      <c r="G7132" s="42"/>
      <c r="H7132" s="42"/>
      <c r="AG7132" s="19">
        <v>7131</v>
      </c>
      <c r="AH7132" s="20">
        <v>30.661340796805803</v>
      </c>
    </row>
    <row r="7133" spans="1:34" ht="14.5" x14ac:dyDescent="0.35">
      <c r="A7133" s="34"/>
      <c r="B7133" s="35"/>
      <c r="C7133" s="36"/>
      <c r="D7133" s="37"/>
      <c r="E7133" s="36"/>
      <c r="F7133" s="42"/>
      <c r="G7133" s="42"/>
      <c r="H7133" s="42"/>
      <c r="AG7133" s="19">
        <v>7132</v>
      </c>
      <c r="AH7133" s="20">
        <v>-3156.69494701443</v>
      </c>
    </row>
    <row r="7134" spans="1:34" ht="14.5" x14ac:dyDescent="0.35">
      <c r="A7134" s="34"/>
      <c r="B7134" s="35"/>
      <c r="C7134" s="36"/>
      <c r="D7134" s="37"/>
      <c r="E7134" s="36"/>
      <c r="F7134" s="42"/>
      <c r="G7134" s="42"/>
      <c r="H7134" s="42"/>
      <c r="AG7134" s="19">
        <v>7133</v>
      </c>
      <c r="AH7134" s="20">
        <v>3377.3465819791681</v>
      </c>
    </row>
    <row r="7135" spans="1:34" ht="14.5" x14ac:dyDescent="0.35">
      <c r="A7135" s="34"/>
      <c r="B7135" s="35"/>
      <c r="C7135" s="36"/>
      <c r="D7135" s="37"/>
      <c r="E7135" s="36"/>
      <c r="F7135" s="42"/>
      <c r="G7135" s="42"/>
      <c r="H7135" s="42"/>
      <c r="AG7135" s="19">
        <v>7134</v>
      </c>
      <c r="AH7135" s="20">
        <v>-1397.7002220351267</v>
      </c>
    </row>
    <row r="7136" spans="1:34" ht="14.5" x14ac:dyDescent="0.35">
      <c r="A7136" s="34"/>
      <c r="B7136" s="35"/>
      <c r="C7136" s="36"/>
      <c r="D7136" s="37"/>
      <c r="E7136" s="36"/>
      <c r="F7136" s="42"/>
      <c r="G7136" s="42"/>
      <c r="H7136" s="42"/>
      <c r="AG7136" s="19">
        <v>7135</v>
      </c>
      <c r="AH7136" s="20">
        <v>398.53633496945537</v>
      </c>
    </row>
    <row r="7137" spans="1:34" ht="14.5" x14ac:dyDescent="0.35">
      <c r="A7137" s="34"/>
      <c r="B7137" s="35"/>
      <c r="C7137" s="36"/>
      <c r="D7137" s="37"/>
      <c r="E7137" s="36"/>
      <c r="F7137" s="42"/>
      <c r="G7137" s="42"/>
      <c r="H7137" s="42"/>
      <c r="AG7137" s="19">
        <v>7136</v>
      </c>
      <c r="AH7137" s="20">
        <v>-3832.9702217408267</v>
      </c>
    </row>
    <row r="7138" spans="1:34" ht="14.5" x14ac:dyDescent="0.35">
      <c r="A7138" s="34"/>
      <c r="B7138" s="35"/>
      <c r="C7138" s="36"/>
      <c r="D7138" s="37"/>
      <c r="E7138" s="36"/>
      <c r="F7138" s="42"/>
      <c r="G7138" s="42"/>
      <c r="H7138" s="42"/>
      <c r="AG7138" s="19">
        <v>7137</v>
      </c>
      <c r="AH7138" s="20">
        <v>960.88380732519795</v>
      </c>
    </row>
    <row r="7139" spans="1:34" ht="14.5" x14ac:dyDescent="0.35">
      <c r="A7139" s="34"/>
      <c r="B7139" s="35"/>
      <c r="C7139" s="36"/>
      <c r="D7139" s="37"/>
      <c r="E7139" s="36"/>
      <c r="F7139" s="42"/>
      <c r="G7139" s="42"/>
      <c r="H7139" s="42"/>
      <c r="AG7139" s="19">
        <v>7138</v>
      </c>
      <c r="AH7139" s="20">
        <v>-3557.5370078089122</v>
      </c>
    </row>
    <row r="7140" spans="1:34" ht="14.5" x14ac:dyDescent="0.35">
      <c r="A7140" s="34"/>
      <c r="B7140" s="35"/>
      <c r="C7140" s="36"/>
      <c r="D7140" s="37"/>
      <c r="E7140" s="36"/>
      <c r="F7140" s="42"/>
      <c r="G7140" s="42"/>
      <c r="H7140" s="42"/>
      <c r="AG7140" s="19">
        <v>7139</v>
      </c>
      <c r="AH7140" s="20">
        <v>-4446.714561795332</v>
      </c>
    </row>
    <row r="7141" spans="1:34" ht="14.5" x14ac:dyDescent="0.35">
      <c r="A7141" s="34"/>
      <c r="B7141" s="35"/>
      <c r="C7141" s="36"/>
      <c r="D7141" s="37"/>
      <c r="E7141" s="36"/>
      <c r="F7141" s="42"/>
      <c r="G7141" s="42"/>
      <c r="H7141" s="42"/>
      <c r="AG7141" s="19">
        <v>7140</v>
      </c>
      <c r="AH7141" s="20">
        <v>704.31092838497807</v>
      </c>
    </row>
    <row r="7142" spans="1:34" ht="14.5" x14ac:dyDescent="0.35">
      <c r="A7142" s="34"/>
      <c r="B7142" s="35"/>
      <c r="C7142" s="36"/>
      <c r="D7142" s="37"/>
      <c r="E7142" s="36"/>
      <c r="F7142" s="42"/>
      <c r="G7142" s="42"/>
      <c r="H7142" s="42"/>
      <c r="AG7142" s="19">
        <v>7141</v>
      </c>
      <c r="AH7142" s="20">
        <v>-3992.1892376766764</v>
      </c>
    </row>
    <row r="7143" spans="1:34" ht="14.5" x14ac:dyDescent="0.35">
      <c r="A7143" s="34"/>
      <c r="B7143" s="35"/>
      <c r="C7143" s="36"/>
      <c r="D7143" s="37"/>
      <c r="E7143" s="36"/>
      <c r="F7143" s="42"/>
      <c r="G7143" s="42"/>
      <c r="H7143" s="42"/>
      <c r="AG7143" s="19">
        <v>7142</v>
      </c>
      <c r="AH7143" s="20">
        <v>-3633.6225847215246</v>
      </c>
    </row>
    <row r="7144" spans="1:34" ht="14.5" x14ac:dyDescent="0.35">
      <c r="A7144" s="34"/>
      <c r="B7144" s="35"/>
      <c r="C7144" s="36"/>
      <c r="D7144" s="37"/>
      <c r="E7144" s="36"/>
      <c r="F7144" s="42"/>
      <c r="G7144" s="42"/>
      <c r="H7144" s="42"/>
      <c r="AG7144" s="19">
        <v>7143</v>
      </c>
      <c r="AH7144" s="20">
        <v>983.7808878788835</v>
      </c>
    </row>
    <row r="7145" spans="1:34" ht="14.5" x14ac:dyDescent="0.35">
      <c r="A7145" s="34"/>
      <c r="B7145" s="35"/>
      <c r="C7145" s="36"/>
      <c r="D7145" s="37"/>
      <c r="E7145" s="36"/>
      <c r="F7145" s="42"/>
      <c r="G7145" s="42"/>
      <c r="H7145" s="42"/>
      <c r="AG7145" s="19">
        <v>7144</v>
      </c>
      <c r="AH7145" s="20">
        <v>-514.63005405362696</v>
      </c>
    </row>
    <row r="7146" spans="1:34" ht="14.5" x14ac:dyDescent="0.35">
      <c r="A7146" s="34"/>
      <c r="B7146" s="35"/>
      <c r="C7146" s="36"/>
      <c r="D7146" s="37"/>
      <c r="E7146" s="36"/>
      <c r="F7146" s="42"/>
      <c r="G7146" s="42"/>
      <c r="H7146" s="42"/>
      <c r="AG7146" s="19">
        <v>7145</v>
      </c>
      <c r="AH7146" s="20">
        <v>675.1416035483544</v>
      </c>
    </row>
    <row r="7147" spans="1:34" ht="14.5" x14ac:dyDescent="0.35">
      <c r="A7147" s="34"/>
      <c r="B7147" s="35"/>
      <c r="C7147" s="36"/>
      <c r="D7147" s="37"/>
      <c r="E7147" s="36"/>
      <c r="F7147" s="42"/>
      <c r="G7147" s="42"/>
      <c r="H7147" s="42"/>
      <c r="AG7147" s="19">
        <v>7146</v>
      </c>
      <c r="AH7147" s="20">
        <v>983.51165327391027</v>
      </c>
    </row>
    <row r="7148" spans="1:34" ht="14.5" x14ac:dyDescent="0.35">
      <c r="A7148" s="34"/>
      <c r="B7148" s="35"/>
      <c r="C7148" s="36"/>
      <c r="D7148" s="37"/>
      <c r="E7148" s="36"/>
      <c r="F7148" s="42"/>
      <c r="G7148" s="42"/>
      <c r="H7148" s="42"/>
      <c r="AG7148" s="19">
        <v>7147</v>
      </c>
      <c r="AH7148" s="20">
        <v>-1966.4729518606525</v>
      </c>
    </row>
    <row r="7149" spans="1:34" ht="14.5" x14ac:dyDescent="0.35">
      <c r="A7149" s="34"/>
      <c r="B7149" s="35"/>
      <c r="C7149" s="36"/>
      <c r="D7149" s="37"/>
      <c r="E7149" s="36"/>
      <c r="F7149" s="42"/>
      <c r="G7149" s="42"/>
      <c r="H7149" s="42"/>
      <c r="AG7149" s="19">
        <v>7148</v>
      </c>
      <c r="AH7149" s="20">
        <v>49.867533903469734</v>
      </c>
    </row>
    <row r="7150" spans="1:34" ht="14.5" x14ac:dyDescent="0.35">
      <c r="A7150" s="34"/>
      <c r="B7150" s="35"/>
      <c r="C7150" s="36"/>
      <c r="D7150" s="37"/>
      <c r="E7150" s="36"/>
      <c r="F7150" s="42"/>
      <c r="G7150" s="42"/>
      <c r="H7150" s="42"/>
      <c r="AG7150" s="19">
        <v>7149</v>
      </c>
      <c r="AH7150" s="20">
        <v>153.25164617856259</v>
      </c>
    </row>
    <row r="7151" spans="1:34" ht="14.5" x14ac:dyDescent="0.35">
      <c r="A7151" s="34"/>
      <c r="B7151" s="35"/>
      <c r="C7151" s="36"/>
      <c r="D7151" s="37"/>
      <c r="E7151" s="36"/>
      <c r="F7151" s="42"/>
      <c r="G7151" s="42"/>
      <c r="H7151" s="42"/>
      <c r="AG7151" s="19">
        <v>7150</v>
      </c>
      <c r="AH7151" s="20">
        <v>1286.2012260897543</v>
      </c>
    </row>
    <row r="7152" spans="1:34" ht="14.5" x14ac:dyDescent="0.35">
      <c r="A7152" s="34"/>
      <c r="B7152" s="35"/>
      <c r="C7152" s="36"/>
      <c r="D7152" s="37"/>
      <c r="E7152" s="36"/>
      <c r="F7152" s="42"/>
      <c r="G7152" s="42"/>
      <c r="H7152" s="42"/>
      <c r="AG7152" s="19">
        <v>7151</v>
      </c>
      <c r="AH7152" s="20">
        <v>-629.91787539369238</v>
      </c>
    </row>
    <row r="7153" spans="1:34" ht="14.5" x14ac:dyDescent="0.35">
      <c r="A7153" s="34"/>
      <c r="B7153" s="35"/>
      <c r="C7153" s="36"/>
      <c r="D7153" s="37"/>
      <c r="E7153" s="36"/>
      <c r="F7153" s="42"/>
      <c r="G7153" s="42"/>
      <c r="H7153" s="42"/>
      <c r="AG7153" s="19">
        <v>7152</v>
      </c>
      <c r="AH7153" s="20">
        <v>-1457.5310090099445</v>
      </c>
    </row>
    <row r="7154" spans="1:34" ht="14.5" x14ac:dyDescent="0.35">
      <c r="A7154" s="34"/>
      <c r="B7154" s="35"/>
      <c r="C7154" s="36"/>
      <c r="D7154" s="37"/>
      <c r="E7154" s="36"/>
      <c r="F7154" s="42"/>
      <c r="G7154" s="42"/>
      <c r="H7154" s="42"/>
      <c r="AG7154" s="19">
        <v>7153</v>
      </c>
      <c r="AH7154" s="20">
        <v>2591.8128421709512</v>
      </c>
    </row>
    <row r="7155" spans="1:34" ht="14.5" x14ac:dyDescent="0.35">
      <c r="A7155" s="34"/>
      <c r="B7155" s="35"/>
      <c r="C7155" s="36"/>
      <c r="D7155" s="37"/>
      <c r="E7155" s="36"/>
      <c r="F7155" s="42"/>
      <c r="G7155" s="42"/>
      <c r="H7155" s="42"/>
      <c r="AG7155" s="19">
        <v>7154</v>
      </c>
      <c r="AH7155" s="20">
        <v>1763.6406278418265</v>
      </c>
    </row>
    <row r="7156" spans="1:34" ht="14.5" x14ac:dyDescent="0.35">
      <c r="A7156" s="34"/>
      <c r="B7156" s="35"/>
      <c r="C7156" s="36"/>
      <c r="D7156" s="37"/>
      <c r="E7156" s="36"/>
      <c r="F7156" s="42"/>
      <c r="G7156" s="42"/>
      <c r="H7156" s="42"/>
      <c r="AG7156" s="19">
        <v>7155</v>
      </c>
      <c r="AH7156" s="20">
        <v>3048.6273497769444</v>
      </c>
    </row>
    <row r="7157" spans="1:34" ht="14.5" x14ac:dyDescent="0.35">
      <c r="A7157" s="34"/>
      <c r="B7157" s="35"/>
      <c r="C7157" s="36"/>
      <c r="D7157" s="37"/>
      <c r="E7157" s="36"/>
      <c r="F7157" s="42"/>
      <c r="G7157" s="42"/>
      <c r="H7157" s="42"/>
      <c r="AG7157" s="19">
        <v>7156</v>
      </c>
      <c r="AH7157" s="20">
        <v>1185.3296808550383</v>
      </c>
    </row>
    <row r="7158" spans="1:34" ht="14.5" x14ac:dyDescent="0.35">
      <c r="A7158" s="34"/>
      <c r="B7158" s="35"/>
      <c r="C7158" s="36"/>
      <c r="D7158" s="37"/>
      <c r="E7158" s="36"/>
      <c r="F7158" s="42"/>
      <c r="G7158" s="42"/>
      <c r="H7158" s="42"/>
      <c r="AG7158" s="19">
        <v>7157</v>
      </c>
      <c r="AH7158" s="20">
        <v>-13.667519370224568</v>
      </c>
    </row>
    <row r="7159" spans="1:34" ht="14.5" x14ac:dyDescent="0.35">
      <c r="A7159" s="34"/>
      <c r="B7159" s="35"/>
      <c r="C7159" s="36"/>
      <c r="D7159" s="37"/>
      <c r="E7159" s="36"/>
      <c r="F7159" s="42"/>
      <c r="G7159" s="42"/>
      <c r="H7159" s="42"/>
      <c r="AG7159" s="19">
        <v>7158</v>
      </c>
      <c r="AH7159" s="20">
        <v>160.91027136479826</v>
      </c>
    </row>
    <row r="7160" spans="1:34" ht="14.5" x14ac:dyDescent="0.35">
      <c r="A7160" s="34"/>
      <c r="B7160" s="35"/>
      <c r="C7160" s="36"/>
      <c r="D7160" s="37"/>
      <c r="E7160" s="36"/>
      <c r="F7160" s="42"/>
      <c r="G7160" s="42"/>
      <c r="H7160" s="42"/>
      <c r="AG7160" s="19">
        <v>7159</v>
      </c>
      <c r="AH7160" s="20">
        <v>-3751.1339668180381</v>
      </c>
    </row>
    <row r="7161" spans="1:34" ht="14.5" x14ac:dyDescent="0.35">
      <c r="A7161" s="34"/>
      <c r="B7161" s="35"/>
      <c r="C7161" s="36"/>
      <c r="D7161" s="37"/>
      <c r="E7161" s="36"/>
      <c r="F7161" s="42"/>
      <c r="G7161" s="42"/>
      <c r="H7161" s="42"/>
      <c r="AG7161" s="19">
        <v>7160</v>
      </c>
      <c r="AH7161" s="20">
        <v>3179.1306423398714</v>
      </c>
    </row>
    <row r="7162" spans="1:34" ht="14.5" x14ac:dyDescent="0.35">
      <c r="A7162" s="34"/>
      <c r="B7162" s="35"/>
      <c r="C7162" s="36"/>
      <c r="D7162" s="37"/>
      <c r="E7162" s="36"/>
      <c r="F7162" s="42"/>
      <c r="G7162" s="42"/>
      <c r="H7162" s="42"/>
      <c r="AG7162" s="19">
        <v>7161</v>
      </c>
      <c r="AH7162" s="20">
        <v>1000.8350284076389</v>
      </c>
    </row>
    <row r="7163" spans="1:34" ht="14.5" x14ac:dyDescent="0.35">
      <c r="A7163" s="34"/>
      <c r="B7163" s="35"/>
      <c r="C7163" s="36"/>
      <c r="D7163" s="37"/>
      <c r="E7163" s="36"/>
      <c r="F7163" s="42"/>
      <c r="G7163" s="42"/>
      <c r="H7163" s="42"/>
      <c r="AG7163" s="19">
        <v>7162</v>
      </c>
      <c r="AH7163" s="20">
        <v>-1439.2449103252759</v>
      </c>
    </row>
    <row r="7164" spans="1:34" ht="14.5" x14ac:dyDescent="0.35">
      <c r="A7164" s="34"/>
      <c r="B7164" s="35"/>
      <c r="C7164" s="36"/>
      <c r="D7164" s="37"/>
      <c r="E7164" s="36"/>
      <c r="F7164" s="42"/>
      <c r="G7164" s="42"/>
      <c r="H7164" s="42"/>
      <c r="AG7164" s="19">
        <v>7163</v>
      </c>
      <c r="AH7164" s="20">
        <v>3080.6824562276142</v>
      </c>
    </row>
    <row r="7165" spans="1:34" ht="14.5" x14ac:dyDescent="0.35">
      <c r="A7165" s="34"/>
      <c r="B7165" s="35"/>
      <c r="C7165" s="36"/>
      <c r="D7165" s="37"/>
      <c r="E7165" s="36"/>
      <c r="F7165" s="42"/>
      <c r="G7165" s="42"/>
      <c r="H7165" s="42"/>
      <c r="AG7165" s="19">
        <v>7164</v>
      </c>
      <c r="AH7165" s="20">
        <v>2431.0777220402142</v>
      </c>
    </row>
    <row r="7166" spans="1:34" ht="14.5" x14ac:dyDescent="0.35">
      <c r="A7166" s="34"/>
      <c r="B7166" s="35"/>
      <c r="C7166" s="36"/>
      <c r="D7166" s="37"/>
      <c r="E7166" s="36"/>
      <c r="F7166" s="42"/>
      <c r="G7166" s="42"/>
      <c r="H7166" s="42"/>
      <c r="AG7166" s="19">
        <v>7165</v>
      </c>
      <c r="AH7166" s="20">
        <v>5424.4392071846214</v>
      </c>
    </row>
    <row r="7167" spans="1:34" ht="14.5" x14ac:dyDescent="0.35">
      <c r="A7167" s="34"/>
      <c r="B7167" s="35"/>
      <c r="C7167" s="36"/>
      <c r="D7167" s="37"/>
      <c r="E7167" s="36"/>
      <c r="F7167" s="42"/>
      <c r="G7167" s="42"/>
      <c r="H7167" s="42"/>
      <c r="AG7167" s="19">
        <v>7166</v>
      </c>
      <c r="AH7167" s="20">
        <v>1720.2674255369482</v>
      </c>
    </row>
    <row r="7168" spans="1:34" ht="14.5" x14ac:dyDescent="0.35">
      <c r="A7168" s="34"/>
      <c r="B7168" s="35"/>
      <c r="C7168" s="36"/>
      <c r="D7168" s="37"/>
      <c r="E7168" s="36"/>
      <c r="F7168" s="42"/>
      <c r="G7168" s="42"/>
      <c r="H7168" s="42"/>
      <c r="AG7168" s="19">
        <v>7167</v>
      </c>
      <c r="AH7168" s="20">
        <v>2834.3859053786555</v>
      </c>
    </row>
    <row r="7169" spans="1:34" ht="14.5" x14ac:dyDescent="0.35">
      <c r="A7169" s="34"/>
      <c r="B7169" s="35"/>
      <c r="C7169" s="36"/>
      <c r="D7169" s="37"/>
      <c r="E7169" s="36"/>
      <c r="F7169" s="42"/>
      <c r="G7169" s="42"/>
      <c r="H7169" s="42"/>
      <c r="AG7169" s="19">
        <v>7168</v>
      </c>
      <c r="AH7169" s="20">
        <v>640.42046081808792</v>
      </c>
    </row>
    <row r="7170" spans="1:34" ht="14.5" x14ac:dyDescent="0.35">
      <c r="A7170" s="34"/>
      <c r="B7170" s="35"/>
      <c r="C7170" s="36"/>
      <c r="D7170" s="37"/>
      <c r="E7170" s="36"/>
      <c r="F7170" s="42"/>
      <c r="G7170" s="42"/>
      <c r="H7170" s="42"/>
      <c r="AG7170" s="19">
        <v>7169</v>
      </c>
      <c r="AH7170" s="20">
        <v>832.9929267977775</v>
      </c>
    </row>
    <row r="7171" spans="1:34" ht="14.5" x14ac:dyDescent="0.35">
      <c r="A7171" s="34"/>
      <c r="B7171" s="35"/>
      <c r="C7171" s="36"/>
      <c r="D7171" s="37"/>
      <c r="E7171" s="36"/>
      <c r="F7171" s="42"/>
      <c r="G7171" s="42"/>
      <c r="H7171" s="42"/>
      <c r="AG7171" s="19">
        <v>7170</v>
      </c>
      <c r="AH7171" s="20">
        <v>-1041.740927531428</v>
      </c>
    </row>
    <row r="7172" spans="1:34" ht="14.5" x14ac:dyDescent="0.35">
      <c r="A7172" s="34"/>
      <c r="B7172" s="35"/>
      <c r="C7172" s="36"/>
      <c r="D7172" s="37"/>
      <c r="E7172" s="36"/>
      <c r="F7172" s="42"/>
      <c r="G7172" s="42"/>
      <c r="H7172" s="42"/>
      <c r="AG7172" s="19">
        <v>7171</v>
      </c>
      <c r="AH7172" s="20">
        <v>-2249.4879527361095</v>
      </c>
    </row>
    <row r="7173" spans="1:34" ht="14.5" x14ac:dyDescent="0.35">
      <c r="A7173" s="34"/>
      <c r="B7173" s="35"/>
      <c r="C7173" s="36"/>
      <c r="D7173" s="37"/>
      <c r="E7173" s="36"/>
      <c r="F7173" s="42"/>
      <c r="G7173" s="42"/>
      <c r="H7173" s="42"/>
      <c r="AG7173" s="19">
        <v>7172</v>
      </c>
      <c r="AH7173" s="20">
        <v>1492.3760729916723</v>
      </c>
    </row>
    <row r="7174" spans="1:34" ht="14.5" x14ac:dyDescent="0.35">
      <c r="A7174" s="34"/>
      <c r="B7174" s="35"/>
      <c r="C7174" s="36"/>
      <c r="D7174" s="37"/>
      <c r="E7174" s="36"/>
      <c r="F7174" s="42"/>
      <c r="G7174" s="42"/>
      <c r="H7174" s="42"/>
      <c r="AG7174" s="19">
        <v>7173</v>
      </c>
      <c r="AH7174" s="20">
        <v>-479.33894441968135</v>
      </c>
    </row>
    <row r="7175" spans="1:34" ht="14.5" x14ac:dyDescent="0.35">
      <c r="A7175" s="34"/>
      <c r="B7175" s="35"/>
      <c r="C7175" s="36"/>
      <c r="D7175" s="37"/>
      <c r="E7175" s="36"/>
      <c r="F7175" s="42"/>
      <c r="G7175" s="42"/>
      <c r="H7175" s="42"/>
      <c r="AG7175" s="19">
        <v>7174</v>
      </c>
      <c r="AH7175" s="20">
        <v>-1827.1264020053202</v>
      </c>
    </row>
    <row r="7176" spans="1:34" ht="14.5" x14ac:dyDescent="0.35">
      <c r="A7176" s="34"/>
      <c r="B7176" s="35"/>
      <c r="C7176" s="36"/>
      <c r="D7176" s="37"/>
      <c r="E7176" s="36"/>
      <c r="F7176" s="42"/>
      <c r="G7176" s="42"/>
      <c r="H7176" s="42"/>
      <c r="AG7176" s="19">
        <v>7175</v>
      </c>
      <c r="AH7176" s="20">
        <v>-1664.5825659204581</v>
      </c>
    </row>
    <row r="7177" spans="1:34" ht="14.5" x14ac:dyDescent="0.35">
      <c r="A7177" s="34"/>
      <c r="B7177" s="35"/>
      <c r="C7177" s="36"/>
      <c r="D7177" s="37"/>
      <c r="E7177" s="36"/>
      <c r="F7177" s="42"/>
      <c r="G7177" s="42"/>
      <c r="H7177" s="42"/>
      <c r="AG7177" s="19">
        <v>7176</v>
      </c>
      <c r="AH7177" s="20">
        <v>-481.36596546455581</v>
      </c>
    </row>
    <row r="7178" spans="1:34" ht="14.5" x14ac:dyDescent="0.35">
      <c r="A7178" s="34"/>
      <c r="B7178" s="35"/>
      <c r="C7178" s="36"/>
      <c r="D7178" s="37"/>
      <c r="E7178" s="36"/>
      <c r="F7178" s="42"/>
      <c r="G7178" s="42"/>
      <c r="H7178" s="42"/>
      <c r="AG7178" s="19">
        <v>7177</v>
      </c>
      <c r="AH7178" s="20">
        <v>3120.9997918881277</v>
      </c>
    </row>
    <row r="7179" spans="1:34" ht="14.5" x14ac:dyDescent="0.35">
      <c r="A7179" s="34"/>
      <c r="B7179" s="35"/>
      <c r="C7179" s="36"/>
      <c r="D7179" s="37"/>
      <c r="E7179" s="36"/>
      <c r="F7179" s="42"/>
      <c r="G7179" s="42"/>
      <c r="H7179" s="42"/>
      <c r="AG7179" s="19">
        <v>7178</v>
      </c>
      <c r="AH7179" s="20">
        <v>-1303.2694228491571</v>
      </c>
    </row>
    <row r="7180" spans="1:34" ht="14.5" x14ac:dyDescent="0.35">
      <c r="A7180" s="34"/>
      <c r="B7180" s="35"/>
      <c r="C7180" s="36"/>
      <c r="D7180" s="37"/>
      <c r="E7180" s="36"/>
      <c r="F7180" s="42"/>
      <c r="G7180" s="42"/>
      <c r="H7180" s="42"/>
      <c r="AG7180" s="19">
        <v>7179</v>
      </c>
      <c r="AH7180" s="20">
        <v>259.46245349697199</v>
      </c>
    </row>
    <row r="7181" spans="1:34" ht="14.5" x14ac:dyDescent="0.35">
      <c r="A7181" s="34"/>
      <c r="B7181" s="35"/>
      <c r="C7181" s="36"/>
      <c r="D7181" s="37"/>
      <c r="E7181" s="36"/>
      <c r="F7181" s="42"/>
      <c r="G7181" s="42"/>
      <c r="H7181" s="42"/>
      <c r="AG7181" s="19">
        <v>7180</v>
      </c>
      <c r="AH7181" s="20">
        <v>2646.7899890033059</v>
      </c>
    </row>
    <row r="7182" spans="1:34" ht="14.5" x14ac:dyDescent="0.35">
      <c r="A7182" s="34"/>
      <c r="B7182" s="35"/>
      <c r="C7182" s="36"/>
      <c r="D7182" s="37"/>
      <c r="E7182" s="36"/>
      <c r="F7182" s="42"/>
      <c r="G7182" s="42"/>
      <c r="H7182" s="42"/>
      <c r="AG7182" s="19">
        <v>7181</v>
      </c>
      <c r="AH7182" s="20">
        <v>-520.85780532698891</v>
      </c>
    </row>
    <row r="7183" spans="1:34" ht="14.5" x14ac:dyDescent="0.35">
      <c r="A7183" s="34"/>
      <c r="B7183" s="35"/>
      <c r="C7183" s="36"/>
      <c r="D7183" s="37"/>
      <c r="E7183" s="36"/>
      <c r="F7183" s="42"/>
      <c r="G7183" s="42"/>
      <c r="H7183" s="42"/>
      <c r="AG7183" s="19">
        <v>7182</v>
      </c>
      <c r="AH7183" s="20">
        <v>1943.4350721385297</v>
      </c>
    </row>
    <row r="7184" spans="1:34" ht="14.5" x14ac:dyDescent="0.35">
      <c r="A7184" s="34"/>
      <c r="B7184" s="35"/>
      <c r="C7184" s="36"/>
      <c r="D7184" s="37"/>
      <c r="E7184" s="36"/>
      <c r="F7184" s="42"/>
      <c r="G7184" s="42"/>
      <c r="H7184" s="42"/>
      <c r="AG7184" s="19">
        <v>7183</v>
      </c>
      <c r="AH7184" s="20">
        <v>1474.9833588136505</v>
      </c>
    </row>
    <row r="7185" spans="1:34" ht="14.5" x14ac:dyDescent="0.35">
      <c r="A7185" s="34"/>
      <c r="B7185" s="35"/>
      <c r="C7185" s="36"/>
      <c r="D7185" s="37"/>
      <c r="E7185" s="36"/>
      <c r="F7185" s="42"/>
      <c r="G7185" s="42"/>
      <c r="H7185" s="42"/>
      <c r="AG7185" s="19">
        <v>7184</v>
      </c>
      <c r="AH7185" s="20">
        <v>-611.71641418164313</v>
      </c>
    </row>
    <row r="7186" spans="1:34" ht="14.5" x14ac:dyDescent="0.35">
      <c r="A7186" s="34"/>
      <c r="B7186" s="35"/>
      <c r="C7186" s="36"/>
      <c r="D7186" s="37"/>
      <c r="E7186" s="36"/>
      <c r="F7186" s="42"/>
      <c r="G7186" s="42"/>
      <c r="H7186" s="42"/>
      <c r="AG7186" s="19">
        <v>7185</v>
      </c>
      <c r="AH7186" s="20">
        <v>1255.5981631676743</v>
      </c>
    </row>
    <row r="7187" spans="1:34" ht="14.5" x14ac:dyDescent="0.35">
      <c r="A7187" s="34"/>
      <c r="B7187" s="35"/>
      <c r="C7187" s="36"/>
      <c r="D7187" s="37"/>
      <c r="E7187" s="36"/>
      <c r="F7187" s="42"/>
      <c r="G7187" s="42"/>
      <c r="H7187" s="42"/>
      <c r="AG7187" s="19">
        <v>7186</v>
      </c>
      <c r="AH7187" s="20">
        <v>3904.9337113544457</v>
      </c>
    </row>
    <row r="7188" spans="1:34" ht="14.5" x14ac:dyDescent="0.35">
      <c r="A7188" s="34"/>
      <c r="B7188" s="35"/>
      <c r="C7188" s="36"/>
      <c r="D7188" s="37"/>
      <c r="E7188" s="36"/>
      <c r="F7188" s="42"/>
      <c r="G7188" s="42"/>
      <c r="H7188" s="42"/>
      <c r="AG7188" s="19">
        <v>7187</v>
      </c>
      <c r="AH7188" s="20">
        <v>3157.2641803869046</v>
      </c>
    </row>
    <row r="7189" spans="1:34" ht="14.5" x14ac:dyDescent="0.35">
      <c r="A7189" s="34"/>
      <c r="B7189" s="35"/>
      <c r="C7189" s="36"/>
      <c r="D7189" s="37"/>
      <c r="E7189" s="36"/>
      <c r="F7189" s="42"/>
      <c r="G7189" s="42"/>
      <c r="H7189" s="42"/>
      <c r="AG7189" s="19">
        <v>7188</v>
      </c>
      <c r="AH7189" s="20">
        <v>-1571.7060688217589</v>
      </c>
    </row>
    <row r="7190" spans="1:34" ht="14.5" x14ac:dyDescent="0.35">
      <c r="A7190" s="34"/>
      <c r="B7190" s="35"/>
      <c r="C7190" s="36"/>
      <c r="D7190" s="37"/>
      <c r="E7190" s="36"/>
      <c r="F7190" s="42"/>
      <c r="G7190" s="42"/>
      <c r="H7190" s="42"/>
      <c r="AG7190" s="19">
        <v>7189</v>
      </c>
      <c r="AH7190" s="20">
        <v>-613.87812738887328</v>
      </c>
    </row>
    <row r="7191" spans="1:34" ht="14.5" x14ac:dyDescent="0.35">
      <c r="A7191" s="34"/>
      <c r="B7191" s="35"/>
      <c r="C7191" s="36"/>
      <c r="D7191" s="37"/>
      <c r="E7191" s="36"/>
      <c r="F7191" s="42"/>
      <c r="G7191" s="42"/>
      <c r="H7191" s="42"/>
      <c r="AG7191" s="19">
        <v>7190</v>
      </c>
      <c r="AH7191" s="20">
        <v>1152.9473474443741</v>
      </c>
    </row>
    <row r="7192" spans="1:34" ht="14.5" x14ac:dyDescent="0.35">
      <c r="A7192" s="34"/>
      <c r="B7192" s="35"/>
      <c r="C7192" s="36"/>
      <c r="D7192" s="37"/>
      <c r="E7192" s="36"/>
      <c r="F7192" s="42"/>
      <c r="G7192" s="42"/>
      <c r="H7192" s="42"/>
      <c r="AG7192" s="19">
        <v>7191</v>
      </c>
      <c r="AH7192" s="20">
        <v>448.70638282579768</v>
      </c>
    </row>
    <row r="7193" spans="1:34" ht="14.5" x14ac:dyDescent="0.35">
      <c r="A7193" s="34"/>
      <c r="B7193" s="35"/>
      <c r="C7193" s="36"/>
      <c r="D7193" s="37"/>
      <c r="E7193" s="36"/>
      <c r="F7193" s="42"/>
      <c r="G7193" s="42"/>
      <c r="H7193" s="42"/>
      <c r="AG7193" s="19">
        <v>7192</v>
      </c>
      <c r="AH7193" s="20">
        <v>1737.1435926045692</v>
      </c>
    </row>
    <row r="7194" spans="1:34" ht="14.5" x14ac:dyDescent="0.35">
      <c r="A7194" s="34"/>
      <c r="B7194" s="35"/>
      <c r="C7194" s="36"/>
      <c r="D7194" s="37"/>
      <c r="E7194" s="36"/>
      <c r="F7194" s="42"/>
      <c r="G7194" s="42"/>
      <c r="H7194" s="42"/>
      <c r="AG7194" s="19">
        <v>7193</v>
      </c>
      <c r="AH7194" s="20">
        <v>-2959.6125813549552</v>
      </c>
    </row>
    <row r="7195" spans="1:34" ht="14.5" x14ac:dyDescent="0.35">
      <c r="A7195" s="34"/>
      <c r="B7195" s="35"/>
      <c r="C7195" s="36"/>
      <c r="D7195" s="37"/>
      <c r="E7195" s="36"/>
      <c r="F7195" s="42"/>
      <c r="G7195" s="42"/>
      <c r="H7195" s="42"/>
      <c r="AG7195" s="19">
        <v>7194</v>
      </c>
      <c r="AH7195" s="20">
        <v>-839.54171504063743</v>
      </c>
    </row>
    <row r="7196" spans="1:34" ht="14.5" x14ac:dyDescent="0.35">
      <c r="A7196" s="34"/>
      <c r="B7196" s="35"/>
      <c r="C7196" s="36"/>
      <c r="D7196" s="37"/>
      <c r="E7196" s="36"/>
      <c r="F7196" s="42"/>
      <c r="G7196" s="42"/>
      <c r="H7196" s="42"/>
      <c r="AG7196" s="19">
        <v>7195</v>
      </c>
      <c r="AH7196" s="20">
        <v>1983.5179317624029</v>
      </c>
    </row>
    <row r="7197" spans="1:34" ht="14.5" x14ac:dyDescent="0.35">
      <c r="A7197" s="34"/>
      <c r="B7197" s="35"/>
      <c r="C7197" s="36"/>
      <c r="D7197" s="37"/>
      <c r="E7197" s="36"/>
      <c r="F7197" s="42"/>
      <c r="G7197" s="42"/>
      <c r="H7197" s="42"/>
      <c r="AG7197" s="19">
        <v>7196</v>
      </c>
      <c r="AH7197" s="20">
        <v>-2922.9803414180456</v>
      </c>
    </row>
    <row r="7198" spans="1:34" ht="14.5" x14ac:dyDescent="0.35">
      <c r="A7198" s="34"/>
      <c r="B7198" s="35"/>
      <c r="C7198" s="36"/>
      <c r="D7198" s="37"/>
      <c r="E7198" s="36"/>
      <c r="F7198" s="42"/>
      <c r="G7198" s="42"/>
      <c r="H7198" s="42"/>
      <c r="AG7198" s="19">
        <v>7197</v>
      </c>
      <c r="AH7198" s="20">
        <v>43.023866255975577</v>
      </c>
    </row>
    <row r="7199" spans="1:34" ht="14.5" x14ac:dyDescent="0.35">
      <c r="A7199" s="34"/>
      <c r="B7199" s="35"/>
      <c r="C7199" s="36"/>
      <c r="D7199" s="37"/>
      <c r="E7199" s="36"/>
      <c r="F7199" s="42"/>
      <c r="G7199" s="42"/>
      <c r="H7199" s="42"/>
      <c r="AG7199" s="19">
        <v>7198</v>
      </c>
      <c r="AH7199" s="20">
        <v>-467.96079690812115</v>
      </c>
    </row>
    <row r="7200" spans="1:34" ht="14.5" x14ac:dyDescent="0.35">
      <c r="A7200" s="34"/>
      <c r="B7200" s="35"/>
      <c r="C7200" s="36"/>
      <c r="D7200" s="37"/>
      <c r="E7200" s="36"/>
      <c r="F7200" s="42"/>
      <c r="G7200" s="42"/>
      <c r="H7200" s="42"/>
      <c r="AG7200" s="19">
        <v>7199</v>
      </c>
      <c r="AH7200" s="20">
        <v>-317.33342456442023</v>
      </c>
    </row>
    <row r="7201" spans="1:34" ht="14.5" x14ac:dyDescent="0.35">
      <c r="A7201" s="34"/>
      <c r="B7201" s="35"/>
      <c r="C7201" s="36"/>
      <c r="D7201" s="37"/>
      <c r="E7201" s="36"/>
      <c r="F7201" s="42"/>
      <c r="G7201" s="42"/>
      <c r="H7201" s="42"/>
      <c r="AG7201" s="19">
        <v>7200</v>
      </c>
      <c r="AH7201" s="20">
        <v>997.0366711624672</v>
      </c>
    </row>
    <row r="7202" spans="1:34" ht="14.5" x14ac:dyDescent="0.35">
      <c r="A7202" s="34"/>
      <c r="B7202" s="35"/>
      <c r="C7202" s="36"/>
      <c r="D7202" s="37"/>
      <c r="E7202" s="36"/>
      <c r="F7202" s="42"/>
      <c r="G7202" s="42"/>
      <c r="H7202" s="42"/>
      <c r="AG7202" s="19">
        <v>7201</v>
      </c>
      <c r="AH7202" s="20">
        <v>-2625.6170601453241</v>
      </c>
    </row>
    <row r="7203" spans="1:34" ht="14.5" x14ac:dyDescent="0.35">
      <c r="A7203" s="34"/>
      <c r="B7203" s="35"/>
      <c r="C7203" s="36"/>
      <c r="D7203" s="37"/>
      <c r="E7203" s="36"/>
      <c r="F7203" s="42"/>
      <c r="G7203" s="42"/>
      <c r="H7203" s="42"/>
      <c r="AG7203" s="19">
        <v>7202</v>
      </c>
      <c r="AH7203" s="20">
        <v>-537.92661835901185</v>
      </c>
    </row>
    <row r="7204" spans="1:34" ht="14.5" x14ac:dyDescent="0.35">
      <c r="A7204" s="34"/>
      <c r="B7204" s="35"/>
      <c r="C7204" s="36"/>
      <c r="D7204" s="37"/>
      <c r="E7204" s="36"/>
      <c r="F7204" s="42"/>
      <c r="G7204" s="42"/>
      <c r="H7204" s="42"/>
      <c r="AG7204" s="19">
        <v>7203</v>
      </c>
      <c r="AH7204" s="20">
        <v>-127.70692127824231</v>
      </c>
    </row>
    <row r="7205" spans="1:34" ht="14.5" x14ac:dyDescent="0.35">
      <c r="A7205" s="34"/>
      <c r="B7205" s="35"/>
      <c r="C7205" s="36"/>
      <c r="D7205" s="37"/>
      <c r="E7205" s="36"/>
      <c r="F7205" s="42"/>
      <c r="G7205" s="42"/>
      <c r="H7205" s="42"/>
      <c r="AG7205" s="19">
        <v>7204</v>
      </c>
      <c r="AH7205" s="20">
        <v>360.60177705352839</v>
      </c>
    </row>
    <row r="7206" spans="1:34" ht="14.5" x14ac:dyDescent="0.35">
      <c r="A7206" s="34"/>
      <c r="B7206" s="35"/>
      <c r="C7206" s="36"/>
      <c r="D7206" s="37"/>
      <c r="E7206" s="36"/>
      <c r="F7206" s="42"/>
      <c r="G7206" s="42"/>
      <c r="H7206" s="42"/>
      <c r="AG7206" s="19">
        <v>7205</v>
      </c>
      <c r="AH7206" s="20">
        <v>-606.57324359145582</v>
      </c>
    </row>
    <row r="7207" spans="1:34" ht="14.5" x14ac:dyDescent="0.35">
      <c r="A7207" s="34"/>
      <c r="B7207" s="35"/>
      <c r="C7207" s="36"/>
      <c r="D7207" s="37"/>
      <c r="E7207" s="36"/>
      <c r="F7207" s="42"/>
      <c r="G7207" s="42"/>
      <c r="H7207" s="42"/>
      <c r="AG7207" s="19">
        <v>7206</v>
      </c>
      <c r="AH7207" s="20">
        <v>-2748.3991006472679</v>
      </c>
    </row>
    <row r="7208" spans="1:34" ht="14.5" x14ac:dyDescent="0.35">
      <c r="A7208" s="34"/>
      <c r="B7208" s="35"/>
      <c r="C7208" s="36"/>
      <c r="D7208" s="37"/>
      <c r="E7208" s="36"/>
      <c r="F7208" s="42"/>
      <c r="G7208" s="42"/>
      <c r="H7208" s="42"/>
      <c r="AG7208" s="19">
        <v>7207</v>
      </c>
      <c r="AH7208" s="20">
        <v>684.39450869807126</v>
      </c>
    </row>
    <row r="7209" spans="1:34" ht="14.5" x14ac:dyDescent="0.35">
      <c r="A7209" s="34"/>
      <c r="B7209" s="35"/>
      <c r="C7209" s="36"/>
      <c r="D7209" s="37"/>
      <c r="E7209" s="36"/>
      <c r="F7209" s="42"/>
      <c r="G7209" s="42"/>
      <c r="H7209" s="42"/>
      <c r="AG7209" s="19">
        <v>7208</v>
      </c>
      <c r="AH7209" s="20">
        <v>-2771.1714125171811</v>
      </c>
    </row>
    <row r="7210" spans="1:34" ht="14.5" x14ac:dyDescent="0.35">
      <c r="A7210" s="34"/>
      <c r="B7210" s="35"/>
      <c r="C7210" s="36"/>
      <c r="D7210" s="37"/>
      <c r="E7210" s="36"/>
      <c r="F7210" s="42"/>
      <c r="G7210" s="42"/>
      <c r="H7210" s="42"/>
      <c r="AG7210" s="19">
        <v>7209</v>
      </c>
      <c r="AH7210" s="20">
        <v>2980.6156486307259</v>
      </c>
    </row>
    <row r="7211" spans="1:34" ht="14.5" x14ac:dyDescent="0.35">
      <c r="A7211" s="34"/>
      <c r="B7211" s="35"/>
      <c r="C7211" s="36"/>
      <c r="D7211" s="37"/>
      <c r="E7211" s="36"/>
      <c r="F7211" s="42"/>
      <c r="G7211" s="42"/>
      <c r="H7211" s="42"/>
      <c r="AG7211" s="19">
        <v>7210</v>
      </c>
      <c r="AH7211" s="20">
        <v>-3427.8581475620517</v>
      </c>
    </row>
    <row r="7212" spans="1:34" ht="14.5" x14ac:dyDescent="0.35">
      <c r="A7212" s="34"/>
      <c r="B7212" s="35"/>
      <c r="C7212" s="36"/>
      <c r="D7212" s="37"/>
      <c r="E7212" s="36"/>
      <c r="F7212" s="42"/>
      <c r="G7212" s="42"/>
      <c r="H7212" s="42"/>
      <c r="AG7212" s="19">
        <v>7211</v>
      </c>
      <c r="AH7212" s="20">
        <v>-3408.5748594955894</v>
      </c>
    </row>
    <row r="7213" spans="1:34" ht="14.5" x14ac:dyDescent="0.35">
      <c r="A7213" s="34"/>
      <c r="B7213" s="35"/>
      <c r="C7213" s="36"/>
      <c r="D7213" s="37"/>
      <c r="E7213" s="36"/>
      <c r="F7213" s="42"/>
      <c r="G7213" s="42"/>
      <c r="H7213" s="42"/>
      <c r="AG7213" s="19">
        <v>7212</v>
      </c>
      <c r="AH7213" s="20">
        <v>2093.9288033898169</v>
      </c>
    </row>
    <row r="7214" spans="1:34" ht="14.5" x14ac:dyDescent="0.35">
      <c r="A7214" s="34"/>
      <c r="B7214" s="35"/>
      <c r="C7214" s="36"/>
      <c r="D7214" s="37"/>
      <c r="E7214" s="36"/>
      <c r="F7214" s="42"/>
      <c r="G7214" s="42"/>
      <c r="H7214" s="42"/>
      <c r="AG7214" s="19">
        <v>7213</v>
      </c>
      <c r="AH7214" s="20">
        <v>-2950.2095748280208</v>
      </c>
    </row>
    <row r="7215" spans="1:34" ht="14.5" x14ac:dyDescent="0.35">
      <c r="A7215" s="34"/>
      <c r="B7215" s="35"/>
      <c r="C7215" s="36"/>
      <c r="D7215" s="37"/>
      <c r="E7215" s="36"/>
      <c r="F7215" s="42"/>
      <c r="G7215" s="42"/>
      <c r="H7215" s="42"/>
      <c r="AG7215" s="19">
        <v>7214</v>
      </c>
      <c r="AH7215" s="20">
        <v>1454.1508471359191</v>
      </c>
    </row>
    <row r="7216" spans="1:34" ht="14.5" x14ac:dyDescent="0.35">
      <c r="A7216" s="34"/>
      <c r="B7216" s="35"/>
      <c r="C7216" s="36"/>
      <c r="D7216" s="37"/>
      <c r="E7216" s="36"/>
      <c r="F7216" s="42"/>
      <c r="G7216" s="42"/>
      <c r="H7216" s="42"/>
      <c r="AG7216" s="19">
        <v>7215</v>
      </c>
      <c r="AH7216" s="20">
        <v>869.61693283834518</v>
      </c>
    </row>
    <row r="7217" spans="1:34" ht="14.5" x14ac:dyDescent="0.35">
      <c r="A7217" s="34"/>
      <c r="B7217" s="35"/>
      <c r="C7217" s="36"/>
      <c r="D7217" s="37"/>
      <c r="E7217" s="36"/>
      <c r="F7217" s="42"/>
      <c r="G7217" s="42"/>
      <c r="H7217" s="42"/>
      <c r="AG7217" s="19">
        <v>7216</v>
      </c>
      <c r="AH7217" s="20">
        <v>-1619.9411462290898</v>
      </c>
    </row>
    <row r="7218" spans="1:34" ht="14.5" x14ac:dyDescent="0.35">
      <c r="A7218" s="34"/>
      <c r="B7218" s="35"/>
      <c r="C7218" s="36"/>
      <c r="D7218" s="37"/>
      <c r="E7218" s="36"/>
      <c r="F7218" s="42"/>
      <c r="G7218" s="42"/>
      <c r="H7218" s="42"/>
      <c r="AG7218" s="19">
        <v>7217</v>
      </c>
      <c r="AH7218" s="20">
        <v>-2307.510735000154</v>
      </c>
    </row>
    <row r="7219" spans="1:34" ht="14.5" x14ac:dyDescent="0.35">
      <c r="A7219" s="34"/>
      <c r="B7219" s="35"/>
      <c r="C7219" s="36"/>
      <c r="D7219" s="37"/>
      <c r="E7219" s="36"/>
      <c r="F7219" s="42"/>
      <c r="G7219" s="42"/>
      <c r="H7219" s="42"/>
      <c r="AG7219" s="19">
        <v>7218</v>
      </c>
      <c r="AH7219" s="20">
        <v>-1038.9187497997848</v>
      </c>
    </row>
    <row r="7220" spans="1:34" ht="14.5" x14ac:dyDescent="0.35">
      <c r="A7220" s="34"/>
      <c r="B7220" s="35"/>
      <c r="C7220" s="36"/>
      <c r="D7220" s="37"/>
      <c r="E7220" s="36"/>
      <c r="F7220" s="42"/>
      <c r="G7220" s="42"/>
      <c r="H7220" s="42"/>
      <c r="AG7220" s="19">
        <v>7219</v>
      </c>
      <c r="AH7220" s="20">
        <v>1108.0161945769551</v>
      </c>
    </row>
    <row r="7221" spans="1:34" ht="14.5" x14ac:dyDescent="0.35">
      <c r="A7221" s="34"/>
      <c r="B7221" s="35"/>
      <c r="C7221" s="36"/>
      <c r="D7221" s="37"/>
      <c r="E7221" s="36"/>
      <c r="F7221" s="42"/>
      <c r="G7221" s="42"/>
      <c r="H7221" s="42"/>
      <c r="AG7221" s="19">
        <v>7220</v>
      </c>
      <c r="AH7221" s="20">
        <v>3684.2057084949356</v>
      </c>
    </row>
    <row r="7222" spans="1:34" ht="14.5" x14ac:dyDescent="0.35">
      <c r="A7222" s="34"/>
      <c r="B7222" s="35"/>
      <c r="C7222" s="36"/>
      <c r="D7222" s="37"/>
      <c r="E7222" s="36"/>
      <c r="F7222" s="42"/>
      <c r="G7222" s="42"/>
      <c r="H7222" s="42"/>
      <c r="AG7222" s="19">
        <v>7221</v>
      </c>
      <c r="AH7222" s="20">
        <v>-4561.8356697426761</v>
      </c>
    </row>
    <row r="7223" spans="1:34" ht="14.5" x14ac:dyDescent="0.35">
      <c r="A7223" s="34"/>
      <c r="B7223" s="35"/>
      <c r="C7223" s="36"/>
      <c r="D7223" s="37"/>
      <c r="E7223" s="36"/>
      <c r="F7223" s="42"/>
      <c r="G7223" s="42"/>
      <c r="H7223" s="42"/>
      <c r="AG7223" s="19">
        <v>7222</v>
      </c>
      <c r="AH7223" s="20">
        <v>1332.6825864922703</v>
      </c>
    </row>
    <row r="7224" spans="1:34" ht="14.5" x14ac:dyDescent="0.35">
      <c r="A7224" s="34"/>
      <c r="B7224" s="35"/>
      <c r="C7224" s="36"/>
      <c r="D7224" s="37"/>
      <c r="E7224" s="36"/>
      <c r="F7224" s="42"/>
      <c r="G7224" s="42"/>
      <c r="H7224" s="42"/>
      <c r="AG7224" s="19">
        <v>7223</v>
      </c>
      <c r="AH7224" s="20">
        <v>1199.7176123811917</v>
      </c>
    </row>
    <row r="7225" spans="1:34" ht="14.5" x14ac:dyDescent="0.35">
      <c r="A7225" s="34"/>
      <c r="B7225" s="35"/>
      <c r="C7225" s="36"/>
      <c r="D7225" s="37"/>
      <c r="E7225" s="36"/>
      <c r="F7225" s="42"/>
      <c r="G7225" s="42"/>
      <c r="H7225" s="42"/>
      <c r="AG7225" s="19">
        <v>7224</v>
      </c>
      <c r="AH7225" s="20">
        <v>176.74147522658282</v>
      </c>
    </row>
    <row r="7226" spans="1:34" ht="14.5" x14ac:dyDescent="0.35">
      <c r="A7226" s="34"/>
      <c r="B7226" s="35"/>
      <c r="C7226" s="36"/>
      <c r="D7226" s="37"/>
      <c r="E7226" s="36"/>
      <c r="F7226" s="42"/>
      <c r="G7226" s="42"/>
      <c r="H7226" s="42"/>
      <c r="AG7226" s="19">
        <v>7225</v>
      </c>
      <c r="AH7226" s="20">
        <v>-402.20339085184315</v>
      </c>
    </row>
    <row r="7227" spans="1:34" ht="14.5" x14ac:dyDescent="0.35">
      <c r="A7227" s="34"/>
      <c r="B7227" s="35"/>
      <c r="C7227" s="36"/>
      <c r="D7227" s="37"/>
      <c r="E7227" s="36"/>
      <c r="F7227" s="42"/>
      <c r="G7227" s="42"/>
      <c r="H7227" s="42"/>
      <c r="AG7227" s="19">
        <v>7226</v>
      </c>
      <c r="AH7227" s="20">
        <v>397.70738991238755</v>
      </c>
    </row>
    <row r="7228" spans="1:34" ht="14.5" x14ac:dyDescent="0.35">
      <c r="A7228" s="34"/>
      <c r="B7228" s="35"/>
      <c r="C7228" s="36"/>
      <c r="D7228" s="37"/>
      <c r="E7228" s="36"/>
      <c r="F7228" s="42"/>
      <c r="G7228" s="42"/>
      <c r="H7228" s="42"/>
      <c r="AG7228" s="19">
        <v>7227</v>
      </c>
      <c r="AH7228" s="20">
        <v>-732.42301466688173</v>
      </c>
    </row>
    <row r="7229" spans="1:34" ht="14.5" x14ac:dyDescent="0.35">
      <c r="A7229" s="34"/>
      <c r="B7229" s="35"/>
      <c r="C7229" s="36"/>
      <c r="D7229" s="37"/>
      <c r="E7229" s="36"/>
      <c r="F7229" s="42"/>
      <c r="G7229" s="42"/>
      <c r="H7229" s="42"/>
      <c r="AG7229" s="19">
        <v>7228</v>
      </c>
      <c r="AH7229" s="20">
        <v>-49.995866049242863</v>
      </c>
    </row>
    <row r="7230" spans="1:34" ht="14.5" x14ac:dyDescent="0.35">
      <c r="A7230" s="34"/>
      <c r="B7230" s="35"/>
      <c r="C7230" s="36"/>
      <c r="D7230" s="37"/>
      <c r="E7230" s="36"/>
      <c r="F7230" s="42"/>
      <c r="G7230" s="42"/>
      <c r="H7230" s="42"/>
      <c r="AG7230" s="19">
        <v>7229</v>
      </c>
      <c r="AH7230" s="20">
        <v>-566.78675533462183</v>
      </c>
    </row>
    <row r="7231" spans="1:34" ht="14.5" x14ac:dyDescent="0.35">
      <c r="A7231" s="34"/>
      <c r="B7231" s="35"/>
      <c r="C7231" s="36"/>
      <c r="D7231" s="37"/>
      <c r="E7231" s="36"/>
      <c r="F7231" s="42"/>
      <c r="G7231" s="42"/>
      <c r="H7231" s="42"/>
      <c r="AG7231" s="19">
        <v>7230</v>
      </c>
      <c r="AH7231" s="20">
        <v>1816.164584900818</v>
      </c>
    </row>
    <row r="7232" spans="1:34" ht="14.5" x14ac:dyDescent="0.35">
      <c r="A7232" s="34"/>
      <c r="B7232" s="35"/>
      <c r="C7232" s="36"/>
      <c r="D7232" s="37"/>
      <c r="E7232" s="36"/>
      <c r="F7232" s="42"/>
      <c r="G7232" s="42"/>
      <c r="H7232" s="42"/>
      <c r="AG7232" s="19">
        <v>7231</v>
      </c>
      <c r="AH7232" s="20">
        <v>-847.02160428815409</v>
      </c>
    </row>
    <row r="7233" spans="1:34" ht="14.5" x14ac:dyDescent="0.35">
      <c r="A7233" s="34"/>
      <c r="B7233" s="35"/>
      <c r="C7233" s="36"/>
      <c r="D7233" s="37"/>
      <c r="E7233" s="36"/>
      <c r="F7233" s="42"/>
      <c r="G7233" s="42"/>
      <c r="H7233" s="42"/>
      <c r="AG7233" s="19">
        <v>7232</v>
      </c>
      <c r="AH7233" s="20">
        <v>-2884.5259675415446</v>
      </c>
    </row>
    <row r="7234" spans="1:34" ht="14.5" x14ac:dyDescent="0.35">
      <c r="A7234" s="34"/>
      <c r="B7234" s="35"/>
      <c r="C7234" s="36"/>
      <c r="D7234" s="37"/>
      <c r="E7234" s="36"/>
      <c r="F7234" s="42"/>
      <c r="G7234" s="42"/>
      <c r="H7234" s="42"/>
      <c r="AG7234" s="19">
        <v>7233</v>
      </c>
      <c r="AH7234" s="20">
        <v>1173.0881702633101</v>
      </c>
    </row>
    <row r="7235" spans="1:34" ht="14.5" x14ac:dyDescent="0.35">
      <c r="A7235" s="34"/>
      <c r="B7235" s="35"/>
      <c r="C7235" s="36"/>
      <c r="D7235" s="37"/>
      <c r="E7235" s="36"/>
      <c r="F7235" s="42"/>
      <c r="G7235" s="42"/>
      <c r="H7235" s="42"/>
      <c r="AG7235" s="19">
        <v>7234</v>
      </c>
      <c r="AH7235" s="20">
        <v>-1925.3971161449365</v>
      </c>
    </row>
    <row r="7236" spans="1:34" ht="14.5" x14ac:dyDescent="0.35">
      <c r="A7236" s="34"/>
      <c r="B7236" s="35"/>
      <c r="C7236" s="36"/>
      <c r="D7236" s="37"/>
      <c r="E7236" s="36"/>
      <c r="F7236" s="42"/>
      <c r="G7236" s="42"/>
      <c r="H7236" s="42"/>
      <c r="AG7236" s="19">
        <v>7235</v>
      </c>
      <c r="AH7236" s="20">
        <v>-1316.9325574386303</v>
      </c>
    </row>
    <row r="7237" spans="1:34" ht="14.5" x14ac:dyDescent="0.35">
      <c r="A7237" s="34"/>
      <c r="B7237" s="35"/>
      <c r="C7237" s="36"/>
      <c r="D7237" s="37"/>
      <c r="E7237" s="36"/>
      <c r="F7237" s="42"/>
      <c r="G7237" s="42"/>
      <c r="H7237" s="42"/>
      <c r="AG7237" s="19">
        <v>7236</v>
      </c>
      <c r="AH7237" s="20">
        <v>177.75820384244463</v>
      </c>
    </row>
    <row r="7238" spans="1:34" ht="14.5" x14ac:dyDescent="0.35">
      <c r="A7238" s="34"/>
      <c r="B7238" s="35"/>
      <c r="C7238" s="36"/>
      <c r="D7238" s="37"/>
      <c r="E7238" s="36"/>
      <c r="F7238" s="42"/>
      <c r="G7238" s="42"/>
      <c r="H7238" s="42"/>
      <c r="AG7238" s="19">
        <v>7237</v>
      </c>
      <c r="AH7238" s="20">
        <v>-2284.1412062385839</v>
      </c>
    </row>
    <row r="7239" spans="1:34" ht="14.5" x14ac:dyDescent="0.35">
      <c r="A7239" s="34"/>
      <c r="B7239" s="35"/>
      <c r="C7239" s="36"/>
      <c r="D7239" s="37"/>
      <c r="E7239" s="36"/>
      <c r="F7239" s="42"/>
      <c r="G7239" s="42"/>
      <c r="H7239" s="42"/>
      <c r="AG7239" s="19">
        <v>7238</v>
      </c>
      <c r="AH7239" s="20">
        <v>-2204.4734637134015</v>
      </c>
    </row>
    <row r="7240" spans="1:34" ht="14.5" x14ac:dyDescent="0.35">
      <c r="A7240" s="34"/>
      <c r="B7240" s="35"/>
      <c r="C7240" s="36"/>
      <c r="D7240" s="37"/>
      <c r="E7240" s="36"/>
      <c r="F7240" s="42"/>
      <c r="G7240" s="42"/>
      <c r="H7240" s="42"/>
      <c r="AG7240" s="19">
        <v>7239</v>
      </c>
      <c r="AH7240" s="20">
        <v>-238.81082335657783</v>
      </c>
    </row>
    <row r="7241" spans="1:34" ht="14.5" x14ac:dyDescent="0.35">
      <c r="A7241" s="34"/>
      <c r="B7241" s="35"/>
      <c r="C7241" s="36"/>
      <c r="D7241" s="37"/>
      <c r="E7241" s="36"/>
      <c r="F7241" s="42"/>
      <c r="G7241" s="42"/>
      <c r="H7241" s="42"/>
      <c r="AG7241" s="19">
        <v>7240</v>
      </c>
      <c r="AH7241" s="20">
        <v>1654.2054611335002</v>
      </c>
    </row>
    <row r="7242" spans="1:34" ht="14.5" x14ac:dyDescent="0.35">
      <c r="A7242" s="34"/>
      <c r="B7242" s="35"/>
      <c r="C7242" s="36"/>
      <c r="D7242" s="37"/>
      <c r="E7242" s="36"/>
      <c r="F7242" s="42"/>
      <c r="G7242" s="42"/>
      <c r="H7242" s="42"/>
      <c r="AG7242" s="19">
        <v>7241</v>
      </c>
      <c r="AH7242" s="20">
        <v>-920.7977952928743</v>
      </c>
    </row>
    <row r="7243" spans="1:34" ht="14.5" x14ac:dyDescent="0.35">
      <c r="A7243" s="34"/>
      <c r="B7243" s="35"/>
      <c r="C7243" s="36"/>
      <c r="D7243" s="37"/>
      <c r="E7243" s="36"/>
      <c r="F7243" s="42"/>
      <c r="G7243" s="42"/>
      <c r="H7243" s="42"/>
      <c r="AG7243" s="19">
        <v>7242</v>
      </c>
      <c r="AH7243" s="20">
        <v>-1537.3182805782494</v>
      </c>
    </row>
    <row r="7244" spans="1:34" ht="14.5" x14ac:dyDescent="0.35">
      <c r="A7244" s="34"/>
      <c r="B7244" s="35"/>
      <c r="C7244" s="36"/>
      <c r="D7244" s="37"/>
      <c r="E7244" s="36"/>
      <c r="F7244" s="42"/>
      <c r="G7244" s="42"/>
      <c r="H7244" s="42"/>
      <c r="AG7244" s="19">
        <v>7243</v>
      </c>
      <c r="AH7244" s="20">
        <v>-2461.0976543635807</v>
      </c>
    </row>
    <row r="7245" spans="1:34" ht="14.5" x14ac:dyDescent="0.35">
      <c r="A7245" s="34"/>
      <c r="B7245" s="35"/>
      <c r="C7245" s="36"/>
      <c r="D7245" s="37"/>
      <c r="E7245" s="36"/>
      <c r="F7245" s="42"/>
      <c r="G7245" s="42"/>
      <c r="H7245" s="42"/>
      <c r="AG7245" s="19">
        <v>7244</v>
      </c>
      <c r="AH7245" s="20">
        <v>1459.6951118098796</v>
      </c>
    </row>
    <row r="7246" spans="1:34" ht="14.5" x14ac:dyDescent="0.35">
      <c r="A7246" s="34"/>
      <c r="B7246" s="35"/>
      <c r="C7246" s="36"/>
      <c r="D7246" s="37"/>
      <c r="E7246" s="36"/>
      <c r="F7246" s="42"/>
      <c r="G7246" s="42"/>
      <c r="H7246" s="42"/>
      <c r="AG7246" s="19">
        <v>7245</v>
      </c>
      <c r="AH7246" s="20">
        <v>-748.61778044430389</v>
      </c>
    </row>
    <row r="7247" spans="1:34" ht="14.5" x14ac:dyDescent="0.35">
      <c r="A7247" s="34"/>
      <c r="B7247" s="35"/>
      <c r="C7247" s="36"/>
      <c r="D7247" s="37"/>
      <c r="E7247" s="36"/>
      <c r="F7247" s="42"/>
      <c r="G7247" s="42"/>
      <c r="H7247" s="42"/>
      <c r="AG7247" s="19">
        <v>7246</v>
      </c>
      <c r="AH7247" s="20">
        <v>1615.6443708171957</v>
      </c>
    </row>
    <row r="7248" spans="1:34" ht="14.5" x14ac:dyDescent="0.35">
      <c r="A7248" s="34"/>
      <c r="B7248" s="35"/>
      <c r="C7248" s="36"/>
      <c r="D7248" s="37"/>
      <c r="E7248" s="36"/>
      <c r="F7248" s="42"/>
      <c r="G7248" s="42"/>
      <c r="H7248" s="42"/>
      <c r="AG7248" s="19">
        <v>7247</v>
      </c>
      <c r="AH7248" s="20">
        <v>1337.6285998940307</v>
      </c>
    </row>
    <row r="7249" spans="1:34" ht="14.5" x14ac:dyDescent="0.35">
      <c r="A7249" s="34"/>
      <c r="B7249" s="35"/>
      <c r="C7249" s="36"/>
      <c r="D7249" s="37"/>
      <c r="E7249" s="36"/>
      <c r="F7249" s="42"/>
      <c r="G7249" s="42"/>
      <c r="H7249" s="42"/>
      <c r="AG7249" s="19">
        <v>7248</v>
      </c>
      <c r="AH7249" s="20">
        <v>-948.6312345054921</v>
      </c>
    </row>
    <row r="7250" spans="1:34" ht="14.5" x14ac:dyDescent="0.35">
      <c r="A7250" s="34"/>
      <c r="B7250" s="35"/>
      <c r="C7250" s="36"/>
      <c r="D7250" s="37"/>
      <c r="E7250" s="36"/>
      <c r="F7250" s="42"/>
      <c r="G7250" s="42"/>
      <c r="H7250" s="42"/>
      <c r="AG7250" s="19">
        <v>7249</v>
      </c>
      <c r="AH7250" s="20">
        <v>-630.44816221650467</v>
      </c>
    </row>
    <row r="7251" spans="1:34" ht="14.5" x14ac:dyDescent="0.35">
      <c r="A7251" s="34"/>
      <c r="B7251" s="35"/>
      <c r="C7251" s="36"/>
      <c r="D7251" s="37"/>
      <c r="E7251" s="36"/>
      <c r="F7251" s="42"/>
      <c r="G7251" s="42"/>
      <c r="H7251" s="42"/>
      <c r="AG7251" s="19">
        <v>7250</v>
      </c>
      <c r="AH7251" s="20">
        <v>-1463.8907243754029</v>
      </c>
    </row>
    <row r="7252" spans="1:34" ht="14.5" x14ac:dyDescent="0.35">
      <c r="A7252" s="34"/>
      <c r="B7252" s="35"/>
      <c r="C7252" s="36"/>
      <c r="D7252" s="37"/>
      <c r="E7252" s="36"/>
      <c r="F7252" s="42"/>
      <c r="G7252" s="42"/>
      <c r="H7252" s="42"/>
      <c r="AG7252" s="19">
        <v>7251</v>
      </c>
      <c r="AH7252" s="20">
        <v>-5212.997588169439</v>
      </c>
    </row>
    <row r="7253" spans="1:34" ht="14.5" x14ac:dyDescent="0.35">
      <c r="A7253" s="34"/>
      <c r="B7253" s="35"/>
      <c r="C7253" s="36"/>
      <c r="D7253" s="37"/>
      <c r="E7253" s="36"/>
      <c r="F7253" s="42"/>
      <c r="G7253" s="42"/>
      <c r="H7253" s="42"/>
      <c r="AG7253" s="19">
        <v>7252</v>
      </c>
      <c r="AH7253" s="20">
        <v>2149.8443246727857</v>
      </c>
    </row>
    <row r="7254" spans="1:34" ht="14.5" x14ac:dyDescent="0.35">
      <c r="A7254" s="34"/>
      <c r="B7254" s="35"/>
      <c r="C7254" s="36"/>
      <c r="D7254" s="37"/>
      <c r="E7254" s="36"/>
      <c r="F7254" s="42"/>
      <c r="G7254" s="42"/>
      <c r="H7254" s="42"/>
      <c r="AG7254" s="19">
        <v>7253</v>
      </c>
      <c r="AH7254" s="20">
        <v>2193.1285200119992</v>
      </c>
    </row>
    <row r="7255" spans="1:34" ht="14.5" x14ac:dyDescent="0.35">
      <c r="A7255" s="34"/>
      <c r="B7255" s="35"/>
      <c r="C7255" s="36"/>
      <c r="D7255" s="37"/>
      <c r="E7255" s="36"/>
      <c r="F7255" s="42"/>
      <c r="G7255" s="42"/>
      <c r="H7255" s="42"/>
      <c r="AG7255" s="19">
        <v>7254</v>
      </c>
      <c r="AH7255" s="20">
        <v>-2272.4801264717289</v>
      </c>
    </row>
    <row r="7256" spans="1:34" ht="14.5" x14ac:dyDescent="0.35">
      <c r="A7256" s="34"/>
      <c r="B7256" s="35"/>
      <c r="C7256" s="36"/>
      <c r="D7256" s="37"/>
      <c r="E7256" s="36"/>
      <c r="F7256" s="42"/>
      <c r="G7256" s="42"/>
      <c r="H7256" s="42"/>
      <c r="AG7256" s="19">
        <v>7255</v>
      </c>
      <c r="AH7256" s="20">
        <v>204.24781958437032</v>
      </c>
    </row>
    <row r="7257" spans="1:34" ht="14.5" x14ac:dyDescent="0.35">
      <c r="A7257" s="34"/>
      <c r="B7257" s="35"/>
      <c r="C7257" s="36"/>
      <c r="D7257" s="37"/>
      <c r="E7257" s="36"/>
      <c r="F7257" s="42"/>
      <c r="G7257" s="42"/>
      <c r="H7257" s="42"/>
      <c r="AG7257" s="19">
        <v>7256</v>
      </c>
      <c r="AH7257" s="20">
        <v>3327.4909325758463</v>
      </c>
    </row>
    <row r="7258" spans="1:34" ht="14.5" x14ac:dyDescent="0.35">
      <c r="A7258" s="34"/>
      <c r="B7258" s="35"/>
      <c r="C7258" s="36"/>
      <c r="D7258" s="37"/>
      <c r="E7258" s="36"/>
      <c r="F7258" s="42"/>
      <c r="G7258" s="42"/>
      <c r="H7258" s="42"/>
      <c r="AG7258" s="19">
        <v>7257</v>
      </c>
      <c r="AH7258" s="20">
        <v>-2280.5360095096557</v>
      </c>
    </row>
    <row r="7259" spans="1:34" ht="14.5" x14ac:dyDescent="0.35">
      <c r="A7259" s="34"/>
      <c r="B7259" s="35"/>
      <c r="C7259" s="36"/>
      <c r="D7259" s="37"/>
      <c r="E7259" s="36"/>
      <c r="F7259" s="42"/>
      <c r="G7259" s="42"/>
      <c r="H7259" s="42"/>
      <c r="AG7259" s="19">
        <v>7258</v>
      </c>
      <c r="AH7259" s="20">
        <v>3990.8431298507739</v>
      </c>
    </row>
    <row r="7260" spans="1:34" ht="14.5" x14ac:dyDescent="0.35">
      <c r="A7260" s="34"/>
      <c r="B7260" s="35"/>
      <c r="C7260" s="36"/>
      <c r="D7260" s="37"/>
      <c r="E7260" s="36"/>
      <c r="F7260" s="42"/>
      <c r="G7260" s="42"/>
      <c r="H7260" s="42"/>
      <c r="AG7260" s="19">
        <v>7259</v>
      </c>
      <c r="AH7260" s="20">
        <v>2744.9371152901722</v>
      </c>
    </row>
    <row r="7261" spans="1:34" ht="14.5" x14ac:dyDescent="0.35">
      <c r="A7261" s="34"/>
      <c r="B7261" s="35"/>
      <c r="C7261" s="36"/>
      <c r="D7261" s="37"/>
      <c r="E7261" s="36"/>
      <c r="F7261" s="42"/>
      <c r="G7261" s="42"/>
      <c r="H7261" s="42"/>
      <c r="AG7261" s="19">
        <v>7260</v>
      </c>
      <c r="AH7261" s="20">
        <v>132.33429825891255</v>
      </c>
    </row>
    <row r="7262" spans="1:34" ht="14.5" x14ac:dyDescent="0.35">
      <c r="A7262" s="34"/>
      <c r="B7262" s="35"/>
      <c r="C7262" s="36"/>
      <c r="D7262" s="37"/>
      <c r="E7262" s="36"/>
      <c r="F7262" s="42"/>
      <c r="G7262" s="42"/>
      <c r="H7262" s="42"/>
      <c r="AG7262" s="19">
        <v>7261</v>
      </c>
      <c r="AH7262" s="20">
        <v>2729.0207128167954</v>
      </c>
    </row>
    <row r="7263" spans="1:34" ht="14.5" x14ac:dyDescent="0.35">
      <c r="A7263" s="34"/>
      <c r="B7263" s="35"/>
      <c r="C7263" s="36"/>
      <c r="D7263" s="37"/>
      <c r="E7263" s="36"/>
      <c r="F7263" s="42"/>
      <c r="G7263" s="42"/>
      <c r="H7263" s="42"/>
      <c r="AG7263" s="19">
        <v>7262</v>
      </c>
      <c r="AH7263" s="20">
        <v>484.69158554608765</v>
      </c>
    </row>
    <row r="7264" spans="1:34" ht="14.5" x14ac:dyDescent="0.35">
      <c r="A7264" s="34"/>
      <c r="B7264" s="35"/>
      <c r="C7264" s="36"/>
      <c r="D7264" s="37"/>
      <c r="E7264" s="36"/>
      <c r="F7264" s="42"/>
      <c r="G7264" s="42"/>
      <c r="H7264" s="42"/>
      <c r="AG7264" s="19">
        <v>7263</v>
      </c>
      <c r="AH7264" s="20">
        <v>-355.68768884503532</v>
      </c>
    </row>
    <row r="7265" spans="1:34" ht="14.5" x14ac:dyDescent="0.35">
      <c r="A7265" s="34"/>
      <c r="B7265" s="35"/>
      <c r="C7265" s="36"/>
      <c r="D7265" s="37"/>
      <c r="E7265" s="36"/>
      <c r="F7265" s="42"/>
      <c r="G7265" s="42"/>
      <c r="H7265" s="42"/>
      <c r="AG7265" s="19">
        <v>7264</v>
      </c>
      <c r="AH7265" s="20">
        <v>-1635.8839292929079</v>
      </c>
    </row>
    <row r="7266" spans="1:34" ht="14.5" x14ac:dyDescent="0.35">
      <c r="A7266" s="34"/>
      <c r="B7266" s="35"/>
      <c r="C7266" s="36"/>
      <c r="D7266" s="37"/>
      <c r="E7266" s="36"/>
      <c r="F7266" s="42"/>
      <c r="G7266" s="42"/>
      <c r="H7266" s="42"/>
      <c r="AG7266" s="19">
        <v>7265</v>
      </c>
      <c r="AH7266" s="20">
        <v>2556.6701596828566</v>
      </c>
    </row>
    <row r="7267" spans="1:34" ht="14.5" x14ac:dyDescent="0.35">
      <c r="A7267" s="34"/>
      <c r="B7267" s="35"/>
      <c r="C7267" s="36"/>
      <c r="D7267" s="37"/>
      <c r="E7267" s="36"/>
      <c r="F7267" s="42"/>
      <c r="G7267" s="42"/>
      <c r="H7267" s="42"/>
      <c r="AG7267" s="19">
        <v>7266</v>
      </c>
      <c r="AH7267" s="20">
        <v>1613.8158170251616</v>
      </c>
    </row>
    <row r="7268" spans="1:34" ht="14.5" x14ac:dyDescent="0.35">
      <c r="A7268" s="34"/>
      <c r="B7268" s="35"/>
      <c r="C7268" s="36"/>
      <c r="D7268" s="37"/>
      <c r="E7268" s="36"/>
      <c r="F7268" s="42"/>
      <c r="G7268" s="42"/>
      <c r="H7268" s="42"/>
      <c r="AG7268" s="19">
        <v>7267</v>
      </c>
      <c r="AH7268" s="20">
        <v>1034.9861483359794</v>
      </c>
    </row>
    <row r="7269" spans="1:34" ht="14.5" x14ac:dyDescent="0.35">
      <c r="A7269" s="34"/>
      <c r="B7269" s="35"/>
      <c r="C7269" s="36"/>
      <c r="D7269" s="37"/>
      <c r="E7269" s="36"/>
      <c r="F7269" s="42"/>
      <c r="G7269" s="42"/>
      <c r="H7269" s="42"/>
      <c r="AG7269" s="19">
        <v>7268</v>
      </c>
      <c r="AH7269" s="20">
        <v>2864.2230355178817</v>
      </c>
    </row>
    <row r="7270" spans="1:34" ht="14.5" x14ac:dyDescent="0.35">
      <c r="A7270" s="34"/>
      <c r="B7270" s="35"/>
      <c r="C7270" s="36"/>
      <c r="D7270" s="37"/>
      <c r="E7270" s="36"/>
      <c r="F7270" s="42"/>
      <c r="G7270" s="42"/>
      <c r="H7270" s="42"/>
      <c r="AG7270" s="19">
        <v>7269</v>
      </c>
      <c r="AH7270" s="20">
        <v>-1676.1837295245539</v>
      </c>
    </row>
    <row r="7271" spans="1:34" ht="14.5" x14ac:dyDescent="0.35">
      <c r="A7271" s="34"/>
      <c r="B7271" s="35"/>
      <c r="C7271" s="36"/>
      <c r="D7271" s="37"/>
      <c r="E7271" s="36"/>
      <c r="F7271" s="42"/>
      <c r="G7271" s="42"/>
      <c r="H7271" s="42"/>
      <c r="AG7271" s="19">
        <v>7270</v>
      </c>
      <c r="AH7271" s="20">
        <v>2615.1977001856844</v>
      </c>
    </row>
    <row r="7272" spans="1:34" ht="14.5" x14ac:dyDescent="0.35">
      <c r="A7272" s="34"/>
      <c r="B7272" s="35"/>
      <c r="C7272" s="36"/>
      <c r="D7272" s="37"/>
      <c r="E7272" s="36"/>
      <c r="F7272" s="42"/>
      <c r="G7272" s="42"/>
      <c r="H7272" s="42"/>
      <c r="AG7272" s="19">
        <v>7271</v>
      </c>
      <c r="AH7272" s="20">
        <v>2115.6086945398852</v>
      </c>
    </row>
    <row r="7273" spans="1:34" ht="14.5" x14ac:dyDescent="0.35">
      <c r="A7273" s="34"/>
      <c r="B7273" s="35"/>
      <c r="C7273" s="36"/>
      <c r="D7273" s="37"/>
      <c r="E7273" s="36"/>
      <c r="F7273" s="42"/>
      <c r="G7273" s="42"/>
      <c r="H7273" s="42"/>
      <c r="AG7273" s="19">
        <v>7272</v>
      </c>
      <c r="AH7273" s="20">
        <v>-2108.0774364133003</v>
      </c>
    </row>
    <row r="7274" spans="1:34" ht="14.5" x14ac:dyDescent="0.35">
      <c r="A7274" s="34"/>
      <c r="B7274" s="35"/>
      <c r="C7274" s="36"/>
      <c r="D7274" s="37"/>
      <c r="E7274" s="36"/>
      <c r="F7274" s="42"/>
      <c r="G7274" s="42"/>
      <c r="H7274" s="42"/>
      <c r="AG7274" s="19">
        <v>7273</v>
      </c>
      <c r="AH7274" s="20">
        <v>4024.2303751604413</v>
      </c>
    </row>
    <row r="7275" spans="1:34" ht="14.5" x14ac:dyDescent="0.35">
      <c r="A7275" s="34"/>
      <c r="B7275" s="35"/>
      <c r="C7275" s="36"/>
      <c r="D7275" s="37"/>
      <c r="E7275" s="36"/>
      <c r="F7275" s="42"/>
      <c r="G7275" s="42"/>
      <c r="H7275" s="42"/>
      <c r="AG7275" s="19">
        <v>7274</v>
      </c>
      <c r="AH7275" s="20">
        <v>1714.2432561414148</v>
      </c>
    </row>
    <row r="7276" spans="1:34" ht="14.5" x14ac:dyDescent="0.35">
      <c r="A7276" s="34"/>
      <c r="B7276" s="35"/>
      <c r="C7276" s="36"/>
      <c r="D7276" s="37"/>
      <c r="E7276" s="36"/>
      <c r="F7276" s="42"/>
      <c r="G7276" s="42"/>
      <c r="H7276" s="42"/>
      <c r="AG7276" s="19">
        <v>7275</v>
      </c>
      <c r="AH7276" s="20">
        <v>-1622.3064806096891</v>
      </c>
    </row>
    <row r="7277" spans="1:34" ht="14.5" x14ac:dyDescent="0.35">
      <c r="A7277" s="34"/>
      <c r="B7277" s="35"/>
      <c r="C7277" s="36"/>
      <c r="D7277" s="37"/>
      <c r="E7277" s="36"/>
      <c r="F7277" s="42"/>
      <c r="G7277" s="42"/>
      <c r="H7277" s="42"/>
      <c r="AG7277" s="19">
        <v>7276</v>
      </c>
      <c r="AH7277" s="20">
        <v>2664.4313225384321</v>
      </c>
    </row>
    <row r="7278" spans="1:34" ht="14.5" x14ac:dyDescent="0.35">
      <c r="A7278" s="34"/>
      <c r="B7278" s="35"/>
      <c r="C7278" s="36"/>
      <c r="D7278" s="37"/>
      <c r="E7278" s="36"/>
      <c r="F7278" s="42"/>
      <c r="G7278" s="42"/>
      <c r="H7278" s="42"/>
      <c r="AG7278" s="19">
        <v>7277</v>
      </c>
      <c r="AH7278" s="20">
        <v>-2021.6963197200996</v>
      </c>
    </row>
    <row r="7279" spans="1:34" ht="14.5" x14ac:dyDescent="0.35">
      <c r="A7279" s="34"/>
      <c r="B7279" s="35"/>
      <c r="C7279" s="36"/>
      <c r="D7279" s="37"/>
      <c r="E7279" s="36"/>
      <c r="F7279" s="42"/>
      <c r="G7279" s="42"/>
      <c r="H7279" s="42"/>
      <c r="AG7279" s="19">
        <v>7278</v>
      </c>
      <c r="AH7279" s="20">
        <v>68.063931901100602</v>
      </c>
    </row>
    <row r="7280" spans="1:34" ht="14.5" x14ac:dyDescent="0.35">
      <c r="A7280" s="34"/>
      <c r="B7280" s="35"/>
      <c r="C7280" s="36"/>
      <c r="D7280" s="37"/>
      <c r="E7280" s="36"/>
      <c r="F7280" s="42"/>
      <c r="G7280" s="42"/>
      <c r="H7280" s="42"/>
      <c r="AG7280" s="19">
        <v>7279</v>
      </c>
      <c r="AH7280" s="20">
        <v>3222.4656832321375</v>
      </c>
    </row>
    <row r="7281" spans="1:34" ht="14.5" x14ac:dyDescent="0.35">
      <c r="A7281" s="34"/>
      <c r="B7281" s="35"/>
      <c r="C7281" s="36"/>
      <c r="D7281" s="37"/>
      <c r="E7281" s="36"/>
      <c r="F7281" s="42"/>
      <c r="G7281" s="42"/>
      <c r="H7281" s="42"/>
      <c r="AG7281" s="19">
        <v>7280</v>
      </c>
      <c r="AH7281" s="20">
        <v>3902.1165213896861</v>
      </c>
    </row>
    <row r="7282" spans="1:34" ht="14.5" x14ac:dyDescent="0.35">
      <c r="A7282" s="34"/>
      <c r="B7282" s="35"/>
      <c r="C7282" s="36"/>
      <c r="D7282" s="37"/>
      <c r="E7282" s="36"/>
      <c r="F7282" s="42"/>
      <c r="G7282" s="42"/>
      <c r="H7282" s="42"/>
      <c r="AG7282" s="19">
        <v>7281</v>
      </c>
      <c r="AH7282" s="20">
        <v>-2411.513295416838</v>
      </c>
    </row>
    <row r="7283" spans="1:34" ht="14.5" x14ac:dyDescent="0.35">
      <c r="A7283" s="34"/>
      <c r="B7283" s="35"/>
      <c r="C7283" s="36"/>
      <c r="D7283" s="37"/>
      <c r="E7283" s="36"/>
      <c r="F7283" s="42"/>
      <c r="G7283" s="42"/>
      <c r="H7283" s="42"/>
      <c r="AG7283" s="19">
        <v>7282</v>
      </c>
      <c r="AH7283" s="20">
        <v>2651.9616855814593</v>
      </c>
    </row>
    <row r="7284" spans="1:34" ht="14.5" x14ac:dyDescent="0.35">
      <c r="A7284" s="34"/>
      <c r="B7284" s="35"/>
      <c r="C7284" s="36"/>
      <c r="D7284" s="37"/>
      <c r="E7284" s="36"/>
      <c r="F7284" s="42"/>
      <c r="G7284" s="42"/>
      <c r="H7284" s="42"/>
      <c r="AG7284" s="19">
        <v>7283</v>
      </c>
      <c r="AH7284" s="20">
        <v>-2872.0325633358498</v>
      </c>
    </row>
    <row r="7285" spans="1:34" ht="14.5" x14ac:dyDescent="0.35">
      <c r="A7285" s="34"/>
      <c r="B7285" s="35"/>
      <c r="C7285" s="36"/>
      <c r="D7285" s="37"/>
      <c r="E7285" s="36"/>
      <c r="F7285" s="42"/>
      <c r="G7285" s="42"/>
      <c r="H7285" s="42"/>
      <c r="AG7285" s="19">
        <v>7284</v>
      </c>
      <c r="AH7285" s="20">
        <v>-3223.2142988780693</v>
      </c>
    </row>
    <row r="7286" spans="1:34" ht="14.5" x14ac:dyDescent="0.35">
      <c r="A7286" s="34"/>
      <c r="B7286" s="35"/>
      <c r="C7286" s="36"/>
      <c r="D7286" s="37"/>
      <c r="E7286" s="36"/>
      <c r="F7286" s="42"/>
      <c r="G7286" s="42"/>
      <c r="H7286" s="42"/>
      <c r="AG7286" s="19">
        <v>7285</v>
      </c>
      <c r="AH7286" s="20">
        <v>-770.77130612662972</v>
      </c>
    </row>
    <row r="7287" spans="1:34" ht="14.5" x14ac:dyDescent="0.35">
      <c r="A7287" s="34"/>
      <c r="B7287" s="35"/>
      <c r="C7287" s="36"/>
      <c r="D7287" s="37"/>
      <c r="E7287" s="36"/>
      <c r="F7287" s="42"/>
      <c r="G7287" s="42"/>
      <c r="H7287" s="42"/>
      <c r="AG7287" s="19">
        <v>7286</v>
      </c>
      <c r="AH7287" s="20">
        <v>4470.6620526479774</v>
      </c>
    </row>
    <row r="7288" spans="1:34" ht="14.5" x14ac:dyDescent="0.35">
      <c r="A7288" s="34"/>
      <c r="B7288" s="35"/>
      <c r="C7288" s="36"/>
      <c r="D7288" s="37"/>
      <c r="E7288" s="36"/>
      <c r="F7288" s="42"/>
      <c r="G7288" s="42"/>
      <c r="H7288" s="42"/>
      <c r="AG7288" s="19">
        <v>7287</v>
      </c>
      <c r="AH7288" s="20">
        <v>977.7842269962448</v>
      </c>
    </row>
    <row r="7289" spans="1:34" ht="14.5" x14ac:dyDescent="0.35">
      <c r="A7289" s="34"/>
      <c r="B7289" s="35"/>
      <c r="C7289" s="36"/>
      <c r="D7289" s="37"/>
      <c r="E7289" s="36"/>
      <c r="F7289" s="42"/>
      <c r="G7289" s="42"/>
      <c r="H7289" s="42"/>
      <c r="AG7289" s="19">
        <v>7288</v>
      </c>
      <c r="AH7289" s="20">
        <v>-1222.5900225994833</v>
      </c>
    </row>
    <row r="7290" spans="1:34" ht="14.5" x14ac:dyDescent="0.35">
      <c r="A7290" s="34"/>
      <c r="B7290" s="35"/>
      <c r="C7290" s="36"/>
      <c r="D7290" s="37"/>
      <c r="E7290" s="36"/>
      <c r="F7290" s="42"/>
      <c r="G7290" s="42"/>
      <c r="H7290" s="42"/>
      <c r="AG7290" s="19">
        <v>7289</v>
      </c>
      <c r="AH7290" s="20">
        <v>1334.9235016391106</v>
      </c>
    </row>
    <row r="7291" spans="1:34" ht="14.5" x14ac:dyDescent="0.35">
      <c r="A7291" s="34"/>
      <c r="B7291" s="35"/>
      <c r="C7291" s="36"/>
      <c r="D7291" s="37"/>
      <c r="E7291" s="36"/>
      <c r="F7291" s="42"/>
      <c r="G7291" s="42"/>
      <c r="H7291" s="42"/>
      <c r="AG7291" s="19">
        <v>7290</v>
      </c>
      <c r="AH7291" s="20">
        <v>-608.85932661721449</v>
      </c>
    </row>
    <row r="7292" spans="1:34" ht="14.5" x14ac:dyDescent="0.35">
      <c r="A7292" s="34"/>
      <c r="B7292" s="35"/>
      <c r="C7292" s="36"/>
      <c r="D7292" s="37"/>
      <c r="E7292" s="36"/>
      <c r="F7292" s="42"/>
      <c r="G7292" s="42"/>
      <c r="H7292" s="42"/>
      <c r="AG7292" s="19">
        <v>7291</v>
      </c>
      <c r="AH7292" s="20">
        <v>-1634.6983134856887</v>
      </c>
    </row>
    <row r="7293" spans="1:34" ht="14.5" x14ac:dyDescent="0.35">
      <c r="A7293" s="34"/>
      <c r="B7293" s="35"/>
      <c r="C7293" s="36"/>
      <c r="D7293" s="37"/>
      <c r="E7293" s="36"/>
      <c r="F7293" s="42"/>
      <c r="G7293" s="42"/>
      <c r="H7293" s="42"/>
      <c r="AG7293" s="19">
        <v>7292</v>
      </c>
      <c r="AH7293" s="20">
        <v>604.04122207757132</v>
      </c>
    </row>
    <row r="7294" spans="1:34" ht="14.5" x14ac:dyDescent="0.35">
      <c r="A7294" s="34"/>
      <c r="B7294" s="35"/>
      <c r="C7294" s="36"/>
      <c r="D7294" s="37"/>
      <c r="E7294" s="36"/>
      <c r="F7294" s="42"/>
      <c r="G7294" s="42"/>
      <c r="H7294" s="42"/>
      <c r="AG7294" s="19">
        <v>7293</v>
      </c>
      <c r="AH7294" s="20">
        <v>-718.1392476403762</v>
      </c>
    </row>
    <row r="7295" spans="1:34" ht="14.5" x14ac:dyDescent="0.35">
      <c r="A7295" s="34"/>
      <c r="B7295" s="35"/>
      <c r="C7295" s="36"/>
      <c r="D7295" s="37"/>
      <c r="E7295" s="36"/>
      <c r="F7295" s="42"/>
      <c r="G7295" s="42"/>
      <c r="H7295" s="42"/>
      <c r="AG7295" s="19">
        <v>7294</v>
      </c>
      <c r="AH7295" s="20">
        <v>-328.68989388992912</v>
      </c>
    </row>
    <row r="7296" spans="1:34" ht="14.5" x14ac:dyDescent="0.35">
      <c r="A7296" s="34"/>
      <c r="B7296" s="35"/>
      <c r="C7296" s="36"/>
      <c r="D7296" s="37"/>
      <c r="E7296" s="36"/>
      <c r="F7296" s="42"/>
      <c r="G7296" s="42"/>
      <c r="H7296" s="42"/>
      <c r="AG7296" s="19">
        <v>7295</v>
      </c>
      <c r="AH7296" s="20">
        <v>646.45912417649538</v>
      </c>
    </row>
    <row r="7297" spans="1:34" ht="14.5" x14ac:dyDescent="0.35">
      <c r="A7297" s="34"/>
      <c r="B7297" s="35"/>
      <c r="C7297" s="36"/>
      <c r="D7297" s="37"/>
      <c r="E7297" s="36"/>
      <c r="F7297" s="42"/>
      <c r="G7297" s="42"/>
      <c r="H7297" s="42"/>
      <c r="AG7297" s="19">
        <v>7296</v>
      </c>
      <c r="AH7297" s="20">
        <v>-368.21682929454215</v>
      </c>
    </row>
    <row r="7298" spans="1:34" ht="14.5" x14ac:dyDescent="0.35">
      <c r="A7298" s="34"/>
      <c r="B7298" s="35"/>
      <c r="C7298" s="36"/>
      <c r="D7298" s="37"/>
      <c r="E7298" s="36"/>
      <c r="F7298" s="42"/>
      <c r="G7298" s="42"/>
      <c r="H7298" s="42"/>
      <c r="AG7298" s="19">
        <v>7297</v>
      </c>
      <c r="AH7298" s="20">
        <v>679.30560814879277</v>
      </c>
    </row>
    <row r="7299" spans="1:34" ht="14.5" x14ac:dyDescent="0.35">
      <c r="A7299" s="34"/>
      <c r="B7299" s="35"/>
      <c r="C7299" s="36"/>
      <c r="D7299" s="37"/>
      <c r="E7299" s="36"/>
      <c r="F7299" s="42"/>
      <c r="G7299" s="42"/>
      <c r="H7299" s="42"/>
      <c r="AG7299" s="19">
        <v>7298</v>
      </c>
      <c r="AH7299" s="20">
        <v>1773.5913247322305</v>
      </c>
    </row>
    <row r="7300" spans="1:34" ht="14.5" x14ac:dyDescent="0.35">
      <c r="A7300" s="34"/>
      <c r="B7300" s="35"/>
      <c r="C7300" s="36"/>
      <c r="D7300" s="37"/>
      <c r="E7300" s="36"/>
      <c r="F7300" s="42"/>
      <c r="G7300" s="42"/>
      <c r="H7300" s="42"/>
      <c r="AG7300" s="19">
        <v>7299</v>
      </c>
      <c r="AH7300" s="20">
        <v>122.96991647771665</v>
      </c>
    </row>
    <row r="7301" spans="1:34" ht="14.5" x14ac:dyDescent="0.35">
      <c r="A7301" s="34"/>
      <c r="B7301" s="35"/>
      <c r="C7301" s="36"/>
      <c r="D7301" s="37"/>
      <c r="E7301" s="36"/>
      <c r="F7301" s="42"/>
      <c r="G7301" s="42"/>
      <c r="H7301" s="42"/>
      <c r="AG7301" s="19">
        <v>7300</v>
      </c>
      <c r="AH7301" s="20">
        <v>204.38858249869324</v>
      </c>
    </row>
    <row r="7302" spans="1:34" ht="14.5" x14ac:dyDescent="0.35">
      <c r="A7302" s="34"/>
      <c r="B7302" s="35"/>
      <c r="C7302" s="36"/>
      <c r="D7302" s="37"/>
      <c r="E7302" s="36"/>
      <c r="F7302" s="42"/>
      <c r="G7302" s="42"/>
      <c r="H7302" s="42"/>
      <c r="AG7302" s="19">
        <v>7301</v>
      </c>
      <c r="AH7302" s="20">
        <v>225.5123402530256</v>
      </c>
    </row>
    <row r="7303" spans="1:34" ht="14.5" x14ac:dyDescent="0.35">
      <c r="A7303" s="34"/>
      <c r="B7303" s="35"/>
      <c r="C7303" s="36"/>
      <c r="D7303" s="37"/>
      <c r="E7303" s="36"/>
      <c r="F7303" s="42"/>
      <c r="G7303" s="42"/>
      <c r="H7303" s="42"/>
      <c r="AG7303" s="19">
        <v>7302</v>
      </c>
      <c r="AH7303" s="20">
        <v>934.86405969993598</v>
      </c>
    </row>
    <row r="7304" spans="1:34" ht="14.5" x14ac:dyDescent="0.35">
      <c r="A7304" s="34"/>
      <c r="B7304" s="35"/>
      <c r="C7304" s="36"/>
      <c r="D7304" s="37"/>
      <c r="E7304" s="36"/>
      <c r="F7304" s="42"/>
      <c r="G7304" s="42"/>
      <c r="H7304" s="42"/>
      <c r="AG7304" s="19">
        <v>7303</v>
      </c>
      <c r="AH7304" s="20">
        <v>68.040068342525615</v>
      </c>
    </row>
    <row r="7305" spans="1:34" ht="14.5" x14ac:dyDescent="0.35">
      <c r="A7305" s="34"/>
      <c r="B7305" s="35"/>
      <c r="C7305" s="36"/>
      <c r="D7305" s="37"/>
      <c r="E7305" s="36"/>
      <c r="F7305" s="42"/>
      <c r="G7305" s="42"/>
      <c r="H7305" s="42"/>
      <c r="AG7305" s="19">
        <v>7304</v>
      </c>
      <c r="AH7305" s="20">
        <v>834.39568845836334</v>
      </c>
    </row>
    <row r="7306" spans="1:34" ht="14.5" x14ac:dyDescent="0.35">
      <c r="A7306" s="34"/>
      <c r="B7306" s="35"/>
      <c r="C7306" s="36"/>
      <c r="D7306" s="37"/>
      <c r="E7306" s="36"/>
      <c r="F7306" s="42"/>
      <c r="G7306" s="42"/>
      <c r="H7306" s="42"/>
      <c r="AG7306" s="19">
        <v>7305</v>
      </c>
      <c r="AH7306" s="20">
        <v>2321.3284180439036</v>
      </c>
    </row>
    <row r="7307" spans="1:34" ht="14.5" x14ac:dyDescent="0.35">
      <c r="A7307" s="34"/>
      <c r="B7307" s="35"/>
      <c r="C7307" s="36"/>
      <c r="D7307" s="37"/>
      <c r="E7307" s="36"/>
      <c r="F7307" s="42"/>
      <c r="G7307" s="42"/>
      <c r="H7307" s="42"/>
      <c r="AG7307" s="19">
        <v>7306</v>
      </c>
      <c r="AH7307" s="20">
        <v>2985.3616327406471</v>
      </c>
    </row>
    <row r="7308" spans="1:34" ht="14.5" x14ac:dyDescent="0.35">
      <c r="A7308" s="34"/>
      <c r="B7308" s="35"/>
      <c r="C7308" s="36"/>
      <c r="D7308" s="37"/>
      <c r="E7308" s="36"/>
      <c r="F7308" s="42"/>
      <c r="G7308" s="42"/>
      <c r="H7308" s="42"/>
      <c r="AG7308" s="19">
        <v>7307</v>
      </c>
      <c r="AH7308" s="20">
        <v>688.87433447235003</v>
      </c>
    </row>
    <row r="7309" spans="1:34" ht="14.5" x14ac:dyDescent="0.35">
      <c r="A7309" s="34"/>
      <c r="B7309" s="35"/>
      <c r="C7309" s="36"/>
      <c r="D7309" s="37"/>
      <c r="E7309" s="36"/>
      <c r="F7309" s="42"/>
      <c r="G7309" s="42"/>
      <c r="H7309" s="42"/>
      <c r="AG7309" s="19">
        <v>7308</v>
      </c>
      <c r="AH7309" s="20">
        <v>1664.4212447632849</v>
      </c>
    </row>
    <row r="7310" spans="1:34" ht="14.5" x14ac:dyDescent="0.35">
      <c r="A7310" s="34"/>
      <c r="B7310" s="35"/>
      <c r="C7310" s="36"/>
      <c r="D7310" s="37"/>
      <c r="E7310" s="36"/>
      <c r="F7310" s="42"/>
      <c r="G7310" s="42"/>
      <c r="H7310" s="42"/>
      <c r="AG7310" s="19">
        <v>7309</v>
      </c>
      <c r="AH7310" s="20">
        <v>3036.2867471884701</v>
      </c>
    </row>
    <row r="7311" spans="1:34" ht="14.5" x14ac:dyDescent="0.35">
      <c r="A7311" s="34"/>
      <c r="B7311" s="35"/>
      <c r="C7311" s="36"/>
      <c r="D7311" s="37"/>
      <c r="E7311" s="36"/>
      <c r="F7311" s="42"/>
      <c r="G7311" s="42"/>
      <c r="H7311" s="42"/>
      <c r="AG7311" s="19">
        <v>7310</v>
      </c>
      <c r="AH7311" s="20">
        <v>-4563.7572242455817</v>
      </c>
    </row>
    <row r="7312" spans="1:34" ht="14.5" x14ac:dyDescent="0.35">
      <c r="A7312" s="34"/>
      <c r="B7312" s="35"/>
      <c r="C7312" s="36"/>
      <c r="D7312" s="37"/>
      <c r="E7312" s="36"/>
      <c r="F7312" s="42"/>
      <c r="G7312" s="42"/>
      <c r="H7312" s="42"/>
      <c r="AG7312" s="19">
        <v>7311</v>
      </c>
      <c r="AH7312" s="20">
        <v>4353.5222254684468</v>
      </c>
    </row>
    <row r="7313" spans="1:34" ht="14.5" x14ac:dyDescent="0.35">
      <c r="A7313" s="34"/>
      <c r="B7313" s="35"/>
      <c r="C7313" s="36"/>
      <c r="D7313" s="37"/>
      <c r="E7313" s="36"/>
      <c r="F7313" s="42"/>
      <c r="G7313" s="42"/>
      <c r="H7313" s="42"/>
      <c r="AG7313" s="19">
        <v>7312</v>
      </c>
      <c r="AH7313" s="20">
        <v>-2549.0105111216239</v>
      </c>
    </row>
    <row r="7314" spans="1:34" ht="14.5" x14ac:dyDescent="0.35">
      <c r="A7314" s="34"/>
      <c r="B7314" s="35"/>
      <c r="C7314" s="36"/>
      <c r="D7314" s="37"/>
      <c r="E7314" s="36"/>
      <c r="F7314" s="42"/>
      <c r="G7314" s="42"/>
      <c r="H7314" s="42"/>
      <c r="AG7314" s="19">
        <v>7313</v>
      </c>
      <c r="AH7314" s="20">
        <v>211.03935294492683</v>
      </c>
    </row>
    <row r="7315" spans="1:34" ht="14.5" x14ac:dyDescent="0.35">
      <c r="A7315" s="34"/>
      <c r="B7315" s="35"/>
      <c r="C7315" s="36"/>
      <c r="D7315" s="37"/>
      <c r="E7315" s="36"/>
      <c r="F7315" s="42"/>
      <c r="G7315" s="42"/>
      <c r="H7315" s="42"/>
      <c r="AG7315" s="19">
        <v>7314</v>
      </c>
      <c r="AH7315" s="20">
        <v>779.4182483161876</v>
      </c>
    </row>
    <row r="7316" spans="1:34" ht="14.5" x14ac:dyDescent="0.35">
      <c r="A7316" s="34"/>
      <c r="B7316" s="35"/>
      <c r="C7316" s="36"/>
      <c r="D7316" s="37"/>
      <c r="E7316" s="36"/>
      <c r="F7316" s="42"/>
      <c r="G7316" s="42"/>
      <c r="H7316" s="42"/>
      <c r="AG7316" s="19">
        <v>7315</v>
      </c>
      <c r="AH7316" s="20">
        <v>-2134.8454908682024</v>
      </c>
    </row>
    <row r="7317" spans="1:34" ht="14.5" x14ac:dyDescent="0.35">
      <c r="A7317" s="34"/>
      <c r="B7317" s="35"/>
      <c r="C7317" s="36"/>
      <c r="D7317" s="37"/>
      <c r="E7317" s="36"/>
      <c r="F7317" s="42"/>
      <c r="G7317" s="42"/>
      <c r="H7317" s="42"/>
      <c r="AG7317" s="19">
        <v>7316</v>
      </c>
      <c r="AH7317" s="20">
        <v>45.307901552708245</v>
      </c>
    </row>
    <row r="7318" spans="1:34" ht="14.5" x14ac:dyDescent="0.35">
      <c r="A7318" s="34"/>
      <c r="B7318" s="35"/>
      <c r="C7318" s="36"/>
      <c r="D7318" s="37"/>
      <c r="E7318" s="36"/>
      <c r="F7318" s="42"/>
      <c r="G7318" s="42"/>
      <c r="H7318" s="42"/>
      <c r="AG7318" s="19">
        <v>7317</v>
      </c>
      <c r="AH7318" s="20">
        <v>1792.3805575875706</v>
      </c>
    </row>
    <row r="7319" spans="1:34" ht="14.5" x14ac:dyDescent="0.35">
      <c r="A7319" s="34"/>
      <c r="B7319" s="35"/>
      <c r="C7319" s="36"/>
      <c r="D7319" s="37"/>
      <c r="E7319" s="36"/>
      <c r="F7319" s="42"/>
      <c r="G7319" s="42"/>
      <c r="H7319" s="42"/>
      <c r="AG7319" s="19">
        <v>7318</v>
      </c>
      <c r="AH7319" s="20">
        <v>1002.306051237937</v>
      </c>
    </row>
    <row r="7320" spans="1:34" ht="14.5" x14ac:dyDescent="0.35">
      <c r="A7320" s="34"/>
      <c r="B7320" s="35"/>
      <c r="C7320" s="36"/>
      <c r="D7320" s="37"/>
      <c r="E7320" s="36"/>
      <c r="F7320" s="42"/>
      <c r="G7320" s="42"/>
      <c r="H7320" s="42"/>
      <c r="AG7320" s="19">
        <v>7319</v>
      </c>
      <c r="AH7320" s="20">
        <v>-627.92132561015046</v>
      </c>
    </row>
    <row r="7321" spans="1:34" ht="14.5" x14ac:dyDescent="0.35">
      <c r="A7321" s="34"/>
      <c r="B7321" s="35"/>
      <c r="C7321" s="36"/>
      <c r="D7321" s="37"/>
      <c r="E7321" s="36"/>
      <c r="F7321" s="42"/>
      <c r="G7321" s="42"/>
      <c r="H7321" s="42"/>
      <c r="AG7321" s="19">
        <v>7320</v>
      </c>
      <c r="AH7321" s="20">
        <v>78.244024766861742</v>
      </c>
    </row>
    <row r="7322" spans="1:34" ht="14.5" x14ac:dyDescent="0.35">
      <c r="A7322" s="34"/>
      <c r="B7322" s="35"/>
      <c r="C7322" s="36"/>
      <c r="D7322" s="37"/>
      <c r="E7322" s="36"/>
      <c r="F7322" s="42"/>
      <c r="G7322" s="42"/>
      <c r="H7322" s="42"/>
      <c r="AG7322" s="19">
        <v>7321</v>
      </c>
      <c r="AH7322" s="20">
        <v>3268.048097683607</v>
      </c>
    </row>
    <row r="7323" spans="1:34" ht="14.5" x14ac:dyDescent="0.35">
      <c r="A7323" s="34"/>
      <c r="B7323" s="35"/>
      <c r="C7323" s="36"/>
      <c r="D7323" s="37"/>
      <c r="E7323" s="36"/>
      <c r="F7323" s="42"/>
      <c r="G7323" s="42"/>
      <c r="H7323" s="42"/>
      <c r="AG7323" s="19">
        <v>7322</v>
      </c>
      <c r="AH7323" s="20">
        <v>553.84683726212063</v>
      </c>
    </row>
    <row r="7324" spans="1:34" ht="14.5" x14ac:dyDescent="0.35">
      <c r="A7324" s="34"/>
      <c r="B7324" s="35"/>
      <c r="C7324" s="36"/>
      <c r="D7324" s="37"/>
      <c r="E7324" s="36"/>
      <c r="F7324" s="42"/>
      <c r="G7324" s="42"/>
      <c r="H7324" s="42"/>
      <c r="AG7324" s="19">
        <v>7323</v>
      </c>
      <c r="AH7324" s="20">
        <v>-1078.4285854797511</v>
      </c>
    </row>
    <row r="7325" spans="1:34" ht="14.5" x14ac:dyDescent="0.35">
      <c r="A7325" s="34"/>
      <c r="B7325" s="35"/>
      <c r="C7325" s="36"/>
      <c r="D7325" s="37"/>
      <c r="E7325" s="36"/>
      <c r="F7325" s="42"/>
      <c r="G7325" s="42"/>
      <c r="H7325" s="42"/>
      <c r="AG7325" s="19">
        <v>7324</v>
      </c>
      <c r="AH7325" s="20">
        <v>2665.2101667610118</v>
      </c>
    </row>
    <row r="7326" spans="1:34" ht="14.5" x14ac:dyDescent="0.35">
      <c r="A7326" s="34"/>
      <c r="B7326" s="35"/>
      <c r="C7326" s="36"/>
      <c r="D7326" s="37"/>
      <c r="E7326" s="36"/>
      <c r="F7326" s="42"/>
      <c r="G7326" s="42"/>
      <c r="H7326" s="42"/>
      <c r="AG7326" s="19">
        <v>7325</v>
      </c>
      <c r="AH7326" s="20">
        <v>716.41169147459857</v>
      </c>
    </row>
    <row r="7327" spans="1:34" ht="14.5" x14ac:dyDescent="0.35">
      <c r="A7327" s="34"/>
      <c r="B7327" s="35"/>
      <c r="C7327" s="36"/>
      <c r="D7327" s="37"/>
      <c r="E7327" s="36"/>
      <c r="F7327" s="42"/>
      <c r="G7327" s="42"/>
      <c r="H7327" s="42"/>
      <c r="AG7327" s="19">
        <v>7326</v>
      </c>
      <c r="AH7327" s="20">
        <v>681.91250905333527</v>
      </c>
    </row>
    <row r="7328" spans="1:34" ht="14.5" x14ac:dyDescent="0.35">
      <c r="A7328" s="34"/>
      <c r="B7328" s="35"/>
      <c r="C7328" s="36"/>
      <c r="D7328" s="37"/>
      <c r="E7328" s="36"/>
      <c r="F7328" s="42"/>
      <c r="G7328" s="42"/>
      <c r="H7328" s="42"/>
      <c r="AG7328" s="19">
        <v>7327</v>
      </c>
      <c r="AH7328" s="20">
        <v>-969.93402548052245</v>
      </c>
    </row>
    <row r="7329" spans="1:34" ht="14.5" x14ac:dyDescent="0.35">
      <c r="A7329" s="34"/>
      <c r="B7329" s="35"/>
      <c r="C7329" s="36"/>
      <c r="D7329" s="37"/>
      <c r="E7329" s="36"/>
      <c r="F7329" s="42"/>
      <c r="G7329" s="42"/>
      <c r="H7329" s="42"/>
      <c r="AG7329" s="19">
        <v>7328</v>
      </c>
      <c r="AH7329" s="20">
        <v>-216.88344892990636</v>
      </c>
    </row>
    <row r="7330" spans="1:34" ht="14.5" x14ac:dyDescent="0.35">
      <c r="A7330" s="34"/>
      <c r="B7330" s="35"/>
      <c r="C7330" s="36"/>
      <c r="D7330" s="37"/>
      <c r="E7330" s="36"/>
      <c r="F7330" s="42"/>
      <c r="G7330" s="42"/>
      <c r="H7330" s="42"/>
      <c r="AG7330" s="19">
        <v>7329</v>
      </c>
      <c r="AH7330" s="20">
        <v>1940.8331794353803</v>
      </c>
    </row>
    <row r="7331" spans="1:34" ht="14.5" x14ac:dyDescent="0.35">
      <c r="A7331" s="34"/>
      <c r="B7331" s="35"/>
      <c r="C7331" s="36"/>
      <c r="D7331" s="37"/>
      <c r="E7331" s="36"/>
      <c r="F7331" s="42"/>
      <c r="G7331" s="42"/>
      <c r="H7331" s="42"/>
      <c r="AG7331" s="19">
        <v>7330</v>
      </c>
      <c r="AH7331" s="20">
        <v>-970.9317167212896</v>
      </c>
    </row>
    <row r="7332" spans="1:34" ht="14.5" x14ac:dyDescent="0.35">
      <c r="A7332" s="34"/>
      <c r="B7332" s="35"/>
      <c r="C7332" s="36"/>
      <c r="D7332" s="37"/>
      <c r="E7332" s="36"/>
      <c r="F7332" s="42"/>
      <c r="G7332" s="42"/>
      <c r="H7332" s="42"/>
      <c r="AG7332" s="19">
        <v>7331</v>
      </c>
      <c r="AH7332" s="20">
        <v>-3206.3909060737342</v>
      </c>
    </row>
    <row r="7333" spans="1:34" ht="14.5" x14ac:dyDescent="0.35">
      <c r="A7333" s="34"/>
      <c r="B7333" s="35"/>
      <c r="C7333" s="36"/>
      <c r="D7333" s="37"/>
      <c r="E7333" s="36"/>
      <c r="F7333" s="42"/>
      <c r="G7333" s="42"/>
      <c r="H7333" s="42"/>
      <c r="AG7333" s="19">
        <v>7332</v>
      </c>
      <c r="AH7333" s="20">
        <v>1184.9288302455107</v>
      </c>
    </row>
    <row r="7334" spans="1:34" ht="14.5" x14ac:dyDescent="0.35">
      <c r="A7334" s="34"/>
      <c r="B7334" s="35"/>
      <c r="C7334" s="36"/>
      <c r="D7334" s="37"/>
      <c r="E7334" s="36"/>
      <c r="F7334" s="42"/>
      <c r="G7334" s="42"/>
      <c r="H7334" s="42"/>
      <c r="AG7334" s="19">
        <v>7333</v>
      </c>
      <c r="AH7334" s="20">
        <v>1163.5636921920552</v>
      </c>
    </row>
    <row r="7335" spans="1:34" ht="14.5" x14ac:dyDescent="0.35">
      <c r="A7335" s="34"/>
      <c r="B7335" s="35"/>
      <c r="C7335" s="36"/>
      <c r="D7335" s="37"/>
      <c r="E7335" s="36"/>
      <c r="F7335" s="42"/>
      <c r="G7335" s="42"/>
      <c r="H7335" s="42"/>
      <c r="AG7335" s="19">
        <v>7334</v>
      </c>
      <c r="AH7335" s="20">
        <v>2844.7239331914161</v>
      </c>
    </row>
    <row r="7336" spans="1:34" ht="14.5" x14ac:dyDescent="0.35">
      <c r="A7336" s="34"/>
      <c r="B7336" s="35"/>
      <c r="C7336" s="36"/>
      <c r="D7336" s="37"/>
      <c r="E7336" s="36"/>
      <c r="F7336" s="42"/>
      <c r="G7336" s="42"/>
      <c r="H7336" s="42"/>
      <c r="AG7336" s="19">
        <v>7335</v>
      </c>
      <c r="AH7336" s="20">
        <v>445.33304652871493</v>
      </c>
    </row>
    <row r="7337" spans="1:34" ht="14.5" x14ac:dyDescent="0.35">
      <c r="A7337" s="34"/>
      <c r="B7337" s="35"/>
      <c r="C7337" s="36"/>
      <c r="D7337" s="37"/>
      <c r="E7337" s="36"/>
      <c r="F7337" s="42"/>
      <c r="G7337" s="42"/>
      <c r="H7337" s="42"/>
      <c r="AG7337" s="19">
        <v>7336</v>
      </c>
      <c r="AH7337" s="20">
        <v>-739.47149232567835</v>
      </c>
    </row>
    <row r="7338" spans="1:34" ht="14.5" x14ac:dyDescent="0.35">
      <c r="A7338" s="34"/>
      <c r="B7338" s="35"/>
      <c r="C7338" s="36"/>
      <c r="D7338" s="37"/>
      <c r="E7338" s="36"/>
      <c r="F7338" s="42"/>
      <c r="G7338" s="42"/>
      <c r="H7338" s="42"/>
      <c r="AG7338" s="19">
        <v>7337</v>
      </c>
      <c r="AH7338" s="20">
        <v>4240.8563841212408</v>
      </c>
    </row>
    <row r="7339" spans="1:34" ht="14.5" x14ac:dyDescent="0.35">
      <c r="A7339" s="34"/>
      <c r="B7339" s="35"/>
      <c r="C7339" s="36"/>
      <c r="D7339" s="37"/>
      <c r="E7339" s="36"/>
      <c r="F7339" s="42"/>
      <c r="G7339" s="42"/>
      <c r="H7339" s="42"/>
      <c r="AG7339" s="19">
        <v>7338</v>
      </c>
      <c r="AH7339" s="20">
        <v>504.2819589344262</v>
      </c>
    </row>
    <row r="7340" spans="1:34" ht="14.5" x14ac:dyDescent="0.35">
      <c r="A7340" s="34"/>
      <c r="B7340" s="35"/>
      <c r="C7340" s="36"/>
      <c r="D7340" s="37"/>
      <c r="E7340" s="36"/>
      <c r="F7340" s="42"/>
      <c r="G7340" s="42"/>
      <c r="H7340" s="42"/>
      <c r="AG7340" s="19">
        <v>7339</v>
      </c>
      <c r="AH7340" s="20">
        <v>-2009.6432967144376</v>
      </c>
    </row>
    <row r="7341" spans="1:34" ht="14.5" x14ac:dyDescent="0.35">
      <c r="A7341" s="34"/>
      <c r="B7341" s="35"/>
      <c r="C7341" s="36"/>
      <c r="D7341" s="37"/>
      <c r="E7341" s="36"/>
      <c r="F7341" s="42"/>
      <c r="G7341" s="42"/>
      <c r="H7341" s="42"/>
      <c r="AG7341" s="19">
        <v>7340</v>
      </c>
      <c r="AH7341" s="20">
        <v>4994.2584354538003</v>
      </c>
    </row>
    <row r="7342" spans="1:34" ht="14.5" x14ac:dyDescent="0.35">
      <c r="A7342" s="34"/>
      <c r="B7342" s="35"/>
      <c r="C7342" s="36"/>
      <c r="D7342" s="37"/>
      <c r="E7342" s="36"/>
      <c r="F7342" s="42"/>
      <c r="G7342" s="42"/>
      <c r="H7342" s="42"/>
      <c r="AG7342" s="19">
        <v>7341</v>
      </c>
      <c r="AH7342" s="20">
        <v>-1827.78282661562</v>
      </c>
    </row>
    <row r="7343" spans="1:34" ht="14.5" x14ac:dyDescent="0.35">
      <c r="A7343" s="34"/>
      <c r="B7343" s="35"/>
      <c r="C7343" s="36"/>
      <c r="D7343" s="37"/>
      <c r="E7343" s="36"/>
      <c r="F7343" s="42"/>
      <c r="G7343" s="42"/>
      <c r="H7343" s="42"/>
      <c r="AG7343" s="19">
        <v>7342</v>
      </c>
      <c r="AH7343" s="20">
        <v>-1008.9240935287123</v>
      </c>
    </row>
    <row r="7344" spans="1:34" ht="14.5" x14ac:dyDescent="0.35">
      <c r="A7344" s="34"/>
      <c r="B7344" s="35"/>
      <c r="C7344" s="36"/>
      <c r="D7344" s="37"/>
      <c r="E7344" s="36"/>
      <c r="F7344" s="42"/>
      <c r="G7344" s="42"/>
      <c r="H7344" s="42"/>
      <c r="AG7344" s="19">
        <v>7343</v>
      </c>
      <c r="AH7344" s="20">
        <v>461.93632080291621</v>
      </c>
    </row>
    <row r="7345" spans="1:34" ht="14.5" x14ac:dyDescent="0.35">
      <c r="A7345" s="34"/>
      <c r="B7345" s="35"/>
      <c r="C7345" s="36"/>
      <c r="D7345" s="37"/>
      <c r="E7345" s="36"/>
      <c r="F7345" s="42"/>
      <c r="G7345" s="42"/>
      <c r="H7345" s="42"/>
      <c r="AG7345" s="19">
        <v>7344</v>
      </c>
      <c r="AH7345" s="20">
        <v>368.37086187610367</v>
      </c>
    </row>
    <row r="7346" spans="1:34" ht="14.5" x14ac:dyDescent="0.35">
      <c r="A7346" s="34"/>
      <c r="B7346" s="35"/>
      <c r="C7346" s="36"/>
      <c r="D7346" s="37"/>
      <c r="E7346" s="36"/>
      <c r="F7346" s="42"/>
      <c r="G7346" s="42"/>
      <c r="H7346" s="42"/>
      <c r="AG7346" s="19">
        <v>7345</v>
      </c>
      <c r="AH7346" s="20">
        <v>-3308.4562689656268</v>
      </c>
    </row>
    <row r="7347" spans="1:34" ht="14.5" x14ac:dyDescent="0.35">
      <c r="A7347" s="34"/>
      <c r="B7347" s="35"/>
      <c r="C7347" s="36"/>
      <c r="D7347" s="37"/>
      <c r="E7347" s="36"/>
      <c r="F7347" s="42"/>
      <c r="G7347" s="42"/>
      <c r="H7347" s="42"/>
      <c r="AG7347" s="19">
        <v>7346</v>
      </c>
      <c r="AH7347" s="20">
        <v>1039.9033127129912</v>
      </c>
    </row>
    <row r="7348" spans="1:34" ht="14.5" x14ac:dyDescent="0.35">
      <c r="A7348" s="34"/>
      <c r="B7348" s="35"/>
      <c r="C7348" s="36"/>
      <c r="D7348" s="37"/>
      <c r="E7348" s="36"/>
      <c r="F7348" s="42"/>
      <c r="G7348" s="42"/>
      <c r="H7348" s="42"/>
      <c r="AG7348" s="19">
        <v>7347</v>
      </c>
      <c r="AH7348" s="20">
        <v>3761.4672393395799</v>
      </c>
    </row>
    <row r="7349" spans="1:34" ht="14.5" x14ac:dyDescent="0.35">
      <c r="A7349" s="34"/>
      <c r="B7349" s="35"/>
      <c r="C7349" s="36"/>
      <c r="D7349" s="37"/>
      <c r="E7349" s="36"/>
      <c r="F7349" s="42"/>
      <c r="G7349" s="42"/>
      <c r="H7349" s="42"/>
      <c r="AG7349" s="19">
        <v>7348</v>
      </c>
      <c r="AH7349" s="20">
        <v>3021.1125752477333</v>
      </c>
    </row>
    <row r="7350" spans="1:34" ht="14.5" x14ac:dyDescent="0.35">
      <c r="A7350" s="34"/>
      <c r="B7350" s="35"/>
      <c r="C7350" s="36"/>
      <c r="D7350" s="37"/>
      <c r="E7350" s="36"/>
      <c r="F7350" s="42"/>
      <c r="G7350" s="42"/>
      <c r="H7350" s="42"/>
      <c r="AG7350" s="19">
        <v>7349</v>
      </c>
      <c r="AH7350" s="20">
        <v>-2786.59949657584</v>
      </c>
    </row>
    <row r="7351" spans="1:34" ht="14.5" x14ac:dyDescent="0.35">
      <c r="A7351" s="34"/>
      <c r="B7351" s="35"/>
      <c r="C7351" s="36"/>
      <c r="D7351" s="37"/>
      <c r="E7351" s="36"/>
      <c r="F7351" s="42"/>
      <c r="G7351" s="42"/>
      <c r="H7351" s="42"/>
      <c r="AG7351" s="19">
        <v>7350</v>
      </c>
      <c r="AH7351" s="20">
        <v>-110.41868645186071</v>
      </c>
    </row>
    <row r="7352" spans="1:34" ht="14.5" x14ac:dyDescent="0.35">
      <c r="A7352" s="34"/>
      <c r="B7352" s="35"/>
      <c r="C7352" s="36"/>
      <c r="D7352" s="37"/>
      <c r="E7352" s="36"/>
      <c r="F7352" s="42"/>
      <c r="G7352" s="42"/>
      <c r="H7352" s="42"/>
      <c r="AG7352" s="19">
        <v>7351</v>
      </c>
      <c r="AH7352" s="20">
        <v>-1444.0936713598621</v>
      </c>
    </row>
    <row r="7353" spans="1:34" ht="14.5" x14ac:dyDescent="0.35">
      <c r="A7353" s="34"/>
      <c r="B7353" s="35"/>
      <c r="C7353" s="36"/>
      <c r="D7353" s="37"/>
      <c r="E7353" s="36"/>
      <c r="F7353" s="42"/>
      <c r="G7353" s="42"/>
      <c r="H7353" s="42"/>
      <c r="AG7353" s="19">
        <v>7352</v>
      </c>
      <c r="AH7353" s="20">
        <v>470.7172974953728</v>
      </c>
    </row>
    <row r="7354" spans="1:34" ht="14.5" x14ac:dyDescent="0.35">
      <c r="A7354" s="34"/>
      <c r="B7354" s="35"/>
      <c r="C7354" s="36"/>
      <c r="D7354" s="37"/>
      <c r="E7354" s="36"/>
      <c r="F7354" s="42"/>
      <c r="G7354" s="42"/>
      <c r="H7354" s="42"/>
      <c r="AG7354" s="19">
        <v>7353</v>
      </c>
      <c r="AH7354" s="20">
        <v>-1151.1860692464804</v>
      </c>
    </row>
    <row r="7355" spans="1:34" ht="14.5" x14ac:dyDescent="0.35">
      <c r="A7355" s="34"/>
      <c r="B7355" s="35"/>
      <c r="C7355" s="36"/>
      <c r="D7355" s="37"/>
      <c r="E7355" s="36"/>
      <c r="F7355" s="42"/>
      <c r="G7355" s="42"/>
      <c r="H7355" s="42"/>
      <c r="AG7355" s="19">
        <v>7354</v>
      </c>
      <c r="AH7355" s="20">
        <v>371.21803857327905</v>
      </c>
    </row>
    <row r="7356" spans="1:34" ht="14.5" x14ac:dyDescent="0.35">
      <c r="A7356" s="34"/>
      <c r="B7356" s="35"/>
      <c r="C7356" s="36"/>
      <c r="D7356" s="37"/>
      <c r="E7356" s="36"/>
      <c r="F7356" s="42"/>
      <c r="G7356" s="42"/>
      <c r="H7356" s="42"/>
      <c r="AG7356" s="19">
        <v>7355</v>
      </c>
      <c r="AH7356" s="20">
        <v>-1326.4777608153152</v>
      </c>
    </row>
    <row r="7357" spans="1:34" ht="14.5" x14ac:dyDescent="0.35">
      <c r="A7357" s="34"/>
      <c r="B7357" s="35"/>
      <c r="C7357" s="36"/>
      <c r="D7357" s="37"/>
      <c r="E7357" s="36"/>
      <c r="F7357" s="42"/>
      <c r="G7357" s="42"/>
      <c r="H7357" s="42"/>
      <c r="AG7357" s="19">
        <v>7356</v>
      </c>
      <c r="AH7357" s="20">
        <v>-477.7951359485549</v>
      </c>
    </row>
    <row r="7358" spans="1:34" ht="14.5" x14ac:dyDescent="0.35">
      <c r="A7358" s="34"/>
      <c r="B7358" s="35"/>
      <c r="C7358" s="36"/>
      <c r="D7358" s="37"/>
      <c r="E7358" s="36"/>
      <c r="F7358" s="42"/>
      <c r="G7358" s="42"/>
      <c r="H7358" s="42"/>
      <c r="AG7358" s="19">
        <v>7357</v>
      </c>
      <c r="AH7358" s="20">
        <v>180.4331272932032</v>
      </c>
    </row>
    <row r="7359" spans="1:34" ht="14.5" x14ac:dyDescent="0.35">
      <c r="A7359" s="34"/>
      <c r="B7359" s="35"/>
      <c r="C7359" s="36"/>
      <c r="D7359" s="37"/>
      <c r="E7359" s="36"/>
      <c r="F7359" s="42"/>
      <c r="G7359" s="42"/>
      <c r="H7359" s="42"/>
      <c r="AG7359" s="19">
        <v>7358</v>
      </c>
      <c r="AH7359" s="20">
        <v>3161.0482044840815</v>
      </c>
    </row>
    <row r="7360" spans="1:34" ht="14.5" x14ac:dyDescent="0.35">
      <c r="A7360" s="34"/>
      <c r="B7360" s="35"/>
      <c r="C7360" s="36"/>
      <c r="D7360" s="37"/>
      <c r="E7360" s="36"/>
      <c r="F7360" s="42"/>
      <c r="G7360" s="42"/>
      <c r="H7360" s="42"/>
      <c r="AG7360" s="19">
        <v>7359</v>
      </c>
      <c r="AH7360" s="20">
        <v>-651.12517529520937</v>
      </c>
    </row>
    <row r="7361" spans="1:34" ht="14.5" x14ac:dyDescent="0.35">
      <c r="A7361" s="34"/>
      <c r="B7361" s="35"/>
      <c r="C7361" s="36"/>
      <c r="D7361" s="37"/>
      <c r="E7361" s="36"/>
      <c r="F7361" s="42"/>
      <c r="G7361" s="42"/>
      <c r="H7361" s="42"/>
      <c r="AG7361" s="19">
        <v>7360</v>
      </c>
      <c r="AH7361" s="20">
        <v>26.066757032466739</v>
      </c>
    </row>
    <row r="7362" spans="1:34" ht="14.5" x14ac:dyDescent="0.35">
      <c r="A7362" s="34"/>
      <c r="B7362" s="35"/>
      <c r="C7362" s="36"/>
      <c r="D7362" s="37"/>
      <c r="E7362" s="36"/>
      <c r="F7362" s="42"/>
      <c r="G7362" s="42"/>
      <c r="H7362" s="42"/>
      <c r="AG7362" s="19">
        <v>7361</v>
      </c>
      <c r="AH7362" s="20">
        <v>1980.6192825742007</v>
      </c>
    </row>
    <row r="7363" spans="1:34" ht="14.5" x14ac:dyDescent="0.35">
      <c r="A7363" s="34"/>
      <c r="B7363" s="35"/>
      <c r="C7363" s="36"/>
      <c r="D7363" s="37"/>
      <c r="E7363" s="36"/>
      <c r="F7363" s="42"/>
      <c r="G7363" s="42"/>
      <c r="H7363" s="42"/>
      <c r="AG7363" s="19">
        <v>7362</v>
      </c>
      <c r="AH7363" s="20">
        <v>740.75851980026073</v>
      </c>
    </row>
    <row r="7364" spans="1:34" ht="14.5" x14ac:dyDescent="0.35">
      <c r="A7364" s="34"/>
      <c r="B7364" s="35"/>
      <c r="C7364" s="36"/>
      <c r="D7364" s="37"/>
      <c r="E7364" s="36"/>
      <c r="F7364" s="42"/>
      <c r="G7364" s="42"/>
      <c r="H7364" s="42"/>
      <c r="AG7364" s="19">
        <v>7363</v>
      </c>
      <c r="AH7364" s="20">
        <v>-2056.5087101377494</v>
      </c>
    </row>
    <row r="7365" spans="1:34" ht="14.5" x14ac:dyDescent="0.35">
      <c r="A7365" s="34"/>
      <c r="B7365" s="35"/>
      <c r="C7365" s="36"/>
      <c r="D7365" s="37"/>
      <c r="E7365" s="36"/>
      <c r="F7365" s="42"/>
      <c r="G7365" s="42"/>
      <c r="H7365" s="42"/>
      <c r="AG7365" s="19">
        <v>7364</v>
      </c>
      <c r="AH7365" s="20">
        <v>347.49860068268424</v>
      </c>
    </row>
    <row r="7366" spans="1:34" ht="14.5" x14ac:dyDescent="0.35">
      <c r="A7366" s="34"/>
      <c r="B7366" s="35"/>
      <c r="C7366" s="36"/>
      <c r="D7366" s="37"/>
      <c r="E7366" s="36"/>
      <c r="F7366" s="42"/>
      <c r="G7366" s="42"/>
      <c r="H7366" s="42"/>
      <c r="AG7366" s="19">
        <v>7365</v>
      </c>
      <c r="AH7366" s="20">
        <v>592.25299374113877</v>
      </c>
    </row>
    <row r="7367" spans="1:34" ht="14.5" x14ac:dyDescent="0.35">
      <c r="A7367" s="34"/>
      <c r="B7367" s="35"/>
      <c r="C7367" s="36"/>
      <c r="D7367" s="37"/>
      <c r="E7367" s="36"/>
      <c r="F7367" s="42"/>
      <c r="G7367" s="42"/>
      <c r="H7367" s="42"/>
      <c r="AG7367" s="19">
        <v>7366</v>
      </c>
      <c r="AH7367" s="20">
        <v>-2281.5983176846216</v>
      </c>
    </row>
    <row r="7368" spans="1:34" ht="14.5" x14ac:dyDescent="0.35">
      <c r="A7368" s="34"/>
      <c r="B7368" s="35"/>
      <c r="C7368" s="36"/>
      <c r="D7368" s="37"/>
      <c r="E7368" s="36"/>
      <c r="F7368" s="42"/>
      <c r="G7368" s="42"/>
      <c r="H7368" s="42"/>
      <c r="AG7368" s="19">
        <v>7367</v>
      </c>
      <c r="AH7368" s="20">
        <v>724.08382301972563</v>
      </c>
    </row>
    <row r="7369" spans="1:34" ht="14.5" x14ac:dyDescent="0.35">
      <c r="A7369" s="34"/>
      <c r="B7369" s="35"/>
      <c r="C7369" s="36"/>
      <c r="D7369" s="37"/>
      <c r="E7369" s="36"/>
      <c r="F7369" s="42"/>
      <c r="G7369" s="42"/>
      <c r="H7369" s="42"/>
      <c r="AG7369" s="19">
        <v>7368</v>
      </c>
      <c r="AH7369" s="20">
        <v>2779.6562462793086</v>
      </c>
    </row>
    <row r="7370" spans="1:34" ht="14.5" x14ac:dyDescent="0.35">
      <c r="A7370" s="34"/>
      <c r="B7370" s="35"/>
      <c r="C7370" s="36"/>
      <c r="D7370" s="37"/>
      <c r="E7370" s="36"/>
      <c r="F7370" s="42"/>
      <c r="G7370" s="42"/>
      <c r="H7370" s="42"/>
      <c r="AG7370" s="19">
        <v>7369</v>
      </c>
      <c r="AH7370" s="20">
        <v>-4619.2787525578915</v>
      </c>
    </row>
    <row r="7371" spans="1:34" ht="14.5" x14ac:dyDescent="0.35">
      <c r="A7371" s="34"/>
      <c r="B7371" s="35"/>
      <c r="C7371" s="36"/>
      <c r="D7371" s="37"/>
      <c r="E7371" s="36"/>
      <c r="F7371" s="42"/>
      <c r="G7371" s="42"/>
      <c r="H7371" s="42"/>
      <c r="AG7371" s="19">
        <v>7370</v>
      </c>
      <c r="AH7371" s="20">
        <v>751.33624440786161</v>
      </c>
    </row>
    <row r="7372" spans="1:34" ht="14.5" x14ac:dyDescent="0.35">
      <c r="A7372" s="34"/>
      <c r="B7372" s="35"/>
      <c r="C7372" s="36"/>
      <c r="D7372" s="37"/>
      <c r="E7372" s="36"/>
      <c r="F7372" s="42"/>
      <c r="G7372" s="42"/>
      <c r="H7372" s="42"/>
      <c r="AG7372" s="19">
        <v>7371</v>
      </c>
      <c r="AH7372" s="20">
        <v>-4752.7819411951659</v>
      </c>
    </row>
    <row r="7373" spans="1:34" ht="14.5" x14ac:dyDescent="0.35">
      <c r="A7373" s="34"/>
      <c r="B7373" s="35"/>
      <c r="C7373" s="36"/>
      <c r="D7373" s="37"/>
      <c r="E7373" s="36"/>
      <c r="F7373" s="42"/>
      <c r="G7373" s="42"/>
      <c r="H7373" s="42"/>
      <c r="AG7373" s="19">
        <v>7372</v>
      </c>
      <c r="AH7373" s="20">
        <v>-662.57370952343535</v>
      </c>
    </row>
    <row r="7374" spans="1:34" ht="14.5" x14ac:dyDescent="0.35">
      <c r="A7374" s="34"/>
      <c r="B7374" s="35"/>
      <c r="C7374" s="36"/>
      <c r="D7374" s="37"/>
      <c r="E7374" s="36"/>
      <c r="F7374" s="42"/>
      <c r="G7374" s="42"/>
      <c r="H7374" s="42"/>
      <c r="AG7374" s="19">
        <v>7373</v>
      </c>
      <c r="AH7374" s="20">
        <v>5294.7692291632075</v>
      </c>
    </row>
    <row r="7375" spans="1:34" ht="14.5" x14ac:dyDescent="0.35">
      <c r="A7375" s="34"/>
      <c r="B7375" s="35"/>
      <c r="C7375" s="36"/>
      <c r="D7375" s="37"/>
      <c r="E7375" s="36"/>
      <c r="F7375" s="42"/>
      <c r="G7375" s="42"/>
      <c r="H7375" s="42"/>
      <c r="AG7375" s="19">
        <v>7374</v>
      </c>
      <c r="AH7375" s="20">
        <v>219.37485396226887</v>
      </c>
    </row>
    <row r="7376" spans="1:34" ht="14.5" x14ac:dyDescent="0.35">
      <c r="A7376" s="34"/>
      <c r="B7376" s="35"/>
      <c r="C7376" s="36"/>
      <c r="D7376" s="37"/>
      <c r="E7376" s="36"/>
      <c r="F7376" s="42"/>
      <c r="G7376" s="42"/>
      <c r="H7376" s="42"/>
      <c r="AG7376" s="19">
        <v>7375</v>
      </c>
      <c r="AH7376" s="20">
        <v>3193.7444988943716</v>
      </c>
    </row>
    <row r="7377" spans="1:34" ht="14.5" x14ac:dyDescent="0.35">
      <c r="A7377" s="34"/>
      <c r="B7377" s="35"/>
      <c r="C7377" s="36"/>
      <c r="D7377" s="37"/>
      <c r="E7377" s="36"/>
      <c r="F7377" s="42"/>
      <c r="G7377" s="42"/>
      <c r="H7377" s="42"/>
      <c r="AG7377" s="19">
        <v>7376</v>
      </c>
      <c r="AH7377" s="20">
        <v>2528.4296256310349</v>
      </c>
    </row>
    <row r="7378" spans="1:34" ht="14.5" x14ac:dyDescent="0.35">
      <c r="A7378" s="34"/>
      <c r="B7378" s="35"/>
      <c r="C7378" s="36"/>
      <c r="D7378" s="37"/>
      <c r="E7378" s="36"/>
      <c r="F7378" s="42"/>
      <c r="G7378" s="42"/>
      <c r="H7378" s="42"/>
      <c r="AG7378" s="19">
        <v>7377</v>
      </c>
      <c r="AH7378" s="20">
        <v>6506.7791469063959</v>
      </c>
    </row>
    <row r="7379" spans="1:34" ht="14.5" x14ac:dyDescent="0.35">
      <c r="A7379" s="34"/>
      <c r="B7379" s="35"/>
      <c r="C7379" s="36"/>
      <c r="D7379" s="37"/>
      <c r="E7379" s="36"/>
      <c r="F7379" s="42"/>
      <c r="G7379" s="42"/>
      <c r="H7379" s="42"/>
      <c r="AG7379" s="19">
        <v>7378</v>
      </c>
      <c r="AH7379" s="20">
        <v>-882.05950537975855</v>
      </c>
    </row>
    <row r="7380" spans="1:34" ht="14.5" x14ac:dyDescent="0.35">
      <c r="A7380" s="34"/>
      <c r="B7380" s="35"/>
      <c r="C7380" s="36"/>
      <c r="D7380" s="37"/>
      <c r="E7380" s="36"/>
      <c r="F7380" s="42"/>
      <c r="G7380" s="42"/>
      <c r="H7380" s="42"/>
      <c r="AG7380" s="19">
        <v>7379</v>
      </c>
      <c r="AH7380" s="20">
        <v>-292.24860553447621</v>
      </c>
    </row>
    <row r="7381" spans="1:34" ht="14.5" x14ac:dyDescent="0.35">
      <c r="A7381" s="34"/>
      <c r="B7381" s="35"/>
      <c r="C7381" s="36"/>
      <c r="D7381" s="37"/>
      <c r="E7381" s="36"/>
      <c r="F7381" s="42"/>
      <c r="G7381" s="42"/>
      <c r="H7381" s="42"/>
      <c r="AG7381" s="19">
        <v>7380</v>
      </c>
      <c r="AH7381" s="20">
        <v>1712.995879290316</v>
      </c>
    </row>
    <row r="7382" spans="1:34" ht="14.5" x14ac:dyDescent="0.35">
      <c r="A7382" s="34"/>
      <c r="B7382" s="35"/>
      <c r="C7382" s="36"/>
      <c r="D7382" s="37"/>
      <c r="E7382" s="36"/>
      <c r="F7382" s="42"/>
      <c r="G7382" s="42"/>
      <c r="H7382" s="42"/>
      <c r="AG7382" s="19">
        <v>7381</v>
      </c>
      <c r="AH7382" s="20">
        <v>-1749.5528440628088</v>
      </c>
    </row>
    <row r="7383" spans="1:34" ht="14.5" x14ac:dyDescent="0.35">
      <c r="A7383" s="34"/>
      <c r="B7383" s="35"/>
      <c r="C7383" s="36"/>
      <c r="D7383" s="37"/>
      <c r="E7383" s="36"/>
      <c r="F7383" s="42"/>
      <c r="G7383" s="42"/>
      <c r="H7383" s="42"/>
      <c r="AG7383" s="19">
        <v>7382</v>
      </c>
      <c r="AH7383" s="20">
        <v>-2944.3230060478513</v>
      </c>
    </row>
    <row r="7384" spans="1:34" ht="14.5" x14ac:dyDescent="0.35">
      <c r="A7384" s="34"/>
      <c r="B7384" s="35"/>
      <c r="C7384" s="36"/>
      <c r="D7384" s="37"/>
      <c r="E7384" s="36"/>
      <c r="F7384" s="42"/>
      <c r="G7384" s="42"/>
      <c r="H7384" s="42"/>
      <c r="AG7384" s="19">
        <v>7383</v>
      </c>
      <c r="AH7384" s="20">
        <v>2433.5718186859708</v>
      </c>
    </row>
    <row r="7385" spans="1:34" ht="14.5" x14ac:dyDescent="0.35">
      <c r="A7385" s="34"/>
      <c r="B7385" s="35"/>
      <c r="C7385" s="36"/>
      <c r="D7385" s="37"/>
      <c r="E7385" s="36"/>
      <c r="F7385" s="42"/>
      <c r="G7385" s="42"/>
      <c r="H7385" s="42"/>
      <c r="AG7385" s="19">
        <v>7384</v>
      </c>
      <c r="AH7385" s="20">
        <v>1448.2187562798476</v>
      </c>
    </row>
    <row r="7386" spans="1:34" ht="14.5" x14ac:dyDescent="0.35">
      <c r="A7386" s="34"/>
      <c r="B7386" s="35"/>
      <c r="C7386" s="36"/>
      <c r="D7386" s="37"/>
      <c r="E7386" s="36"/>
      <c r="F7386" s="42"/>
      <c r="G7386" s="42"/>
      <c r="H7386" s="42"/>
      <c r="AG7386" s="19">
        <v>7385</v>
      </c>
      <c r="AH7386" s="20">
        <v>264.31863636744367</v>
      </c>
    </row>
    <row r="7387" spans="1:34" ht="14.5" x14ac:dyDescent="0.35">
      <c r="A7387" s="34"/>
      <c r="B7387" s="35"/>
      <c r="C7387" s="36"/>
      <c r="D7387" s="37"/>
      <c r="E7387" s="36"/>
      <c r="F7387" s="42"/>
      <c r="G7387" s="42"/>
      <c r="H7387" s="42"/>
      <c r="AG7387" s="19">
        <v>7386</v>
      </c>
      <c r="AH7387" s="20">
        <v>-2666.4849549496848</v>
      </c>
    </row>
    <row r="7388" spans="1:34" ht="14.5" x14ac:dyDescent="0.35">
      <c r="A7388" s="34"/>
      <c r="B7388" s="35"/>
      <c r="C7388" s="36"/>
      <c r="D7388" s="37"/>
      <c r="E7388" s="36"/>
      <c r="F7388" s="42"/>
      <c r="G7388" s="42"/>
      <c r="H7388" s="42"/>
      <c r="AG7388" s="19">
        <v>7387</v>
      </c>
      <c r="AH7388" s="20">
        <v>-328.98951085763605</v>
      </c>
    </row>
    <row r="7389" spans="1:34" ht="14.5" x14ac:dyDescent="0.35">
      <c r="A7389" s="34"/>
      <c r="B7389" s="35"/>
      <c r="C7389" s="36"/>
      <c r="D7389" s="37"/>
      <c r="E7389" s="36"/>
      <c r="F7389" s="42"/>
      <c r="G7389" s="42"/>
      <c r="H7389" s="42"/>
      <c r="AG7389" s="19">
        <v>7388</v>
      </c>
      <c r="AH7389" s="20">
        <v>-1344.497072612498</v>
      </c>
    </row>
    <row r="7390" spans="1:34" ht="14.5" x14ac:dyDescent="0.35">
      <c r="A7390" s="34"/>
      <c r="B7390" s="35"/>
      <c r="C7390" s="36"/>
      <c r="D7390" s="37"/>
      <c r="E7390" s="36"/>
      <c r="F7390" s="42"/>
      <c r="G7390" s="42"/>
      <c r="H7390" s="42"/>
      <c r="AG7390" s="19">
        <v>7389</v>
      </c>
      <c r="AH7390" s="20">
        <v>2284.0518856892268</v>
      </c>
    </row>
    <row r="7391" spans="1:34" ht="14.5" x14ac:dyDescent="0.35">
      <c r="A7391" s="34"/>
      <c r="B7391" s="35"/>
      <c r="C7391" s="36"/>
      <c r="D7391" s="37"/>
      <c r="E7391" s="36"/>
      <c r="F7391" s="42"/>
      <c r="G7391" s="42"/>
      <c r="H7391" s="42"/>
      <c r="AG7391" s="19">
        <v>7390</v>
      </c>
      <c r="AH7391" s="20">
        <v>2265.249598465361</v>
      </c>
    </row>
    <row r="7392" spans="1:34" ht="14.5" x14ac:dyDescent="0.35">
      <c r="A7392" s="34"/>
      <c r="B7392" s="35"/>
      <c r="C7392" s="36"/>
      <c r="D7392" s="37"/>
      <c r="E7392" s="36"/>
      <c r="F7392" s="42"/>
      <c r="G7392" s="42"/>
      <c r="H7392" s="42"/>
      <c r="AG7392" s="19">
        <v>7391</v>
      </c>
      <c r="AH7392" s="20">
        <v>-727.48561790663393</v>
      </c>
    </row>
    <row r="7393" spans="1:34" ht="14.5" x14ac:dyDescent="0.35">
      <c r="A7393" s="34"/>
      <c r="B7393" s="35"/>
      <c r="C7393" s="36"/>
      <c r="D7393" s="37"/>
      <c r="E7393" s="36"/>
      <c r="F7393" s="42"/>
      <c r="G7393" s="42"/>
      <c r="H7393" s="42"/>
      <c r="AG7393" s="19">
        <v>7392</v>
      </c>
      <c r="AH7393" s="20">
        <v>3606.6544527552855</v>
      </c>
    </row>
    <row r="7394" spans="1:34" ht="14.5" x14ac:dyDescent="0.35">
      <c r="A7394" s="34"/>
      <c r="B7394" s="35"/>
      <c r="C7394" s="36"/>
      <c r="D7394" s="37"/>
      <c r="E7394" s="36"/>
      <c r="F7394" s="42"/>
      <c r="G7394" s="42"/>
      <c r="H7394" s="42"/>
      <c r="AG7394" s="19">
        <v>7393</v>
      </c>
      <c r="AH7394" s="20">
        <v>113.48893561396301</v>
      </c>
    </row>
    <row r="7395" spans="1:34" ht="14.5" x14ac:dyDescent="0.35">
      <c r="A7395" s="34"/>
      <c r="B7395" s="35"/>
      <c r="C7395" s="36"/>
      <c r="D7395" s="37"/>
      <c r="E7395" s="36"/>
      <c r="F7395" s="42"/>
      <c r="G7395" s="42"/>
      <c r="H7395" s="42"/>
      <c r="AG7395" s="19">
        <v>7394</v>
      </c>
      <c r="AH7395" s="20">
        <v>2505.1614418117319</v>
      </c>
    </row>
    <row r="7396" spans="1:34" ht="14.5" x14ac:dyDescent="0.35">
      <c r="A7396" s="34"/>
      <c r="B7396" s="35"/>
      <c r="C7396" s="36"/>
      <c r="D7396" s="37"/>
      <c r="E7396" s="36"/>
      <c r="F7396" s="42"/>
      <c r="G7396" s="42"/>
      <c r="H7396" s="42"/>
      <c r="AG7396" s="19">
        <v>7395</v>
      </c>
      <c r="AH7396" s="20">
        <v>-2886.7254429871832</v>
      </c>
    </row>
    <row r="7397" spans="1:34" ht="14.5" x14ac:dyDescent="0.35">
      <c r="A7397" s="34"/>
      <c r="B7397" s="35"/>
      <c r="C7397" s="36"/>
      <c r="D7397" s="37"/>
      <c r="E7397" s="36"/>
      <c r="F7397" s="42"/>
      <c r="G7397" s="42"/>
      <c r="H7397" s="42"/>
      <c r="AG7397" s="19">
        <v>7396</v>
      </c>
      <c r="AH7397" s="20">
        <v>-143.08968571378858</v>
      </c>
    </row>
    <row r="7398" spans="1:34" ht="14.5" x14ac:dyDescent="0.35">
      <c r="A7398" s="34"/>
      <c r="B7398" s="35"/>
      <c r="C7398" s="36"/>
      <c r="D7398" s="37"/>
      <c r="E7398" s="36"/>
      <c r="F7398" s="42"/>
      <c r="G7398" s="42"/>
      <c r="H7398" s="42"/>
      <c r="AG7398" s="19">
        <v>7397</v>
      </c>
      <c r="AH7398" s="20">
        <v>-256.7300879678167</v>
      </c>
    </row>
    <row r="7399" spans="1:34" ht="14.5" x14ac:dyDescent="0.35">
      <c r="A7399" s="34"/>
      <c r="B7399" s="35"/>
      <c r="C7399" s="36"/>
      <c r="D7399" s="37"/>
      <c r="E7399" s="36"/>
      <c r="F7399" s="42"/>
      <c r="G7399" s="42"/>
      <c r="H7399" s="42"/>
      <c r="AG7399" s="19">
        <v>7398</v>
      </c>
      <c r="AH7399" s="20">
        <v>306.36471211297112</v>
      </c>
    </row>
    <row r="7400" spans="1:34" ht="14.5" x14ac:dyDescent="0.35">
      <c r="A7400" s="34"/>
      <c r="B7400" s="35"/>
      <c r="C7400" s="36"/>
      <c r="D7400" s="37"/>
      <c r="E7400" s="36"/>
      <c r="F7400" s="42"/>
      <c r="G7400" s="42"/>
      <c r="H7400" s="42"/>
      <c r="AG7400" s="19">
        <v>7399</v>
      </c>
      <c r="AH7400" s="20">
        <v>2566.6297762201771</v>
      </c>
    </row>
    <row r="7401" spans="1:34" ht="14.5" x14ac:dyDescent="0.35">
      <c r="A7401" s="34"/>
      <c r="B7401" s="35"/>
      <c r="C7401" s="36"/>
      <c r="D7401" s="37"/>
      <c r="E7401" s="36"/>
      <c r="F7401" s="42"/>
      <c r="G7401" s="42"/>
      <c r="H7401" s="42"/>
      <c r="AG7401" s="19">
        <v>7400</v>
      </c>
      <c r="AH7401" s="20">
        <v>-1153.0449082895193</v>
      </c>
    </row>
    <row r="7402" spans="1:34" ht="14.5" x14ac:dyDescent="0.35">
      <c r="A7402" s="34"/>
      <c r="B7402" s="35"/>
      <c r="C7402" s="36"/>
      <c r="D7402" s="37"/>
      <c r="E7402" s="36"/>
      <c r="F7402" s="42"/>
      <c r="G7402" s="42"/>
      <c r="H7402" s="42"/>
      <c r="AG7402" s="19">
        <v>7401</v>
      </c>
      <c r="AH7402" s="20">
        <v>374.75704660153883</v>
      </c>
    </row>
    <row r="7403" spans="1:34" ht="14.5" x14ac:dyDescent="0.35">
      <c r="A7403" s="34"/>
      <c r="B7403" s="35"/>
      <c r="C7403" s="36"/>
      <c r="D7403" s="37"/>
      <c r="E7403" s="36"/>
      <c r="F7403" s="42"/>
      <c r="G7403" s="42"/>
      <c r="H7403" s="42"/>
      <c r="AG7403" s="19">
        <v>7402</v>
      </c>
      <c r="AH7403" s="20">
        <v>3562.8402421752371</v>
      </c>
    </row>
    <row r="7404" spans="1:34" ht="14.5" x14ac:dyDescent="0.35">
      <c r="A7404" s="34"/>
      <c r="B7404" s="35"/>
      <c r="C7404" s="36"/>
      <c r="D7404" s="37"/>
      <c r="E7404" s="36"/>
      <c r="F7404" s="42"/>
      <c r="G7404" s="42"/>
      <c r="H7404" s="42"/>
      <c r="AG7404" s="19">
        <v>7403</v>
      </c>
      <c r="AH7404" s="20">
        <v>3367.6068389658371</v>
      </c>
    </row>
    <row r="7405" spans="1:34" ht="14.5" x14ac:dyDescent="0.35">
      <c r="A7405" s="34"/>
      <c r="B7405" s="35"/>
      <c r="C7405" s="36"/>
      <c r="D7405" s="37"/>
      <c r="E7405" s="36"/>
      <c r="F7405" s="42"/>
      <c r="G7405" s="42"/>
      <c r="H7405" s="42"/>
      <c r="AG7405" s="19">
        <v>7404</v>
      </c>
      <c r="AH7405" s="20">
        <v>-178.15298729311274</v>
      </c>
    </row>
    <row r="7406" spans="1:34" ht="14.5" x14ac:dyDescent="0.35">
      <c r="A7406" s="34"/>
      <c r="B7406" s="35"/>
      <c r="C7406" s="36"/>
      <c r="D7406" s="37"/>
      <c r="E7406" s="36"/>
      <c r="F7406" s="42"/>
      <c r="G7406" s="42"/>
      <c r="H7406" s="42"/>
      <c r="AG7406" s="19">
        <v>7405</v>
      </c>
      <c r="AH7406" s="20">
        <v>-7.1773060672942961</v>
      </c>
    </row>
    <row r="7407" spans="1:34" ht="14.5" x14ac:dyDescent="0.35">
      <c r="A7407" s="34"/>
      <c r="B7407" s="35"/>
      <c r="C7407" s="36"/>
      <c r="D7407" s="37"/>
      <c r="E7407" s="36"/>
      <c r="F7407" s="42"/>
      <c r="G7407" s="42"/>
      <c r="H7407" s="42"/>
      <c r="AG7407" s="19">
        <v>7406</v>
      </c>
      <c r="AH7407" s="20">
        <v>954.54699657973151</v>
      </c>
    </row>
    <row r="7408" spans="1:34" ht="14.5" x14ac:dyDescent="0.35">
      <c r="A7408" s="34"/>
      <c r="B7408" s="35"/>
      <c r="C7408" s="36"/>
      <c r="D7408" s="37"/>
      <c r="E7408" s="36"/>
      <c r="F7408" s="42"/>
      <c r="G7408" s="42"/>
      <c r="H7408" s="42"/>
      <c r="AG7408" s="19">
        <v>7407</v>
      </c>
      <c r="AH7408" s="20">
        <v>-628.13120036036389</v>
      </c>
    </row>
    <row r="7409" spans="1:34" ht="14.5" x14ac:dyDescent="0.35">
      <c r="A7409" s="34"/>
      <c r="B7409" s="35"/>
      <c r="C7409" s="36"/>
      <c r="D7409" s="37"/>
      <c r="E7409" s="36"/>
      <c r="F7409" s="42"/>
      <c r="G7409" s="42"/>
      <c r="H7409" s="42"/>
      <c r="AG7409" s="19">
        <v>7408</v>
      </c>
      <c r="AH7409" s="20">
        <v>-228.7514542249707</v>
      </c>
    </row>
    <row r="7410" spans="1:34" ht="14.5" x14ac:dyDescent="0.35">
      <c r="A7410" s="34"/>
      <c r="B7410" s="35"/>
      <c r="C7410" s="36"/>
      <c r="D7410" s="37"/>
      <c r="E7410" s="36"/>
      <c r="F7410" s="42"/>
      <c r="G7410" s="42"/>
      <c r="H7410" s="42"/>
      <c r="AG7410" s="19">
        <v>7409</v>
      </c>
      <c r="AH7410" s="20">
        <v>1815.9712310474079</v>
      </c>
    </row>
    <row r="7411" spans="1:34" ht="14.5" x14ac:dyDescent="0.35">
      <c r="A7411" s="34"/>
      <c r="B7411" s="35"/>
      <c r="C7411" s="36"/>
      <c r="D7411" s="37"/>
      <c r="E7411" s="36"/>
      <c r="F7411" s="42"/>
      <c r="G7411" s="42"/>
      <c r="H7411" s="42"/>
      <c r="AG7411" s="19">
        <v>7410</v>
      </c>
      <c r="AH7411" s="20">
        <v>1427.5043496559765</v>
      </c>
    </row>
    <row r="7412" spans="1:34" ht="14.5" x14ac:dyDescent="0.35">
      <c r="A7412" s="34"/>
      <c r="B7412" s="35"/>
      <c r="C7412" s="36"/>
      <c r="D7412" s="37"/>
      <c r="E7412" s="36"/>
      <c r="F7412" s="42"/>
      <c r="G7412" s="42"/>
      <c r="H7412" s="42"/>
      <c r="AG7412" s="19">
        <v>7411</v>
      </c>
      <c r="AH7412" s="20">
        <v>828.89995866249569</v>
      </c>
    </row>
    <row r="7413" spans="1:34" ht="14.5" x14ac:dyDescent="0.35">
      <c r="A7413" s="34"/>
      <c r="B7413" s="35"/>
      <c r="C7413" s="36"/>
      <c r="D7413" s="37"/>
      <c r="E7413" s="36"/>
      <c r="F7413" s="42"/>
      <c r="G7413" s="42"/>
      <c r="H7413" s="42"/>
      <c r="AG7413" s="19">
        <v>7412</v>
      </c>
      <c r="AH7413" s="20">
        <v>2731.6752289788296</v>
      </c>
    </row>
    <row r="7414" spans="1:34" ht="14.5" x14ac:dyDescent="0.35">
      <c r="A7414" s="34"/>
      <c r="B7414" s="35"/>
      <c r="C7414" s="36"/>
      <c r="D7414" s="37"/>
      <c r="E7414" s="36"/>
      <c r="F7414" s="42"/>
      <c r="G7414" s="42"/>
      <c r="H7414" s="42"/>
      <c r="AG7414" s="19">
        <v>7413</v>
      </c>
      <c r="AH7414" s="20">
        <v>-1112.956988538047</v>
      </c>
    </row>
    <row r="7415" spans="1:34" ht="14.5" x14ac:dyDescent="0.35">
      <c r="A7415" s="34"/>
      <c r="B7415" s="35"/>
      <c r="C7415" s="36"/>
      <c r="D7415" s="37"/>
      <c r="E7415" s="36"/>
      <c r="F7415" s="42"/>
      <c r="G7415" s="42"/>
      <c r="H7415" s="42"/>
      <c r="AG7415" s="19">
        <v>7414</v>
      </c>
      <c r="AH7415" s="20">
        <v>-1089.7174379940082</v>
      </c>
    </row>
    <row r="7416" spans="1:34" ht="14.5" x14ac:dyDescent="0.35">
      <c r="A7416" s="34"/>
      <c r="B7416" s="35"/>
      <c r="C7416" s="36"/>
      <c r="D7416" s="37"/>
      <c r="E7416" s="36"/>
      <c r="F7416" s="42"/>
      <c r="G7416" s="42"/>
      <c r="H7416" s="42"/>
      <c r="AG7416" s="19">
        <v>7415</v>
      </c>
      <c r="AH7416" s="20">
        <v>2357.8593442316846</v>
      </c>
    </row>
    <row r="7417" spans="1:34" ht="14.5" x14ac:dyDescent="0.35">
      <c r="A7417" s="34"/>
      <c r="B7417" s="35"/>
      <c r="C7417" s="36"/>
      <c r="D7417" s="37"/>
      <c r="E7417" s="36"/>
      <c r="F7417" s="42"/>
      <c r="G7417" s="42"/>
      <c r="H7417" s="42"/>
      <c r="AG7417" s="19">
        <v>7416</v>
      </c>
      <c r="AH7417" s="20">
        <v>-1719.5160448423173</v>
      </c>
    </row>
    <row r="7418" spans="1:34" ht="14.5" x14ac:dyDescent="0.35">
      <c r="A7418" s="34"/>
      <c r="B7418" s="35"/>
      <c r="C7418" s="36"/>
      <c r="D7418" s="37"/>
      <c r="E7418" s="36"/>
      <c r="F7418" s="42"/>
      <c r="G7418" s="42"/>
      <c r="H7418" s="42"/>
      <c r="AG7418" s="19">
        <v>7417</v>
      </c>
      <c r="AH7418" s="20">
        <v>-1780.166890545838</v>
      </c>
    </row>
    <row r="7419" spans="1:34" ht="14.5" x14ac:dyDescent="0.35">
      <c r="A7419" s="34"/>
      <c r="B7419" s="35"/>
      <c r="C7419" s="36"/>
      <c r="D7419" s="37"/>
      <c r="E7419" s="36"/>
      <c r="F7419" s="42"/>
      <c r="G7419" s="42"/>
      <c r="H7419" s="42"/>
      <c r="AG7419" s="19">
        <v>7418</v>
      </c>
      <c r="AH7419" s="20">
        <v>1435.5646240219987</v>
      </c>
    </row>
    <row r="7420" spans="1:34" ht="14.5" x14ac:dyDescent="0.35">
      <c r="A7420" s="34"/>
      <c r="B7420" s="35"/>
      <c r="C7420" s="36"/>
      <c r="D7420" s="37"/>
      <c r="E7420" s="36"/>
      <c r="F7420" s="42"/>
      <c r="G7420" s="42"/>
      <c r="H7420" s="42"/>
      <c r="AG7420" s="19">
        <v>7419</v>
      </c>
      <c r="AH7420" s="20">
        <v>628.80063491577812</v>
      </c>
    </row>
    <row r="7421" spans="1:34" ht="14.5" x14ac:dyDescent="0.35">
      <c r="A7421" s="34"/>
      <c r="B7421" s="35"/>
      <c r="C7421" s="36"/>
      <c r="D7421" s="37"/>
      <c r="E7421" s="36"/>
      <c r="F7421" s="42"/>
      <c r="G7421" s="42"/>
      <c r="H7421" s="42"/>
      <c r="AG7421" s="19">
        <v>7420</v>
      </c>
      <c r="AH7421" s="20">
        <v>458.80522219786405</v>
      </c>
    </row>
    <row r="7422" spans="1:34" ht="14.5" x14ac:dyDescent="0.35">
      <c r="A7422" s="34"/>
      <c r="B7422" s="35"/>
      <c r="C7422" s="36"/>
      <c r="D7422" s="37"/>
      <c r="E7422" s="36"/>
      <c r="F7422" s="42"/>
      <c r="G7422" s="42"/>
      <c r="H7422" s="42"/>
      <c r="AG7422" s="19">
        <v>7421</v>
      </c>
      <c r="AH7422" s="20">
        <v>-2193.2727928865829</v>
      </c>
    </row>
    <row r="7423" spans="1:34" ht="14.5" x14ac:dyDescent="0.35">
      <c r="A7423" s="34"/>
      <c r="B7423" s="35"/>
      <c r="C7423" s="36"/>
      <c r="D7423" s="37"/>
      <c r="E7423" s="36"/>
      <c r="F7423" s="42"/>
      <c r="G7423" s="42"/>
      <c r="H7423" s="42"/>
      <c r="AG7423" s="19">
        <v>7422</v>
      </c>
      <c r="AH7423" s="20">
        <v>1138.4141475028148</v>
      </c>
    </row>
    <row r="7424" spans="1:34" ht="14.5" x14ac:dyDescent="0.35">
      <c r="A7424" s="34"/>
      <c r="B7424" s="35"/>
      <c r="C7424" s="36"/>
      <c r="D7424" s="37"/>
      <c r="E7424" s="36"/>
      <c r="F7424" s="42"/>
      <c r="G7424" s="42"/>
      <c r="H7424" s="42"/>
      <c r="AG7424" s="19">
        <v>7423</v>
      </c>
      <c r="AH7424" s="20">
        <v>3433.9686497129333</v>
      </c>
    </row>
    <row r="7425" spans="1:34" ht="14.5" x14ac:dyDescent="0.35">
      <c r="A7425" s="34"/>
      <c r="B7425" s="35"/>
      <c r="C7425" s="36"/>
      <c r="D7425" s="37"/>
      <c r="E7425" s="36"/>
      <c r="F7425" s="42"/>
      <c r="G7425" s="42"/>
      <c r="H7425" s="42"/>
      <c r="AG7425" s="19">
        <v>7424</v>
      </c>
      <c r="AH7425" s="20">
        <v>-1012.9241499165571</v>
      </c>
    </row>
    <row r="7426" spans="1:34" ht="14.5" x14ac:dyDescent="0.35">
      <c r="A7426" s="34"/>
      <c r="B7426" s="35"/>
      <c r="C7426" s="36"/>
      <c r="D7426" s="37"/>
      <c r="E7426" s="36"/>
      <c r="F7426" s="42"/>
      <c r="G7426" s="42"/>
      <c r="H7426" s="42"/>
      <c r="AG7426" s="19">
        <v>7425</v>
      </c>
      <c r="AH7426" s="20">
        <v>-1614.4817870701681</v>
      </c>
    </row>
    <row r="7427" spans="1:34" ht="14.5" x14ac:dyDescent="0.35">
      <c r="A7427" s="34"/>
      <c r="B7427" s="35"/>
      <c r="C7427" s="36"/>
      <c r="D7427" s="37"/>
      <c r="E7427" s="36"/>
      <c r="F7427" s="42"/>
      <c r="G7427" s="42"/>
      <c r="H7427" s="42"/>
      <c r="AG7427" s="19">
        <v>7426</v>
      </c>
      <c r="AH7427" s="20">
        <v>-3543.4287278473303</v>
      </c>
    </row>
    <row r="7428" spans="1:34" ht="14.5" x14ac:dyDescent="0.35">
      <c r="A7428" s="34"/>
      <c r="B7428" s="35"/>
      <c r="C7428" s="36"/>
      <c r="D7428" s="37"/>
      <c r="E7428" s="36"/>
      <c r="F7428" s="42"/>
      <c r="G7428" s="42"/>
      <c r="H7428" s="42"/>
      <c r="AG7428" s="19">
        <v>7427</v>
      </c>
      <c r="AH7428" s="20">
        <v>1739.723641532182</v>
      </c>
    </row>
    <row r="7429" spans="1:34" ht="14.5" x14ac:dyDescent="0.35">
      <c r="A7429" s="34"/>
      <c r="B7429" s="35"/>
      <c r="C7429" s="36"/>
      <c r="D7429" s="37"/>
      <c r="E7429" s="36"/>
      <c r="F7429" s="42"/>
      <c r="G7429" s="42"/>
      <c r="H7429" s="42"/>
      <c r="AG7429" s="19">
        <v>7428</v>
      </c>
      <c r="AH7429" s="20">
        <v>-3287.0601003450752</v>
      </c>
    </row>
    <row r="7430" spans="1:34" ht="14.5" x14ac:dyDescent="0.35">
      <c r="A7430" s="34"/>
      <c r="B7430" s="35"/>
      <c r="C7430" s="36"/>
      <c r="D7430" s="37"/>
      <c r="E7430" s="36"/>
      <c r="F7430" s="42"/>
      <c r="G7430" s="42"/>
      <c r="H7430" s="42"/>
      <c r="AG7430" s="19">
        <v>7429</v>
      </c>
      <c r="AH7430" s="20">
        <v>-1132.0644664734978</v>
      </c>
    </row>
    <row r="7431" spans="1:34" ht="14.5" x14ac:dyDescent="0.35">
      <c r="A7431" s="34"/>
      <c r="B7431" s="35"/>
      <c r="C7431" s="36"/>
      <c r="D7431" s="37"/>
      <c r="E7431" s="36"/>
      <c r="F7431" s="42"/>
      <c r="G7431" s="42"/>
      <c r="H7431" s="42"/>
      <c r="AG7431" s="19">
        <v>7430</v>
      </c>
      <c r="AH7431" s="20">
        <v>180.33076392726261</v>
      </c>
    </row>
    <row r="7432" spans="1:34" ht="14.5" x14ac:dyDescent="0.35">
      <c r="A7432" s="34"/>
      <c r="B7432" s="35"/>
      <c r="C7432" s="36"/>
      <c r="D7432" s="37"/>
      <c r="E7432" s="36"/>
      <c r="F7432" s="42"/>
      <c r="G7432" s="42"/>
      <c r="H7432" s="42"/>
      <c r="AG7432" s="19">
        <v>7431</v>
      </c>
      <c r="AH7432" s="20">
        <v>807.68128278942777</v>
      </c>
    </row>
    <row r="7433" spans="1:34" ht="14.5" x14ac:dyDescent="0.35">
      <c r="A7433" s="34"/>
      <c r="B7433" s="35"/>
      <c r="C7433" s="36"/>
      <c r="D7433" s="37"/>
      <c r="E7433" s="36"/>
      <c r="F7433" s="42"/>
      <c r="G7433" s="42"/>
      <c r="H7433" s="42"/>
      <c r="AG7433" s="19">
        <v>7432</v>
      </c>
      <c r="AH7433" s="20">
        <v>-1806.3345027995495</v>
      </c>
    </row>
    <row r="7434" spans="1:34" ht="14.5" x14ac:dyDescent="0.35">
      <c r="A7434" s="34"/>
      <c r="B7434" s="35"/>
      <c r="C7434" s="36"/>
      <c r="D7434" s="37"/>
      <c r="E7434" s="36"/>
      <c r="F7434" s="42"/>
      <c r="G7434" s="42"/>
      <c r="H7434" s="42"/>
      <c r="AG7434" s="19">
        <v>7433</v>
      </c>
      <c r="AH7434" s="20">
        <v>3167.5097771461842</v>
      </c>
    </row>
    <row r="7435" spans="1:34" ht="14.5" x14ac:dyDescent="0.35">
      <c r="A7435" s="34"/>
      <c r="B7435" s="35"/>
      <c r="C7435" s="36"/>
      <c r="D7435" s="37"/>
      <c r="E7435" s="36"/>
      <c r="F7435" s="42"/>
      <c r="G7435" s="42"/>
      <c r="H7435" s="42"/>
      <c r="AG7435" s="19">
        <v>7434</v>
      </c>
      <c r="AH7435" s="20">
        <v>889.65122447301928</v>
      </c>
    </row>
    <row r="7436" spans="1:34" ht="14.5" x14ac:dyDescent="0.35">
      <c r="A7436" s="34"/>
      <c r="B7436" s="35"/>
      <c r="C7436" s="36"/>
      <c r="D7436" s="37"/>
      <c r="E7436" s="36"/>
      <c r="F7436" s="42"/>
      <c r="G7436" s="42"/>
      <c r="H7436" s="42"/>
      <c r="AG7436" s="19">
        <v>7435</v>
      </c>
      <c r="AH7436" s="20">
        <v>-2964.7041238683209</v>
      </c>
    </row>
    <row r="7437" spans="1:34" ht="14.5" x14ac:dyDescent="0.35">
      <c r="A7437" s="34"/>
      <c r="B7437" s="35"/>
      <c r="C7437" s="36"/>
      <c r="D7437" s="37"/>
      <c r="E7437" s="36"/>
      <c r="F7437" s="42"/>
      <c r="G7437" s="42"/>
      <c r="H7437" s="42"/>
      <c r="AG7437" s="19">
        <v>7436</v>
      </c>
      <c r="AH7437" s="20">
        <v>-1425.5574450578267</v>
      </c>
    </row>
    <row r="7438" spans="1:34" ht="14.5" x14ac:dyDescent="0.35">
      <c r="A7438" s="34"/>
      <c r="B7438" s="35"/>
      <c r="C7438" s="36"/>
      <c r="D7438" s="37"/>
      <c r="E7438" s="36"/>
      <c r="F7438" s="42"/>
      <c r="G7438" s="42"/>
      <c r="H7438" s="42"/>
      <c r="AG7438" s="19">
        <v>7437</v>
      </c>
      <c r="AH7438" s="20">
        <v>1753.2890082004212</v>
      </c>
    </row>
    <row r="7439" spans="1:34" ht="14.5" x14ac:dyDescent="0.35">
      <c r="A7439" s="34"/>
      <c r="B7439" s="35"/>
      <c r="C7439" s="36"/>
      <c r="D7439" s="37"/>
      <c r="E7439" s="36"/>
      <c r="F7439" s="42"/>
      <c r="G7439" s="42"/>
      <c r="H7439" s="42"/>
      <c r="AG7439" s="19">
        <v>7438</v>
      </c>
      <c r="AH7439" s="20">
        <v>-1100.5485309884336</v>
      </c>
    </row>
    <row r="7440" spans="1:34" ht="14.5" x14ac:dyDescent="0.35">
      <c r="A7440" s="34"/>
      <c r="B7440" s="35"/>
      <c r="C7440" s="36"/>
      <c r="D7440" s="37"/>
      <c r="E7440" s="36"/>
      <c r="F7440" s="42"/>
      <c r="G7440" s="42"/>
      <c r="H7440" s="42"/>
      <c r="AG7440" s="19">
        <v>7439</v>
      </c>
      <c r="AH7440" s="20">
        <v>-656.49921443823018</v>
      </c>
    </row>
    <row r="7441" spans="1:34" ht="14.5" x14ac:dyDescent="0.35">
      <c r="A7441" s="34"/>
      <c r="B7441" s="35"/>
      <c r="C7441" s="36"/>
      <c r="D7441" s="37"/>
      <c r="E7441" s="36"/>
      <c r="F7441" s="42"/>
      <c r="G7441" s="42"/>
      <c r="H7441" s="42"/>
      <c r="AG7441" s="19">
        <v>7440</v>
      </c>
      <c r="AH7441" s="20">
        <v>-1753.9490508734946</v>
      </c>
    </row>
    <row r="7442" spans="1:34" ht="14.5" x14ac:dyDescent="0.35">
      <c r="A7442" s="34"/>
      <c r="B7442" s="35"/>
      <c r="C7442" s="36"/>
      <c r="D7442" s="37"/>
      <c r="E7442" s="36"/>
      <c r="F7442" s="42"/>
      <c r="G7442" s="42"/>
      <c r="H7442" s="42"/>
      <c r="AG7442" s="19">
        <v>7441</v>
      </c>
      <c r="AH7442" s="20">
        <v>3098.6489192583604</v>
      </c>
    </row>
    <row r="7443" spans="1:34" ht="14.5" x14ac:dyDescent="0.35">
      <c r="A7443" s="34"/>
      <c r="B7443" s="35"/>
      <c r="C7443" s="36"/>
      <c r="D7443" s="37"/>
      <c r="E7443" s="36"/>
      <c r="F7443" s="42"/>
      <c r="G7443" s="42"/>
      <c r="H7443" s="42"/>
      <c r="AG7443" s="19">
        <v>7442</v>
      </c>
      <c r="AH7443" s="20">
        <v>-1818.5736713661279</v>
      </c>
    </row>
    <row r="7444" spans="1:34" ht="14.5" x14ac:dyDescent="0.35">
      <c r="A7444" s="34"/>
      <c r="B7444" s="35"/>
      <c r="C7444" s="36"/>
      <c r="D7444" s="37"/>
      <c r="E7444" s="36"/>
      <c r="F7444" s="42"/>
      <c r="G7444" s="42"/>
      <c r="H7444" s="42"/>
      <c r="AG7444" s="19">
        <v>7443</v>
      </c>
      <c r="AH7444" s="20">
        <v>925.05724254410825</v>
      </c>
    </row>
    <row r="7445" spans="1:34" ht="14.5" x14ac:dyDescent="0.35">
      <c r="A7445" s="34"/>
      <c r="B7445" s="35"/>
      <c r="C7445" s="36"/>
      <c r="D7445" s="37"/>
      <c r="E7445" s="36"/>
      <c r="F7445" s="42"/>
      <c r="G7445" s="42"/>
      <c r="H7445" s="42"/>
      <c r="AG7445" s="19">
        <v>7444</v>
      </c>
      <c r="AH7445" s="20">
        <v>-1637.7541039852226</v>
      </c>
    </row>
    <row r="7446" spans="1:34" ht="14.5" x14ac:dyDescent="0.35">
      <c r="A7446" s="34"/>
      <c r="B7446" s="35"/>
      <c r="C7446" s="36"/>
      <c r="D7446" s="37"/>
      <c r="E7446" s="36"/>
      <c r="F7446" s="42"/>
      <c r="G7446" s="42"/>
      <c r="H7446" s="42"/>
      <c r="AG7446" s="19">
        <v>7445</v>
      </c>
      <c r="AH7446" s="20">
        <v>614.68632064612484</v>
      </c>
    </row>
    <row r="7447" spans="1:34" ht="14.5" x14ac:dyDescent="0.35">
      <c r="A7447" s="34"/>
      <c r="B7447" s="35"/>
      <c r="C7447" s="36"/>
      <c r="D7447" s="37"/>
      <c r="E7447" s="36"/>
      <c r="F7447" s="42"/>
      <c r="G7447" s="42"/>
      <c r="H7447" s="42"/>
      <c r="AG7447" s="19">
        <v>7446</v>
      </c>
      <c r="AH7447" s="20">
        <v>3004.6715975546745</v>
      </c>
    </row>
    <row r="7448" spans="1:34" ht="14.5" x14ac:dyDescent="0.35">
      <c r="A7448" s="34"/>
      <c r="B7448" s="35"/>
      <c r="C7448" s="36"/>
      <c r="D7448" s="37"/>
      <c r="E7448" s="36"/>
      <c r="F7448" s="42"/>
      <c r="G7448" s="42"/>
      <c r="H7448" s="42"/>
      <c r="AG7448" s="19">
        <v>7447</v>
      </c>
      <c r="AH7448" s="20">
        <v>-696.34547809284936</v>
      </c>
    </row>
    <row r="7449" spans="1:34" ht="14.5" x14ac:dyDescent="0.35">
      <c r="A7449" s="34"/>
      <c r="B7449" s="35"/>
      <c r="C7449" s="36"/>
      <c r="D7449" s="37"/>
      <c r="E7449" s="36"/>
      <c r="F7449" s="42"/>
      <c r="G7449" s="42"/>
      <c r="H7449" s="42"/>
      <c r="AG7449" s="19">
        <v>7448</v>
      </c>
      <c r="AH7449" s="20">
        <v>-2826.3279801594763</v>
      </c>
    </row>
    <row r="7450" spans="1:34" ht="14.5" x14ac:dyDescent="0.35">
      <c r="A7450" s="34"/>
      <c r="B7450" s="35"/>
      <c r="C7450" s="36"/>
      <c r="D7450" s="37"/>
      <c r="E7450" s="36"/>
      <c r="F7450" s="42"/>
      <c r="G7450" s="42"/>
      <c r="H7450" s="42"/>
      <c r="AG7450" s="19">
        <v>7449</v>
      </c>
      <c r="AH7450" s="20">
        <v>-2415.7514946904457</v>
      </c>
    </row>
    <row r="7451" spans="1:34" ht="14.5" x14ac:dyDescent="0.35">
      <c r="A7451" s="34"/>
      <c r="B7451" s="35"/>
      <c r="C7451" s="36"/>
      <c r="D7451" s="37"/>
      <c r="E7451" s="36"/>
      <c r="F7451" s="42"/>
      <c r="G7451" s="42"/>
      <c r="H7451" s="42"/>
      <c r="AG7451" s="19">
        <v>7450</v>
      </c>
      <c r="AH7451" s="20">
        <v>3038.8219612507305</v>
      </c>
    </row>
    <row r="7452" spans="1:34" ht="14.5" x14ac:dyDescent="0.35">
      <c r="A7452" s="34"/>
      <c r="B7452" s="35"/>
      <c r="C7452" s="36"/>
      <c r="D7452" s="37"/>
      <c r="E7452" s="36"/>
      <c r="F7452" s="42"/>
      <c r="G7452" s="42"/>
      <c r="H7452" s="42"/>
      <c r="AG7452" s="19">
        <v>7451</v>
      </c>
      <c r="AH7452" s="20">
        <v>-2899.7568935811223</v>
      </c>
    </row>
    <row r="7453" spans="1:34" ht="14.5" x14ac:dyDescent="0.35">
      <c r="A7453" s="34"/>
      <c r="B7453" s="35"/>
      <c r="C7453" s="36"/>
      <c r="D7453" s="37"/>
      <c r="E7453" s="36"/>
      <c r="F7453" s="42"/>
      <c r="G7453" s="42"/>
      <c r="H7453" s="42"/>
      <c r="AG7453" s="19">
        <v>7452</v>
      </c>
      <c r="AH7453" s="20">
        <v>3286.8798029786853</v>
      </c>
    </row>
    <row r="7454" spans="1:34" ht="14.5" x14ac:dyDescent="0.35">
      <c r="A7454" s="34"/>
      <c r="B7454" s="35"/>
      <c r="C7454" s="36"/>
      <c r="D7454" s="37"/>
      <c r="E7454" s="36"/>
      <c r="F7454" s="42"/>
      <c r="G7454" s="42"/>
      <c r="H7454" s="42"/>
      <c r="AG7454" s="19">
        <v>7453</v>
      </c>
      <c r="AH7454" s="20">
        <v>-1897.1957224937726</v>
      </c>
    </row>
    <row r="7455" spans="1:34" ht="14.5" x14ac:dyDescent="0.35">
      <c r="A7455" s="34"/>
      <c r="B7455" s="35"/>
      <c r="C7455" s="36"/>
      <c r="D7455" s="37"/>
      <c r="E7455" s="36"/>
      <c r="F7455" s="42"/>
      <c r="G7455" s="42"/>
      <c r="H7455" s="42"/>
      <c r="AG7455" s="19">
        <v>7454</v>
      </c>
      <c r="AH7455" s="20">
        <v>5396.1697175908412</v>
      </c>
    </row>
    <row r="7456" spans="1:34" ht="14.5" x14ac:dyDescent="0.35">
      <c r="A7456" s="34"/>
      <c r="B7456" s="35"/>
      <c r="C7456" s="36"/>
      <c r="D7456" s="37"/>
      <c r="E7456" s="36"/>
      <c r="F7456" s="42"/>
      <c r="G7456" s="42"/>
      <c r="H7456" s="42"/>
      <c r="AG7456" s="19">
        <v>7455</v>
      </c>
      <c r="AH7456" s="20">
        <v>-1364.8415486007191</v>
      </c>
    </row>
    <row r="7457" spans="1:34" ht="14.5" x14ac:dyDescent="0.35">
      <c r="A7457" s="34"/>
      <c r="B7457" s="35"/>
      <c r="C7457" s="36"/>
      <c r="D7457" s="37"/>
      <c r="E7457" s="36"/>
      <c r="F7457" s="42"/>
      <c r="G7457" s="42"/>
      <c r="H7457" s="42"/>
      <c r="AG7457" s="19">
        <v>7456</v>
      </c>
      <c r="AH7457" s="20">
        <v>1945.3674256956415</v>
      </c>
    </row>
    <row r="7458" spans="1:34" ht="14.5" x14ac:dyDescent="0.35">
      <c r="A7458" s="34"/>
      <c r="B7458" s="35"/>
      <c r="C7458" s="36"/>
      <c r="D7458" s="37"/>
      <c r="E7458" s="36"/>
      <c r="F7458" s="42"/>
      <c r="G7458" s="42"/>
      <c r="H7458" s="42"/>
      <c r="AG7458" s="19">
        <v>7457</v>
      </c>
      <c r="AH7458" s="20">
        <v>2053.2581263225015</v>
      </c>
    </row>
    <row r="7459" spans="1:34" ht="14.5" x14ac:dyDescent="0.35">
      <c r="A7459" s="34"/>
      <c r="B7459" s="35"/>
      <c r="C7459" s="36"/>
      <c r="D7459" s="37"/>
      <c r="E7459" s="36"/>
      <c r="F7459" s="42"/>
      <c r="G7459" s="42"/>
      <c r="H7459" s="42"/>
      <c r="AG7459" s="19">
        <v>7458</v>
      </c>
      <c r="AH7459" s="20">
        <v>1070.9430803062471</v>
      </c>
    </row>
    <row r="7460" spans="1:34" ht="14.5" x14ac:dyDescent="0.35">
      <c r="A7460" s="34"/>
      <c r="B7460" s="35"/>
      <c r="C7460" s="36"/>
      <c r="D7460" s="37"/>
      <c r="E7460" s="36"/>
      <c r="F7460" s="42"/>
      <c r="G7460" s="42"/>
      <c r="H7460" s="42"/>
      <c r="AG7460" s="19">
        <v>7459</v>
      </c>
      <c r="AH7460" s="20">
        <v>424.5885732489694</v>
      </c>
    </row>
    <row r="7461" spans="1:34" ht="14.5" x14ac:dyDescent="0.35">
      <c r="A7461" s="34"/>
      <c r="B7461" s="35"/>
      <c r="C7461" s="36"/>
      <c r="D7461" s="37"/>
      <c r="E7461" s="36"/>
      <c r="F7461" s="42"/>
      <c r="G7461" s="42"/>
      <c r="H7461" s="42"/>
      <c r="AG7461" s="19">
        <v>7460</v>
      </c>
      <c r="AH7461" s="20">
        <v>907.38670150802818</v>
      </c>
    </row>
    <row r="7462" spans="1:34" ht="14.5" x14ac:dyDescent="0.35">
      <c r="A7462" s="34"/>
      <c r="B7462" s="35"/>
      <c r="C7462" s="36"/>
      <c r="D7462" s="37"/>
      <c r="E7462" s="36"/>
      <c r="F7462" s="42"/>
      <c r="G7462" s="42"/>
      <c r="H7462" s="42"/>
      <c r="AG7462" s="19">
        <v>7461</v>
      </c>
      <c r="AH7462" s="20">
        <v>-87.861441666659232</v>
      </c>
    </row>
    <row r="7463" spans="1:34" ht="14.5" x14ac:dyDescent="0.35">
      <c r="A7463" s="34"/>
      <c r="B7463" s="35"/>
      <c r="C7463" s="36"/>
      <c r="D7463" s="37"/>
      <c r="E7463" s="36"/>
      <c r="F7463" s="42"/>
      <c r="G7463" s="42"/>
      <c r="H7463" s="42"/>
      <c r="AG7463" s="19">
        <v>7462</v>
      </c>
      <c r="AH7463" s="20">
        <v>1943.1122224736846</v>
      </c>
    </row>
    <row r="7464" spans="1:34" ht="14.5" x14ac:dyDescent="0.35">
      <c r="A7464" s="34"/>
      <c r="B7464" s="35"/>
      <c r="C7464" s="36"/>
      <c r="D7464" s="37"/>
      <c r="E7464" s="36"/>
      <c r="F7464" s="42"/>
      <c r="G7464" s="42"/>
      <c r="H7464" s="42"/>
      <c r="AG7464" s="19">
        <v>7463</v>
      </c>
      <c r="AH7464" s="20">
        <v>1462.1642947101543</v>
      </c>
    </row>
    <row r="7465" spans="1:34" ht="14.5" x14ac:dyDescent="0.35">
      <c r="A7465" s="34"/>
      <c r="B7465" s="35"/>
      <c r="C7465" s="36"/>
      <c r="D7465" s="37"/>
      <c r="E7465" s="36"/>
      <c r="F7465" s="42"/>
      <c r="G7465" s="42"/>
      <c r="H7465" s="42"/>
      <c r="AG7465" s="19">
        <v>7464</v>
      </c>
      <c r="AH7465" s="20">
        <v>-2534.0495453004287</v>
      </c>
    </row>
    <row r="7466" spans="1:34" ht="14.5" x14ac:dyDescent="0.35">
      <c r="A7466" s="34"/>
      <c r="B7466" s="35"/>
      <c r="C7466" s="36"/>
      <c r="D7466" s="37"/>
      <c r="E7466" s="36"/>
      <c r="F7466" s="42"/>
      <c r="G7466" s="42"/>
      <c r="H7466" s="42"/>
      <c r="AG7466" s="19">
        <v>7465</v>
      </c>
      <c r="AH7466" s="20">
        <v>497.46021349491582</v>
      </c>
    </row>
    <row r="7467" spans="1:34" ht="14.5" x14ac:dyDescent="0.35">
      <c r="A7467" s="34"/>
      <c r="B7467" s="35"/>
      <c r="C7467" s="36"/>
      <c r="D7467" s="37"/>
      <c r="E7467" s="36"/>
      <c r="F7467" s="42"/>
      <c r="G7467" s="42"/>
      <c r="H7467" s="42"/>
      <c r="AG7467" s="19">
        <v>7466</v>
      </c>
      <c r="AH7467" s="20">
        <v>-2612.4061727503604</v>
      </c>
    </row>
    <row r="7468" spans="1:34" ht="14.5" x14ac:dyDescent="0.35">
      <c r="A7468" s="34"/>
      <c r="B7468" s="35"/>
      <c r="C7468" s="36"/>
      <c r="D7468" s="37"/>
      <c r="E7468" s="36"/>
      <c r="F7468" s="42"/>
      <c r="G7468" s="42"/>
      <c r="H7468" s="42"/>
      <c r="AG7468" s="19">
        <v>7467</v>
      </c>
      <c r="AH7468" s="20">
        <v>2165.097227255716</v>
      </c>
    </row>
    <row r="7469" spans="1:34" ht="14.5" x14ac:dyDescent="0.35">
      <c r="A7469" s="34"/>
      <c r="B7469" s="35"/>
      <c r="C7469" s="36"/>
      <c r="D7469" s="37"/>
      <c r="E7469" s="36"/>
      <c r="F7469" s="42"/>
      <c r="G7469" s="42"/>
      <c r="H7469" s="42"/>
      <c r="AG7469" s="19">
        <v>7468</v>
      </c>
      <c r="AH7469" s="20">
        <v>-2102.7426003174642</v>
      </c>
    </row>
    <row r="7470" spans="1:34" ht="14.5" x14ac:dyDescent="0.35">
      <c r="A7470" s="34"/>
      <c r="B7470" s="35"/>
      <c r="C7470" s="36"/>
      <c r="D7470" s="37"/>
      <c r="E7470" s="36"/>
      <c r="F7470" s="42"/>
      <c r="G7470" s="42"/>
      <c r="H7470" s="42"/>
      <c r="AG7470" s="19">
        <v>7469</v>
      </c>
      <c r="AH7470" s="20">
        <v>1205.8502730387436</v>
      </c>
    </row>
    <row r="7471" spans="1:34" ht="14.5" x14ac:dyDescent="0.35">
      <c r="A7471" s="34"/>
      <c r="B7471" s="35"/>
      <c r="C7471" s="36"/>
      <c r="D7471" s="37"/>
      <c r="E7471" s="36"/>
      <c r="F7471" s="42"/>
      <c r="G7471" s="42"/>
      <c r="H7471" s="42"/>
      <c r="AG7471" s="19">
        <v>7470</v>
      </c>
      <c r="AH7471" s="20">
        <v>-777.50419826132884</v>
      </c>
    </row>
    <row r="7472" spans="1:34" ht="14.5" x14ac:dyDescent="0.35">
      <c r="A7472" s="34"/>
      <c r="B7472" s="35"/>
      <c r="C7472" s="36"/>
      <c r="D7472" s="37"/>
      <c r="E7472" s="36"/>
      <c r="F7472" s="42"/>
      <c r="G7472" s="42"/>
      <c r="H7472" s="42"/>
      <c r="AG7472" s="19">
        <v>7471</v>
      </c>
      <c r="AH7472" s="20">
        <v>1066.0170801406618</v>
      </c>
    </row>
    <row r="7473" spans="1:34" ht="14.5" x14ac:dyDescent="0.35">
      <c r="A7473" s="34"/>
      <c r="B7473" s="35"/>
      <c r="C7473" s="36"/>
      <c r="D7473" s="37"/>
      <c r="E7473" s="36"/>
      <c r="F7473" s="42"/>
      <c r="G7473" s="42"/>
      <c r="H7473" s="42"/>
      <c r="AG7473" s="19">
        <v>7472</v>
      </c>
      <c r="AH7473" s="20">
        <v>91.065836862939705</v>
      </c>
    </row>
    <row r="7474" spans="1:34" ht="14.5" x14ac:dyDescent="0.35">
      <c r="A7474" s="34"/>
      <c r="B7474" s="35"/>
      <c r="C7474" s="36"/>
      <c r="D7474" s="37"/>
      <c r="E7474" s="36"/>
      <c r="F7474" s="42"/>
      <c r="G7474" s="42"/>
      <c r="H7474" s="42"/>
      <c r="AG7474" s="19">
        <v>7473</v>
      </c>
      <c r="AH7474" s="20">
        <v>2002.3162849363846</v>
      </c>
    </row>
    <row r="7475" spans="1:34" ht="14.5" x14ac:dyDescent="0.35">
      <c r="A7475" s="34"/>
      <c r="B7475" s="35"/>
      <c r="C7475" s="36"/>
      <c r="D7475" s="37"/>
      <c r="E7475" s="36"/>
      <c r="F7475" s="42"/>
      <c r="G7475" s="42"/>
      <c r="H7475" s="42"/>
      <c r="AG7475" s="19">
        <v>7474</v>
      </c>
      <c r="AH7475" s="20">
        <v>-1034.8873520588299</v>
      </c>
    </row>
    <row r="7476" spans="1:34" ht="14.5" x14ac:dyDescent="0.35">
      <c r="A7476" s="34"/>
      <c r="B7476" s="35"/>
      <c r="C7476" s="36"/>
      <c r="D7476" s="37"/>
      <c r="E7476" s="36"/>
      <c r="F7476" s="42"/>
      <c r="G7476" s="42"/>
      <c r="H7476" s="42"/>
      <c r="AG7476" s="19">
        <v>7475</v>
      </c>
      <c r="AH7476" s="20">
        <v>2.4081077497674528</v>
      </c>
    </row>
    <row r="7477" spans="1:34" ht="14.5" x14ac:dyDescent="0.35">
      <c r="A7477" s="34"/>
      <c r="B7477" s="35"/>
      <c r="C7477" s="36"/>
      <c r="D7477" s="37"/>
      <c r="E7477" s="36"/>
      <c r="F7477" s="42"/>
      <c r="G7477" s="42"/>
      <c r="H7477" s="42"/>
      <c r="AG7477" s="19">
        <v>7476</v>
      </c>
      <c r="AH7477" s="20">
        <v>-554.45551793408572</v>
      </c>
    </row>
    <row r="7478" spans="1:34" ht="14.5" x14ac:dyDescent="0.35">
      <c r="A7478" s="34"/>
      <c r="B7478" s="35"/>
      <c r="C7478" s="36"/>
      <c r="D7478" s="37"/>
      <c r="E7478" s="36"/>
      <c r="F7478" s="42"/>
      <c r="G7478" s="42"/>
      <c r="H7478" s="42"/>
      <c r="AG7478" s="19">
        <v>7477</v>
      </c>
      <c r="AH7478" s="20">
        <v>-35.773464672770785</v>
      </c>
    </row>
    <row r="7479" spans="1:34" ht="14.5" x14ac:dyDescent="0.35">
      <c r="A7479" s="34"/>
      <c r="B7479" s="35"/>
      <c r="C7479" s="36"/>
      <c r="D7479" s="37"/>
      <c r="E7479" s="36"/>
      <c r="F7479" s="42"/>
      <c r="G7479" s="42"/>
      <c r="H7479" s="42"/>
      <c r="AG7479" s="19">
        <v>7478</v>
      </c>
      <c r="AH7479" s="20">
        <v>-1422.2235330710935</v>
      </c>
    </row>
    <row r="7480" spans="1:34" ht="14.5" x14ac:dyDescent="0.35">
      <c r="A7480" s="34"/>
      <c r="B7480" s="35"/>
      <c r="C7480" s="36"/>
      <c r="D7480" s="37"/>
      <c r="E7480" s="36"/>
      <c r="F7480" s="42"/>
      <c r="G7480" s="42"/>
      <c r="H7480" s="42"/>
      <c r="AG7480" s="19">
        <v>7479</v>
      </c>
      <c r="AH7480" s="20">
        <v>72.88844392296744</v>
      </c>
    </row>
    <row r="7481" spans="1:34" ht="14.5" x14ac:dyDescent="0.35">
      <c r="A7481" s="34"/>
      <c r="B7481" s="35"/>
      <c r="C7481" s="36"/>
      <c r="D7481" s="37"/>
      <c r="E7481" s="36"/>
      <c r="F7481" s="42"/>
      <c r="G7481" s="42"/>
      <c r="H7481" s="42"/>
      <c r="AG7481" s="19">
        <v>7480</v>
      </c>
      <c r="AH7481" s="20">
        <v>-2863.951107818647</v>
      </c>
    </row>
    <row r="7482" spans="1:34" ht="14.5" x14ac:dyDescent="0.35">
      <c r="A7482" s="34"/>
      <c r="B7482" s="35"/>
      <c r="C7482" s="36"/>
      <c r="D7482" s="37"/>
      <c r="E7482" s="36"/>
      <c r="F7482" s="42"/>
      <c r="G7482" s="42"/>
      <c r="H7482" s="42"/>
      <c r="AG7482" s="19">
        <v>7481</v>
      </c>
      <c r="AH7482" s="20">
        <v>1414.3011407599092</v>
      </c>
    </row>
    <row r="7483" spans="1:34" ht="14.5" x14ac:dyDescent="0.35">
      <c r="A7483" s="34"/>
      <c r="B7483" s="35"/>
      <c r="C7483" s="36"/>
      <c r="D7483" s="37"/>
      <c r="E7483" s="36"/>
      <c r="F7483" s="42"/>
      <c r="G7483" s="42"/>
      <c r="H7483" s="42"/>
      <c r="AG7483" s="19">
        <v>7482</v>
      </c>
      <c r="AH7483" s="20">
        <v>-108.40944497197773</v>
      </c>
    </row>
    <row r="7484" spans="1:34" ht="14.5" x14ac:dyDescent="0.35">
      <c r="A7484" s="34"/>
      <c r="B7484" s="35"/>
      <c r="C7484" s="36"/>
      <c r="D7484" s="37"/>
      <c r="E7484" s="36"/>
      <c r="F7484" s="42"/>
      <c r="G7484" s="42"/>
      <c r="H7484" s="42"/>
      <c r="AG7484" s="19">
        <v>7483</v>
      </c>
      <c r="AH7484" s="20">
        <v>821.65779545443593</v>
      </c>
    </row>
    <row r="7485" spans="1:34" ht="14.5" x14ac:dyDescent="0.35">
      <c r="A7485" s="34"/>
      <c r="B7485" s="35"/>
      <c r="C7485" s="36"/>
      <c r="D7485" s="37"/>
      <c r="E7485" s="36"/>
      <c r="F7485" s="42"/>
      <c r="G7485" s="42"/>
      <c r="H7485" s="42"/>
      <c r="AG7485" s="19">
        <v>7484</v>
      </c>
      <c r="AH7485" s="20">
        <v>-3660.0044939452523</v>
      </c>
    </row>
    <row r="7486" spans="1:34" ht="14.5" x14ac:dyDescent="0.35">
      <c r="A7486" s="34"/>
      <c r="B7486" s="35"/>
      <c r="C7486" s="36"/>
      <c r="D7486" s="37"/>
      <c r="E7486" s="36"/>
      <c r="F7486" s="42"/>
      <c r="G7486" s="42"/>
      <c r="H7486" s="42"/>
      <c r="AG7486" s="19">
        <v>7485</v>
      </c>
      <c r="AH7486" s="20">
        <v>-212.00744329289472</v>
      </c>
    </row>
    <row r="7487" spans="1:34" ht="14.5" x14ac:dyDescent="0.35">
      <c r="A7487" s="34"/>
      <c r="B7487" s="35"/>
      <c r="C7487" s="36"/>
      <c r="D7487" s="37"/>
      <c r="E7487" s="36"/>
      <c r="F7487" s="42"/>
      <c r="G7487" s="42"/>
      <c r="H7487" s="42"/>
      <c r="AG7487" s="19">
        <v>7486</v>
      </c>
      <c r="AH7487" s="20">
        <v>1902.7158007972923</v>
      </c>
    </row>
    <row r="7488" spans="1:34" ht="14.5" x14ac:dyDescent="0.35">
      <c r="A7488" s="34"/>
      <c r="B7488" s="35"/>
      <c r="C7488" s="36"/>
      <c r="D7488" s="37"/>
      <c r="E7488" s="36"/>
      <c r="F7488" s="42"/>
      <c r="G7488" s="42"/>
      <c r="H7488" s="42"/>
      <c r="AG7488" s="19">
        <v>7487</v>
      </c>
      <c r="AH7488" s="20">
        <v>-338.26136990716674</v>
      </c>
    </row>
    <row r="7489" spans="1:34" ht="14.5" x14ac:dyDescent="0.35">
      <c r="A7489" s="34"/>
      <c r="B7489" s="35"/>
      <c r="C7489" s="36"/>
      <c r="D7489" s="37"/>
      <c r="E7489" s="36"/>
      <c r="F7489" s="42"/>
      <c r="G7489" s="42"/>
      <c r="H7489" s="42"/>
      <c r="AG7489" s="19">
        <v>7488</v>
      </c>
      <c r="AH7489" s="20">
        <v>1523.1358098326218</v>
      </c>
    </row>
    <row r="7490" spans="1:34" ht="14.5" x14ac:dyDescent="0.35">
      <c r="A7490" s="34"/>
      <c r="B7490" s="35"/>
      <c r="C7490" s="36"/>
      <c r="D7490" s="37"/>
      <c r="E7490" s="36"/>
      <c r="F7490" s="42"/>
      <c r="G7490" s="42"/>
      <c r="H7490" s="42"/>
      <c r="AG7490" s="19">
        <v>7489</v>
      </c>
      <c r="AH7490" s="20">
        <v>-1996.3304929267699</v>
      </c>
    </row>
    <row r="7491" spans="1:34" ht="14.5" x14ac:dyDescent="0.35">
      <c r="A7491" s="34"/>
      <c r="B7491" s="35"/>
      <c r="C7491" s="36"/>
      <c r="D7491" s="37"/>
      <c r="E7491" s="36"/>
      <c r="F7491" s="42"/>
      <c r="G7491" s="42"/>
      <c r="H7491" s="42"/>
      <c r="AG7491" s="19">
        <v>7490</v>
      </c>
      <c r="AH7491" s="20">
        <v>459.10971557280152</v>
      </c>
    </row>
    <row r="7492" spans="1:34" ht="14.5" x14ac:dyDescent="0.35">
      <c r="A7492" s="34"/>
      <c r="B7492" s="35"/>
      <c r="C7492" s="36"/>
      <c r="D7492" s="37"/>
      <c r="E7492" s="36"/>
      <c r="F7492" s="42"/>
      <c r="G7492" s="42"/>
      <c r="H7492" s="42"/>
      <c r="AG7492" s="19">
        <v>7491</v>
      </c>
      <c r="AH7492" s="20">
        <v>-2312.3200296212926</v>
      </c>
    </row>
    <row r="7493" spans="1:34" ht="14.5" x14ac:dyDescent="0.35">
      <c r="A7493" s="34"/>
      <c r="B7493" s="35"/>
      <c r="C7493" s="36"/>
      <c r="D7493" s="37"/>
      <c r="E7493" s="36"/>
      <c r="F7493" s="42"/>
      <c r="G7493" s="42"/>
      <c r="H7493" s="42"/>
      <c r="AG7493" s="19">
        <v>7492</v>
      </c>
      <c r="AH7493" s="20">
        <v>377.7265886613161</v>
      </c>
    </row>
    <row r="7494" spans="1:34" ht="14.5" x14ac:dyDescent="0.35">
      <c r="A7494" s="34"/>
      <c r="B7494" s="35"/>
      <c r="C7494" s="36"/>
      <c r="D7494" s="37"/>
      <c r="E7494" s="36"/>
      <c r="F7494" s="42"/>
      <c r="G7494" s="42"/>
      <c r="H7494" s="42"/>
      <c r="AG7494" s="19">
        <v>7493</v>
      </c>
      <c r="AH7494" s="20">
        <v>2931.2211795292837</v>
      </c>
    </row>
    <row r="7495" spans="1:34" ht="14.5" x14ac:dyDescent="0.35">
      <c r="A7495" s="34"/>
      <c r="B7495" s="35"/>
      <c r="C7495" s="36"/>
      <c r="D7495" s="37"/>
      <c r="E7495" s="36"/>
      <c r="F7495" s="42"/>
      <c r="G7495" s="42"/>
      <c r="H7495" s="42"/>
      <c r="AG7495" s="19">
        <v>7494</v>
      </c>
      <c r="AH7495" s="20">
        <v>1422.9094908641916</v>
      </c>
    </row>
    <row r="7496" spans="1:34" ht="14.5" x14ac:dyDescent="0.35">
      <c r="A7496" s="34"/>
      <c r="B7496" s="35"/>
      <c r="C7496" s="36"/>
      <c r="D7496" s="37"/>
      <c r="E7496" s="36"/>
      <c r="F7496" s="42"/>
      <c r="G7496" s="42"/>
      <c r="H7496" s="42"/>
      <c r="AG7496" s="19">
        <v>7495</v>
      </c>
      <c r="AH7496" s="20">
        <v>1182.1051069712253</v>
      </c>
    </row>
    <row r="7497" spans="1:34" ht="14.5" x14ac:dyDescent="0.35">
      <c r="A7497" s="34"/>
      <c r="B7497" s="35"/>
      <c r="C7497" s="36"/>
      <c r="D7497" s="37"/>
      <c r="E7497" s="36"/>
      <c r="F7497" s="42"/>
      <c r="G7497" s="42"/>
      <c r="H7497" s="42"/>
      <c r="AG7497" s="19">
        <v>7496</v>
      </c>
      <c r="AH7497" s="20">
        <v>-753.24320893775666</v>
      </c>
    </row>
    <row r="7498" spans="1:34" ht="14.5" x14ac:dyDescent="0.35">
      <c r="A7498" s="34"/>
      <c r="B7498" s="35"/>
      <c r="C7498" s="36"/>
      <c r="D7498" s="37"/>
      <c r="E7498" s="36"/>
      <c r="F7498" s="42"/>
      <c r="G7498" s="42"/>
      <c r="H7498" s="42"/>
      <c r="AG7498" s="19">
        <v>7497</v>
      </c>
      <c r="AH7498" s="20">
        <v>-1026.1975131941106</v>
      </c>
    </row>
    <row r="7499" spans="1:34" ht="14.5" x14ac:dyDescent="0.35">
      <c r="A7499" s="34"/>
      <c r="B7499" s="35"/>
      <c r="C7499" s="36"/>
      <c r="D7499" s="37"/>
      <c r="E7499" s="36"/>
      <c r="F7499" s="42"/>
      <c r="G7499" s="42"/>
      <c r="H7499" s="42"/>
      <c r="AG7499" s="19">
        <v>7498</v>
      </c>
      <c r="AH7499" s="20">
        <v>2115.3935612181785</v>
      </c>
    </row>
    <row r="7500" spans="1:34" ht="14.5" x14ac:dyDescent="0.35">
      <c r="A7500" s="34"/>
      <c r="B7500" s="35"/>
      <c r="C7500" s="36"/>
      <c r="D7500" s="37"/>
      <c r="E7500" s="36"/>
      <c r="F7500" s="42"/>
      <c r="G7500" s="42"/>
      <c r="H7500" s="42"/>
      <c r="AG7500" s="19">
        <v>7499</v>
      </c>
      <c r="AH7500" s="20">
        <v>-313.1392971900878</v>
      </c>
    </row>
    <row r="7501" spans="1:34" ht="14.5" x14ac:dyDescent="0.35">
      <c r="A7501" s="34"/>
      <c r="B7501" s="35"/>
      <c r="C7501" s="36"/>
      <c r="D7501" s="37"/>
      <c r="E7501" s="36"/>
      <c r="F7501" s="42"/>
      <c r="G7501" s="42"/>
      <c r="H7501" s="42"/>
      <c r="AG7501" s="19">
        <v>7500</v>
      </c>
      <c r="AH7501" s="20">
        <v>-2789.2904039336945</v>
      </c>
    </row>
    <row r="7502" spans="1:34" ht="14.5" x14ac:dyDescent="0.35">
      <c r="A7502" s="34"/>
      <c r="B7502" s="35"/>
      <c r="C7502" s="36"/>
      <c r="D7502" s="37"/>
      <c r="E7502" s="36"/>
      <c r="F7502" s="42"/>
      <c r="G7502" s="42"/>
      <c r="H7502" s="42"/>
      <c r="AG7502" s="19">
        <v>7501</v>
      </c>
      <c r="AH7502" s="20">
        <v>126.5885367983455</v>
      </c>
    </row>
    <row r="7503" spans="1:34" ht="14.5" x14ac:dyDescent="0.35">
      <c r="A7503" s="34"/>
      <c r="B7503" s="35"/>
      <c r="C7503" s="36"/>
      <c r="D7503" s="37"/>
      <c r="E7503" s="36"/>
      <c r="F7503" s="42"/>
      <c r="G7503" s="42"/>
      <c r="H7503" s="42"/>
      <c r="AG7503" s="19">
        <v>7502</v>
      </c>
      <c r="AH7503" s="20">
        <v>791.07831651028562</v>
      </c>
    </row>
    <row r="7504" spans="1:34" ht="14.5" x14ac:dyDescent="0.35">
      <c r="A7504" s="34"/>
      <c r="B7504" s="35"/>
      <c r="C7504" s="36"/>
      <c r="D7504" s="37"/>
      <c r="E7504" s="36"/>
      <c r="F7504" s="42"/>
      <c r="G7504" s="42"/>
      <c r="H7504" s="42"/>
      <c r="AG7504" s="19">
        <v>7503</v>
      </c>
      <c r="AH7504" s="20">
        <v>-122.84622690056113</v>
      </c>
    </row>
    <row r="7505" spans="1:34" ht="14.5" x14ac:dyDescent="0.35">
      <c r="A7505" s="34"/>
      <c r="B7505" s="35"/>
      <c r="C7505" s="36"/>
      <c r="D7505" s="37"/>
      <c r="E7505" s="36"/>
      <c r="F7505" s="42"/>
      <c r="G7505" s="42"/>
      <c r="H7505" s="42"/>
      <c r="AG7505" s="19">
        <v>7504</v>
      </c>
      <c r="AH7505" s="20">
        <v>3698.3703160235959</v>
      </c>
    </row>
    <row r="7506" spans="1:34" ht="14.5" x14ac:dyDescent="0.35">
      <c r="A7506" s="34"/>
      <c r="B7506" s="35"/>
      <c r="C7506" s="36"/>
      <c r="D7506" s="37"/>
      <c r="E7506" s="36"/>
      <c r="F7506" s="42"/>
      <c r="G7506" s="42"/>
      <c r="H7506" s="42"/>
      <c r="AG7506" s="19">
        <v>7505</v>
      </c>
      <c r="AH7506" s="20">
        <v>1926.1171371211801</v>
      </c>
    </row>
    <row r="7507" spans="1:34" ht="14.5" x14ac:dyDescent="0.35">
      <c r="A7507" s="34"/>
      <c r="B7507" s="35"/>
      <c r="C7507" s="36"/>
      <c r="D7507" s="37"/>
      <c r="E7507" s="36"/>
      <c r="F7507" s="42"/>
      <c r="G7507" s="42"/>
      <c r="H7507" s="42"/>
      <c r="AG7507" s="19">
        <v>7506</v>
      </c>
      <c r="AH7507" s="20">
        <v>-1430.3153894291879</v>
      </c>
    </row>
    <row r="7508" spans="1:34" ht="14.5" x14ac:dyDescent="0.35">
      <c r="A7508" s="34"/>
      <c r="B7508" s="35"/>
      <c r="C7508" s="36"/>
      <c r="D7508" s="37"/>
      <c r="E7508" s="36"/>
      <c r="F7508" s="42"/>
      <c r="G7508" s="42"/>
      <c r="H7508" s="42"/>
      <c r="AG7508" s="19">
        <v>7507</v>
      </c>
      <c r="AH7508" s="20">
        <v>-219.25634264822889</v>
      </c>
    </row>
    <row r="7509" spans="1:34" ht="14.5" x14ac:dyDescent="0.35">
      <c r="A7509" s="34"/>
      <c r="B7509" s="35"/>
      <c r="C7509" s="36"/>
      <c r="D7509" s="37"/>
      <c r="E7509" s="36"/>
      <c r="F7509" s="42"/>
      <c r="G7509" s="42"/>
      <c r="H7509" s="42"/>
      <c r="AG7509" s="19">
        <v>7508</v>
      </c>
      <c r="AH7509" s="20">
        <v>-2669.6984494288131</v>
      </c>
    </row>
    <row r="7510" spans="1:34" ht="14.5" x14ac:dyDescent="0.35">
      <c r="A7510" s="34"/>
      <c r="B7510" s="35"/>
      <c r="C7510" s="36"/>
      <c r="D7510" s="37"/>
      <c r="E7510" s="36"/>
      <c r="F7510" s="42"/>
      <c r="G7510" s="42"/>
      <c r="H7510" s="42"/>
      <c r="AG7510" s="19">
        <v>7509</v>
      </c>
      <c r="AH7510" s="20">
        <v>236.87965678444587</v>
      </c>
    </row>
    <row r="7511" spans="1:34" ht="14.5" x14ac:dyDescent="0.35">
      <c r="A7511" s="34"/>
      <c r="B7511" s="35"/>
      <c r="C7511" s="36"/>
      <c r="D7511" s="37"/>
      <c r="E7511" s="36"/>
      <c r="F7511" s="42"/>
      <c r="G7511" s="42"/>
      <c r="H7511" s="42"/>
      <c r="AG7511" s="19">
        <v>7510</v>
      </c>
      <c r="AH7511" s="20">
        <v>-1705.2621046650636</v>
      </c>
    </row>
    <row r="7512" spans="1:34" ht="14.5" x14ac:dyDescent="0.35">
      <c r="A7512" s="34"/>
      <c r="B7512" s="35"/>
      <c r="C7512" s="36"/>
      <c r="D7512" s="37"/>
      <c r="E7512" s="36"/>
      <c r="F7512" s="42"/>
      <c r="G7512" s="42"/>
      <c r="H7512" s="42"/>
      <c r="AG7512" s="19">
        <v>7511</v>
      </c>
      <c r="AH7512" s="20">
        <v>-278.40834339248153</v>
      </c>
    </row>
    <row r="7513" spans="1:34" ht="14.5" x14ac:dyDescent="0.35">
      <c r="A7513" s="34"/>
      <c r="B7513" s="35"/>
      <c r="C7513" s="36"/>
      <c r="D7513" s="37"/>
      <c r="E7513" s="36"/>
      <c r="F7513" s="42"/>
      <c r="G7513" s="42"/>
      <c r="H7513" s="42"/>
      <c r="AG7513" s="19">
        <v>7512</v>
      </c>
      <c r="AH7513" s="20">
        <v>2843.5129095581715</v>
      </c>
    </row>
    <row r="7514" spans="1:34" ht="14.5" x14ac:dyDescent="0.35">
      <c r="A7514" s="34"/>
      <c r="B7514" s="35"/>
      <c r="C7514" s="36"/>
      <c r="D7514" s="37"/>
      <c r="E7514" s="36"/>
      <c r="F7514" s="42"/>
      <c r="G7514" s="42"/>
      <c r="H7514" s="42"/>
      <c r="AG7514" s="19">
        <v>7513</v>
      </c>
      <c r="AH7514" s="20">
        <v>-1532.6488187982018</v>
      </c>
    </row>
    <row r="7515" spans="1:34" ht="14.5" x14ac:dyDescent="0.35">
      <c r="A7515" s="34"/>
      <c r="B7515" s="35"/>
      <c r="C7515" s="36"/>
      <c r="D7515" s="37"/>
      <c r="E7515" s="36"/>
      <c r="F7515" s="42"/>
      <c r="G7515" s="42"/>
      <c r="H7515" s="42"/>
      <c r="AG7515" s="19">
        <v>7514</v>
      </c>
      <c r="AH7515" s="20">
        <v>2893.895423855397</v>
      </c>
    </row>
    <row r="7516" spans="1:34" ht="14.5" x14ac:dyDescent="0.35">
      <c r="A7516" s="34"/>
      <c r="B7516" s="35"/>
      <c r="C7516" s="36"/>
      <c r="D7516" s="37"/>
      <c r="E7516" s="36"/>
      <c r="F7516" s="42"/>
      <c r="G7516" s="42"/>
      <c r="H7516" s="42"/>
      <c r="AG7516" s="19">
        <v>7515</v>
      </c>
      <c r="AH7516" s="20">
        <v>915.8608653804406</v>
      </c>
    </row>
    <row r="7517" spans="1:34" ht="14.5" x14ac:dyDescent="0.35">
      <c r="A7517" s="34"/>
      <c r="B7517" s="35"/>
      <c r="C7517" s="36"/>
      <c r="D7517" s="37"/>
      <c r="E7517" s="36"/>
      <c r="F7517" s="42"/>
      <c r="G7517" s="42"/>
      <c r="H7517" s="42"/>
      <c r="AG7517" s="19">
        <v>7516</v>
      </c>
      <c r="AH7517" s="20">
        <v>55.807050295761258</v>
      </c>
    </row>
    <row r="7518" spans="1:34" ht="14.5" x14ac:dyDescent="0.35">
      <c r="A7518" s="34"/>
      <c r="B7518" s="35"/>
      <c r="C7518" s="36"/>
      <c r="D7518" s="37"/>
      <c r="E7518" s="36"/>
      <c r="F7518" s="42"/>
      <c r="G7518" s="42"/>
      <c r="H7518" s="42"/>
      <c r="AG7518" s="19">
        <v>7517</v>
      </c>
      <c r="AH7518" s="20">
        <v>19.867999124791027</v>
      </c>
    </row>
    <row r="7519" spans="1:34" ht="14.5" x14ac:dyDescent="0.35">
      <c r="A7519" s="34"/>
      <c r="B7519" s="35"/>
      <c r="C7519" s="36"/>
      <c r="D7519" s="37"/>
      <c r="E7519" s="36"/>
      <c r="F7519" s="42"/>
      <c r="G7519" s="42"/>
      <c r="H7519" s="42"/>
      <c r="AG7519" s="19">
        <v>7518</v>
      </c>
      <c r="AH7519" s="20">
        <v>-455.53481148745283</v>
      </c>
    </row>
    <row r="7520" spans="1:34" ht="14.5" x14ac:dyDescent="0.35">
      <c r="A7520" s="34"/>
      <c r="B7520" s="35"/>
      <c r="C7520" s="36"/>
      <c r="D7520" s="37"/>
      <c r="E7520" s="36"/>
      <c r="F7520" s="42"/>
      <c r="G7520" s="42"/>
      <c r="H7520" s="42"/>
      <c r="AG7520" s="19">
        <v>7519</v>
      </c>
      <c r="AH7520" s="20">
        <v>-2298.9776174624058</v>
      </c>
    </row>
    <row r="7521" spans="1:34" ht="14.5" x14ac:dyDescent="0.35">
      <c r="A7521" s="34"/>
      <c r="B7521" s="35"/>
      <c r="C7521" s="36"/>
      <c r="D7521" s="37"/>
      <c r="E7521" s="36"/>
      <c r="F7521" s="42"/>
      <c r="G7521" s="42"/>
      <c r="H7521" s="42"/>
      <c r="AG7521" s="19">
        <v>7520</v>
      </c>
      <c r="AH7521" s="20">
        <v>-705.75916986890297</v>
      </c>
    </row>
    <row r="7522" spans="1:34" ht="14.5" x14ac:dyDescent="0.35">
      <c r="A7522" s="34"/>
      <c r="B7522" s="35"/>
      <c r="C7522" s="36"/>
      <c r="D7522" s="37"/>
      <c r="E7522" s="36"/>
      <c r="F7522" s="42"/>
      <c r="G7522" s="42"/>
      <c r="H7522" s="42"/>
      <c r="AG7522" s="19">
        <v>7521</v>
      </c>
      <c r="AH7522" s="20">
        <v>1392.4713380242229</v>
      </c>
    </row>
    <row r="7523" spans="1:34" ht="14.5" x14ac:dyDescent="0.35">
      <c r="A7523" s="34"/>
      <c r="B7523" s="35"/>
      <c r="C7523" s="36"/>
      <c r="D7523" s="37"/>
      <c r="E7523" s="36"/>
      <c r="F7523" s="42"/>
      <c r="G7523" s="42"/>
      <c r="H7523" s="42"/>
      <c r="AG7523" s="19">
        <v>7522</v>
      </c>
      <c r="AH7523" s="20">
        <v>-1987.3292833144035</v>
      </c>
    </row>
    <row r="7524" spans="1:34" ht="14.5" x14ac:dyDescent="0.35">
      <c r="A7524" s="34"/>
      <c r="B7524" s="35"/>
      <c r="C7524" s="36"/>
      <c r="D7524" s="37"/>
      <c r="E7524" s="36"/>
      <c r="F7524" s="42"/>
      <c r="G7524" s="42"/>
      <c r="H7524" s="42"/>
      <c r="AG7524" s="19">
        <v>7523</v>
      </c>
      <c r="AH7524" s="20">
        <v>-662.11351721249025</v>
      </c>
    </row>
    <row r="7525" spans="1:34" ht="14.5" x14ac:dyDescent="0.35">
      <c r="A7525" s="34"/>
      <c r="B7525" s="35"/>
      <c r="C7525" s="36"/>
      <c r="D7525" s="37"/>
      <c r="E7525" s="36"/>
      <c r="F7525" s="42"/>
      <c r="G7525" s="42"/>
      <c r="H7525" s="42"/>
      <c r="AG7525" s="19">
        <v>7524</v>
      </c>
      <c r="AH7525" s="20">
        <v>-89.227798147177282</v>
      </c>
    </row>
    <row r="7526" spans="1:34" ht="14.5" x14ac:dyDescent="0.35">
      <c r="A7526" s="34"/>
      <c r="B7526" s="35"/>
      <c r="C7526" s="36"/>
      <c r="D7526" s="37"/>
      <c r="E7526" s="36"/>
      <c r="F7526" s="42"/>
      <c r="G7526" s="42"/>
      <c r="H7526" s="42"/>
      <c r="AG7526" s="19">
        <v>7525</v>
      </c>
      <c r="AH7526" s="20">
        <v>1068.5894456340573</v>
      </c>
    </row>
    <row r="7527" spans="1:34" ht="14.5" x14ac:dyDescent="0.35">
      <c r="A7527" s="34"/>
      <c r="B7527" s="35"/>
      <c r="C7527" s="36"/>
      <c r="D7527" s="37"/>
      <c r="E7527" s="36"/>
      <c r="F7527" s="42"/>
      <c r="G7527" s="42"/>
      <c r="H7527" s="42"/>
      <c r="AG7527" s="19">
        <v>7526</v>
      </c>
      <c r="AH7527" s="20">
        <v>-1620.2499634093356</v>
      </c>
    </row>
    <row r="7528" spans="1:34" ht="14.5" x14ac:dyDescent="0.35">
      <c r="A7528" s="34"/>
      <c r="B7528" s="35"/>
      <c r="C7528" s="36"/>
      <c r="D7528" s="37"/>
      <c r="E7528" s="36"/>
      <c r="F7528" s="42"/>
      <c r="G7528" s="42"/>
      <c r="H7528" s="42"/>
      <c r="AG7528" s="19">
        <v>7527</v>
      </c>
      <c r="AH7528" s="20">
        <v>-1225.210131790677</v>
      </c>
    </row>
    <row r="7529" spans="1:34" ht="14.5" x14ac:dyDescent="0.35">
      <c r="A7529" s="34"/>
      <c r="B7529" s="35"/>
      <c r="C7529" s="36"/>
      <c r="D7529" s="37"/>
      <c r="E7529" s="36"/>
      <c r="F7529" s="42"/>
      <c r="G7529" s="42"/>
      <c r="H7529" s="42"/>
      <c r="AG7529" s="19">
        <v>7528</v>
      </c>
      <c r="AH7529" s="20">
        <v>550.29242457357805</v>
      </c>
    </row>
    <row r="7530" spans="1:34" ht="14.5" x14ac:dyDescent="0.35">
      <c r="A7530" s="34"/>
      <c r="B7530" s="35"/>
      <c r="C7530" s="36"/>
      <c r="D7530" s="37"/>
      <c r="E7530" s="36"/>
      <c r="F7530" s="42"/>
      <c r="G7530" s="42"/>
      <c r="H7530" s="42"/>
      <c r="AG7530" s="19">
        <v>7529</v>
      </c>
      <c r="AH7530" s="20">
        <v>2352.0230018566158</v>
      </c>
    </row>
    <row r="7531" spans="1:34" ht="14.5" x14ac:dyDescent="0.35">
      <c r="A7531" s="34"/>
      <c r="B7531" s="35"/>
      <c r="C7531" s="36"/>
      <c r="D7531" s="37"/>
      <c r="E7531" s="36"/>
      <c r="F7531" s="42"/>
      <c r="G7531" s="42"/>
      <c r="H7531" s="42"/>
      <c r="AG7531" s="19">
        <v>7530</v>
      </c>
      <c r="AH7531" s="20">
        <v>-280.23171503213968</v>
      </c>
    </row>
    <row r="7532" spans="1:34" ht="14.5" x14ac:dyDescent="0.35">
      <c r="A7532" s="34"/>
      <c r="B7532" s="35"/>
      <c r="C7532" s="36"/>
      <c r="D7532" s="37"/>
      <c r="E7532" s="36"/>
      <c r="F7532" s="42"/>
      <c r="G7532" s="42"/>
      <c r="H7532" s="42"/>
      <c r="AG7532" s="19">
        <v>7531</v>
      </c>
      <c r="AH7532" s="20">
        <v>5049.1582151299526</v>
      </c>
    </row>
    <row r="7533" spans="1:34" ht="14.5" x14ac:dyDescent="0.35">
      <c r="A7533" s="34"/>
      <c r="B7533" s="35"/>
      <c r="C7533" s="36"/>
      <c r="D7533" s="37"/>
      <c r="E7533" s="36"/>
      <c r="F7533" s="42"/>
      <c r="G7533" s="42"/>
      <c r="H7533" s="42"/>
      <c r="AG7533" s="19">
        <v>7532</v>
      </c>
      <c r="AH7533" s="20">
        <v>-568.10633533806276</v>
      </c>
    </row>
    <row r="7534" spans="1:34" ht="14.5" x14ac:dyDescent="0.35">
      <c r="A7534" s="34"/>
      <c r="B7534" s="35"/>
      <c r="C7534" s="36"/>
      <c r="D7534" s="37"/>
      <c r="E7534" s="36"/>
      <c r="F7534" s="42"/>
      <c r="G7534" s="42"/>
      <c r="H7534" s="42"/>
      <c r="AG7534" s="19">
        <v>7533</v>
      </c>
      <c r="AH7534" s="20">
        <v>2319.8723156411038</v>
      </c>
    </row>
    <row r="7535" spans="1:34" ht="14.5" x14ac:dyDescent="0.35">
      <c r="A7535" s="34"/>
      <c r="B7535" s="35"/>
      <c r="C7535" s="36"/>
      <c r="D7535" s="37"/>
      <c r="E7535" s="36"/>
      <c r="F7535" s="42"/>
      <c r="G7535" s="42"/>
      <c r="H7535" s="42"/>
      <c r="AG7535" s="19">
        <v>7534</v>
      </c>
      <c r="AH7535" s="20">
        <v>1493.9800068105542</v>
      </c>
    </row>
    <row r="7536" spans="1:34" ht="14.5" x14ac:dyDescent="0.35">
      <c r="A7536" s="34"/>
      <c r="B7536" s="35"/>
      <c r="C7536" s="36"/>
      <c r="D7536" s="37"/>
      <c r="E7536" s="36"/>
      <c r="F7536" s="42"/>
      <c r="G7536" s="42"/>
      <c r="H7536" s="42"/>
      <c r="AG7536" s="19">
        <v>7535</v>
      </c>
      <c r="AH7536" s="20">
        <v>929.09637873855627</v>
      </c>
    </row>
    <row r="7537" spans="1:34" ht="14.5" x14ac:dyDescent="0.35">
      <c r="A7537" s="34"/>
      <c r="B7537" s="35"/>
      <c r="C7537" s="36"/>
      <c r="D7537" s="37"/>
      <c r="E7537" s="36"/>
      <c r="F7537" s="42"/>
      <c r="G7537" s="42"/>
      <c r="H7537" s="42"/>
      <c r="AG7537" s="19">
        <v>7536</v>
      </c>
      <c r="AH7537" s="20">
        <v>2004.6580909852078</v>
      </c>
    </row>
    <row r="7538" spans="1:34" ht="14.5" x14ac:dyDescent="0.35">
      <c r="A7538" s="34"/>
      <c r="B7538" s="35"/>
      <c r="C7538" s="36"/>
      <c r="D7538" s="37"/>
      <c r="E7538" s="36"/>
      <c r="F7538" s="42"/>
      <c r="G7538" s="42"/>
      <c r="H7538" s="42"/>
      <c r="AG7538" s="19">
        <v>7537</v>
      </c>
      <c r="AH7538" s="20">
        <v>1462.990895603748</v>
      </c>
    </row>
    <row r="7539" spans="1:34" ht="14.5" x14ac:dyDescent="0.35">
      <c r="A7539" s="34"/>
      <c r="B7539" s="35"/>
      <c r="C7539" s="36"/>
      <c r="D7539" s="37"/>
      <c r="E7539" s="36"/>
      <c r="F7539" s="42"/>
      <c r="G7539" s="42"/>
      <c r="H7539" s="42"/>
      <c r="AG7539" s="19">
        <v>7538</v>
      </c>
      <c r="AH7539" s="20">
        <v>2341.9063438616049</v>
      </c>
    </row>
    <row r="7540" spans="1:34" ht="14.5" x14ac:dyDescent="0.35">
      <c r="A7540" s="34"/>
      <c r="B7540" s="35"/>
      <c r="C7540" s="36"/>
      <c r="D7540" s="37"/>
      <c r="E7540" s="36"/>
      <c r="F7540" s="42"/>
      <c r="G7540" s="42"/>
      <c r="H7540" s="42"/>
      <c r="AG7540" s="19">
        <v>7539</v>
      </c>
      <c r="AH7540" s="20">
        <v>990.58880710869948</v>
      </c>
    </row>
    <row r="7541" spans="1:34" ht="14.5" x14ac:dyDescent="0.35">
      <c r="A7541" s="34"/>
      <c r="B7541" s="35"/>
      <c r="C7541" s="36"/>
      <c r="D7541" s="37"/>
      <c r="E7541" s="36"/>
      <c r="F7541" s="42"/>
      <c r="G7541" s="42"/>
      <c r="H7541" s="42"/>
      <c r="AG7541" s="19">
        <v>7540</v>
      </c>
      <c r="AH7541" s="20">
        <v>-972.45433643091224</v>
      </c>
    </row>
    <row r="7542" spans="1:34" ht="14.5" x14ac:dyDescent="0.35">
      <c r="A7542" s="34"/>
      <c r="B7542" s="35"/>
      <c r="C7542" s="36"/>
      <c r="D7542" s="37"/>
      <c r="E7542" s="36"/>
      <c r="F7542" s="42"/>
      <c r="G7542" s="42"/>
      <c r="H7542" s="42"/>
      <c r="AG7542" s="19">
        <v>7541</v>
      </c>
      <c r="AH7542" s="20">
        <v>738.8850650693621</v>
      </c>
    </row>
    <row r="7543" spans="1:34" ht="14.5" x14ac:dyDescent="0.35">
      <c r="A7543" s="34"/>
      <c r="B7543" s="35"/>
      <c r="C7543" s="36"/>
      <c r="D7543" s="37"/>
      <c r="E7543" s="36"/>
      <c r="F7543" s="42"/>
      <c r="G7543" s="42"/>
      <c r="H7543" s="42"/>
      <c r="AG7543" s="19">
        <v>7542</v>
      </c>
      <c r="AH7543" s="20">
        <v>2209.4054162254515</v>
      </c>
    </row>
    <row r="7544" spans="1:34" ht="14.5" x14ac:dyDescent="0.35">
      <c r="A7544" s="34"/>
      <c r="B7544" s="35"/>
      <c r="C7544" s="36"/>
      <c r="D7544" s="37"/>
      <c r="E7544" s="36"/>
      <c r="F7544" s="42"/>
      <c r="G7544" s="42"/>
      <c r="H7544" s="42"/>
      <c r="AG7544" s="19">
        <v>7543</v>
      </c>
      <c r="AH7544" s="20">
        <v>3784.1428600598233</v>
      </c>
    </row>
    <row r="7545" spans="1:34" ht="14.5" x14ac:dyDescent="0.35">
      <c r="A7545" s="34"/>
      <c r="B7545" s="35"/>
      <c r="C7545" s="36"/>
      <c r="D7545" s="37"/>
      <c r="E7545" s="36"/>
      <c r="F7545" s="42"/>
      <c r="G7545" s="42"/>
      <c r="H7545" s="42"/>
      <c r="AG7545" s="19">
        <v>7544</v>
      </c>
      <c r="AH7545" s="20">
        <v>-2642.3075844109412</v>
      </c>
    </row>
    <row r="7546" spans="1:34" ht="14.5" x14ac:dyDescent="0.35">
      <c r="A7546" s="34"/>
      <c r="B7546" s="35"/>
      <c r="C7546" s="36"/>
      <c r="D7546" s="37"/>
      <c r="E7546" s="36"/>
      <c r="F7546" s="42"/>
      <c r="G7546" s="42"/>
      <c r="H7546" s="42"/>
      <c r="AG7546" s="19">
        <v>7545</v>
      </c>
      <c r="AH7546" s="20">
        <v>1988.9938848734857</v>
      </c>
    </row>
    <row r="7547" spans="1:34" ht="14.5" x14ac:dyDescent="0.35">
      <c r="A7547" s="34"/>
      <c r="B7547" s="35"/>
      <c r="C7547" s="36"/>
      <c r="D7547" s="37"/>
      <c r="E7547" s="36"/>
      <c r="F7547" s="42"/>
      <c r="G7547" s="42"/>
      <c r="H7547" s="42"/>
      <c r="AG7547" s="19">
        <v>7546</v>
      </c>
      <c r="AH7547" s="20">
        <v>113.80590037387924</v>
      </c>
    </row>
    <row r="7548" spans="1:34" ht="14.5" x14ac:dyDescent="0.35">
      <c r="A7548" s="34"/>
      <c r="B7548" s="35"/>
      <c r="C7548" s="36"/>
      <c r="D7548" s="37"/>
      <c r="E7548" s="36"/>
      <c r="F7548" s="42"/>
      <c r="G7548" s="42"/>
      <c r="H7548" s="42"/>
      <c r="AG7548" s="19">
        <v>7547</v>
      </c>
      <c r="AH7548" s="20">
        <v>3756.2684496943953</v>
      </c>
    </row>
    <row r="7549" spans="1:34" ht="14.5" x14ac:dyDescent="0.35">
      <c r="A7549" s="34"/>
      <c r="B7549" s="35"/>
      <c r="C7549" s="36"/>
      <c r="D7549" s="37"/>
      <c r="E7549" s="36"/>
      <c r="F7549" s="42"/>
      <c r="G7549" s="42"/>
      <c r="H7549" s="42"/>
      <c r="AG7549" s="19">
        <v>7548</v>
      </c>
      <c r="AH7549" s="20">
        <v>1426.8221460379714</v>
      </c>
    </row>
    <row r="7550" spans="1:34" ht="14.5" x14ac:dyDescent="0.35">
      <c r="A7550" s="34"/>
      <c r="B7550" s="35"/>
      <c r="C7550" s="36"/>
      <c r="D7550" s="37"/>
      <c r="E7550" s="36"/>
      <c r="F7550" s="42"/>
      <c r="G7550" s="42"/>
      <c r="H7550" s="42"/>
      <c r="AG7550" s="19">
        <v>7549</v>
      </c>
      <c r="AH7550" s="20">
        <v>425.31213478403242</v>
      </c>
    </row>
    <row r="7551" spans="1:34" ht="14.5" x14ac:dyDescent="0.35">
      <c r="A7551" s="34"/>
      <c r="B7551" s="35"/>
      <c r="C7551" s="36"/>
      <c r="D7551" s="37"/>
      <c r="E7551" s="36"/>
      <c r="F7551" s="42"/>
      <c r="G7551" s="42"/>
      <c r="H7551" s="42"/>
      <c r="AG7551" s="19">
        <v>7550</v>
      </c>
      <c r="AH7551" s="20">
        <v>1461.5940586791544</v>
      </c>
    </row>
    <row r="7552" spans="1:34" ht="14.5" x14ac:dyDescent="0.35">
      <c r="A7552" s="34"/>
      <c r="B7552" s="35"/>
      <c r="C7552" s="36"/>
      <c r="D7552" s="37"/>
      <c r="E7552" s="36"/>
      <c r="F7552" s="42"/>
      <c r="G7552" s="42"/>
      <c r="H7552" s="42"/>
      <c r="AG7552" s="19">
        <v>7551</v>
      </c>
      <c r="AH7552" s="20">
        <v>-1781.9893273655387</v>
      </c>
    </row>
    <row r="7553" spans="1:34" ht="14.5" x14ac:dyDescent="0.35">
      <c r="A7553" s="34"/>
      <c r="B7553" s="35"/>
      <c r="C7553" s="36"/>
      <c r="D7553" s="37"/>
      <c r="E7553" s="36"/>
      <c r="F7553" s="42"/>
      <c r="G7553" s="42"/>
      <c r="H7553" s="42"/>
      <c r="AG7553" s="19">
        <v>7552</v>
      </c>
      <c r="AH7553" s="20">
        <v>2173.6978792788423</v>
      </c>
    </row>
    <row r="7554" spans="1:34" ht="14.5" x14ac:dyDescent="0.35">
      <c r="A7554" s="34"/>
      <c r="B7554" s="35"/>
      <c r="C7554" s="36"/>
      <c r="D7554" s="37"/>
      <c r="E7554" s="36"/>
      <c r="F7554" s="42"/>
      <c r="G7554" s="42"/>
      <c r="H7554" s="42"/>
      <c r="AG7554" s="19">
        <v>7553</v>
      </c>
      <c r="AH7554" s="20">
        <v>-115.81498827433819</v>
      </c>
    </row>
    <row r="7555" spans="1:34" ht="14.5" x14ac:dyDescent="0.35">
      <c r="A7555" s="34"/>
      <c r="B7555" s="35"/>
      <c r="C7555" s="36"/>
      <c r="D7555" s="37"/>
      <c r="E7555" s="36"/>
      <c r="F7555" s="42"/>
      <c r="G7555" s="42"/>
      <c r="H7555" s="42"/>
      <c r="AG7555" s="19">
        <v>7554</v>
      </c>
      <c r="AH7555" s="20">
        <v>86.860472153952969</v>
      </c>
    </row>
    <row r="7556" spans="1:34" ht="14.5" x14ac:dyDescent="0.35">
      <c r="A7556" s="34"/>
      <c r="B7556" s="35"/>
      <c r="C7556" s="36"/>
      <c r="D7556" s="37"/>
      <c r="E7556" s="36"/>
      <c r="F7556" s="42"/>
      <c r="G7556" s="42"/>
      <c r="H7556" s="42"/>
      <c r="AG7556" s="19">
        <v>7555</v>
      </c>
      <c r="AH7556" s="20">
        <v>-1537.3660948579716</v>
      </c>
    </row>
    <row r="7557" spans="1:34" ht="14.5" x14ac:dyDescent="0.35">
      <c r="A7557" s="34"/>
      <c r="B7557" s="35"/>
      <c r="C7557" s="36"/>
      <c r="D7557" s="37"/>
      <c r="E7557" s="36"/>
      <c r="F7557" s="42"/>
      <c r="G7557" s="42"/>
      <c r="H7557" s="42"/>
      <c r="AG7557" s="19">
        <v>7556</v>
      </c>
      <c r="AH7557" s="20">
        <v>-2768.061702298286</v>
      </c>
    </row>
    <row r="7558" spans="1:34" ht="14.5" x14ac:dyDescent="0.35">
      <c r="A7558" s="34"/>
      <c r="B7558" s="35"/>
      <c r="C7558" s="36"/>
      <c r="D7558" s="37"/>
      <c r="E7558" s="36"/>
      <c r="F7558" s="42"/>
      <c r="G7558" s="42"/>
      <c r="H7558" s="42"/>
      <c r="AG7558" s="19">
        <v>7557</v>
      </c>
      <c r="AH7558" s="20">
        <v>4015.3184779803596</v>
      </c>
    </row>
    <row r="7559" spans="1:34" ht="14.5" x14ac:dyDescent="0.35">
      <c r="A7559" s="34"/>
      <c r="B7559" s="35"/>
      <c r="C7559" s="36"/>
      <c r="D7559" s="37"/>
      <c r="E7559" s="36"/>
      <c r="F7559" s="42"/>
      <c r="G7559" s="42"/>
      <c r="H7559" s="42"/>
      <c r="AG7559" s="19">
        <v>7558</v>
      </c>
      <c r="AH7559" s="20">
        <v>-2933.2997694877554</v>
      </c>
    </row>
    <row r="7560" spans="1:34" ht="14.5" x14ac:dyDescent="0.35">
      <c r="A7560" s="34"/>
      <c r="B7560" s="35"/>
      <c r="C7560" s="36"/>
      <c r="D7560" s="37"/>
      <c r="E7560" s="36"/>
      <c r="F7560" s="42"/>
      <c r="G7560" s="42"/>
      <c r="H7560" s="42"/>
      <c r="AG7560" s="19">
        <v>7559</v>
      </c>
      <c r="AH7560" s="20">
        <v>-1153.3370908132133</v>
      </c>
    </row>
    <row r="7561" spans="1:34" ht="14.5" x14ac:dyDescent="0.35">
      <c r="A7561" s="34"/>
      <c r="B7561" s="35"/>
      <c r="C7561" s="36"/>
      <c r="D7561" s="37"/>
      <c r="E7561" s="36"/>
      <c r="F7561" s="42"/>
      <c r="G7561" s="42"/>
      <c r="H7561" s="42"/>
      <c r="AG7561" s="19">
        <v>7560</v>
      </c>
      <c r="AH7561" s="20">
        <v>1905.2744574418182</v>
      </c>
    </row>
    <row r="7562" spans="1:34" ht="14.5" x14ac:dyDescent="0.35">
      <c r="A7562" s="34"/>
      <c r="B7562" s="35"/>
      <c r="C7562" s="36"/>
      <c r="D7562" s="37"/>
      <c r="E7562" s="36"/>
      <c r="F7562" s="42"/>
      <c r="G7562" s="42"/>
      <c r="H7562" s="42"/>
      <c r="AG7562" s="19">
        <v>7561</v>
      </c>
      <c r="AH7562" s="20">
        <v>5247.8208188409662</v>
      </c>
    </row>
    <row r="7563" spans="1:34" ht="14.5" x14ac:dyDescent="0.35">
      <c r="A7563" s="34"/>
      <c r="B7563" s="35"/>
      <c r="C7563" s="36"/>
      <c r="D7563" s="37"/>
      <c r="E7563" s="36"/>
      <c r="F7563" s="42"/>
      <c r="G7563" s="42"/>
      <c r="H7563" s="42"/>
      <c r="AG7563" s="19">
        <v>7562</v>
      </c>
      <c r="AH7563" s="20">
        <v>-1584.5679692935307</v>
      </c>
    </row>
    <row r="7564" spans="1:34" ht="14.5" x14ac:dyDescent="0.35">
      <c r="A7564" s="34"/>
      <c r="B7564" s="35"/>
      <c r="C7564" s="36"/>
      <c r="D7564" s="37"/>
      <c r="E7564" s="36"/>
      <c r="F7564" s="42"/>
      <c r="G7564" s="42"/>
      <c r="H7564" s="42"/>
      <c r="AG7564" s="19">
        <v>7563</v>
      </c>
      <c r="AH7564" s="20">
        <v>-2150.9394720976093</v>
      </c>
    </row>
    <row r="7565" spans="1:34" ht="14.5" x14ac:dyDescent="0.35">
      <c r="A7565" s="34"/>
      <c r="B7565" s="35"/>
      <c r="C7565" s="36"/>
      <c r="D7565" s="37"/>
      <c r="E7565" s="36"/>
      <c r="F7565" s="42"/>
      <c r="G7565" s="42"/>
      <c r="H7565" s="42"/>
      <c r="AG7565" s="19">
        <v>7564</v>
      </c>
      <c r="AH7565" s="20">
        <v>62.609713253934501</v>
      </c>
    </row>
    <row r="7566" spans="1:34" ht="14.5" x14ac:dyDescent="0.35">
      <c r="A7566" s="34"/>
      <c r="B7566" s="35"/>
      <c r="C7566" s="36"/>
      <c r="D7566" s="37"/>
      <c r="E7566" s="36"/>
      <c r="F7566" s="42"/>
      <c r="G7566" s="42"/>
      <c r="H7566" s="42"/>
      <c r="AG7566" s="19">
        <v>7565</v>
      </c>
      <c r="AH7566" s="20">
        <v>1594.6496112677801</v>
      </c>
    </row>
    <row r="7567" spans="1:34" ht="14.5" x14ac:dyDescent="0.35">
      <c r="A7567" s="34"/>
      <c r="B7567" s="35"/>
      <c r="C7567" s="36"/>
      <c r="D7567" s="37"/>
      <c r="E7567" s="36"/>
      <c r="F7567" s="42"/>
      <c r="G7567" s="42"/>
      <c r="H7567" s="42"/>
      <c r="AG7567" s="19">
        <v>7566</v>
      </c>
      <c r="AH7567" s="20">
        <v>1968.1692660736983</v>
      </c>
    </row>
    <row r="7568" spans="1:34" ht="14.5" x14ac:dyDescent="0.35">
      <c r="A7568" s="34"/>
      <c r="B7568" s="35"/>
      <c r="C7568" s="36"/>
      <c r="D7568" s="37"/>
      <c r="E7568" s="36"/>
      <c r="F7568" s="42"/>
      <c r="G7568" s="42"/>
      <c r="H7568" s="42"/>
      <c r="AG7568" s="19">
        <v>7567</v>
      </c>
      <c r="AH7568" s="20">
        <v>826.58532547512004</v>
      </c>
    </row>
    <row r="7569" spans="1:34" ht="14.5" x14ac:dyDescent="0.35">
      <c r="A7569" s="34"/>
      <c r="B7569" s="35"/>
      <c r="C7569" s="36"/>
      <c r="D7569" s="37"/>
      <c r="E7569" s="36"/>
      <c r="F7569" s="42"/>
      <c r="G7569" s="42"/>
      <c r="H7569" s="42"/>
      <c r="AG7569" s="19">
        <v>7568</v>
      </c>
      <c r="AH7569" s="20">
        <v>-2407.822405018715</v>
      </c>
    </row>
    <row r="7570" spans="1:34" ht="14.5" x14ac:dyDescent="0.35">
      <c r="A7570" s="34"/>
      <c r="B7570" s="35"/>
      <c r="C7570" s="36"/>
      <c r="D7570" s="37"/>
      <c r="E7570" s="36"/>
      <c r="F7570" s="42"/>
      <c r="G7570" s="42"/>
      <c r="H7570" s="42"/>
      <c r="AG7570" s="19">
        <v>7569</v>
      </c>
      <c r="AH7570" s="20">
        <v>-220.03393775522244</v>
      </c>
    </row>
    <row r="7571" spans="1:34" ht="14.5" x14ac:dyDescent="0.35">
      <c r="A7571" s="34"/>
      <c r="B7571" s="35"/>
      <c r="C7571" s="36"/>
      <c r="D7571" s="37"/>
      <c r="E7571" s="36"/>
      <c r="F7571" s="42"/>
      <c r="G7571" s="42"/>
      <c r="H7571" s="42"/>
      <c r="AG7571" s="19">
        <v>7570</v>
      </c>
      <c r="AH7571" s="20">
        <v>697.35536132056814</v>
      </c>
    </row>
    <row r="7572" spans="1:34" ht="14.5" x14ac:dyDescent="0.35">
      <c r="A7572" s="34"/>
      <c r="B7572" s="35"/>
      <c r="C7572" s="36"/>
      <c r="D7572" s="37"/>
      <c r="E7572" s="36"/>
      <c r="F7572" s="42"/>
      <c r="G7572" s="42"/>
      <c r="H7572" s="42"/>
      <c r="AG7572" s="19">
        <v>7571</v>
      </c>
      <c r="AH7572" s="20">
        <v>553.99811221555285</v>
      </c>
    </row>
    <row r="7573" spans="1:34" ht="14.5" x14ac:dyDescent="0.35">
      <c r="A7573" s="34"/>
      <c r="B7573" s="35"/>
      <c r="C7573" s="36"/>
      <c r="D7573" s="37"/>
      <c r="E7573" s="36"/>
      <c r="F7573" s="42"/>
      <c r="G7573" s="42"/>
      <c r="H7573" s="42"/>
      <c r="AG7573" s="19">
        <v>7572</v>
      </c>
      <c r="AH7573" s="20">
        <v>-327.29263193451771</v>
      </c>
    </row>
    <row r="7574" spans="1:34" ht="14.5" x14ac:dyDescent="0.35">
      <c r="A7574" s="34"/>
      <c r="B7574" s="35"/>
      <c r="C7574" s="36"/>
      <c r="D7574" s="37"/>
      <c r="E7574" s="36"/>
      <c r="F7574" s="42"/>
      <c r="G7574" s="42"/>
      <c r="H7574" s="42"/>
      <c r="AG7574" s="19">
        <v>7573</v>
      </c>
      <c r="AH7574" s="20">
        <v>4153.6010763343202</v>
      </c>
    </row>
    <row r="7575" spans="1:34" ht="14.5" x14ac:dyDescent="0.35">
      <c r="A7575" s="34"/>
      <c r="B7575" s="35"/>
      <c r="C7575" s="36"/>
      <c r="D7575" s="37"/>
      <c r="E7575" s="36"/>
      <c r="F7575" s="42"/>
      <c r="G7575" s="42"/>
      <c r="H7575" s="42"/>
      <c r="AG7575" s="19">
        <v>7574</v>
      </c>
      <c r="AH7575" s="20">
        <v>-969.59743486522666</v>
      </c>
    </row>
    <row r="7576" spans="1:34" ht="14.5" x14ac:dyDescent="0.35">
      <c r="A7576" s="34"/>
      <c r="B7576" s="35"/>
      <c r="C7576" s="36"/>
      <c r="D7576" s="37"/>
      <c r="E7576" s="36"/>
      <c r="F7576" s="42"/>
      <c r="G7576" s="42"/>
      <c r="H7576" s="42"/>
      <c r="AG7576" s="19">
        <v>7575</v>
      </c>
      <c r="AH7576" s="20">
        <v>-1348.7580012792332</v>
      </c>
    </row>
    <row r="7577" spans="1:34" ht="14.5" x14ac:dyDescent="0.35">
      <c r="A7577" s="34"/>
      <c r="B7577" s="35"/>
      <c r="C7577" s="36"/>
      <c r="D7577" s="37"/>
      <c r="E7577" s="36"/>
      <c r="F7577" s="42"/>
      <c r="G7577" s="42"/>
      <c r="H7577" s="42"/>
      <c r="AG7577" s="19">
        <v>7576</v>
      </c>
      <c r="AH7577" s="20">
        <v>-1974.1769419655368</v>
      </c>
    </row>
    <row r="7578" spans="1:34" ht="14.5" x14ac:dyDescent="0.35">
      <c r="A7578" s="34"/>
      <c r="B7578" s="35"/>
      <c r="C7578" s="36"/>
      <c r="D7578" s="37"/>
      <c r="E7578" s="36"/>
      <c r="F7578" s="42"/>
      <c r="G7578" s="42"/>
      <c r="H7578" s="42"/>
      <c r="AG7578" s="19">
        <v>7577</v>
      </c>
      <c r="AH7578" s="20">
        <v>1446.8031241682745</v>
      </c>
    </row>
    <row r="7579" spans="1:34" ht="14.5" x14ac:dyDescent="0.35">
      <c r="A7579" s="34"/>
      <c r="B7579" s="35"/>
      <c r="C7579" s="36"/>
      <c r="D7579" s="37"/>
      <c r="E7579" s="36"/>
      <c r="F7579" s="42"/>
      <c r="G7579" s="42"/>
      <c r="H7579" s="42"/>
      <c r="AG7579" s="19">
        <v>7578</v>
      </c>
      <c r="AH7579" s="20">
        <v>-639.6888200521023</v>
      </c>
    </row>
    <row r="7580" spans="1:34" ht="14.5" x14ac:dyDescent="0.35">
      <c r="A7580" s="34"/>
      <c r="B7580" s="35"/>
      <c r="C7580" s="36"/>
      <c r="D7580" s="37"/>
      <c r="E7580" s="36"/>
      <c r="F7580" s="42"/>
      <c r="G7580" s="42"/>
      <c r="H7580" s="42"/>
      <c r="AG7580" s="19">
        <v>7579</v>
      </c>
      <c r="AH7580" s="20">
        <v>6109.756961578797</v>
      </c>
    </row>
    <row r="7581" spans="1:34" ht="14.5" x14ac:dyDescent="0.35">
      <c r="A7581" s="34"/>
      <c r="B7581" s="35"/>
      <c r="C7581" s="36"/>
      <c r="D7581" s="37"/>
      <c r="E7581" s="36"/>
      <c r="F7581" s="42"/>
      <c r="G7581" s="42"/>
      <c r="H7581" s="42"/>
      <c r="AG7581" s="19">
        <v>7580</v>
      </c>
      <c r="AH7581" s="20">
        <v>-356.10191566241116</v>
      </c>
    </row>
    <row r="7582" spans="1:34" ht="14.5" x14ac:dyDescent="0.35">
      <c r="A7582" s="34"/>
      <c r="B7582" s="35"/>
      <c r="C7582" s="36"/>
      <c r="D7582" s="37"/>
      <c r="E7582" s="36"/>
      <c r="F7582" s="42"/>
      <c r="G7582" s="42"/>
      <c r="H7582" s="42"/>
      <c r="AG7582" s="19">
        <v>7581</v>
      </c>
      <c r="AH7582" s="20">
        <v>1824.6197625346595</v>
      </c>
    </row>
    <row r="7583" spans="1:34" ht="14.5" x14ac:dyDescent="0.35">
      <c r="A7583" s="34"/>
      <c r="B7583" s="35"/>
      <c r="C7583" s="36"/>
      <c r="D7583" s="37"/>
      <c r="E7583" s="36"/>
      <c r="F7583" s="42"/>
      <c r="G7583" s="42"/>
      <c r="H7583" s="42"/>
      <c r="AG7583" s="19">
        <v>7582</v>
      </c>
      <c r="AH7583" s="20">
        <v>-1872.5169295915314</v>
      </c>
    </row>
    <row r="7584" spans="1:34" ht="14.5" x14ac:dyDescent="0.35">
      <c r="A7584" s="34"/>
      <c r="B7584" s="35"/>
      <c r="C7584" s="36"/>
      <c r="D7584" s="37"/>
      <c r="E7584" s="36"/>
      <c r="F7584" s="42"/>
      <c r="G7584" s="42"/>
      <c r="H7584" s="42"/>
      <c r="AG7584" s="19">
        <v>7583</v>
      </c>
      <c r="AH7584" s="20">
        <v>174.08748999866938</v>
      </c>
    </row>
    <row r="7585" spans="1:34" ht="14.5" x14ac:dyDescent="0.35">
      <c r="A7585" s="34"/>
      <c r="B7585" s="35"/>
      <c r="C7585" s="36"/>
      <c r="D7585" s="37"/>
      <c r="E7585" s="36"/>
      <c r="F7585" s="42"/>
      <c r="G7585" s="42"/>
      <c r="H7585" s="42"/>
      <c r="AG7585" s="19">
        <v>7584</v>
      </c>
      <c r="AH7585" s="20">
        <v>-1700.9697184715617</v>
      </c>
    </row>
    <row r="7586" spans="1:34" ht="14.5" x14ac:dyDescent="0.35">
      <c r="A7586" s="34"/>
      <c r="B7586" s="35"/>
      <c r="C7586" s="36"/>
      <c r="D7586" s="37"/>
      <c r="E7586" s="36"/>
      <c r="F7586" s="42"/>
      <c r="G7586" s="42"/>
      <c r="H7586" s="42"/>
      <c r="AG7586" s="19">
        <v>7585</v>
      </c>
      <c r="AH7586" s="20">
        <v>316.94340661976207</v>
      </c>
    </row>
    <row r="7587" spans="1:34" ht="14.5" x14ac:dyDescent="0.35">
      <c r="A7587" s="34"/>
      <c r="B7587" s="35"/>
      <c r="C7587" s="36"/>
      <c r="D7587" s="37"/>
      <c r="E7587" s="36"/>
      <c r="F7587" s="42"/>
      <c r="G7587" s="42"/>
      <c r="H7587" s="42"/>
      <c r="AG7587" s="19">
        <v>7586</v>
      </c>
      <c r="AH7587" s="20">
        <v>-2964.1764665325177</v>
      </c>
    </row>
    <row r="7588" spans="1:34" ht="14.5" x14ac:dyDescent="0.35">
      <c r="A7588" s="34"/>
      <c r="B7588" s="35"/>
      <c r="C7588" s="36"/>
      <c r="D7588" s="37"/>
      <c r="E7588" s="36"/>
      <c r="F7588" s="42"/>
      <c r="G7588" s="42"/>
      <c r="H7588" s="42"/>
      <c r="AG7588" s="19">
        <v>7587</v>
      </c>
      <c r="AH7588" s="20">
        <v>-744.40291664847882</v>
      </c>
    </row>
    <row r="7589" spans="1:34" ht="14.5" x14ac:dyDescent="0.35">
      <c r="A7589" s="34"/>
      <c r="B7589" s="35"/>
      <c r="C7589" s="36"/>
      <c r="D7589" s="37"/>
      <c r="E7589" s="36"/>
      <c r="F7589" s="42"/>
      <c r="G7589" s="42"/>
      <c r="H7589" s="42"/>
      <c r="AG7589" s="19">
        <v>7588</v>
      </c>
      <c r="AH7589" s="20">
        <v>143.09758525314157</v>
      </c>
    </row>
    <row r="7590" spans="1:34" ht="14.5" x14ac:dyDescent="0.35">
      <c r="A7590" s="34"/>
      <c r="B7590" s="35"/>
      <c r="C7590" s="36"/>
      <c r="D7590" s="37"/>
      <c r="E7590" s="36"/>
      <c r="F7590" s="42"/>
      <c r="G7590" s="42"/>
      <c r="H7590" s="42"/>
      <c r="AG7590" s="19">
        <v>7589</v>
      </c>
      <c r="AH7590" s="20">
        <v>-1020.310807964782</v>
      </c>
    </row>
    <row r="7591" spans="1:34" ht="14.5" x14ac:dyDescent="0.35">
      <c r="A7591" s="34"/>
      <c r="B7591" s="35"/>
      <c r="C7591" s="36"/>
      <c r="D7591" s="37"/>
      <c r="E7591" s="36"/>
      <c r="F7591" s="42"/>
      <c r="G7591" s="42"/>
      <c r="H7591" s="42"/>
      <c r="AG7591" s="19">
        <v>7590</v>
      </c>
      <c r="AH7591" s="20">
        <v>545.43379363646147</v>
      </c>
    </row>
    <row r="7592" spans="1:34" ht="14.5" x14ac:dyDescent="0.35">
      <c r="A7592" s="34"/>
      <c r="B7592" s="35"/>
      <c r="C7592" s="36"/>
      <c r="D7592" s="37"/>
      <c r="E7592" s="36"/>
      <c r="F7592" s="42"/>
      <c r="G7592" s="42"/>
      <c r="H7592" s="42"/>
      <c r="AG7592" s="19">
        <v>7591</v>
      </c>
      <c r="AH7592" s="20">
        <v>-1967.8797914380932</v>
      </c>
    </row>
    <row r="7593" spans="1:34" ht="14.5" x14ac:dyDescent="0.35">
      <c r="A7593" s="34"/>
      <c r="B7593" s="35"/>
      <c r="C7593" s="36"/>
      <c r="D7593" s="37"/>
      <c r="E7593" s="36"/>
      <c r="F7593" s="42"/>
      <c r="G7593" s="42"/>
      <c r="H7593" s="42"/>
      <c r="AG7593" s="19">
        <v>7592</v>
      </c>
      <c r="AH7593" s="20">
        <v>784.50729518509388</v>
      </c>
    </row>
    <row r="7594" spans="1:34" ht="14.5" x14ac:dyDescent="0.35">
      <c r="A7594" s="34"/>
      <c r="B7594" s="35"/>
      <c r="C7594" s="36"/>
      <c r="D7594" s="37"/>
      <c r="E7594" s="36"/>
      <c r="F7594" s="42"/>
      <c r="G7594" s="42"/>
      <c r="H7594" s="42"/>
      <c r="AG7594" s="19">
        <v>7593</v>
      </c>
      <c r="AH7594" s="20">
        <v>1314.8617369960589</v>
      </c>
    </row>
    <row r="7595" spans="1:34" ht="14.5" x14ac:dyDescent="0.35">
      <c r="A7595" s="34"/>
      <c r="B7595" s="35"/>
      <c r="C7595" s="36"/>
      <c r="D7595" s="37"/>
      <c r="E7595" s="36"/>
      <c r="F7595" s="42"/>
      <c r="G7595" s="42"/>
      <c r="H7595" s="42"/>
      <c r="AG7595" s="19">
        <v>7594</v>
      </c>
      <c r="AH7595" s="20">
        <v>-951.96654892811671</v>
      </c>
    </row>
    <row r="7596" spans="1:34" ht="14.5" x14ac:dyDescent="0.35">
      <c r="A7596" s="34"/>
      <c r="B7596" s="35"/>
      <c r="C7596" s="36"/>
      <c r="D7596" s="37"/>
      <c r="E7596" s="36"/>
      <c r="F7596" s="42"/>
      <c r="G7596" s="42"/>
      <c r="H7596" s="42"/>
      <c r="AG7596" s="19">
        <v>7595</v>
      </c>
      <c r="AH7596" s="20">
        <v>106.88499858111516</v>
      </c>
    </row>
    <row r="7597" spans="1:34" ht="14.5" x14ac:dyDescent="0.35">
      <c r="A7597" s="34"/>
      <c r="B7597" s="35"/>
      <c r="C7597" s="36"/>
      <c r="D7597" s="37"/>
      <c r="E7597" s="36"/>
      <c r="F7597" s="42"/>
      <c r="G7597" s="42"/>
      <c r="H7597" s="42"/>
      <c r="AG7597" s="19">
        <v>7596</v>
      </c>
      <c r="AH7597" s="20">
        <v>2073.8289734865848</v>
      </c>
    </row>
    <row r="7598" spans="1:34" ht="14.5" x14ac:dyDescent="0.35">
      <c r="A7598" s="34"/>
      <c r="B7598" s="35"/>
      <c r="C7598" s="36"/>
      <c r="D7598" s="37"/>
      <c r="E7598" s="36"/>
      <c r="F7598" s="42"/>
      <c r="G7598" s="42"/>
      <c r="H7598" s="42"/>
      <c r="AG7598" s="19">
        <v>7597</v>
      </c>
      <c r="AH7598" s="20">
        <v>666.98532818518322</v>
      </c>
    </row>
    <row r="7599" spans="1:34" ht="14.5" x14ac:dyDescent="0.35">
      <c r="A7599" s="34"/>
      <c r="B7599" s="35"/>
      <c r="C7599" s="36"/>
      <c r="D7599" s="37"/>
      <c r="E7599" s="36"/>
      <c r="F7599" s="42"/>
      <c r="G7599" s="42"/>
      <c r="H7599" s="42"/>
      <c r="AG7599" s="19">
        <v>7598</v>
      </c>
      <c r="AH7599" s="20">
        <v>1699.6544414936436</v>
      </c>
    </row>
    <row r="7600" spans="1:34" ht="14.5" x14ac:dyDescent="0.35">
      <c r="A7600" s="34"/>
      <c r="B7600" s="35"/>
      <c r="C7600" s="36"/>
      <c r="D7600" s="37"/>
      <c r="E7600" s="36"/>
      <c r="F7600" s="42"/>
      <c r="G7600" s="42"/>
      <c r="H7600" s="42"/>
      <c r="AG7600" s="19">
        <v>7599</v>
      </c>
      <c r="AH7600" s="20">
        <v>-1941.7850781279278</v>
      </c>
    </row>
    <row r="7601" spans="1:34" ht="14.5" x14ac:dyDescent="0.35">
      <c r="A7601" s="34"/>
      <c r="B7601" s="35"/>
      <c r="C7601" s="36"/>
      <c r="D7601" s="37"/>
      <c r="E7601" s="36"/>
      <c r="F7601" s="42"/>
      <c r="G7601" s="42"/>
      <c r="H7601" s="42"/>
      <c r="AG7601" s="19">
        <v>7600</v>
      </c>
      <c r="AH7601" s="20">
        <v>2096.8547644010146</v>
      </c>
    </row>
    <row r="7602" spans="1:34" ht="14.5" x14ac:dyDescent="0.35">
      <c r="A7602" s="34"/>
      <c r="B7602" s="35"/>
      <c r="C7602" s="36"/>
      <c r="D7602" s="37"/>
      <c r="E7602" s="36"/>
      <c r="F7602" s="42"/>
      <c r="G7602" s="42"/>
      <c r="H7602" s="42"/>
      <c r="AG7602" s="19">
        <v>7601</v>
      </c>
      <c r="AH7602" s="20">
        <v>2965.2943505228418</v>
      </c>
    </row>
    <row r="7603" spans="1:34" ht="14.5" x14ac:dyDescent="0.35">
      <c r="A7603" s="34"/>
      <c r="B7603" s="35"/>
      <c r="C7603" s="36"/>
      <c r="D7603" s="37"/>
      <c r="E7603" s="36"/>
      <c r="F7603" s="42"/>
      <c r="G7603" s="42"/>
      <c r="H7603" s="42"/>
      <c r="AG7603" s="19">
        <v>7602</v>
      </c>
      <c r="AH7603" s="20">
        <v>-3076.3985823486432</v>
      </c>
    </row>
    <row r="7604" spans="1:34" ht="14.5" x14ac:dyDescent="0.35">
      <c r="A7604" s="34"/>
      <c r="B7604" s="35"/>
      <c r="C7604" s="36"/>
      <c r="D7604" s="37"/>
      <c r="E7604" s="36"/>
      <c r="F7604" s="42"/>
      <c r="G7604" s="42"/>
      <c r="H7604" s="42"/>
      <c r="AG7604" s="19">
        <v>7603</v>
      </c>
      <c r="AH7604" s="20">
        <v>4455.4085980869568</v>
      </c>
    </row>
    <row r="7605" spans="1:34" ht="14.5" x14ac:dyDescent="0.35">
      <c r="A7605" s="34"/>
      <c r="B7605" s="35"/>
      <c r="C7605" s="36"/>
      <c r="D7605" s="37"/>
      <c r="E7605" s="36"/>
      <c r="F7605" s="42"/>
      <c r="G7605" s="42"/>
      <c r="H7605" s="42"/>
      <c r="AG7605" s="19">
        <v>7604</v>
      </c>
      <c r="AH7605" s="20">
        <v>-3113.3259368057729</v>
      </c>
    </row>
    <row r="7606" spans="1:34" ht="14.5" x14ac:dyDescent="0.35">
      <c r="A7606" s="34"/>
      <c r="B7606" s="35"/>
      <c r="C7606" s="36"/>
      <c r="D7606" s="37"/>
      <c r="E7606" s="36"/>
      <c r="F7606" s="42"/>
      <c r="G7606" s="42"/>
      <c r="H7606" s="42"/>
      <c r="AG7606" s="19">
        <v>7605</v>
      </c>
      <c r="AH7606" s="20">
        <v>1254.4754622350144</v>
      </c>
    </row>
    <row r="7607" spans="1:34" ht="14.5" x14ac:dyDescent="0.35">
      <c r="A7607" s="34"/>
      <c r="B7607" s="35"/>
      <c r="C7607" s="36"/>
      <c r="D7607" s="37"/>
      <c r="E7607" s="36"/>
      <c r="F7607" s="42"/>
      <c r="G7607" s="42"/>
      <c r="H7607" s="42"/>
      <c r="AG7607" s="19">
        <v>7606</v>
      </c>
      <c r="AH7607" s="20">
        <v>3743.4864736683799</v>
      </c>
    </row>
    <row r="7608" spans="1:34" ht="14.5" x14ac:dyDescent="0.35">
      <c r="A7608" s="34"/>
      <c r="B7608" s="35"/>
      <c r="C7608" s="36"/>
      <c r="D7608" s="37"/>
      <c r="E7608" s="36"/>
      <c r="F7608" s="42"/>
      <c r="G7608" s="42"/>
      <c r="H7608" s="42"/>
      <c r="AG7608" s="19">
        <v>7607</v>
      </c>
      <c r="AH7608" s="20">
        <v>-345.4214560554812</v>
      </c>
    </row>
    <row r="7609" spans="1:34" ht="14.5" x14ac:dyDescent="0.35">
      <c r="A7609" s="34"/>
      <c r="B7609" s="35"/>
      <c r="C7609" s="36"/>
      <c r="D7609" s="37"/>
      <c r="E7609" s="36"/>
      <c r="F7609" s="42"/>
      <c r="G7609" s="42"/>
      <c r="H7609" s="42"/>
      <c r="AG7609" s="19">
        <v>7608</v>
      </c>
      <c r="AH7609" s="20">
        <v>-242.06688065181862</v>
      </c>
    </row>
    <row r="7610" spans="1:34" ht="14.5" x14ac:dyDescent="0.35">
      <c r="A7610" s="34"/>
      <c r="B7610" s="35"/>
      <c r="C7610" s="36"/>
      <c r="D7610" s="37"/>
      <c r="E7610" s="36"/>
      <c r="F7610" s="42"/>
      <c r="G7610" s="42"/>
      <c r="H7610" s="42"/>
      <c r="AG7610" s="19">
        <v>7609</v>
      </c>
      <c r="AH7610" s="20">
        <v>3123.4428643538254</v>
      </c>
    </row>
    <row r="7611" spans="1:34" ht="14.5" x14ac:dyDescent="0.35">
      <c r="A7611" s="34"/>
      <c r="B7611" s="35"/>
      <c r="C7611" s="36"/>
      <c r="D7611" s="37"/>
      <c r="E7611" s="36"/>
      <c r="F7611" s="42"/>
      <c r="G7611" s="42"/>
      <c r="H7611" s="42"/>
      <c r="AG7611" s="19">
        <v>7610</v>
      </c>
      <c r="AH7611" s="20">
        <v>3398.181175030099</v>
      </c>
    </row>
    <row r="7612" spans="1:34" ht="14.5" x14ac:dyDescent="0.35">
      <c r="A7612" s="34"/>
      <c r="B7612" s="35"/>
      <c r="C7612" s="36"/>
      <c r="D7612" s="37"/>
      <c r="E7612" s="36"/>
      <c r="F7612" s="42"/>
      <c r="G7612" s="42"/>
      <c r="H7612" s="42"/>
      <c r="AG7612" s="19">
        <v>7611</v>
      </c>
      <c r="AH7612" s="20">
        <v>1297.1033074655418</v>
      </c>
    </row>
    <row r="7613" spans="1:34" ht="14.5" x14ac:dyDescent="0.35">
      <c r="A7613" s="34"/>
      <c r="B7613" s="35"/>
      <c r="C7613" s="36"/>
      <c r="D7613" s="37"/>
      <c r="E7613" s="36"/>
      <c r="F7613" s="42"/>
      <c r="G7613" s="42"/>
      <c r="H7613" s="42"/>
      <c r="AG7613" s="19">
        <v>7612</v>
      </c>
      <c r="AH7613" s="20">
        <v>30.204353648555582</v>
      </c>
    </row>
    <row r="7614" spans="1:34" ht="14.5" x14ac:dyDescent="0.35">
      <c r="A7614" s="34"/>
      <c r="B7614" s="35"/>
      <c r="C7614" s="36"/>
      <c r="D7614" s="37"/>
      <c r="E7614" s="36"/>
      <c r="F7614" s="42"/>
      <c r="G7614" s="42"/>
      <c r="H7614" s="42"/>
      <c r="AG7614" s="19">
        <v>7613</v>
      </c>
      <c r="AH7614" s="20">
        <v>-271.57868109702071</v>
      </c>
    </row>
    <row r="7615" spans="1:34" ht="14.5" x14ac:dyDescent="0.35">
      <c r="A7615" s="34"/>
      <c r="B7615" s="35"/>
      <c r="C7615" s="36"/>
      <c r="D7615" s="37"/>
      <c r="E7615" s="36"/>
      <c r="F7615" s="42"/>
      <c r="G7615" s="42"/>
      <c r="H7615" s="42"/>
      <c r="AG7615" s="19">
        <v>7614</v>
      </c>
      <c r="AH7615" s="20">
        <v>-938.10560430987675</v>
      </c>
    </row>
    <row r="7616" spans="1:34" ht="14.5" x14ac:dyDescent="0.35">
      <c r="A7616" s="34"/>
      <c r="B7616" s="35"/>
      <c r="C7616" s="36"/>
      <c r="D7616" s="37"/>
      <c r="E7616" s="36"/>
      <c r="F7616" s="42"/>
      <c r="G7616" s="42"/>
      <c r="H7616" s="42"/>
      <c r="AG7616" s="19">
        <v>7615</v>
      </c>
      <c r="AH7616" s="20">
        <v>4305.9801791148811</v>
      </c>
    </row>
    <row r="7617" spans="1:34" ht="14.5" x14ac:dyDescent="0.35">
      <c r="A7617" s="34"/>
      <c r="B7617" s="35"/>
      <c r="C7617" s="36"/>
      <c r="D7617" s="37"/>
      <c r="E7617" s="36"/>
      <c r="F7617" s="42"/>
      <c r="G7617" s="42"/>
      <c r="H7617" s="42"/>
      <c r="AG7617" s="19">
        <v>7616</v>
      </c>
      <c r="AH7617" s="20">
        <v>440.30320468773601</v>
      </c>
    </row>
    <row r="7618" spans="1:34" ht="14.5" x14ac:dyDescent="0.35">
      <c r="A7618" s="34"/>
      <c r="B7618" s="35"/>
      <c r="C7618" s="36"/>
      <c r="D7618" s="37"/>
      <c r="E7618" s="36"/>
      <c r="F7618" s="42"/>
      <c r="G7618" s="42"/>
      <c r="H7618" s="42"/>
      <c r="AG7618" s="19">
        <v>7617</v>
      </c>
      <c r="AH7618" s="20">
        <v>-2553.181272754412</v>
      </c>
    </row>
    <row r="7619" spans="1:34" ht="14.5" x14ac:dyDescent="0.35">
      <c r="A7619" s="34"/>
      <c r="B7619" s="35"/>
      <c r="C7619" s="36"/>
      <c r="D7619" s="37"/>
      <c r="E7619" s="36"/>
      <c r="F7619" s="42"/>
      <c r="G7619" s="42"/>
      <c r="H7619" s="42"/>
      <c r="AG7619" s="19">
        <v>7618</v>
      </c>
      <c r="AH7619" s="20">
        <v>-1347.3982922546468</v>
      </c>
    </row>
    <row r="7620" spans="1:34" ht="14.5" x14ac:dyDescent="0.35">
      <c r="A7620" s="34"/>
      <c r="B7620" s="35"/>
      <c r="C7620" s="36"/>
      <c r="D7620" s="37"/>
      <c r="E7620" s="36"/>
      <c r="F7620" s="42"/>
      <c r="G7620" s="42"/>
      <c r="H7620" s="42"/>
      <c r="AG7620" s="19">
        <v>7619</v>
      </c>
      <c r="AH7620" s="20">
        <v>-141.92599483032069</v>
      </c>
    </row>
    <row r="7621" spans="1:34" ht="14.5" x14ac:dyDescent="0.35">
      <c r="A7621" s="34"/>
      <c r="B7621" s="35"/>
      <c r="C7621" s="36"/>
      <c r="D7621" s="37"/>
      <c r="E7621" s="36"/>
      <c r="F7621" s="42"/>
      <c r="G7621" s="42"/>
      <c r="H7621" s="42"/>
      <c r="AG7621" s="19">
        <v>7620</v>
      </c>
      <c r="AH7621" s="20">
        <v>23.615888650790737</v>
      </c>
    </row>
    <row r="7622" spans="1:34" ht="14.5" x14ac:dyDescent="0.35">
      <c r="A7622" s="34"/>
      <c r="B7622" s="35"/>
      <c r="C7622" s="36"/>
      <c r="D7622" s="37"/>
      <c r="E7622" s="36"/>
      <c r="F7622" s="42"/>
      <c r="G7622" s="42"/>
      <c r="H7622" s="42"/>
      <c r="AG7622" s="19">
        <v>7621</v>
      </c>
      <c r="AH7622" s="20">
        <v>-493.41209115687519</v>
      </c>
    </row>
    <row r="7623" spans="1:34" ht="14.5" x14ac:dyDescent="0.35">
      <c r="A7623" s="34"/>
      <c r="B7623" s="35"/>
      <c r="C7623" s="36"/>
      <c r="D7623" s="37"/>
      <c r="E7623" s="36"/>
      <c r="F7623" s="42"/>
      <c r="G7623" s="42"/>
      <c r="H7623" s="42"/>
      <c r="AG7623" s="19">
        <v>7622</v>
      </c>
      <c r="AH7623" s="20">
        <v>-1496.0233673896212</v>
      </c>
    </row>
    <row r="7624" spans="1:34" ht="14.5" x14ac:dyDescent="0.35">
      <c r="A7624" s="34"/>
      <c r="B7624" s="35"/>
      <c r="C7624" s="36"/>
      <c r="D7624" s="37"/>
      <c r="E7624" s="36"/>
      <c r="F7624" s="42"/>
      <c r="G7624" s="42"/>
      <c r="H7624" s="42"/>
      <c r="AG7624" s="19">
        <v>7623</v>
      </c>
      <c r="AH7624" s="20">
        <v>-668.9724411530085</v>
      </c>
    </row>
    <row r="7625" spans="1:34" ht="14.5" x14ac:dyDescent="0.35">
      <c r="A7625" s="34"/>
      <c r="B7625" s="35"/>
      <c r="C7625" s="36"/>
      <c r="D7625" s="37"/>
      <c r="E7625" s="36"/>
      <c r="F7625" s="42"/>
      <c r="G7625" s="42"/>
      <c r="H7625" s="42"/>
      <c r="AG7625" s="19">
        <v>7624</v>
      </c>
      <c r="AH7625" s="20">
        <v>645.54912561619915</v>
      </c>
    </row>
    <row r="7626" spans="1:34" ht="14.5" x14ac:dyDescent="0.35">
      <c r="A7626" s="34"/>
      <c r="B7626" s="35"/>
      <c r="C7626" s="36"/>
      <c r="D7626" s="37"/>
      <c r="E7626" s="36"/>
      <c r="F7626" s="42"/>
      <c r="G7626" s="42"/>
      <c r="H7626" s="42"/>
      <c r="AG7626" s="19">
        <v>7625</v>
      </c>
      <c r="AH7626" s="20">
        <v>-1112.6834426502137</v>
      </c>
    </row>
    <row r="7627" spans="1:34" ht="14.5" x14ac:dyDescent="0.35">
      <c r="A7627" s="34"/>
      <c r="B7627" s="35"/>
      <c r="C7627" s="36"/>
      <c r="D7627" s="37"/>
      <c r="E7627" s="36"/>
      <c r="F7627" s="42"/>
      <c r="G7627" s="42"/>
      <c r="H7627" s="42"/>
      <c r="AG7627" s="19">
        <v>7626</v>
      </c>
      <c r="AH7627" s="20">
        <v>288.43025573329061</v>
      </c>
    </row>
    <row r="7628" spans="1:34" ht="14.5" x14ac:dyDescent="0.35">
      <c r="A7628" s="34"/>
      <c r="B7628" s="35"/>
      <c r="C7628" s="36"/>
      <c r="D7628" s="37"/>
      <c r="E7628" s="36"/>
      <c r="F7628" s="42"/>
      <c r="G7628" s="42"/>
      <c r="H7628" s="42"/>
      <c r="AG7628" s="19">
        <v>7627</v>
      </c>
      <c r="AH7628" s="20">
        <v>-1368.0207358191651</v>
      </c>
    </row>
    <row r="7629" spans="1:34" ht="14.5" x14ac:dyDescent="0.35">
      <c r="A7629" s="34"/>
      <c r="B7629" s="35"/>
      <c r="C7629" s="36"/>
      <c r="D7629" s="37"/>
      <c r="E7629" s="36"/>
      <c r="F7629" s="42"/>
      <c r="G7629" s="42"/>
      <c r="H7629" s="42"/>
      <c r="AG7629" s="19">
        <v>7628</v>
      </c>
      <c r="AH7629" s="20">
        <v>662.59526676766336</v>
      </c>
    </row>
    <row r="7630" spans="1:34" ht="14.5" x14ac:dyDescent="0.35">
      <c r="A7630" s="34"/>
      <c r="B7630" s="35"/>
      <c r="C7630" s="36"/>
      <c r="D7630" s="37"/>
      <c r="E7630" s="36"/>
      <c r="F7630" s="42"/>
      <c r="G7630" s="42"/>
      <c r="H7630" s="42"/>
      <c r="AG7630" s="19">
        <v>7629</v>
      </c>
      <c r="AH7630" s="20">
        <v>1548.4383304155326</v>
      </c>
    </row>
    <row r="7631" spans="1:34" ht="14.5" x14ac:dyDescent="0.35">
      <c r="A7631" s="34"/>
      <c r="B7631" s="35"/>
      <c r="C7631" s="36"/>
      <c r="D7631" s="37"/>
      <c r="E7631" s="36"/>
      <c r="F7631" s="42"/>
      <c r="G7631" s="42"/>
      <c r="H7631" s="42"/>
      <c r="AG7631" s="19">
        <v>7630</v>
      </c>
      <c r="AH7631" s="20">
        <v>786.50258800134816</v>
      </c>
    </row>
    <row r="7632" spans="1:34" ht="14.5" x14ac:dyDescent="0.35">
      <c r="A7632" s="34"/>
      <c r="B7632" s="35"/>
      <c r="C7632" s="36"/>
      <c r="D7632" s="37"/>
      <c r="E7632" s="36"/>
      <c r="F7632" s="42"/>
      <c r="G7632" s="42"/>
      <c r="H7632" s="42"/>
      <c r="AG7632" s="19">
        <v>7631</v>
      </c>
      <c r="AH7632" s="20">
        <v>1184.015940091115</v>
      </c>
    </row>
    <row r="7633" spans="1:34" ht="14.5" x14ac:dyDescent="0.35">
      <c r="A7633" s="34"/>
      <c r="B7633" s="35"/>
      <c r="C7633" s="36"/>
      <c r="D7633" s="37"/>
      <c r="E7633" s="36"/>
      <c r="F7633" s="42"/>
      <c r="G7633" s="42"/>
      <c r="H7633" s="42"/>
      <c r="AG7633" s="19">
        <v>7632</v>
      </c>
      <c r="AH7633" s="20">
        <v>1139.1931737491841</v>
      </c>
    </row>
    <row r="7634" spans="1:34" ht="14.5" x14ac:dyDescent="0.35">
      <c r="A7634" s="34"/>
      <c r="B7634" s="35"/>
      <c r="C7634" s="36"/>
      <c r="D7634" s="37"/>
      <c r="E7634" s="36"/>
      <c r="F7634" s="42"/>
      <c r="G7634" s="42"/>
      <c r="H7634" s="42"/>
      <c r="AG7634" s="19">
        <v>7633</v>
      </c>
      <c r="AH7634" s="20">
        <v>4230.8703289138939</v>
      </c>
    </row>
    <row r="7635" spans="1:34" ht="14.5" x14ac:dyDescent="0.35">
      <c r="A7635" s="34"/>
      <c r="B7635" s="35"/>
      <c r="C7635" s="36"/>
      <c r="D7635" s="37"/>
      <c r="E7635" s="36"/>
      <c r="F7635" s="42"/>
      <c r="G7635" s="42"/>
      <c r="H7635" s="42"/>
      <c r="AG7635" s="19">
        <v>7634</v>
      </c>
      <c r="AH7635" s="20">
        <v>2472.8578278878476</v>
      </c>
    </row>
    <row r="7636" spans="1:34" ht="14.5" x14ac:dyDescent="0.35">
      <c r="A7636" s="34"/>
      <c r="B7636" s="35"/>
      <c r="C7636" s="36"/>
      <c r="D7636" s="37"/>
      <c r="E7636" s="36"/>
      <c r="F7636" s="42"/>
      <c r="G7636" s="42"/>
      <c r="H7636" s="42"/>
      <c r="AG7636" s="19">
        <v>7635</v>
      </c>
      <c r="AH7636" s="20">
        <v>170.67836019919926</v>
      </c>
    </row>
    <row r="7637" spans="1:34" ht="14.5" x14ac:dyDescent="0.35">
      <c r="A7637" s="34"/>
      <c r="B7637" s="35"/>
      <c r="C7637" s="36"/>
      <c r="D7637" s="37"/>
      <c r="E7637" s="36"/>
      <c r="F7637" s="42"/>
      <c r="G7637" s="42"/>
      <c r="H7637" s="42"/>
      <c r="AG7637" s="19">
        <v>7636</v>
      </c>
      <c r="AH7637" s="20">
        <v>475.29589104929835</v>
      </c>
    </row>
    <row r="7638" spans="1:34" ht="14.5" x14ac:dyDescent="0.35">
      <c r="A7638" s="34"/>
      <c r="B7638" s="35"/>
      <c r="C7638" s="36"/>
      <c r="D7638" s="37"/>
      <c r="E7638" s="36"/>
      <c r="F7638" s="42"/>
      <c r="G7638" s="42"/>
      <c r="H7638" s="42"/>
      <c r="AG7638" s="19">
        <v>7637</v>
      </c>
      <c r="AH7638" s="20">
        <v>2143.1385634046001</v>
      </c>
    </row>
    <row r="7639" spans="1:34" ht="14.5" x14ac:dyDescent="0.35">
      <c r="A7639" s="34"/>
      <c r="B7639" s="35"/>
      <c r="C7639" s="36"/>
      <c r="D7639" s="37"/>
      <c r="E7639" s="36"/>
      <c r="F7639" s="42"/>
      <c r="G7639" s="42"/>
      <c r="H7639" s="42"/>
      <c r="AG7639" s="19">
        <v>7638</v>
      </c>
      <c r="AH7639" s="20">
        <v>-163.22571254463929</v>
      </c>
    </row>
    <row r="7640" spans="1:34" ht="14.5" x14ac:dyDescent="0.35">
      <c r="A7640" s="34"/>
      <c r="B7640" s="35"/>
      <c r="C7640" s="36"/>
      <c r="D7640" s="37"/>
      <c r="E7640" s="36"/>
      <c r="F7640" s="42"/>
      <c r="G7640" s="42"/>
      <c r="H7640" s="42"/>
      <c r="AG7640" s="19">
        <v>7639</v>
      </c>
      <c r="AH7640" s="20">
        <v>343.77044980159633</v>
      </c>
    </row>
    <row r="7641" spans="1:34" ht="14.5" x14ac:dyDescent="0.35">
      <c r="A7641" s="34"/>
      <c r="B7641" s="35"/>
      <c r="C7641" s="36"/>
      <c r="D7641" s="37"/>
      <c r="E7641" s="36"/>
      <c r="F7641" s="42"/>
      <c r="G7641" s="42"/>
      <c r="H7641" s="42"/>
      <c r="AG7641" s="19">
        <v>7640</v>
      </c>
      <c r="AH7641" s="20">
        <v>-1828.2839078309328</v>
      </c>
    </row>
    <row r="7642" spans="1:34" ht="14.5" x14ac:dyDescent="0.35">
      <c r="A7642" s="34"/>
      <c r="B7642" s="35"/>
      <c r="C7642" s="36"/>
      <c r="D7642" s="37"/>
      <c r="E7642" s="36"/>
      <c r="F7642" s="42"/>
      <c r="G7642" s="42"/>
      <c r="H7642" s="42"/>
      <c r="AG7642" s="19">
        <v>7641</v>
      </c>
      <c r="AH7642" s="20">
        <v>-1230.205711150267</v>
      </c>
    </row>
    <row r="7643" spans="1:34" ht="14.5" x14ac:dyDescent="0.35">
      <c r="A7643" s="34"/>
      <c r="B7643" s="35"/>
      <c r="C7643" s="36"/>
      <c r="D7643" s="37"/>
      <c r="E7643" s="36"/>
      <c r="F7643" s="42"/>
      <c r="G7643" s="42"/>
      <c r="H7643" s="42"/>
      <c r="AG7643" s="19">
        <v>7642</v>
      </c>
      <c r="AH7643" s="20">
        <v>-171.06974646343593</v>
      </c>
    </row>
    <row r="7644" spans="1:34" ht="14.5" x14ac:dyDescent="0.35">
      <c r="A7644" s="34"/>
      <c r="B7644" s="35"/>
      <c r="C7644" s="36"/>
      <c r="D7644" s="37"/>
      <c r="E7644" s="36"/>
      <c r="F7644" s="42"/>
      <c r="G7644" s="42"/>
      <c r="H7644" s="42"/>
      <c r="AG7644" s="19">
        <v>7643</v>
      </c>
      <c r="AH7644" s="20">
        <v>-99.767857256468346</v>
      </c>
    </row>
    <row r="7645" spans="1:34" ht="14.5" x14ac:dyDescent="0.35">
      <c r="A7645" s="34"/>
      <c r="B7645" s="35"/>
      <c r="C7645" s="36"/>
      <c r="D7645" s="37"/>
      <c r="E7645" s="36"/>
      <c r="F7645" s="42"/>
      <c r="G7645" s="42"/>
      <c r="H7645" s="42"/>
      <c r="AG7645" s="19">
        <v>7644</v>
      </c>
      <c r="AH7645" s="20">
        <v>2793.5668642542514</v>
      </c>
    </row>
    <row r="7646" spans="1:34" ht="14.5" x14ac:dyDescent="0.35">
      <c r="A7646" s="34"/>
      <c r="B7646" s="35"/>
      <c r="C7646" s="36"/>
      <c r="D7646" s="37"/>
      <c r="E7646" s="36"/>
      <c r="F7646" s="42"/>
      <c r="G7646" s="42"/>
      <c r="H7646" s="42"/>
      <c r="AG7646" s="19">
        <v>7645</v>
      </c>
      <c r="AH7646" s="20">
        <v>780.91427380818743</v>
      </c>
    </row>
    <row r="7647" spans="1:34" ht="14.5" x14ac:dyDescent="0.35">
      <c r="A7647" s="34"/>
      <c r="B7647" s="35"/>
      <c r="C7647" s="36"/>
      <c r="D7647" s="37"/>
      <c r="E7647" s="36"/>
      <c r="F7647" s="42"/>
      <c r="G7647" s="42"/>
      <c r="H7647" s="42"/>
      <c r="AG7647" s="19">
        <v>7646</v>
      </c>
      <c r="AH7647" s="20">
        <v>4027.7225281926667</v>
      </c>
    </row>
    <row r="7648" spans="1:34" ht="14.5" x14ac:dyDescent="0.35">
      <c r="A7648" s="34"/>
      <c r="B7648" s="35"/>
      <c r="C7648" s="36"/>
      <c r="D7648" s="37"/>
      <c r="E7648" s="36"/>
      <c r="F7648" s="42"/>
      <c r="G7648" s="42"/>
      <c r="H7648" s="42"/>
      <c r="AG7648" s="19">
        <v>7647</v>
      </c>
      <c r="AH7648" s="20">
        <v>2539.9466322005464</v>
      </c>
    </row>
    <row r="7649" spans="1:34" ht="14.5" x14ac:dyDescent="0.35">
      <c r="A7649" s="34"/>
      <c r="B7649" s="35"/>
      <c r="C7649" s="36"/>
      <c r="D7649" s="37"/>
      <c r="E7649" s="36"/>
      <c r="F7649" s="42"/>
      <c r="G7649" s="42"/>
      <c r="H7649" s="42"/>
      <c r="AG7649" s="19">
        <v>7648</v>
      </c>
      <c r="AH7649" s="20">
        <v>-346.88121438811874</v>
      </c>
    </row>
    <row r="7650" spans="1:34" ht="14.5" x14ac:dyDescent="0.35">
      <c r="A7650" s="34"/>
      <c r="B7650" s="35"/>
      <c r="C7650" s="36"/>
      <c r="D7650" s="37"/>
      <c r="E7650" s="36"/>
      <c r="F7650" s="42"/>
      <c r="G7650" s="42"/>
      <c r="H7650" s="42"/>
      <c r="AG7650" s="19">
        <v>7649</v>
      </c>
      <c r="AH7650" s="20">
        <v>-242.51089968749835</v>
      </c>
    </row>
    <row r="7651" spans="1:34" ht="14.5" x14ac:dyDescent="0.35">
      <c r="A7651" s="34"/>
      <c r="B7651" s="35"/>
      <c r="C7651" s="36"/>
      <c r="D7651" s="37"/>
      <c r="E7651" s="36"/>
      <c r="F7651" s="42"/>
      <c r="G7651" s="42"/>
      <c r="H7651" s="42"/>
      <c r="AG7651" s="19">
        <v>7650</v>
      </c>
      <c r="AH7651" s="20">
        <v>-2589.4192678643822</v>
      </c>
    </row>
    <row r="7652" spans="1:34" ht="14.5" x14ac:dyDescent="0.35">
      <c r="A7652" s="34"/>
      <c r="B7652" s="35"/>
      <c r="C7652" s="36"/>
      <c r="D7652" s="37"/>
      <c r="E7652" s="36"/>
      <c r="F7652" s="42"/>
      <c r="G7652" s="42"/>
      <c r="H7652" s="42"/>
      <c r="AG7652" s="19">
        <v>7651</v>
      </c>
      <c r="AH7652" s="20">
        <v>1711.5865855287432</v>
      </c>
    </row>
    <row r="7653" spans="1:34" ht="14.5" x14ac:dyDescent="0.35">
      <c r="A7653" s="34"/>
      <c r="B7653" s="35"/>
      <c r="C7653" s="36"/>
      <c r="D7653" s="37"/>
      <c r="E7653" s="36"/>
      <c r="F7653" s="42"/>
      <c r="G7653" s="42"/>
      <c r="H7653" s="42"/>
      <c r="AG7653" s="19">
        <v>7652</v>
      </c>
      <c r="AH7653" s="20">
        <v>2476.4841634353643</v>
      </c>
    </row>
    <row r="7654" spans="1:34" ht="14.5" x14ac:dyDescent="0.35">
      <c r="A7654" s="34"/>
      <c r="B7654" s="35"/>
      <c r="C7654" s="36"/>
      <c r="D7654" s="37"/>
      <c r="E7654" s="36"/>
      <c r="F7654" s="42"/>
      <c r="G7654" s="42"/>
      <c r="H7654" s="42"/>
      <c r="AG7654" s="19">
        <v>7653</v>
      </c>
      <c r="AH7654" s="20">
        <v>-929.86618386957548</v>
      </c>
    </row>
    <row r="7655" spans="1:34" ht="14.5" x14ac:dyDescent="0.35">
      <c r="A7655" s="34"/>
      <c r="B7655" s="35"/>
      <c r="C7655" s="36"/>
      <c r="D7655" s="37"/>
      <c r="E7655" s="36"/>
      <c r="F7655" s="42"/>
      <c r="G7655" s="42"/>
      <c r="H7655" s="42"/>
      <c r="AG7655" s="19">
        <v>7654</v>
      </c>
      <c r="AH7655" s="20">
        <v>-1427.3150709900337</v>
      </c>
    </row>
    <row r="7656" spans="1:34" ht="14.5" x14ac:dyDescent="0.35">
      <c r="A7656" s="34"/>
      <c r="B7656" s="35"/>
      <c r="C7656" s="36"/>
      <c r="D7656" s="37"/>
      <c r="E7656" s="36"/>
      <c r="F7656" s="42"/>
      <c r="G7656" s="42"/>
      <c r="H7656" s="42"/>
      <c r="AG7656" s="19">
        <v>7655</v>
      </c>
      <c r="AH7656" s="20">
        <v>-2192.7215293259105</v>
      </c>
    </row>
    <row r="7657" spans="1:34" ht="14.5" x14ac:dyDescent="0.35">
      <c r="A7657" s="34"/>
      <c r="B7657" s="35"/>
      <c r="C7657" s="36"/>
      <c r="D7657" s="37"/>
      <c r="E7657" s="36"/>
      <c r="F7657" s="42"/>
      <c r="G7657" s="42"/>
      <c r="H7657" s="42"/>
      <c r="AG7657" s="19">
        <v>7656</v>
      </c>
      <c r="AH7657" s="20">
        <v>763.08237082470896</v>
      </c>
    </row>
    <row r="7658" spans="1:34" ht="14.5" x14ac:dyDescent="0.35">
      <c r="A7658" s="34"/>
      <c r="B7658" s="35"/>
      <c r="C7658" s="36"/>
      <c r="D7658" s="37"/>
      <c r="E7658" s="36"/>
      <c r="F7658" s="42"/>
      <c r="G7658" s="42"/>
      <c r="H7658" s="42"/>
      <c r="AG7658" s="19">
        <v>7657</v>
      </c>
      <c r="AH7658" s="20">
        <v>-1462.7055004998547</v>
      </c>
    </row>
    <row r="7659" spans="1:34" ht="14.5" x14ac:dyDescent="0.35">
      <c r="A7659" s="34"/>
      <c r="B7659" s="35"/>
      <c r="C7659" s="36"/>
      <c r="D7659" s="37"/>
      <c r="E7659" s="36"/>
      <c r="F7659" s="42"/>
      <c r="G7659" s="42"/>
      <c r="H7659" s="42"/>
      <c r="AG7659" s="19">
        <v>7658</v>
      </c>
      <c r="AH7659" s="20">
        <v>874.0249987133858</v>
      </c>
    </row>
    <row r="7660" spans="1:34" ht="14.5" x14ac:dyDescent="0.35">
      <c r="A7660" s="34"/>
      <c r="B7660" s="35"/>
      <c r="C7660" s="36"/>
      <c r="D7660" s="37"/>
      <c r="E7660" s="36"/>
      <c r="F7660" s="42"/>
      <c r="G7660" s="42"/>
      <c r="H7660" s="42"/>
      <c r="AG7660" s="19">
        <v>7659</v>
      </c>
      <c r="AH7660" s="20">
        <v>1594.9892798758999</v>
      </c>
    </row>
    <row r="7661" spans="1:34" ht="14.5" x14ac:dyDescent="0.35">
      <c r="A7661" s="34"/>
      <c r="B7661" s="35"/>
      <c r="C7661" s="36"/>
      <c r="D7661" s="37"/>
      <c r="E7661" s="36"/>
      <c r="F7661" s="42"/>
      <c r="G7661" s="42"/>
      <c r="H7661" s="42"/>
      <c r="AG7661" s="19">
        <v>7660</v>
      </c>
      <c r="AH7661" s="20">
        <v>3167.8908662238391</v>
      </c>
    </row>
    <row r="7662" spans="1:34" ht="14.5" x14ac:dyDescent="0.35">
      <c r="A7662" s="34"/>
      <c r="B7662" s="35"/>
      <c r="C7662" s="36"/>
      <c r="D7662" s="37"/>
      <c r="E7662" s="36"/>
      <c r="F7662" s="42"/>
      <c r="G7662" s="42"/>
      <c r="H7662" s="42"/>
      <c r="AG7662" s="19">
        <v>7661</v>
      </c>
      <c r="AH7662" s="20">
        <v>-458.12068865435327</v>
      </c>
    </row>
    <row r="7663" spans="1:34" ht="14.5" x14ac:dyDescent="0.35">
      <c r="A7663" s="34"/>
      <c r="B7663" s="35"/>
      <c r="C7663" s="36"/>
      <c r="D7663" s="37"/>
      <c r="E7663" s="36"/>
      <c r="F7663" s="42"/>
      <c r="G7663" s="42"/>
      <c r="H7663" s="42"/>
      <c r="AG7663" s="19">
        <v>7662</v>
      </c>
      <c r="AH7663" s="20">
        <v>1434.7668195723577</v>
      </c>
    </row>
    <row r="7664" spans="1:34" ht="14.5" x14ac:dyDescent="0.35">
      <c r="A7664" s="34"/>
      <c r="B7664" s="35"/>
      <c r="C7664" s="36"/>
      <c r="D7664" s="37"/>
      <c r="E7664" s="36"/>
      <c r="F7664" s="42"/>
      <c r="G7664" s="42"/>
      <c r="H7664" s="42"/>
      <c r="AG7664" s="19">
        <v>7663</v>
      </c>
      <c r="AH7664" s="20">
        <v>350.23905006895626</v>
      </c>
    </row>
    <row r="7665" spans="1:34" ht="14.5" x14ac:dyDescent="0.35">
      <c r="A7665" s="34"/>
      <c r="B7665" s="35"/>
      <c r="C7665" s="36"/>
      <c r="D7665" s="37"/>
      <c r="E7665" s="36"/>
      <c r="F7665" s="42"/>
      <c r="G7665" s="42"/>
      <c r="H7665" s="42"/>
      <c r="AG7665" s="19">
        <v>7664</v>
      </c>
      <c r="AH7665" s="20">
        <v>2653.815521056672</v>
      </c>
    </row>
    <row r="7666" spans="1:34" ht="14.5" x14ac:dyDescent="0.35">
      <c r="A7666" s="34"/>
      <c r="B7666" s="35"/>
      <c r="C7666" s="36"/>
      <c r="D7666" s="37"/>
      <c r="E7666" s="36"/>
      <c r="F7666" s="42"/>
      <c r="G7666" s="42"/>
      <c r="H7666" s="42"/>
      <c r="AG7666" s="19">
        <v>7665</v>
      </c>
      <c r="AH7666" s="20">
        <v>-668.16960355933975</v>
      </c>
    </row>
    <row r="7667" spans="1:34" ht="14.5" x14ac:dyDescent="0.35">
      <c r="A7667" s="34"/>
      <c r="B7667" s="35"/>
      <c r="C7667" s="36"/>
      <c r="D7667" s="37"/>
      <c r="E7667" s="36"/>
      <c r="F7667" s="42"/>
      <c r="G7667" s="42"/>
      <c r="H7667" s="42"/>
      <c r="AG7667" s="19">
        <v>7666</v>
      </c>
      <c r="AH7667" s="20">
        <v>689.56533986939053</v>
      </c>
    </row>
    <row r="7668" spans="1:34" ht="14.5" x14ac:dyDescent="0.35">
      <c r="A7668" s="34"/>
      <c r="B7668" s="35"/>
      <c r="C7668" s="36"/>
      <c r="D7668" s="37"/>
      <c r="E7668" s="36"/>
      <c r="F7668" s="42"/>
      <c r="G7668" s="42"/>
      <c r="H7668" s="42"/>
      <c r="AG7668" s="19">
        <v>7667</v>
      </c>
      <c r="AH7668" s="20">
        <v>-542.46932654999341</v>
      </c>
    </row>
    <row r="7669" spans="1:34" ht="14.5" x14ac:dyDescent="0.35">
      <c r="A7669" s="34"/>
      <c r="B7669" s="35"/>
      <c r="C7669" s="36"/>
      <c r="D7669" s="37"/>
      <c r="E7669" s="36"/>
      <c r="F7669" s="42"/>
      <c r="G7669" s="42"/>
      <c r="H7669" s="42"/>
      <c r="AG7669" s="19">
        <v>7668</v>
      </c>
      <c r="AH7669" s="20">
        <v>-950.88893866915691</v>
      </c>
    </row>
    <row r="7670" spans="1:34" ht="14.5" x14ac:dyDescent="0.35">
      <c r="A7670" s="34"/>
      <c r="B7670" s="35"/>
      <c r="C7670" s="36"/>
      <c r="D7670" s="37"/>
      <c r="E7670" s="36"/>
      <c r="F7670" s="42"/>
      <c r="G7670" s="42"/>
      <c r="H7670" s="42"/>
      <c r="AG7670" s="19">
        <v>7669</v>
      </c>
      <c r="AH7670" s="20">
        <v>1039.711578160046</v>
      </c>
    </row>
    <row r="7671" spans="1:34" ht="14.5" x14ac:dyDescent="0.35">
      <c r="A7671" s="34"/>
      <c r="B7671" s="35"/>
      <c r="C7671" s="36"/>
      <c r="D7671" s="37"/>
      <c r="E7671" s="36"/>
      <c r="F7671" s="42"/>
      <c r="G7671" s="42"/>
      <c r="H7671" s="42"/>
      <c r="AG7671" s="19">
        <v>7670</v>
      </c>
      <c r="AH7671" s="20">
        <v>-1086.5865338431363</v>
      </c>
    </row>
    <row r="7672" spans="1:34" ht="14.5" x14ac:dyDescent="0.35">
      <c r="A7672" s="34"/>
      <c r="B7672" s="35"/>
      <c r="C7672" s="36"/>
      <c r="D7672" s="37"/>
      <c r="E7672" s="36"/>
      <c r="F7672" s="42"/>
      <c r="G7672" s="42"/>
      <c r="H7672" s="42"/>
      <c r="AG7672" s="19">
        <v>7671</v>
      </c>
      <c r="AH7672" s="20">
        <v>-644.83619174585419</v>
      </c>
    </row>
    <row r="7673" spans="1:34" ht="14.5" x14ac:dyDescent="0.35">
      <c r="A7673" s="34"/>
      <c r="B7673" s="35"/>
      <c r="C7673" s="36"/>
      <c r="D7673" s="37"/>
      <c r="E7673" s="36"/>
      <c r="F7673" s="42"/>
      <c r="G7673" s="42"/>
      <c r="H7673" s="42"/>
      <c r="AG7673" s="19">
        <v>7672</v>
      </c>
      <c r="AH7673" s="20">
        <v>-1230.5872183231197</v>
      </c>
    </row>
    <row r="7674" spans="1:34" ht="14.5" x14ac:dyDescent="0.35">
      <c r="A7674" s="34"/>
      <c r="B7674" s="35"/>
      <c r="C7674" s="36"/>
      <c r="D7674" s="37"/>
      <c r="E7674" s="36"/>
      <c r="F7674" s="42"/>
      <c r="G7674" s="42"/>
      <c r="H7674" s="42"/>
      <c r="AG7674" s="19">
        <v>7673</v>
      </c>
      <c r="AH7674" s="20">
        <v>2185.850863256122</v>
      </c>
    </row>
    <row r="7675" spans="1:34" ht="14.5" x14ac:dyDescent="0.35">
      <c r="A7675" s="34"/>
      <c r="B7675" s="35"/>
      <c r="C7675" s="36"/>
      <c r="D7675" s="37"/>
      <c r="E7675" s="36"/>
      <c r="F7675" s="42"/>
      <c r="G7675" s="42"/>
      <c r="H7675" s="42"/>
      <c r="AG7675" s="19">
        <v>7674</v>
      </c>
      <c r="AH7675" s="20">
        <v>-729.85537160220269</v>
      </c>
    </row>
    <row r="7676" spans="1:34" ht="14.5" x14ac:dyDescent="0.35">
      <c r="A7676" s="34"/>
      <c r="B7676" s="35"/>
      <c r="C7676" s="36"/>
      <c r="D7676" s="37"/>
      <c r="E7676" s="36"/>
      <c r="F7676" s="42"/>
      <c r="G7676" s="42"/>
      <c r="H7676" s="42"/>
      <c r="AG7676" s="19">
        <v>7675</v>
      </c>
      <c r="AH7676" s="20">
        <v>-360.27589697215109</v>
      </c>
    </row>
    <row r="7677" spans="1:34" ht="14.5" x14ac:dyDescent="0.35">
      <c r="A7677" s="34"/>
      <c r="B7677" s="35"/>
      <c r="C7677" s="36"/>
      <c r="D7677" s="37"/>
      <c r="E7677" s="36"/>
      <c r="F7677" s="42"/>
      <c r="G7677" s="42"/>
      <c r="H7677" s="42"/>
      <c r="AG7677" s="19">
        <v>7676</v>
      </c>
      <c r="AH7677" s="20">
        <v>2099.5242959977531</v>
      </c>
    </row>
    <row r="7678" spans="1:34" ht="14.5" x14ac:dyDescent="0.35">
      <c r="A7678" s="34"/>
      <c r="B7678" s="35"/>
      <c r="C7678" s="36"/>
      <c r="D7678" s="37"/>
      <c r="E7678" s="36"/>
      <c r="F7678" s="42"/>
      <c r="G7678" s="42"/>
      <c r="H7678" s="42"/>
      <c r="AG7678" s="19">
        <v>7677</v>
      </c>
      <c r="AH7678" s="20">
        <v>-751.24815730123805</v>
      </c>
    </row>
    <row r="7679" spans="1:34" ht="14.5" x14ac:dyDescent="0.35">
      <c r="A7679" s="34"/>
      <c r="B7679" s="35"/>
      <c r="C7679" s="36"/>
      <c r="D7679" s="37"/>
      <c r="E7679" s="36"/>
      <c r="F7679" s="42"/>
      <c r="G7679" s="42"/>
      <c r="H7679" s="42"/>
      <c r="AG7679" s="19">
        <v>7678</v>
      </c>
      <c r="AH7679" s="20">
        <v>3446.6399125662729</v>
      </c>
    </row>
    <row r="7680" spans="1:34" ht="14.5" x14ac:dyDescent="0.35">
      <c r="A7680" s="34"/>
      <c r="B7680" s="35"/>
      <c r="C7680" s="36"/>
      <c r="D7680" s="37"/>
      <c r="E7680" s="36"/>
      <c r="F7680" s="42"/>
      <c r="G7680" s="42"/>
      <c r="H7680" s="42"/>
      <c r="AG7680" s="19">
        <v>7679</v>
      </c>
      <c r="AH7680" s="20">
        <v>-153.20902677535543</v>
      </c>
    </row>
    <row r="7681" spans="1:34" ht="14.5" x14ac:dyDescent="0.35">
      <c r="A7681" s="34"/>
      <c r="B7681" s="35"/>
      <c r="C7681" s="36"/>
      <c r="D7681" s="37"/>
      <c r="E7681" s="36"/>
      <c r="F7681" s="42"/>
      <c r="G7681" s="42"/>
      <c r="H7681" s="42"/>
      <c r="AG7681" s="19">
        <v>7680</v>
      </c>
      <c r="AH7681" s="20">
        <v>4641.7647629057738</v>
      </c>
    </row>
    <row r="7682" spans="1:34" ht="14.5" x14ac:dyDescent="0.35">
      <c r="A7682" s="34"/>
      <c r="B7682" s="35"/>
      <c r="C7682" s="36"/>
      <c r="D7682" s="37"/>
      <c r="E7682" s="36"/>
      <c r="F7682" s="42"/>
      <c r="G7682" s="42"/>
      <c r="H7682" s="42"/>
      <c r="AG7682" s="19">
        <v>7681</v>
      </c>
      <c r="AH7682" s="20">
        <v>1848.7263420135466</v>
      </c>
    </row>
    <row r="7683" spans="1:34" ht="14.5" x14ac:dyDescent="0.35">
      <c r="A7683" s="34"/>
      <c r="B7683" s="35"/>
      <c r="C7683" s="36"/>
      <c r="D7683" s="37"/>
      <c r="E7683" s="36"/>
      <c r="F7683" s="42"/>
      <c r="G7683" s="42"/>
      <c r="H7683" s="42"/>
      <c r="AG7683" s="19">
        <v>7682</v>
      </c>
      <c r="AH7683" s="20">
        <v>5584.20587971653</v>
      </c>
    </row>
    <row r="7684" spans="1:34" ht="14.5" x14ac:dyDescent="0.35">
      <c r="A7684" s="34"/>
      <c r="B7684" s="35"/>
      <c r="C7684" s="36"/>
      <c r="D7684" s="37"/>
      <c r="E7684" s="36"/>
      <c r="F7684" s="42"/>
      <c r="G7684" s="42"/>
      <c r="H7684" s="42"/>
      <c r="AG7684" s="19">
        <v>7683</v>
      </c>
      <c r="AH7684" s="20">
        <v>1176.9884835540906</v>
      </c>
    </row>
    <row r="7685" spans="1:34" ht="14.5" x14ac:dyDescent="0.35">
      <c r="A7685" s="34"/>
      <c r="B7685" s="35"/>
      <c r="C7685" s="36"/>
      <c r="D7685" s="37"/>
      <c r="E7685" s="36"/>
      <c r="F7685" s="42"/>
      <c r="G7685" s="42"/>
      <c r="H7685" s="42"/>
      <c r="AG7685" s="19">
        <v>7684</v>
      </c>
      <c r="AH7685" s="20">
        <v>1281.6642070418147</v>
      </c>
    </row>
    <row r="7686" spans="1:34" ht="14.5" x14ac:dyDescent="0.35">
      <c r="A7686" s="34"/>
      <c r="B7686" s="35"/>
      <c r="C7686" s="36"/>
      <c r="D7686" s="37"/>
      <c r="E7686" s="36"/>
      <c r="F7686" s="42"/>
      <c r="G7686" s="42"/>
      <c r="H7686" s="42"/>
      <c r="AG7686" s="19">
        <v>7685</v>
      </c>
      <c r="AH7686" s="20">
        <v>2575.0211099815028</v>
      </c>
    </row>
    <row r="7687" spans="1:34" ht="14.5" x14ac:dyDescent="0.35">
      <c r="A7687" s="34"/>
      <c r="B7687" s="35"/>
      <c r="C7687" s="36"/>
      <c r="D7687" s="37"/>
      <c r="E7687" s="36"/>
      <c r="F7687" s="42"/>
      <c r="G7687" s="42"/>
      <c r="H7687" s="42"/>
      <c r="AG7687" s="19">
        <v>7686</v>
      </c>
      <c r="AH7687" s="20">
        <v>654.4552155631236</v>
      </c>
    </row>
    <row r="7688" spans="1:34" ht="14.5" x14ac:dyDescent="0.35">
      <c r="A7688" s="34"/>
      <c r="B7688" s="35"/>
      <c r="C7688" s="36"/>
      <c r="D7688" s="37"/>
      <c r="E7688" s="36"/>
      <c r="F7688" s="42"/>
      <c r="G7688" s="42"/>
      <c r="H7688" s="42"/>
      <c r="AG7688" s="19">
        <v>7687</v>
      </c>
      <c r="AH7688" s="20">
        <v>873.58814559976781</v>
      </c>
    </row>
    <row r="7689" spans="1:34" ht="14.5" x14ac:dyDescent="0.35">
      <c r="A7689" s="34"/>
      <c r="B7689" s="35"/>
      <c r="C7689" s="36"/>
      <c r="D7689" s="37"/>
      <c r="E7689" s="36"/>
      <c r="F7689" s="42"/>
      <c r="G7689" s="42"/>
      <c r="H7689" s="42"/>
      <c r="AG7689" s="19">
        <v>7688</v>
      </c>
      <c r="AH7689" s="20">
        <v>-16.551148069960448</v>
      </c>
    </row>
    <row r="7690" spans="1:34" ht="14.5" x14ac:dyDescent="0.35">
      <c r="A7690" s="34"/>
      <c r="B7690" s="35"/>
      <c r="C7690" s="36"/>
      <c r="D7690" s="37"/>
      <c r="E7690" s="36"/>
      <c r="F7690" s="42"/>
      <c r="G7690" s="42"/>
      <c r="H7690" s="42"/>
      <c r="AG7690" s="19">
        <v>7689</v>
      </c>
      <c r="AH7690" s="20">
        <v>1940.8291976430062</v>
      </c>
    </row>
    <row r="7691" spans="1:34" ht="14.5" x14ac:dyDescent="0.35">
      <c r="A7691" s="34"/>
      <c r="B7691" s="35"/>
      <c r="C7691" s="36"/>
      <c r="D7691" s="37"/>
      <c r="E7691" s="36"/>
      <c r="F7691" s="42"/>
      <c r="G7691" s="42"/>
      <c r="H7691" s="42"/>
      <c r="AG7691" s="19">
        <v>7690</v>
      </c>
      <c r="AH7691" s="20">
        <v>-3674.6408442595921</v>
      </c>
    </row>
    <row r="7692" spans="1:34" ht="14.5" x14ac:dyDescent="0.35">
      <c r="A7692" s="34"/>
      <c r="B7692" s="35"/>
      <c r="C7692" s="36"/>
      <c r="D7692" s="37"/>
      <c r="E7692" s="36"/>
      <c r="F7692" s="42"/>
      <c r="G7692" s="42"/>
      <c r="H7692" s="42"/>
      <c r="AG7692" s="19">
        <v>7691</v>
      </c>
      <c r="AH7692" s="20">
        <v>-2631.0925760939353</v>
      </c>
    </row>
    <row r="7693" spans="1:34" ht="14.5" x14ac:dyDescent="0.35">
      <c r="A7693" s="34"/>
      <c r="B7693" s="35"/>
      <c r="C7693" s="36"/>
      <c r="D7693" s="37"/>
      <c r="E7693" s="36"/>
      <c r="F7693" s="42"/>
      <c r="G7693" s="42"/>
      <c r="H7693" s="42"/>
      <c r="AG7693" s="19">
        <v>7692</v>
      </c>
      <c r="AH7693" s="20">
        <v>-536.53896612471181</v>
      </c>
    </row>
    <row r="7694" spans="1:34" ht="14.5" x14ac:dyDescent="0.35">
      <c r="A7694" s="34"/>
      <c r="B7694" s="35"/>
      <c r="C7694" s="36"/>
      <c r="D7694" s="37"/>
      <c r="E7694" s="36"/>
      <c r="F7694" s="42"/>
      <c r="G7694" s="42"/>
      <c r="H7694" s="42"/>
      <c r="AG7694" s="19">
        <v>7693</v>
      </c>
      <c r="AH7694" s="20">
        <v>771.92502281481961</v>
      </c>
    </row>
    <row r="7695" spans="1:34" ht="14.5" x14ac:dyDescent="0.35">
      <c r="A7695" s="34"/>
      <c r="B7695" s="35"/>
      <c r="C7695" s="36"/>
      <c r="D7695" s="37"/>
      <c r="E7695" s="36"/>
      <c r="F7695" s="42"/>
      <c r="G7695" s="42"/>
      <c r="H7695" s="42"/>
      <c r="AG7695" s="19">
        <v>7694</v>
      </c>
      <c r="AH7695" s="20">
        <v>-1448.1682145645154</v>
      </c>
    </row>
    <row r="7696" spans="1:34" ht="14.5" x14ac:dyDescent="0.35">
      <c r="A7696" s="34"/>
      <c r="B7696" s="35"/>
      <c r="C7696" s="36"/>
      <c r="D7696" s="37"/>
      <c r="E7696" s="36"/>
      <c r="F7696" s="42"/>
      <c r="G7696" s="42"/>
      <c r="H7696" s="42"/>
      <c r="AG7696" s="19">
        <v>7695</v>
      </c>
      <c r="AH7696" s="20">
        <v>-4231.2005025160961</v>
      </c>
    </row>
    <row r="7697" spans="1:34" ht="14.5" x14ac:dyDescent="0.35">
      <c r="A7697" s="34"/>
      <c r="B7697" s="35"/>
      <c r="C7697" s="36"/>
      <c r="D7697" s="37"/>
      <c r="E7697" s="36"/>
      <c r="F7697" s="42"/>
      <c r="G7697" s="42"/>
      <c r="H7697" s="42"/>
      <c r="AG7697" s="19">
        <v>7696</v>
      </c>
      <c r="AH7697" s="20">
        <v>2760.9184310230976</v>
      </c>
    </row>
    <row r="7698" spans="1:34" ht="14.5" x14ac:dyDescent="0.35">
      <c r="A7698" s="34"/>
      <c r="B7698" s="35"/>
      <c r="C7698" s="36"/>
      <c r="D7698" s="37"/>
      <c r="E7698" s="36"/>
      <c r="F7698" s="42"/>
      <c r="G7698" s="42"/>
      <c r="H7698" s="42"/>
      <c r="AG7698" s="19">
        <v>7697</v>
      </c>
      <c r="AH7698" s="20">
        <v>-1250.779983050501</v>
      </c>
    </row>
    <row r="7699" spans="1:34" ht="14.5" x14ac:dyDescent="0.35">
      <c r="A7699" s="34"/>
      <c r="B7699" s="35"/>
      <c r="C7699" s="36"/>
      <c r="D7699" s="37"/>
      <c r="E7699" s="36"/>
      <c r="F7699" s="42"/>
      <c r="G7699" s="42"/>
      <c r="H7699" s="42"/>
      <c r="AG7699" s="19">
        <v>7698</v>
      </c>
      <c r="AH7699" s="20">
        <v>-2813.1974098073283</v>
      </c>
    </row>
    <row r="7700" spans="1:34" ht="14.5" x14ac:dyDescent="0.35">
      <c r="A7700" s="34"/>
      <c r="B7700" s="35"/>
      <c r="C7700" s="36"/>
      <c r="D7700" s="37"/>
      <c r="E7700" s="36"/>
      <c r="F7700" s="42"/>
      <c r="G7700" s="42"/>
      <c r="H7700" s="42"/>
      <c r="AG7700" s="19">
        <v>7699</v>
      </c>
      <c r="AH7700" s="20">
        <v>525.10048961447535</v>
      </c>
    </row>
    <row r="7701" spans="1:34" ht="14.5" x14ac:dyDescent="0.35">
      <c r="A7701" s="34"/>
      <c r="B7701" s="35"/>
      <c r="C7701" s="36"/>
      <c r="D7701" s="37"/>
      <c r="E7701" s="36"/>
      <c r="F7701" s="42"/>
      <c r="G7701" s="42"/>
      <c r="H7701" s="42"/>
      <c r="AG7701" s="19">
        <v>7700</v>
      </c>
      <c r="AH7701" s="20">
        <v>4372.0903787044344</v>
      </c>
    </row>
    <row r="7702" spans="1:34" ht="14.5" x14ac:dyDescent="0.35">
      <c r="A7702" s="34"/>
      <c r="B7702" s="35"/>
      <c r="C7702" s="36"/>
      <c r="D7702" s="37"/>
      <c r="E7702" s="36"/>
      <c r="F7702" s="42"/>
      <c r="G7702" s="42"/>
      <c r="H7702" s="42"/>
      <c r="AG7702" s="19">
        <v>7701</v>
      </c>
      <c r="AH7702" s="20">
        <v>-164.15665108948434</v>
      </c>
    </row>
    <row r="7703" spans="1:34" ht="14.5" x14ac:dyDescent="0.35">
      <c r="A7703" s="34"/>
      <c r="B7703" s="35"/>
      <c r="C7703" s="36"/>
      <c r="D7703" s="37"/>
      <c r="E7703" s="36"/>
      <c r="F7703" s="42"/>
      <c r="G7703" s="42"/>
      <c r="H7703" s="42"/>
      <c r="AG7703" s="19">
        <v>7702</v>
      </c>
      <c r="AH7703" s="20">
        <v>-2028.3657181471247</v>
      </c>
    </row>
    <row r="7704" spans="1:34" ht="14.5" x14ac:dyDescent="0.35">
      <c r="A7704" s="34"/>
      <c r="B7704" s="35"/>
      <c r="C7704" s="36"/>
      <c r="D7704" s="37"/>
      <c r="E7704" s="36"/>
      <c r="F7704" s="42"/>
      <c r="G7704" s="42"/>
      <c r="H7704" s="42"/>
      <c r="AG7704" s="19">
        <v>7703</v>
      </c>
      <c r="AH7704" s="20">
        <v>94.863562692716869</v>
      </c>
    </row>
    <row r="7705" spans="1:34" ht="14.5" x14ac:dyDescent="0.35">
      <c r="A7705" s="34"/>
      <c r="B7705" s="35"/>
      <c r="C7705" s="36"/>
      <c r="D7705" s="37"/>
      <c r="E7705" s="36"/>
      <c r="F7705" s="42"/>
      <c r="G7705" s="42"/>
      <c r="H7705" s="42"/>
      <c r="AG7705" s="19">
        <v>7704</v>
      </c>
      <c r="AH7705" s="20">
        <v>1548.4447244508629</v>
      </c>
    </row>
    <row r="7706" spans="1:34" ht="14.5" x14ac:dyDescent="0.35">
      <c r="A7706" s="34"/>
      <c r="B7706" s="35"/>
      <c r="C7706" s="36"/>
      <c r="D7706" s="37"/>
      <c r="E7706" s="36"/>
      <c r="F7706" s="42"/>
      <c r="G7706" s="42"/>
      <c r="H7706" s="42"/>
      <c r="AG7706" s="19">
        <v>7705</v>
      </c>
      <c r="AH7706" s="20">
        <v>1403.1940642436753</v>
      </c>
    </row>
    <row r="7707" spans="1:34" ht="14.5" x14ac:dyDescent="0.35">
      <c r="A7707" s="34"/>
      <c r="B7707" s="35"/>
      <c r="C7707" s="36"/>
      <c r="D7707" s="37"/>
      <c r="E7707" s="36"/>
      <c r="F7707" s="42"/>
      <c r="G7707" s="42"/>
      <c r="H7707" s="42"/>
      <c r="AG7707" s="19">
        <v>7706</v>
      </c>
      <c r="AH7707" s="20">
        <v>3204.672495571554</v>
      </c>
    </row>
    <row r="7708" spans="1:34" ht="14.5" x14ac:dyDescent="0.35">
      <c r="A7708" s="34"/>
      <c r="B7708" s="35"/>
      <c r="C7708" s="36"/>
      <c r="D7708" s="37"/>
      <c r="E7708" s="36"/>
      <c r="F7708" s="42"/>
      <c r="G7708" s="42"/>
      <c r="H7708" s="42"/>
      <c r="AG7708" s="19">
        <v>7707</v>
      </c>
      <c r="AH7708" s="20">
        <v>1737.4559096914436</v>
      </c>
    </row>
    <row r="7709" spans="1:34" ht="14.5" x14ac:dyDescent="0.35">
      <c r="A7709" s="34"/>
      <c r="B7709" s="35"/>
      <c r="C7709" s="36"/>
      <c r="D7709" s="37"/>
      <c r="E7709" s="36"/>
      <c r="F7709" s="42"/>
      <c r="G7709" s="42"/>
      <c r="H7709" s="42"/>
      <c r="AG7709" s="19">
        <v>7708</v>
      </c>
      <c r="AH7709" s="20">
        <v>-2412.9676582395368</v>
      </c>
    </row>
    <row r="7710" spans="1:34" ht="14.5" x14ac:dyDescent="0.35">
      <c r="A7710" s="34"/>
      <c r="B7710" s="35"/>
      <c r="C7710" s="36"/>
      <c r="D7710" s="37"/>
      <c r="E7710" s="36"/>
      <c r="F7710" s="42"/>
      <c r="G7710" s="42"/>
      <c r="H7710" s="42"/>
      <c r="AG7710" s="19">
        <v>7709</v>
      </c>
      <c r="AH7710" s="20">
        <v>3326.281263042355</v>
      </c>
    </row>
    <row r="7711" spans="1:34" ht="14.5" x14ac:dyDescent="0.35">
      <c r="A7711" s="34"/>
      <c r="B7711" s="35"/>
      <c r="C7711" s="36"/>
      <c r="D7711" s="37"/>
      <c r="E7711" s="36"/>
      <c r="F7711" s="42"/>
      <c r="G7711" s="42"/>
      <c r="H7711" s="42"/>
      <c r="AG7711" s="19">
        <v>7710</v>
      </c>
      <c r="AH7711" s="20">
        <v>-2526.2552082668612</v>
      </c>
    </row>
    <row r="7712" spans="1:34" ht="14.5" x14ac:dyDescent="0.35">
      <c r="A7712" s="34"/>
      <c r="B7712" s="35"/>
      <c r="C7712" s="36"/>
      <c r="D7712" s="37"/>
      <c r="E7712" s="36"/>
      <c r="F7712" s="42"/>
      <c r="G7712" s="42"/>
      <c r="H7712" s="42"/>
      <c r="AG7712" s="19">
        <v>7711</v>
      </c>
      <c r="AH7712" s="20">
        <v>1210.8425441080217</v>
      </c>
    </row>
    <row r="7713" spans="1:34" ht="14.5" x14ac:dyDescent="0.35">
      <c r="A7713" s="34"/>
      <c r="B7713" s="35"/>
      <c r="C7713" s="36"/>
      <c r="D7713" s="37"/>
      <c r="E7713" s="36"/>
      <c r="F7713" s="42"/>
      <c r="G7713" s="42"/>
      <c r="H7713" s="42"/>
      <c r="AG7713" s="19">
        <v>7712</v>
      </c>
      <c r="AH7713" s="20">
        <v>2983.6706988997066</v>
      </c>
    </row>
    <row r="7714" spans="1:34" ht="14.5" x14ac:dyDescent="0.35">
      <c r="A7714" s="34"/>
      <c r="B7714" s="35"/>
      <c r="C7714" s="36"/>
      <c r="D7714" s="37"/>
      <c r="E7714" s="36"/>
      <c r="F7714" s="42"/>
      <c r="G7714" s="42"/>
      <c r="H7714" s="42"/>
      <c r="AG7714" s="19">
        <v>7713</v>
      </c>
      <c r="AH7714" s="20">
        <v>3674.7267443976421</v>
      </c>
    </row>
    <row r="7715" spans="1:34" ht="14.5" x14ac:dyDescent="0.35">
      <c r="A7715" s="34"/>
      <c r="B7715" s="35"/>
      <c r="C7715" s="36"/>
      <c r="D7715" s="37"/>
      <c r="E7715" s="36"/>
      <c r="F7715" s="42"/>
      <c r="G7715" s="42"/>
      <c r="H7715" s="42"/>
      <c r="AG7715" s="19">
        <v>7714</v>
      </c>
      <c r="AH7715" s="20">
        <v>253.62995940881748</v>
      </c>
    </row>
    <row r="7716" spans="1:34" ht="14.5" x14ac:dyDescent="0.35">
      <c r="A7716" s="34"/>
      <c r="B7716" s="35"/>
      <c r="C7716" s="36"/>
      <c r="D7716" s="37"/>
      <c r="E7716" s="36"/>
      <c r="F7716" s="42"/>
      <c r="G7716" s="42"/>
      <c r="H7716" s="42"/>
      <c r="AG7716" s="19">
        <v>7715</v>
      </c>
      <c r="AH7716" s="20">
        <v>-940.98311801758496</v>
      </c>
    </row>
    <row r="7717" spans="1:34" ht="14.5" x14ac:dyDescent="0.35">
      <c r="A7717" s="34"/>
      <c r="B7717" s="35"/>
      <c r="C7717" s="36"/>
      <c r="D7717" s="37"/>
      <c r="E7717" s="36"/>
      <c r="F7717" s="42"/>
      <c r="G7717" s="42"/>
      <c r="H7717" s="42"/>
      <c r="AG7717" s="19">
        <v>7716</v>
      </c>
      <c r="AH7717" s="20">
        <v>903.68057034588628</v>
      </c>
    </row>
    <row r="7718" spans="1:34" ht="14.5" x14ac:dyDescent="0.35">
      <c r="A7718" s="34"/>
      <c r="B7718" s="35"/>
      <c r="C7718" s="36"/>
      <c r="D7718" s="37"/>
      <c r="E7718" s="36"/>
      <c r="F7718" s="42"/>
      <c r="G7718" s="42"/>
      <c r="H7718" s="42"/>
      <c r="AG7718" s="19">
        <v>7717</v>
      </c>
      <c r="AH7718" s="20">
        <v>2985.3991979875623</v>
      </c>
    </row>
    <row r="7719" spans="1:34" ht="14.5" x14ac:dyDescent="0.35">
      <c r="A7719" s="34"/>
      <c r="B7719" s="35"/>
      <c r="C7719" s="36"/>
      <c r="D7719" s="37"/>
      <c r="E7719" s="36"/>
      <c r="F7719" s="42"/>
      <c r="G7719" s="42"/>
      <c r="H7719" s="42"/>
      <c r="AG7719" s="19">
        <v>7718</v>
      </c>
      <c r="AH7719" s="20">
        <v>3043.3625217258291</v>
      </c>
    </row>
    <row r="7720" spans="1:34" ht="14.5" x14ac:dyDescent="0.35">
      <c r="A7720" s="34"/>
      <c r="B7720" s="35"/>
      <c r="C7720" s="36"/>
      <c r="D7720" s="37"/>
      <c r="E7720" s="36"/>
      <c r="F7720" s="42"/>
      <c r="G7720" s="42"/>
      <c r="H7720" s="42"/>
      <c r="AG7720" s="19">
        <v>7719</v>
      </c>
      <c r="AH7720" s="20">
        <v>769.72921070302118</v>
      </c>
    </row>
    <row r="7721" spans="1:34" ht="14.5" x14ac:dyDescent="0.35">
      <c r="A7721" s="34"/>
      <c r="B7721" s="35"/>
      <c r="C7721" s="36"/>
      <c r="D7721" s="37"/>
      <c r="E7721" s="36"/>
      <c r="F7721" s="42"/>
      <c r="G7721" s="42"/>
      <c r="H7721" s="42"/>
      <c r="AG7721" s="19">
        <v>7720</v>
      </c>
      <c r="AH7721" s="20">
        <v>144.84584064385601</v>
      </c>
    </row>
    <row r="7722" spans="1:34" ht="14.5" x14ac:dyDescent="0.35">
      <c r="A7722" s="34"/>
      <c r="B7722" s="35"/>
      <c r="C7722" s="36"/>
      <c r="D7722" s="37"/>
      <c r="E7722" s="36"/>
      <c r="F7722" s="42"/>
      <c r="G7722" s="42"/>
      <c r="H7722" s="42"/>
      <c r="AG7722" s="19">
        <v>7721</v>
      </c>
      <c r="AH7722" s="20">
        <v>1565.9000593619417</v>
      </c>
    </row>
    <row r="7723" spans="1:34" ht="14.5" x14ac:dyDescent="0.35">
      <c r="A7723" s="34"/>
      <c r="B7723" s="35"/>
      <c r="C7723" s="36"/>
      <c r="D7723" s="37"/>
      <c r="E7723" s="36"/>
      <c r="F7723" s="42"/>
      <c r="G7723" s="42"/>
      <c r="H7723" s="42"/>
      <c r="AG7723" s="19">
        <v>7722</v>
      </c>
      <c r="AH7723" s="20">
        <v>3296.910227299134</v>
      </c>
    </row>
    <row r="7724" spans="1:34" ht="14.5" x14ac:dyDescent="0.35">
      <c r="A7724" s="34"/>
      <c r="B7724" s="35"/>
      <c r="C7724" s="36"/>
      <c r="D7724" s="37"/>
      <c r="E7724" s="36"/>
      <c r="F7724" s="42"/>
      <c r="G7724" s="42"/>
      <c r="H7724" s="42"/>
      <c r="AG7724" s="19">
        <v>7723</v>
      </c>
      <c r="AH7724" s="20">
        <v>4811.9316194174844</v>
      </c>
    </row>
    <row r="7725" spans="1:34" ht="14.5" x14ac:dyDescent="0.35">
      <c r="A7725" s="34"/>
      <c r="B7725" s="35"/>
      <c r="C7725" s="36"/>
      <c r="D7725" s="37"/>
      <c r="E7725" s="36"/>
      <c r="F7725" s="42"/>
      <c r="G7725" s="42"/>
      <c r="H7725" s="42"/>
      <c r="AG7725" s="19">
        <v>7724</v>
      </c>
      <c r="AH7725" s="20">
        <v>2499.6619997061775</v>
      </c>
    </row>
    <row r="7726" spans="1:34" ht="14.5" x14ac:dyDescent="0.35">
      <c r="A7726" s="34"/>
      <c r="B7726" s="35"/>
      <c r="C7726" s="36"/>
      <c r="D7726" s="37"/>
      <c r="E7726" s="36"/>
      <c r="F7726" s="42"/>
      <c r="G7726" s="42"/>
      <c r="H7726" s="42"/>
      <c r="AG7726" s="19">
        <v>7725</v>
      </c>
      <c r="AH7726" s="20">
        <v>650.9415319226232</v>
      </c>
    </row>
    <row r="7727" spans="1:34" ht="14.5" x14ac:dyDescent="0.35">
      <c r="A7727" s="34"/>
      <c r="B7727" s="35"/>
      <c r="C7727" s="36"/>
      <c r="D7727" s="37"/>
      <c r="E7727" s="36"/>
      <c r="F7727" s="42"/>
      <c r="G7727" s="42"/>
      <c r="H7727" s="42"/>
      <c r="AG7727" s="19">
        <v>7726</v>
      </c>
      <c r="AH7727" s="20">
        <v>2782.6602777982453</v>
      </c>
    </row>
    <row r="7728" spans="1:34" ht="14.5" x14ac:dyDescent="0.35">
      <c r="A7728" s="34"/>
      <c r="B7728" s="35"/>
      <c r="C7728" s="36"/>
      <c r="D7728" s="37"/>
      <c r="E7728" s="36"/>
      <c r="F7728" s="42"/>
      <c r="G7728" s="42"/>
      <c r="H7728" s="42"/>
      <c r="AG7728" s="19">
        <v>7727</v>
      </c>
      <c r="AH7728" s="20">
        <v>-4183.3199632281685</v>
      </c>
    </row>
    <row r="7729" spans="1:34" ht="14.5" x14ac:dyDescent="0.35">
      <c r="A7729" s="34"/>
      <c r="B7729" s="35"/>
      <c r="C7729" s="36"/>
      <c r="D7729" s="37"/>
      <c r="E7729" s="36"/>
      <c r="F7729" s="42"/>
      <c r="G7729" s="42"/>
      <c r="H7729" s="42"/>
      <c r="AG7729" s="19">
        <v>7728</v>
      </c>
      <c r="AH7729" s="20">
        <v>597.19037715570084</v>
      </c>
    </row>
    <row r="7730" spans="1:34" ht="14.5" x14ac:dyDescent="0.35">
      <c r="A7730" s="34"/>
      <c r="B7730" s="35"/>
      <c r="C7730" s="36"/>
      <c r="D7730" s="37"/>
      <c r="E7730" s="36"/>
      <c r="F7730" s="42"/>
      <c r="G7730" s="42"/>
      <c r="H7730" s="42"/>
      <c r="AG7730" s="19">
        <v>7729</v>
      </c>
      <c r="AH7730" s="20">
        <v>981.47691534751266</v>
      </c>
    </row>
    <row r="7731" spans="1:34" ht="14.5" x14ac:dyDescent="0.35">
      <c r="A7731" s="34"/>
      <c r="B7731" s="35"/>
      <c r="C7731" s="36"/>
      <c r="D7731" s="37"/>
      <c r="E7731" s="36"/>
      <c r="F7731" s="42"/>
      <c r="G7731" s="42"/>
      <c r="H7731" s="42"/>
      <c r="AG7731" s="19">
        <v>7730</v>
      </c>
      <c r="AH7731" s="20">
        <v>573.14361701382256</v>
      </c>
    </row>
    <row r="7732" spans="1:34" ht="14.5" x14ac:dyDescent="0.35">
      <c r="A7732" s="34"/>
      <c r="B7732" s="35"/>
      <c r="C7732" s="36"/>
      <c r="D7732" s="37"/>
      <c r="E7732" s="36"/>
      <c r="F7732" s="42"/>
      <c r="G7732" s="42"/>
      <c r="H7732" s="42"/>
      <c r="AG7732" s="19">
        <v>7731</v>
      </c>
      <c r="AH7732" s="20">
        <v>346.26022354166042</v>
      </c>
    </row>
    <row r="7733" spans="1:34" ht="14.5" x14ac:dyDescent="0.35">
      <c r="A7733" s="34"/>
      <c r="B7733" s="35"/>
      <c r="C7733" s="36"/>
      <c r="D7733" s="37"/>
      <c r="E7733" s="36"/>
      <c r="F7733" s="42"/>
      <c r="G7733" s="42"/>
      <c r="H7733" s="42"/>
      <c r="AG7733" s="19">
        <v>7732</v>
      </c>
      <c r="AH7733" s="20">
        <v>428.7371599249912</v>
      </c>
    </row>
    <row r="7734" spans="1:34" ht="14.5" x14ac:dyDescent="0.35">
      <c r="A7734" s="34"/>
      <c r="B7734" s="35"/>
      <c r="C7734" s="36"/>
      <c r="D7734" s="37"/>
      <c r="E7734" s="36"/>
      <c r="F7734" s="42"/>
      <c r="G7734" s="42"/>
      <c r="H7734" s="42"/>
      <c r="AG7734" s="19">
        <v>7733</v>
      </c>
      <c r="AH7734" s="20">
        <v>1845.0666441641724</v>
      </c>
    </row>
    <row r="7735" spans="1:34" ht="14.5" x14ac:dyDescent="0.35">
      <c r="A7735" s="34"/>
      <c r="B7735" s="35"/>
      <c r="C7735" s="36"/>
      <c r="D7735" s="37"/>
      <c r="E7735" s="36"/>
      <c r="F7735" s="42"/>
      <c r="G7735" s="42"/>
      <c r="H7735" s="42"/>
      <c r="AG7735" s="19">
        <v>7734</v>
      </c>
      <c r="AH7735" s="20">
        <v>1593.8748244964568</v>
      </c>
    </row>
    <row r="7736" spans="1:34" ht="14.5" x14ac:dyDescent="0.35">
      <c r="A7736" s="34"/>
      <c r="B7736" s="35"/>
      <c r="C7736" s="36"/>
      <c r="D7736" s="37"/>
      <c r="E7736" s="36"/>
      <c r="F7736" s="42"/>
      <c r="G7736" s="42"/>
      <c r="H7736" s="42"/>
      <c r="AG7736" s="19">
        <v>7735</v>
      </c>
      <c r="AH7736" s="20">
        <v>574.37239681358108</v>
      </c>
    </row>
    <row r="7737" spans="1:34" ht="14.5" x14ac:dyDescent="0.35">
      <c r="A7737" s="34"/>
      <c r="B7737" s="35"/>
      <c r="C7737" s="36"/>
      <c r="D7737" s="37"/>
      <c r="E7737" s="36"/>
      <c r="F7737" s="42"/>
      <c r="G7737" s="42"/>
      <c r="H7737" s="42"/>
      <c r="AG7737" s="19">
        <v>7736</v>
      </c>
      <c r="AH7737" s="20">
        <v>904.14629957851594</v>
      </c>
    </row>
    <row r="7738" spans="1:34" ht="14.5" x14ac:dyDescent="0.35">
      <c r="A7738" s="34"/>
      <c r="B7738" s="35"/>
      <c r="C7738" s="36"/>
      <c r="D7738" s="37"/>
      <c r="E7738" s="36"/>
      <c r="F7738" s="42"/>
      <c r="G7738" s="42"/>
      <c r="H7738" s="42"/>
      <c r="AG7738" s="19">
        <v>7737</v>
      </c>
      <c r="AH7738" s="20">
        <v>2761.5586876955263</v>
      </c>
    </row>
    <row r="7739" spans="1:34" ht="14.5" x14ac:dyDescent="0.35">
      <c r="A7739" s="34"/>
      <c r="B7739" s="35"/>
      <c r="C7739" s="36"/>
      <c r="D7739" s="37"/>
      <c r="E7739" s="36"/>
      <c r="F7739" s="42"/>
      <c r="G7739" s="42"/>
      <c r="H7739" s="42"/>
      <c r="AG7739" s="19">
        <v>7738</v>
      </c>
      <c r="AH7739" s="20">
        <v>5974.1700953699519</v>
      </c>
    </row>
    <row r="7740" spans="1:34" ht="14.5" x14ac:dyDescent="0.35">
      <c r="A7740" s="34"/>
      <c r="B7740" s="35"/>
      <c r="C7740" s="36"/>
      <c r="D7740" s="37"/>
      <c r="E7740" s="36"/>
      <c r="F7740" s="42"/>
      <c r="G7740" s="42"/>
      <c r="H7740" s="42"/>
      <c r="AG7740" s="19">
        <v>7739</v>
      </c>
      <c r="AH7740" s="20">
        <v>-218.93084284070181</v>
      </c>
    </row>
    <row r="7741" spans="1:34" ht="14.5" x14ac:dyDescent="0.35">
      <c r="A7741" s="34"/>
      <c r="B7741" s="35"/>
      <c r="C7741" s="36"/>
      <c r="D7741" s="37"/>
      <c r="E7741" s="36"/>
      <c r="F7741" s="42"/>
      <c r="G7741" s="42"/>
      <c r="H7741" s="42"/>
      <c r="AG7741" s="19">
        <v>7740</v>
      </c>
      <c r="AH7741" s="20">
        <v>-279.77252722390887</v>
      </c>
    </row>
    <row r="7742" spans="1:34" ht="14.5" x14ac:dyDescent="0.35">
      <c r="A7742" s="34"/>
      <c r="B7742" s="35"/>
      <c r="C7742" s="36"/>
      <c r="D7742" s="37"/>
      <c r="E7742" s="36"/>
      <c r="F7742" s="42"/>
      <c r="G7742" s="42"/>
      <c r="H7742" s="42"/>
      <c r="AG7742" s="19">
        <v>7741</v>
      </c>
      <c r="AH7742" s="20">
        <v>496.46020540850554</v>
      </c>
    </row>
    <row r="7743" spans="1:34" ht="14.5" x14ac:dyDescent="0.35">
      <c r="A7743" s="34"/>
      <c r="B7743" s="35"/>
      <c r="C7743" s="36"/>
      <c r="D7743" s="37"/>
      <c r="E7743" s="36"/>
      <c r="F7743" s="42"/>
      <c r="G7743" s="42"/>
      <c r="H7743" s="42"/>
      <c r="AG7743" s="19">
        <v>7742</v>
      </c>
      <c r="AH7743" s="20">
        <v>1733.4317925232924</v>
      </c>
    </row>
    <row r="7744" spans="1:34" ht="14.5" x14ac:dyDescent="0.35">
      <c r="A7744" s="34"/>
      <c r="B7744" s="35"/>
      <c r="C7744" s="36"/>
      <c r="D7744" s="37"/>
      <c r="E7744" s="36"/>
      <c r="F7744" s="42"/>
      <c r="G7744" s="42"/>
      <c r="H7744" s="42"/>
      <c r="AG7744" s="19">
        <v>7743</v>
      </c>
      <c r="AH7744" s="20">
        <v>-632.50630087305058</v>
      </c>
    </row>
    <row r="7745" spans="1:34" ht="14.5" x14ac:dyDescent="0.35">
      <c r="A7745" s="34"/>
      <c r="B7745" s="35"/>
      <c r="C7745" s="36"/>
      <c r="D7745" s="37"/>
      <c r="E7745" s="36"/>
      <c r="F7745" s="42"/>
      <c r="G7745" s="42"/>
      <c r="H7745" s="42"/>
      <c r="AG7745" s="19">
        <v>7744</v>
      </c>
      <c r="AH7745" s="20">
        <v>-1197.5063264787357</v>
      </c>
    </row>
    <row r="7746" spans="1:34" ht="14.5" x14ac:dyDescent="0.35">
      <c r="A7746" s="34"/>
      <c r="B7746" s="35"/>
      <c r="C7746" s="36"/>
      <c r="D7746" s="37"/>
      <c r="E7746" s="36"/>
      <c r="F7746" s="42"/>
      <c r="G7746" s="42"/>
      <c r="H7746" s="42"/>
      <c r="AG7746" s="19">
        <v>7745</v>
      </c>
      <c r="AH7746" s="20">
        <v>219.80484303447631</v>
      </c>
    </row>
    <row r="7747" spans="1:34" ht="14.5" x14ac:dyDescent="0.35">
      <c r="A7747" s="34"/>
      <c r="B7747" s="35"/>
      <c r="C7747" s="36"/>
      <c r="D7747" s="37"/>
      <c r="E7747" s="36"/>
      <c r="F7747" s="42"/>
      <c r="G7747" s="42"/>
      <c r="H7747" s="42"/>
      <c r="AG7747" s="19">
        <v>7746</v>
      </c>
      <c r="AH7747" s="20">
        <v>-878.75855436840698</v>
      </c>
    </row>
    <row r="7748" spans="1:34" ht="14.5" x14ac:dyDescent="0.35">
      <c r="A7748" s="34"/>
      <c r="B7748" s="35"/>
      <c r="C7748" s="36"/>
      <c r="D7748" s="37"/>
      <c r="E7748" s="36"/>
      <c r="F7748" s="42"/>
      <c r="G7748" s="42"/>
      <c r="H7748" s="42"/>
      <c r="AG7748" s="19">
        <v>7747</v>
      </c>
      <c r="AH7748" s="20">
        <v>1831.805796662409</v>
      </c>
    </row>
    <row r="7749" spans="1:34" ht="14.5" x14ac:dyDescent="0.35">
      <c r="A7749" s="34"/>
      <c r="B7749" s="35"/>
      <c r="C7749" s="36"/>
      <c r="D7749" s="37"/>
      <c r="E7749" s="36"/>
      <c r="F7749" s="42"/>
      <c r="G7749" s="42"/>
      <c r="H7749" s="42"/>
      <c r="AG7749" s="19">
        <v>7748</v>
      </c>
      <c r="AH7749" s="20">
        <v>-472.47120497573093</v>
      </c>
    </row>
    <row r="7750" spans="1:34" ht="14.5" x14ac:dyDescent="0.35">
      <c r="A7750" s="34"/>
      <c r="B7750" s="35"/>
      <c r="C7750" s="36"/>
      <c r="D7750" s="37"/>
      <c r="E7750" s="36"/>
      <c r="F7750" s="42"/>
      <c r="G7750" s="42"/>
      <c r="H7750" s="42"/>
      <c r="AG7750" s="19">
        <v>7749</v>
      </c>
      <c r="AH7750" s="20">
        <v>-92.095279311539912</v>
      </c>
    </row>
    <row r="7751" spans="1:34" ht="14.5" x14ac:dyDescent="0.35">
      <c r="A7751" s="34"/>
      <c r="B7751" s="35"/>
      <c r="C7751" s="36"/>
      <c r="D7751" s="37"/>
      <c r="E7751" s="36"/>
      <c r="F7751" s="42"/>
      <c r="G7751" s="42"/>
      <c r="H7751" s="42"/>
      <c r="AG7751" s="19">
        <v>7750</v>
      </c>
      <c r="AH7751" s="20">
        <v>11.779904730201736</v>
      </c>
    </row>
    <row r="7752" spans="1:34" ht="14.5" x14ac:dyDescent="0.35">
      <c r="A7752" s="34"/>
      <c r="B7752" s="35"/>
      <c r="C7752" s="36"/>
      <c r="D7752" s="37"/>
      <c r="E7752" s="36"/>
      <c r="F7752" s="42"/>
      <c r="G7752" s="42"/>
      <c r="H7752" s="42"/>
      <c r="AG7752" s="19">
        <v>7751</v>
      </c>
      <c r="AH7752" s="20">
        <v>-944.60209957600455</v>
      </c>
    </row>
    <row r="7753" spans="1:34" ht="14.5" x14ac:dyDescent="0.35">
      <c r="A7753" s="34"/>
      <c r="B7753" s="35"/>
      <c r="C7753" s="36"/>
      <c r="D7753" s="37"/>
      <c r="E7753" s="36"/>
      <c r="F7753" s="42"/>
      <c r="G7753" s="42"/>
      <c r="H7753" s="42"/>
      <c r="AG7753" s="19">
        <v>7752</v>
      </c>
      <c r="AH7753" s="20">
        <v>1610.3501581294522</v>
      </c>
    </row>
    <row r="7754" spans="1:34" ht="14.5" x14ac:dyDescent="0.35">
      <c r="A7754" s="34"/>
      <c r="B7754" s="35"/>
      <c r="C7754" s="36"/>
      <c r="D7754" s="37"/>
      <c r="E7754" s="36"/>
      <c r="F7754" s="42"/>
      <c r="G7754" s="42"/>
      <c r="H7754" s="42"/>
      <c r="AG7754" s="19">
        <v>7753</v>
      </c>
      <c r="AH7754" s="20">
        <v>1034.996010194873</v>
      </c>
    </row>
    <row r="7755" spans="1:34" ht="14.5" x14ac:dyDescent="0.35">
      <c r="A7755" s="34"/>
      <c r="B7755" s="35"/>
      <c r="C7755" s="36"/>
      <c r="D7755" s="37"/>
      <c r="E7755" s="36"/>
      <c r="F7755" s="42"/>
      <c r="G7755" s="42"/>
      <c r="H7755" s="42"/>
      <c r="AG7755" s="19">
        <v>7754</v>
      </c>
      <c r="AH7755" s="20">
        <v>2037.1982960223845</v>
      </c>
    </row>
    <row r="7756" spans="1:34" ht="14.5" x14ac:dyDescent="0.35">
      <c r="A7756" s="34"/>
      <c r="B7756" s="35"/>
      <c r="C7756" s="36"/>
      <c r="D7756" s="37"/>
      <c r="E7756" s="36"/>
      <c r="F7756" s="42"/>
      <c r="G7756" s="42"/>
      <c r="H7756" s="42"/>
      <c r="AG7756" s="19">
        <v>7755</v>
      </c>
      <c r="AH7756" s="20">
        <v>-2803.769367962826</v>
      </c>
    </row>
    <row r="7757" spans="1:34" ht="14.5" x14ac:dyDescent="0.35">
      <c r="A7757" s="34"/>
      <c r="B7757" s="35"/>
      <c r="C7757" s="36"/>
      <c r="D7757" s="37"/>
      <c r="E7757" s="36"/>
      <c r="F7757" s="42"/>
      <c r="G7757" s="42"/>
      <c r="H7757" s="42"/>
      <c r="AG7757" s="19">
        <v>7756</v>
      </c>
      <c r="AH7757" s="20">
        <v>486.89465614878952</v>
      </c>
    </row>
    <row r="7758" spans="1:34" ht="14.5" x14ac:dyDescent="0.35">
      <c r="A7758" s="34"/>
      <c r="B7758" s="35"/>
      <c r="C7758" s="36"/>
      <c r="D7758" s="37"/>
      <c r="E7758" s="36"/>
      <c r="F7758" s="42"/>
      <c r="G7758" s="42"/>
      <c r="H7758" s="42"/>
      <c r="AG7758" s="19">
        <v>7757</v>
      </c>
      <c r="AH7758" s="20">
        <v>-624.65643849313642</v>
      </c>
    </row>
    <row r="7759" spans="1:34" ht="14.5" x14ac:dyDescent="0.35">
      <c r="A7759" s="34"/>
      <c r="B7759" s="35"/>
      <c r="C7759" s="36"/>
      <c r="D7759" s="37"/>
      <c r="E7759" s="36"/>
      <c r="F7759" s="42"/>
      <c r="G7759" s="42"/>
      <c r="H7759" s="42"/>
      <c r="AG7759" s="19">
        <v>7758</v>
      </c>
      <c r="AH7759" s="20">
        <v>2655.3635694489512</v>
      </c>
    </row>
    <row r="7760" spans="1:34" ht="14.5" x14ac:dyDescent="0.35">
      <c r="A7760" s="34"/>
      <c r="B7760" s="35"/>
      <c r="C7760" s="36"/>
      <c r="D7760" s="37"/>
      <c r="E7760" s="36"/>
      <c r="F7760" s="42"/>
      <c r="G7760" s="42"/>
      <c r="H7760" s="42"/>
      <c r="AG7760" s="19">
        <v>7759</v>
      </c>
      <c r="AH7760" s="20">
        <v>2398.553738835129</v>
      </c>
    </row>
    <row r="7761" spans="1:34" ht="14.5" x14ac:dyDescent="0.35">
      <c r="A7761" s="34"/>
      <c r="B7761" s="35"/>
      <c r="C7761" s="36"/>
      <c r="D7761" s="37"/>
      <c r="E7761" s="36"/>
      <c r="F7761" s="42"/>
      <c r="G7761" s="42"/>
      <c r="H7761" s="42"/>
      <c r="AG7761" s="19">
        <v>7760</v>
      </c>
      <c r="AH7761" s="20">
        <v>-179.21132588349934</v>
      </c>
    </row>
    <row r="7762" spans="1:34" ht="14.5" x14ac:dyDescent="0.35">
      <c r="A7762" s="34"/>
      <c r="B7762" s="35"/>
      <c r="C7762" s="36"/>
      <c r="D7762" s="37"/>
      <c r="E7762" s="36"/>
      <c r="F7762" s="42"/>
      <c r="G7762" s="42"/>
      <c r="H7762" s="42"/>
      <c r="AG7762" s="19">
        <v>7761</v>
      </c>
      <c r="AH7762" s="20">
        <v>1843.8555322383449</v>
      </c>
    </row>
    <row r="7763" spans="1:34" ht="14.5" x14ac:dyDescent="0.35">
      <c r="A7763" s="34"/>
      <c r="B7763" s="35"/>
      <c r="C7763" s="36"/>
      <c r="D7763" s="37"/>
      <c r="E7763" s="36"/>
      <c r="F7763" s="42"/>
      <c r="G7763" s="42"/>
      <c r="H7763" s="42"/>
      <c r="AG7763" s="19">
        <v>7762</v>
      </c>
      <c r="AH7763" s="20">
        <v>-1522.1840685369348</v>
      </c>
    </row>
    <row r="7764" spans="1:34" ht="14.5" x14ac:dyDescent="0.35">
      <c r="A7764" s="34"/>
      <c r="B7764" s="35"/>
      <c r="C7764" s="36"/>
      <c r="D7764" s="37"/>
      <c r="E7764" s="36"/>
      <c r="F7764" s="42"/>
      <c r="G7764" s="42"/>
      <c r="H7764" s="42"/>
      <c r="AG7764" s="19">
        <v>7763</v>
      </c>
      <c r="AH7764" s="20">
        <v>-2230.0083266800002</v>
      </c>
    </row>
    <row r="7765" spans="1:34" ht="14.5" x14ac:dyDescent="0.35">
      <c r="A7765" s="34"/>
      <c r="B7765" s="35"/>
      <c r="C7765" s="36"/>
      <c r="D7765" s="37"/>
      <c r="E7765" s="36"/>
      <c r="F7765" s="42"/>
      <c r="G7765" s="42"/>
      <c r="H7765" s="42"/>
      <c r="AG7765" s="19">
        <v>7764</v>
      </c>
      <c r="AH7765" s="20">
        <v>-1447.122327255312</v>
      </c>
    </row>
    <row r="7766" spans="1:34" ht="14.5" x14ac:dyDescent="0.35">
      <c r="A7766" s="34"/>
      <c r="B7766" s="35"/>
      <c r="C7766" s="36"/>
      <c r="D7766" s="37"/>
      <c r="E7766" s="36"/>
      <c r="F7766" s="42"/>
      <c r="G7766" s="42"/>
      <c r="H7766" s="42"/>
      <c r="AG7766" s="19">
        <v>7765</v>
      </c>
      <c r="AH7766" s="20">
        <v>-2041.4160039302458</v>
      </c>
    </row>
    <row r="7767" spans="1:34" ht="14.5" x14ac:dyDescent="0.35">
      <c r="A7767" s="34"/>
      <c r="B7767" s="35"/>
      <c r="C7767" s="36"/>
      <c r="D7767" s="37"/>
      <c r="E7767" s="36"/>
      <c r="F7767" s="42"/>
      <c r="G7767" s="42"/>
      <c r="H7767" s="42"/>
      <c r="AG7767" s="19">
        <v>7766</v>
      </c>
      <c r="AH7767" s="20">
        <v>-2876.7452355492392</v>
      </c>
    </row>
    <row r="7768" spans="1:34" ht="14.5" x14ac:dyDescent="0.35">
      <c r="A7768" s="34"/>
      <c r="B7768" s="35"/>
      <c r="C7768" s="36"/>
      <c r="D7768" s="37"/>
      <c r="E7768" s="36"/>
      <c r="F7768" s="42"/>
      <c r="G7768" s="42"/>
      <c r="H7768" s="42"/>
      <c r="AG7768" s="19">
        <v>7767</v>
      </c>
      <c r="AH7768" s="20">
        <v>-1619.2503943761214</v>
      </c>
    </row>
    <row r="7769" spans="1:34" ht="14.5" x14ac:dyDescent="0.35">
      <c r="A7769" s="34"/>
      <c r="B7769" s="35"/>
      <c r="C7769" s="36"/>
      <c r="D7769" s="37"/>
      <c r="E7769" s="36"/>
      <c r="F7769" s="42"/>
      <c r="G7769" s="42"/>
      <c r="H7769" s="42"/>
      <c r="AG7769" s="19">
        <v>7768</v>
      </c>
      <c r="AH7769" s="20">
        <v>784.70699699160036</v>
      </c>
    </row>
    <row r="7770" spans="1:34" ht="14.5" x14ac:dyDescent="0.35">
      <c r="A7770" s="34"/>
      <c r="B7770" s="35"/>
      <c r="C7770" s="36"/>
      <c r="D7770" s="37"/>
      <c r="E7770" s="36"/>
      <c r="F7770" s="42"/>
      <c r="G7770" s="42"/>
      <c r="H7770" s="42"/>
      <c r="AG7770" s="19">
        <v>7769</v>
      </c>
      <c r="AH7770" s="20">
        <v>-1251.1253518199819</v>
      </c>
    </row>
    <row r="7771" spans="1:34" ht="14.5" x14ac:dyDescent="0.35">
      <c r="A7771" s="34"/>
      <c r="B7771" s="35"/>
      <c r="C7771" s="36"/>
      <c r="D7771" s="37"/>
      <c r="E7771" s="36"/>
      <c r="F7771" s="42"/>
      <c r="G7771" s="42"/>
      <c r="H7771" s="42"/>
      <c r="AG7771" s="19">
        <v>7770</v>
      </c>
      <c r="AH7771" s="20">
        <v>3605.2536412584154</v>
      </c>
    </row>
    <row r="7772" spans="1:34" ht="14.5" x14ac:dyDescent="0.35">
      <c r="A7772" s="34"/>
      <c r="B7772" s="35"/>
      <c r="C7772" s="36"/>
      <c r="D7772" s="37"/>
      <c r="E7772" s="36"/>
      <c r="F7772" s="42"/>
      <c r="G7772" s="42"/>
      <c r="H7772" s="42"/>
      <c r="AG7772" s="19">
        <v>7771</v>
      </c>
      <c r="AH7772" s="20">
        <v>-197.98976321130107</v>
      </c>
    </row>
    <row r="7773" spans="1:34" ht="14.5" x14ac:dyDescent="0.35">
      <c r="A7773" s="34"/>
      <c r="B7773" s="35"/>
      <c r="C7773" s="36"/>
      <c r="D7773" s="37"/>
      <c r="E7773" s="36"/>
      <c r="F7773" s="42"/>
      <c r="G7773" s="42"/>
      <c r="H7773" s="42"/>
      <c r="AG7773" s="19">
        <v>7772</v>
      </c>
      <c r="AH7773" s="20">
        <v>-2254.6415431606392</v>
      </c>
    </row>
    <row r="7774" spans="1:34" ht="14.5" x14ac:dyDescent="0.35">
      <c r="A7774" s="34"/>
      <c r="B7774" s="35"/>
      <c r="C7774" s="36"/>
      <c r="D7774" s="37"/>
      <c r="E7774" s="36"/>
      <c r="F7774" s="42"/>
      <c r="G7774" s="42"/>
      <c r="H7774" s="42"/>
      <c r="AG7774" s="19">
        <v>7773</v>
      </c>
      <c r="AH7774" s="20">
        <v>1954.6006570276734</v>
      </c>
    </row>
    <row r="7775" spans="1:34" ht="14.5" x14ac:dyDescent="0.35">
      <c r="A7775" s="34"/>
      <c r="B7775" s="35"/>
      <c r="C7775" s="36"/>
      <c r="D7775" s="37"/>
      <c r="E7775" s="36"/>
      <c r="F7775" s="42"/>
      <c r="G7775" s="42"/>
      <c r="H7775" s="42"/>
      <c r="AG7775" s="19">
        <v>7774</v>
      </c>
      <c r="AH7775" s="20">
        <v>-4514.9522319813977</v>
      </c>
    </row>
    <row r="7776" spans="1:34" ht="14.5" x14ac:dyDescent="0.35">
      <c r="A7776" s="34"/>
      <c r="B7776" s="35"/>
      <c r="C7776" s="36"/>
      <c r="D7776" s="37"/>
      <c r="E7776" s="36"/>
      <c r="F7776" s="42"/>
      <c r="G7776" s="42"/>
      <c r="H7776" s="42"/>
      <c r="AG7776" s="19">
        <v>7775</v>
      </c>
      <c r="AH7776" s="20">
        <v>-605.60729727296325</v>
      </c>
    </row>
    <row r="7777" spans="1:34" ht="14.5" x14ac:dyDescent="0.35">
      <c r="A7777" s="34"/>
      <c r="B7777" s="35"/>
      <c r="C7777" s="36"/>
      <c r="D7777" s="37"/>
      <c r="E7777" s="36"/>
      <c r="F7777" s="42"/>
      <c r="G7777" s="42"/>
      <c r="H7777" s="42"/>
      <c r="AG7777" s="19">
        <v>7776</v>
      </c>
      <c r="AH7777" s="20">
        <v>-1217.7093732095848</v>
      </c>
    </row>
    <row r="7778" spans="1:34" ht="14.5" x14ac:dyDescent="0.35">
      <c r="A7778" s="34"/>
      <c r="B7778" s="35"/>
      <c r="C7778" s="36"/>
      <c r="D7778" s="37"/>
      <c r="E7778" s="36"/>
      <c r="F7778" s="42"/>
      <c r="G7778" s="42"/>
      <c r="H7778" s="42"/>
      <c r="AG7778" s="19">
        <v>7777</v>
      </c>
      <c r="AH7778" s="20">
        <v>3710.9254036067896</v>
      </c>
    </row>
    <row r="7779" spans="1:34" ht="14.5" x14ac:dyDescent="0.35">
      <c r="A7779" s="34"/>
      <c r="B7779" s="35"/>
      <c r="C7779" s="36"/>
      <c r="D7779" s="37"/>
      <c r="E7779" s="36"/>
      <c r="F7779" s="42"/>
      <c r="G7779" s="42"/>
      <c r="H7779" s="42"/>
      <c r="AG7779" s="19">
        <v>7778</v>
      </c>
      <c r="AH7779" s="20">
        <v>2639.6703468093065</v>
      </c>
    </row>
    <row r="7780" spans="1:34" ht="14.5" x14ac:dyDescent="0.35">
      <c r="A7780" s="34"/>
      <c r="B7780" s="35"/>
      <c r="C7780" s="36"/>
      <c r="D7780" s="37"/>
      <c r="E7780" s="36"/>
      <c r="F7780" s="42"/>
      <c r="G7780" s="42"/>
      <c r="H7780" s="42"/>
      <c r="AG7780" s="19">
        <v>7779</v>
      </c>
      <c r="AH7780" s="20">
        <v>4145.3105760724575</v>
      </c>
    </row>
    <row r="7781" spans="1:34" ht="14.5" x14ac:dyDescent="0.35">
      <c r="A7781" s="34"/>
      <c r="B7781" s="35"/>
      <c r="C7781" s="36"/>
      <c r="D7781" s="37"/>
      <c r="E7781" s="36"/>
      <c r="F7781" s="42"/>
      <c r="G7781" s="42"/>
      <c r="H7781" s="42"/>
      <c r="AG7781" s="19">
        <v>7780</v>
      </c>
      <c r="AH7781" s="20">
        <v>-2212.6170061976682</v>
      </c>
    </row>
    <row r="7782" spans="1:34" ht="14.5" x14ac:dyDescent="0.35">
      <c r="A7782" s="34"/>
      <c r="B7782" s="35"/>
      <c r="C7782" s="36"/>
      <c r="D7782" s="37"/>
      <c r="E7782" s="36"/>
      <c r="F7782" s="42"/>
      <c r="G7782" s="42"/>
      <c r="H7782" s="42"/>
      <c r="AG7782" s="19">
        <v>7781</v>
      </c>
      <c r="AH7782" s="20">
        <v>1045.8577726800593</v>
      </c>
    </row>
    <row r="7783" spans="1:34" ht="14.5" x14ac:dyDescent="0.35">
      <c r="A7783" s="34"/>
      <c r="B7783" s="35"/>
      <c r="C7783" s="36"/>
      <c r="D7783" s="37"/>
      <c r="E7783" s="36"/>
      <c r="F7783" s="42"/>
      <c r="G7783" s="42"/>
      <c r="H7783" s="42"/>
      <c r="AG7783" s="19">
        <v>7782</v>
      </c>
      <c r="AH7783" s="20">
        <v>3645.9151154812948</v>
      </c>
    </row>
    <row r="7784" spans="1:34" ht="14.5" x14ac:dyDescent="0.35">
      <c r="A7784" s="34"/>
      <c r="B7784" s="35"/>
      <c r="C7784" s="36"/>
      <c r="D7784" s="37"/>
      <c r="E7784" s="36"/>
      <c r="F7784" s="42"/>
      <c r="G7784" s="42"/>
      <c r="H7784" s="42"/>
      <c r="AG7784" s="19">
        <v>7783</v>
      </c>
      <c r="AH7784" s="20">
        <v>-3204.1377004759911</v>
      </c>
    </row>
    <row r="7785" spans="1:34" ht="14.5" x14ac:dyDescent="0.35">
      <c r="A7785" s="34"/>
      <c r="B7785" s="35"/>
      <c r="C7785" s="36"/>
      <c r="D7785" s="37"/>
      <c r="E7785" s="36"/>
      <c r="F7785" s="42"/>
      <c r="G7785" s="42"/>
      <c r="H7785" s="42"/>
      <c r="AG7785" s="19">
        <v>7784</v>
      </c>
      <c r="AH7785" s="20">
        <v>-702.68992454195018</v>
      </c>
    </row>
    <row r="7786" spans="1:34" ht="14.5" x14ac:dyDescent="0.35">
      <c r="A7786" s="34"/>
      <c r="B7786" s="35"/>
      <c r="C7786" s="36"/>
      <c r="D7786" s="37"/>
      <c r="E7786" s="36"/>
      <c r="F7786" s="42"/>
      <c r="G7786" s="42"/>
      <c r="H7786" s="42"/>
      <c r="AG7786" s="19">
        <v>7785</v>
      </c>
      <c r="AH7786" s="20">
        <v>-548.04357948169491</v>
      </c>
    </row>
    <row r="7787" spans="1:34" ht="14.5" x14ac:dyDescent="0.35">
      <c r="A7787" s="34"/>
      <c r="B7787" s="35"/>
      <c r="C7787" s="36"/>
      <c r="D7787" s="37"/>
      <c r="E7787" s="36"/>
      <c r="F7787" s="42"/>
      <c r="G7787" s="42"/>
      <c r="H7787" s="42"/>
      <c r="AG7787" s="19">
        <v>7786</v>
      </c>
      <c r="AH7787" s="20">
        <v>-2471.0826463382746</v>
      </c>
    </row>
    <row r="7788" spans="1:34" ht="14.5" x14ac:dyDescent="0.35">
      <c r="A7788" s="34"/>
      <c r="B7788" s="35"/>
      <c r="C7788" s="36"/>
      <c r="D7788" s="37"/>
      <c r="E7788" s="36"/>
      <c r="F7788" s="42"/>
      <c r="G7788" s="42"/>
      <c r="H7788" s="42"/>
      <c r="AG7788" s="19">
        <v>7787</v>
      </c>
      <c r="AH7788" s="20">
        <v>1258.1438620554709</v>
      </c>
    </row>
    <row r="7789" spans="1:34" ht="14.5" x14ac:dyDescent="0.35">
      <c r="A7789" s="34"/>
      <c r="B7789" s="35"/>
      <c r="C7789" s="36"/>
      <c r="D7789" s="37"/>
      <c r="E7789" s="36"/>
      <c r="F7789" s="42"/>
      <c r="G7789" s="42"/>
      <c r="H7789" s="42"/>
      <c r="AG7789" s="19">
        <v>7788</v>
      </c>
      <c r="AH7789" s="20">
        <v>391.78803847498932</v>
      </c>
    </row>
    <row r="7790" spans="1:34" ht="14.5" x14ac:dyDescent="0.35">
      <c r="A7790" s="34"/>
      <c r="B7790" s="35"/>
      <c r="C7790" s="36"/>
      <c r="D7790" s="37"/>
      <c r="E7790" s="36"/>
      <c r="F7790" s="42"/>
      <c r="G7790" s="42"/>
      <c r="H7790" s="42"/>
      <c r="AG7790" s="19">
        <v>7789</v>
      </c>
      <c r="AH7790" s="20">
        <v>-3732.95287629836</v>
      </c>
    </row>
    <row r="7791" spans="1:34" ht="14.5" x14ac:dyDescent="0.35">
      <c r="A7791" s="34"/>
      <c r="B7791" s="35"/>
      <c r="C7791" s="36"/>
      <c r="D7791" s="37"/>
      <c r="E7791" s="36"/>
      <c r="F7791" s="42"/>
      <c r="G7791" s="42"/>
      <c r="H7791" s="42"/>
      <c r="AG7791" s="19">
        <v>7790</v>
      </c>
      <c r="AH7791" s="20">
        <v>1814.3999808878959</v>
      </c>
    </row>
    <row r="7792" spans="1:34" ht="14.5" x14ac:dyDescent="0.35">
      <c r="A7792" s="34"/>
      <c r="B7792" s="35"/>
      <c r="C7792" s="36"/>
      <c r="D7792" s="37"/>
      <c r="E7792" s="36"/>
      <c r="F7792" s="42"/>
      <c r="G7792" s="42"/>
      <c r="H7792" s="42"/>
      <c r="AG7792" s="19">
        <v>7791</v>
      </c>
      <c r="AH7792" s="20">
        <v>1279.0292640847063</v>
      </c>
    </row>
    <row r="7793" spans="1:34" ht="14.5" x14ac:dyDescent="0.35">
      <c r="A7793" s="34"/>
      <c r="B7793" s="35"/>
      <c r="C7793" s="36"/>
      <c r="D7793" s="37"/>
      <c r="E7793" s="36"/>
      <c r="F7793" s="42"/>
      <c r="G7793" s="42"/>
      <c r="H7793" s="42"/>
      <c r="AG7793" s="19">
        <v>7792</v>
      </c>
      <c r="AH7793" s="20">
        <v>-3055.7103216575811</v>
      </c>
    </row>
    <row r="7794" spans="1:34" ht="14.5" x14ac:dyDescent="0.35">
      <c r="A7794" s="34"/>
      <c r="B7794" s="35"/>
      <c r="C7794" s="36"/>
      <c r="D7794" s="37"/>
      <c r="E7794" s="36"/>
      <c r="F7794" s="42"/>
      <c r="G7794" s="42"/>
      <c r="H7794" s="42"/>
      <c r="AG7794" s="19">
        <v>7793</v>
      </c>
      <c r="AH7794" s="20">
        <v>880.83382559306699</v>
      </c>
    </row>
    <row r="7795" spans="1:34" ht="14.5" x14ac:dyDescent="0.35">
      <c r="A7795" s="34"/>
      <c r="B7795" s="35"/>
      <c r="C7795" s="36"/>
      <c r="D7795" s="37"/>
      <c r="E7795" s="36"/>
      <c r="F7795" s="42"/>
      <c r="G7795" s="42"/>
      <c r="H7795" s="42"/>
      <c r="AG7795" s="19">
        <v>7794</v>
      </c>
      <c r="AH7795" s="20">
        <v>2624.3029843487043</v>
      </c>
    </row>
    <row r="7796" spans="1:34" ht="14.5" x14ac:dyDescent="0.35">
      <c r="A7796" s="34"/>
      <c r="B7796" s="35"/>
      <c r="C7796" s="36"/>
      <c r="D7796" s="37"/>
      <c r="E7796" s="36"/>
      <c r="F7796" s="42"/>
      <c r="G7796" s="42"/>
      <c r="H7796" s="42"/>
      <c r="AG7796" s="19">
        <v>7795</v>
      </c>
      <c r="AH7796" s="20">
        <v>-2563.3292645935071</v>
      </c>
    </row>
    <row r="7797" spans="1:34" ht="14.5" x14ac:dyDescent="0.35">
      <c r="A7797" s="34"/>
      <c r="B7797" s="35"/>
      <c r="C7797" s="36"/>
      <c r="D7797" s="37"/>
      <c r="E7797" s="36"/>
      <c r="F7797" s="42"/>
      <c r="G7797" s="42"/>
      <c r="H7797" s="42"/>
      <c r="AG7797" s="19">
        <v>7796</v>
      </c>
      <c r="AH7797" s="20">
        <v>1633.1251617608734</v>
      </c>
    </row>
    <row r="7798" spans="1:34" ht="14.5" x14ac:dyDescent="0.35">
      <c r="A7798" s="34"/>
      <c r="B7798" s="35"/>
      <c r="C7798" s="36"/>
      <c r="D7798" s="37"/>
      <c r="E7798" s="36"/>
      <c r="F7798" s="42"/>
      <c r="G7798" s="42"/>
      <c r="H7798" s="42"/>
      <c r="AG7798" s="19">
        <v>7797</v>
      </c>
      <c r="AH7798" s="20">
        <v>-1520.9075653617635</v>
      </c>
    </row>
    <row r="7799" spans="1:34" ht="14.5" x14ac:dyDescent="0.35">
      <c r="A7799" s="34"/>
      <c r="B7799" s="35"/>
      <c r="C7799" s="36"/>
      <c r="D7799" s="37"/>
      <c r="E7799" s="36"/>
      <c r="F7799" s="42"/>
      <c r="G7799" s="42"/>
      <c r="H7799" s="42"/>
      <c r="AG7799" s="19">
        <v>7798</v>
      </c>
      <c r="AH7799" s="20">
        <v>1707.0036228728177</v>
      </c>
    </row>
    <row r="7800" spans="1:34" ht="14.5" x14ac:dyDescent="0.35">
      <c r="A7800" s="34"/>
      <c r="B7800" s="35"/>
      <c r="C7800" s="36"/>
      <c r="D7800" s="37"/>
      <c r="E7800" s="36"/>
      <c r="F7800" s="42"/>
      <c r="G7800" s="42"/>
      <c r="H7800" s="42"/>
      <c r="AG7800" s="19">
        <v>7799</v>
      </c>
      <c r="AH7800" s="20">
        <v>-439.92500732735647</v>
      </c>
    </row>
    <row r="7801" spans="1:34" ht="14.5" x14ac:dyDescent="0.35">
      <c r="A7801" s="34"/>
      <c r="B7801" s="35"/>
      <c r="C7801" s="36"/>
      <c r="D7801" s="37"/>
      <c r="E7801" s="36"/>
      <c r="F7801" s="42"/>
      <c r="G7801" s="42"/>
      <c r="H7801" s="42"/>
      <c r="AG7801" s="19">
        <v>7800</v>
      </c>
      <c r="AH7801" s="20">
        <v>557.74427171963623</v>
      </c>
    </row>
    <row r="7802" spans="1:34" ht="14.5" x14ac:dyDescent="0.35">
      <c r="A7802" s="34"/>
      <c r="B7802" s="35"/>
      <c r="C7802" s="36"/>
      <c r="D7802" s="37"/>
      <c r="E7802" s="36"/>
      <c r="F7802" s="42"/>
      <c r="G7802" s="42"/>
      <c r="H7802" s="42"/>
      <c r="AG7802" s="19">
        <v>7801</v>
      </c>
      <c r="AH7802" s="20">
        <v>1331.2902628222821</v>
      </c>
    </row>
    <row r="7803" spans="1:34" ht="14.5" x14ac:dyDescent="0.35">
      <c r="A7803" s="34"/>
      <c r="B7803" s="35"/>
      <c r="C7803" s="36"/>
      <c r="D7803" s="37"/>
      <c r="E7803" s="36"/>
      <c r="F7803" s="42"/>
      <c r="G7803" s="42"/>
      <c r="H7803" s="42"/>
      <c r="AG7803" s="19">
        <v>7802</v>
      </c>
      <c r="AH7803" s="20">
        <v>1090.8489886048508</v>
      </c>
    </row>
    <row r="7804" spans="1:34" ht="14.5" x14ac:dyDescent="0.35">
      <c r="A7804" s="34"/>
      <c r="B7804" s="35"/>
      <c r="C7804" s="36"/>
      <c r="D7804" s="37"/>
      <c r="E7804" s="36"/>
      <c r="F7804" s="42"/>
      <c r="G7804" s="42"/>
      <c r="H7804" s="42"/>
      <c r="AG7804" s="19">
        <v>7803</v>
      </c>
      <c r="AH7804" s="20">
        <v>-1858.8207540848673</v>
      </c>
    </row>
    <row r="7805" spans="1:34" ht="14.5" x14ac:dyDescent="0.35">
      <c r="A7805" s="34"/>
      <c r="B7805" s="35"/>
      <c r="C7805" s="36"/>
      <c r="D7805" s="37"/>
      <c r="E7805" s="36"/>
      <c r="F7805" s="42"/>
      <c r="G7805" s="42"/>
      <c r="H7805" s="42"/>
      <c r="AG7805" s="19">
        <v>7804</v>
      </c>
      <c r="AH7805" s="20">
        <v>1667.3535599200502</v>
      </c>
    </row>
    <row r="7806" spans="1:34" ht="14.5" x14ac:dyDescent="0.35">
      <c r="A7806" s="34"/>
      <c r="B7806" s="35"/>
      <c r="C7806" s="36"/>
      <c r="D7806" s="37"/>
      <c r="E7806" s="36"/>
      <c r="F7806" s="42"/>
      <c r="G7806" s="42"/>
      <c r="H7806" s="42"/>
      <c r="AG7806" s="19">
        <v>7805</v>
      </c>
      <c r="AH7806" s="20">
        <v>2012.5717443377357</v>
      </c>
    </row>
    <row r="7807" spans="1:34" ht="14.5" x14ac:dyDescent="0.35">
      <c r="A7807" s="34"/>
      <c r="B7807" s="35"/>
      <c r="C7807" s="36"/>
      <c r="D7807" s="37"/>
      <c r="E7807" s="36"/>
      <c r="F7807" s="42"/>
      <c r="G7807" s="42"/>
      <c r="H7807" s="42"/>
      <c r="AG7807" s="19">
        <v>7806</v>
      </c>
      <c r="AH7807" s="20">
        <v>-1157.4161382335426</v>
      </c>
    </row>
    <row r="7808" spans="1:34" ht="14.5" x14ac:dyDescent="0.35">
      <c r="A7808" s="34"/>
      <c r="B7808" s="35"/>
      <c r="C7808" s="36"/>
      <c r="D7808" s="37"/>
      <c r="E7808" s="36"/>
      <c r="F7808" s="42"/>
      <c r="G7808" s="42"/>
      <c r="H7808" s="42"/>
      <c r="AG7808" s="19">
        <v>7807</v>
      </c>
      <c r="AH7808" s="20">
        <v>-2281.1059956036647</v>
      </c>
    </row>
    <row r="7809" spans="1:34" ht="14.5" x14ac:dyDescent="0.35">
      <c r="A7809" s="34"/>
      <c r="B7809" s="35"/>
      <c r="C7809" s="36"/>
      <c r="D7809" s="37"/>
      <c r="E7809" s="36"/>
      <c r="F7809" s="42"/>
      <c r="G7809" s="42"/>
      <c r="H7809" s="42"/>
      <c r="AG7809" s="19">
        <v>7808</v>
      </c>
      <c r="AH7809" s="20">
        <v>2181.4875780357756</v>
      </c>
    </row>
    <row r="7810" spans="1:34" ht="14.5" x14ac:dyDescent="0.35">
      <c r="A7810" s="34"/>
      <c r="B7810" s="35"/>
      <c r="C7810" s="36"/>
      <c r="D7810" s="37"/>
      <c r="E7810" s="36"/>
      <c r="F7810" s="42"/>
      <c r="G7810" s="42"/>
      <c r="H7810" s="42"/>
      <c r="AG7810" s="19">
        <v>7809</v>
      </c>
      <c r="AH7810" s="20">
        <v>-579.20455267900297</v>
      </c>
    </row>
    <row r="7811" spans="1:34" ht="14.5" x14ac:dyDescent="0.35">
      <c r="A7811" s="34"/>
      <c r="B7811" s="35"/>
      <c r="C7811" s="36"/>
      <c r="D7811" s="37"/>
      <c r="E7811" s="36"/>
      <c r="F7811" s="42"/>
      <c r="G7811" s="42"/>
      <c r="H7811" s="42"/>
      <c r="AG7811" s="19">
        <v>7810</v>
      </c>
      <c r="AH7811" s="20">
        <v>1024.9556768022758</v>
      </c>
    </row>
    <row r="7812" spans="1:34" ht="14.5" x14ac:dyDescent="0.35">
      <c r="A7812" s="34"/>
      <c r="B7812" s="35"/>
      <c r="C7812" s="36"/>
      <c r="D7812" s="37"/>
      <c r="E7812" s="36"/>
      <c r="F7812" s="42"/>
      <c r="G7812" s="42"/>
      <c r="H7812" s="42"/>
      <c r="AG7812" s="19">
        <v>7811</v>
      </c>
      <c r="AH7812" s="20">
        <v>3847.6910741717697</v>
      </c>
    </row>
    <row r="7813" spans="1:34" ht="14.5" x14ac:dyDescent="0.35">
      <c r="A7813" s="34"/>
      <c r="B7813" s="35"/>
      <c r="C7813" s="36"/>
      <c r="D7813" s="37"/>
      <c r="E7813" s="36"/>
      <c r="F7813" s="42"/>
      <c r="G7813" s="42"/>
      <c r="H7813" s="42"/>
      <c r="AG7813" s="19">
        <v>7812</v>
      </c>
      <c r="AH7813" s="20">
        <v>-1688.0889796367935</v>
      </c>
    </row>
    <row r="7814" spans="1:34" ht="14.5" x14ac:dyDescent="0.35">
      <c r="A7814" s="34"/>
      <c r="B7814" s="35"/>
      <c r="C7814" s="36"/>
      <c r="D7814" s="37"/>
      <c r="E7814" s="36"/>
      <c r="F7814" s="42"/>
      <c r="G7814" s="42"/>
      <c r="H7814" s="42"/>
      <c r="AG7814" s="19">
        <v>7813</v>
      </c>
      <c r="AH7814" s="20">
        <v>3620.2747256659854</v>
      </c>
    </row>
    <row r="7815" spans="1:34" ht="14.5" x14ac:dyDescent="0.35">
      <c r="A7815" s="34"/>
      <c r="B7815" s="35"/>
      <c r="C7815" s="36"/>
      <c r="D7815" s="37"/>
      <c r="E7815" s="36"/>
      <c r="F7815" s="42"/>
      <c r="G7815" s="42"/>
      <c r="H7815" s="42"/>
      <c r="AG7815" s="19">
        <v>7814</v>
      </c>
      <c r="AH7815" s="20">
        <v>1050.4297131263013</v>
      </c>
    </row>
    <row r="7816" spans="1:34" ht="14.5" x14ac:dyDescent="0.35">
      <c r="A7816" s="34"/>
      <c r="B7816" s="35"/>
      <c r="C7816" s="36"/>
      <c r="D7816" s="37"/>
      <c r="E7816" s="36"/>
      <c r="F7816" s="42"/>
      <c r="G7816" s="42"/>
      <c r="H7816" s="42"/>
      <c r="AG7816" s="19">
        <v>7815</v>
      </c>
      <c r="AH7816" s="20">
        <v>2381.948752609419</v>
      </c>
    </row>
    <row r="7817" spans="1:34" ht="14.5" x14ac:dyDescent="0.35">
      <c r="A7817" s="34"/>
      <c r="B7817" s="35"/>
      <c r="C7817" s="36"/>
      <c r="D7817" s="37"/>
      <c r="E7817" s="36"/>
      <c r="F7817" s="42"/>
      <c r="G7817" s="42"/>
      <c r="H7817" s="42"/>
      <c r="AG7817" s="19">
        <v>7816</v>
      </c>
      <c r="AH7817" s="20">
        <v>-941.01092745967344</v>
      </c>
    </row>
    <row r="7818" spans="1:34" ht="14.5" x14ac:dyDescent="0.35">
      <c r="A7818" s="34"/>
      <c r="B7818" s="35"/>
      <c r="C7818" s="36"/>
      <c r="D7818" s="37"/>
      <c r="E7818" s="36"/>
      <c r="F7818" s="42"/>
      <c r="G7818" s="42"/>
      <c r="H7818" s="42"/>
      <c r="AG7818" s="19">
        <v>7817</v>
      </c>
      <c r="AH7818" s="20">
        <v>-1775.4415138451593</v>
      </c>
    </row>
    <row r="7819" spans="1:34" ht="14.5" x14ac:dyDescent="0.35">
      <c r="A7819" s="34"/>
      <c r="B7819" s="35"/>
      <c r="C7819" s="36"/>
      <c r="D7819" s="37"/>
      <c r="E7819" s="36"/>
      <c r="F7819" s="42"/>
      <c r="G7819" s="42"/>
      <c r="H7819" s="42"/>
      <c r="AG7819" s="19">
        <v>7818</v>
      </c>
      <c r="AH7819" s="20">
        <v>-2569.1731091129554</v>
      </c>
    </row>
    <row r="7820" spans="1:34" ht="14.5" x14ac:dyDescent="0.35">
      <c r="A7820" s="34"/>
      <c r="B7820" s="35"/>
      <c r="C7820" s="36"/>
      <c r="D7820" s="37"/>
      <c r="E7820" s="36"/>
      <c r="F7820" s="42"/>
      <c r="G7820" s="42"/>
      <c r="H7820" s="42"/>
      <c r="AG7820" s="19">
        <v>7819</v>
      </c>
      <c r="AH7820" s="20">
        <v>592.37010467779396</v>
      </c>
    </row>
    <row r="7821" spans="1:34" ht="14.5" x14ac:dyDescent="0.35">
      <c r="A7821" s="34"/>
      <c r="B7821" s="35"/>
      <c r="C7821" s="36"/>
      <c r="D7821" s="37"/>
      <c r="E7821" s="36"/>
      <c r="F7821" s="42"/>
      <c r="G7821" s="42"/>
      <c r="H7821" s="42"/>
      <c r="AG7821" s="19">
        <v>7820</v>
      </c>
      <c r="AH7821" s="20">
        <v>1294.3506301317627</v>
      </c>
    </row>
    <row r="7822" spans="1:34" ht="14.5" x14ac:dyDescent="0.35">
      <c r="A7822" s="34"/>
      <c r="B7822" s="35"/>
      <c r="C7822" s="36"/>
      <c r="D7822" s="37"/>
      <c r="E7822" s="36"/>
      <c r="F7822" s="42"/>
      <c r="G7822" s="42"/>
      <c r="H7822" s="42"/>
      <c r="AG7822" s="19">
        <v>7821</v>
      </c>
      <c r="AH7822" s="20">
        <v>-2204.7163927520473</v>
      </c>
    </row>
    <row r="7823" spans="1:34" ht="14.5" x14ac:dyDescent="0.35">
      <c r="A7823" s="34"/>
      <c r="B7823" s="35"/>
      <c r="C7823" s="36"/>
      <c r="D7823" s="37"/>
      <c r="E7823" s="36"/>
      <c r="F7823" s="42"/>
      <c r="G7823" s="42"/>
      <c r="H7823" s="42"/>
      <c r="AG7823" s="19">
        <v>7822</v>
      </c>
      <c r="AH7823" s="20">
        <v>1586.3856374808377</v>
      </c>
    </row>
    <row r="7824" spans="1:34" ht="14.5" x14ac:dyDescent="0.35">
      <c r="A7824" s="34"/>
      <c r="B7824" s="35"/>
      <c r="C7824" s="36"/>
      <c r="D7824" s="37"/>
      <c r="E7824" s="36"/>
      <c r="F7824" s="42"/>
      <c r="G7824" s="42"/>
      <c r="H7824" s="42"/>
      <c r="AG7824" s="19">
        <v>7823</v>
      </c>
      <c r="AH7824" s="20">
        <v>3289.129096369049</v>
      </c>
    </row>
    <row r="7825" spans="1:34" ht="14.5" x14ac:dyDescent="0.35">
      <c r="A7825" s="34"/>
      <c r="B7825" s="35"/>
      <c r="C7825" s="36"/>
      <c r="D7825" s="37"/>
      <c r="E7825" s="36"/>
      <c r="F7825" s="42"/>
      <c r="G7825" s="42"/>
      <c r="H7825" s="42"/>
      <c r="AG7825" s="19">
        <v>7824</v>
      </c>
      <c r="AH7825" s="20">
        <v>-1198.9116944214716</v>
      </c>
    </row>
    <row r="7826" spans="1:34" ht="14.5" x14ac:dyDescent="0.35">
      <c r="A7826" s="34"/>
      <c r="B7826" s="35"/>
      <c r="C7826" s="36"/>
      <c r="D7826" s="37"/>
      <c r="E7826" s="36"/>
      <c r="F7826" s="42"/>
      <c r="G7826" s="42"/>
      <c r="H7826" s="42"/>
      <c r="AG7826" s="19">
        <v>7825</v>
      </c>
      <c r="AH7826" s="20">
        <v>-771.3537249343874</v>
      </c>
    </row>
    <row r="7827" spans="1:34" ht="14.5" x14ac:dyDescent="0.35">
      <c r="A7827" s="34"/>
      <c r="B7827" s="35"/>
      <c r="C7827" s="36"/>
      <c r="D7827" s="37"/>
      <c r="E7827" s="36"/>
      <c r="F7827" s="42"/>
      <c r="G7827" s="42"/>
      <c r="H7827" s="42"/>
      <c r="AG7827" s="19">
        <v>7826</v>
      </c>
      <c r="AH7827" s="20">
        <v>1430.609872704156</v>
      </c>
    </row>
    <row r="7828" spans="1:34" ht="14.5" x14ac:dyDescent="0.35">
      <c r="A7828" s="34"/>
      <c r="B7828" s="35"/>
      <c r="C7828" s="36"/>
      <c r="D7828" s="37"/>
      <c r="E7828" s="36"/>
      <c r="F7828" s="42"/>
      <c r="G7828" s="42"/>
      <c r="H7828" s="42"/>
      <c r="AG7828" s="19">
        <v>7827</v>
      </c>
      <c r="AH7828" s="20">
        <v>1371.0644428680996</v>
      </c>
    </row>
    <row r="7829" spans="1:34" ht="14.5" x14ac:dyDescent="0.35">
      <c r="A7829" s="34"/>
      <c r="B7829" s="35"/>
      <c r="C7829" s="36"/>
      <c r="D7829" s="37"/>
      <c r="E7829" s="36"/>
      <c r="F7829" s="42"/>
      <c r="G7829" s="42"/>
      <c r="H7829" s="42"/>
      <c r="AG7829" s="19">
        <v>7828</v>
      </c>
      <c r="AH7829" s="20">
        <v>252.27271071674127</v>
      </c>
    </row>
    <row r="7830" spans="1:34" ht="14.5" x14ac:dyDescent="0.35">
      <c r="A7830" s="34"/>
      <c r="B7830" s="35"/>
      <c r="C7830" s="36"/>
      <c r="D7830" s="37"/>
      <c r="E7830" s="36"/>
      <c r="F7830" s="42"/>
      <c r="G7830" s="42"/>
      <c r="H7830" s="42"/>
      <c r="AG7830" s="19">
        <v>7829</v>
      </c>
      <c r="AH7830" s="20">
        <v>415.03355423277867</v>
      </c>
    </row>
    <row r="7831" spans="1:34" ht="14.5" x14ac:dyDescent="0.35">
      <c r="A7831" s="34"/>
      <c r="B7831" s="35"/>
      <c r="C7831" s="36"/>
      <c r="D7831" s="37"/>
      <c r="E7831" s="36"/>
      <c r="F7831" s="42"/>
      <c r="G7831" s="42"/>
      <c r="H7831" s="42"/>
      <c r="AG7831" s="19">
        <v>7830</v>
      </c>
      <c r="AH7831" s="20">
        <v>45.394875141585771</v>
      </c>
    </row>
    <row r="7832" spans="1:34" ht="14.5" x14ac:dyDescent="0.35">
      <c r="A7832" s="34"/>
      <c r="B7832" s="35"/>
      <c r="C7832" s="36"/>
      <c r="D7832" s="37"/>
      <c r="E7832" s="36"/>
      <c r="F7832" s="42"/>
      <c r="G7832" s="42"/>
      <c r="H7832" s="42"/>
      <c r="AG7832" s="19">
        <v>7831</v>
      </c>
      <c r="AH7832" s="20">
        <v>-2146.4774207760106</v>
      </c>
    </row>
    <row r="7833" spans="1:34" ht="14.5" x14ac:dyDescent="0.35">
      <c r="A7833" s="34"/>
      <c r="B7833" s="35"/>
      <c r="C7833" s="36"/>
      <c r="D7833" s="37"/>
      <c r="E7833" s="36"/>
      <c r="F7833" s="42"/>
      <c r="G7833" s="42"/>
      <c r="H7833" s="42"/>
      <c r="AG7833" s="19">
        <v>7832</v>
      </c>
      <c r="AH7833" s="20">
        <v>1713.0343025513323</v>
      </c>
    </row>
    <row r="7834" spans="1:34" ht="14.5" x14ac:dyDescent="0.35">
      <c r="A7834" s="34"/>
      <c r="B7834" s="35"/>
      <c r="C7834" s="36"/>
      <c r="D7834" s="37"/>
      <c r="E7834" s="36"/>
      <c r="F7834" s="42"/>
      <c r="G7834" s="42"/>
      <c r="H7834" s="42"/>
      <c r="AG7834" s="19">
        <v>7833</v>
      </c>
      <c r="AH7834" s="20">
        <v>291.47421617569898</v>
      </c>
    </row>
    <row r="7835" spans="1:34" ht="14.5" x14ac:dyDescent="0.35">
      <c r="A7835" s="34"/>
      <c r="B7835" s="35"/>
      <c r="C7835" s="36"/>
      <c r="D7835" s="37"/>
      <c r="E7835" s="36"/>
      <c r="F7835" s="42"/>
      <c r="G7835" s="42"/>
      <c r="H7835" s="42"/>
      <c r="AG7835" s="19">
        <v>7834</v>
      </c>
      <c r="AH7835" s="20">
        <v>-4096.5610983329352</v>
      </c>
    </row>
    <row r="7836" spans="1:34" ht="14.5" x14ac:dyDescent="0.35">
      <c r="A7836" s="34"/>
      <c r="B7836" s="35"/>
      <c r="C7836" s="36"/>
      <c r="D7836" s="37"/>
      <c r="E7836" s="36"/>
      <c r="F7836" s="42"/>
      <c r="G7836" s="42"/>
      <c r="H7836" s="42"/>
      <c r="AG7836" s="19">
        <v>7835</v>
      </c>
      <c r="AH7836" s="20">
        <v>-1981.6033847369561</v>
      </c>
    </row>
    <row r="7837" spans="1:34" ht="14.5" x14ac:dyDescent="0.35">
      <c r="A7837" s="34"/>
      <c r="B7837" s="35"/>
      <c r="C7837" s="36"/>
      <c r="D7837" s="37"/>
      <c r="E7837" s="36"/>
      <c r="F7837" s="42"/>
      <c r="G7837" s="42"/>
      <c r="H7837" s="42"/>
      <c r="AG7837" s="19">
        <v>7836</v>
      </c>
      <c r="AH7837" s="20">
        <v>5228.7481538696284</v>
      </c>
    </row>
    <row r="7838" spans="1:34" ht="14.5" x14ac:dyDescent="0.35">
      <c r="A7838" s="34"/>
      <c r="B7838" s="35"/>
      <c r="C7838" s="36"/>
      <c r="D7838" s="37"/>
      <c r="E7838" s="36"/>
      <c r="F7838" s="42"/>
      <c r="G7838" s="42"/>
      <c r="H7838" s="42"/>
      <c r="AG7838" s="19">
        <v>7837</v>
      </c>
      <c r="AH7838" s="20">
        <v>3000.2159255739693</v>
      </c>
    </row>
    <row r="7839" spans="1:34" ht="14.5" x14ac:dyDescent="0.35">
      <c r="A7839" s="34"/>
      <c r="B7839" s="35"/>
      <c r="C7839" s="36"/>
      <c r="D7839" s="37"/>
      <c r="E7839" s="36"/>
      <c r="F7839" s="42"/>
      <c r="G7839" s="42"/>
      <c r="H7839" s="42"/>
      <c r="AG7839" s="19">
        <v>7838</v>
      </c>
      <c r="AH7839" s="20">
        <v>-628.46452416247234</v>
      </c>
    </row>
    <row r="7840" spans="1:34" ht="14.5" x14ac:dyDescent="0.35">
      <c r="A7840" s="34"/>
      <c r="B7840" s="35"/>
      <c r="C7840" s="36"/>
      <c r="D7840" s="37"/>
      <c r="E7840" s="36"/>
      <c r="F7840" s="42"/>
      <c r="G7840" s="42"/>
      <c r="H7840" s="42"/>
      <c r="AG7840" s="19">
        <v>7839</v>
      </c>
      <c r="AH7840" s="20">
        <v>-1014.853691239711</v>
      </c>
    </row>
    <row r="7841" spans="1:34" ht="14.5" x14ac:dyDescent="0.35">
      <c r="A7841" s="34"/>
      <c r="B7841" s="35"/>
      <c r="C7841" s="36"/>
      <c r="D7841" s="37"/>
      <c r="E7841" s="36"/>
      <c r="F7841" s="42"/>
      <c r="G7841" s="42"/>
      <c r="H7841" s="42"/>
      <c r="AG7841" s="19">
        <v>7840</v>
      </c>
      <c r="AH7841" s="20">
        <v>-2856.6777063417849</v>
      </c>
    </row>
    <row r="7842" spans="1:34" ht="14.5" x14ac:dyDescent="0.35">
      <c r="A7842" s="34"/>
      <c r="B7842" s="35"/>
      <c r="C7842" s="36"/>
      <c r="D7842" s="37"/>
      <c r="E7842" s="36"/>
      <c r="F7842" s="42"/>
      <c r="G7842" s="42"/>
      <c r="H7842" s="42"/>
      <c r="AG7842" s="19">
        <v>7841</v>
      </c>
      <c r="AH7842" s="20">
        <v>-1483.9314259871471</v>
      </c>
    </row>
    <row r="7843" spans="1:34" ht="14.5" x14ac:dyDescent="0.35">
      <c r="A7843" s="34"/>
      <c r="B7843" s="35"/>
      <c r="C7843" s="36"/>
      <c r="D7843" s="37"/>
      <c r="E7843" s="36"/>
      <c r="F7843" s="42"/>
      <c r="G7843" s="42"/>
      <c r="H7843" s="42"/>
      <c r="AG7843" s="19">
        <v>7842</v>
      </c>
      <c r="AH7843" s="20">
        <v>-1688.5478451589813</v>
      </c>
    </row>
    <row r="7844" spans="1:34" ht="14.5" x14ac:dyDescent="0.35">
      <c r="A7844" s="34"/>
      <c r="B7844" s="35"/>
      <c r="C7844" s="36"/>
      <c r="D7844" s="37"/>
      <c r="E7844" s="36"/>
      <c r="F7844" s="42"/>
      <c r="G7844" s="42"/>
      <c r="H7844" s="42"/>
      <c r="AG7844" s="19">
        <v>7843</v>
      </c>
      <c r="AH7844" s="20">
        <v>3395.7883640090895</v>
      </c>
    </row>
    <row r="7845" spans="1:34" ht="14.5" x14ac:dyDescent="0.35">
      <c r="A7845" s="34"/>
      <c r="B7845" s="35"/>
      <c r="C7845" s="36"/>
      <c r="D7845" s="37"/>
      <c r="E7845" s="36"/>
      <c r="F7845" s="42"/>
      <c r="G7845" s="42"/>
      <c r="H7845" s="42"/>
      <c r="AG7845" s="19">
        <v>7844</v>
      </c>
      <c r="AH7845" s="20">
        <v>1534.5130324863549</v>
      </c>
    </row>
    <row r="7846" spans="1:34" ht="14.5" x14ac:dyDescent="0.35">
      <c r="A7846" s="34"/>
      <c r="B7846" s="35"/>
      <c r="C7846" s="36"/>
      <c r="D7846" s="37"/>
      <c r="E7846" s="36"/>
      <c r="F7846" s="42"/>
      <c r="G7846" s="42"/>
      <c r="H7846" s="42"/>
      <c r="AG7846" s="19">
        <v>7845</v>
      </c>
      <c r="AH7846" s="20">
        <v>-1191.1052502961422</v>
      </c>
    </row>
    <row r="7847" spans="1:34" ht="14.5" x14ac:dyDescent="0.35">
      <c r="A7847" s="34"/>
      <c r="B7847" s="35"/>
      <c r="C7847" s="36"/>
      <c r="D7847" s="37"/>
      <c r="E7847" s="36"/>
      <c r="F7847" s="42"/>
      <c r="G7847" s="42"/>
      <c r="H7847" s="42"/>
      <c r="AG7847" s="19">
        <v>7846</v>
      </c>
      <c r="AH7847" s="20">
        <v>1850.0843515781901</v>
      </c>
    </row>
    <row r="7848" spans="1:34" ht="14.5" x14ac:dyDescent="0.35">
      <c r="A7848" s="34"/>
      <c r="B7848" s="35"/>
      <c r="C7848" s="36"/>
      <c r="D7848" s="37"/>
      <c r="E7848" s="36"/>
      <c r="F7848" s="42"/>
      <c r="G7848" s="42"/>
      <c r="H7848" s="42"/>
      <c r="AG7848" s="19">
        <v>7847</v>
      </c>
      <c r="AH7848" s="20">
        <v>647.62935708617658</v>
      </c>
    </row>
    <row r="7849" spans="1:34" ht="14.5" x14ac:dyDescent="0.35">
      <c r="A7849" s="34"/>
      <c r="B7849" s="35"/>
      <c r="C7849" s="36"/>
      <c r="D7849" s="37"/>
      <c r="E7849" s="36"/>
      <c r="F7849" s="42"/>
      <c r="G7849" s="42"/>
      <c r="H7849" s="42"/>
      <c r="AG7849" s="19">
        <v>7848</v>
      </c>
      <c r="AH7849" s="20">
        <v>2133.893948188997</v>
      </c>
    </row>
    <row r="7850" spans="1:34" ht="14.5" x14ac:dyDescent="0.35">
      <c r="A7850" s="34"/>
      <c r="B7850" s="35"/>
      <c r="C7850" s="36"/>
      <c r="D7850" s="37"/>
      <c r="E7850" s="36"/>
      <c r="F7850" s="42"/>
      <c r="G7850" s="42"/>
      <c r="H7850" s="42"/>
      <c r="AG7850" s="19">
        <v>7849</v>
      </c>
      <c r="AH7850" s="20">
        <v>4109.1353583457521</v>
      </c>
    </row>
    <row r="7851" spans="1:34" ht="14.5" x14ac:dyDescent="0.35">
      <c r="A7851" s="34"/>
      <c r="B7851" s="35"/>
      <c r="C7851" s="36"/>
      <c r="D7851" s="37"/>
      <c r="E7851" s="36"/>
      <c r="F7851" s="42"/>
      <c r="G7851" s="42"/>
      <c r="H7851" s="42"/>
      <c r="AG7851" s="19">
        <v>7850</v>
      </c>
      <c r="AH7851" s="20">
        <v>672.40392770083145</v>
      </c>
    </row>
    <row r="7852" spans="1:34" ht="14.5" x14ac:dyDescent="0.35">
      <c r="A7852" s="34"/>
      <c r="B7852" s="35"/>
      <c r="C7852" s="36"/>
      <c r="D7852" s="37"/>
      <c r="E7852" s="36"/>
      <c r="F7852" s="42"/>
      <c r="G7852" s="42"/>
      <c r="H7852" s="42"/>
      <c r="AG7852" s="19">
        <v>7851</v>
      </c>
      <c r="AH7852" s="20">
        <v>4094.5729289074693</v>
      </c>
    </row>
    <row r="7853" spans="1:34" ht="14.5" x14ac:dyDescent="0.35">
      <c r="A7853" s="34"/>
      <c r="B7853" s="35"/>
      <c r="C7853" s="36"/>
      <c r="D7853" s="37"/>
      <c r="E7853" s="36"/>
      <c r="F7853" s="42"/>
      <c r="G7853" s="42"/>
      <c r="H7853" s="42"/>
      <c r="AG7853" s="19">
        <v>7852</v>
      </c>
      <c r="AH7853" s="20">
        <v>570.17482283700781</v>
      </c>
    </row>
    <row r="7854" spans="1:34" ht="14.5" x14ac:dyDescent="0.35">
      <c r="A7854" s="34"/>
      <c r="B7854" s="35"/>
      <c r="C7854" s="36"/>
      <c r="D7854" s="37"/>
      <c r="E7854" s="36"/>
      <c r="F7854" s="42"/>
      <c r="G7854" s="42"/>
      <c r="H7854" s="42"/>
      <c r="AG7854" s="19">
        <v>7853</v>
      </c>
      <c r="AH7854" s="20">
        <v>2155.4026255227923</v>
      </c>
    </row>
    <row r="7855" spans="1:34" ht="14.5" x14ac:dyDescent="0.35">
      <c r="A7855" s="34"/>
      <c r="B7855" s="35"/>
      <c r="C7855" s="36"/>
      <c r="D7855" s="37"/>
      <c r="E7855" s="36"/>
      <c r="F7855" s="42"/>
      <c r="G7855" s="42"/>
      <c r="H7855" s="42"/>
      <c r="AG7855" s="19">
        <v>7854</v>
      </c>
      <c r="AH7855" s="20">
        <v>343.67762709687435</v>
      </c>
    </row>
    <row r="7856" spans="1:34" ht="14.5" x14ac:dyDescent="0.35">
      <c r="A7856" s="34"/>
      <c r="B7856" s="35"/>
      <c r="C7856" s="36"/>
      <c r="D7856" s="37"/>
      <c r="E7856" s="36"/>
      <c r="F7856" s="42"/>
      <c r="G7856" s="42"/>
      <c r="H7856" s="42"/>
      <c r="AG7856" s="19">
        <v>7855</v>
      </c>
      <c r="AH7856" s="20">
        <v>-5070.8764129710207</v>
      </c>
    </row>
    <row r="7857" spans="1:34" ht="14.5" x14ac:dyDescent="0.35">
      <c r="A7857" s="34"/>
      <c r="B7857" s="35"/>
      <c r="C7857" s="36"/>
      <c r="D7857" s="37"/>
      <c r="E7857" s="36"/>
      <c r="F7857" s="42"/>
      <c r="G7857" s="42"/>
      <c r="H7857" s="42"/>
      <c r="AG7857" s="19">
        <v>7856</v>
      </c>
      <c r="AH7857" s="20">
        <v>1899.0267649256532</v>
      </c>
    </row>
    <row r="7858" spans="1:34" ht="14.5" x14ac:dyDescent="0.35">
      <c r="A7858" s="34"/>
      <c r="B7858" s="35"/>
      <c r="C7858" s="36"/>
      <c r="D7858" s="37"/>
      <c r="E7858" s="36"/>
      <c r="F7858" s="42"/>
      <c r="G7858" s="42"/>
      <c r="H7858" s="42"/>
      <c r="AG7858" s="19">
        <v>7857</v>
      </c>
      <c r="AH7858" s="20">
        <v>2524.4478268560274</v>
      </c>
    </row>
    <row r="7859" spans="1:34" ht="14.5" x14ac:dyDescent="0.35">
      <c r="A7859" s="34"/>
      <c r="B7859" s="35"/>
      <c r="C7859" s="36"/>
      <c r="D7859" s="37"/>
      <c r="E7859" s="36"/>
      <c r="F7859" s="42"/>
      <c r="G7859" s="42"/>
      <c r="H7859" s="42"/>
      <c r="AG7859" s="19">
        <v>7858</v>
      </c>
      <c r="AH7859" s="20">
        <v>-672.4970706157269</v>
      </c>
    </row>
    <row r="7860" spans="1:34" ht="14.5" x14ac:dyDescent="0.35">
      <c r="A7860" s="34"/>
      <c r="B7860" s="35"/>
      <c r="C7860" s="36"/>
      <c r="D7860" s="37"/>
      <c r="E7860" s="36"/>
      <c r="F7860" s="42"/>
      <c r="G7860" s="42"/>
      <c r="H7860" s="42"/>
      <c r="AG7860" s="19">
        <v>7859</v>
      </c>
      <c r="AH7860" s="20">
        <v>-964.14511758961521</v>
      </c>
    </row>
    <row r="7861" spans="1:34" ht="14.5" x14ac:dyDescent="0.35">
      <c r="A7861" s="34"/>
      <c r="B7861" s="35"/>
      <c r="C7861" s="36"/>
      <c r="D7861" s="37"/>
      <c r="E7861" s="36"/>
      <c r="F7861" s="42"/>
      <c r="G7861" s="42"/>
      <c r="H7861" s="42"/>
      <c r="AG7861" s="19">
        <v>7860</v>
      </c>
      <c r="AH7861" s="20">
        <v>1611.8093798938687</v>
      </c>
    </row>
    <row r="7862" spans="1:34" ht="14.5" x14ac:dyDescent="0.35">
      <c r="A7862" s="34"/>
      <c r="B7862" s="35"/>
      <c r="C7862" s="36"/>
      <c r="D7862" s="37"/>
      <c r="E7862" s="36"/>
      <c r="F7862" s="42"/>
      <c r="G7862" s="42"/>
      <c r="H7862" s="42"/>
      <c r="AG7862" s="19">
        <v>7861</v>
      </c>
      <c r="AH7862" s="20">
        <v>929.17423683312791</v>
      </c>
    </row>
    <row r="7863" spans="1:34" ht="14.5" x14ac:dyDescent="0.35">
      <c r="A7863" s="34"/>
      <c r="B7863" s="35"/>
      <c r="C7863" s="36"/>
      <c r="D7863" s="37"/>
      <c r="E7863" s="36"/>
      <c r="F7863" s="42"/>
      <c r="G7863" s="42"/>
      <c r="H7863" s="42"/>
      <c r="AG7863" s="19">
        <v>7862</v>
      </c>
      <c r="AH7863" s="20">
        <v>3628.7002128020736</v>
      </c>
    </row>
    <row r="7864" spans="1:34" ht="14.5" x14ac:dyDescent="0.35">
      <c r="A7864" s="34"/>
      <c r="B7864" s="35"/>
      <c r="C7864" s="36"/>
      <c r="D7864" s="37"/>
      <c r="E7864" s="36"/>
      <c r="F7864" s="42"/>
      <c r="G7864" s="42"/>
      <c r="H7864" s="42"/>
      <c r="AG7864" s="19">
        <v>7863</v>
      </c>
      <c r="AH7864" s="20">
        <v>1473.0459987294103</v>
      </c>
    </row>
    <row r="7865" spans="1:34" ht="14.5" x14ac:dyDescent="0.35">
      <c r="A7865" s="34"/>
      <c r="B7865" s="35"/>
      <c r="C7865" s="36"/>
      <c r="D7865" s="37"/>
      <c r="E7865" s="36"/>
      <c r="F7865" s="42"/>
      <c r="G7865" s="42"/>
      <c r="H7865" s="42"/>
      <c r="AG7865" s="19">
        <v>7864</v>
      </c>
      <c r="AH7865" s="20">
        <v>2337.0278259386487</v>
      </c>
    </row>
    <row r="7866" spans="1:34" ht="14.5" x14ac:dyDescent="0.35">
      <c r="A7866" s="34"/>
      <c r="B7866" s="35"/>
      <c r="C7866" s="36"/>
      <c r="D7866" s="37"/>
      <c r="E7866" s="36"/>
      <c r="F7866" s="42"/>
      <c r="G7866" s="42"/>
      <c r="H7866" s="42"/>
      <c r="AG7866" s="19">
        <v>7865</v>
      </c>
      <c r="AH7866" s="20">
        <v>2074.7103664729934</v>
      </c>
    </row>
    <row r="7867" spans="1:34" ht="14.5" x14ac:dyDescent="0.35">
      <c r="A7867" s="34"/>
      <c r="B7867" s="35"/>
      <c r="C7867" s="36"/>
      <c r="D7867" s="37"/>
      <c r="E7867" s="36"/>
      <c r="F7867" s="42"/>
      <c r="G7867" s="42"/>
      <c r="H7867" s="42"/>
      <c r="AG7867" s="19">
        <v>7866</v>
      </c>
      <c r="AH7867" s="20">
        <v>498.26162370452209</v>
      </c>
    </row>
    <row r="7868" spans="1:34" ht="14.5" x14ac:dyDescent="0.35">
      <c r="A7868" s="34"/>
      <c r="B7868" s="35"/>
      <c r="C7868" s="36"/>
      <c r="D7868" s="37"/>
      <c r="E7868" s="36"/>
      <c r="F7868" s="42"/>
      <c r="G7868" s="42"/>
      <c r="H7868" s="42"/>
      <c r="AG7868" s="19">
        <v>7867</v>
      </c>
      <c r="AH7868" s="20">
        <v>1455.4310797090784</v>
      </c>
    </row>
    <row r="7869" spans="1:34" ht="14.5" x14ac:dyDescent="0.35">
      <c r="A7869" s="34"/>
      <c r="B7869" s="35"/>
      <c r="C7869" s="36"/>
      <c r="D7869" s="37"/>
      <c r="E7869" s="36"/>
      <c r="F7869" s="42"/>
      <c r="G7869" s="42"/>
      <c r="H7869" s="42"/>
      <c r="AG7869" s="19">
        <v>7868</v>
      </c>
      <c r="AH7869" s="20">
        <v>200.03413887513526</v>
      </c>
    </row>
    <row r="7870" spans="1:34" ht="14.5" x14ac:dyDescent="0.35">
      <c r="A7870" s="34"/>
      <c r="B7870" s="35"/>
      <c r="C7870" s="36"/>
      <c r="D7870" s="37"/>
      <c r="E7870" s="36"/>
      <c r="F7870" s="42"/>
      <c r="G7870" s="42"/>
      <c r="H7870" s="42"/>
      <c r="AG7870" s="19">
        <v>7869</v>
      </c>
      <c r="AH7870" s="20">
        <v>205.59851263935374</v>
      </c>
    </row>
    <row r="7871" spans="1:34" ht="14.5" x14ac:dyDescent="0.35">
      <c r="A7871" s="34"/>
      <c r="B7871" s="35"/>
      <c r="C7871" s="36"/>
      <c r="D7871" s="37"/>
      <c r="E7871" s="36"/>
      <c r="F7871" s="42"/>
      <c r="G7871" s="42"/>
      <c r="H7871" s="42"/>
      <c r="AG7871" s="19">
        <v>7870</v>
      </c>
      <c r="AH7871" s="20">
        <v>-2977.3725981867401</v>
      </c>
    </row>
    <row r="7872" spans="1:34" ht="14.5" x14ac:dyDescent="0.35">
      <c r="A7872" s="34"/>
      <c r="B7872" s="35"/>
      <c r="C7872" s="36"/>
      <c r="D7872" s="37"/>
      <c r="E7872" s="36"/>
      <c r="F7872" s="42"/>
      <c r="G7872" s="42"/>
      <c r="H7872" s="42"/>
      <c r="AG7872" s="19">
        <v>7871</v>
      </c>
      <c r="AH7872" s="20">
        <v>-1512.1051334160179</v>
      </c>
    </row>
    <row r="7873" spans="1:34" ht="14.5" x14ac:dyDescent="0.35">
      <c r="A7873" s="34"/>
      <c r="B7873" s="35"/>
      <c r="C7873" s="36"/>
      <c r="D7873" s="37"/>
      <c r="E7873" s="36"/>
      <c r="F7873" s="42"/>
      <c r="G7873" s="42"/>
      <c r="H7873" s="42"/>
      <c r="AG7873" s="19">
        <v>7872</v>
      </c>
      <c r="AH7873" s="20">
        <v>3.9332833838737429</v>
      </c>
    </row>
    <row r="7874" spans="1:34" ht="14.5" x14ac:dyDescent="0.35">
      <c r="A7874" s="34"/>
      <c r="B7874" s="35"/>
      <c r="C7874" s="36"/>
      <c r="D7874" s="37"/>
      <c r="E7874" s="36"/>
      <c r="F7874" s="42"/>
      <c r="G7874" s="42"/>
      <c r="H7874" s="42"/>
      <c r="AG7874" s="19">
        <v>7873</v>
      </c>
      <c r="AH7874" s="20">
        <v>3952.5255818055762</v>
      </c>
    </row>
    <row r="7875" spans="1:34" ht="14.5" x14ac:dyDescent="0.35">
      <c r="A7875" s="34"/>
      <c r="B7875" s="35"/>
      <c r="C7875" s="36"/>
      <c r="D7875" s="37"/>
      <c r="E7875" s="36"/>
      <c r="F7875" s="42"/>
      <c r="G7875" s="42"/>
      <c r="H7875" s="42"/>
      <c r="AG7875" s="19">
        <v>7874</v>
      </c>
      <c r="AH7875" s="20">
        <v>97.738428056739792</v>
      </c>
    </row>
    <row r="7876" spans="1:34" ht="14.5" x14ac:dyDescent="0.35">
      <c r="A7876" s="34"/>
      <c r="B7876" s="35"/>
      <c r="C7876" s="36"/>
      <c r="D7876" s="37"/>
      <c r="E7876" s="36"/>
      <c r="F7876" s="42"/>
      <c r="G7876" s="42"/>
      <c r="H7876" s="42"/>
      <c r="AG7876" s="19">
        <v>7875</v>
      </c>
      <c r="AH7876" s="20">
        <v>121.26227442340121</v>
      </c>
    </row>
    <row r="7877" spans="1:34" ht="14.5" x14ac:dyDescent="0.35">
      <c r="A7877" s="34"/>
      <c r="B7877" s="35"/>
      <c r="C7877" s="36"/>
      <c r="D7877" s="37"/>
      <c r="E7877" s="36"/>
      <c r="F7877" s="42"/>
      <c r="G7877" s="42"/>
      <c r="H7877" s="42"/>
      <c r="AG7877" s="19">
        <v>7876</v>
      </c>
      <c r="AH7877" s="20">
        <v>1929.8409231958308</v>
      </c>
    </row>
    <row r="7878" spans="1:34" ht="14.5" x14ac:dyDescent="0.35">
      <c r="A7878" s="34"/>
      <c r="B7878" s="35"/>
      <c r="C7878" s="36"/>
      <c r="D7878" s="37"/>
      <c r="E7878" s="36"/>
      <c r="F7878" s="42"/>
      <c r="G7878" s="42"/>
      <c r="H7878" s="42"/>
      <c r="AG7878" s="19">
        <v>7877</v>
      </c>
      <c r="AH7878" s="20">
        <v>-909.31729454755123</v>
      </c>
    </row>
    <row r="7879" spans="1:34" ht="14.5" x14ac:dyDescent="0.35">
      <c r="A7879" s="34"/>
      <c r="B7879" s="35"/>
      <c r="C7879" s="36"/>
      <c r="D7879" s="37"/>
      <c r="E7879" s="36"/>
      <c r="F7879" s="42"/>
      <c r="G7879" s="42"/>
      <c r="H7879" s="42"/>
      <c r="AG7879" s="19">
        <v>7878</v>
      </c>
      <c r="AH7879" s="20">
        <v>1757.6872517315735</v>
      </c>
    </row>
    <row r="7880" spans="1:34" ht="14.5" x14ac:dyDescent="0.35">
      <c r="A7880" s="34"/>
      <c r="B7880" s="35"/>
      <c r="C7880" s="36"/>
      <c r="D7880" s="37"/>
      <c r="E7880" s="36"/>
      <c r="F7880" s="42"/>
      <c r="G7880" s="42"/>
      <c r="H7880" s="42"/>
      <c r="AG7880" s="19">
        <v>7879</v>
      </c>
      <c r="AH7880" s="20">
        <v>1866.8938702239075</v>
      </c>
    </row>
    <row r="7881" spans="1:34" ht="14.5" x14ac:dyDescent="0.35">
      <c r="A7881" s="34"/>
      <c r="B7881" s="35"/>
      <c r="C7881" s="36"/>
      <c r="D7881" s="37"/>
      <c r="E7881" s="36"/>
      <c r="F7881" s="42"/>
      <c r="G7881" s="42"/>
      <c r="H7881" s="42"/>
      <c r="AG7881" s="19">
        <v>7880</v>
      </c>
      <c r="AH7881" s="20">
        <v>2415.1084024392685</v>
      </c>
    </row>
    <row r="7882" spans="1:34" ht="14.5" x14ac:dyDescent="0.35">
      <c r="A7882" s="34"/>
      <c r="B7882" s="35"/>
      <c r="C7882" s="36"/>
      <c r="D7882" s="37"/>
      <c r="E7882" s="36"/>
      <c r="F7882" s="42"/>
      <c r="G7882" s="42"/>
      <c r="H7882" s="42"/>
      <c r="AG7882" s="19">
        <v>7881</v>
      </c>
      <c r="AH7882" s="20">
        <v>-2699.7174069521338</v>
      </c>
    </row>
    <row r="7883" spans="1:34" ht="14.5" x14ac:dyDescent="0.35">
      <c r="A7883" s="34"/>
      <c r="B7883" s="35"/>
      <c r="C7883" s="36"/>
      <c r="D7883" s="37"/>
      <c r="E7883" s="36"/>
      <c r="F7883" s="42"/>
      <c r="G7883" s="42"/>
      <c r="H7883" s="42"/>
      <c r="AG7883" s="19">
        <v>7882</v>
      </c>
      <c r="AH7883" s="20">
        <v>-1068.6518788430901</v>
      </c>
    </row>
    <row r="7884" spans="1:34" ht="14.5" x14ac:dyDescent="0.35">
      <c r="A7884" s="34"/>
      <c r="B7884" s="35"/>
      <c r="C7884" s="36"/>
      <c r="D7884" s="37"/>
      <c r="E7884" s="36"/>
      <c r="F7884" s="42"/>
      <c r="G7884" s="42"/>
      <c r="H7884" s="42"/>
      <c r="AG7884" s="19">
        <v>7883</v>
      </c>
      <c r="AH7884" s="20">
        <v>3103.6491230531301</v>
      </c>
    </row>
    <row r="7885" spans="1:34" ht="14.5" x14ac:dyDescent="0.35">
      <c r="A7885" s="34"/>
      <c r="B7885" s="35"/>
      <c r="C7885" s="36"/>
      <c r="D7885" s="37"/>
      <c r="E7885" s="36"/>
      <c r="F7885" s="42"/>
      <c r="G7885" s="42"/>
      <c r="H7885" s="42"/>
      <c r="AG7885" s="19">
        <v>7884</v>
      </c>
      <c r="AH7885" s="20">
        <v>484.1293166350448</v>
      </c>
    </row>
    <row r="7886" spans="1:34" ht="14.5" x14ac:dyDescent="0.35">
      <c r="A7886" s="34"/>
      <c r="B7886" s="35"/>
      <c r="C7886" s="36"/>
      <c r="D7886" s="37"/>
      <c r="E7886" s="36"/>
      <c r="F7886" s="42"/>
      <c r="G7886" s="42"/>
      <c r="H7886" s="42"/>
      <c r="AG7886" s="19">
        <v>7885</v>
      </c>
      <c r="AH7886" s="20">
        <v>-1864.8767624072132</v>
      </c>
    </row>
    <row r="7887" spans="1:34" ht="14.5" x14ac:dyDescent="0.35">
      <c r="A7887" s="34"/>
      <c r="B7887" s="35"/>
      <c r="C7887" s="36"/>
      <c r="D7887" s="37"/>
      <c r="E7887" s="36"/>
      <c r="F7887" s="42"/>
      <c r="G7887" s="42"/>
      <c r="H7887" s="42"/>
      <c r="AG7887" s="19">
        <v>7886</v>
      </c>
      <c r="AH7887" s="20">
        <v>-2079.8815105250001</v>
      </c>
    </row>
    <row r="7888" spans="1:34" ht="14.5" x14ac:dyDescent="0.35">
      <c r="A7888" s="34"/>
      <c r="B7888" s="35"/>
      <c r="C7888" s="36"/>
      <c r="D7888" s="37"/>
      <c r="E7888" s="36"/>
      <c r="F7888" s="42"/>
      <c r="G7888" s="42"/>
      <c r="H7888" s="42"/>
      <c r="AG7888" s="19">
        <v>7887</v>
      </c>
      <c r="AH7888" s="20">
        <v>595.92284227995071</v>
      </c>
    </row>
    <row r="7889" spans="1:34" ht="14.5" x14ac:dyDescent="0.35">
      <c r="A7889" s="34"/>
      <c r="B7889" s="35"/>
      <c r="C7889" s="36"/>
      <c r="D7889" s="37"/>
      <c r="E7889" s="36"/>
      <c r="F7889" s="42"/>
      <c r="G7889" s="42"/>
      <c r="H7889" s="42"/>
      <c r="AG7889" s="19">
        <v>7888</v>
      </c>
      <c r="AH7889" s="20">
        <v>-2403.3443276420576</v>
      </c>
    </row>
    <row r="7890" spans="1:34" ht="14.5" x14ac:dyDescent="0.35">
      <c r="A7890" s="34"/>
      <c r="B7890" s="35"/>
      <c r="C7890" s="36"/>
      <c r="D7890" s="37"/>
      <c r="E7890" s="36"/>
      <c r="F7890" s="42"/>
      <c r="G7890" s="42"/>
      <c r="H7890" s="42"/>
      <c r="AG7890" s="19">
        <v>7889</v>
      </c>
      <c r="AH7890" s="20">
        <v>-505.15432371340847</v>
      </c>
    </row>
    <row r="7891" spans="1:34" ht="14.5" x14ac:dyDescent="0.35">
      <c r="A7891" s="34"/>
      <c r="B7891" s="35"/>
      <c r="C7891" s="36"/>
      <c r="D7891" s="37"/>
      <c r="E7891" s="36"/>
      <c r="F7891" s="42"/>
      <c r="G7891" s="42"/>
      <c r="H7891" s="42"/>
      <c r="AG7891" s="19">
        <v>7890</v>
      </c>
      <c r="AH7891" s="20">
        <v>-1927.7637139645287</v>
      </c>
    </row>
    <row r="7892" spans="1:34" ht="14.5" x14ac:dyDescent="0.35">
      <c r="A7892" s="34"/>
      <c r="B7892" s="35"/>
      <c r="C7892" s="36"/>
      <c r="D7892" s="37"/>
      <c r="E7892" s="36"/>
      <c r="F7892" s="42"/>
      <c r="G7892" s="42"/>
      <c r="H7892" s="42"/>
      <c r="AG7892" s="19">
        <v>7891</v>
      </c>
      <c r="AH7892" s="20">
        <v>-2169.9982134929182</v>
      </c>
    </row>
    <row r="7893" spans="1:34" ht="14.5" x14ac:dyDescent="0.35">
      <c r="A7893" s="34"/>
      <c r="B7893" s="35"/>
      <c r="C7893" s="36"/>
      <c r="D7893" s="37"/>
      <c r="E7893" s="36"/>
      <c r="F7893" s="42"/>
      <c r="G7893" s="42"/>
      <c r="H7893" s="42"/>
      <c r="AG7893" s="19">
        <v>7892</v>
      </c>
      <c r="AH7893" s="20">
        <v>2820.3017328739238</v>
      </c>
    </row>
    <row r="7894" spans="1:34" ht="14.5" x14ac:dyDescent="0.35">
      <c r="A7894" s="34"/>
      <c r="B7894" s="35"/>
      <c r="C7894" s="36"/>
      <c r="D7894" s="37"/>
      <c r="E7894" s="36"/>
      <c r="F7894" s="42"/>
      <c r="G7894" s="42"/>
      <c r="H7894" s="42"/>
      <c r="AG7894" s="19">
        <v>7893</v>
      </c>
      <c r="AH7894" s="20">
        <v>-76.318509378427052</v>
      </c>
    </row>
    <row r="7895" spans="1:34" ht="14.5" x14ac:dyDescent="0.35">
      <c r="A7895" s="34"/>
      <c r="B7895" s="35"/>
      <c r="C7895" s="36"/>
      <c r="D7895" s="37"/>
      <c r="E7895" s="36"/>
      <c r="F7895" s="42"/>
      <c r="G7895" s="42"/>
      <c r="H7895" s="42"/>
      <c r="AG7895" s="19">
        <v>7894</v>
      </c>
      <c r="AH7895" s="20">
        <v>-2306.5325967978688</v>
      </c>
    </row>
    <row r="7896" spans="1:34" ht="14.5" x14ac:dyDescent="0.35">
      <c r="A7896" s="34"/>
      <c r="B7896" s="35"/>
      <c r="C7896" s="36"/>
      <c r="D7896" s="37"/>
      <c r="E7896" s="36"/>
      <c r="F7896" s="42"/>
      <c r="G7896" s="42"/>
      <c r="H7896" s="42"/>
      <c r="AG7896" s="19">
        <v>7895</v>
      </c>
      <c r="AH7896" s="20">
        <v>-1101.9654149467945</v>
      </c>
    </row>
    <row r="7897" spans="1:34" ht="14.5" x14ac:dyDescent="0.35">
      <c r="A7897" s="34"/>
      <c r="B7897" s="35"/>
      <c r="C7897" s="36"/>
      <c r="D7897" s="37"/>
      <c r="E7897" s="36"/>
      <c r="F7897" s="42"/>
      <c r="G7897" s="42"/>
      <c r="H7897" s="42"/>
      <c r="AG7897" s="19">
        <v>7896</v>
      </c>
      <c r="AH7897" s="20">
        <v>-5486.3129415784124</v>
      </c>
    </row>
    <row r="7898" spans="1:34" ht="14.5" x14ac:dyDescent="0.35">
      <c r="A7898" s="34"/>
      <c r="B7898" s="35"/>
      <c r="C7898" s="36"/>
      <c r="D7898" s="37"/>
      <c r="E7898" s="36"/>
      <c r="F7898" s="42"/>
      <c r="G7898" s="42"/>
      <c r="H7898" s="42"/>
      <c r="AG7898" s="19">
        <v>7897</v>
      </c>
      <c r="AH7898" s="20">
        <v>2020.5861562417699</v>
      </c>
    </row>
    <row r="7899" spans="1:34" ht="14.5" x14ac:dyDescent="0.35">
      <c r="A7899" s="34"/>
      <c r="B7899" s="35"/>
      <c r="C7899" s="36"/>
      <c r="D7899" s="37"/>
      <c r="E7899" s="36"/>
      <c r="F7899" s="42"/>
      <c r="G7899" s="42"/>
      <c r="H7899" s="42"/>
      <c r="AG7899" s="19">
        <v>7898</v>
      </c>
      <c r="AH7899" s="20">
        <v>-4526.1620840189798</v>
      </c>
    </row>
    <row r="7900" spans="1:34" ht="14.5" x14ac:dyDescent="0.35">
      <c r="A7900" s="34"/>
      <c r="B7900" s="35"/>
      <c r="C7900" s="36"/>
      <c r="D7900" s="37"/>
      <c r="E7900" s="36"/>
      <c r="F7900" s="42"/>
      <c r="G7900" s="42"/>
      <c r="H7900" s="42"/>
      <c r="AG7900" s="19">
        <v>7899</v>
      </c>
      <c r="AH7900" s="20">
        <v>-169.96742848025684</v>
      </c>
    </row>
    <row r="7901" spans="1:34" ht="14.5" x14ac:dyDescent="0.35">
      <c r="A7901" s="34"/>
      <c r="B7901" s="35"/>
      <c r="C7901" s="36"/>
      <c r="D7901" s="37"/>
      <c r="E7901" s="36"/>
      <c r="F7901" s="42"/>
      <c r="G7901" s="42"/>
      <c r="H7901" s="42"/>
      <c r="AG7901" s="19">
        <v>7900</v>
      </c>
      <c r="AH7901" s="20">
        <v>-449.75420401255718</v>
      </c>
    </row>
    <row r="7902" spans="1:34" ht="14.5" x14ac:dyDescent="0.35">
      <c r="A7902" s="34"/>
      <c r="B7902" s="35"/>
      <c r="C7902" s="36"/>
      <c r="D7902" s="37"/>
      <c r="E7902" s="36"/>
      <c r="F7902" s="42"/>
      <c r="G7902" s="42"/>
      <c r="H7902" s="42"/>
      <c r="AG7902" s="19">
        <v>7901</v>
      </c>
      <c r="AH7902" s="20">
        <v>556.24703596060681</v>
      </c>
    </row>
    <row r="7903" spans="1:34" ht="14.5" x14ac:dyDescent="0.35">
      <c r="A7903" s="34"/>
      <c r="B7903" s="35"/>
      <c r="C7903" s="36"/>
      <c r="D7903" s="37"/>
      <c r="E7903" s="36"/>
      <c r="F7903" s="42"/>
      <c r="G7903" s="42"/>
      <c r="H7903" s="42"/>
      <c r="AG7903" s="19">
        <v>7902</v>
      </c>
      <c r="AH7903" s="20">
        <v>-912.5548993232178</v>
      </c>
    </row>
    <row r="7904" spans="1:34" ht="14.5" x14ac:dyDescent="0.35">
      <c r="A7904" s="34"/>
      <c r="B7904" s="35"/>
      <c r="C7904" s="36"/>
      <c r="D7904" s="37"/>
      <c r="E7904" s="36"/>
      <c r="F7904" s="42"/>
      <c r="G7904" s="42"/>
      <c r="H7904" s="42"/>
      <c r="AG7904" s="19">
        <v>7903</v>
      </c>
      <c r="AH7904" s="20">
        <v>-317.5695013265759</v>
      </c>
    </row>
    <row r="7905" spans="1:34" ht="14.5" x14ac:dyDescent="0.35">
      <c r="A7905" s="34"/>
      <c r="B7905" s="35"/>
      <c r="C7905" s="36"/>
      <c r="D7905" s="37"/>
      <c r="E7905" s="36"/>
      <c r="F7905" s="42"/>
      <c r="G7905" s="42"/>
      <c r="H7905" s="42"/>
      <c r="AG7905" s="19">
        <v>7904</v>
      </c>
      <c r="AH7905" s="20">
        <v>2084.2720593342347</v>
      </c>
    </row>
    <row r="7906" spans="1:34" ht="14.5" x14ac:dyDescent="0.35">
      <c r="A7906" s="34"/>
      <c r="B7906" s="35"/>
      <c r="C7906" s="36"/>
      <c r="D7906" s="37"/>
      <c r="E7906" s="36"/>
      <c r="F7906" s="42"/>
      <c r="G7906" s="42"/>
      <c r="H7906" s="42"/>
      <c r="AG7906" s="19">
        <v>7905</v>
      </c>
      <c r="AH7906" s="20">
        <v>1987.5360606320423</v>
      </c>
    </row>
    <row r="7907" spans="1:34" ht="14.5" x14ac:dyDescent="0.35">
      <c r="A7907" s="34"/>
      <c r="B7907" s="35"/>
      <c r="C7907" s="36"/>
      <c r="D7907" s="37"/>
      <c r="E7907" s="36"/>
      <c r="F7907" s="42"/>
      <c r="G7907" s="42"/>
      <c r="H7907" s="42"/>
      <c r="AG7907" s="19">
        <v>7906</v>
      </c>
      <c r="AH7907" s="20">
        <v>2884.5823848794957</v>
      </c>
    </row>
    <row r="7908" spans="1:34" ht="14.5" x14ac:dyDescent="0.35">
      <c r="A7908" s="34"/>
      <c r="B7908" s="35"/>
      <c r="C7908" s="36"/>
      <c r="D7908" s="37"/>
      <c r="E7908" s="36"/>
      <c r="F7908" s="42"/>
      <c r="G7908" s="42"/>
      <c r="H7908" s="42"/>
      <c r="AG7908" s="19">
        <v>7907</v>
      </c>
      <c r="AH7908" s="20">
        <v>207.79415710747111</v>
      </c>
    </row>
    <row r="7909" spans="1:34" ht="14.5" x14ac:dyDescent="0.35">
      <c r="A7909" s="34"/>
      <c r="B7909" s="35"/>
      <c r="C7909" s="36"/>
      <c r="D7909" s="37"/>
      <c r="E7909" s="36"/>
      <c r="F7909" s="42"/>
      <c r="G7909" s="42"/>
      <c r="H7909" s="42"/>
      <c r="AG7909" s="19">
        <v>7908</v>
      </c>
      <c r="AH7909" s="20">
        <v>1127.7961476621424</v>
      </c>
    </row>
    <row r="7910" spans="1:34" ht="14.5" x14ac:dyDescent="0.35">
      <c r="A7910" s="34"/>
      <c r="B7910" s="35"/>
      <c r="C7910" s="36"/>
      <c r="D7910" s="37"/>
      <c r="E7910" s="36"/>
      <c r="F7910" s="42"/>
      <c r="G7910" s="42"/>
      <c r="H7910" s="42"/>
      <c r="AG7910" s="19">
        <v>7909</v>
      </c>
      <c r="AH7910" s="20">
        <v>-896.1229166497601</v>
      </c>
    </row>
    <row r="7911" spans="1:34" ht="14.5" x14ac:dyDescent="0.35">
      <c r="A7911" s="34"/>
      <c r="B7911" s="35"/>
      <c r="C7911" s="36"/>
      <c r="D7911" s="37"/>
      <c r="E7911" s="36"/>
      <c r="F7911" s="42"/>
      <c r="G7911" s="42"/>
      <c r="H7911" s="42"/>
      <c r="AG7911" s="19">
        <v>7910</v>
      </c>
      <c r="AH7911" s="20">
        <v>-689.83267780179131</v>
      </c>
    </row>
    <row r="7912" spans="1:34" ht="14.5" x14ac:dyDescent="0.35">
      <c r="A7912" s="34"/>
      <c r="B7912" s="35"/>
      <c r="C7912" s="36"/>
      <c r="D7912" s="37"/>
      <c r="E7912" s="36"/>
      <c r="F7912" s="42"/>
      <c r="G7912" s="42"/>
      <c r="H7912" s="42"/>
      <c r="AG7912" s="19">
        <v>7911</v>
      </c>
      <c r="AH7912" s="20">
        <v>383.36373744563338</v>
      </c>
    </row>
    <row r="7913" spans="1:34" ht="14.5" x14ac:dyDescent="0.35">
      <c r="A7913" s="34"/>
      <c r="B7913" s="35"/>
      <c r="C7913" s="36"/>
      <c r="D7913" s="37"/>
      <c r="E7913" s="36"/>
      <c r="F7913" s="42"/>
      <c r="G7913" s="42"/>
      <c r="H7913" s="42"/>
      <c r="AG7913" s="19">
        <v>7912</v>
      </c>
      <c r="AH7913" s="20">
        <v>2215.7403164269567</v>
      </c>
    </row>
    <row r="7914" spans="1:34" ht="14.5" x14ac:dyDescent="0.35">
      <c r="A7914" s="34"/>
      <c r="B7914" s="35"/>
      <c r="C7914" s="36"/>
      <c r="D7914" s="37"/>
      <c r="E7914" s="36"/>
      <c r="F7914" s="42"/>
      <c r="G7914" s="42"/>
      <c r="H7914" s="42"/>
      <c r="AG7914" s="19">
        <v>7913</v>
      </c>
      <c r="AH7914" s="20">
        <v>2438.8975194014815</v>
      </c>
    </row>
    <row r="7915" spans="1:34" ht="14.5" x14ac:dyDescent="0.35">
      <c r="A7915" s="34"/>
      <c r="B7915" s="35"/>
      <c r="C7915" s="36"/>
      <c r="D7915" s="37"/>
      <c r="E7915" s="36"/>
      <c r="F7915" s="42"/>
      <c r="G7915" s="42"/>
      <c r="H7915" s="42"/>
      <c r="AG7915" s="19">
        <v>7914</v>
      </c>
      <c r="AH7915" s="20">
        <v>3180.2798856467998</v>
      </c>
    </row>
    <row r="7916" spans="1:34" ht="14.5" x14ac:dyDescent="0.35">
      <c r="A7916" s="34"/>
      <c r="B7916" s="35"/>
      <c r="C7916" s="36"/>
      <c r="D7916" s="37"/>
      <c r="E7916" s="36"/>
      <c r="F7916" s="42"/>
      <c r="G7916" s="42"/>
      <c r="H7916" s="42"/>
      <c r="AG7916" s="19">
        <v>7915</v>
      </c>
      <c r="AH7916" s="20">
        <v>-166.49921047078539</v>
      </c>
    </row>
    <row r="7917" spans="1:34" ht="14.5" x14ac:dyDescent="0.35">
      <c r="A7917" s="34"/>
      <c r="B7917" s="35"/>
      <c r="C7917" s="36"/>
      <c r="D7917" s="37"/>
      <c r="E7917" s="36"/>
      <c r="F7917" s="42"/>
      <c r="G7917" s="42"/>
      <c r="H7917" s="42"/>
      <c r="AG7917" s="19">
        <v>7916</v>
      </c>
      <c r="AH7917" s="20">
        <v>-1899.613098674947</v>
      </c>
    </row>
    <row r="7918" spans="1:34" ht="14.5" x14ac:dyDescent="0.35">
      <c r="A7918" s="34"/>
      <c r="B7918" s="35"/>
      <c r="C7918" s="36"/>
      <c r="D7918" s="37"/>
      <c r="E7918" s="36"/>
      <c r="F7918" s="42"/>
      <c r="G7918" s="42"/>
      <c r="H7918" s="42"/>
      <c r="AG7918" s="19">
        <v>7917</v>
      </c>
      <c r="AH7918" s="20">
        <v>-2618.9934573879896</v>
      </c>
    </row>
    <row r="7919" spans="1:34" ht="14.5" x14ac:dyDescent="0.35">
      <c r="A7919" s="34"/>
      <c r="B7919" s="35"/>
      <c r="C7919" s="36"/>
      <c r="D7919" s="37"/>
      <c r="E7919" s="36"/>
      <c r="F7919" s="42"/>
      <c r="G7919" s="42"/>
      <c r="H7919" s="42"/>
      <c r="AG7919" s="19">
        <v>7918</v>
      </c>
      <c r="AH7919" s="20">
        <v>-1490.4275137104285</v>
      </c>
    </row>
    <row r="7920" spans="1:34" ht="14.5" x14ac:dyDescent="0.35">
      <c r="A7920" s="34"/>
      <c r="B7920" s="35"/>
      <c r="C7920" s="36"/>
      <c r="D7920" s="37"/>
      <c r="E7920" s="36"/>
      <c r="F7920" s="42"/>
      <c r="G7920" s="42"/>
      <c r="H7920" s="42"/>
      <c r="AG7920" s="19">
        <v>7919</v>
      </c>
      <c r="AH7920" s="20">
        <v>-641.80247992565887</v>
      </c>
    </row>
    <row r="7921" spans="1:34" ht="14.5" x14ac:dyDescent="0.35">
      <c r="A7921" s="34"/>
      <c r="B7921" s="35"/>
      <c r="C7921" s="36"/>
      <c r="D7921" s="37"/>
      <c r="E7921" s="36"/>
      <c r="F7921" s="42"/>
      <c r="G7921" s="42"/>
      <c r="H7921" s="42"/>
      <c r="AG7921" s="19">
        <v>7920</v>
      </c>
      <c r="AH7921" s="20">
        <v>-2896.6006372677875</v>
      </c>
    </row>
    <row r="7922" spans="1:34" ht="14.5" x14ac:dyDescent="0.35">
      <c r="A7922" s="34"/>
      <c r="B7922" s="35"/>
      <c r="C7922" s="36"/>
      <c r="D7922" s="37"/>
      <c r="E7922" s="36"/>
      <c r="F7922" s="42"/>
      <c r="G7922" s="42"/>
      <c r="H7922" s="42"/>
      <c r="AG7922" s="19">
        <v>7921</v>
      </c>
      <c r="AH7922" s="20">
        <v>-2188.8603175459266</v>
      </c>
    </row>
    <row r="7923" spans="1:34" ht="14.5" x14ac:dyDescent="0.35">
      <c r="A7923" s="34"/>
      <c r="B7923" s="35"/>
      <c r="C7923" s="36"/>
      <c r="D7923" s="37"/>
      <c r="E7923" s="36"/>
      <c r="F7923" s="42"/>
      <c r="G7923" s="42"/>
      <c r="H7923" s="42"/>
      <c r="AG7923" s="19">
        <v>7922</v>
      </c>
      <c r="AH7923" s="20">
        <v>3682.3010446195403</v>
      </c>
    </row>
    <row r="7924" spans="1:34" ht="14.5" x14ac:dyDescent="0.35">
      <c r="A7924" s="34"/>
      <c r="B7924" s="35"/>
      <c r="C7924" s="36"/>
      <c r="D7924" s="37"/>
      <c r="E7924" s="36"/>
      <c r="F7924" s="42"/>
      <c r="G7924" s="42"/>
      <c r="H7924" s="42"/>
      <c r="AG7924" s="19">
        <v>7923</v>
      </c>
      <c r="AH7924" s="20">
        <v>-1638.7471965415896</v>
      </c>
    </row>
    <row r="7925" spans="1:34" ht="14.5" x14ac:dyDescent="0.35">
      <c r="A7925" s="34"/>
      <c r="B7925" s="35"/>
      <c r="C7925" s="36"/>
      <c r="D7925" s="37"/>
      <c r="E7925" s="36"/>
      <c r="F7925" s="42"/>
      <c r="G7925" s="42"/>
      <c r="H7925" s="42"/>
      <c r="AG7925" s="19">
        <v>7924</v>
      </c>
      <c r="AH7925" s="20">
        <v>436.82469659343332</v>
      </c>
    </row>
    <row r="7926" spans="1:34" ht="14.5" x14ac:dyDescent="0.35">
      <c r="A7926" s="34"/>
      <c r="B7926" s="35"/>
      <c r="C7926" s="36"/>
      <c r="D7926" s="37"/>
      <c r="E7926" s="36"/>
      <c r="F7926" s="42"/>
      <c r="G7926" s="42"/>
      <c r="H7926" s="42"/>
      <c r="AG7926" s="19">
        <v>7925</v>
      </c>
      <c r="AH7926" s="20">
        <v>15.508009791161442</v>
      </c>
    </row>
    <row r="7927" spans="1:34" ht="14.5" x14ac:dyDescent="0.35">
      <c r="A7927" s="34"/>
      <c r="B7927" s="35"/>
      <c r="C7927" s="36"/>
      <c r="D7927" s="37"/>
      <c r="E7927" s="36"/>
      <c r="F7927" s="42"/>
      <c r="G7927" s="42"/>
      <c r="H7927" s="42"/>
      <c r="AG7927" s="19">
        <v>7926</v>
      </c>
      <c r="AH7927" s="20">
        <v>-433.13672427504144</v>
      </c>
    </row>
    <row r="7928" spans="1:34" ht="14.5" x14ac:dyDescent="0.35">
      <c r="A7928" s="34"/>
      <c r="B7928" s="35"/>
      <c r="C7928" s="36"/>
      <c r="D7928" s="37"/>
      <c r="E7928" s="36"/>
      <c r="F7928" s="42"/>
      <c r="G7928" s="42"/>
      <c r="H7928" s="42"/>
      <c r="AG7928" s="19">
        <v>7927</v>
      </c>
      <c r="AH7928" s="20">
        <v>1071.2528772191663</v>
      </c>
    </row>
    <row r="7929" spans="1:34" ht="14.5" x14ac:dyDescent="0.35">
      <c r="A7929" s="34"/>
      <c r="B7929" s="35"/>
      <c r="C7929" s="36"/>
      <c r="D7929" s="37"/>
      <c r="E7929" s="36"/>
      <c r="F7929" s="42"/>
      <c r="G7929" s="42"/>
      <c r="H7929" s="42"/>
      <c r="AG7929" s="19">
        <v>7928</v>
      </c>
      <c r="AH7929" s="20">
        <v>-2162.497817376594</v>
      </c>
    </row>
    <row r="7930" spans="1:34" ht="14.5" x14ac:dyDescent="0.35">
      <c r="A7930" s="34"/>
      <c r="B7930" s="35"/>
      <c r="C7930" s="36"/>
      <c r="D7930" s="37"/>
      <c r="E7930" s="36"/>
      <c r="F7930" s="42"/>
      <c r="G7930" s="42"/>
      <c r="H7930" s="42"/>
      <c r="AG7930" s="19">
        <v>7929</v>
      </c>
      <c r="AH7930" s="20">
        <v>2536.6286513026516</v>
      </c>
    </row>
    <row r="7931" spans="1:34" ht="14.5" x14ac:dyDescent="0.35">
      <c r="A7931" s="34"/>
      <c r="B7931" s="35"/>
      <c r="C7931" s="36"/>
      <c r="D7931" s="37"/>
      <c r="E7931" s="36"/>
      <c r="F7931" s="42"/>
      <c r="G7931" s="42"/>
      <c r="H7931" s="42"/>
      <c r="AG7931" s="19">
        <v>7930</v>
      </c>
      <c r="AH7931" s="20">
        <v>3407.1711162773913</v>
      </c>
    </row>
    <row r="7932" spans="1:34" ht="14.5" x14ac:dyDescent="0.35">
      <c r="A7932" s="34"/>
      <c r="B7932" s="35"/>
      <c r="C7932" s="36"/>
      <c r="D7932" s="37"/>
      <c r="E7932" s="36"/>
      <c r="F7932" s="42"/>
      <c r="G7932" s="42"/>
      <c r="H7932" s="42"/>
      <c r="AG7932" s="19">
        <v>7931</v>
      </c>
      <c r="AH7932" s="20">
        <v>1672.7385436048826</v>
      </c>
    </row>
    <row r="7933" spans="1:34" ht="14.5" x14ac:dyDescent="0.35">
      <c r="A7933" s="34"/>
      <c r="B7933" s="35"/>
      <c r="C7933" s="36"/>
      <c r="D7933" s="37"/>
      <c r="E7933" s="36"/>
      <c r="F7933" s="42"/>
      <c r="G7933" s="42"/>
      <c r="H7933" s="42"/>
      <c r="AG7933" s="19">
        <v>7932</v>
      </c>
      <c r="AH7933" s="20">
        <v>-1750.0283510660195</v>
      </c>
    </row>
    <row r="7934" spans="1:34" ht="14.5" x14ac:dyDescent="0.35">
      <c r="A7934" s="34"/>
      <c r="B7934" s="35"/>
      <c r="C7934" s="36"/>
      <c r="D7934" s="37"/>
      <c r="E7934" s="36"/>
      <c r="F7934" s="42"/>
      <c r="G7934" s="42"/>
      <c r="H7934" s="42"/>
      <c r="AG7934" s="19">
        <v>7933</v>
      </c>
      <c r="AH7934" s="20">
        <v>1033.9788007192406</v>
      </c>
    </row>
    <row r="7935" spans="1:34" ht="14.5" x14ac:dyDescent="0.35">
      <c r="A7935" s="34"/>
      <c r="B7935" s="35"/>
      <c r="C7935" s="36"/>
      <c r="D7935" s="37"/>
      <c r="E7935" s="36"/>
      <c r="F7935" s="42"/>
      <c r="G7935" s="42"/>
      <c r="H7935" s="42"/>
      <c r="AG7935" s="19">
        <v>7934</v>
      </c>
      <c r="AH7935" s="20">
        <v>-94.658008053040419</v>
      </c>
    </row>
    <row r="7936" spans="1:34" ht="14.5" x14ac:dyDescent="0.35">
      <c r="A7936" s="34"/>
      <c r="B7936" s="35"/>
      <c r="C7936" s="36"/>
      <c r="D7936" s="37"/>
      <c r="E7936" s="36"/>
      <c r="F7936" s="42"/>
      <c r="G7936" s="42"/>
      <c r="H7936" s="42"/>
      <c r="AG7936" s="19">
        <v>7935</v>
      </c>
      <c r="AH7936" s="20">
        <v>328.70294455126145</v>
      </c>
    </row>
    <row r="7937" spans="1:34" ht="14.5" x14ac:dyDescent="0.35">
      <c r="A7937" s="34"/>
      <c r="B7937" s="35"/>
      <c r="C7937" s="36"/>
      <c r="D7937" s="37"/>
      <c r="E7937" s="36"/>
      <c r="F7937" s="42"/>
      <c r="G7937" s="42"/>
      <c r="H7937" s="42"/>
      <c r="AG7937" s="19">
        <v>7936</v>
      </c>
      <c r="AH7937" s="20">
        <v>-526.41716377080093</v>
      </c>
    </row>
    <row r="7938" spans="1:34" ht="14.5" x14ac:dyDescent="0.35">
      <c r="A7938" s="34"/>
      <c r="B7938" s="35"/>
      <c r="C7938" s="36"/>
      <c r="D7938" s="37"/>
      <c r="E7938" s="36"/>
      <c r="F7938" s="42"/>
      <c r="G7938" s="42"/>
      <c r="H7938" s="42"/>
      <c r="AG7938" s="19">
        <v>7937</v>
      </c>
      <c r="AH7938" s="20">
        <v>1206.2134698916007</v>
      </c>
    </row>
    <row r="7939" spans="1:34" ht="14.5" x14ac:dyDescent="0.35">
      <c r="A7939" s="34"/>
      <c r="B7939" s="35"/>
      <c r="C7939" s="36"/>
      <c r="D7939" s="37"/>
      <c r="E7939" s="36"/>
      <c r="F7939" s="42"/>
      <c r="G7939" s="42"/>
      <c r="H7939" s="42"/>
      <c r="AG7939" s="19">
        <v>7938</v>
      </c>
      <c r="AH7939" s="20">
        <v>3794.7494607680578</v>
      </c>
    </row>
    <row r="7940" spans="1:34" ht="14.5" x14ac:dyDescent="0.35">
      <c r="A7940" s="34"/>
      <c r="B7940" s="35"/>
      <c r="C7940" s="36"/>
      <c r="D7940" s="37"/>
      <c r="E7940" s="36"/>
      <c r="F7940" s="42"/>
      <c r="G7940" s="42"/>
      <c r="H7940" s="42"/>
      <c r="AG7940" s="19">
        <v>7939</v>
      </c>
      <c r="AH7940" s="20">
        <v>-180.96218075750818</v>
      </c>
    </row>
    <row r="7941" spans="1:34" ht="14.5" x14ac:dyDescent="0.35">
      <c r="A7941" s="34"/>
      <c r="B7941" s="35"/>
      <c r="C7941" s="36"/>
      <c r="D7941" s="37"/>
      <c r="E7941" s="36"/>
      <c r="F7941" s="42"/>
      <c r="G7941" s="42"/>
      <c r="H7941" s="42"/>
      <c r="AG7941" s="19">
        <v>7940</v>
      </c>
      <c r="AH7941" s="20">
        <v>2266.6276712503691</v>
      </c>
    </row>
    <row r="7942" spans="1:34" ht="14.5" x14ac:dyDescent="0.35">
      <c r="A7942" s="34"/>
      <c r="B7942" s="35"/>
      <c r="C7942" s="36"/>
      <c r="D7942" s="37"/>
      <c r="E7942" s="36"/>
      <c r="F7942" s="42"/>
      <c r="G7942" s="42"/>
      <c r="H7942" s="42"/>
      <c r="AG7942" s="19">
        <v>7941</v>
      </c>
      <c r="AH7942" s="20">
        <v>-3464.3128844069033</v>
      </c>
    </row>
    <row r="7943" spans="1:34" ht="14.5" x14ac:dyDescent="0.35">
      <c r="A7943" s="34"/>
      <c r="B7943" s="35"/>
      <c r="C7943" s="36"/>
      <c r="D7943" s="37"/>
      <c r="E7943" s="36"/>
      <c r="F7943" s="42"/>
      <c r="G7943" s="42"/>
      <c r="H7943" s="42"/>
      <c r="AG7943" s="19">
        <v>7942</v>
      </c>
      <c r="AH7943" s="20">
        <v>-738.88757679305945</v>
      </c>
    </row>
    <row r="7944" spans="1:34" ht="14.5" x14ac:dyDescent="0.35">
      <c r="A7944" s="34"/>
      <c r="B7944" s="35"/>
      <c r="C7944" s="36"/>
      <c r="D7944" s="37"/>
      <c r="E7944" s="36"/>
      <c r="F7944" s="42"/>
      <c r="G7944" s="42"/>
      <c r="H7944" s="42"/>
      <c r="AG7944" s="19">
        <v>7943</v>
      </c>
      <c r="AH7944" s="20">
        <v>216.32028672284329</v>
      </c>
    </row>
    <row r="7945" spans="1:34" ht="14.5" x14ac:dyDescent="0.35">
      <c r="A7945" s="34"/>
      <c r="B7945" s="35"/>
      <c r="C7945" s="36"/>
      <c r="D7945" s="37"/>
      <c r="E7945" s="36"/>
      <c r="F7945" s="42"/>
      <c r="G7945" s="42"/>
      <c r="H7945" s="42"/>
      <c r="AG7945" s="19">
        <v>7944</v>
      </c>
      <c r="AH7945" s="20">
        <v>-734.46969045252695</v>
      </c>
    </row>
    <row r="7946" spans="1:34" ht="14.5" x14ac:dyDescent="0.35">
      <c r="A7946" s="34"/>
      <c r="B7946" s="35"/>
      <c r="C7946" s="36"/>
      <c r="D7946" s="37"/>
      <c r="E7946" s="36"/>
      <c r="F7946" s="42"/>
      <c r="G7946" s="42"/>
      <c r="H7946" s="42"/>
      <c r="AG7946" s="19">
        <v>7945</v>
      </c>
      <c r="AH7946" s="20">
        <v>2932.6969957769957</v>
      </c>
    </row>
    <row r="7947" spans="1:34" ht="14.5" x14ac:dyDescent="0.35">
      <c r="A7947" s="34"/>
      <c r="B7947" s="35"/>
      <c r="C7947" s="36"/>
      <c r="D7947" s="37"/>
      <c r="E7947" s="36"/>
      <c r="F7947" s="42"/>
      <c r="G7947" s="42"/>
      <c r="H7947" s="42"/>
      <c r="AG7947" s="19">
        <v>7946</v>
      </c>
      <c r="AH7947" s="20">
        <v>2542.5012371332309</v>
      </c>
    </row>
    <row r="7948" spans="1:34" ht="14.5" x14ac:dyDescent="0.35">
      <c r="A7948" s="34"/>
      <c r="B7948" s="35"/>
      <c r="C7948" s="36"/>
      <c r="D7948" s="37"/>
      <c r="E7948" s="36"/>
      <c r="F7948" s="42"/>
      <c r="G7948" s="42"/>
      <c r="H7948" s="42"/>
      <c r="AG7948" s="19">
        <v>7947</v>
      </c>
      <c r="AH7948" s="20">
        <v>-1247.2933004154095</v>
      </c>
    </row>
    <row r="7949" spans="1:34" ht="14.5" x14ac:dyDescent="0.35">
      <c r="A7949" s="34"/>
      <c r="B7949" s="35"/>
      <c r="C7949" s="36"/>
      <c r="D7949" s="37"/>
      <c r="E7949" s="36"/>
      <c r="F7949" s="42"/>
      <c r="G7949" s="42"/>
      <c r="H7949" s="42"/>
      <c r="AG7949" s="19">
        <v>7948</v>
      </c>
      <c r="AH7949" s="20">
        <v>-1023.5620958020606</v>
      </c>
    </row>
    <row r="7950" spans="1:34" ht="14.5" x14ac:dyDescent="0.35">
      <c r="A7950" s="34"/>
      <c r="B7950" s="35"/>
      <c r="C7950" s="36"/>
      <c r="D7950" s="37"/>
      <c r="E7950" s="36"/>
      <c r="F7950" s="42"/>
      <c r="G7950" s="42"/>
      <c r="H7950" s="42"/>
      <c r="AG7950" s="19">
        <v>7949</v>
      </c>
      <c r="AH7950" s="20">
        <v>-862.0285733339374</v>
      </c>
    </row>
    <row r="7951" spans="1:34" ht="14.5" x14ac:dyDescent="0.35">
      <c r="A7951" s="34"/>
      <c r="B7951" s="35"/>
      <c r="C7951" s="36"/>
      <c r="D7951" s="37"/>
      <c r="E7951" s="36"/>
      <c r="F7951" s="42"/>
      <c r="G7951" s="42"/>
      <c r="H7951" s="42"/>
      <c r="AG7951" s="19">
        <v>7950</v>
      </c>
      <c r="AH7951" s="20">
        <v>1781.7088896119894</v>
      </c>
    </row>
    <row r="7952" spans="1:34" ht="14.5" x14ac:dyDescent="0.35">
      <c r="A7952" s="34"/>
      <c r="B7952" s="35"/>
      <c r="C7952" s="36"/>
      <c r="D7952" s="37"/>
      <c r="E7952" s="36"/>
      <c r="F7952" s="42"/>
      <c r="G7952" s="42"/>
      <c r="H7952" s="42"/>
      <c r="AG7952" s="19">
        <v>7951</v>
      </c>
      <c r="AH7952" s="20">
        <v>546.09158061549954</v>
      </c>
    </row>
    <row r="7953" spans="1:34" ht="14.5" x14ac:dyDescent="0.35">
      <c r="A7953" s="34"/>
      <c r="B7953" s="35"/>
      <c r="C7953" s="36"/>
      <c r="D7953" s="37"/>
      <c r="E7953" s="36"/>
      <c r="F7953" s="42"/>
      <c r="G7953" s="42"/>
      <c r="H7953" s="42"/>
      <c r="AG7953" s="19">
        <v>7952</v>
      </c>
      <c r="AH7953" s="20">
        <v>1925.8546304118311</v>
      </c>
    </row>
    <row r="7954" spans="1:34" ht="14.5" x14ac:dyDescent="0.35">
      <c r="A7954" s="34"/>
      <c r="B7954" s="35"/>
      <c r="C7954" s="36"/>
      <c r="D7954" s="37"/>
      <c r="E7954" s="36"/>
      <c r="F7954" s="42"/>
      <c r="G7954" s="42"/>
      <c r="H7954" s="42"/>
      <c r="AG7954" s="19">
        <v>7953</v>
      </c>
      <c r="AH7954" s="20">
        <v>4115.9800152482785</v>
      </c>
    </row>
    <row r="7955" spans="1:34" ht="14.5" x14ac:dyDescent="0.35">
      <c r="A7955" s="34"/>
      <c r="B7955" s="35"/>
      <c r="C7955" s="36"/>
      <c r="D7955" s="37"/>
      <c r="E7955" s="36"/>
      <c r="F7955" s="42"/>
      <c r="G7955" s="42"/>
      <c r="H7955" s="42"/>
      <c r="AG7955" s="19">
        <v>7954</v>
      </c>
      <c r="AH7955" s="20">
        <v>2405.745189222122</v>
      </c>
    </row>
    <row r="7956" spans="1:34" ht="14.5" x14ac:dyDescent="0.35">
      <c r="A7956" s="34"/>
      <c r="B7956" s="35"/>
      <c r="C7956" s="36"/>
      <c r="D7956" s="37"/>
      <c r="E7956" s="36"/>
      <c r="F7956" s="42"/>
      <c r="G7956" s="42"/>
      <c r="H7956" s="42"/>
      <c r="AG7956" s="19">
        <v>7955</v>
      </c>
      <c r="AH7956" s="20">
        <v>-1736.4108639201752</v>
      </c>
    </row>
    <row r="7957" spans="1:34" ht="14.5" x14ac:dyDescent="0.35">
      <c r="A7957" s="34"/>
      <c r="B7957" s="35"/>
      <c r="C7957" s="36"/>
      <c r="D7957" s="37"/>
      <c r="E7957" s="36"/>
      <c r="F7957" s="42"/>
      <c r="G7957" s="42"/>
      <c r="H7957" s="42"/>
      <c r="AG7957" s="19">
        <v>7956</v>
      </c>
      <c r="AH7957" s="20">
        <v>-814.87897184927328</v>
      </c>
    </row>
    <row r="7958" spans="1:34" ht="14.5" x14ac:dyDescent="0.35">
      <c r="A7958" s="34"/>
      <c r="B7958" s="35"/>
      <c r="C7958" s="36"/>
      <c r="D7958" s="37"/>
      <c r="E7958" s="36"/>
      <c r="F7958" s="42"/>
      <c r="G7958" s="42"/>
      <c r="H7958" s="42"/>
      <c r="AG7958" s="19">
        <v>7957</v>
      </c>
      <c r="AH7958" s="20">
        <v>2078.3676712341994</v>
      </c>
    </row>
    <row r="7959" spans="1:34" ht="14.5" x14ac:dyDescent="0.35">
      <c r="A7959" s="34"/>
      <c r="B7959" s="35"/>
      <c r="C7959" s="36"/>
      <c r="D7959" s="37"/>
      <c r="E7959" s="36"/>
      <c r="F7959" s="42"/>
      <c r="G7959" s="42"/>
      <c r="H7959" s="42"/>
      <c r="AG7959" s="19">
        <v>7958</v>
      </c>
      <c r="AH7959" s="20">
        <v>-737.97158165673295</v>
      </c>
    </row>
    <row r="7960" spans="1:34" ht="14.5" x14ac:dyDescent="0.35">
      <c r="A7960" s="34"/>
      <c r="B7960" s="35"/>
      <c r="C7960" s="36"/>
      <c r="D7960" s="37"/>
      <c r="E7960" s="36"/>
      <c r="F7960" s="42"/>
      <c r="G7960" s="42"/>
      <c r="H7960" s="42"/>
      <c r="AG7960" s="19">
        <v>7959</v>
      </c>
      <c r="AH7960" s="20">
        <v>-1467.2472976540703</v>
      </c>
    </row>
    <row r="7961" spans="1:34" ht="14.5" x14ac:dyDescent="0.35">
      <c r="A7961" s="34"/>
      <c r="B7961" s="35"/>
      <c r="C7961" s="36"/>
      <c r="D7961" s="37"/>
      <c r="E7961" s="36"/>
      <c r="F7961" s="42"/>
      <c r="G7961" s="42"/>
      <c r="H7961" s="42"/>
      <c r="AG7961" s="19">
        <v>7960</v>
      </c>
      <c r="AH7961" s="20">
        <v>-436.0313359205972</v>
      </c>
    </row>
    <row r="7962" spans="1:34" ht="14.5" x14ac:dyDescent="0.35">
      <c r="A7962" s="34"/>
      <c r="B7962" s="35"/>
      <c r="C7962" s="36"/>
      <c r="D7962" s="37"/>
      <c r="E7962" s="36"/>
      <c r="F7962" s="42"/>
      <c r="G7962" s="42"/>
      <c r="H7962" s="42"/>
      <c r="AG7962" s="19">
        <v>7961</v>
      </c>
      <c r="AH7962" s="20">
        <v>-569.97771054777422</v>
      </c>
    </row>
    <row r="7963" spans="1:34" ht="14.5" x14ac:dyDescent="0.35">
      <c r="A7963" s="34"/>
      <c r="B7963" s="35"/>
      <c r="C7963" s="36"/>
      <c r="D7963" s="37"/>
      <c r="E7963" s="36"/>
      <c r="F7963" s="42"/>
      <c r="G7963" s="42"/>
      <c r="H7963" s="42"/>
      <c r="AG7963" s="19">
        <v>7962</v>
      </c>
      <c r="AH7963" s="20">
        <v>1450.0127326807635</v>
      </c>
    </row>
    <row r="7964" spans="1:34" ht="14.5" x14ac:dyDescent="0.35">
      <c r="A7964" s="34"/>
      <c r="B7964" s="35"/>
      <c r="C7964" s="36"/>
      <c r="D7964" s="37"/>
      <c r="E7964" s="36"/>
      <c r="F7964" s="42"/>
      <c r="G7964" s="42"/>
      <c r="H7964" s="42"/>
      <c r="AG7964" s="19">
        <v>7963</v>
      </c>
      <c r="AH7964" s="20">
        <v>-718.12823446680227</v>
      </c>
    </row>
    <row r="7965" spans="1:34" ht="14.5" x14ac:dyDescent="0.35">
      <c r="A7965" s="34"/>
      <c r="B7965" s="35"/>
      <c r="C7965" s="36"/>
      <c r="D7965" s="37"/>
      <c r="E7965" s="36"/>
      <c r="F7965" s="42"/>
      <c r="G7965" s="42"/>
      <c r="H7965" s="42"/>
      <c r="AG7965" s="19">
        <v>7964</v>
      </c>
      <c r="AH7965" s="20">
        <v>2205.2024404162316</v>
      </c>
    </row>
    <row r="7966" spans="1:34" ht="14.5" x14ac:dyDescent="0.35">
      <c r="A7966" s="34"/>
      <c r="B7966" s="35"/>
      <c r="C7966" s="36"/>
      <c r="D7966" s="37"/>
      <c r="E7966" s="36"/>
      <c r="F7966" s="42"/>
      <c r="G7966" s="42"/>
      <c r="H7966" s="42"/>
      <c r="AG7966" s="19">
        <v>7965</v>
      </c>
      <c r="AH7966" s="20">
        <v>-1091.1677982557012</v>
      </c>
    </row>
    <row r="7967" spans="1:34" ht="14.5" x14ac:dyDescent="0.35">
      <c r="A7967" s="34"/>
      <c r="B7967" s="35"/>
      <c r="C7967" s="36"/>
      <c r="D7967" s="37"/>
      <c r="E7967" s="36"/>
      <c r="F7967" s="42"/>
      <c r="G7967" s="42"/>
      <c r="H7967" s="42"/>
      <c r="AG7967" s="19">
        <v>7966</v>
      </c>
      <c r="AH7967" s="20">
        <v>917.02579520933546</v>
      </c>
    </row>
    <row r="7968" spans="1:34" ht="14.5" x14ac:dyDescent="0.35">
      <c r="A7968" s="34"/>
      <c r="B7968" s="35"/>
      <c r="C7968" s="36"/>
      <c r="D7968" s="37"/>
      <c r="E7968" s="36"/>
      <c r="F7968" s="42"/>
      <c r="G7968" s="42"/>
      <c r="H7968" s="42"/>
      <c r="AG7968" s="19">
        <v>7967</v>
      </c>
      <c r="AH7968" s="20">
        <v>-369.77572943149465</v>
      </c>
    </row>
    <row r="7969" spans="1:34" ht="14.5" x14ac:dyDescent="0.35">
      <c r="A7969" s="34"/>
      <c r="B7969" s="35"/>
      <c r="C7969" s="36"/>
      <c r="D7969" s="37"/>
      <c r="E7969" s="36"/>
      <c r="F7969" s="42"/>
      <c r="G7969" s="42"/>
      <c r="H7969" s="42"/>
      <c r="AG7969" s="19">
        <v>7968</v>
      </c>
      <c r="AH7969" s="20">
        <v>1224.1698415987876</v>
      </c>
    </row>
    <row r="7970" spans="1:34" ht="14.5" x14ac:dyDescent="0.35">
      <c r="A7970" s="34"/>
      <c r="B7970" s="35"/>
      <c r="C7970" s="36"/>
      <c r="D7970" s="37"/>
      <c r="E7970" s="36"/>
      <c r="F7970" s="42"/>
      <c r="G7970" s="42"/>
      <c r="H7970" s="42"/>
      <c r="AG7970" s="19">
        <v>7969</v>
      </c>
      <c r="AH7970" s="20">
        <v>-1267.6505448164426</v>
      </c>
    </row>
    <row r="7971" spans="1:34" ht="14.5" x14ac:dyDescent="0.35">
      <c r="A7971" s="34"/>
      <c r="B7971" s="35"/>
      <c r="C7971" s="36"/>
      <c r="D7971" s="37"/>
      <c r="E7971" s="36"/>
      <c r="F7971" s="42"/>
      <c r="G7971" s="42"/>
      <c r="H7971" s="42"/>
      <c r="AG7971" s="19">
        <v>7970</v>
      </c>
      <c r="AH7971" s="20">
        <v>429.12706423166344</v>
      </c>
    </row>
    <row r="7972" spans="1:34" ht="14.5" x14ac:dyDescent="0.35">
      <c r="A7972" s="34"/>
      <c r="B7972" s="35"/>
      <c r="C7972" s="36"/>
      <c r="D7972" s="37"/>
      <c r="E7972" s="36"/>
      <c r="F7972" s="42"/>
      <c r="G7972" s="42"/>
      <c r="H7972" s="42"/>
      <c r="AG7972" s="19">
        <v>7971</v>
      </c>
      <c r="AH7972" s="20">
        <v>4097.6430260992283</v>
      </c>
    </row>
    <row r="7973" spans="1:34" ht="14.5" x14ac:dyDescent="0.35">
      <c r="A7973" s="34"/>
      <c r="B7973" s="35"/>
      <c r="C7973" s="36"/>
      <c r="D7973" s="37"/>
      <c r="E7973" s="36"/>
      <c r="F7973" s="42"/>
      <c r="G7973" s="42"/>
      <c r="H7973" s="42"/>
      <c r="AG7973" s="19">
        <v>7972</v>
      </c>
      <c r="AH7973" s="20">
        <v>907.1515816059175</v>
      </c>
    </row>
    <row r="7974" spans="1:34" ht="14.5" x14ac:dyDescent="0.35">
      <c r="A7974" s="34"/>
      <c r="B7974" s="35"/>
      <c r="C7974" s="36"/>
      <c r="D7974" s="37"/>
      <c r="E7974" s="36"/>
      <c r="F7974" s="42"/>
      <c r="G7974" s="42"/>
      <c r="H7974" s="42"/>
      <c r="AG7974" s="19">
        <v>7973</v>
      </c>
      <c r="AH7974" s="20">
        <v>-813.50205087401355</v>
      </c>
    </row>
    <row r="7975" spans="1:34" ht="14.5" x14ac:dyDescent="0.35">
      <c r="A7975" s="34"/>
      <c r="B7975" s="35"/>
      <c r="C7975" s="36"/>
      <c r="D7975" s="37"/>
      <c r="E7975" s="36"/>
      <c r="F7975" s="42"/>
      <c r="G7975" s="42"/>
      <c r="H7975" s="42"/>
      <c r="AG7975" s="19">
        <v>7974</v>
      </c>
      <c r="AH7975" s="20">
        <v>406.42587508523002</v>
      </c>
    </row>
    <row r="7976" spans="1:34" ht="14.5" x14ac:dyDescent="0.35">
      <c r="A7976" s="34"/>
      <c r="B7976" s="35"/>
      <c r="C7976" s="36"/>
      <c r="D7976" s="37"/>
      <c r="E7976" s="36"/>
      <c r="F7976" s="42"/>
      <c r="G7976" s="42"/>
      <c r="H7976" s="42"/>
      <c r="AG7976" s="19">
        <v>7975</v>
      </c>
      <c r="AH7976" s="20">
        <v>-952.24685778702565</v>
      </c>
    </row>
    <row r="7977" spans="1:34" ht="14.5" x14ac:dyDescent="0.35">
      <c r="A7977" s="34"/>
      <c r="B7977" s="35"/>
      <c r="C7977" s="36"/>
      <c r="D7977" s="37"/>
      <c r="E7977" s="36"/>
      <c r="F7977" s="42"/>
      <c r="G7977" s="42"/>
      <c r="H7977" s="42"/>
      <c r="AG7977" s="19">
        <v>7976</v>
      </c>
      <c r="AH7977" s="20">
        <v>2649.0282933650742</v>
      </c>
    </row>
    <row r="7978" spans="1:34" ht="14.5" x14ac:dyDescent="0.35">
      <c r="A7978" s="34"/>
      <c r="B7978" s="35"/>
      <c r="C7978" s="36"/>
      <c r="D7978" s="37"/>
      <c r="E7978" s="36"/>
      <c r="F7978" s="42"/>
      <c r="G7978" s="42"/>
      <c r="H7978" s="42"/>
      <c r="AG7978" s="19">
        <v>7977</v>
      </c>
      <c r="AH7978" s="20">
        <v>1428.084604783003</v>
      </c>
    </row>
    <row r="7979" spans="1:34" ht="14.5" x14ac:dyDescent="0.35">
      <c r="A7979" s="34"/>
      <c r="B7979" s="35"/>
      <c r="C7979" s="36"/>
      <c r="D7979" s="37"/>
      <c r="E7979" s="36"/>
      <c r="F7979" s="42"/>
      <c r="G7979" s="42"/>
      <c r="H7979" s="42"/>
      <c r="AG7979" s="19">
        <v>7978</v>
      </c>
      <c r="AH7979" s="20">
        <v>683.67263211315958</v>
      </c>
    </row>
    <row r="7980" spans="1:34" ht="14.5" x14ac:dyDescent="0.35">
      <c r="A7980" s="34"/>
      <c r="B7980" s="35"/>
      <c r="C7980" s="36"/>
      <c r="D7980" s="37"/>
      <c r="E7980" s="36"/>
      <c r="F7980" s="42"/>
      <c r="G7980" s="42"/>
      <c r="H7980" s="42"/>
      <c r="AG7980" s="19">
        <v>7979</v>
      </c>
      <c r="AH7980" s="20">
        <v>1293.0641911721943</v>
      </c>
    </row>
    <row r="7981" spans="1:34" ht="14.5" x14ac:dyDescent="0.35">
      <c r="A7981" s="34"/>
      <c r="B7981" s="35"/>
      <c r="C7981" s="36"/>
      <c r="D7981" s="37"/>
      <c r="E7981" s="36"/>
      <c r="F7981" s="42"/>
      <c r="G7981" s="42"/>
      <c r="H7981" s="42"/>
      <c r="AG7981" s="19">
        <v>7980</v>
      </c>
      <c r="AH7981" s="20">
        <v>-239.53159680415496</v>
      </c>
    </row>
    <row r="7982" spans="1:34" ht="14.5" x14ac:dyDescent="0.35">
      <c r="A7982" s="34"/>
      <c r="B7982" s="35"/>
      <c r="C7982" s="36"/>
      <c r="D7982" s="37"/>
      <c r="E7982" s="36"/>
      <c r="F7982" s="42"/>
      <c r="G7982" s="42"/>
      <c r="H7982" s="42"/>
      <c r="AG7982" s="19">
        <v>7981</v>
      </c>
      <c r="AH7982" s="20">
        <v>-2085.2137460305953</v>
      </c>
    </row>
    <row r="7983" spans="1:34" ht="14.5" x14ac:dyDescent="0.35">
      <c r="A7983" s="34"/>
      <c r="B7983" s="35"/>
      <c r="C7983" s="36"/>
      <c r="D7983" s="37"/>
      <c r="E7983" s="36"/>
      <c r="F7983" s="42"/>
      <c r="G7983" s="42"/>
      <c r="H7983" s="42"/>
      <c r="AG7983" s="19">
        <v>7982</v>
      </c>
      <c r="AH7983" s="20">
        <v>641.52146272701953</v>
      </c>
    </row>
    <row r="7984" spans="1:34" ht="14.5" x14ac:dyDescent="0.35">
      <c r="A7984" s="34"/>
      <c r="B7984" s="35"/>
      <c r="C7984" s="36"/>
      <c r="D7984" s="37"/>
      <c r="E7984" s="36"/>
      <c r="F7984" s="42"/>
      <c r="G7984" s="42"/>
      <c r="H7984" s="42"/>
      <c r="AG7984" s="19">
        <v>7983</v>
      </c>
      <c r="AH7984" s="20">
        <v>3336.6770028676456</v>
      </c>
    </row>
    <row r="7985" spans="1:34" ht="14.5" x14ac:dyDescent="0.35">
      <c r="A7985" s="34"/>
      <c r="B7985" s="35"/>
      <c r="C7985" s="36"/>
      <c r="D7985" s="37"/>
      <c r="E7985" s="36"/>
      <c r="F7985" s="42"/>
      <c r="G7985" s="42"/>
      <c r="H7985" s="42"/>
      <c r="AG7985" s="19">
        <v>7984</v>
      </c>
      <c r="AH7985" s="20">
        <v>1166.7704069406104</v>
      </c>
    </row>
    <row r="7986" spans="1:34" ht="14.5" x14ac:dyDescent="0.35">
      <c r="A7986" s="34"/>
      <c r="B7986" s="35"/>
      <c r="C7986" s="36"/>
      <c r="D7986" s="37"/>
      <c r="E7986" s="36"/>
      <c r="F7986" s="42"/>
      <c r="G7986" s="42"/>
      <c r="H7986" s="42"/>
      <c r="AG7986" s="19">
        <v>7985</v>
      </c>
      <c r="AH7986" s="20">
        <v>1331.5927407844647</v>
      </c>
    </row>
    <row r="7987" spans="1:34" ht="14.5" x14ac:dyDescent="0.35">
      <c r="A7987" s="34"/>
      <c r="B7987" s="35"/>
      <c r="C7987" s="36"/>
      <c r="D7987" s="37"/>
      <c r="E7987" s="36"/>
      <c r="F7987" s="42"/>
      <c r="G7987" s="42"/>
      <c r="H7987" s="42"/>
      <c r="AG7987" s="19">
        <v>7986</v>
      </c>
      <c r="AH7987" s="20">
        <v>1714.3167564377652</v>
      </c>
    </row>
    <row r="7988" spans="1:34" ht="14.5" x14ac:dyDescent="0.35">
      <c r="A7988" s="34"/>
      <c r="B7988" s="35"/>
      <c r="C7988" s="36"/>
      <c r="D7988" s="37"/>
      <c r="E7988" s="36"/>
      <c r="F7988" s="42"/>
      <c r="G7988" s="42"/>
      <c r="H7988" s="42"/>
      <c r="AG7988" s="19">
        <v>7987</v>
      </c>
      <c r="AH7988" s="20">
        <v>-45.357044242624397</v>
      </c>
    </row>
    <row r="7989" spans="1:34" ht="14.5" x14ac:dyDescent="0.35">
      <c r="A7989" s="34"/>
      <c r="B7989" s="35"/>
      <c r="C7989" s="36"/>
      <c r="D7989" s="37"/>
      <c r="E7989" s="36"/>
      <c r="F7989" s="42"/>
      <c r="G7989" s="42"/>
      <c r="H7989" s="42"/>
      <c r="AG7989" s="19">
        <v>7988</v>
      </c>
      <c r="AH7989" s="20">
        <v>1584.8263236464161</v>
      </c>
    </row>
    <row r="7990" spans="1:34" ht="14.5" x14ac:dyDescent="0.35">
      <c r="A7990" s="34"/>
      <c r="B7990" s="35"/>
      <c r="C7990" s="36"/>
      <c r="D7990" s="37"/>
      <c r="E7990" s="36"/>
      <c r="F7990" s="42"/>
      <c r="G7990" s="42"/>
      <c r="H7990" s="42"/>
      <c r="AG7990" s="19">
        <v>7989</v>
      </c>
      <c r="AH7990" s="20">
        <v>-1830.2939996919952</v>
      </c>
    </row>
    <row r="7991" spans="1:34" ht="14.5" x14ac:dyDescent="0.35">
      <c r="A7991" s="34"/>
      <c r="B7991" s="35"/>
      <c r="C7991" s="36"/>
      <c r="D7991" s="37"/>
      <c r="E7991" s="36"/>
      <c r="F7991" s="42"/>
      <c r="G7991" s="42"/>
      <c r="H7991" s="42"/>
      <c r="AG7991" s="19">
        <v>7990</v>
      </c>
      <c r="AH7991" s="20">
        <v>-1758.2061652820682</v>
      </c>
    </row>
    <row r="7992" spans="1:34" ht="14.5" x14ac:dyDescent="0.35">
      <c r="A7992" s="34"/>
      <c r="B7992" s="35"/>
      <c r="C7992" s="36"/>
      <c r="D7992" s="37"/>
      <c r="E7992" s="36"/>
      <c r="F7992" s="42"/>
      <c r="G7992" s="42"/>
      <c r="H7992" s="42"/>
      <c r="AG7992" s="19">
        <v>7991</v>
      </c>
      <c r="AH7992" s="20">
        <v>1968.0160160553521</v>
      </c>
    </row>
    <row r="7993" spans="1:34" ht="14.5" x14ac:dyDescent="0.35">
      <c r="A7993" s="34"/>
      <c r="B7993" s="35"/>
      <c r="C7993" s="36"/>
      <c r="D7993" s="37"/>
      <c r="E7993" s="36"/>
      <c r="F7993" s="42"/>
      <c r="G7993" s="42"/>
      <c r="H7993" s="42"/>
      <c r="AG7993" s="19">
        <v>7992</v>
      </c>
      <c r="AH7993" s="20">
        <v>1585.8803307173839</v>
      </c>
    </row>
    <row r="7994" spans="1:34" ht="14.5" x14ac:dyDescent="0.35">
      <c r="A7994" s="34"/>
      <c r="B7994" s="35"/>
      <c r="C7994" s="36"/>
      <c r="D7994" s="37"/>
      <c r="E7994" s="36"/>
      <c r="F7994" s="42"/>
      <c r="G7994" s="42"/>
      <c r="H7994" s="42"/>
      <c r="AG7994" s="19">
        <v>7993</v>
      </c>
      <c r="AH7994" s="20">
        <v>79.948446670957026</v>
      </c>
    </row>
    <row r="7995" spans="1:34" ht="14.5" x14ac:dyDescent="0.35">
      <c r="A7995" s="34"/>
      <c r="B7995" s="35"/>
      <c r="C7995" s="36"/>
      <c r="D7995" s="37"/>
      <c r="E7995" s="36"/>
      <c r="F7995" s="42"/>
      <c r="G7995" s="42"/>
      <c r="H7995" s="42"/>
      <c r="AG7995" s="19">
        <v>7994</v>
      </c>
      <c r="AH7995" s="20">
        <v>-62.648822068309414</v>
      </c>
    </row>
    <row r="7996" spans="1:34" ht="14.5" x14ac:dyDescent="0.35">
      <c r="A7996" s="34"/>
      <c r="B7996" s="35"/>
      <c r="C7996" s="36"/>
      <c r="D7996" s="37"/>
      <c r="E7996" s="36"/>
      <c r="F7996" s="42"/>
      <c r="G7996" s="42"/>
      <c r="H7996" s="42"/>
      <c r="AG7996" s="19">
        <v>7995</v>
      </c>
      <c r="AH7996" s="20">
        <v>-22.535447494013511</v>
      </c>
    </row>
    <row r="7997" spans="1:34" ht="14.5" x14ac:dyDescent="0.35">
      <c r="A7997" s="34"/>
      <c r="B7997" s="35"/>
      <c r="C7997" s="36"/>
      <c r="D7997" s="37"/>
      <c r="E7997" s="36"/>
      <c r="F7997" s="42"/>
      <c r="G7997" s="42"/>
      <c r="H7997" s="42"/>
      <c r="AG7997" s="19">
        <v>7996</v>
      </c>
      <c r="AH7997" s="20">
        <v>-1431.5636329731419</v>
      </c>
    </row>
    <row r="7998" spans="1:34" ht="14.5" x14ac:dyDescent="0.35">
      <c r="A7998" s="34"/>
      <c r="B7998" s="35"/>
      <c r="C7998" s="36"/>
      <c r="D7998" s="37"/>
      <c r="E7998" s="36"/>
      <c r="F7998" s="42"/>
      <c r="G7998" s="42"/>
      <c r="H7998" s="42"/>
      <c r="AG7998" s="19">
        <v>7997</v>
      </c>
      <c r="AH7998" s="20">
        <v>1553.4305856126412</v>
      </c>
    </row>
    <row r="7999" spans="1:34" ht="14.5" x14ac:dyDescent="0.35">
      <c r="A7999" s="34"/>
      <c r="B7999" s="35"/>
      <c r="C7999" s="36"/>
      <c r="D7999" s="37"/>
      <c r="E7999" s="36"/>
      <c r="F7999" s="42"/>
      <c r="G7999" s="42"/>
      <c r="H7999" s="42"/>
      <c r="AG7999" s="19">
        <v>7998</v>
      </c>
      <c r="AH7999" s="20">
        <v>1292.6581542069584</v>
      </c>
    </row>
    <row r="8000" spans="1:34" ht="14.5" x14ac:dyDescent="0.35">
      <c r="A8000" s="34"/>
      <c r="B8000" s="35"/>
      <c r="C8000" s="36"/>
      <c r="D8000" s="37"/>
      <c r="E8000" s="36"/>
      <c r="F8000" s="42"/>
      <c r="G8000" s="42"/>
      <c r="H8000" s="42"/>
      <c r="AG8000" s="19">
        <v>7999</v>
      </c>
      <c r="AH8000" s="20">
        <v>1532.4558936635481</v>
      </c>
    </row>
    <row r="8001" spans="1:34" ht="14.5" x14ac:dyDescent="0.35">
      <c r="A8001" s="34"/>
      <c r="B8001" s="35"/>
      <c r="C8001" s="36"/>
      <c r="D8001" s="37"/>
      <c r="E8001" s="36"/>
      <c r="F8001" s="42"/>
      <c r="G8001" s="42"/>
      <c r="H8001" s="42"/>
      <c r="AG8001" s="19">
        <v>8000</v>
      </c>
      <c r="AH8001" s="20">
        <v>-349.80435188615166</v>
      </c>
    </row>
    <row r="8002" spans="1:34" ht="14.5" x14ac:dyDescent="0.35">
      <c r="A8002" s="34"/>
      <c r="B8002" s="35"/>
      <c r="C8002" s="36"/>
      <c r="D8002" s="37"/>
      <c r="E8002" s="36"/>
      <c r="F8002" s="42"/>
      <c r="G8002" s="42"/>
      <c r="H8002" s="42"/>
      <c r="AG8002" s="19">
        <v>8001</v>
      </c>
      <c r="AH8002" s="20">
        <v>1681.6919942948441</v>
      </c>
    </row>
    <row r="8003" spans="1:34" ht="14.5" x14ac:dyDescent="0.35">
      <c r="A8003" s="34"/>
      <c r="B8003" s="35"/>
      <c r="C8003" s="36"/>
      <c r="D8003" s="37"/>
      <c r="E8003" s="36"/>
      <c r="F8003" s="42"/>
      <c r="G8003" s="42"/>
      <c r="H8003" s="42"/>
      <c r="AG8003" s="19">
        <v>8002</v>
      </c>
      <c r="AH8003" s="20">
        <v>-3724.1556644840966</v>
      </c>
    </row>
    <row r="8004" spans="1:34" ht="14.5" x14ac:dyDescent="0.35">
      <c r="A8004" s="34"/>
      <c r="B8004" s="35"/>
      <c r="C8004" s="36"/>
      <c r="D8004" s="37"/>
      <c r="E8004" s="36"/>
      <c r="F8004" s="42"/>
      <c r="G8004" s="42"/>
      <c r="H8004" s="42"/>
      <c r="AG8004" s="19">
        <v>8003</v>
      </c>
      <c r="AH8004" s="20">
        <v>3636.5719035953166</v>
      </c>
    </row>
    <row r="8005" spans="1:34" ht="14.5" x14ac:dyDescent="0.35">
      <c r="A8005" s="34"/>
      <c r="B8005" s="35"/>
      <c r="C8005" s="36"/>
      <c r="D8005" s="37"/>
      <c r="E8005" s="36"/>
      <c r="F8005" s="42"/>
      <c r="G8005" s="42"/>
      <c r="H8005" s="42"/>
      <c r="AG8005" s="19">
        <v>8004</v>
      </c>
      <c r="AH8005" s="20">
        <v>1119.3332510585028</v>
      </c>
    </row>
    <row r="8006" spans="1:34" ht="14.5" x14ac:dyDescent="0.35">
      <c r="A8006" s="34"/>
      <c r="B8006" s="35"/>
      <c r="C8006" s="36"/>
      <c r="D8006" s="37"/>
      <c r="E8006" s="36"/>
      <c r="F8006" s="42"/>
      <c r="G8006" s="42"/>
      <c r="H8006" s="42"/>
      <c r="AG8006" s="19">
        <v>8005</v>
      </c>
      <c r="AH8006" s="20">
        <v>-429.56248248433104</v>
      </c>
    </row>
    <row r="8007" spans="1:34" ht="14.5" x14ac:dyDescent="0.35">
      <c r="A8007" s="34"/>
      <c r="B8007" s="35"/>
      <c r="C8007" s="36"/>
      <c r="D8007" s="37"/>
      <c r="E8007" s="36"/>
      <c r="F8007" s="42"/>
      <c r="G8007" s="42"/>
      <c r="H8007" s="42"/>
      <c r="AG8007" s="19">
        <v>8006</v>
      </c>
      <c r="AH8007" s="20">
        <v>151.6749098230255</v>
      </c>
    </row>
    <row r="8008" spans="1:34" ht="14.5" x14ac:dyDescent="0.35">
      <c r="A8008" s="34"/>
      <c r="B8008" s="35"/>
      <c r="C8008" s="36"/>
      <c r="D8008" s="37"/>
      <c r="E8008" s="36"/>
      <c r="F8008" s="42"/>
      <c r="G8008" s="42"/>
      <c r="H8008" s="42"/>
      <c r="AG8008" s="19">
        <v>8007</v>
      </c>
      <c r="AH8008" s="20">
        <v>331.19966379134593</v>
      </c>
    </row>
    <row r="8009" spans="1:34" ht="14.5" x14ac:dyDescent="0.35">
      <c r="A8009" s="34"/>
      <c r="B8009" s="35"/>
      <c r="C8009" s="36"/>
      <c r="D8009" s="37"/>
      <c r="E8009" s="36"/>
      <c r="F8009" s="42"/>
      <c r="G8009" s="42"/>
      <c r="H8009" s="42"/>
      <c r="AG8009" s="19">
        <v>8008</v>
      </c>
      <c r="AH8009" s="20">
        <v>558.80673310767952</v>
      </c>
    </row>
    <row r="8010" spans="1:34" ht="14.5" x14ac:dyDescent="0.35">
      <c r="A8010" s="34"/>
      <c r="B8010" s="35"/>
      <c r="C8010" s="36"/>
      <c r="D8010" s="37"/>
      <c r="E8010" s="36"/>
      <c r="F8010" s="42"/>
      <c r="G8010" s="42"/>
      <c r="H8010" s="42"/>
      <c r="AG8010" s="19">
        <v>8009</v>
      </c>
      <c r="AH8010" s="20">
        <v>867.54775509828141</v>
      </c>
    </row>
    <row r="8011" spans="1:34" ht="14.5" x14ac:dyDescent="0.35">
      <c r="A8011" s="34"/>
      <c r="B8011" s="35"/>
      <c r="C8011" s="36"/>
      <c r="D8011" s="37"/>
      <c r="E8011" s="36"/>
      <c r="F8011" s="42"/>
      <c r="G8011" s="42"/>
      <c r="H8011" s="42"/>
      <c r="AG8011" s="19">
        <v>8010</v>
      </c>
      <c r="AH8011" s="20">
        <v>-2152.4405160317624</v>
      </c>
    </row>
    <row r="8012" spans="1:34" ht="14.5" x14ac:dyDescent="0.35">
      <c r="A8012" s="34"/>
      <c r="B8012" s="35"/>
      <c r="C8012" s="36"/>
      <c r="D8012" s="37"/>
      <c r="E8012" s="36"/>
      <c r="F8012" s="42"/>
      <c r="G8012" s="42"/>
      <c r="H8012" s="42"/>
      <c r="AG8012" s="19">
        <v>8011</v>
      </c>
      <c r="AH8012" s="20">
        <v>486.47164099385674</v>
      </c>
    </row>
    <row r="8013" spans="1:34" ht="14.5" x14ac:dyDescent="0.35">
      <c r="A8013" s="34"/>
      <c r="B8013" s="35"/>
      <c r="C8013" s="36"/>
      <c r="D8013" s="37"/>
      <c r="E8013" s="36"/>
      <c r="F8013" s="42"/>
      <c r="G8013" s="42"/>
      <c r="H8013" s="42"/>
      <c r="AG8013" s="19">
        <v>8012</v>
      </c>
      <c r="AH8013" s="20">
        <v>-1211.5738541591613</v>
      </c>
    </row>
    <row r="8014" spans="1:34" ht="14.5" x14ac:dyDescent="0.35">
      <c r="A8014" s="34"/>
      <c r="B8014" s="35"/>
      <c r="C8014" s="36"/>
      <c r="D8014" s="37"/>
      <c r="E8014" s="36"/>
      <c r="F8014" s="42"/>
      <c r="G8014" s="42"/>
      <c r="H8014" s="42"/>
      <c r="AG8014" s="19">
        <v>8013</v>
      </c>
      <c r="AH8014" s="20">
        <v>2692.9907876698221</v>
      </c>
    </row>
    <row r="8015" spans="1:34" ht="14.5" x14ac:dyDescent="0.35">
      <c r="A8015" s="34"/>
      <c r="B8015" s="35"/>
      <c r="C8015" s="36"/>
      <c r="D8015" s="37"/>
      <c r="E8015" s="36"/>
      <c r="F8015" s="42"/>
      <c r="G8015" s="42"/>
      <c r="H8015" s="42"/>
      <c r="AG8015" s="19">
        <v>8014</v>
      </c>
      <c r="AH8015" s="20">
        <v>-494.84209936347241</v>
      </c>
    </row>
    <row r="8016" spans="1:34" ht="14.5" x14ac:dyDescent="0.35">
      <c r="A8016" s="34"/>
      <c r="B8016" s="35"/>
      <c r="C8016" s="36"/>
      <c r="D8016" s="37"/>
      <c r="E8016" s="36"/>
      <c r="F8016" s="42"/>
      <c r="G8016" s="42"/>
      <c r="H8016" s="42"/>
      <c r="AG8016" s="19">
        <v>8015</v>
      </c>
      <c r="AH8016" s="20">
        <v>2626.1760016466501</v>
      </c>
    </row>
    <row r="8017" spans="1:34" ht="14.5" x14ac:dyDescent="0.35">
      <c r="A8017" s="34"/>
      <c r="B8017" s="35"/>
      <c r="C8017" s="36"/>
      <c r="D8017" s="37"/>
      <c r="E8017" s="36"/>
      <c r="F8017" s="42"/>
      <c r="G8017" s="42"/>
      <c r="H8017" s="42"/>
      <c r="AG8017" s="19">
        <v>8016</v>
      </c>
      <c r="AH8017" s="20">
        <v>-813.58703304530513</v>
      </c>
    </row>
    <row r="8018" spans="1:34" ht="14.5" x14ac:dyDescent="0.35">
      <c r="A8018" s="34"/>
      <c r="B8018" s="35"/>
      <c r="C8018" s="36"/>
      <c r="D8018" s="37"/>
      <c r="E8018" s="36"/>
      <c r="F8018" s="42"/>
      <c r="G8018" s="42"/>
      <c r="H8018" s="42"/>
      <c r="AG8018" s="19">
        <v>8017</v>
      </c>
      <c r="AH8018" s="20">
        <v>-4154.9956255699599</v>
      </c>
    </row>
    <row r="8019" spans="1:34" ht="14.5" x14ac:dyDescent="0.35">
      <c r="A8019" s="34"/>
      <c r="B8019" s="35"/>
      <c r="C8019" s="36"/>
      <c r="D8019" s="37"/>
      <c r="E8019" s="36"/>
      <c r="F8019" s="42"/>
      <c r="G8019" s="42"/>
      <c r="H8019" s="42"/>
      <c r="AG8019" s="19">
        <v>8018</v>
      </c>
      <c r="AH8019" s="20">
        <v>-26.541655310771148</v>
      </c>
    </row>
    <row r="8020" spans="1:34" ht="14.5" x14ac:dyDescent="0.35">
      <c r="A8020" s="34"/>
      <c r="B8020" s="35"/>
      <c r="C8020" s="36"/>
      <c r="D8020" s="37"/>
      <c r="E8020" s="36"/>
      <c r="F8020" s="42"/>
      <c r="G8020" s="42"/>
      <c r="H8020" s="42"/>
      <c r="AG8020" s="19">
        <v>8019</v>
      </c>
      <c r="AH8020" s="20">
        <v>-998.09095410833334</v>
      </c>
    </row>
    <row r="8021" spans="1:34" ht="14.5" x14ac:dyDescent="0.35">
      <c r="A8021" s="34"/>
      <c r="B8021" s="35"/>
      <c r="C8021" s="36"/>
      <c r="D8021" s="37"/>
      <c r="E8021" s="36"/>
      <c r="F8021" s="42"/>
      <c r="G8021" s="42"/>
      <c r="H8021" s="42"/>
      <c r="AG8021" s="19">
        <v>8020</v>
      </c>
      <c r="AH8021" s="20">
        <v>-943.5953660425148</v>
      </c>
    </row>
    <row r="8022" spans="1:34" ht="14.5" x14ac:dyDescent="0.35">
      <c r="A8022" s="34"/>
      <c r="B8022" s="35"/>
      <c r="C8022" s="36"/>
      <c r="D8022" s="37"/>
      <c r="E8022" s="36"/>
      <c r="F8022" s="42"/>
      <c r="G8022" s="42"/>
      <c r="H8022" s="42"/>
      <c r="AG8022" s="19">
        <v>8021</v>
      </c>
      <c r="AH8022" s="20">
        <v>-1395.7394443630831</v>
      </c>
    </row>
    <row r="8023" spans="1:34" ht="14.5" x14ac:dyDescent="0.35">
      <c r="A8023" s="34"/>
      <c r="B8023" s="35"/>
      <c r="C8023" s="36"/>
      <c r="D8023" s="37"/>
      <c r="E8023" s="36"/>
      <c r="F8023" s="42"/>
      <c r="G8023" s="42"/>
      <c r="H8023" s="42"/>
      <c r="AG8023" s="19">
        <v>8022</v>
      </c>
      <c r="AH8023" s="20">
        <v>3230.6052933561764</v>
      </c>
    </row>
    <row r="8024" spans="1:34" ht="14.5" x14ac:dyDescent="0.35">
      <c r="A8024" s="34"/>
      <c r="B8024" s="35"/>
      <c r="C8024" s="36"/>
      <c r="D8024" s="37"/>
      <c r="E8024" s="36"/>
      <c r="F8024" s="42"/>
      <c r="G8024" s="42"/>
      <c r="H8024" s="42"/>
      <c r="AG8024" s="19">
        <v>8023</v>
      </c>
      <c r="AH8024" s="20">
        <v>-1106.7630169300749</v>
      </c>
    </row>
    <row r="8025" spans="1:34" ht="14.5" x14ac:dyDescent="0.35">
      <c r="A8025" s="34"/>
      <c r="B8025" s="35"/>
      <c r="C8025" s="36"/>
      <c r="D8025" s="37"/>
      <c r="E8025" s="36"/>
      <c r="F8025" s="42"/>
      <c r="G8025" s="42"/>
      <c r="H8025" s="42"/>
      <c r="AG8025" s="19">
        <v>8024</v>
      </c>
      <c r="AH8025" s="20">
        <v>1294.1060920155248</v>
      </c>
    </row>
    <row r="8026" spans="1:34" ht="14.5" x14ac:dyDescent="0.35">
      <c r="A8026" s="34"/>
      <c r="B8026" s="35"/>
      <c r="C8026" s="36"/>
      <c r="D8026" s="37"/>
      <c r="E8026" s="36"/>
      <c r="F8026" s="42"/>
      <c r="G8026" s="42"/>
      <c r="H8026" s="42"/>
      <c r="AG8026" s="19">
        <v>8025</v>
      </c>
      <c r="AH8026" s="20">
        <v>2313.1456171960176</v>
      </c>
    </row>
    <row r="8027" spans="1:34" ht="14.5" x14ac:dyDescent="0.35">
      <c r="A8027" s="34"/>
      <c r="B8027" s="35"/>
      <c r="C8027" s="36"/>
      <c r="D8027" s="37"/>
      <c r="E8027" s="36"/>
      <c r="F8027" s="42"/>
      <c r="G8027" s="42"/>
      <c r="H8027" s="42"/>
      <c r="AG8027" s="19">
        <v>8026</v>
      </c>
      <c r="AH8027" s="20">
        <v>2090.8746812786871</v>
      </c>
    </row>
    <row r="8028" spans="1:34" ht="14.5" x14ac:dyDescent="0.35">
      <c r="A8028" s="34"/>
      <c r="B8028" s="35"/>
      <c r="C8028" s="36"/>
      <c r="D8028" s="37"/>
      <c r="E8028" s="36"/>
      <c r="F8028" s="42"/>
      <c r="G8028" s="42"/>
      <c r="H8028" s="42"/>
      <c r="AG8028" s="19">
        <v>8027</v>
      </c>
      <c r="AH8028" s="20">
        <v>1110.4260599111069</v>
      </c>
    </row>
    <row r="8029" spans="1:34" ht="14.5" x14ac:dyDescent="0.35">
      <c r="A8029" s="34"/>
      <c r="B8029" s="35"/>
      <c r="C8029" s="36"/>
      <c r="D8029" s="37"/>
      <c r="E8029" s="36"/>
      <c r="F8029" s="42"/>
      <c r="G8029" s="42"/>
      <c r="H8029" s="42"/>
      <c r="AG8029" s="19">
        <v>8028</v>
      </c>
      <c r="AH8029" s="20">
        <v>-306.44113700143822</v>
      </c>
    </row>
    <row r="8030" spans="1:34" ht="14.5" x14ac:dyDescent="0.35">
      <c r="A8030" s="34"/>
      <c r="B8030" s="35"/>
      <c r="C8030" s="36"/>
      <c r="D8030" s="37"/>
      <c r="E8030" s="36"/>
      <c r="F8030" s="42"/>
      <c r="G8030" s="42"/>
      <c r="H8030" s="42"/>
      <c r="AG8030" s="19">
        <v>8029</v>
      </c>
      <c r="AH8030" s="20">
        <v>-668.96856134964719</v>
      </c>
    </row>
    <row r="8031" spans="1:34" ht="14.5" x14ac:dyDescent="0.35">
      <c r="A8031" s="34"/>
      <c r="B8031" s="35"/>
      <c r="C8031" s="36"/>
      <c r="D8031" s="37"/>
      <c r="E8031" s="36"/>
      <c r="F8031" s="42"/>
      <c r="G8031" s="42"/>
      <c r="H8031" s="42"/>
      <c r="AG8031" s="19">
        <v>8030</v>
      </c>
      <c r="AH8031" s="20">
        <v>1221.6300762502667</v>
      </c>
    </row>
    <row r="8032" spans="1:34" ht="14.5" x14ac:dyDescent="0.35">
      <c r="A8032" s="34"/>
      <c r="B8032" s="35"/>
      <c r="C8032" s="36"/>
      <c r="D8032" s="37"/>
      <c r="E8032" s="36"/>
      <c r="F8032" s="42"/>
      <c r="G8032" s="42"/>
      <c r="H8032" s="42"/>
      <c r="AG8032" s="19">
        <v>8031</v>
      </c>
      <c r="AH8032" s="20">
        <v>1560.5394207146417</v>
      </c>
    </row>
    <row r="8033" spans="1:34" ht="14.5" x14ac:dyDescent="0.35">
      <c r="A8033" s="34"/>
      <c r="B8033" s="35"/>
      <c r="C8033" s="36"/>
      <c r="D8033" s="37"/>
      <c r="E8033" s="36"/>
      <c r="F8033" s="42"/>
      <c r="G8033" s="42"/>
      <c r="H8033" s="42"/>
      <c r="AG8033" s="19">
        <v>8032</v>
      </c>
      <c r="AH8033" s="20">
        <v>1982.2406442300321</v>
      </c>
    </row>
    <row r="8034" spans="1:34" ht="14.5" x14ac:dyDescent="0.35">
      <c r="A8034" s="34"/>
      <c r="B8034" s="35"/>
      <c r="C8034" s="36"/>
      <c r="D8034" s="37"/>
      <c r="E8034" s="36"/>
      <c r="F8034" s="42"/>
      <c r="G8034" s="42"/>
      <c r="H8034" s="42"/>
      <c r="AG8034" s="19">
        <v>8033</v>
      </c>
      <c r="AH8034" s="20">
        <v>1198.6315666270209</v>
      </c>
    </row>
    <row r="8035" spans="1:34" ht="14.5" x14ac:dyDescent="0.35">
      <c r="A8035" s="34"/>
      <c r="B8035" s="35"/>
      <c r="C8035" s="36"/>
      <c r="D8035" s="37"/>
      <c r="E8035" s="36"/>
      <c r="F8035" s="42"/>
      <c r="G8035" s="42"/>
      <c r="H8035" s="42"/>
      <c r="AG8035" s="19">
        <v>8034</v>
      </c>
      <c r="AH8035" s="20">
        <v>1336.8518552824003</v>
      </c>
    </row>
    <row r="8036" spans="1:34" ht="14.5" x14ac:dyDescent="0.35">
      <c r="A8036" s="34"/>
      <c r="B8036" s="35"/>
      <c r="C8036" s="36"/>
      <c r="D8036" s="37"/>
      <c r="E8036" s="36"/>
      <c r="F8036" s="42"/>
      <c r="G8036" s="42"/>
      <c r="H8036" s="42"/>
      <c r="AG8036" s="19">
        <v>8035</v>
      </c>
      <c r="AH8036" s="20">
        <v>1439.5633730487468</v>
      </c>
    </row>
    <row r="8037" spans="1:34" ht="14.5" x14ac:dyDescent="0.35">
      <c r="A8037" s="34"/>
      <c r="B8037" s="35"/>
      <c r="C8037" s="36"/>
      <c r="D8037" s="37"/>
      <c r="E8037" s="36"/>
      <c r="F8037" s="42"/>
      <c r="G8037" s="42"/>
      <c r="H8037" s="42"/>
      <c r="AG8037" s="19">
        <v>8036</v>
      </c>
      <c r="AH8037" s="20">
        <v>161.37656386481635</v>
      </c>
    </row>
    <row r="8038" spans="1:34" ht="14.5" x14ac:dyDescent="0.35">
      <c r="A8038" s="34"/>
      <c r="B8038" s="35"/>
      <c r="C8038" s="36"/>
      <c r="D8038" s="37"/>
      <c r="E8038" s="36"/>
      <c r="F8038" s="42"/>
      <c r="G8038" s="42"/>
      <c r="H8038" s="42"/>
      <c r="AG8038" s="19">
        <v>8037</v>
      </c>
      <c r="AH8038" s="20">
        <v>-3184.1507339384671</v>
      </c>
    </row>
    <row r="8039" spans="1:34" ht="14.5" x14ac:dyDescent="0.35">
      <c r="A8039" s="34"/>
      <c r="B8039" s="35"/>
      <c r="C8039" s="36"/>
      <c r="D8039" s="37"/>
      <c r="E8039" s="36"/>
      <c r="F8039" s="42"/>
      <c r="G8039" s="42"/>
      <c r="H8039" s="42"/>
      <c r="AG8039" s="19">
        <v>8038</v>
      </c>
      <c r="AH8039" s="20">
        <v>1548.313504375936</v>
      </c>
    </row>
    <row r="8040" spans="1:34" ht="14.5" x14ac:dyDescent="0.35">
      <c r="A8040" s="34"/>
      <c r="B8040" s="35"/>
      <c r="C8040" s="36"/>
      <c r="D8040" s="37"/>
      <c r="E8040" s="36"/>
      <c r="F8040" s="42"/>
      <c r="G8040" s="42"/>
      <c r="H8040" s="42"/>
      <c r="AG8040" s="19">
        <v>8039</v>
      </c>
      <c r="AH8040" s="20">
        <v>2180.8703674201411</v>
      </c>
    </row>
    <row r="8041" spans="1:34" ht="14.5" x14ac:dyDescent="0.35">
      <c r="A8041" s="34"/>
      <c r="B8041" s="35"/>
      <c r="C8041" s="36"/>
      <c r="D8041" s="37"/>
      <c r="E8041" s="36"/>
      <c r="F8041" s="42"/>
      <c r="G8041" s="42"/>
      <c r="H8041" s="42"/>
      <c r="AG8041" s="19">
        <v>8040</v>
      </c>
      <c r="AH8041" s="20">
        <v>-89.793078184872627</v>
      </c>
    </row>
    <row r="8042" spans="1:34" ht="14.5" x14ac:dyDescent="0.35">
      <c r="A8042" s="34"/>
      <c r="B8042" s="35"/>
      <c r="C8042" s="36"/>
      <c r="D8042" s="37"/>
      <c r="E8042" s="36"/>
      <c r="F8042" s="42"/>
      <c r="G8042" s="42"/>
      <c r="H8042" s="42"/>
      <c r="AG8042" s="19">
        <v>8041</v>
      </c>
      <c r="AH8042" s="20">
        <v>434.61907903744049</v>
      </c>
    </row>
    <row r="8043" spans="1:34" ht="14.5" x14ac:dyDescent="0.35">
      <c r="A8043" s="34"/>
      <c r="B8043" s="35"/>
      <c r="C8043" s="36"/>
      <c r="D8043" s="37"/>
      <c r="E8043" s="36"/>
      <c r="F8043" s="42"/>
      <c r="G8043" s="42"/>
      <c r="H8043" s="42"/>
      <c r="AG8043" s="19">
        <v>8042</v>
      </c>
      <c r="AH8043" s="20">
        <v>-35.290311834875013</v>
      </c>
    </row>
    <row r="8044" spans="1:34" ht="14.5" x14ac:dyDescent="0.35">
      <c r="A8044" s="34"/>
      <c r="B8044" s="35"/>
      <c r="C8044" s="36"/>
      <c r="D8044" s="37"/>
      <c r="E8044" s="36"/>
      <c r="F8044" s="42"/>
      <c r="G8044" s="42"/>
      <c r="H8044" s="42"/>
      <c r="AG8044" s="19">
        <v>8043</v>
      </c>
      <c r="AH8044" s="20">
        <v>525.46307815249952</v>
      </c>
    </row>
    <row r="8045" spans="1:34" ht="14.5" x14ac:dyDescent="0.35">
      <c r="A8045" s="34"/>
      <c r="B8045" s="35"/>
      <c r="C8045" s="36"/>
      <c r="D8045" s="37"/>
      <c r="E8045" s="36"/>
      <c r="F8045" s="42"/>
      <c r="G8045" s="42"/>
      <c r="H8045" s="42"/>
      <c r="AG8045" s="19">
        <v>8044</v>
      </c>
      <c r="AH8045" s="20">
        <v>-1515.8597128719721</v>
      </c>
    </row>
    <row r="8046" spans="1:34" ht="14.5" x14ac:dyDescent="0.35">
      <c r="A8046" s="34"/>
      <c r="B8046" s="35"/>
      <c r="C8046" s="36"/>
      <c r="D8046" s="37"/>
      <c r="E8046" s="36"/>
      <c r="F8046" s="42"/>
      <c r="G8046" s="42"/>
      <c r="H8046" s="42"/>
      <c r="AG8046" s="19">
        <v>8045</v>
      </c>
      <c r="AH8046" s="20">
        <v>-2369.3404550997434</v>
      </c>
    </row>
    <row r="8047" spans="1:34" ht="14.5" x14ac:dyDescent="0.35">
      <c r="A8047" s="34"/>
      <c r="B8047" s="35"/>
      <c r="C8047" s="36"/>
      <c r="D8047" s="37"/>
      <c r="E8047" s="36"/>
      <c r="F8047" s="42"/>
      <c r="G8047" s="42"/>
      <c r="H8047" s="42"/>
      <c r="AG8047" s="19">
        <v>8046</v>
      </c>
      <c r="AH8047" s="20">
        <v>1381.349532533615</v>
      </c>
    </row>
    <row r="8048" spans="1:34" ht="14.5" x14ac:dyDescent="0.35">
      <c r="A8048" s="34"/>
      <c r="B8048" s="35"/>
      <c r="C8048" s="36"/>
      <c r="D8048" s="37"/>
      <c r="E8048" s="36"/>
      <c r="F8048" s="42"/>
      <c r="G8048" s="42"/>
      <c r="H8048" s="42"/>
      <c r="AG8048" s="19">
        <v>8047</v>
      </c>
      <c r="AH8048" s="20">
        <v>-181.82896805060551</v>
      </c>
    </row>
    <row r="8049" spans="1:34" ht="14.5" x14ac:dyDescent="0.35">
      <c r="A8049" s="34"/>
      <c r="B8049" s="35"/>
      <c r="C8049" s="36"/>
      <c r="D8049" s="37"/>
      <c r="E8049" s="36"/>
      <c r="F8049" s="42"/>
      <c r="G8049" s="42"/>
      <c r="H8049" s="42"/>
      <c r="AG8049" s="19">
        <v>8048</v>
      </c>
      <c r="AH8049" s="20">
        <v>-2713.3567640022397</v>
      </c>
    </row>
    <row r="8050" spans="1:34" ht="14.5" x14ac:dyDescent="0.35">
      <c r="A8050" s="34"/>
      <c r="B8050" s="35"/>
      <c r="C8050" s="36"/>
      <c r="D8050" s="37"/>
      <c r="E8050" s="36"/>
      <c r="F8050" s="42"/>
      <c r="G8050" s="42"/>
      <c r="H8050" s="42"/>
      <c r="AG8050" s="19">
        <v>8049</v>
      </c>
      <c r="AH8050" s="20">
        <v>1426.7359079818093</v>
      </c>
    </row>
    <row r="8051" spans="1:34" ht="14.5" x14ac:dyDescent="0.35">
      <c r="A8051" s="34"/>
      <c r="B8051" s="35"/>
      <c r="C8051" s="36"/>
      <c r="D8051" s="37"/>
      <c r="E8051" s="36"/>
      <c r="F8051" s="42"/>
      <c r="G8051" s="42"/>
      <c r="H8051" s="42"/>
      <c r="AG8051" s="19">
        <v>8050</v>
      </c>
      <c r="AH8051" s="20">
        <v>724.25915866210266</v>
      </c>
    </row>
    <row r="8052" spans="1:34" ht="14.5" x14ac:dyDescent="0.35">
      <c r="A8052" s="34"/>
      <c r="B8052" s="35"/>
      <c r="C8052" s="36"/>
      <c r="D8052" s="37"/>
      <c r="E8052" s="36"/>
      <c r="F8052" s="42"/>
      <c r="G8052" s="42"/>
      <c r="H8052" s="42"/>
      <c r="AG8052" s="19">
        <v>8051</v>
      </c>
      <c r="AH8052" s="20">
        <v>4473.1786868871313</v>
      </c>
    </row>
    <row r="8053" spans="1:34" ht="14.5" x14ac:dyDescent="0.35">
      <c r="A8053" s="34"/>
      <c r="B8053" s="35"/>
      <c r="C8053" s="36"/>
      <c r="D8053" s="37"/>
      <c r="E8053" s="36"/>
      <c r="F8053" s="42"/>
      <c r="G8053" s="42"/>
      <c r="H8053" s="42"/>
      <c r="AG8053" s="19">
        <v>8052</v>
      </c>
      <c r="AH8053" s="20">
        <v>1984.615487751737</v>
      </c>
    </row>
    <row r="8054" spans="1:34" ht="14.5" x14ac:dyDescent="0.35">
      <c r="A8054" s="34"/>
      <c r="B8054" s="35"/>
      <c r="C8054" s="36"/>
      <c r="D8054" s="37"/>
      <c r="E8054" s="36"/>
      <c r="F8054" s="42"/>
      <c r="G8054" s="42"/>
      <c r="H8054" s="42"/>
      <c r="AG8054" s="19">
        <v>8053</v>
      </c>
      <c r="AH8054" s="20">
        <v>1508.1102914985452</v>
      </c>
    </row>
    <row r="8055" spans="1:34" ht="14.5" x14ac:dyDescent="0.35">
      <c r="A8055" s="34"/>
      <c r="B8055" s="35"/>
      <c r="C8055" s="36"/>
      <c r="D8055" s="37"/>
      <c r="E8055" s="36"/>
      <c r="F8055" s="42"/>
      <c r="G8055" s="42"/>
      <c r="H8055" s="42"/>
      <c r="AG8055" s="19">
        <v>8054</v>
      </c>
      <c r="AH8055" s="20">
        <v>1986.4306578642461</v>
      </c>
    </row>
    <row r="8056" spans="1:34" ht="14.5" x14ac:dyDescent="0.35">
      <c r="A8056" s="34"/>
      <c r="B8056" s="35"/>
      <c r="C8056" s="36"/>
      <c r="D8056" s="37"/>
      <c r="E8056" s="36"/>
      <c r="F8056" s="42"/>
      <c r="G8056" s="42"/>
      <c r="H8056" s="42"/>
      <c r="AG8056" s="19">
        <v>8055</v>
      </c>
      <c r="AH8056" s="20">
        <v>2.2847570238202479</v>
      </c>
    </row>
    <row r="8057" spans="1:34" ht="14.5" x14ac:dyDescent="0.35">
      <c r="A8057" s="34"/>
      <c r="B8057" s="35"/>
      <c r="C8057" s="36"/>
      <c r="D8057" s="37"/>
      <c r="E8057" s="36"/>
      <c r="F8057" s="42"/>
      <c r="G8057" s="42"/>
      <c r="H8057" s="42"/>
      <c r="AG8057" s="19">
        <v>8056</v>
      </c>
      <c r="AH8057" s="20">
        <v>-2151.7513930862651</v>
      </c>
    </row>
    <row r="8058" spans="1:34" ht="14.5" x14ac:dyDescent="0.35">
      <c r="A8058" s="34"/>
      <c r="B8058" s="35"/>
      <c r="C8058" s="36"/>
      <c r="D8058" s="37"/>
      <c r="E8058" s="36"/>
      <c r="F8058" s="42"/>
      <c r="G8058" s="42"/>
      <c r="H8058" s="42"/>
      <c r="AG8058" s="19">
        <v>8057</v>
      </c>
      <c r="AH8058" s="20">
        <v>478.0022773313454</v>
      </c>
    </row>
    <row r="8059" spans="1:34" ht="14.5" x14ac:dyDescent="0.35">
      <c r="A8059" s="34"/>
      <c r="B8059" s="35"/>
      <c r="C8059" s="36"/>
      <c r="D8059" s="37"/>
      <c r="E8059" s="36"/>
      <c r="F8059" s="42"/>
      <c r="G8059" s="42"/>
      <c r="H8059" s="42"/>
      <c r="AG8059" s="19">
        <v>8058</v>
      </c>
      <c r="AH8059" s="20">
        <v>3247.9816914234289</v>
      </c>
    </row>
    <row r="8060" spans="1:34" ht="14.5" x14ac:dyDescent="0.35">
      <c r="A8060" s="34"/>
      <c r="B8060" s="35"/>
      <c r="C8060" s="36"/>
      <c r="D8060" s="37"/>
      <c r="E8060" s="36"/>
      <c r="F8060" s="42"/>
      <c r="G8060" s="42"/>
      <c r="H8060" s="42"/>
      <c r="AG8060" s="19">
        <v>8059</v>
      </c>
      <c r="AH8060" s="20">
        <v>546.33717799091403</v>
      </c>
    </row>
    <row r="8061" spans="1:34" ht="14.5" x14ac:dyDescent="0.35">
      <c r="A8061" s="34"/>
      <c r="B8061" s="35"/>
      <c r="C8061" s="36"/>
      <c r="D8061" s="37"/>
      <c r="E8061" s="36"/>
      <c r="F8061" s="42"/>
      <c r="G8061" s="42"/>
      <c r="H8061" s="42"/>
      <c r="AG8061" s="19">
        <v>8060</v>
      </c>
      <c r="AH8061" s="20">
        <v>-977.43661404648242</v>
      </c>
    </row>
    <row r="8062" spans="1:34" ht="14.5" x14ac:dyDescent="0.35">
      <c r="A8062" s="34"/>
      <c r="B8062" s="35"/>
      <c r="C8062" s="36"/>
      <c r="D8062" s="37"/>
      <c r="E8062" s="36"/>
      <c r="F8062" s="42"/>
      <c r="G8062" s="42"/>
      <c r="H8062" s="42"/>
      <c r="AG8062" s="19">
        <v>8061</v>
      </c>
      <c r="AH8062" s="20">
        <v>-1410.9517840148451</v>
      </c>
    </row>
    <row r="8063" spans="1:34" ht="14.5" x14ac:dyDescent="0.35">
      <c r="A8063" s="34"/>
      <c r="B8063" s="35"/>
      <c r="C8063" s="36"/>
      <c r="D8063" s="37"/>
      <c r="E8063" s="36"/>
      <c r="F8063" s="42"/>
      <c r="G8063" s="42"/>
      <c r="H8063" s="42"/>
      <c r="AG8063" s="19">
        <v>8062</v>
      </c>
      <c r="AH8063" s="20">
        <v>721.32621293355055</v>
      </c>
    </row>
    <row r="8064" spans="1:34" ht="14.5" x14ac:dyDescent="0.35">
      <c r="A8064" s="34"/>
      <c r="B8064" s="35"/>
      <c r="C8064" s="36"/>
      <c r="D8064" s="37"/>
      <c r="E8064" s="36"/>
      <c r="F8064" s="42"/>
      <c r="G8064" s="42"/>
      <c r="H8064" s="42"/>
      <c r="AG8064" s="19">
        <v>8063</v>
      </c>
      <c r="AH8064" s="20">
        <v>-1727.8916287869226</v>
      </c>
    </row>
    <row r="8065" spans="1:34" ht="14.5" x14ac:dyDescent="0.35">
      <c r="A8065" s="34"/>
      <c r="B8065" s="35"/>
      <c r="C8065" s="36"/>
      <c r="D8065" s="37"/>
      <c r="E8065" s="36"/>
      <c r="F8065" s="42"/>
      <c r="G8065" s="42"/>
      <c r="H8065" s="42"/>
      <c r="AG8065" s="19">
        <v>8064</v>
      </c>
      <c r="AH8065" s="20">
        <v>-555.68716986098707</v>
      </c>
    </row>
    <row r="8066" spans="1:34" ht="14.5" x14ac:dyDescent="0.35">
      <c r="A8066" s="34"/>
      <c r="B8066" s="35"/>
      <c r="C8066" s="36"/>
      <c r="D8066" s="37"/>
      <c r="E8066" s="36"/>
      <c r="F8066" s="42"/>
      <c r="G8066" s="42"/>
      <c r="H8066" s="42"/>
      <c r="AG8066" s="19">
        <v>8065</v>
      </c>
      <c r="AH8066" s="20">
        <v>-938.20983042508487</v>
      </c>
    </row>
    <row r="8067" spans="1:34" ht="14.5" x14ac:dyDescent="0.35">
      <c r="A8067" s="34"/>
      <c r="B8067" s="35"/>
      <c r="C8067" s="36"/>
      <c r="D8067" s="37"/>
      <c r="E8067" s="36"/>
      <c r="F8067" s="42"/>
      <c r="G8067" s="42"/>
      <c r="H8067" s="42"/>
      <c r="AG8067" s="19">
        <v>8066</v>
      </c>
      <c r="AH8067" s="20">
        <v>5448.849074078782</v>
      </c>
    </row>
    <row r="8068" spans="1:34" ht="14.5" x14ac:dyDescent="0.35">
      <c r="A8068" s="34"/>
      <c r="B8068" s="35"/>
      <c r="C8068" s="36"/>
      <c r="D8068" s="37"/>
      <c r="E8068" s="36"/>
      <c r="F8068" s="42"/>
      <c r="G8068" s="42"/>
      <c r="H8068" s="42"/>
      <c r="AG8068" s="19">
        <v>8067</v>
      </c>
      <c r="AH8068" s="20">
        <v>5133.8648312516634</v>
      </c>
    </row>
    <row r="8069" spans="1:34" ht="14.5" x14ac:dyDescent="0.35">
      <c r="A8069" s="34"/>
      <c r="B8069" s="35"/>
      <c r="C8069" s="36"/>
      <c r="D8069" s="37"/>
      <c r="E8069" s="36"/>
      <c r="F8069" s="42"/>
      <c r="G8069" s="42"/>
      <c r="H8069" s="42"/>
      <c r="AG8069" s="19">
        <v>8068</v>
      </c>
      <c r="AH8069" s="20">
        <v>1997.3293373858073</v>
      </c>
    </row>
    <row r="8070" spans="1:34" ht="14.5" x14ac:dyDescent="0.35">
      <c r="A8070" s="34"/>
      <c r="B8070" s="35"/>
      <c r="C8070" s="36"/>
      <c r="D8070" s="37"/>
      <c r="E8070" s="36"/>
      <c r="F8070" s="42"/>
      <c r="G8070" s="42"/>
      <c r="H8070" s="42"/>
      <c r="AG8070" s="19">
        <v>8069</v>
      </c>
      <c r="AH8070" s="20">
        <v>638.85158438781741</v>
      </c>
    </row>
    <row r="8071" spans="1:34" ht="14.5" x14ac:dyDescent="0.35">
      <c r="A8071" s="34"/>
      <c r="B8071" s="35"/>
      <c r="C8071" s="36"/>
      <c r="D8071" s="37"/>
      <c r="E8071" s="36"/>
      <c r="F8071" s="42"/>
      <c r="G8071" s="42"/>
      <c r="H8071" s="42"/>
      <c r="AG8071" s="19">
        <v>8070</v>
      </c>
      <c r="AH8071" s="20">
        <v>627.61984811872765</v>
      </c>
    </row>
    <row r="8072" spans="1:34" ht="14.5" x14ac:dyDescent="0.35">
      <c r="A8072" s="34"/>
      <c r="B8072" s="35"/>
      <c r="C8072" s="36"/>
      <c r="D8072" s="37"/>
      <c r="E8072" s="36"/>
      <c r="F8072" s="42"/>
      <c r="G8072" s="42"/>
      <c r="H8072" s="42"/>
      <c r="AG8072" s="19">
        <v>8071</v>
      </c>
      <c r="AH8072" s="20">
        <v>-4191.3562248670769</v>
      </c>
    </row>
    <row r="8073" spans="1:34" ht="14.5" x14ac:dyDescent="0.35">
      <c r="A8073" s="34"/>
      <c r="B8073" s="35"/>
      <c r="C8073" s="36"/>
      <c r="D8073" s="37"/>
      <c r="E8073" s="36"/>
      <c r="F8073" s="42"/>
      <c r="G8073" s="42"/>
      <c r="H8073" s="42"/>
      <c r="AG8073" s="19">
        <v>8072</v>
      </c>
      <c r="AH8073" s="20">
        <v>3269.553362445045</v>
      </c>
    </row>
    <row r="8074" spans="1:34" ht="14.5" x14ac:dyDescent="0.35">
      <c r="A8074" s="34"/>
      <c r="B8074" s="35"/>
      <c r="C8074" s="36"/>
      <c r="D8074" s="37"/>
      <c r="E8074" s="36"/>
      <c r="F8074" s="42"/>
      <c r="G8074" s="42"/>
      <c r="H8074" s="42"/>
      <c r="AG8074" s="19">
        <v>8073</v>
      </c>
      <c r="AH8074" s="20">
        <v>1869.909545843798</v>
      </c>
    </row>
    <row r="8075" spans="1:34" ht="14.5" x14ac:dyDescent="0.35">
      <c r="A8075" s="34"/>
      <c r="B8075" s="35"/>
      <c r="C8075" s="36"/>
      <c r="D8075" s="37"/>
      <c r="E8075" s="36"/>
      <c r="F8075" s="42"/>
      <c r="G8075" s="42"/>
      <c r="H8075" s="42"/>
      <c r="AG8075" s="19">
        <v>8074</v>
      </c>
      <c r="AH8075" s="20">
        <v>1744.6924653820131</v>
      </c>
    </row>
    <row r="8076" spans="1:34" ht="14.5" x14ac:dyDescent="0.35">
      <c r="A8076" s="34"/>
      <c r="B8076" s="35"/>
      <c r="C8076" s="36"/>
      <c r="D8076" s="37"/>
      <c r="E8076" s="36"/>
      <c r="F8076" s="42"/>
      <c r="G8076" s="42"/>
      <c r="H8076" s="42"/>
      <c r="AG8076" s="19">
        <v>8075</v>
      </c>
      <c r="AH8076" s="20">
        <v>-3547.061582734264</v>
      </c>
    </row>
    <row r="8077" spans="1:34" ht="14.5" x14ac:dyDescent="0.35">
      <c r="A8077" s="34"/>
      <c r="B8077" s="35"/>
      <c r="C8077" s="36"/>
      <c r="D8077" s="37"/>
      <c r="E8077" s="36"/>
      <c r="F8077" s="42"/>
      <c r="G8077" s="42"/>
      <c r="H8077" s="42"/>
      <c r="AG8077" s="19">
        <v>8076</v>
      </c>
      <c r="AH8077" s="20">
        <v>2479.3622442954543</v>
      </c>
    </row>
    <row r="8078" spans="1:34" ht="14.5" x14ac:dyDescent="0.35">
      <c r="A8078" s="34"/>
      <c r="B8078" s="35"/>
      <c r="C8078" s="36"/>
      <c r="D8078" s="37"/>
      <c r="E8078" s="36"/>
      <c r="F8078" s="42"/>
      <c r="G8078" s="42"/>
      <c r="H8078" s="42"/>
      <c r="AG8078" s="19">
        <v>8077</v>
      </c>
      <c r="AH8078" s="20">
        <v>-684.2744390097173</v>
      </c>
    </row>
    <row r="8079" spans="1:34" ht="14.5" x14ac:dyDescent="0.35">
      <c r="A8079" s="34"/>
      <c r="B8079" s="35"/>
      <c r="C8079" s="36"/>
      <c r="D8079" s="37"/>
      <c r="E8079" s="36"/>
      <c r="F8079" s="42"/>
      <c r="G8079" s="42"/>
      <c r="H8079" s="42"/>
      <c r="AG8079" s="19">
        <v>8078</v>
      </c>
      <c r="AH8079" s="20">
        <v>435.95150888645173</v>
      </c>
    </row>
    <row r="8080" spans="1:34" ht="14.5" x14ac:dyDescent="0.35">
      <c r="A8080" s="34"/>
      <c r="B8080" s="35"/>
      <c r="C8080" s="36"/>
      <c r="D8080" s="37"/>
      <c r="E8080" s="36"/>
      <c r="F8080" s="42"/>
      <c r="G8080" s="42"/>
      <c r="H8080" s="42"/>
      <c r="AG8080" s="19">
        <v>8079</v>
      </c>
      <c r="AH8080" s="20">
        <v>3920.1054269807091</v>
      </c>
    </row>
    <row r="8081" spans="1:34" ht="14.5" x14ac:dyDescent="0.35">
      <c r="A8081" s="34"/>
      <c r="B8081" s="35"/>
      <c r="C8081" s="36"/>
      <c r="D8081" s="37"/>
      <c r="E8081" s="36"/>
      <c r="F8081" s="42"/>
      <c r="G8081" s="42"/>
      <c r="H8081" s="42"/>
      <c r="AG8081" s="19">
        <v>8080</v>
      </c>
      <c r="AH8081" s="20">
        <v>713.34230757645912</v>
      </c>
    </row>
    <row r="8082" spans="1:34" ht="14.5" x14ac:dyDescent="0.35">
      <c r="A8082" s="34"/>
      <c r="B8082" s="35"/>
      <c r="C8082" s="36"/>
      <c r="D8082" s="37"/>
      <c r="E8082" s="36"/>
      <c r="F8082" s="42"/>
      <c r="G8082" s="42"/>
      <c r="H8082" s="42"/>
      <c r="AG8082" s="19">
        <v>8081</v>
      </c>
      <c r="AH8082" s="20">
        <v>29.902482465216451</v>
      </c>
    </row>
    <row r="8083" spans="1:34" ht="14.5" x14ac:dyDescent="0.35">
      <c r="A8083" s="34"/>
      <c r="B8083" s="35"/>
      <c r="C8083" s="36"/>
      <c r="D8083" s="37"/>
      <c r="E8083" s="36"/>
      <c r="F8083" s="42"/>
      <c r="G8083" s="42"/>
      <c r="H8083" s="42"/>
      <c r="AG8083" s="19">
        <v>8082</v>
      </c>
      <c r="AH8083" s="20">
        <v>355.6453735753654</v>
      </c>
    </row>
    <row r="8084" spans="1:34" ht="14.5" x14ac:dyDescent="0.35">
      <c r="A8084" s="34"/>
      <c r="B8084" s="35"/>
      <c r="C8084" s="36"/>
      <c r="D8084" s="37"/>
      <c r="E8084" s="36"/>
      <c r="F8084" s="42"/>
      <c r="G8084" s="42"/>
      <c r="H8084" s="42"/>
      <c r="AG8084" s="19">
        <v>8083</v>
      </c>
      <c r="AH8084" s="20">
        <v>1155.6118909198183</v>
      </c>
    </row>
    <row r="8085" spans="1:34" ht="14.5" x14ac:dyDescent="0.35">
      <c r="A8085" s="34"/>
      <c r="B8085" s="35"/>
      <c r="C8085" s="36"/>
      <c r="D8085" s="37"/>
      <c r="E8085" s="36"/>
      <c r="F8085" s="42"/>
      <c r="G8085" s="42"/>
      <c r="H8085" s="42"/>
      <c r="AG8085" s="19">
        <v>8084</v>
      </c>
      <c r="AH8085" s="20">
        <v>2310.4274040637065</v>
      </c>
    </row>
    <row r="8086" spans="1:34" ht="14.5" x14ac:dyDescent="0.35">
      <c r="A8086" s="34"/>
      <c r="B8086" s="35"/>
      <c r="C8086" s="36"/>
      <c r="D8086" s="37"/>
      <c r="E8086" s="36"/>
      <c r="F8086" s="42"/>
      <c r="G8086" s="42"/>
      <c r="H8086" s="42"/>
      <c r="AG8086" s="19">
        <v>8085</v>
      </c>
      <c r="AH8086" s="20">
        <v>-535.30284831516474</v>
      </c>
    </row>
    <row r="8087" spans="1:34" ht="14.5" x14ac:dyDescent="0.35">
      <c r="A8087" s="34"/>
      <c r="B8087" s="35"/>
      <c r="C8087" s="36"/>
      <c r="D8087" s="37"/>
      <c r="E8087" s="36"/>
      <c r="F8087" s="42"/>
      <c r="G8087" s="42"/>
      <c r="H8087" s="42"/>
      <c r="AG8087" s="19">
        <v>8086</v>
      </c>
      <c r="AH8087" s="20">
        <v>607.50162877677849</v>
      </c>
    </row>
    <row r="8088" spans="1:34" ht="14.5" x14ac:dyDescent="0.35">
      <c r="A8088" s="34"/>
      <c r="B8088" s="35"/>
      <c r="C8088" s="36"/>
      <c r="D8088" s="37"/>
      <c r="E8088" s="36"/>
      <c r="F8088" s="42"/>
      <c r="G8088" s="42"/>
      <c r="H8088" s="42"/>
      <c r="AG8088" s="19">
        <v>8087</v>
      </c>
      <c r="AH8088" s="20">
        <v>1278.5994260867083</v>
      </c>
    </row>
    <row r="8089" spans="1:34" ht="14.5" x14ac:dyDescent="0.35">
      <c r="A8089" s="34"/>
      <c r="B8089" s="35"/>
      <c r="C8089" s="36"/>
      <c r="D8089" s="37"/>
      <c r="E8089" s="36"/>
      <c r="F8089" s="42"/>
      <c r="G8089" s="42"/>
      <c r="H8089" s="42"/>
      <c r="AG8089" s="19">
        <v>8088</v>
      </c>
      <c r="AH8089" s="20">
        <v>3716.6180921316295</v>
      </c>
    </row>
    <row r="8090" spans="1:34" ht="14.5" x14ac:dyDescent="0.35">
      <c r="A8090" s="34"/>
      <c r="B8090" s="35"/>
      <c r="C8090" s="36"/>
      <c r="D8090" s="37"/>
      <c r="E8090" s="36"/>
      <c r="F8090" s="42"/>
      <c r="G8090" s="42"/>
      <c r="H8090" s="42"/>
      <c r="AG8090" s="19">
        <v>8089</v>
      </c>
      <c r="AH8090" s="20">
        <v>3394.946992810123</v>
      </c>
    </row>
    <row r="8091" spans="1:34" ht="14.5" x14ac:dyDescent="0.35">
      <c r="A8091" s="34"/>
      <c r="B8091" s="35"/>
      <c r="C8091" s="36"/>
      <c r="D8091" s="37"/>
      <c r="E8091" s="36"/>
      <c r="F8091" s="42"/>
      <c r="G8091" s="42"/>
      <c r="H8091" s="42"/>
      <c r="AG8091" s="19">
        <v>8090</v>
      </c>
      <c r="AH8091" s="20">
        <v>4.100744712453718</v>
      </c>
    </row>
    <row r="8092" spans="1:34" ht="14.5" x14ac:dyDescent="0.35">
      <c r="A8092" s="34"/>
      <c r="B8092" s="35"/>
      <c r="C8092" s="36"/>
      <c r="D8092" s="37"/>
      <c r="E8092" s="36"/>
      <c r="F8092" s="42"/>
      <c r="G8092" s="42"/>
      <c r="H8092" s="42"/>
      <c r="AG8092" s="19">
        <v>8091</v>
      </c>
      <c r="AH8092" s="20">
        <v>541.77322819400365</v>
      </c>
    </row>
    <row r="8093" spans="1:34" ht="14.5" x14ac:dyDescent="0.35">
      <c r="A8093" s="34"/>
      <c r="B8093" s="35"/>
      <c r="C8093" s="36"/>
      <c r="D8093" s="37"/>
      <c r="E8093" s="36"/>
      <c r="F8093" s="42"/>
      <c r="G8093" s="42"/>
      <c r="H8093" s="42"/>
      <c r="AG8093" s="19">
        <v>8092</v>
      </c>
      <c r="AH8093" s="20">
        <v>1286.3485407799865</v>
      </c>
    </row>
    <row r="8094" spans="1:34" ht="14.5" x14ac:dyDescent="0.35">
      <c r="A8094" s="34"/>
      <c r="B8094" s="35"/>
      <c r="C8094" s="36"/>
      <c r="D8094" s="37"/>
      <c r="E8094" s="36"/>
      <c r="F8094" s="42"/>
      <c r="G8094" s="42"/>
      <c r="H8094" s="42"/>
      <c r="AG8094" s="19">
        <v>8093</v>
      </c>
      <c r="AH8094" s="20">
        <v>-51.780501096654461</v>
      </c>
    </row>
    <row r="8095" spans="1:34" ht="14.5" x14ac:dyDescent="0.35">
      <c r="A8095" s="34"/>
      <c r="B8095" s="35"/>
      <c r="C8095" s="36"/>
      <c r="D8095" s="37"/>
      <c r="E8095" s="36"/>
      <c r="F8095" s="42"/>
      <c r="G8095" s="42"/>
      <c r="H8095" s="42"/>
      <c r="AG8095" s="19">
        <v>8094</v>
      </c>
      <c r="AH8095" s="20">
        <v>1427.2390397766355</v>
      </c>
    </row>
    <row r="8096" spans="1:34" ht="14.5" x14ac:dyDescent="0.35">
      <c r="A8096" s="34"/>
      <c r="B8096" s="35"/>
      <c r="C8096" s="36"/>
      <c r="D8096" s="37"/>
      <c r="E8096" s="36"/>
      <c r="F8096" s="42"/>
      <c r="G8096" s="42"/>
      <c r="H8096" s="42"/>
      <c r="AG8096" s="19">
        <v>8095</v>
      </c>
      <c r="AH8096" s="20">
        <v>900.61440593862028</v>
      </c>
    </row>
    <row r="8097" spans="1:34" ht="14.5" x14ac:dyDescent="0.35">
      <c r="A8097" s="34"/>
      <c r="B8097" s="35"/>
      <c r="C8097" s="36"/>
      <c r="D8097" s="37"/>
      <c r="E8097" s="36"/>
      <c r="F8097" s="42"/>
      <c r="G8097" s="42"/>
      <c r="H8097" s="42"/>
      <c r="AG8097" s="19">
        <v>8096</v>
      </c>
      <c r="AH8097" s="20">
        <v>2585.4199209069116</v>
      </c>
    </row>
    <row r="8098" spans="1:34" ht="14.5" x14ac:dyDescent="0.35">
      <c r="A8098" s="34"/>
      <c r="B8098" s="35"/>
      <c r="C8098" s="36"/>
      <c r="D8098" s="37"/>
      <c r="E8098" s="36"/>
      <c r="F8098" s="42"/>
      <c r="G8098" s="42"/>
      <c r="H8098" s="42"/>
      <c r="AG8098" s="19">
        <v>8097</v>
      </c>
      <c r="AH8098" s="20">
        <v>-416.0127248263247</v>
      </c>
    </row>
    <row r="8099" spans="1:34" ht="14.5" x14ac:dyDescent="0.35">
      <c r="A8099" s="34"/>
      <c r="B8099" s="35"/>
      <c r="C8099" s="36"/>
      <c r="D8099" s="37"/>
      <c r="E8099" s="36"/>
      <c r="F8099" s="42"/>
      <c r="G8099" s="42"/>
      <c r="H8099" s="42"/>
      <c r="AG8099" s="19">
        <v>8098</v>
      </c>
      <c r="AH8099" s="20">
        <v>2886.7319194264483</v>
      </c>
    </row>
    <row r="8100" spans="1:34" ht="14.5" x14ac:dyDescent="0.35">
      <c r="A8100" s="34"/>
      <c r="B8100" s="35"/>
      <c r="C8100" s="36"/>
      <c r="D8100" s="37"/>
      <c r="E8100" s="36"/>
      <c r="F8100" s="42"/>
      <c r="G8100" s="42"/>
      <c r="H8100" s="42"/>
      <c r="AG8100" s="19">
        <v>8099</v>
      </c>
      <c r="AH8100" s="20">
        <v>-5384.8548578540413</v>
      </c>
    </row>
    <row r="8101" spans="1:34" ht="14.5" x14ac:dyDescent="0.35">
      <c r="A8101" s="34"/>
      <c r="B8101" s="35"/>
      <c r="C8101" s="36"/>
      <c r="D8101" s="37"/>
      <c r="E8101" s="36"/>
      <c r="F8101" s="42"/>
      <c r="G8101" s="42"/>
      <c r="H8101" s="42"/>
      <c r="AG8101" s="19">
        <v>8100</v>
      </c>
      <c r="AH8101" s="20">
        <v>-570.21468640672674</v>
      </c>
    </row>
    <row r="8102" spans="1:34" ht="14.5" x14ac:dyDescent="0.35">
      <c r="A8102" s="34"/>
      <c r="B8102" s="35"/>
      <c r="C8102" s="36"/>
      <c r="D8102" s="37"/>
      <c r="E8102" s="36"/>
      <c r="F8102" s="42"/>
      <c r="G8102" s="42"/>
      <c r="H8102" s="42"/>
      <c r="AG8102" s="19">
        <v>8101</v>
      </c>
      <c r="AH8102" s="20">
        <v>1299.2835981382127</v>
      </c>
    </row>
    <row r="8103" spans="1:34" ht="14.5" x14ac:dyDescent="0.35">
      <c r="A8103" s="34"/>
      <c r="B8103" s="35"/>
      <c r="C8103" s="36"/>
      <c r="D8103" s="37"/>
      <c r="E8103" s="36"/>
      <c r="F8103" s="42"/>
      <c r="G8103" s="42"/>
      <c r="H8103" s="42"/>
      <c r="AG8103" s="19">
        <v>8102</v>
      </c>
      <c r="AH8103" s="20">
        <v>-567.41677698396802</v>
      </c>
    </row>
    <row r="8104" spans="1:34" ht="14.5" x14ac:dyDescent="0.35">
      <c r="A8104" s="34"/>
      <c r="B8104" s="35"/>
      <c r="C8104" s="36"/>
      <c r="D8104" s="37"/>
      <c r="E8104" s="36"/>
      <c r="F8104" s="42"/>
      <c r="G8104" s="42"/>
      <c r="H8104" s="42"/>
      <c r="AG8104" s="19">
        <v>8103</v>
      </c>
      <c r="AH8104" s="20">
        <v>-1318.4172038886288</v>
      </c>
    </row>
    <row r="8105" spans="1:34" ht="14.5" x14ac:dyDescent="0.35">
      <c r="A8105" s="34"/>
      <c r="B8105" s="35"/>
      <c r="C8105" s="36"/>
      <c r="D8105" s="37"/>
      <c r="E8105" s="36"/>
      <c r="F8105" s="42"/>
      <c r="G8105" s="42"/>
      <c r="H8105" s="42"/>
      <c r="AG8105" s="19">
        <v>8104</v>
      </c>
      <c r="AH8105" s="20">
        <v>521.87665060231984</v>
      </c>
    </row>
    <row r="8106" spans="1:34" ht="14.5" x14ac:dyDescent="0.35">
      <c r="A8106" s="34"/>
      <c r="B8106" s="35"/>
      <c r="C8106" s="36"/>
      <c r="D8106" s="37"/>
      <c r="E8106" s="36"/>
      <c r="F8106" s="42"/>
      <c r="G8106" s="42"/>
      <c r="H8106" s="42"/>
      <c r="AG8106" s="19">
        <v>8105</v>
      </c>
      <c r="AH8106" s="20">
        <v>-333.08451076583498</v>
      </c>
    </row>
    <row r="8107" spans="1:34" ht="14.5" x14ac:dyDescent="0.35">
      <c r="A8107" s="34"/>
      <c r="B8107" s="35"/>
      <c r="C8107" s="36"/>
      <c r="D8107" s="37"/>
      <c r="E8107" s="36"/>
      <c r="F8107" s="42"/>
      <c r="G8107" s="42"/>
      <c r="H8107" s="42"/>
      <c r="AG8107" s="19">
        <v>8106</v>
      </c>
      <c r="AH8107" s="20">
        <v>5217.6635183854232</v>
      </c>
    </row>
    <row r="8108" spans="1:34" ht="14.5" x14ac:dyDescent="0.35">
      <c r="A8108" s="34"/>
      <c r="B8108" s="35"/>
      <c r="C8108" s="36"/>
      <c r="D8108" s="37"/>
      <c r="E8108" s="36"/>
      <c r="F8108" s="42"/>
      <c r="G8108" s="42"/>
      <c r="H8108" s="42"/>
      <c r="AG8108" s="19">
        <v>8107</v>
      </c>
      <c r="AH8108" s="20">
        <v>-3356.9011464309247</v>
      </c>
    </row>
    <row r="8109" spans="1:34" ht="14.5" x14ac:dyDescent="0.35">
      <c r="A8109" s="34"/>
      <c r="B8109" s="35"/>
      <c r="C8109" s="36"/>
      <c r="D8109" s="37"/>
      <c r="E8109" s="36"/>
      <c r="F8109" s="42"/>
      <c r="G8109" s="42"/>
      <c r="H8109" s="42"/>
      <c r="AG8109" s="19">
        <v>8108</v>
      </c>
      <c r="AH8109" s="20">
        <v>-1971.132159645955</v>
      </c>
    </row>
    <row r="8110" spans="1:34" ht="14.5" x14ac:dyDescent="0.35">
      <c r="A8110" s="34"/>
      <c r="B8110" s="35"/>
      <c r="C8110" s="36"/>
      <c r="D8110" s="37"/>
      <c r="E8110" s="36"/>
      <c r="F8110" s="42"/>
      <c r="G8110" s="42"/>
      <c r="H8110" s="42"/>
      <c r="AG8110" s="19">
        <v>8109</v>
      </c>
      <c r="AH8110" s="20">
        <v>206.14101118513713</v>
      </c>
    </row>
    <row r="8111" spans="1:34" ht="14.5" x14ac:dyDescent="0.35">
      <c r="A8111" s="34"/>
      <c r="B8111" s="35"/>
      <c r="C8111" s="36"/>
      <c r="D8111" s="37"/>
      <c r="E8111" s="36"/>
      <c r="F8111" s="42"/>
      <c r="G8111" s="42"/>
      <c r="H8111" s="42"/>
      <c r="AG8111" s="19">
        <v>8110</v>
      </c>
      <c r="AH8111" s="20">
        <v>836.44060166850977</v>
      </c>
    </row>
    <row r="8112" spans="1:34" ht="14.5" x14ac:dyDescent="0.35">
      <c r="A8112" s="34"/>
      <c r="B8112" s="35"/>
      <c r="C8112" s="36"/>
      <c r="D8112" s="37"/>
      <c r="E8112" s="36"/>
      <c r="F8112" s="42"/>
      <c r="G8112" s="42"/>
      <c r="H8112" s="42"/>
      <c r="AG8112" s="19">
        <v>8111</v>
      </c>
      <c r="AH8112" s="20">
        <v>-1840.7801811983607</v>
      </c>
    </row>
    <row r="8113" spans="1:34" ht="14.5" x14ac:dyDescent="0.35">
      <c r="A8113" s="34"/>
      <c r="B8113" s="35"/>
      <c r="C8113" s="36"/>
      <c r="D8113" s="37"/>
      <c r="E8113" s="36"/>
      <c r="F8113" s="42"/>
      <c r="G8113" s="42"/>
      <c r="H8113" s="42"/>
      <c r="AG8113" s="19">
        <v>8112</v>
      </c>
      <c r="AH8113" s="20">
        <v>-651.33101333009154</v>
      </c>
    </row>
    <row r="8114" spans="1:34" ht="14.5" x14ac:dyDescent="0.35">
      <c r="A8114" s="34"/>
      <c r="B8114" s="35"/>
      <c r="C8114" s="36"/>
      <c r="D8114" s="37"/>
      <c r="E8114" s="36"/>
      <c r="F8114" s="42"/>
      <c r="G8114" s="42"/>
      <c r="H8114" s="42"/>
      <c r="AG8114" s="19">
        <v>8113</v>
      </c>
      <c r="AH8114" s="20">
        <v>238.16624390137918</v>
      </c>
    </row>
    <row r="8115" spans="1:34" ht="14.5" x14ac:dyDescent="0.35">
      <c r="A8115" s="34"/>
      <c r="B8115" s="35"/>
      <c r="C8115" s="36"/>
      <c r="D8115" s="37"/>
      <c r="E8115" s="36"/>
      <c r="F8115" s="42"/>
      <c r="G8115" s="42"/>
      <c r="H8115" s="42"/>
      <c r="AG8115" s="19">
        <v>8114</v>
      </c>
      <c r="AH8115" s="20">
        <v>445.61760845990449</v>
      </c>
    </row>
    <row r="8116" spans="1:34" ht="14.5" x14ac:dyDescent="0.35">
      <c r="A8116" s="34"/>
      <c r="B8116" s="35"/>
      <c r="C8116" s="36"/>
      <c r="D8116" s="37"/>
      <c r="E8116" s="36"/>
      <c r="F8116" s="42"/>
      <c r="G8116" s="42"/>
      <c r="H8116" s="42"/>
      <c r="AG8116" s="19">
        <v>8115</v>
      </c>
      <c r="AH8116" s="20">
        <v>-1307.5440092010581</v>
      </c>
    </row>
    <row r="8117" spans="1:34" ht="14.5" x14ac:dyDescent="0.35">
      <c r="A8117" s="34"/>
      <c r="B8117" s="35"/>
      <c r="C8117" s="36"/>
      <c r="D8117" s="37"/>
      <c r="E8117" s="36"/>
      <c r="F8117" s="42"/>
      <c r="G8117" s="42"/>
      <c r="H8117" s="42"/>
      <c r="AG8117" s="19">
        <v>8116</v>
      </c>
      <c r="AH8117" s="20">
        <v>683.54043298881197</v>
      </c>
    </row>
    <row r="8118" spans="1:34" ht="14.5" x14ac:dyDescent="0.35">
      <c r="A8118" s="34"/>
      <c r="B8118" s="35"/>
      <c r="C8118" s="36"/>
      <c r="D8118" s="37"/>
      <c r="E8118" s="36"/>
      <c r="F8118" s="42"/>
      <c r="G8118" s="42"/>
      <c r="H8118" s="42"/>
      <c r="AG8118" s="19">
        <v>8117</v>
      </c>
      <c r="AH8118" s="20">
        <v>3289.9941770483624</v>
      </c>
    </row>
    <row r="8119" spans="1:34" ht="14.5" x14ac:dyDescent="0.35">
      <c r="A8119" s="34"/>
      <c r="B8119" s="35"/>
      <c r="C8119" s="36"/>
      <c r="D8119" s="37"/>
      <c r="E8119" s="36"/>
      <c r="F8119" s="42"/>
      <c r="G8119" s="42"/>
      <c r="H8119" s="42"/>
      <c r="AG8119" s="19">
        <v>8118</v>
      </c>
      <c r="AH8119" s="20">
        <v>-980.64731356569382</v>
      </c>
    </row>
    <row r="8120" spans="1:34" ht="14.5" x14ac:dyDescent="0.35">
      <c r="A8120" s="34"/>
      <c r="B8120" s="35"/>
      <c r="C8120" s="36"/>
      <c r="D8120" s="37"/>
      <c r="E8120" s="36"/>
      <c r="F8120" s="42"/>
      <c r="G8120" s="42"/>
      <c r="H8120" s="42"/>
      <c r="AG8120" s="19">
        <v>8119</v>
      </c>
      <c r="AH8120" s="20">
        <v>1516.2844268011845</v>
      </c>
    </row>
    <row r="8121" spans="1:34" ht="14.5" x14ac:dyDescent="0.35">
      <c r="A8121" s="34"/>
      <c r="B8121" s="35"/>
      <c r="C8121" s="36"/>
      <c r="D8121" s="37"/>
      <c r="E8121" s="36"/>
      <c r="F8121" s="42"/>
      <c r="G8121" s="42"/>
      <c r="H8121" s="42"/>
      <c r="AG8121" s="19">
        <v>8120</v>
      </c>
      <c r="AH8121" s="20">
        <v>-2311.817138579157</v>
      </c>
    </row>
    <row r="8122" spans="1:34" ht="14.5" x14ac:dyDescent="0.35">
      <c r="A8122" s="34"/>
      <c r="B8122" s="35"/>
      <c r="C8122" s="36"/>
      <c r="D8122" s="37"/>
      <c r="E8122" s="36"/>
      <c r="F8122" s="42"/>
      <c r="G8122" s="42"/>
      <c r="H8122" s="42"/>
      <c r="AG8122" s="19">
        <v>8121</v>
      </c>
      <c r="AH8122" s="20">
        <v>-1475.6486532773542</v>
      </c>
    </row>
    <row r="8123" spans="1:34" ht="14.5" x14ac:dyDescent="0.35">
      <c r="A8123" s="34"/>
      <c r="B8123" s="35"/>
      <c r="C8123" s="36"/>
      <c r="D8123" s="37"/>
      <c r="E8123" s="36"/>
      <c r="F8123" s="42"/>
      <c r="G8123" s="42"/>
      <c r="H8123" s="42"/>
      <c r="AG8123" s="19">
        <v>8122</v>
      </c>
      <c r="AH8123" s="20">
        <v>-847.07530186348799</v>
      </c>
    </row>
    <row r="8124" spans="1:34" ht="14.5" x14ac:dyDescent="0.35">
      <c r="A8124" s="34"/>
      <c r="B8124" s="35"/>
      <c r="C8124" s="36"/>
      <c r="D8124" s="37"/>
      <c r="E8124" s="36"/>
      <c r="F8124" s="42"/>
      <c r="G8124" s="42"/>
      <c r="H8124" s="42"/>
      <c r="AG8124" s="19">
        <v>8123</v>
      </c>
      <c r="AH8124" s="20">
        <v>-4437.2938116677833</v>
      </c>
    </row>
    <row r="8125" spans="1:34" ht="14.5" x14ac:dyDescent="0.35">
      <c r="A8125" s="34"/>
      <c r="B8125" s="35"/>
      <c r="C8125" s="36"/>
      <c r="D8125" s="37"/>
      <c r="E8125" s="36"/>
      <c r="F8125" s="42"/>
      <c r="G8125" s="42"/>
      <c r="H8125" s="42"/>
      <c r="AG8125" s="19">
        <v>8124</v>
      </c>
      <c r="AH8125" s="20">
        <v>651.1690748028484</v>
      </c>
    </row>
    <row r="8126" spans="1:34" ht="14.5" x14ac:dyDescent="0.35">
      <c r="A8126" s="34"/>
      <c r="B8126" s="35"/>
      <c r="C8126" s="36"/>
      <c r="D8126" s="37"/>
      <c r="E8126" s="36"/>
      <c r="F8126" s="42"/>
      <c r="G8126" s="42"/>
      <c r="H8126" s="42"/>
      <c r="AG8126" s="19">
        <v>8125</v>
      </c>
      <c r="AH8126" s="20">
        <v>2697.0368814890253</v>
      </c>
    </row>
    <row r="8127" spans="1:34" ht="14.5" x14ac:dyDescent="0.35">
      <c r="A8127" s="34"/>
      <c r="B8127" s="35"/>
      <c r="C8127" s="36"/>
      <c r="D8127" s="37"/>
      <c r="E8127" s="36"/>
      <c r="F8127" s="42"/>
      <c r="G8127" s="42"/>
      <c r="H8127" s="42"/>
      <c r="AG8127" s="19">
        <v>8126</v>
      </c>
      <c r="AH8127" s="20">
        <v>-758.04722703755783</v>
      </c>
    </row>
    <row r="8128" spans="1:34" ht="14.5" x14ac:dyDescent="0.35">
      <c r="A8128" s="34"/>
      <c r="B8128" s="35"/>
      <c r="C8128" s="36"/>
      <c r="D8128" s="37"/>
      <c r="E8128" s="36"/>
      <c r="F8128" s="42"/>
      <c r="G8128" s="42"/>
      <c r="H8128" s="42"/>
      <c r="AG8128" s="19">
        <v>8127</v>
      </c>
      <c r="AH8128" s="20">
        <v>-2538.234202304026</v>
      </c>
    </row>
    <row r="8129" spans="1:34" ht="14.5" x14ac:dyDescent="0.35">
      <c r="A8129" s="34"/>
      <c r="B8129" s="35"/>
      <c r="C8129" s="36"/>
      <c r="D8129" s="37"/>
      <c r="E8129" s="36"/>
      <c r="F8129" s="42"/>
      <c r="G8129" s="42"/>
      <c r="H8129" s="42"/>
      <c r="AG8129" s="19">
        <v>8128</v>
      </c>
      <c r="AH8129" s="20">
        <v>650.90393366675607</v>
      </c>
    </row>
    <row r="8130" spans="1:34" ht="14.5" x14ac:dyDescent="0.35">
      <c r="A8130" s="34"/>
      <c r="B8130" s="35"/>
      <c r="C8130" s="36"/>
      <c r="D8130" s="37"/>
      <c r="E8130" s="36"/>
      <c r="F8130" s="42"/>
      <c r="G8130" s="42"/>
      <c r="H8130" s="42"/>
      <c r="AG8130" s="19">
        <v>8129</v>
      </c>
      <c r="AH8130" s="20">
        <v>-949.22580270090316</v>
      </c>
    </row>
    <row r="8131" spans="1:34" ht="14.5" x14ac:dyDescent="0.35">
      <c r="A8131" s="34"/>
      <c r="B8131" s="35"/>
      <c r="C8131" s="36"/>
      <c r="D8131" s="37"/>
      <c r="E8131" s="36"/>
      <c r="F8131" s="42"/>
      <c r="G8131" s="42"/>
      <c r="H8131" s="42"/>
      <c r="AG8131" s="19">
        <v>8130</v>
      </c>
      <c r="AH8131" s="20">
        <v>558.60450114861385</v>
      </c>
    </row>
    <row r="8132" spans="1:34" ht="14.5" x14ac:dyDescent="0.35">
      <c r="A8132" s="34"/>
      <c r="B8132" s="35"/>
      <c r="C8132" s="36"/>
      <c r="D8132" s="37"/>
      <c r="E8132" s="36"/>
      <c r="F8132" s="42"/>
      <c r="G8132" s="42"/>
      <c r="H8132" s="42"/>
      <c r="AG8132" s="19">
        <v>8131</v>
      </c>
      <c r="AH8132" s="20">
        <v>353.9819234522044</v>
      </c>
    </row>
    <row r="8133" spans="1:34" ht="14.5" x14ac:dyDescent="0.35">
      <c r="A8133" s="34"/>
      <c r="B8133" s="35"/>
      <c r="C8133" s="36"/>
      <c r="D8133" s="37"/>
      <c r="E8133" s="36"/>
      <c r="F8133" s="42"/>
      <c r="G8133" s="42"/>
      <c r="H8133" s="42"/>
      <c r="AG8133" s="19">
        <v>8132</v>
      </c>
      <c r="AH8133" s="20">
        <v>-585.46731210245457</v>
      </c>
    </row>
    <row r="8134" spans="1:34" ht="14.5" x14ac:dyDescent="0.35">
      <c r="A8134" s="34"/>
      <c r="B8134" s="35"/>
      <c r="C8134" s="36"/>
      <c r="D8134" s="37"/>
      <c r="E8134" s="36"/>
      <c r="F8134" s="42"/>
      <c r="G8134" s="42"/>
      <c r="H8134" s="42"/>
      <c r="AG8134" s="19">
        <v>8133</v>
      </c>
      <c r="AH8134" s="20">
        <v>299.17484203491165</v>
      </c>
    </row>
    <row r="8135" spans="1:34" ht="14.5" x14ac:dyDescent="0.35">
      <c r="A8135" s="34"/>
      <c r="B8135" s="35"/>
      <c r="C8135" s="36"/>
      <c r="D8135" s="37"/>
      <c r="E8135" s="36"/>
      <c r="F8135" s="42"/>
      <c r="G8135" s="42"/>
      <c r="H8135" s="42"/>
      <c r="AG8135" s="19">
        <v>8134</v>
      </c>
      <c r="AH8135" s="20">
        <v>-1908.4147812067361</v>
      </c>
    </row>
    <row r="8136" spans="1:34" ht="14.5" x14ac:dyDescent="0.35">
      <c r="A8136" s="34"/>
      <c r="B8136" s="35"/>
      <c r="C8136" s="36"/>
      <c r="D8136" s="37"/>
      <c r="E8136" s="36"/>
      <c r="F8136" s="42"/>
      <c r="G8136" s="42"/>
      <c r="H8136" s="42"/>
      <c r="AG8136" s="19">
        <v>8135</v>
      </c>
      <c r="AH8136" s="20">
        <v>-1135.3832771498683</v>
      </c>
    </row>
    <row r="8137" spans="1:34" ht="14.5" x14ac:dyDescent="0.35">
      <c r="A8137" s="34"/>
      <c r="B8137" s="35"/>
      <c r="C8137" s="36"/>
      <c r="D8137" s="37"/>
      <c r="E8137" s="36"/>
      <c r="F8137" s="42"/>
      <c r="G8137" s="42"/>
      <c r="H8137" s="42"/>
      <c r="AG8137" s="19">
        <v>8136</v>
      </c>
      <c r="AH8137" s="20">
        <v>2150.6336321351287</v>
      </c>
    </row>
    <row r="8138" spans="1:34" ht="14.5" x14ac:dyDescent="0.35">
      <c r="A8138" s="34"/>
      <c r="B8138" s="35"/>
      <c r="C8138" s="36"/>
      <c r="D8138" s="37"/>
      <c r="E8138" s="36"/>
      <c r="F8138" s="42"/>
      <c r="G8138" s="42"/>
      <c r="H8138" s="42"/>
      <c r="AG8138" s="19">
        <v>8137</v>
      </c>
      <c r="AH8138" s="20">
        <v>1067.14865722381</v>
      </c>
    </row>
    <row r="8139" spans="1:34" ht="14.5" x14ac:dyDescent="0.35">
      <c r="A8139" s="34"/>
      <c r="B8139" s="35"/>
      <c r="C8139" s="36"/>
      <c r="D8139" s="37"/>
      <c r="E8139" s="36"/>
      <c r="F8139" s="42"/>
      <c r="G8139" s="42"/>
      <c r="H8139" s="42"/>
      <c r="AG8139" s="19">
        <v>8138</v>
      </c>
      <c r="AH8139" s="20">
        <v>-3280.268158234298</v>
      </c>
    </row>
    <row r="8140" spans="1:34" ht="14.5" x14ac:dyDescent="0.35">
      <c r="A8140" s="34"/>
      <c r="B8140" s="35"/>
      <c r="C8140" s="36"/>
      <c r="D8140" s="37"/>
      <c r="E8140" s="36"/>
      <c r="F8140" s="42"/>
      <c r="G8140" s="42"/>
      <c r="H8140" s="42"/>
      <c r="AG8140" s="19">
        <v>8139</v>
      </c>
      <c r="AH8140" s="20">
        <v>-1117.2069273283773</v>
      </c>
    </row>
    <row r="8141" spans="1:34" ht="14.5" x14ac:dyDescent="0.35">
      <c r="A8141" s="34"/>
      <c r="B8141" s="35"/>
      <c r="C8141" s="36"/>
      <c r="D8141" s="37"/>
      <c r="E8141" s="36"/>
      <c r="F8141" s="42"/>
      <c r="G8141" s="42"/>
      <c r="H8141" s="42"/>
      <c r="AG8141" s="19">
        <v>8140</v>
      </c>
      <c r="AH8141" s="20">
        <v>-219.07297091377762</v>
      </c>
    </row>
    <row r="8142" spans="1:34" ht="14.5" x14ac:dyDescent="0.35">
      <c r="A8142" s="34"/>
      <c r="B8142" s="35"/>
      <c r="C8142" s="36"/>
      <c r="D8142" s="37"/>
      <c r="E8142" s="36"/>
      <c r="F8142" s="42"/>
      <c r="G8142" s="42"/>
      <c r="H8142" s="42"/>
      <c r="AG8142" s="19">
        <v>8141</v>
      </c>
      <c r="AH8142" s="20">
        <v>2562.1941659989384</v>
      </c>
    </row>
    <row r="8143" spans="1:34" ht="14.5" x14ac:dyDescent="0.35">
      <c r="A8143" s="34"/>
      <c r="B8143" s="35"/>
      <c r="C8143" s="36"/>
      <c r="D8143" s="37"/>
      <c r="E8143" s="36"/>
      <c r="F8143" s="42"/>
      <c r="G8143" s="42"/>
      <c r="H8143" s="42"/>
      <c r="AG8143" s="19">
        <v>8142</v>
      </c>
      <c r="AH8143" s="20">
        <v>637.11403207383614</v>
      </c>
    </row>
    <row r="8144" spans="1:34" ht="14.5" x14ac:dyDescent="0.35">
      <c r="A8144" s="34"/>
      <c r="B8144" s="35"/>
      <c r="C8144" s="36"/>
      <c r="D8144" s="37"/>
      <c r="E8144" s="36"/>
      <c r="F8144" s="42"/>
      <c r="G8144" s="42"/>
      <c r="H8144" s="42"/>
      <c r="AG8144" s="19">
        <v>8143</v>
      </c>
      <c r="AH8144" s="20">
        <v>-150.79600586066073</v>
      </c>
    </row>
    <row r="8145" spans="1:34" ht="14.5" x14ac:dyDescent="0.35">
      <c r="A8145" s="34"/>
      <c r="B8145" s="35"/>
      <c r="C8145" s="36"/>
      <c r="D8145" s="37"/>
      <c r="E8145" s="36"/>
      <c r="F8145" s="42"/>
      <c r="G8145" s="42"/>
      <c r="H8145" s="42"/>
      <c r="AG8145" s="19">
        <v>8144</v>
      </c>
      <c r="AH8145" s="20">
        <v>131.50560075231681</v>
      </c>
    </row>
    <row r="8146" spans="1:34" ht="14.5" x14ac:dyDescent="0.35">
      <c r="A8146" s="34"/>
      <c r="B8146" s="35"/>
      <c r="C8146" s="36"/>
      <c r="D8146" s="37"/>
      <c r="E8146" s="36"/>
      <c r="F8146" s="42"/>
      <c r="G8146" s="42"/>
      <c r="H8146" s="42"/>
      <c r="AG8146" s="19">
        <v>8145</v>
      </c>
      <c r="AH8146" s="20">
        <v>100.6445668130919</v>
      </c>
    </row>
    <row r="8147" spans="1:34" ht="14.5" x14ac:dyDescent="0.35">
      <c r="A8147" s="34"/>
      <c r="B8147" s="35"/>
      <c r="C8147" s="36"/>
      <c r="D8147" s="37"/>
      <c r="E8147" s="36"/>
      <c r="F8147" s="42"/>
      <c r="G8147" s="42"/>
      <c r="H8147" s="42"/>
      <c r="AG8147" s="19">
        <v>8146</v>
      </c>
      <c r="AH8147" s="20">
        <v>-1549.3351236212036</v>
      </c>
    </row>
    <row r="8148" spans="1:34" ht="14.5" x14ac:dyDescent="0.35">
      <c r="A8148" s="34"/>
      <c r="B8148" s="35"/>
      <c r="C8148" s="36"/>
      <c r="D8148" s="37"/>
      <c r="E8148" s="36"/>
      <c r="F8148" s="42"/>
      <c r="G8148" s="42"/>
      <c r="H8148" s="42"/>
      <c r="AG8148" s="19">
        <v>8147</v>
      </c>
      <c r="AH8148" s="20">
        <v>2038.7914089540182</v>
      </c>
    </row>
    <row r="8149" spans="1:34" ht="14.5" x14ac:dyDescent="0.35">
      <c r="A8149" s="34"/>
      <c r="B8149" s="35"/>
      <c r="C8149" s="36"/>
      <c r="D8149" s="37"/>
      <c r="E8149" s="36"/>
      <c r="F8149" s="42"/>
      <c r="G8149" s="42"/>
      <c r="H8149" s="42"/>
      <c r="AG8149" s="19">
        <v>8148</v>
      </c>
      <c r="AH8149" s="20">
        <v>3575.8504102929619</v>
      </c>
    </row>
    <row r="8150" spans="1:34" ht="14.5" x14ac:dyDescent="0.35">
      <c r="A8150" s="34"/>
      <c r="B8150" s="35"/>
      <c r="C8150" s="36"/>
      <c r="D8150" s="37"/>
      <c r="E8150" s="36"/>
      <c r="F8150" s="42"/>
      <c r="G8150" s="42"/>
      <c r="H8150" s="42"/>
      <c r="AG8150" s="19">
        <v>8149</v>
      </c>
      <c r="AH8150" s="20">
        <v>-643.64502007328997</v>
      </c>
    </row>
    <row r="8151" spans="1:34" ht="14.5" x14ac:dyDescent="0.35">
      <c r="A8151" s="34"/>
      <c r="B8151" s="35"/>
      <c r="C8151" s="36"/>
      <c r="D8151" s="37"/>
      <c r="E8151" s="36"/>
      <c r="F8151" s="42"/>
      <c r="G8151" s="42"/>
      <c r="H8151" s="42"/>
      <c r="AG8151" s="19">
        <v>8150</v>
      </c>
      <c r="AH8151" s="20">
        <v>1282.3026120677812</v>
      </c>
    </row>
    <row r="8152" spans="1:34" ht="14.5" x14ac:dyDescent="0.35">
      <c r="A8152" s="34"/>
      <c r="B8152" s="35"/>
      <c r="C8152" s="36"/>
      <c r="D8152" s="37"/>
      <c r="E8152" s="36"/>
      <c r="F8152" s="42"/>
      <c r="G8152" s="42"/>
      <c r="H8152" s="42"/>
      <c r="AG8152" s="19">
        <v>8151</v>
      </c>
      <c r="AH8152" s="20">
        <v>3223.8138890954206</v>
      </c>
    </row>
    <row r="8153" spans="1:34" ht="14.5" x14ac:dyDescent="0.35">
      <c r="A8153" s="34"/>
      <c r="B8153" s="35"/>
      <c r="C8153" s="36"/>
      <c r="D8153" s="37"/>
      <c r="E8153" s="36"/>
      <c r="F8153" s="42"/>
      <c r="G8153" s="42"/>
      <c r="H8153" s="42"/>
      <c r="AG8153" s="19">
        <v>8152</v>
      </c>
      <c r="AH8153" s="20">
        <v>-413.26766355214721</v>
      </c>
    </row>
    <row r="8154" spans="1:34" ht="14.5" x14ac:dyDescent="0.35">
      <c r="A8154" s="34"/>
      <c r="B8154" s="35"/>
      <c r="C8154" s="36"/>
      <c r="D8154" s="37"/>
      <c r="E8154" s="36"/>
      <c r="F8154" s="42"/>
      <c r="G8154" s="42"/>
      <c r="H8154" s="42"/>
      <c r="AG8154" s="19">
        <v>8153</v>
      </c>
      <c r="AH8154" s="20">
        <v>2755.4749810825078</v>
      </c>
    </row>
    <row r="8155" spans="1:34" ht="14.5" x14ac:dyDescent="0.35">
      <c r="A8155" s="34"/>
      <c r="B8155" s="35"/>
      <c r="C8155" s="36"/>
      <c r="D8155" s="37"/>
      <c r="E8155" s="36"/>
      <c r="F8155" s="42"/>
      <c r="G8155" s="42"/>
      <c r="H8155" s="42"/>
      <c r="AG8155" s="19">
        <v>8154</v>
      </c>
      <c r="AH8155" s="20">
        <v>2063.269436433096</v>
      </c>
    </row>
    <row r="8156" spans="1:34" ht="14.5" x14ac:dyDescent="0.35">
      <c r="A8156" s="34"/>
      <c r="B8156" s="35"/>
      <c r="C8156" s="36"/>
      <c r="D8156" s="37"/>
      <c r="E8156" s="36"/>
      <c r="F8156" s="42"/>
      <c r="G8156" s="42"/>
      <c r="H8156" s="42"/>
      <c r="AG8156" s="19">
        <v>8155</v>
      </c>
      <c r="AH8156" s="20">
        <v>1768.9003581839088</v>
      </c>
    </row>
    <row r="8157" spans="1:34" ht="14.5" x14ac:dyDescent="0.35">
      <c r="A8157" s="34"/>
      <c r="B8157" s="35"/>
      <c r="C8157" s="36"/>
      <c r="D8157" s="37"/>
      <c r="E8157" s="36"/>
      <c r="F8157" s="42"/>
      <c r="G8157" s="42"/>
      <c r="H8157" s="42"/>
      <c r="AG8157" s="19">
        <v>8156</v>
      </c>
      <c r="AH8157" s="20">
        <v>-1233.5975419820063</v>
      </c>
    </row>
    <row r="8158" spans="1:34" ht="14.5" x14ac:dyDescent="0.35">
      <c r="A8158" s="34"/>
      <c r="B8158" s="35"/>
      <c r="C8158" s="36"/>
      <c r="D8158" s="37"/>
      <c r="E8158" s="36"/>
      <c r="F8158" s="42"/>
      <c r="G8158" s="42"/>
      <c r="H8158" s="42"/>
      <c r="AG8158" s="19">
        <v>8157</v>
      </c>
      <c r="AH8158" s="20">
        <v>4888.6496442799698</v>
      </c>
    </row>
    <row r="8159" spans="1:34" ht="14.5" x14ac:dyDescent="0.35">
      <c r="A8159" s="34"/>
      <c r="B8159" s="35"/>
      <c r="C8159" s="36"/>
      <c r="D8159" s="37"/>
      <c r="E8159" s="36"/>
      <c r="F8159" s="42"/>
      <c r="G8159" s="42"/>
      <c r="H8159" s="42"/>
      <c r="AG8159" s="19">
        <v>8158</v>
      </c>
      <c r="AH8159" s="20">
        <v>1642.2557391683392</v>
      </c>
    </row>
    <row r="8160" spans="1:34" ht="14.5" x14ac:dyDescent="0.35">
      <c r="A8160" s="34"/>
      <c r="B8160" s="35"/>
      <c r="C8160" s="36"/>
      <c r="D8160" s="37"/>
      <c r="E8160" s="36"/>
      <c r="F8160" s="42"/>
      <c r="G8160" s="42"/>
      <c r="H8160" s="42"/>
      <c r="AG8160" s="19">
        <v>8159</v>
      </c>
      <c r="AH8160" s="20">
        <v>2509.4168245577212</v>
      </c>
    </row>
    <row r="8161" spans="1:34" ht="14.5" x14ac:dyDescent="0.35">
      <c r="A8161" s="34"/>
      <c r="B8161" s="35"/>
      <c r="C8161" s="36"/>
      <c r="D8161" s="37"/>
      <c r="E8161" s="36"/>
      <c r="F8161" s="42"/>
      <c r="G8161" s="42"/>
      <c r="H8161" s="42"/>
      <c r="AG8161" s="19">
        <v>8160</v>
      </c>
      <c r="AH8161" s="20">
        <v>2197.596659820435</v>
      </c>
    </row>
    <row r="8162" spans="1:34" ht="14.5" x14ac:dyDescent="0.35">
      <c r="A8162" s="34"/>
      <c r="B8162" s="35"/>
      <c r="C8162" s="36"/>
      <c r="D8162" s="37"/>
      <c r="E8162" s="36"/>
      <c r="F8162" s="42"/>
      <c r="G8162" s="42"/>
      <c r="H8162" s="42"/>
      <c r="AG8162" s="19">
        <v>8161</v>
      </c>
      <c r="AH8162" s="20">
        <v>2105.8779749286409</v>
      </c>
    </row>
    <row r="8163" spans="1:34" ht="14.5" x14ac:dyDescent="0.35">
      <c r="A8163" s="34"/>
      <c r="B8163" s="35"/>
      <c r="C8163" s="36"/>
      <c r="D8163" s="37"/>
      <c r="E8163" s="36"/>
      <c r="F8163" s="42"/>
      <c r="G8163" s="42"/>
      <c r="H8163" s="42"/>
      <c r="AG8163" s="19">
        <v>8162</v>
      </c>
      <c r="AH8163" s="20">
        <v>2607.6567526450394</v>
      </c>
    </row>
    <row r="8164" spans="1:34" ht="14.5" x14ac:dyDescent="0.35">
      <c r="A8164" s="34"/>
      <c r="B8164" s="35"/>
      <c r="C8164" s="36"/>
      <c r="D8164" s="37"/>
      <c r="E8164" s="36"/>
      <c r="F8164" s="42"/>
      <c r="G8164" s="42"/>
      <c r="H8164" s="42"/>
      <c r="AG8164" s="19">
        <v>8163</v>
      </c>
      <c r="AH8164" s="20">
        <v>1597.3339228216996</v>
      </c>
    </row>
    <row r="8165" spans="1:34" ht="14.5" x14ac:dyDescent="0.35">
      <c r="A8165" s="34"/>
      <c r="B8165" s="35"/>
      <c r="C8165" s="36"/>
      <c r="D8165" s="37"/>
      <c r="E8165" s="36"/>
      <c r="F8165" s="42"/>
      <c r="G8165" s="42"/>
      <c r="H8165" s="42"/>
      <c r="AG8165" s="19">
        <v>8164</v>
      </c>
      <c r="AH8165" s="20">
        <v>1417.3635610662425</v>
      </c>
    </row>
    <row r="8166" spans="1:34" ht="14.5" x14ac:dyDescent="0.35">
      <c r="A8166" s="34"/>
      <c r="B8166" s="35"/>
      <c r="C8166" s="36"/>
      <c r="D8166" s="37"/>
      <c r="E8166" s="36"/>
      <c r="F8166" s="42"/>
      <c r="G8166" s="42"/>
      <c r="H8166" s="42"/>
      <c r="AG8166" s="19">
        <v>8165</v>
      </c>
      <c r="AH8166" s="20">
        <v>4256.6274940649064</v>
      </c>
    </row>
    <row r="8167" spans="1:34" ht="14.5" x14ac:dyDescent="0.35">
      <c r="A8167" s="34"/>
      <c r="B8167" s="35"/>
      <c r="C8167" s="36"/>
      <c r="D8167" s="37"/>
      <c r="E8167" s="36"/>
      <c r="F8167" s="42"/>
      <c r="G8167" s="42"/>
      <c r="H8167" s="42"/>
      <c r="AG8167" s="19">
        <v>8166</v>
      </c>
      <c r="AH8167" s="20">
        <v>4503.0606918505118</v>
      </c>
    </row>
    <row r="8168" spans="1:34" ht="14.5" x14ac:dyDescent="0.35">
      <c r="A8168" s="34"/>
      <c r="B8168" s="35"/>
      <c r="C8168" s="36"/>
      <c r="D8168" s="37"/>
      <c r="E8168" s="36"/>
      <c r="F8168" s="42"/>
      <c r="G8168" s="42"/>
      <c r="H8168" s="42"/>
      <c r="AG8168" s="19">
        <v>8167</v>
      </c>
      <c r="AH8168" s="20">
        <v>2383.2401596266104</v>
      </c>
    </row>
    <row r="8169" spans="1:34" ht="14.5" x14ac:dyDescent="0.35">
      <c r="A8169" s="34"/>
      <c r="B8169" s="35"/>
      <c r="C8169" s="36"/>
      <c r="D8169" s="37"/>
      <c r="E8169" s="36"/>
      <c r="F8169" s="42"/>
      <c r="G8169" s="42"/>
      <c r="H8169" s="42"/>
      <c r="AG8169" s="19">
        <v>8168</v>
      </c>
      <c r="AH8169" s="20">
        <v>2557.9817565423405</v>
      </c>
    </row>
    <row r="8170" spans="1:34" ht="14.5" x14ac:dyDescent="0.35">
      <c r="A8170" s="34"/>
      <c r="B8170" s="35"/>
      <c r="C8170" s="36"/>
      <c r="D8170" s="37"/>
      <c r="E8170" s="36"/>
      <c r="F8170" s="42"/>
      <c r="G8170" s="42"/>
      <c r="H8170" s="42"/>
      <c r="AG8170" s="19">
        <v>8169</v>
      </c>
      <c r="AH8170" s="20">
        <v>-404.59385398889157</v>
      </c>
    </row>
    <row r="8171" spans="1:34" ht="14.5" x14ac:dyDescent="0.35">
      <c r="A8171" s="34"/>
      <c r="B8171" s="35"/>
      <c r="C8171" s="36"/>
      <c r="D8171" s="37"/>
      <c r="E8171" s="36"/>
      <c r="F8171" s="42"/>
      <c r="G8171" s="42"/>
      <c r="H8171" s="42"/>
      <c r="AG8171" s="19">
        <v>8170</v>
      </c>
      <c r="AH8171" s="20">
        <v>2679.9238349038187</v>
      </c>
    </row>
    <row r="8172" spans="1:34" ht="14.5" x14ac:dyDescent="0.35">
      <c r="A8172" s="34"/>
      <c r="B8172" s="35"/>
      <c r="C8172" s="36"/>
      <c r="D8172" s="37"/>
      <c r="E8172" s="36"/>
      <c r="F8172" s="42"/>
      <c r="G8172" s="42"/>
      <c r="H8172" s="42"/>
      <c r="AG8172" s="19">
        <v>8171</v>
      </c>
      <c r="AH8172" s="20">
        <v>-806.02282008198722</v>
      </c>
    </row>
    <row r="8173" spans="1:34" ht="14.5" x14ac:dyDescent="0.35">
      <c r="A8173" s="34"/>
      <c r="B8173" s="35"/>
      <c r="C8173" s="36"/>
      <c r="D8173" s="37"/>
      <c r="E8173" s="36"/>
      <c r="F8173" s="42"/>
      <c r="G8173" s="42"/>
      <c r="H8173" s="42"/>
      <c r="AG8173" s="19">
        <v>8172</v>
      </c>
      <c r="AH8173" s="20">
        <v>107.31968694535254</v>
      </c>
    </row>
    <row r="8174" spans="1:34" ht="14.5" x14ac:dyDescent="0.35">
      <c r="A8174" s="34"/>
      <c r="B8174" s="35"/>
      <c r="C8174" s="36"/>
      <c r="D8174" s="37"/>
      <c r="E8174" s="36"/>
      <c r="F8174" s="42"/>
      <c r="G8174" s="42"/>
      <c r="H8174" s="42"/>
      <c r="AG8174" s="19">
        <v>8173</v>
      </c>
      <c r="AH8174" s="20">
        <v>-1435.6256229083256</v>
      </c>
    </row>
    <row r="8175" spans="1:34" ht="14.5" x14ac:dyDescent="0.35">
      <c r="A8175" s="34"/>
      <c r="B8175" s="35"/>
      <c r="C8175" s="36"/>
      <c r="D8175" s="37"/>
      <c r="E8175" s="36"/>
      <c r="F8175" s="42"/>
      <c r="G8175" s="42"/>
      <c r="H8175" s="42"/>
      <c r="AG8175" s="19">
        <v>8174</v>
      </c>
      <c r="AH8175" s="20">
        <v>452.82951403549072</v>
      </c>
    </row>
    <row r="8176" spans="1:34" ht="14.5" x14ac:dyDescent="0.35">
      <c r="A8176" s="34"/>
      <c r="B8176" s="35"/>
      <c r="C8176" s="36"/>
      <c r="D8176" s="37"/>
      <c r="E8176" s="36"/>
      <c r="F8176" s="42"/>
      <c r="G8176" s="42"/>
      <c r="H8176" s="42"/>
      <c r="AG8176" s="19">
        <v>8175</v>
      </c>
      <c r="AH8176" s="20">
        <v>-264.57877777885204</v>
      </c>
    </row>
    <row r="8177" spans="1:34" ht="14.5" x14ac:dyDescent="0.35">
      <c r="A8177" s="34"/>
      <c r="B8177" s="35"/>
      <c r="C8177" s="36"/>
      <c r="D8177" s="37"/>
      <c r="E8177" s="36"/>
      <c r="F8177" s="42"/>
      <c r="G8177" s="42"/>
      <c r="H8177" s="42"/>
      <c r="AG8177" s="19">
        <v>8176</v>
      </c>
      <c r="AH8177" s="20">
        <v>218.94078178503489</v>
      </c>
    </row>
    <row r="8178" spans="1:34" ht="14.5" x14ac:dyDescent="0.35">
      <c r="A8178" s="34"/>
      <c r="B8178" s="35"/>
      <c r="C8178" s="36"/>
      <c r="D8178" s="37"/>
      <c r="E8178" s="36"/>
      <c r="F8178" s="42"/>
      <c r="G8178" s="42"/>
      <c r="H8178" s="42"/>
      <c r="AG8178" s="19">
        <v>8177</v>
      </c>
      <c r="AH8178" s="20">
        <v>2518.4981867660913</v>
      </c>
    </row>
    <row r="8179" spans="1:34" ht="14.5" x14ac:dyDescent="0.35">
      <c r="A8179" s="34"/>
      <c r="B8179" s="35"/>
      <c r="C8179" s="36"/>
      <c r="D8179" s="37"/>
      <c r="E8179" s="36"/>
      <c r="F8179" s="42"/>
      <c r="G8179" s="42"/>
      <c r="H8179" s="42"/>
      <c r="AG8179" s="19">
        <v>8178</v>
      </c>
      <c r="AH8179" s="20">
        <v>-1347.7281679840901</v>
      </c>
    </row>
    <row r="8180" spans="1:34" ht="14.5" x14ac:dyDescent="0.35">
      <c r="A8180" s="34"/>
      <c r="B8180" s="35"/>
      <c r="C8180" s="36"/>
      <c r="D8180" s="37"/>
      <c r="E8180" s="36"/>
      <c r="F8180" s="42"/>
      <c r="G8180" s="42"/>
      <c r="H8180" s="42"/>
      <c r="AG8180" s="19">
        <v>8179</v>
      </c>
      <c r="AH8180" s="20">
        <v>-1680.3089689201681</v>
      </c>
    </row>
    <row r="8181" spans="1:34" ht="14.5" x14ac:dyDescent="0.35">
      <c r="A8181" s="34"/>
      <c r="B8181" s="35"/>
      <c r="C8181" s="36"/>
      <c r="D8181" s="37"/>
      <c r="E8181" s="36"/>
      <c r="F8181" s="42"/>
      <c r="G8181" s="42"/>
      <c r="H8181" s="42"/>
      <c r="AG8181" s="19">
        <v>8180</v>
      </c>
      <c r="AH8181" s="20">
        <v>-247.963358229824</v>
      </c>
    </row>
    <row r="8182" spans="1:34" ht="14.5" x14ac:dyDescent="0.35">
      <c r="A8182" s="34"/>
      <c r="B8182" s="35"/>
      <c r="C8182" s="36"/>
      <c r="D8182" s="37"/>
      <c r="E8182" s="36"/>
      <c r="F8182" s="42"/>
      <c r="G8182" s="42"/>
      <c r="H8182" s="42"/>
      <c r="AG8182" s="19">
        <v>8181</v>
      </c>
      <c r="AH8182" s="20">
        <v>1575.732417278494</v>
      </c>
    </row>
    <row r="8183" spans="1:34" ht="14.5" x14ac:dyDescent="0.35">
      <c r="A8183" s="34"/>
      <c r="B8183" s="35"/>
      <c r="C8183" s="36"/>
      <c r="D8183" s="37"/>
      <c r="E8183" s="36"/>
      <c r="F8183" s="42"/>
      <c r="G8183" s="42"/>
      <c r="H8183" s="42"/>
      <c r="AG8183" s="19">
        <v>8182</v>
      </c>
      <c r="AH8183" s="20">
        <v>-5020.1282712241655</v>
      </c>
    </row>
    <row r="8184" spans="1:34" ht="14.5" x14ac:dyDescent="0.35">
      <c r="A8184" s="34"/>
      <c r="B8184" s="35"/>
      <c r="C8184" s="36"/>
      <c r="D8184" s="37"/>
      <c r="E8184" s="36"/>
      <c r="F8184" s="42"/>
      <c r="G8184" s="42"/>
      <c r="H8184" s="42"/>
      <c r="AG8184" s="19">
        <v>8183</v>
      </c>
      <c r="AH8184" s="20">
        <v>3544.4445432551488</v>
      </c>
    </row>
    <row r="8185" spans="1:34" ht="14.5" x14ac:dyDescent="0.35">
      <c r="A8185" s="34"/>
      <c r="B8185" s="35"/>
      <c r="C8185" s="36"/>
      <c r="D8185" s="37"/>
      <c r="E8185" s="36"/>
      <c r="F8185" s="42"/>
      <c r="G8185" s="42"/>
      <c r="H8185" s="42"/>
      <c r="AG8185" s="19">
        <v>8184</v>
      </c>
      <c r="AH8185" s="20">
        <v>5052.084867381448</v>
      </c>
    </row>
    <row r="8186" spans="1:34" ht="14.5" x14ac:dyDescent="0.35">
      <c r="A8186" s="34"/>
      <c r="B8186" s="35"/>
      <c r="C8186" s="36"/>
      <c r="D8186" s="37"/>
      <c r="E8186" s="36"/>
      <c r="F8186" s="42"/>
      <c r="G8186" s="42"/>
      <c r="H8186" s="42"/>
      <c r="AG8186" s="19">
        <v>8185</v>
      </c>
      <c r="AH8186" s="20">
        <v>41.807325822690359</v>
      </c>
    </row>
    <row r="8187" spans="1:34" ht="14.5" x14ac:dyDescent="0.35">
      <c r="A8187" s="34"/>
      <c r="B8187" s="35"/>
      <c r="C8187" s="36"/>
      <c r="D8187" s="37"/>
      <c r="E8187" s="36"/>
      <c r="F8187" s="42"/>
      <c r="G8187" s="42"/>
      <c r="H8187" s="42"/>
      <c r="AG8187" s="19">
        <v>8186</v>
      </c>
      <c r="AH8187" s="20">
        <v>-577.10783741129194</v>
      </c>
    </row>
    <row r="8188" spans="1:34" ht="14.5" x14ac:dyDescent="0.35">
      <c r="A8188" s="34"/>
      <c r="B8188" s="35"/>
      <c r="C8188" s="36"/>
      <c r="D8188" s="37"/>
      <c r="E8188" s="36"/>
      <c r="F8188" s="42"/>
      <c r="G8188" s="42"/>
      <c r="H8188" s="42"/>
      <c r="AG8188" s="19">
        <v>8187</v>
      </c>
      <c r="AH8188" s="20">
        <v>1470.492679640279</v>
      </c>
    </row>
    <row r="8189" spans="1:34" ht="14.5" x14ac:dyDescent="0.35">
      <c r="A8189" s="34"/>
      <c r="B8189" s="35"/>
      <c r="C8189" s="36"/>
      <c r="D8189" s="37"/>
      <c r="E8189" s="36"/>
      <c r="F8189" s="42"/>
      <c r="G8189" s="42"/>
      <c r="H8189" s="42"/>
      <c r="AG8189" s="19">
        <v>8188</v>
      </c>
      <c r="AH8189" s="20">
        <v>1693.6989685032263</v>
      </c>
    </row>
    <row r="8190" spans="1:34" ht="14.5" x14ac:dyDescent="0.35">
      <c r="A8190" s="34"/>
      <c r="B8190" s="35"/>
      <c r="C8190" s="36"/>
      <c r="D8190" s="37"/>
      <c r="E8190" s="36"/>
      <c r="F8190" s="42"/>
      <c r="G8190" s="42"/>
      <c r="H8190" s="42"/>
      <c r="AG8190" s="19">
        <v>8189</v>
      </c>
      <c r="AH8190" s="20">
        <v>-1202.4344104127774</v>
      </c>
    </row>
    <row r="8191" spans="1:34" ht="14.5" x14ac:dyDescent="0.35">
      <c r="A8191" s="34"/>
      <c r="B8191" s="35"/>
      <c r="C8191" s="36"/>
      <c r="D8191" s="37"/>
      <c r="E8191" s="36"/>
      <c r="F8191" s="42"/>
      <c r="G8191" s="42"/>
      <c r="H8191" s="42"/>
      <c r="AG8191" s="19">
        <v>8190</v>
      </c>
      <c r="AH8191" s="20">
        <v>-380.75020852802805</v>
      </c>
    </row>
    <row r="8192" spans="1:34" ht="14.5" x14ac:dyDescent="0.35">
      <c r="A8192" s="34"/>
      <c r="B8192" s="35"/>
      <c r="C8192" s="36"/>
      <c r="D8192" s="37"/>
      <c r="E8192" s="36"/>
      <c r="F8192" s="42"/>
      <c r="G8192" s="42"/>
      <c r="H8192" s="42"/>
      <c r="AG8192" s="19">
        <v>8191</v>
      </c>
      <c r="AH8192" s="20">
        <v>1272.4688550441388</v>
      </c>
    </row>
    <row r="8193" spans="1:34" ht="14.5" x14ac:dyDescent="0.35">
      <c r="A8193" s="34"/>
      <c r="B8193" s="35"/>
      <c r="C8193" s="36"/>
      <c r="D8193" s="37"/>
      <c r="E8193" s="36"/>
      <c r="F8193" s="42"/>
      <c r="G8193" s="42"/>
      <c r="H8193" s="42"/>
      <c r="AG8193" s="19">
        <v>8192</v>
      </c>
      <c r="AH8193" s="20">
        <v>1147.0425721023396</v>
      </c>
    </row>
    <row r="8194" spans="1:34" ht="14.5" x14ac:dyDescent="0.35">
      <c r="A8194" s="34"/>
      <c r="B8194" s="35"/>
      <c r="C8194" s="36"/>
      <c r="D8194" s="37"/>
      <c r="E8194" s="36"/>
      <c r="F8194" s="42"/>
      <c r="G8194" s="42"/>
      <c r="H8194" s="42"/>
      <c r="AG8194" s="19">
        <v>8193</v>
      </c>
      <c r="AH8194" s="20">
        <v>-965.91441237790855</v>
      </c>
    </row>
    <row r="8195" spans="1:34" ht="14.5" x14ac:dyDescent="0.35">
      <c r="A8195" s="34"/>
      <c r="B8195" s="35"/>
      <c r="C8195" s="36"/>
      <c r="D8195" s="37"/>
      <c r="E8195" s="36"/>
      <c r="F8195" s="42"/>
      <c r="G8195" s="42"/>
      <c r="H8195" s="42"/>
      <c r="AG8195" s="19">
        <v>8194</v>
      </c>
      <c r="AH8195" s="20">
        <v>-4293.4238758347965</v>
      </c>
    </row>
    <row r="8196" spans="1:34" ht="14.5" x14ac:dyDescent="0.35">
      <c r="A8196" s="34"/>
      <c r="B8196" s="35"/>
      <c r="C8196" s="36"/>
      <c r="D8196" s="37"/>
      <c r="E8196" s="36"/>
      <c r="F8196" s="42"/>
      <c r="G8196" s="42"/>
      <c r="H8196" s="42"/>
      <c r="AG8196" s="19">
        <v>8195</v>
      </c>
      <c r="AH8196" s="20">
        <v>536.22938533677507</v>
      </c>
    </row>
    <row r="8197" spans="1:34" ht="14.5" x14ac:dyDescent="0.35">
      <c r="A8197" s="34"/>
      <c r="B8197" s="35"/>
      <c r="C8197" s="36"/>
      <c r="D8197" s="37"/>
      <c r="E8197" s="36"/>
      <c r="F8197" s="42"/>
      <c r="G8197" s="42"/>
      <c r="H8197" s="42"/>
      <c r="AG8197" s="19">
        <v>8196</v>
      </c>
      <c r="AH8197" s="20">
        <v>185.95247440310214</v>
      </c>
    </row>
    <row r="8198" spans="1:34" ht="14.5" x14ac:dyDescent="0.35">
      <c r="A8198" s="34"/>
      <c r="B8198" s="35"/>
      <c r="C8198" s="36"/>
      <c r="D8198" s="37"/>
      <c r="E8198" s="36"/>
      <c r="F8198" s="42"/>
      <c r="G8198" s="42"/>
      <c r="H8198" s="42"/>
      <c r="AG8198" s="19">
        <v>8197</v>
      </c>
      <c r="AH8198" s="20">
        <v>1461.8143053386975</v>
      </c>
    </row>
    <row r="8199" spans="1:34" ht="14.5" x14ac:dyDescent="0.35">
      <c r="A8199" s="34"/>
      <c r="B8199" s="35"/>
      <c r="C8199" s="36"/>
      <c r="D8199" s="37"/>
      <c r="E8199" s="36"/>
      <c r="F8199" s="42"/>
      <c r="G8199" s="42"/>
      <c r="H8199" s="42"/>
      <c r="AG8199" s="19">
        <v>8198</v>
      </c>
      <c r="AH8199" s="20">
        <v>164.06796663334046</v>
      </c>
    </row>
    <row r="8200" spans="1:34" ht="14.5" x14ac:dyDescent="0.35">
      <c r="A8200" s="34"/>
      <c r="B8200" s="35"/>
      <c r="C8200" s="36"/>
      <c r="D8200" s="37"/>
      <c r="E8200" s="36"/>
      <c r="F8200" s="42"/>
      <c r="G8200" s="42"/>
      <c r="H8200" s="42"/>
      <c r="AG8200" s="19">
        <v>8199</v>
      </c>
      <c r="AH8200" s="20">
        <v>1398.6872048502423</v>
      </c>
    </row>
    <row r="8201" spans="1:34" ht="14.5" x14ac:dyDescent="0.35">
      <c r="A8201" s="34"/>
      <c r="B8201" s="35"/>
      <c r="C8201" s="36"/>
      <c r="D8201" s="37"/>
      <c r="E8201" s="36"/>
      <c r="F8201" s="42"/>
      <c r="G8201" s="42"/>
      <c r="H8201" s="42"/>
      <c r="AG8201" s="19">
        <v>8200</v>
      </c>
      <c r="AH8201" s="20">
        <v>1334.3100879453552</v>
      </c>
    </row>
    <row r="8202" spans="1:34" ht="14.5" x14ac:dyDescent="0.35">
      <c r="A8202" s="34"/>
      <c r="B8202" s="35"/>
      <c r="C8202" s="36"/>
      <c r="D8202" s="37"/>
      <c r="E8202" s="36"/>
      <c r="F8202" s="42"/>
      <c r="G8202" s="42"/>
      <c r="H8202" s="42"/>
      <c r="AG8202" s="19">
        <v>8201</v>
      </c>
      <c r="AH8202" s="20">
        <v>-2241.1413605122098</v>
      </c>
    </row>
    <row r="8203" spans="1:34" ht="14.5" x14ac:dyDescent="0.35">
      <c r="A8203" s="34"/>
      <c r="B8203" s="35"/>
      <c r="C8203" s="36"/>
      <c r="D8203" s="37"/>
      <c r="E8203" s="36"/>
      <c r="F8203" s="42"/>
      <c r="G8203" s="42"/>
      <c r="H8203" s="42"/>
      <c r="AG8203" s="19">
        <v>8202</v>
      </c>
      <c r="AH8203" s="20">
        <v>-796.28305353189603</v>
      </c>
    </row>
    <row r="8204" spans="1:34" ht="14.5" x14ac:dyDescent="0.35">
      <c r="A8204" s="34"/>
      <c r="B8204" s="35"/>
      <c r="C8204" s="36"/>
      <c r="D8204" s="37"/>
      <c r="E8204" s="36"/>
      <c r="F8204" s="42"/>
      <c r="G8204" s="42"/>
      <c r="H8204" s="42"/>
      <c r="AG8204" s="19">
        <v>8203</v>
      </c>
      <c r="AH8204" s="20">
        <v>2589.7179187718107</v>
      </c>
    </row>
    <row r="8205" spans="1:34" ht="14.5" x14ac:dyDescent="0.35">
      <c r="A8205" s="34"/>
      <c r="B8205" s="35"/>
      <c r="C8205" s="36"/>
      <c r="D8205" s="37"/>
      <c r="E8205" s="36"/>
      <c r="F8205" s="42"/>
      <c r="G8205" s="42"/>
      <c r="H8205" s="42"/>
      <c r="AG8205" s="19">
        <v>8204</v>
      </c>
      <c r="AH8205" s="20">
        <v>3978.7107651892215</v>
      </c>
    </row>
    <row r="8206" spans="1:34" ht="14.5" x14ac:dyDescent="0.35">
      <c r="A8206" s="34"/>
      <c r="B8206" s="35"/>
      <c r="C8206" s="36"/>
      <c r="D8206" s="37"/>
      <c r="E8206" s="36"/>
      <c r="F8206" s="42"/>
      <c r="G8206" s="42"/>
      <c r="H8206" s="42"/>
      <c r="AG8206" s="19">
        <v>8205</v>
      </c>
      <c r="AH8206" s="20">
        <v>2298.3523905194143</v>
      </c>
    </row>
    <row r="8207" spans="1:34" ht="14.5" x14ac:dyDescent="0.35">
      <c r="A8207" s="34"/>
      <c r="B8207" s="35"/>
      <c r="C8207" s="36"/>
      <c r="D8207" s="37"/>
      <c r="E8207" s="36"/>
      <c r="F8207" s="42"/>
      <c r="G8207" s="42"/>
      <c r="H8207" s="42"/>
      <c r="AG8207" s="19">
        <v>8206</v>
      </c>
      <c r="AH8207" s="20">
        <v>-638.52483216966061</v>
      </c>
    </row>
    <row r="8208" spans="1:34" ht="14.5" x14ac:dyDescent="0.35">
      <c r="A8208" s="34"/>
      <c r="B8208" s="35"/>
      <c r="C8208" s="36"/>
      <c r="D8208" s="37"/>
      <c r="E8208" s="36"/>
      <c r="F8208" s="42"/>
      <c r="G8208" s="42"/>
      <c r="H8208" s="42"/>
      <c r="AG8208" s="19">
        <v>8207</v>
      </c>
      <c r="AH8208" s="20">
        <v>1094.3152173701135</v>
      </c>
    </row>
    <row r="8209" spans="1:34" ht="14.5" x14ac:dyDescent="0.35">
      <c r="A8209" s="34"/>
      <c r="B8209" s="35"/>
      <c r="C8209" s="36"/>
      <c r="D8209" s="37"/>
      <c r="E8209" s="36"/>
      <c r="F8209" s="42"/>
      <c r="G8209" s="42"/>
      <c r="H8209" s="42"/>
      <c r="AG8209" s="19">
        <v>8208</v>
      </c>
      <c r="AH8209" s="20">
        <v>-2435.4560106588096</v>
      </c>
    </row>
    <row r="8210" spans="1:34" ht="14.5" x14ac:dyDescent="0.35">
      <c r="A8210" s="34"/>
      <c r="B8210" s="35"/>
      <c r="C8210" s="36"/>
      <c r="D8210" s="37"/>
      <c r="E8210" s="36"/>
      <c r="F8210" s="42"/>
      <c r="G8210" s="42"/>
      <c r="H8210" s="42"/>
      <c r="AG8210" s="19">
        <v>8209</v>
      </c>
      <c r="AH8210" s="20">
        <v>1333.0104332919232</v>
      </c>
    </row>
    <row r="8211" spans="1:34" ht="14.5" x14ac:dyDescent="0.35">
      <c r="A8211" s="34"/>
      <c r="B8211" s="35"/>
      <c r="C8211" s="36"/>
      <c r="D8211" s="37"/>
      <c r="E8211" s="36"/>
      <c r="F8211" s="42"/>
      <c r="G8211" s="42"/>
      <c r="H8211" s="42"/>
      <c r="AG8211" s="19">
        <v>8210</v>
      </c>
      <c r="AH8211" s="20">
        <v>-1910.9012109406901</v>
      </c>
    </row>
    <row r="8212" spans="1:34" ht="14.5" x14ac:dyDescent="0.35">
      <c r="A8212" s="34"/>
      <c r="B8212" s="35"/>
      <c r="C8212" s="36"/>
      <c r="D8212" s="37"/>
      <c r="E8212" s="36"/>
      <c r="F8212" s="42"/>
      <c r="G8212" s="42"/>
      <c r="H8212" s="42"/>
      <c r="AG8212" s="19">
        <v>8211</v>
      </c>
      <c r="AH8212" s="20">
        <v>-1068.0670189733482</v>
      </c>
    </row>
    <row r="8213" spans="1:34" ht="14.5" x14ac:dyDescent="0.35">
      <c r="A8213" s="34"/>
      <c r="B8213" s="35"/>
      <c r="C8213" s="36"/>
      <c r="D8213" s="37"/>
      <c r="E8213" s="36"/>
      <c r="F8213" s="42"/>
      <c r="G8213" s="42"/>
      <c r="H8213" s="42"/>
      <c r="AG8213" s="19">
        <v>8212</v>
      </c>
      <c r="AH8213" s="20">
        <v>-307.46142344980825</v>
      </c>
    </row>
    <row r="8214" spans="1:34" ht="14.5" x14ac:dyDescent="0.35">
      <c r="A8214" s="34"/>
      <c r="B8214" s="35"/>
      <c r="C8214" s="36"/>
      <c r="D8214" s="37"/>
      <c r="E8214" s="36"/>
      <c r="F8214" s="42"/>
      <c r="G8214" s="42"/>
      <c r="H8214" s="42"/>
      <c r="AG8214" s="19">
        <v>8213</v>
      </c>
      <c r="AH8214" s="20">
        <v>382.89546812389005</v>
      </c>
    </row>
    <row r="8215" spans="1:34" ht="14.5" x14ac:dyDescent="0.35">
      <c r="A8215" s="34"/>
      <c r="B8215" s="35"/>
      <c r="C8215" s="36"/>
      <c r="D8215" s="37"/>
      <c r="E8215" s="36"/>
      <c r="F8215" s="42"/>
      <c r="G8215" s="42"/>
      <c r="H8215" s="42"/>
      <c r="AG8215" s="19">
        <v>8214</v>
      </c>
      <c r="AH8215" s="20">
        <v>779.45616709265926</v>
      </c>
    </row>
    <row r="8216" spans="1:34" ht="14.5" x14ac:dyDescent="0.35">
      <c r="A8216" s="34"/>
      <c r="B8216" s="35"/>
      <c r="C8216" s="36"/>
      <c r="D8216" s="37"/>
      <c r="E8216" s="36"/>
      <c r="F8216" s="42"/>
      <c r="G8216" s="42"/>
      <c r="H8216" s="42"/>
      <c r="AG8216" s="19">
        <v>8215</v>
      </c>
      <c r="AH8216" s="20">
        <v>445.32693757215247</v>
      </c>
    </row>
    <row r="8217" spans="1:34" ht="14.5" x14ac:dyDescent="0.35">
      <c r="A8217" s="34"/>
      <c r="B8217" s="35"/>
      <c r="C8217" s="36"/>
      <c r="D8217" s="37"/>
      <c r="E8217" s="36"/>
      <c r="F8217" s="42"/>
      <c r="G8217" s="42"/>
      <c r="H8217" s="42"/>
      <c r="AG8217" s="19">
        <v>8216</v>
      </c>
      <c r="AH8217" s="20">
        <v>2054.86471532939</v>
      </c>
    </row>
    <row r="8218" spans="1:34" ht="14.5" x14ac:dyDescent="0.35">
      <c r="A8218" s="34"/>
      <c r="B8218" s="35"/>
      <c r="C8218" s="36"/>
      <c r="D8218" s="37"/>
      <c r="E8218" s="36"/>
      <c r="F8218" s="42"/>
      <c r="G8218" s="42"/>
      <c r="H8218" s="42"/>
      <c r="AG8218" s="19">
        <v>8217</v>
      </c>
      <c r="AH8218" s="20">
        <v>2803.3712352656644</v>
      </c>
    </row>
    <row r="8219" spans="1:34" ht="14.5" x14ac:dyDescent="0.35">
      <c r="A8219" s="34"/>
      <c r="B8219" s="35"/>
      <c r="C8219" s="36"/>
      <c r="D8219" s="37"/>
      <c r="E8219" s="36"/>
      <c r="F8219" s="42"/>
      <c r="G8219" s="42"/>
      <c r="H8219" s="42"/>
      <c r="AG8219" s="19">
        <v>8218</v>
      </c>
      <c r="AH8219" s="20">
        <v>-486.96968421063508</v>
      </c>
    </row>
    <row r="8220" spans="1:34" ht="14.5" x14ac:dyDescent="0.35">
      <c r="A8220" s="34"/>
      <c r="B8220" s="35"/>
      <c r="C8220" s="36"/>
      <c r="D8220" s="37"/>
      <c r="E8220" s="36"/>
      <c r="F8220" s="42"/>
      <c r="G8220" s="42"/>
      <c r="H8220" s="42"/>
      <c r="AG8220" s="19">
        <v>8219</v>
      </c>
      <c r="AH8220" s="20">
        <v>-4219.8210233479913</v>
      </c>
    </row>
    <row r="8221" spans="1:34" ht="14.5" x14ac:dyDescent="0.35">
      <c r="A8221" s="34"/>
      <c r="B8221" s="35"/>
      <c r="C8221" s="36"/>
      <c r="D8221" s="37"/>
      <c r="E8221" s="36"/>
      <c r="F8221" s="42"/>
      <c r="G8221" s="42"/>
      <c r="H8221" s="42"/>
      <c r="AG8221" s="19">
        <v>8220</v>
      </c>
      <c r="AH8221" s="20">
        <v>5095.4022340573747</v>
      </c>
    </row>
    <row r="8222" spans="1:34" ht="14.5" x14ac:dyDescent="0.35">
      <c r="A8222" s="34"/>
      <c r="B8222" s="35"/>
      <c r="C8222" s="36"/>
      <c r="D8222" s="37"/>
      <c r="E8222" s="36"/>
      <c r="F8222" s="42"/>
      <c r="G8222" s="42"/>
      <c r="H8222" s="42"/>
      <c r="AG8222" s="19">
        <v>8221</v>
      </c>
      <c r="AH8222" s="20">
        <v>-582.07675342664857</v>
      </c>
    </row>
    <row r="8223" spans="1:34" ht="14.5" x14ac:dyDescent="0.35">
      <c r="A8223" s="34"/>
      <c r="B8223" s="35"/>
      <c r="C8223" s="36"/>
      <c r="D8223" s="37"/>
      <c r="E8223" s="36"/>
      <c r="F8223" s="42"/>
      <c r="G8223" s="42"/>
      <c r="H8223" s="42"/>
      <c r="AG8223" s="19">
        <v>8222</v>
      </c>
      <c r="AH8223" s="20">
        <v>98.039755232398591</v>
      </c>
    </row>
    <row r="8224" spans="1:34" ht="14.5" x14ac:dyDescent="0.35">
      <c r="A8224" s="34"/>
      <c r="B8224" s="35"/>
      <c r="C8224" s="36"/>
      <c r="D8224" s="37"/>
      <c r="E8224" s="36"/>
      <c r="F8224" s="42"/>
      <c r="G8224" s="42"/>
      <c r="H8224" s="42"/>
      <c r="AG8224" s="19">
        <v>8223</v>
      </c>
      <c r="AH8224" s="20">
        <v>4861.8228293516577</v>
      </c>
    </row>
    <row r="8225" spans="1:34" ht="14.5" x14ac:dyDescent="0.35">
      <c r="A8225" s="34"/>
      <c r="B8225" s="35"/>
      <c r="C8225" s="36"/>
      <c r="D8225" s="37"/>
      <c r="E8225" s="36"/>
      <c r="F8225" s="42"/>
      <c r="G8225" s="42"/>
      <c r="H8225" s="42"/>
      <c r="AG8225" s="19">
        <v>8224</v>
      </c>
      <c r="AH8225" s="20">
        <v>-2585.9579397926354</v>
      </c>
    </row>
    <row r="8226" spans="1:34" ht="14.5" x14ac:dyDescent="0.35">
      <c r="A8226" s="34"/>
      <c r="B8226" s="35"/>
      <c r="C8226" s="36"/>
      <c r="D8226" s="37"/>
      <c r="E8226" s="36"/>
      <c r="F8226" s="42"/>
      <c r="G8226" s="42"/>
      <c r="H8226" s="42"/>
      <c r="AG8226" s="19">
        <v>8225</v>
      </c>
      <c r="AH8226" s="20">
        <v>-899.31656660419981</v>
      </c>
    </row>
    <row r="8227" spans="1:34" ht="14.5" x14ac:dyDescent="0.35">
      <c r="A8227" s="34"/>
      <c r="B8227" s="35"/>
      <c r="C8227" s="36"/>
      <c r="D8227" s="37"/>
      <c r="E8227" s="36"/>
      <c r="F8227" s="42"/>
      <c r="G8227" s="42"/>
      <c r="H8227" s="42"/>
      <c r="AG8227" s="19">
        <v>8226</v>
      </c>
      <c r="AH8227" s="20">
        <v>2050.1749523484696</v>
      </c>
    </row>
    <row r="8228" spans="1:34" ht="14.5" x14ac:dyDescent="0.35">
      <c r="A8228" s="34"/>
      <c r="B8228" s="35"/>
      <c r="C8228" s="36"/>
      <c r="D8228" s="37"/>
      <c r="E8228" s="36"/>
      <c r="F8228" s="42"/>
      <c r="G8228" s="42"/>
      <c r="H8228" s="42"/>
      <c r="AG8228" s="19">
        <v>8227</v>
      </c>
      <c r="AH8228" s="20">
        <v>4278.4094121051376</v>
      </c>
    </row>
    <row r="8229" spans="1:34" ht="14.5" x14ac:dyDescent="0.35">
      <c r="A8229" s="34"/>
      <c r="B8229" s="35"/>
      <c r="C8229" s="36"/>
      <c r="D8229" s="37"/>
      <c r="E8229" s="36"/>
      <c r="F8229" s="42"/>
      <c r="G8229" s="42"/>
      <c r="H8229" s="42"/>
      <c r="AG8229" s="19">
        <v>8228</v>
      </c>
      <c r="AH8229" s="20">
        <v>2159.0306551335866</v>
      </c>
    </row>
    <row r="8230" spans="1:34" ht="14.5" x14ac:dyDescent="0.35">
      <c r="A8230" s="34"/>
      <c r="B8230" s="35"/>
      <c r="C8230" s="36"/>
      <c r="D8230" s="37"/>
      <c r="E8230" s="36"/>
      <c r="F8230" s="42"/>
      <c r="G8230" s="42"/>
      <c r="H8230" s="42"/>
      <c r="AG8230" s="19">
        <v>8229</v>
      </c>
      <c r="AH8230" s="20">
        <v>1260.6520556106725</v>
      </c>
    </row>
    <row r="8231" spans="1:34" ht="14.5" x14ac:dyDescent="0.35">
      <c r="A8231" s="34"/>
      <c r="B8231" s="35"/>
      <c r="C8231" s="36"/>
      <c r="D8231" s="37"/>
      <c r="E8231" s="36"/>
      <c r="F8231" s="42"/>
      <c r="G8231" s="42"/>
      <c r="H8231" s="42"/>
      <c r="AG8231" s="19">
        <v>8230</v>
      </c>
      <c r="AH8231" s="20">
        <v>2080.0418657162631</v>
      </c>
    </row>
    <row r="8232" spans="1:34" ht="14.5" x14ac:dyDescent="0.35">
      <c r="A8232" s="34"/>
      <c r="B8232" s="35"/>
      <c r="C8232" s="36"/>
      <c r="D8232" s="37"/>
      <c r="E8232" s="36"/>
      <c r="F8232" s="42"/>
      <c r="G8232" s="42"/>
      <c r="H8232" s="42"/>
      <c r="AG8232" s="19">
        <v>8231</v>
      </c>
      <c r="AH8232" s="20">
        <v>-2607.1197346851031</v>
      </c>
    </row>
    <row r="8233" spans="1:34" ht="14.5" x14ac:dyDescent="0.35">
      <c r="A8233" s="34"/>
      <c r="B8233" s="35"/>
      <c r="C8233" s="36"/>
      <c r="D8233" s="37"/>
      <c r="E8233" s="36"/>
      <c r="F8233" s="42"/>
      <c r="G8233" s="42"/>
      <c r="H8233" s="42"/>
      <c r="AG8233" s="19">
        <v>8232</v>
      </c>
      <c r="AH8233" s="20">
        <v>766.98509015269929</v>
      </c>
    </row>
    <row r="8234" spans="1:34" ht="14.5" x14ac:dyDescent="0.35">
      <c r="A8234" s="34"/>
      <c r="B8234" s="35"/>
      <c r="C8234" s="36"/>
      <c r="D8234" s="37"/>
      <c r="E8234" s="36"/>
      <c r="F8234" s="42"/>
      <c r="G8234" s="42"/>
      <c r="H8234" s="42"/>
      <c r="AG8234" s="19">
        <v>8233</v>
      </c>
      <c r="AH8234" s="20">
        <v>-626.40695167528565</v>
      </c>
    </row>
    <row r="8235" spans="1:34" ht="14.5" x14ac:dyDescent="0.35">
      <c r="A8235" s="34"/>
      <c r="B8235" s="35"/>
      <c r="C8235" s="36"/>
      <c r="D8235" s="37"/>
      <c r="E8235" s="36"/>
      <c r="F8235" s="42"/>
      <c r="G8235" s="42"/>
      <c r="H8235" s="42"/>
      <c r="AG8235" s="19">
        <v>8234</v>
      </c>
      <c r="AH8235" s="20">
        <v>-856.14410016713168</v>
      </c>
    </row>
    <row r="8236" spans="1:34" ht="14.5" x14ac:dyDescent="0.35">
      <c r="A8236" s="34"/>
      <c r="B8236" s="35"/>
      <c r="C8236" s="36"/>
      <c r="D8236" s="37"/>
      <c r="E8236" s="36"/>
      <c r="F8236" s="42"/>
      <c r="G8236" s="42"/>
      <c r="H8236" s="42"/>
      <c r="AG8236" s="19">
        <v>8235</v>
      </c>
      <c r="AH8236" s="20">
        <v>3826.9047346169605</v>
      </c>
    </row>
    <row r="8237" spans="1:34" ht="14.5" x14ac:dyDescent="0.35">
      <c r="A8237" s="34"/>
      <c r="B8237" s="35"/>
      <c r="C8237" s="36"/>
      <c r="D8237" s="37"/>
      <c r="E8237" s="36"/>
      <c r="F8237" s="42"/>
      <c r="G8237" s="42"/>
      <c r="H8237" s="42"/>
      <c r="AG8237" s="19">
        <v>8236</v>
      </c>
      <c r="AH8237" s="20">
        <v>1451.5408997276318</v>
      </c>
    </row>
    <row r="8238" spans="1:34" ht="14.5" x14ac:dyDescent="0.35">
      <c r="A8238" s="34"/>
      <c r="B8238" s="35"/>
      <c r="C8238" s="36"/>
      <c r="D8238" s="37"/>
      <c r="E8238" s="36"/>
      <c r="F8238" s="42"/>
      <c r="G8238" s="42"/>
      <c r="H8238" s="42"/>
      <c r="AG8238" s="19">
        <v>8237</v>
      </c>
      <c r="AH8238" s="20">
        <v>-559.98832931802963</v>
      </c>
    </row>
    <row r="8239" spans="1:34" ht="14.5" x14ac:dyDescent="0.35">
      <c r="A8239" s="34"/>
      <c r="B8239" s="35"/>
      <c r="C8239" s="36"/>
      <c r="D8239" s="37"/>
      <c r="E8239" s="36"/>
      <c r="F8239" s="42"/>
      <c r="G8239" s="42"/>
      <c r="H8239" s="42"/>
      <c r="AG8239" s="19">
        <v>8238</v>
      </c>
      <c r="AH8239" s="20">
        <v>110.33658747932321</v>
      </c>
    </row>
    <row r="8240" spans="1:34" ht="14.5" x14ac:dyDescent="0.35">
      <c r="A8240" s="34"/>
      <c r="B8240" s="35"/>
      <c r="C8240" s="36"/>
      <c r="D8240" s="37"/>
      <c r="E8240" s="36"/>
      <c r="F8240" s="42"/>
      <c r="G8240" s="42"/>
      <c r="H8240" s="42"/>
      <c r="AG8240" s="19">
        <v>8239</v>
      </c>
      <c r="AH8240" s="20">
        <v>-3425.2947133374491</v>
      </c>
    </row>
    <row r="8241" spans="1:34" ht="14.5" x14ac:dyDescent="0.35">
      <c r="A8241" s="34"/>
      <c r="B8241" s="35"/>
      <c r="C8241" s="36"/>
      <c r="D8241" s="37"/>
      <c r="E8241" s="36"/>
      <c r="F8241" s="42"/>
      <c r="G8241" s="42"/>
      <c r="H8241" s="42"/>
      <c r="AG8241" s="19">
        <v>8240</v>
      </c>
      <c r="AH8241" s="20">
        <v>3482.4751371071507</v>
      </c>
    </row>
    <row r="8242" spans="1:34" ht="14.5" x14ac:dyDescent="0.35">
      <c r="A8242" s="34"/>
      <c r="B8242" s="35"/>
      <c r="C8242" s="36"/>
      <c r="D8242" s="37"/>
      <c r="E8242" s="36"/>
      <c r="F8242" s="42"/>
      <c r="G8242" s="42"/>
      <c r="H8242" s="42"/>
      <c r="AG8242" s="19">
        <v>8241</v>
      </c>
      <c r="AH8242" s="20">
        <v>990.71329286948981</v>
      </c>
    </row>
    <row r="8243" spans="1:34" ht="14.5" x14ac:dyDescent="0.35">
      <c r="A8243" s="34"/>
      <c r="B8243" s="35"/>
      <c r="C8243" s="36"/>
      <c r="D8243" s="37"/>
      <c r="E8243" s="36"/>
      <c r="F8243" s="42"/>
      <c r="G8243" s="42"/>
      <c r="H8243" s="42"/>
      <c r="AG8243" s="19">
        <v>8242</v>
      </c>
      <c r="AH8243" s="20">
        <v>-1983.7899038285866</v>
      </c>
    </row>
    <row r="8244" spans="1:34" ht="14.5" x14ac:dyDescent="0.35">
      <c r="A8244" s="34"/>
      <c r="B8244" s="35"/>
      <c r="C8244" s="36"/>
      <c r="D8244" s="37"/>
      <c r="E8244" s="36"/>
      <c r="F8244" s="42"/>
      <c r="G8244" s="42"/>
      <c r="H8244" s="42"/>
      <c r="AG8244" s="19">
        <v>8243</v>
      </c>
      <c r="AH8244" s="20">
        <v>-465.13954769800131</v>
      </c>
    </row>
    <row r="8245" spans="1:34" ht="14.5" x14ac:dyDescent="0.35">
      <c r="A8245" s="34"/>
      <c r="B8245" s="35"/>
      <c r="C8245" s="36"/>
      <c r="D8245" s="37"/>
      <c r="E8245" s="36"/>
      <c r="F8245" s="42"/>
      <c r="G8245" s="42"/>
      <c r="H8245" s="42"/>
      <c r="AG8245" s="19">
        <v>8244</v>
      </c>
      <c r="AH8245" s="20">
        <v>1200.451036495142</v>
      </c>
    </row>
    <row r="8246" spans="1:34" ht="14.5" x14ac:dyDescent="0.35">
      <c r="A8246" s="34"/>
      <c r="B8246" s="35"/>
      <c r="C8246" s="36"/>
      <c r="D8246" s="37"/>
      <c r="E8246" s="36"/>
      <c r="F8246" s="42"/>
      <c r="G8246" s="42"/>
      <c r="H8246" s="42"/>
      <c r="AG8246" s="19">
        <v>8245</v>
      </c>
      <c r="AH8246" s="20">
        <v>888.66461418590552</v>
      </c>
    </row>
    <row r="8247" spans="1:34" ht="14.5" x14ac:dyDescent="0.35">
      <c r="A8247" s="34"/>
      <c r="B8247" s="35"/>
      <c r="C8247" s="36"/>
      <c r="D8247" s="37"/>
      <c r="E8247" s="36"/>
      <c r="F8247" s="42"/>
      <c r="G8247" s="42"/>
      <c r="H8247" s="42"/>
      <c r="AG8247" s="19">
        <v>8246</v>
      </c>
      <c r="AH8247" s="20">
        <v>0.79281406811855959</v>
      </c>
    </row>
    <row r="8248" spans="1:34" ht="14.5" x14ac:dyDescent="0.35">
      <c r="A8248" s="34"/>
      <c r="B8248" s="35"/>
      <c r="C8248" s="36"/>
      <c r="D8248" s="37"/>
      <c r="E8248" s="36"/>
      <c r="F8248" s="42"/>
      <c r="G8248" s="42"/>
      <c r="H8248" s="42"/>
      <c r="AG8248" s="19">
        <v>8247</v>
      </c>
      <c r="AH8248" s="20">
        <v>854.83550607534767</v>
      </c>
    </row>
    <row r="8249" spans="1:34" ht="14.5" x14ac:dyDescent="0.35">
      <c r="A8249" s="34"/>
      <c r="B8249" s="35"/>
      <c r="C8249" s="36"/>
      <c r="D8249" s="37"/>
      <c r="E8249" s="36"/>
      <c r="F8249" s="42"/>
      <c r="G8249" s="42"/>
      <c r="H8249" s="42"/>
      <c r="AG8249" s="19">
        <v>8248</v>
      </c>
      <c r="AH8249" s="20">
        <v>-861.06739989029029</v>
      </c>
    </row>
    <row r="8250" spans="1:34" ht="14.5" x14ac:dyDescent="0.35">
      <c r="A8250" s="34"/>
      <c r="B8250" s="35"/>
      <c r="C8250" s="36"/>
      <c r="D8250" s="37"/>
      <c r="E8250" s="36"/>
      <c r="F8250" s="42"/>
      <c r="G8250" s="42"/>
      <c r="H8250" s="42"/>
      <c r="AG8250" s="19">
        <v>8249</v>
      </c>
      <c r="AH8250" s="20">
        <v>-1684.7694395258675</v>
      </c>
    </row>
    <row r="8251" spans="1:34" ht="14.5" x14ac:dyDescent="0.35">
      <c r="A8251" s="34"/>
      <c r="B8251" s="35"/>
      <c r="C8251" s="36"/>
      <c r="D8251" s="37"/>
      <c r="E8251" s="36"/>
      <c r="F8251" s="42"/>
      <c r="G8251" s="42"/>
      <c r="H8251" s="42"/>
      <c r="AG8251" s="19">
        <v>8250</v>
      </c>
      <c r="AH8251" s="20">
        <v>-642.17030769929193</v>
      </c>
    </row>
    <row r="8252" spans="1:34" ht="14.5" x14ac:dyDescent="0.35">
      <c r="A8252" s="34"/>
      <c r="B8252" s="35"/>
      <c r="C8252" s="36"/>
      <c r="D8252" s="37"/>
      <c r="E8252" s="36"/>
      <c r="F8252" s="42"/>
      <c r="G8252" s="42"/>
      <c r="H8252" s="42"/>
      <c r="AG8252" s="19">
        <v>8251</v>
      </c>
      <c r="AH8252" s="20">
        <v>-1876.3522357412237</v>
      </c>
    </row>
    <row r="8253" spans="1:34" ht="14.5" x14ac:dyDescent="0.35">
      <c r="A8253" s="34"/>
      <c r="B8253" s="35"/>
      <c r="C8253" s="36"/>
      <c r="D8253" s="37"/>
      <c r="E8253" s="36"/>
      <c r="F8253" s="42"/>
      <c r="G8253" s="42"/>
      <c r="H8253" s="42"/>
      <c r="AG8253" s="19">
        <v>8252</v>
      </c>
      <c r="AH8253" s="20">
        <v>1944.1316568911677</v>
      </c>
    </row>
    <row r="8254" spans="1:34" ht="14.5" x14ac:dyDescent="0.35">
      <c r="A8254" s="34"/>
      <c r="B8254" s="35"/>
      <c r="C8254" s="36"/>
      <c r="D8254" s="37"/>
      <c r="E8254" s="36"/>
      <c r="F8254" s="42"/>
      <c r="G8254" s="42"/>
      <c r="H8254" s="42"/>
      <c r="AG8254" s="19">
        <v>8253</v>
      </c>
      <c r="AH8254" s="20">
        <v>1135.9021399960886</v>
      </c>
    </row>
    <row r="8255" spans="1:34" ht="14.5" x14ac:dyDescent="0.35">
      <c r="A8255" s="34"/>
      <c r="B8255" s="35"/>
      <c r="C8255" s="36"/>
      <c r="D8255" s="37"/>
      <c r="E8255" s="36"/>
      <c r="F8255" s="42"/>
      <c r="G8255" s="42"/>
      <c r="H8255" s="42"/>
      <c r="AG8255" s="19">
        <v>8254</v>
      </c>
      <c r="AH8255" s="20">
        <v>-6791.1759575996903</v>
      </c>
    </row>
    <row r="8256" spans="1:34" ht="14.5" x14ac:dyDescent="0.35">
      <c r="A8256" s="34"/>
      <c r="B8256" s="35"/>
      <c r="C8256" s="36"/>
      <c r="D8256" s="37"/>
      <c r="E8256" s="36"/>
      <c r="F8256" s="42"/>
      <c r="G8256" s="42"/>
      <c r="H8256" s="42"/>
      <c r="AG8256" s="19">
        <v>8255</v>
      </c>
      <c r="AH8256" s="20">
        <v>-659.60772894393199</v>
      </c>
    </row>
    <row r="8257" spans="1:34" ht="14.5" x14ac:dyDescent="0.35">
      <c r="A8257" s="34"/>
      <c r="B8257" s="35"/>
      <c r="C8257" s="36"/>
      <c r="D8257" s="37"/>
      <c r="E8257" s="36"/>
      <c r="F8257" s="42"/>
      <c r="G8257" s="42"/>
      <c r="H8257" s="42"/>
      <c r="AG8257" s="19">
        <v>8256</v>
      </c>
      <c r="AH8257" s="20">
        <v>1779.6831045623926</v>
      </c>
    </row>
    <row r="8258" spans="1:34" ht="14.5" x14ac:dyDescent="0.35">
      <c r="A8258" s="34"/>
      <c r="B8258" s="35"/>
      <c r="C8258" s="36"/>
      <c r="D8258" s="37"/>
      <c r="E8258" s="36"/>
      <c r="F8258" s="42"/>
      <c r="G8258" s="42"/>
      <c r="H8258" s="42"/>
      <c r="AG8258" s="19">
        <v>8257</v>
      </c>
      <c r="AH8258" s="20">
        <v>-3520.0420332403642</v>
      </c>
    </row>
    <row r="8259" spans="1:34" ht="14.5" x14ac:dyDescent="0.35">
      <c r="A8259" s="34"/>
      <c r="B8259" s="35"/>
      <c r="C8259" s="36"/>
      <c r="D8259" s="37"/>
      <c r="E8259" s="36"/>
      <c r="F8259" s="42"/>
      <c r="G8259" s="42"/>
      <c r="H8259" s="42"/>
      <c r="AG8259" s="19">
        <v>8258</v>
      </c>
      <c r="AH8259" s="20">
        <v>1014.5209096580616</v>
      </c>
    </row>
    <row r="8260" spans="1:34" ht="14.5" x14ac:dyDescent="0.35">
      <c r="A8260" s="34"/>
      <c r="B8260" s="35"/>
      <c r="C8260" s="36"/>
      <c r="D8260" s="37"/>
      <c r="E8260" s="36"/>
      <c r="F8260" s="42"/>
      <c r="G8260" s="42"/>
      <c r="H8260" s="42"/>
      <c r="AG8260" s="19">
        <v>8259</v>
      </c>
      <c r="AH8260" s="20">
        <v>-1831.5326020081086</v>
      </c>
    </row>
    <row r="8261" spans="1:34" ht="14.5" x14ac:dyDescent="0.35">
      <c r="A8261" s="34"/>
      <c r="B8261" s="35"/>
      <c r="C8261" s="36"/>
      <c r="D8261" s="37"/>
      <c r="E8261" s="36"/>
      <c r="F8261" s="42"/>
      <c r="G8261" s="42"/>
      <c r="H8261" s="42"/>
      <c r="AG8261" s="19">
        <v>8260</v>
      </c>
      <c r="AH8261" s="20">
        <v>54.434543250801596</v>
      </c>
    </row>
    <row r="8262" spans="1:34" ht="14.5" x14ac:dyDescent="0.35">
      <c r="A8262" s="34"/>
      <c r="B8262" s="35"/>
      <c r="C8262" s="36"/>
      <c r="D8262" s="37"/>
      <c r="E8262" s="36"/>
      <c r="F8262" s="42"/>
      <c r="G8262" s="42"/>
      <c r="H8262" s="42"/>
      <c r="AG8262" s="19">
        <v>8261</v>
      </c>
      <c r="AH8262" s="20">
        <v>638.75040916841851</v>
      </c>
    </row>
    <row r="8263" spans="1:34" ht="14.5" x14ac:dyDescent="0.35">
      <c r="A8263" s="34"/>
      <c r="B8263" s="35"/>
      <c r="C8263" s="36"/>
      <c r="D8263" s="37"/>
      <c r="E8263" s="36"/>
      <c r="F8263" s="42"/>
      <c r="G8263" s="42"/>
      <c r="H8263" s="42"/>
      <c r="AG8263" s="19">
        <v>8262</v>
      </c>
      <c r="AH8263" s="20">
        <v>3553.7940469044729</v>
      </c>
    </row>
    <row r="8264" spans="1:34" ht="14.5" x14ac:dyDescent="0.35">
      <c r="A8264" s="34"/>
      <c r="B8264" s="35"/>
      <c r="C8264" s="36"/>
      <c r="D8264" s="37"/>
      <c r="E8264" s="36"/>
      <c r="F8264" s="42"/>
      <c r="G8264" s="42"/>
      <c r="H8264" s="42"/>
      <c r="AG8264" s="19">
        <v>8263</v>
      </c>
      <c r="AH8264" s="20">
        <v>737.49544275758444</v>
      </c>
    </row>
    <row r="8265" spans="1:34" ht="14.5" x14ac:dyDescent="0.35">
      <c r="A8265" s="34"/>
      <c r="B8265" s="35"/>
      <c r="C8265" s="36"/>
      <c r="D8265" s="37"/>
      <c r="E8265" s="36"/>
      <c r="F8265" s="42"/>
      <c r="G8265" s="42"/>
      <c r="H8265" s="42"/>
      <c r="AG8265" s="19">
        <v>8264</v>
      </c>
      <c r="AH8265" s="20">
        <v>-4488.8954406118828</v>
      </c>
    </row>
    <row r="8266" spans="1:34" ht="14.5" x14ac:dyDescent="0.35">
      <c r="A8266" s="34"/>
      <c r="B8266" s="35"/>
      <c r="C8266" s="36"/>
      <c r="D8266" s="37"/>
      <c r="E8266" s="36"/>
      <c r="F8266" s="42"/>
      <c r="G8266" s="42"/>
      <c r="H8266" s="42"/>
      <c r="AG8266" s="19">
        <v>8265</v>
      </c>
      <c r="AH8266" s="20">
        <v>82.870888774197567</v>
      </c>
    </row>
    <row r="8267" spans="1:34" ht="14.5" x14ac:dyDescent="0.35">
      <c r="A8267" s="34"/>
      <c r="B8267" s="35"/>
      <c r="C8267" s="36"/>
      <c r="D8267" s="37"/>
      <c r="E8267" s="36"/>
      <c r="F8267" s="42"/>
      <c r="G8267" s="42"/>
      <c r="H8267" s="42"/>
      <c r="AG8267" s="19">
        <v>8266</v>
      </c>
      <c r="AH8267" s="20">
        <v>-1142.8512566329575</v>
      </c>
    </row>
    <row r="8268" spans="1:34" ht="14.5" x14ac:dyDescent="0.35">
      <c r="A8268" s="34"/>
      <c r="B8268" s="35"/>
      <c r="C8268" s="36"/>
      <c r="D8268" s="37"/>
      <c r="E8268" s="36"/>
      <c r="F8268" s="42"/>
      <c r="G8268" s="42"/>
      <c r="H8268" s="42"/>
      <c r="AG8268" s="19">
        <v>8267</v>
      </c>
      <c r="AH8268" s="20">
        <v>3073.8251579193652</v>
      </c>
    </row>
    <row r="8269" spans="1:34" ht="14.5" x14ac:dyDescent="0.35">
      <c r="A8269" s="34"/>
      <c r="B8269" s="35"/>
      <c r="C8269" s="36"/>
      <c r="D8269" s="37"/>
      <c r="E8269" s="36"/>
      <c r="F8269" s="42"/>
      <c r="G8269" s="42"/>
      <c r="H8269" s="42"/>
      <c r="AG8269" s="19">
        <v>8268</v>
      </c>
      <c r="AH8269" s="20">
        <v>-677.65550774857024</v>
      </c>
    </row>
    <row r="8270" spans="1:34" ht="14.5" x14ac:dyDescent="0.35">
      <c r="A8270" s="34"/>
      <c r="B8270" s="35"/>
      <c r="C8270" s="36"/>
      <c r="D8270" s="37"/>
      <c r="E8270" s="36"/>
      <c r="F8270" s="42"/>
      <c r="G8270" s="42"/>
      <c r="H8270" s="42"/>
      <c r="AG8270" s="19">
        <v>8269</v>
      </c>
      <c r="AH8270" s="20">
        <v>1202.7525002385864</v>
      </c>
    </row>
    <row r="8271" spans="1:34" ht="14.5" x14ac:dyDescent="0.35">
      <c r="A8271" s="34"/>
      <c r="B8271" s="35"/>
      <c r="C8271" s="36"/>
      <c r="D8271" s="37"/>
      <c r="E8271" s="36"/>
      <c r="F8271" s="42"/>
      <c r="G8271" s="42"/>
      <c r="H8271" s="42"/>
      <c r="AG8271" s="19">
        <v>8270</v>
      </c>
      <c r="AH8271" s="20">
        <v>-37.063318539336649</v>
      </c>
    </row>
    <row r="8272" spans="1:34" ht="14.5" x14ac:dyDescent="0.35">
      <c r="A8272" s="34"/>
      <c r="B8272" s="35"/>
      <c r="C8272" s="36"/>
      <c r="D8272" s="37"/>
      <c r="E8272" s="36"/>
      <c r="F8272" s="42"/>
      <c r="G8272" s="42"/>
      <c r="H8272" s="42"/>
      <c r="AG8272" s="19">
        <v>8271</v>
      </c>
      <c r="AH8272" s="20">
        <v>-461.99060723470069</v>
      </c>
    </row>
    <row r="8273" spans="1:34" ht="14.5" x14ac:dyDescent="0.35">
      <c r="A8273" s="34"/>
      <c r="B8273" s="35"/>
      <c r="C8273" s="36"/>
      <c r="D8273" s="37"/>
      <c r="E8273" s="36"/>
      <c r="F8273" s="42"/>
      <c r="G8273" s="42"/>
      <c r="H8273" s="42"/>
      <c r="AG8273" s="19">
        <v>8272</v>
      </c>
      <c r="AH8273" s="20">
        <v>149.10028773180605</v>
      </c>
    </row>
    <row r="8274" spans="1:34" ht="14.5" x14ac:dyDescent="0.35">
      <c r="A8274" s="34"/>
      <c r="B8274" s="35"/>
      <c r="C8274" s="36"/>
      <c r="D8274" s="37"/>
      <c r="E8274" s="36"/>
      <c r="F8274" s="42"/>
      <c r="G8274" s="42"/>
      <c r="H8274" s="42"/>
      <c r="AG8274" s="19">
        <v>8273</v>
      </c>
      <c r="AH8274" s="20">
        <v>4038.7683757000432</v>
      </c>
    </row>
    <row r="8275" spans="1:34" ht="14.5" x14ac:dyDescent="0.35">
      <c r="A8275" s="34"/>
      <c r="B8275" s="35"/>
      <c r="C8275" s="36"/>
      <c r="D8275" s="37"/>
      <c r="E8275" s="36"/>
      <c r="F8275" s="42"/>
      <c r="G8275" s="42"/>
      <c r="H8275" s="42"/>
      <c r="AG8275" s="19">
        <v>8274</v>
      </c>
      <c r="AH8275" s="20">
        <v>1034.1022955780004</v>
      </c>
    </row>
    <row r="8276" spans="1:34" ht="14.5" x14ac:dyDescent="0.35">
      <c r="A8276" s="34"/>
      <c r="B8276" s="35"/>
      <c r="C8276" s="36"/>
      <c r="D8276" s="37"/>
      <c r="E8276" s="36"/>
      <c r="F8276" s="42"/>
      <c r="G8276" s="42"/>
      <c r="H8276" s="42"/>
      <c r="AG8276" s="19">
        <v>8275</v>
      </c>
      <c r="AH8276" s="20">
        <v>3654.7909198365842</v>
      </c>
    </row>
    <row r="8277" spans="1:34" ht="14.5" x14ac:dyDescent="0.35">
      <c r="A8277" s="34"/>
      <c r="B8277" s="35"/>
      <c r="C8277" s="36"/>
      <c r="D8277" s="37"/>
      <c r="E8277" s="36"/>
      <c r="F8277" s="42"/>
      <c r="G8277" s="42"/>
      <c r="H8277" s="42"/>
      <c r="AG8277" s="19">
        <v>8276</v>
      </c>
      <c r="AH8277" s="20">
        <v>-1479.4053381829151</v>
      </c>
    </row>
    <row r="8278" spans="1:34" ht="14.5" x14ac:dyDescent="0.35">
      <c r="A8278" s="34"/>
      <c r="B8278" s="35"/>
      <c r="C8278" s="36"/>
      <c r="D8278" s="37"/>
      <c r="E8278" s="36"/>
      <c r="F8278" s="42"/>
      <c r="G8278" s="42"/>
      <c r="H8278" s="42"/>
      <c r="AG8278" s="19">
        <v>8277</v>
      </c>
      <c r="AH8278" s="20">
        <v>1092.4640026278742</v>
      </c>
    </row>
    <row r="8279" spans="1:34" ht="14.5" x14ac:dyDescent="0.35">
      <c r="A8279" s="34"/>
      <c r="B8279" s="35"/>
      <c r="C8279" s="36"/>
      <c r="D8279" s="37"/>
      <c r="E8279" s="36"/>
      <c r="F8279" s="42"/>
      <c r="G8279" s="42"/>
      <c r="H8279" s="42"/>
      <c r="AG8279" s="19">
        <v>8278</v>
      </c>
      <c r="AH8279" s="20">
        <v>2430.3301016633777</v>
      </c>
    </row>
    <row r="8280" spans="1:34" ht="14.5" x14ac:dyDescent="0.35">
      <c r="A8280" s="34"/>
      <c r="B8280" s="35"/>
      <c r="C8280" s="36"/>
      <c r="D8280" s="37"/>
      <c r="E8280" s="36"/>
      <c r="F8280" s="42"/>
      <c r="G8280" s="42"/>
      <c r="H8280" s="42"/>
      <c r="AG8280" s="19">
        <v>8279</v>
      </c>
      <c r="AH8280" s="20">
        <v>2566.5130905272531</v>
      </c>
    </row>
    <row r="8281" spans="1:34" ht="14.5" x14ac:dyDescent="0.35">
      <c r="A8281" s="34"/>
      <c r="B8281" s="35"/>
      <c r="C8281" s="36"/>
      <c r="D8281" s="37"/>
      <c r="E8281" s="36"/>
      <c r="F8281" s="42"/>
      <c r="G8281" s="42"/>
      <c r="H8281" s="42"/>
      <c r="AG8281" s="19">
        <v>8280</v>
      </c>
      <c r="AH8281" s="20">
        <v>2203.4477575895753</v>
      </c>
    </row>
    <row r="8282" spans="1:34" ht="14.5" x14ac:dyDescent="0.35">
      <c r="A8282" s="34"/>
      <c r="B8282" s="35"/>
      <c r="C8282" s="36"/>
      <c r="D8282" s="37"/>
      <c r="E8282" s="36"/>
      <c r="F8282" s="42"/>
      <c r="G8282" s="42"/>
      <c r="H8282" s="42"/>
      <c r="AG8282" s="19">
        <v>8281</v>
      </c>
      <c r="AH8282" s="20">
        <v>-2068.1992488385117</v>
      </c>
    </row>
    <row r="8283" spans="1:34" ht="14.5" x14ac:dyDescent="0.35">
      <c r="A8283" s="34"/>
      <c r="B8283" s="35"/>
      <c r="C8283" s="36"/>
      <c r="D8283" s="37"/>
      <c r="E8283" s="36"/>
      <c r="F8283" s="42"/>
      <c r="G8283" s="42"/>
      <c r="H8283" s="42"/>
      <c r="AG8283" s="19">
        <v>8282</v>
      </c>
      <c r="AH8283" s="20">
        <v>-1074.9244265594011</v>
      </c>
    </row>
    <row r="8284" spans="1:34" ht="14.5" x14ac:dyDescent="0.35">
      <c r="A8284" s="34"/>
      <c r="B8284" s="35"/>
      <c r="C8284" s="36"/>
      <c r="D8284" s="37"/>
      <c r="E8284" s="36"/>
      <c r="F8284" s="42"/>
      <c r="G8284" s="42"/>
      <c r="H8284" s="42"/>
      <c r="AG8284" s="19">
        <v>8283</v>
      </c>
      <c r="AH8284" s="20">
        <v>-2306.454333388237</v>
      </c>
    </row>
    <row r="8285" spans="1:34" ht="14.5" x14ac:dyDescent="0.35">
      <c r="A8285" s="34"/>
      <c r="B8285" s="35"/>
      <c r="C8285" s="36"/>
      <c r="D8285" s="37"/>
      <c r="E8285" s="36"/>
      <c r="F8285" s="42"/>
      <c r="G8285" s="42"/>
      <c r="H8285" s="42"/>
      <c r="AG8285" s="19">
        <v>8284</v>
      </c>
      <c r="AH8285" s="20">
        <v>-1126.5878905720833</v>
      </c>
    </row>
    <row r="8286" spans="1:34" ht="14.5" x14ac:dyDescent="0.35">
      <c r="A8286" s="34"/>
      <c r="B8286" s="35"/>
      <c r="C8286" s="36"/>
      <c r="D8286" s="37"/>
      <c r="E8286" s="36"/>
      <c r="F8286" s="42"/>
      <c r="G8286" s="42"/>
      <c r="H8286" s="42"/>
      <c r="AG8286" s="19">
        <v>8285</v>
      </c>
      <c r="AH8286" s="20">
        <v>-987.74077771897896</v>
      </c>
    </row>
    <row r="8287" spans="1:34" ht="14.5" x14ac:dyDescent="0.35">
      <c r="A8287" s="34"/>
      <c r="B8287" s="35"/>
      <c r="C8287" s="36"/>
      <c r="D8287" s="37"/>
      <c r="E8287" s="36"/>
      <c r="F8287" s="42"/>
      <c r="G8287" s="42"/>
      <c r="H8287" s="42"/>
      <c r="AG8287" s="19">
        <v>8286</v>
      </c>
      <c r="AH8287" s="20">
        <v>1840.9502071395871</v>
      </c>
    </row>
    <row r="8288" spans="1:34" ht="14.5" x14ac:dyDescent="0.35">
      <c r="A8288" s="34"/>
      <c r="B8288" s="35"/>
      <c r="C8288" s="36"/>
      <c r="D8288" s="37"/>
      <c r="E8288" s="36"/>
      <c r="F8288" s="42"/>
      <c r="G8288" s="42"/>
      <c r="H8288" s="42"/>
      <c r="AG8288" s="19">
        <v>8287</v>
      </c>
      <c r="AH8288" s="20">
        <v>355.03548754071636</v>
      </c>
    </row>
    <row r="8289" spans="1:34" ht="14.5" x14ac:dyDescent="0.35">
      <c r="A8289" s="34"/>
      <c r="B8289" s="35"/>
      <c r="C8289" s="36"/>
      <c r="D8289" s="37"/>
      <c r="E8289" s="36"/>
      <c r="F8289" s="42"/>
      <c r="G8289" s="42"/>
      <c r="H8289" s="42"/>
      <c r="AG8289" s="19">
        <v>8288</v>
      </c>
      <c r="AH8289" s="20">
        <v>-946.83006190942638</v>
      </c>
    </row>
    <row r="8290" spans="1:34" ht="14.5" x14ac:dyDescent="0.35">
      <c r="A8290" s="34"/>
      <c r="B8290" s="35"/>
      <c r="C8290" s="36"/>
      <c r="D8290" s="37"/>
      <c r="E8290" s="36"/>
      <c r="F8290" s="42"/>
      <c r="G8290" s="42"/>
      <c r="H8290" s="42"/>
      <c r="AG8290" s="19">
        <v>8289</v>
      </c>
      <c r="AH8290" s="20">
        <v>252.76947804121485</v>
      </c>
    </row>
    <row r="8291" spans="1:34" ht="14.5" x14ac:dyDescent="0.35">
      <c r="A8291" s="34"/>
      <c r="B8291" s="35"/>
      <c r="C8291" s="36"/>
      <c r="D8291" s="37"/>
      <c r="E8291" s="36"/>
      <c r="F8291" s="42"/>
      <c r="G8291" s="42"/>
      <c r="H8291" s="42"/>
      <c r="AG8291" s="19">
        <v>8290</v>
      </c>
      <c r="AH8291" s="20">
        <v>228.41314342948544</v>
      </c>
    </row>
    <row r="8292" spans="1:34" ht="14.5" x14ac:dyDescent="0.35">
      <c r="A8292" s="34"/>
      <c r="B8292" s="35"/>
      <c r="C8292" s="36"/>
      <c r="D8292" s="37"/>
      <c r="E8292" s="36"/>
      <c r="F8292" s="42"/>
      <c r="G8292" s="42"/>
      <c r="H8292" s="42"/>
      <c r="AG8292" s="19">
        <v>8291</v>
      </c>
      <c r="AH8292" s="20">
        <v>574.75988770963988</v>
      </c>
    </row>
    <row r="8293" spans="1:34" ht="14.5" x14ac:dyDescent="0.35">
      <c r="A8293" s="34"/>
      <c r="B8293" s="35"/>
      <c r="C8293" s="36"/>
      <c r="D8293" s="37"/>
      <c r="E8293" s="36"/>
      <c r="F8293" s="42"/>
      <c r="G8293" s="42"/>
      <c r="H8293" s="42"/>
      <c r="AG8293" s="19">
        <v>8292</v>
      </c>
      <c r="AH8293" s="20">
        <v>1175.4625859862219</v>
      </c>
    </row>
    <row r="8294" spans="1:34" ht="14.5" x14ac:dyDescent="0.35">
      <c r="A8294" s="34"/>
      <c r="B8294" s="35"/>
      <c r="C8294" s="36"/>
      <c r="D8294" s="37"/>
      <c r="E8294" s="36"/>
      <c r="F8294" s="42"/>
      <c r="G8294" s="42"/>
      <c r="H8294" s="42"/>
      <c r="AG8294" s="19">
        <v>8293</v>
      </c>
      <c r="AH8294" s="20">
        <v>1520.9807049071699</v>
      </c>
    </row>
    <row r="8295" spans="1:34" ht="14.5" x14ac:dyDescent="0.35">
      <c r="A8295" s="34"/>
      <c r="B8295" s="35"/>
      <c r="C8295" s="36"/>
      <c r="D8295" s="37"/>
      <c r="E8295" s="36"/>
      <c r="F8295" s="42"/>
      <c r="G8295" s="42"/>
      <c r="H8295" s="42"/>
      <c r="AG8295" s="19">
        <v>8294</v>
      </c>
      <c r="AH8295" s="20">
        <v>2183.0513988409052</v>
      </c>
    </row>
    <row r="8296" spans="1:34" ht="14.5" x14ac:dyDescent="0.35">
      <c r="A8296" s="34"/>
      <c r="B8296" s="35"/>
      <c r="C8296" s="36"/>
      <c r="D8296" s="37"/>
      <c r="E8296" s="36"/>
      <c r="F8296" s="42"/>
      <c r="G8296" s="42"/>
      <c r="H8296" s="42"/>
      <c r="AG8296" s="19">
        <v>8295</v>
      </c>
      <c r="AH8296" s="20">
        <v>2277.8801928245803</v>
      </c>
    </row>
    <row r="8297" spans="1:34" ht="14.5" x14ac:dyDescent="0.35">
      <c r="A8297" s="34"/>
      <c r="B8297" s="35"/>
      <c r="C8297" s="36"/>
      <c r="D8297" s="37"/>
      <c r="E8297" s="36"/>
      <c r="F8297" s="42"/>
      <c r="G8297" s="42"/>
      <c r="H8297" s="42"/>
      <c r="AG8297" s="19">
        <v>8296</v>
      </c>
      <c r="AH8297" s="20">
        <v>185.60069016335171</v>
      </c>
    </row>
    <row r="8298" spans="1:34" ht="14.5" x14ac:dyDescent="0.35">
      <c r="A8298" s="34"/>
      <c r="B8298" s="35"/>
      <c r="C8298" s="36"/>
      <c r="D8298" s="37"/>
      <c r="E8298" s="36"/>
      <c r="F8298" s="42"/>
      <c r="G8298" s="42"/>
      <c r="H8298" s="42"/>
      <c r="AG8298" s="19">
        <v>8297</v>
      </c>
      <c r="AH8298" s="20">
        <v>5577.237700077615</v>
      </c>
    </row>
    <row r="8299" spans="1:34" ht="14.5" x14ac:dyDescent="0.35">
      <c r="A8299" s="34"/>
      <c r="B8299" s="35"/>
      <c r="C8299" s="36"/>
      <c r="D8299" s="37"/>
      <c r="E8299" s="36"/>
      <c r="F8299" s="42"/>
      <c r="G8299" s="42"/>
      <c r="H8299" s="42"/>
      <c r="AG8299" s="19">
        <v>8298</v>
      </c>
      <c r="AH8299" s="20">
        <v>3245.1880597871564</v>
      </c>
    </row>
    <row r="8300" spans="1:34" ht="14.5" x14ac:dyDescent="0.35">
      <c r="A8300" s="34"/>
      <c r="B8300" s="35"/>
      <c r="C8300" s="36"/>
      <c r="D8300" s="37"/>
      <c r="E8300" s="36"/>
      <c r="F8300" s="42"/>
      <c r="G8300" s="42"/>
      <c r="H8300" s="42"/>
      <c r="AG8300" s="19">
        <v>8299</v>
      </c>
      <c r="AH8300" s="20">
        <v>749.07144355295998</v>
      </c>
    </row>
    <row r="8301" spans="1:34" ht="14.5" x14ac:dyDescent="0.35">
      <c r="A8301" s="34"/>
      <c r="B8301" s="35"/>
      <c r="C8301" s="36"/>
      <c r="D8301" s="37"/>
      <c r="E8301" s="36"/>
      <c r="F8301" s="42"/>
      <c r="G8301" s="42"/>
      <c r="H8301" s="42"/>
      <c r="AG8301" s="19">
        <v>8300</v>
      </c>
      <c r="AH8301" s="20">
        <v>-2726.715772278576</v>
      </c>
    </row>
    <row r="8302" spans="1:34" ht="14.5" x14ac:dyDescent="0.35">
      <c r="A8302" s="34"/>
      <c r="B8302" s="35"/>
      <c r="C8302" s="36"/>
      <c r="D8302" s="37"/>
      <c r="E8302" s="36"/>
      <c r="F8302" s="42"/>
      <c r="G8302" s="42"/>
      <c r="H8302" s="42"/>
      <c r="AG8302" s="19">
        <v>8301</v>
      </c>
      <c r="AH8302" s="20">
        <v>-439.33985544873889</v>
      </c>
    </row>
    <row r="8303" spans="1:34" ht="14.5" x14ac:dyDescent="0.35">
      <c r="A8303" s="34"/>
      <c r="B8303" s="35"/>
      <c r="C8303" s="36"/>
      <c r="D8303" s="37"/>
      <c r="E8303" s="36"/>
      <c r="F8303" s="42"/>
      <c r="G8303" s="42"/>
      <c r="H8303" s="42"/>
      <c r="AG8303" s="19">
        <v>8302</v>
      </c>
      <c r="AH8303" s="20">
        <v>11.886542300531346</v>
      </c>
    </row>
    <row r="8304" spans="1:34" ht="14.5" x14ac:dyDescent="0.35">
      <c r="A8304" s="34"/>
      <c r="B8304" s="35"/>
      <c r="C8304" s="36"/>
      <c r="D8304" s="37"/>
      <c r="E8304" s="36"/>
      <c r="F8304" s="42"/>
      <c r="G8304" s="42"/>
      <c r="H8304" s="42"/>
      <c r="AG8304" s="19">
        <v>8303</v>
      </c>
      <c r="AH8304" s="20">
        <v>-1134.3832833868753</v>
      </c>
    </row>
    <row r="8305" spans="1:34" ht="14.5" x14ac:dyDescent="0.35">
      <c r="A8305" s="34"/>
      <c r="B8305" s="35"/>
      <c r="C8305" s="36"/>
      <c r="D8305" s="37"/>
      <c r="E8305" s="36"/>
      <c r="F8305" s="42"/>
      <c r="G8305" s="42"/>
      <c r="H8305" s="42"/>
      <c r="AG8305" s="19">
        <v>8304</v>
      </c>
      <c r="AH8305" s="20">
        <v>-163.88530496315065</v>
      </c>
    </row>
    <row r="8306" spans="1:34" ht="14.5" x14ac:dyDescent="0.35">
      <c r="A8306" s="34"/>
      <c r="B8306" s="35"/>
      <c r="C8306" s="36"/>
      <c r="D8306" s="37"/>
      <c r="E8306" s="36"/>
      <c r="F8306" s="42"/>
      <c r="G8306" s="42"/>
      <c r="H8306" s="42"/>
      <c r="AG8306" s="19">
        <v>8305</v>
      </c>
      <c r="AH8306" s="20">
        <v>2362.4801260606619</v>
      </c>
    </row>
    <row r="8307" spans="1:34" ht="14.5" x14ac:dyDescent="0.35">
      <c r="A8307" s="34"/>
      <c r="B8307" s="35"/>
      <c r="C8307" s="36"/>
      <c r="D8307" s="37"/>
      <c r="E8307" s="36"/>
      <c r="F8307" s="42"/>
      <c r="G8307" s="42"/>
      <c r="H8307" s="42"/>
      <c r="AG8307" s="19">
        <v>8306</v>
      </c>
      <c r="AH8307" s="20">
        <v>2461.9076919340132</v>
      </c>
    </row>
    <row r="8308" spans="1:34" ht="14.5" x14ac:dyDescent="0.35">
      <c r="A8308" s="34"/>
      <c r="B8308" s="35"/>
      <c r="C8308" s="36"/>
      <c r="D8308" s="37"/>
      <c r="E8308" s="36"/>
      <c r="F8308" s="42"/>
      <c r="G8308" s="42"/>
      <c r="H8308" s="42"/>
      <c r="AG8308" s="19">
        <v>8307</v>
      </c>
      <c r="AH8308" s="20">
        <v>1535.9122528740422</v>
      </c>
    </row>
    <row r="8309" spans="1:34" ht="14.5" x14ac:dyDescent="0.35">
      <c r="A8309" s="34"/>
      <c r="B8309" s="35"/>
      <c r="C8309" s="36"/>
      <c r="D8309" s="37"/>
      <c r="E8309" s="36"/>
      <c r="F8309" s="42"/>
      <c r="G8309" s="42"/>
      <c r="H8309" s="42"/>
      <c r="AG8309" s="19">
        <v>8308</v>
      </c>
      <c r="AH8309" s="20">
        <v>459.53299498843398</v>
      </c>
    </row>
    <row r="8310" spans="1:34" ht="14.5" x14ac:dyDescent="0.35">
      <c r="A8310" s="34"/>
      <c r="B8310" s="35"/>
      <c r="C8310" s="36"/>
      <c r="D8310" s="37"/>
      <c r="E8310" s="36"/>
      <c r="F8310" s="42"/>
      <c r="G8310" s="42"/>
      <c r="H8310" s="42"/>
      <c r="AG8310" s="19">
        <v>8309</v>
      </c>
      <c r="AH8310" s="20">
        <v>-1615.7052784237428</v>
      </c>
    </row>
    <row r="8311" spans="1:34" ht="14.5" x14ac:dyDescent="0.35">
      <c r="A8311" s="34"/>
      <c r="B8311" s="35"/>
      <c r="C8311" s="36"/>
      <c r="D8311" s="37"/>
      <c r="E8311" s="36"/>
      <c r="F8311" s="42"/>
      <c r="G8311" s="42"/>
      <c r="H8311" s="42"/>
      <c r="AG8311" s="19">
        <v>8310</v>
      </c>
      <c r="AH8311" s="20">
        <v>2777.7032001653411</v>
      </c>
    </row>
    <row r="8312" spans="1:34" ht="14.5" x14ac:dyDescent="0.35">
      <c r="A8312" s="34"/>
      <c r="B8312" s="35"/>
      <c r="C8312" s="36"/>
      <c r="D8312" s="37"/>
      <c r="E8312" s="36"/>
      <c r="F8312" s="42"/>
      <c r="G8312" s="42"/>
      <c r="H8312" s="42"/>
      <c r="AG8312" s="19">
        <v>8311</v>
      </c>
      <c r="AH8312" s="20">
        <v>-1247.482692973708</v>
      </c>
    </row>
    <row r="8313" spans="1:34" ht="14.5" x14ac:dyDescent="0.35">
      <c r="A8313" s="34"/>
      <c r="B8313" s="35"/>
      <c r="C8313" s="36"/>
      <c r="D8313" s="37"/>
      <c r="E8313" s="36"/>
      <c r="F8313" s="42"/>
      <c r="G8313" s="42"/>
      <c r="H8313" s="42"/>
      <c r="AG8313" s="19">
        <v>8312</v>
      </c>
      <c r="AH8313" s="20">
        <v>1453.2202421511738</v>
      </c>
    </row>
    <row r="8314" spans="1:34" ht="14.5" x14ac:dyDescent="0.35">
      <c r="A8314" s="34"/>
      <c r="B8314" s="35"/>
      <c r="C8314" s="36"/>
      <c r="D8314" s="37"/>
      <c r="E8314" s="36"/>
      <c r="F8314" s="42"/>
      <c r="G8314" s="42"/>
      <c r="H8314" s="42"/>
      <c r="AG8314" s="19">
        <v>8313</v>
      </c>
      <c r="AH8314" s="20">
        <v>594.70314764402519</v>
      </c>
    </row>
    <row r="8315" spans="1:34" ht="14.5" x14ac:dyDescent="0.35">
      <c r="A8315" s="34"/>
      <c r="B8315" s="35"/>
      <c r="C8315" s="36"/>
      <c r="D8315" s="37"/>
      <c r="E8315" s="36"/>
      <c r="F8315" s="42"/>
      <c r="G8315" s="42"/>
      <c r="H8315" s="42"/>
      <c r="AG8315" s="19">
        <v>8314</v>
      </c>
      <c r="AH8315" s="20">
        <v>1847.8137442738907</v>
      </c>
    </row>
    <row r="8316" spans="1:34" ht="14.5" x14ac:dyDescent="0.35">
      <c r="A8316" s="34"/>
      <c r="B8316" s="35"/>
      <c r="C8316" s="36"/>
      <c r="D8316" s="37"/>
      <c r="E8316" s="36"/>
      <c r="F8316" s="42"/>
      <c r="G8316" s="42"/>
      <c r="H8316" s="42"/>
      <c r="AG8316" s="19">
        <v>8315</v>
      </c>
      <c r="AH8316" s="20">
        <v>-139.03465121723974</v>
      </c>
    </row>
    <row r="8317" spans="1:34" ht="14.5" x14ac:dyDescent="0.35">
      <c r="A8317" s="34"/>
      <c r="B8317" s="35"/>
      <c r="C8317" s="36"/>
      <c r="D8317" s="37"/>
      <c r="E8317" s="36"/>
      <c r="F8317" s="42"/>
      <c r="G8317" s="42"/>
      <c r="H8317" s="42"/>
      <c r="AG8317" s="19">
        <v>8316</v>
      </c>
      <c r="AH8317" s="20">
        <v>554.25754961270775</v>
      </c>
    </row>
    <row r="8318" spans="1:34" ht="14.5" x14ac:dyDescent="0.35">
      <c r="A8318" s="34"/>
      <c r="B8318" s="35"/>
      <c r="C8318" s="36"/>
      <c r="D8318" s="37"/>
      <c r="E8318" s="36"/>
      <c r="F8318" s="42"/>
      <c r="G8318" s="42"/>
      <c r="H8318" s="42"/>
      <c r="AG8318" s="19">
        <v>8317</v>
      </c>
      <c r="AH8318" s="20">
        <v>-2599.899544673754</v>
      </c>
    </row>
    <row r="8319" spans="1:34" ht="14.5" x14ac:dyDescent="0.35">
      <c r="A8319" s="34"/>
      <c r="B8319" s="35"/>
      <c r="C8319" s="36"/>
      <c r="D8319" s="37"/>
      <c r="E8319" s="36"/>
      <c r="F8319" s="42"/>
      <c r="G8319" s="42"/>
      <c r="H8319" s="42"/>
      <c r="AG8319" s="19">
        <v>8318</v>
      </c>
      <c r="AH8319" s="20">
        <v>-1763.2005911564904</v>
      </c>
    </row>
    <row r="8320" spans="1:34" ht="14.5" x14ac:dyDescent="0.35">
      <c r="A8320" s="34"/>
      <c r="B8320" s="35"/>
      <c r="C8320" s="36"/>
      <c r="D8320" s="37"/>
      <c r="E8320" s="36"/>
      <c r="F8320" s="42"/>
      <c r="G8320" s="42"/>
      <c r="H8320" s="42"/>
      <c r="AG8320" s="19">
        <v>8319</v>
      </c>
      <c r="AH8320" s="20">
        <v>-1566.5506119940455</v>
      </c>
    </row>
    <row r="8321" spans="1:34" ht="14.5" x14ac:dyDescent="0.35">
      <c r="A8321" s="34"/>
      <c r="B8321" s="35"/>
      <c r="C8321" s="36"/>
      <c r="D8321" s="37"/>
      <c r="E8321" s="36"/>
      <c r="F8321" s="42"/>
      <c r="G8321" s="42"/>
      <c r="H8321" s="42"/>
      <c r="AG8321" s="19">
        <v>8320</v>
      </c>
      <c r="AH8321" s="20">
        <v>740.04054207893842</v>
      </c>
    </row>
    <row r="8322" spans="1:34" ht="14.5" x14ac:dyDescent="0.35">
      <c r="A8322" s="34"/>
      <c r="B8322" s="35"/>
      <c r="C8322" s="36"/>
      <c r="D8322" s="37"/>
      <c r="E8322" s="36"/>
      <c r="F8322" s="42"/>
      <c r="G8322" s="42"/>
      <c r="H8322" s="42"/>
      <c r="AG8322" s="19">
        <v>8321</v>
      </c>
      <c r="AH8322" s="20">
        <v>-1273.6315643001326</v>
      </c>
    </row>
    <row r="8323" spans="1:34" ht="14.5" x14ac:dyDescent="0.35">
      <c r="A8323" s="34"/>
      <c r="B8323" s="35"/>
      <c r="C8323" s="36"/>
      <c r="D8323" s="37"/>
      <c r="E8323" s="36"/>
      <c r="F8323" s="42"/>
      <c r="G8323" s="42"/>
      <c r="H8323" s="42"/>
      <c r="AG8323" s="19">
        <v>8322</v>
      </c>
      <c r="AH8323" s="20">
        <v>334.23646036744259</v>
      </c>
    </row>
    <row r="8324" spans="1:34" ht="14.5" x14ac:dyDescent="0.35">
      <c r="A8324" s="34"/>
      <c r="B8324" s="35"/>
      <c r="C8324" s="36"/>
      <c r="D8324" s="37"/>
      <c r="E8324" s="36"/>
      <c r="F8324" s="42"/>
      <c r="G8324" s="42"/>
      <c r="H8324" s="42"/>
      <c r="AG8324" s="19">
        <v>8323</v>
      </c>
      <c r="AH8324" s="20">
        <v>803.13356572034058</v>
      </c>
    </row>
    <row r="8325" spans="1:34" ht="14.5" x14ac:dyDescent="0.35">
      <c r="A8325" s="34"/>
      <c r="B8325" s="35"/>
      <c r="C8325" s="36"/>
      <c r="D8325" s="37"/>
      <c r="E8325" s="36"/>
      <c r="F8325" s="42"/>
      <c r="G8325" s="42"/>
      <c r="H8325" s="42"/>
      <c r="AG8325" s="19">
        <v>8324</v>
      </c>
      <c r="AH8325" s="20">
        <v>1013.3733316670389</v>
      </c>
    </row>
    <row r="8326" spans="1:34" ht="14.5" x14ac:dyDescent="0.35">
      <c r="A8326" s="34"/>
      <c r="B8326" s="35"/>
      <c r="C8326" s="36"/>
      <c r="D8326" s="37"/>
      <c r="E8326" s="36"/>
      <c r="F8326" s="42"/>
      <c r="G8326" s="42"/>
      <c r="H8326" s="42"/>
      <c r="AG8326" s="19">
        <v>8325</v>
      </c>
      <c r="AH8326" s="20">
        <v>-2053.2059264065165</v>
      </c>
    </row>
    <row r="8327" spans="1:34" ht="14.5" x14ac:dyDescent="0.35">
      <c r="A8327" s="34"/>
      <c r="B8327" s="35"/>
      <c r="C8327" s="36"/>
      <c r="D8327" s="37"/>
      <c r="E8327" s="36"/>
      <c r="F8327" s="42"/>
      <c r="G8327" s="42"/>
      <c r="H8327" s="42"/>
      <c r="AG8327" s="19">
        <v>8326</v>
      </c>
      <c r="AH8327" s="20">
        <v>747.57065532927072</v>
      </c>
    </row>
    <row r="8328" spans="1:34" ht="14.5" x14ac:dyDescent="0.35">
      <c r="A8328" s="34"/>
      <c r="B8328" s="35"/>
      <c r="C8328" s="36"/>
      <c r="D8328" s="37"/>
      <c r="E8328" s="36"/>
      <c r="F8328" s="42"/>
      <c r="G8328" s="42"/>
      <c r="H8328" s="42"/>
      <c r="AG8328" s="19">
        <v>8327</v>
      </c>
      <c r="AH8328" s="20">
        <v>-3393.354224526357</v>
      </c>
    </row>
    <row r="8329" spans="1:34" ht="14.5" x14ac:dyDescent="0.35">
      <c r="A8329" s="34"/>
      <c r="B8329" s="35"/>
      <c r="C8329" s="36"/>
      <c r="D8329" s="37"/>
      <c r="E8329" s="36"/>
      <c r="F8329" s="42"/>
      <c r="G8329" s="42"/>
      <c r="H8329" s="42"/>
      <c r="AG8329" s="19">
        <v>8328</v>
      </c>
      <c r="AH8329" s="20">
        <v>1338.4148281649316</v>
      </c>
    </row>
    <row r="8330" spans="1:34" ht="14.5" x14ac:dyDescent="0.35">
      <c r="A8330" s="34"/>
      <c r="B8330" s="35"/>
      <c r="C8330" s="36"/>
      <c r="D8330" s="37"/>
      <c r="E8330" s="36"/>
      <c r="F8330" s="42"/>
      <c r="G8330" s="42"/>
      <c r="H8330" s="42"/>
      <c r="AG8330" s="19">
        <v>8329</v>
      </c>
      <c r="AH8330" s="20">
        <v>-3000.6700080319124</v>
      </c>
    </row>
    <row r="8331" spans="1:34" ht="14.5" x14ac:dyDescent="0.35">
      <c r="A8331" s="34"/>
      <c r="B8331" s="35"/>
      <c r="C8331" s="36"/>
      <c r="D8331" s="37"/>
      <c r="E8331" s="36"/>
      <c r="F8331" s="42"/>
      <c r="G8331" s="42"/>
      <c r="H8331" s="42"/>
      <c r="AG8331" s="19">
        <v>8330</v>
      </c>
      <c r="AH8331" s="20">
        <v>-3837.6998090013831</v>
      </c>
    </row>
    <row r="8332" spans="1:34" ht="14.5" x14ac:dyDescent="0.35">
      <c r="A8332" s="34"/>
      <c r="B8332" s="35"/>
      <c r="C8332" s="36"/>
      <c r="D8332" s="37"/>
      <c r="E8332" s="36"/>
      <c r="F8332" s="42"/>
      <c r="G8332" s="42"/>
      <c r="H8332" s="42"/>
      <c r="AG8332" s="19">
        <v>8331</v>
      </c>
      <c r="AH8332" s="20">
        <v>226.11706539357226</v>
      </c>
    </row>
    <row r="8333" spans="1:34" ht="14.5" x14ac:dyDescent="0.35">
      <c r="A8333" s="34"/>
      <c r="B8333" s="35"/>
      <c r="C8333" s="36"/>
      <c r="D8333" s="37"/>
      <c r="E8333" s="36"/>
      <c r="F8333" s="42"/>
      <c r="G8333" s="42"/>
      <c r="H8333" s="42"/>
      <c r="AG8333" s="19">
        <v>8332</v>
      </c>
      <c r="AH8333" s="20">
        <v>1352.5010864059736</v>
      </c>
    </row>
    <row r="8334" spans="1:34" ht="14.5" x14ac:dyDescent="0.35">
      <c r="A8334" s="34"/>
      <c r="B8334" s="35"/>
      <c r="C8334" s="36"/>
      <c r="D8334" s="37"/>
      <c r="E8334" s="36"/>
      <c r="F8334" s="42"/>
      <c r="G8334" s="42"/>
      <c r="H8334" s="42"/>
      <c r="AG8334" s="19">
        <v>8333</v>
      </c>
      <c r="AH8334" s="20">
        <v>-172.39894495820732</v>
      </c>
    </row>
    <row r="8335" spans="1:34" ht="14.5" x14ac:dyDescent="0.35">
      <c r="A8335" s="34"/>
      <c r="B8335" s="35"/>
      <c r="C8335" s="36"/>
      <c r="D8335" s="37"/>
      <c r="E8335" s="36"/>
      <c r="F8335" s="42"/>
      <c r="G8335" s="42"/>
      <c r="H8335" s="42"/>
      <c r="AG8335" s="19">
        <v>8334</v>
      </c>
      <c r="AH8335" s="20">
        <v>3029.5760383938377</v>
      </c>
    </row>
    <row r="8336" spans="1:34" ht="14.5" x14ac:dyDescent="0.35">
      <c r="A8336" s="34"/>
      <c r="B8336" s="35"/>
      <c r="C8336" s="36"/>
      <c r="D8336" s="37"/>
      <c r="E8336" s="36"/>
      <c r="F8336" s="42"/>
      <c r="G8336" s="42"/>
      <c r="H8336" s="42"/>
      <c r="AG8336" s="19">
        <v>8335</v>
      </c>
      <c r="AH8336" s="20">
        <v>1035.4905526172345</v>
      </c>
    </row>
    <row r="8337" spans="1:34" ht="14.5" x14ac:dyDescent="0.35">
      <c r="A8337" s="34"/>
      <c r="B8337" s="35"/>
      <c r="C8337" s="36"/>
      <c r="D8337" s="37"/>
      <c r="E8337" s="36"/>
      <c r="F8337" s="42"/>
      <c r="G8337" s="42"/>
      <c r="H8337" s="42"/>
      <c r="AG8337" s="19">
        <v>8336</v>
      </c>
      <c r="AH8337" s="20">
        <v>-1148.3433035604564</v>
      </c>
    </row>
    <row r="8338" spans="1:34" ht="14.5" x14ac:dyDescent="0.35">
      <c r="A8338" s="34"/>
      <c r="B8338" s="35"/>
      <c r="C8338" s="36"/>
      <c r="D8338" s="37"/>
      <c r="E8338" s="36"/>
      <c r="F8338" s="42"/>
      <c r="G8338" s="42"/>
      <c r="H8338" s="42"/>
      <c r="AG8338" s="19">
        <v>8337</v>
      </c>
      <c r="AH8338" s="20">
        <v>-2282.928488268341</v>
      </c>
    </row>
    <row r="8339" spans="1:34" ht="14.5" x14ac:dyDescent="0.35">
      <c r="A8339" s="34"/>
      <c r="B8339" s="35"/>
      <c r="C8339" s="36"/>
      <c r="D8339" s="37"/>
      <c r="E8339" s="36"/>
      <c r="F8339" s="42"/>
      <c r="G8339" s="42"/>
      <c r="H8339" s="42"/>
      <c r="AG8339" s="19">
        <v>8338</v>
      </c>
      <c r="AH8339" s="20">
        <v>1674.1829459234548</v>
      </c>
    </row>
    <row r="8340" spans="1:34" ht="14.5" x14ac:dyDescent="0.35">
      <c r="A8340" s="34"/>
      <c r="B8340" s="35"/>
      <c r="C8340" s="36"/>
      <c r="D8340" s="37"/>
      <c r="E8340" s="36"/>
      <c r="F8340" s="42"/>
      <c r="G8340" s="42"/>
      <c r="H8340" s="42"/>
      <c r="AG8340" s="19">
        <v>8339</v>
      </c>
      <c r="AH8340" s="20">
        <v>-553.78564840032482</v>
      </c>
    </row>
    <row r="8341" spans="1:34" ht="14.5" x14ac:dyDescent="0.35">
      <c r="A8341" s="34"/>
      <c r="B8341" s="35"/>
      <c r="C8341" s="36"/>
      <c r="D8341" s="37"/>
      <c r="E8341" s="36"/>
      <c r="F8341" s="42"/>
      <c r="G8341" s="42"/>
      <c r="H8341" s="42"/>
      <c r="AG8341" s="19">
        <v>8340</v>
      </c>
      <c r="AH8341" s="20">
        <v>2557.1182295627386</v>
      </c>
    </row>
    <row r="8342" spans="1:34" ht="14.5" x14ac:dyDescent="0.35">
      <c r="A8342" s="34"/>
      <c r="B8342" s="35"/>
      <c r="C8342" s="36"/>
      <c r="D8342" s="37"/>
      <c r="E8342" s="36"/>
      <c r="F8342" s="42"/>
      <c r="G8342" s="42"/>
      <c r="H8342" s="42"/>
      <c r="AG8342" s="19">
        <v>8341</v>
      </c>
      <c r="AH8342" s="20">
        <v>2939.6300414409316</v>
      </c>
    </row>
    <row r="8343" spans="1:34" ht="14.5" x14ac:dyDescent="0.35">
      <c r="A8343" s="34"/>
      <c r="B8343" s="35"/>
      <c r="C8343" s="36"/>
      <c r="D8343" s="37"/>
      <c r="E8343" s="36"/>
      <c r="F8343" s="42"/>
      <c r="G8343" s="42"/>
      <c r="H8343" s="42"/>
      <c r="AG8343" s="19">
        <v>8342</v>
      </c>
      <c r="AH8343" s="20">
        <v>262.52143552050597</v>
      </c>
    </row>
    <row r="8344" spans="1:34" ht="14.5" x14ac:dyDescent="0.35">
      <c r="A8344" s="34"/>
      <c r="B8344" s="35"/>
      <c r="C8344" s="36"/>
      <c r="D8344" s="37"/>
      <c r="E8344" s="36"/>
      <c r="F8344" s="42"/>
      <c r="G8344" s="42"/>
      <c r="H8344" s="42"/>
      <c r="AG8344" s="19">
        <v>8343</v>
      </c>
      <c r="AH8344" s="20">
        <v>3657.9942049379961</v>
      </c>
    </row>
    <row r="8345" spans="1:34" ht="14.5" x14ac:dyDescent="0.35">
      <c r="A8345" s="34"/>
      <c r="B8345" s="35"/>
      <c r="C8345" s="36"/>
      <c r="D8345" s="37"/>
      <c r="E8345" s="36"/>
      <c r="F8345" s="42"/>
      <c r="G8345" s="42"/>
      <c r="H8345" s="42"/>
      <c r="AG8345" s="19">
        <v>8344</v>
      </c>
      <c r="AH8345" s="20">
        <v>420.21998739671341</v>
      </c>
    </row>
    <row r="8346" spans="1:34" ht="14.5" x14ac:dyDescent="0.35">
      <c r="A8346" s="34"/>
      <c r="B8346" s="35"/>
      <c r="C8346" s="36"/>
      <c r="D8346" s="37"/>
      <c r="E8346" s="36"/>
      <c r="F8346" s="42"/>
      <c r="G8346" s="42"/>
      <c r="H8346" s="42"/>
      <c r="AG8346" s="19">
        <v>8345</v>
      </c>
      <c r="AH8346" s="20">
        <v>-6887.226654754314</v>
      </c>
    </row>
    <row r="8347" spans="1:34" ht="14.5" x14ac:dyDescent="0.35">
      <c r="A8347" s="34"/>
      <c r="B8347" s="35"/>
      <c r="C8347" s="36"/>
      <c r="D8347" s="37"/>
      <c r="E8347" s="36"/>
      <c r="F8347" s="42"/>
      <c r="G8347" s="42"/>
      <c r="H8347" s="42"/>
      <c r="AG8347" s="19">
        <v>8346</v>
      </c>
      <c r="AH8347" s="20">
        <v>571.93005007612669</v>
      </c>
    </row>
    <row r="8348" spans="1:34" ht="14.5" x14ac:dyDescent="0.35">
      <c r="A8348" s="34"/>
      <c r="B8348" s="35"/>
      <c r="C8348" s="36"/>
      <c r="D8348" s="37"/>
      <c r="E8348" s="36"/>
      <c r="F8348" s="42"/>
      <c r="G8348" s="42"/>
      <c r="H8348" s="42"/>
      <c r="AG8348" s="19">
        <v>8347</v>
      </c>
      <c r="AH8348" s="20">
        <v>-367.75437314679078</v>
      </c>
    </row>
    <row r="8349" spans="1:34" ht="14.5" x14ac:dyDescent="0.35">
      <c r="A8349" s="34"/>
      <c r="B8349" s="35"/>
      <c r="C8349" s="36"/>
      <c r="D8349" s="37"/>
      <c r="E8349" s="36"/>
      <c r="F8349" s="42"/>
      <c r="G8349" s="42"/>
      <c r="H8349" s="42"/>
      <c r="AG8349" s="19">
        <v>8348</v>
      </c>
      <c r="AH8349" s="20">
        <v>-1861.3266444415165</v>
      </c>
    </row>
    <row r="8350" spans="1:34" ht="14.5" x14ac:dyDescent="0.35">
      <c r="A8350" s="34"/>
      <c r="B8350" s="35"/>
      <c r="C8350" s="36"/>
      <c r="D8350" s="37"/>
      <c r="E8350" s="36"/>
      <c r="F8350" s="42"/>
      <c r="G8350" s="42"/>
      <c r="H8350" s="42"/>
      <c r="AG8350" s="19">
        <v>8349</v>
      </c>
      <c r="AH8350" s="20">
        <v>1503.7746240238253</v>
      </c>
    </row>
    <row r="8351" spans="1:34" ht="14.5" x14ac:dyDescent="0.35">
      <c r="A8351" s="34"/>
      <c r="B8351" s="35"/>
      <c r="C8351" s="36"/>
      <c r="D8351" s="37"/>
      <c r="E8351" s="36"/>
      <c r="F8351" s="42"/>
      <c r="G8351" s="42"/>
      <c r="H8351" s="42"/>
      <c r="AG8351" s="19">
        <v>8350</v>
      </c>
      <c r="AH8351" s="20">
        <v>-697.69693980489114</v>
      </c>
    </row>
    <row r="8352" spans="1:34" ht="14.5" x14ac:dyDescent="0.35">
      <c r="A8352" s="34"/>
      <c r="B8352" s="35"/>
      <c r="C8352" s="36"/>
      <c r="D8352" s="37"/>
      <c r="E8352" s="36"/>
      <c r="F8352" s="42"/>
      <c r="G8352" s="42"/>
      <c r="H8352" s="42"/>
      <c r="AG8352" s="19">
        <v>8351</v>
      </c>
      <c r="AH8352" s="20">
        <v>514.50133853855061</v>
      </c>
    </row>
    <row r="8353" spans="1:34" ht="14.5" x14ac:dyDescent="0.35">
      <c r="A8353" s="34"/>
      <c r="B8353" s="35"/>
      <c r="C8353" s="36"/>
      <c r="D8353" s="37"/>
      <c r="E8353" s="36"/>
      <c r="F8353" s="42"/>
      <c r="G8353" s="42"/>
      <c r="H8353" s="42"/>
      <c r="AG8353" s="19">
        <v>8352</v>
      </c>
      <c r="AH8353" s="20">
        <v>3424.844805569081</v>
      </c>
    </row>
    <row r="8354" spans="1:34" ht="14.5" x14ac:dyDescent="0.35">
      <c r="A8354" s="34"/>
      <c r="B8354" s="35"/>
      <c r="C8354" s="36"/>
      <c r="D8354" s="37"/>
      <c r="E8354" s="36"/>
      <c r="F8354" s="42"/>
      <c r="G8354" s="42"/>
      <c r="H8354" s="42"/>
      <c r="AG8354" s="19">
        <v>8353</v>
      </c>
      <c r="AH8354" s="20">
        <v>-2157.9801393717726</v>
      </c>
    </row>
    <row r="8355" spans="1:34" ht="14.5" x14ac:dyDescent="0.35">
      <c r="A8355" s="34"/>
      <c r="B8355" s="35"/>
      <c r="C8355" s="36"/>
      <c r="D8355" s="37"/>
      <c r="E8355" s="36"/>
      <c r="F8355" s="42"/>
      <c r="G8355" s="42"/>
      <c r="H8355" s="42"/>
      <c r="AG8355" s="19">
        <v>8354</v>
      </c>
      <c r="AH8355" s="20">
        <v>-2561.4709608606117</v>
      </c>
    </row>
    <row r="8356" spans="1:34" ht="14.5" x14ac:dyDescent="0.35">
      <c r="A8356" s="34"/>
      <c r="B8356" s="35"/>
      <c r="C8356" s="36"/>
      <c r="D8356" s="37"/>
      <c r="E8356" s="36"/>
      <c r="F8356" s="42"/>
      <c r="G8356" s="42"/>
      <c r="H8356" s="42"/>
      <c r="AG8356" s="19">
        <v>8355</v>
      </c>
      <c r="AH8356" s="20">
        <v>-2861.4144399452598</v>
      </c>
    </row>
    <row r="8357" spans="1:34" ht="14.5" x14ac:dyDescent="0.35">
      <c r="A8357" s="34"/>
      <c r="B8357" s="35"/>
      <c r="C8357" s="36"/>
      <c r="D8357" s="37"/>
      <c r="E8357" s="36"/>
      <c r="F8357" s="42"/>
      <c r="G8357" s="42"/>
      <c r="H8357" s="42"/>
      <c r="AG8357" s="19">
        <v>8356</v>
      </c>
      <c r="AH8357" s="20">
        <v>2941.4714381560589</v>
      </c>
    </row>
    <row r="8358" spans="1:34" ht="14.5" x14ac:dyDescent="0.35">
      <c r="A8358" s="34"/>
      <c r="B8358" s="35"/>
      <c r="C8358" s="36"/>
      <c r="D8358" s="37"/>
      <c r="E8358" s="36"/>
      <c r="F8358" s="42"/>
      <c r="G8358" s="42"/>
      <c r="H8358" s="42"/>
      <c r="AG8358" s="19">
        <v>8357</v>
      </c>
      <c r="AH8358" s="20">
        <v>-2111.713558920213</v>
      </c>
    </row>
    <row r="8359" spans="1:34" ht="14.5" x14ac:dyDescent="0.35">
      <c r="A8359" s="34"/>
      <c r="B8359" s="35"/>
      <c r="C8359" s="36"/>
      <c r="D8359" s="37"/>
      <c r="E8359" s="36"/>
      <c r="F8359" s="42"/>
      <c r="G8359" s="42"/>
      <c r="H8359" s="42"/>
      <c r="AG8359" s="19">
        <v>8358</v>
      </c>
      <c r="AH8359" s="20">
        <v>-1874.5441067810646</v>
      </c>
    </row>
    <row r="8360" spans="1:34" ht="14.5" x14ac:dyDescent="0.35">
      <c r="A8360" s="34"/>
      <c r="B8360" s="35"/>
      <c r="C8360" s="36"/>
      <c r="D8360" s="37"/>
      <c r="E8360" s="36"/>
      <c r="F8360" s="42"/>
      <c r="G8360" s="42"/>
      <c r="H8360" s="42"/>
      <c r="AG8360" s="19">
        <v>8359</v>
      </c>
      <c r="AH8360" s="20">
        <v>865.92802338832041</v>
      </c>
    </row>
    <row r="8361" spans="1:34" ht="14.5" x14ac:dyDescent="0.35">
      <c r="A8361" s="34"/>
      <c r="B8361" s="35"/>
      <c r="C8361" s="36"/>
      <c r="D8361" s="37"/>
      <c r="E8361" s="36"/>
      <c r="F8361" s="42"/>
      <c r="G8361" s="42"/>
      <c r="H8361" s="42"/>
      <c r="AG8361" s="19">
        <v>8360</v>
      </c>
      <c r="AH8361" s="20">
        <v>-145.00575905281102</v>
      </c>
    </row>
    <row r="8362" spans="1:34" ht="14.5" x14ac:dyDescent="0.35">
      <c r="A8362" s="34"/>
      <c r="B8362" s="35"/>
      <c r="C8362" s="36"/>
      <c r="D8362" s="37"/>
      <c r="E8362" s="36"/>
      <c r="F8362" s="42"/>
      <c r="G8362" s="42"/>
      <c r="H8362" s="42"/>
      <c r="AG8362" s="19">
        <v>8361</v>
      </c>
      <c r="AH8362" s="20">
        <v>-2187.967154159352</v>
      </c>
    </row>
    <row r="8363" spans="1:34" ht="14.5" x14ac:dyDescent="0.35">
      <c r="A8363" s="34"/>
      <c r="B8363" s="35"/>
      <c r="C8363" s="36"/>
      <c r="D8363" s="37"/>
      <c r="E8363" s="36"/>
      <c r="F8363" s="42"/>
      <c r="G8363" s="42"/>
      <c r="H8363" s="42"/>
      <c r="AG8363" s="19">
        <v>8362</v>
      </c>
      <c r="AH8363" s="20">
        <v>-3957.8937929356316</v>
      </c>
    </row>
    <row r="8364" spans="1:34" ht="14.5" x14ac:dyDescent="0.35">
      <c r="A8364" s="34"/>
      <c r="B8364" s="35"/>
      <c r="C8364" s="36"/>
      <c r="D8364" s="37"/>
      <c r="E8364" s="36"/>
      <c r="F8364" s="42"/>
      <c r="G8364" s="42"/>
      <c r="H8364" s="42"/>
      <c r="AG8364" s="19">
        <v>8363</v>
      </c>
      <c r="AH8364" s="20">
        <v>-160.65947267943721</v>
      </c>
    </row>
    <row r="8365" spans="1:34" ht="14.5" x14ac:dyDescent="0.35">
      <c r="A8365" s="34"/>
      <c r="B8365" s="35"/>
      <c r="C8365" s="36"/>
      <c r="D8365" s="37"/>
      <c r="E8365" s="36"/>
      <c r="F8365" s="42"/>
      <c r="G8365" s="42"/>
      <c r="H8365" s="42"/>
      <c r="AG8365" s="19">
        <v>8364</v>
      </c>
      <c r="AH8365" s="20">
        <v>415.34760171530047</v>
      </c>
    </row>
    <row r="8366" spans="1:34" ht="14.5" x14ac:dyDescent="0.35">
      <c r="A8366" s="34"/>
      <c r="B8366" s="35"/>
      <c r="C8366" s="36"/>
      <c r="D8366" s="37"/>
      <c r="E8366" s="36"/>
      <c r="F8366" s="42"/>
      <c r="G8366" s="42"/>
      <c r="H8366" s="42"/>
      <c r="AG8366" s="19">
        <v>8365</v>
      </c>
      <c r="AH8366" s="20">
        <v>311.37568010023517</v>
      </c>
    </row>
    <row r="8367" spans="1:34" ht="14.5" x14ac:dyDescent="0.35">
      <c r="A8367" s="34"/>
      <c r="B8367" s="35"/>
      <c r="C8367" s="36"/>
      <c r="D8367" s="37"/>
      <c r="E8367" s="36"/>
      <c r="F8367" s="42"/>
      <c r="G8367" s="42"/>
      <c r="H8367" s="42"/>
      <c r="AG8367" s="19">
        <v>8366</v>
      </c>
      <c r="AH8367" s="20">
        <v>252.87853095072285</v>
      </c>
    </row>
    <row r="8368" spans="1:34" ht="14.5" x14ac:dyDescent="0.35">
      <c r="A8368" s="34"/>
      <c r="B8368" s="35"/>
      <c r="C8368" s="36"/>
      <c r="D8368" s="37"/>
      <c r="E8368" s="36"/>
      <c r="F8368" s="42"/>
      <c r="G8368" s="42"/>
      <c r="H8368" s="42"/>
      <c r="AG8368" s="19">
        <v>8367</v>
      </c>
      <c r="AH8368" s="20">
        <v>502.53323030946638</v>
      </c>
    </row>
    <row r="8369" spans="1:34" ht="14.5" x14ac:dyDescent="0.35">
      <c r="A8369" s="34"/>
      <c r="B8369" s="35"/>
      <c r="C8369" s="36"/>
      <c r="D8369" s="37"/>
      <c r="E8369" s="36"/>
      <c r="F8369" s="42"/>
      <c r="G8369" s="42"/>
      <c r="H8369" s="42"/>
      <c r="AG8369" s="19">
        <v>8368</v>
      </c>
      <c r="AH8369" s="20">
        <v>3481.9980167874992</v>
      </c>
    </row>
    <row r="8370" spans="1:34" ht="14.5" x14ac:dyDescent="0.35">
      <c r="A8370" s="34"/>
      <c r="B8370" s="35"/>
      <c r="C8370" s="36"/>
      <c r="D8370" s="37"/>
      <c r="E8370" s="36"/>
      <c r="F8370" s="42"/>
      <c r="G8370" s="42"/>
      <c r="H8370" s="42"/>
      <c r="AG8370" s="19">
        <v>8369</v>
      </c>
      <c r="AH8370" s="20">
        <v>-3535.8783341298931</v>
      </c>
    </row>
    <row r="8371" spans="1:34" ht="14.5" x14ac:dyDescent="0.35">
      <c r="A8371" s="34"/>
      <c r="B8371" s="35"/>
      <c r="C8371" s="36"/>
      <c r="D8371" s="37"/>
      <c r="E8371" s="36"/>
      <c r="F8371" s="42"/>
      <c r="G8371" s="42"/>
      <c r="H8371" s="42"/>
      <c r="AG8371" s="19">
        <v>8370</v>
      </c>
      <c r="AH8371" s="20">
        <v>1358.8967207092016</v>
      </c>
    </row>
    <row r="8372" spans="1:34" ht="14.5" x14ac:dyDescent="0.35">
      <c r="A8372" s="34"/>
      <c r="B8372" s="35"/>
      <c r="C8372" s="36"/>
      <c r="D8372" s="37"/>
      <c r="E8372" s="36"/>
      <c r="F8372" s="42"/>
      <c r="G8372" s="42"/>
      <c r="H8372" s="42"/>
      <c r="AG8372" s="19">
        <v>8371</v>
      </c>
      <c r="AH8372" s="20">
        <v>-2039.7153759451023</v>
      </c>
    </row>
    <row r="8373" spans="1:34" ht="14.5" x14ac:dyDescent="0.35">
      <c r="A8373" s="34"/>
      <c r="B8373" s="35"/>
      <c r="C8373" s="36"/>
      <c r="D8373" s="37"/>
      <c r="E8373" s="36"/>
      <c r="F8373" s="42"/>
      <c r="G8373" s="42"/>
      <c r="H8373" s="42"/>
      <c r="AG8373" s="19">
        <v>8372</v>
      </c>
      <c r="AH8373" s="20">
        <v>1345.8407203547927</v>
      </c>
    </row>
    <row r="8374" spans="1:34" ht="14.5" x14ac:dyDescent="0.35">
      <c r="A8374" s="34"/>
      <c r="B8374" s="35"/>
      <c r="C8374" s="36"/>
      <c r="D8374" s="37"/>
      <c r="E8374" s="36"/>
      <c r="F8374" s="42"/>
      <c r="G8374" s="42"/>
      <c r="H8374" s="42"/>
      <c r="AG8374" s="19">
        <v>8373</v>
      </c>
      <c r="AH8374" s="20">
        <v>173.02270418961956</v>
      </c>
    </row>
    <row r="8375" spans="1:34" ht="14.5" x14ac:dyDescent="0.35">
      <c r="A8375" s="34"/>
      <c r="B8375" s="35"/>
      <c r="C8375" s="36"/>
      <c r="D8375" s="37"/>
      <c r="E8375" s="36"/>
      <c r="F8375" s="42"/>
      <c r="G8375" s="42"/>
      <c r="H8375" s="42"/>
      <c r="AG8375" s="19">
        <v>8374</v>
      </c>
      <c r="AH8375" s="20">
        <v>4090.9660367060669</v>
      </c>
    </row>
    <row r="8376" spans="1:34" ht="14.5" x14ac:dyDescent="0.35">
      <c r="A8376" s="34"/>
      <c r="B8376" s="35"/>
      <c r="C8376" s="36"/>
      <c r="D8376" s="37"/>
      <c r="E8376" s="36"/>
      <c r="F8376" s="42"/>
      <c r="G8376" s="42"/>
      <c r="H8376" s="42"/>
      <c r="AG8376" s="19">
        <v>8375</v>
      </c>
      <c r="AH8376" s="20">
        <v>2673.1418899763198</v>
      </c>
    </row>
    <row r="8377" spans="1:34" ht="14.5" x14ac:dyDescent="0.35">
      <c r="A8377" s="34"/>
      <c r="B8377" s="35"/>
      <c r="C8377" s="36"/>
      <c r="D8377" s="37"/>
      <c r="E8377" s="36"/>
      <c r="F8377" s="42"/>
      <c r="G8377" s="42"/>
      <c r="H8377" s="42"/>
      <c r="AG8377" s="19">
        <v>8376</v>
      </c>
      <c r="AH8377" s="20">
        <v>-1126.246028653323</v>
      </c>
    </row>
    <row r="8378" spans="1:34" ht="14.5" x14ac:dyDescent="0.35">
      <c r="A8378" s="34"/>
      <c r="B8378" s="35"/>
      <c r="C8378" s="36"/>
      <c r="D8378" s="37"/>
      <c r="E8378" s="36"/>
      <c r="F8378" s="42"/>
      <c r="G8378" s="42"/>
      <c r="H8378" s="42"/>
      <c r="AG8378" s="19">
        <v>8377</v>
      </c>
      <c r="AH8378" s="20">
        <v>-1521.1478142436135</v>
      </c>
    </row>
    <row r="8379" spans="1:34" ht="14.5" x14ac:dyDescent="0.35">
      <c r="A8379" s="34"/>
      <c r="B8379" s="35"/>
      <c r="C8379" s="36"/>
      <c r="D8379" s="37"/>
      <c r="E8379" s="36"/>
      <c r="F8379" s="42"/>
      <c r="G8379" s="42"/>
      <c r="H8379" s="42"/>
      <c r="AG8379" s="19">
        <v>8378</v>
      </c>
      <c r="AH8379" s="20">
        <v>-356.81351605996548</v>
      </c>
    </row>
    <row r="8380" spans="1:34" ht="14.5" x14ac:dyDescent="0.35">
      <c r="A8380" s="34"/>
      <c r="B8380" s="35"/>
      <c r="C8380" s="36"/>
      <c r="D8380" s="37"/>
      <c r="E8380" s="36"/>
      <c r="F8380" s="42"/>
      <c r="G8380" s="42"/>
      <c r="H8380" s="42"/>
      <c r="AG8380" s="19">
        <v>8379</v>
      </c>
      <c r="AH8380" s="20">
        <v>240.15296142147542</v>
      </c>
    </row>
    <row r="8381" spans="1:34" ht="14.5" x14ac:dyDescent="0.35">
      <c r="A8381" s="34"/>
      <c r="B8381" s="35"/>
      <c r="C8381" s="36"/>
      <c r="D8381" s="37"/>
      <c r="E8381" s="36"/>
      <c r="F8381" s="42"/>
      <c r="G8381" s="42"/>
      <c r="H8381" s="42"/>
      <c r="AG8381" s="19">
        <v>8380</v>
      </c>
      <c r="AH8381" s="20">
        <v>-3089.5212454018529</v>
      </c>
    </row>
    <row r="8382" spans="1:34" ht="14.5" x14ac:dyDescent="0.35">
      <c r="A8382" s="34"/>
      <c r="B8382" s="35"/>
      <c r="C8382" s="36"/>
      <c r="D8382" s="37"/>
      <c r="E8382" s="36"/>
      <c r="F8382" s="42"/>
      <c r="G8382" s="42"/>
      <c r="H8382" s="42"/>
      <c r="AG8382" s="19">
        <v>8381</v>
      </c>
      <c r="AH8382" s="20">
        <v>3495.8653671876186</v>
      </c>
    </row>
    <row r="8383" spans="1:34" ht="14.5" x14ac:dyDescent="0.35">
      <c r="A8383" s="34"/>
      <c r="B8383" s="35"/>
      <c r="C8383" s="36"/>
      <c r="D8383" s="37"/>
      <c r="E8383" s="36"/>
      <c r="F8383" s="42"/>
      <c r="G8383" s="42"/>
      <c r="H8383" s="42"/>
      <c r="AG8383" s="19">
        <v>8382</v>
      </c>
      <c r="AH8383" s="20">
        <v>117.73395584064468</v>
      </c>
    </row>
    <row r="8384" spans="1:34" ht="14.5" x14ac:dyDescent="0.35">
      <c r="A8384" s="34"/>
      <c r="B8384" s="35"/>
      <c r="C8384" s="36"/>
      <c r="D8384" s="37"/>
      <c r="E8384" s="36"/>
      <c r="F8384" s="42"/>
      <c r="G8384" s="42"/>
      <c r="H8384" s="42"/>
      <c r="AG8384" s="19">
        <v>8383</v>
      </c>
      <c r="AH8384" s="20">
        <v>902.79402693658449</v>
      </c>
    </row>
    <row r="8385" spans="1:34" ht="14.5" x14ac:dyDescent="0.35">
      <c r="A8385" s="34"/>
      <c r="B8385" s="35"/>
      <c r="C8385" s="36"/>
      <c r="D8385" s="37"/>
      <c r="E8385" s="36"/>
      <c r="F8385" s="42"/>
      <c r="G8385" s="42"/>
      <c r="H8385" s="42"/>
      <c r="AG8385" s="19">
        <v>8384</v>
      </c>
      <c r="AH8385" s="20">
        <v>3115.2893050819957</v>
      </c>
    </row>
    <row r="8386" spans="1:34" ht="14.5" x14ac:dyDescent="0.35">
      <c r="A8386" s="34"/>
      <c r="B8386" s="35"/>
      <c r="C8386" s="36"/>
      <c r="D8386" s="37"/>
      <c r="E8386" s="36"/>
      <c r="F8386" s="42"/>
      <c r="G8386" s="42"/>
      <c r="H8386" s="42"/>
      <c r="AG8386" s="19">
        <v>8385</v>
      </c>
      <c r="AH8386" s="20">
        <v>5294.0952363688266</v>
      </c>
    </row>
    <row r="8387" spans="1:34" ht="14.5" x14ac:dyDescent="0.35">
      <c r="A8387" s="34"/>
      <c r="B8387" s="35"/>
      <c r="C8387" s="36"/>
      <c r="D8387" s="37"/>
      <c r="E8387" s="36"/>
      <c r="F8387" s="42"/>
      <c r="G8387" s="42"/>
      <c r="H8387" s="42"/>
      <c r="AG8387" s="19">
        <v>8386</v>
      </c>
      <c r="AH8387" s="20">
        <v>1161.511902308775</v>
      </c>
    </row>
    <row r="8388" spans="1:34" ht="14.5" x14ac:dyDescent="0.35">
      <c r="A8388" s="34"/>
      <c r="B8388" s="35"/>
      <c r="C8388" s="36"/>
      <c r="D8388" s="37"/>
      <c r="E8388" s="36"/>
      <c r="F8388" s="42"/>
      <c r="G8388" s="42"/>
      <c r="H8388" s="42"/>
      <c r="AG8388" s="19">
        <v>8387</v>
      </c>
      <c r="AH8388" s="20">
        <v>-306.4258707813928</v>
      </c>
    </row>
    <row r="8389" spans="1:34" ht="14.5" x14ac:dyDescent="0.35">
      <c r="A8389" s="34"/>
      <c r="B8389" s="35"/>
      <c r="C8389" s="36"/>
      <c r="D8389" s="37"/>
      <c r="E8389" s="36"/>
      <c r="F8389" s="42"/>
      <c r="G8389" s="42"/>
      <c r="H8389" s="42"/>
      <c r="AG8389" s="19">
        <v>8388</v>
      </c>
      <c r="AH8389" s="20">
        <v>-2031.3133523150034</v>
      </c>
    </row>
    <row r="8390" spans="1:34" ht="14.5" x14ac:dyDescent="0.35">
      <c r="A8390" s="34"/>
      <c r="B8390" s="35"/>
      <c r="C8390" s="36"/>
      <c r="D8390" s="37"/>
      <c r="E8390" s="36"/>
      <c r="F8390" s="42"/>
      <c r="G8390" s="42"/>
      <c r="H8390" s="42"/>
      <c r="AG8390" s="19">
        <v>8389</v>
      </c>
      <c r="AH8390" s="20">
        <v>-477.22747935836031</v>
      </c>
    </row>
    <row r="8391" spans="1:34" ht="14.5" x14ac:dyDescent="0.35">
      <c r="A8391" s="34"/>
      <c r="B8391" s="35"/>
      <c r="C8391" s="36"/>
      <c r="D8391" s="37"/>
      <c r="E8391" s="36"/>
      <c r="F8391" s="42"/>
      <c r="G8391" s="42"/>
      <c r="H8391" s="42"/>
      <c r="AG8391" s="19">
        <v>8390</v>
      </c>
      <c r="AH8391" s="20">
        <v>-2383.6461954357196</v>
      </c>
    </row>
    <row r="8392" spans="1:34" ht="14.5" x14ac:dyDescent="0.35">
      <c r="A8392" s="34"/>
      <c r="B8392" s="35"/>
      <c r="C8392" s="36"/>
      <c r="D8392" s="37"/>
      <c r="E8392" s="36"/>
      <c r="F8392" s="42"/>
      <c r="G8392" s="42"/>
      <c r="H8392" s="42"/>
      <c r="AG8392" s="19">
        <v>8391</v>
      </c>
      <c r="AH8392" s="20">
        <v>-2576.9601193706735</v>
      </c>
    </row>
    <row r="8393" spans="1:34" ht="14.5" x14ac:dyDescent="0.35">
      <c r="A8393" s="34"/>
      <c r="B8393" s="35"/>
      <c r="C8393" s="36"/>
      <c r="D8393" s="37"/>
      <c r="E8393" s="36"/>
      <c r="F8393" s="42"/>
      <c r="G8393" s="42"/>
      <c r="H8393" s="42"/>
      <c r="AG8393" s="19">
        <v>8392</v>
      </c>
      <c r="AH8393" s="20">
        <v>1419.7033298873616</v>
      </c>
    </row>
    <row r="8394" spans="1:34" ht="14.5" x14ac:dyDescent="0.35">
      <c r="A8394" s="34"/>
      <c r="B8394" s="35"/>
      <c r="C8394" s="36"/>
      <c r="D8394" s="37"/>
      <c r="E8394" s="36"/>
      <c r="F8394" s="42"/>
      <c r="G8394" s="42"/>
      <c r="H8394" s="42"/>
      <c r="AG8394" s="19">
        <v>8393</v>
      </c>
      <c r="AH8394" s="20">
        <v>3687.3319176846317</v>
      </c>
    </row>
    <row r="8395" spans="1:34" ht="14.5" x14ac:dyDescent="0.35">
      <c r="A8395" s="34"/>
      <c r="B8395" s="35"/>
      <c r="C8395" s="36"/>
      <c r="D8395" s="37"/>
      <c r="E8395" s="36"/>
      <c r="F8395" s="42"/>
      <c r="G8395" s="42"/>
      <c r="H8395" s="42"/>
      <c r="AG8395" s="19">
        <v>8394</v>
      </c>
      <c r="AH8395" s="20">
        <v>750.13503912073134</v>
      </c>
    </row>
    <row r="8396" spans="1:34" ht="14.5" x14ac:dyDescent="0.35">
      <c r="A8396" s="34"/>
      <c r="B8396" s="35"/>
      <c r="C8396" s="36"/>
      <c r="D8396" s="37"/>
      <c r="E8396" s="36"/>
      <c r="F8396" s="42"/>
      <c r="G8396" s="42"/>
      <c r="H8396" s="42"/>
      <c r="AG8396" s="19">
        <v>8395</v>
      </c>
      <c r="AH8396" s="20">
        <v>-1046.6276951746554</v>
      </c>
    </row>
    <row r="8397" spans="1:34" ht="14.5" x14ac:dyDescent="0.35">
      <c r="A8397" s="34"/>
      <c r="B8397" s="35"/>
      <c r="C8397" s="36"/>
      <c r="D8397" s="37"/>
      <c r="E8397" s="36"/>
      <c r="F8397" s="42"/>
      <c r="G8397" s="42"/>
      <c r="H8397" s="42"/>
      <c r="AG8397" s="19">
        <v>8396</v>
      </c>
      <c r="AH8397" s="20">
        <v>-467.64847929572767</v>
      </c>
    </row>
    <row r="8398" spans="1:34" ht="14.5" x14ac:dyDescent="0.35">
      <c r="A8398" s="34"/>
      <c r="B8398" s="35"/>
      <c r="C8398" s="36"/>
      <c r="D8398" s="37"/>
      <c r="E8398" s="36"/>
      <c r="F8398" s="42"/>
      <c r="G8398" s="42"/>
      <c r="H8398" s="42"/>
      <c r="AG8398" s="19">
        <v>8397</v>
      </c>
      <c r="AH8398" s="20">
        <v>2514.2053851232167</v>
      </c>
    </row>
    <row r="8399" spans="1:34" ht="14.5" x14ac:dyDescent="0.35">
      <c r="A8399" s="34"/>
      <c r="B8399" s="35"/>
      <c r="C8399" s="36"/>
      <c r="D8399" s="37"/>
      <c r="E8399" s="36"/>
      <c r="F8399" s="42"/>
      <c r="G8399" s="42"/>
      <c r="H8399" s="42"/>
      <c r="AG8399" s="19">
        <v>8398</v>
      </c>
      <c r="AH8399" s="20">
        <v>-2046.4143627379224</v>
      </c>
    </row>
    <row r="8400" spans="1:34" ht="14.5" x14ac:dyDescent="0.35">
      <c r="A8400" s="34"/>
      <c r="B8400" s="35"/>
      <c r="C8400" s="36"/>
      <c r="D8400" s="37"/>
      <c r="E8400" s="36"/>
      <c r="F8400" s="42"/>
      <c r="G8400" s="42"/>
      <c r="H8400" s="42"/>
      <c r="AG8400" s="19">
        <v>8399</v>
      </c>
      <c r="AH8400" s="20">
        <v>906.36445379016709</v>
      </c>
    </row>
    <row r="8401" spans="1:34" ht="14.5" x14ac:dyDescent="0.35">
      <c r="A8401" s="34"/>
      <c r="B8401" s="35"/>
      <c r="C8401" s="36"/>
      <c r="D8401" s="37"/>
      <c r="E8401" s="36"/>
      <c r="F8401" s="42"/>
      <c r="G8401" s="42"/>
      <c r="H8401" s="42"/>
      <c r="AG8401" s="19">
        <v>8400</v>
      </c>
      <c r="AH8401" s="20">
        <v>240.84286032333725</v>
      </c>
    </row>
    <row r="8402" spans="1:34" ht="14.5" x14ac:dyDescent="0.35">
      <c r="A8402" s="34"/>
      <c r="B8402" s="35"/>
      <c r="C8402" s="36"/>
      <c r="D8402" s="37"/>
      <c r="E8402" s="36"/>
      <c r="F8402" s="42"/>
      <c r="G8402" s="42"/>
      <c r="H8402" s="42"/>
      <c r="AG8402" s="19">
        <v>8401</v>
      </c>
      <c r="AH8402" s="20">
        <v>372.26895086812124</v>
      </c>
    </row>
    <row r="8403" spans="1:34" ht="14.5" x14ac:dyDescent="0.35">
      <c r="A8403" s="34"/>
      <c r="B8403" s="35"/>
      <c r="C8403" s="36"/>
      <c r="D8403" s="37"/>
      <c r="E8403" s="36"/>
      <c r="F8403" s="42"/>
      <c r="G8403" s="42"/>
      <c r="H8403" s="42"/>
      <c r="AG8403" s="19">
        <v>8402</v>
      </c>
      <c r="AH8403" s="20">
        <v>2782.7523641500688</v>
      </c>
    </row>
    <row r="8404" spans="1:34" ht="14.5" x14ac:dyDescent="0.35">
      <c r="A8404" s="34"/>
      <c r="B8404" s="35"/>
      <c r="C8404" s="36"/>
      <c r="D8404" s="37"/>
      <c r="E8404" s="36"/>
      <c r="F8404" s="42"/>
      <c r="G8404" s="42"/>
      <c r="H8404" s="42"/>
      <c r="AG8404" s="19">
        <v>8403</v>
      </c>
      <c r="AH8404" s="20">
        <v>1413.8948466411823</v>
      </c>
    </row>
    <row r="8405" spans="1:34" ht="14.5" x14ac:dyDescent="0.35">
      <c r="A8405" s="34"/>
      <c r="B8405" s="35"/>
      <c r="C8405" s="36"/>
      <c r="D8405" s="37"/>
      <c r="E8405" s="36"/>
      <c r="F8405" s="42"/>
      <c r="G8405" s="42"/>
      <c r="H8405" s="42"/>
      <c r="AG8405" s="19">
        <v>8404</v>
      </c>
      <c r="AH8405" s="20">
        <v>3686.2951999076577</v>
      </c>
    </row>
    <row r="8406" spans="1:34" ht="14.5" x14ac:dyDescent="0.35">
      <c r="A8406" s="34"/>
      <c r="B8406" s="35"/>
      <c r="C8406" s="36"/>
      <c r="D8406" s="37"/>
      <c r="E8406" s="36"/>
      <c r="F8406" s="42"/>
      <c r="G8406" s="42"/>
      <c r="H8406" s="42"/>
      <c r="AG8406" s="19">
        <v>8405</v>
      </c>
      <c r="AH8406" s="20">
        <v>-1107.9781665737207</v>
      </c>
    </row>
    <row r="8407" spans="1:34" ht="14.5" x14ac:dyDescent="0.35">
      <c r="A8407" s="34"/>
      <c r="B8407" s="35"/>
      <c r="C8407" s="36"/>
      <c r="D8407" s="37"/>
      <c r="E8407" s="36"/>
      <c r="F8407" s="42"/>
      <c r="G8407" s="42"/>
      <c r="H8407" s="42"/>
      <c r="AG8407" s="19">
        <v>8406</v>
      </c>
      <c r="AH8407" s="20">
        <v>-2043.2745744099132</v>
      </c>
    </row>
    <row r="8408" spans="1:34" ht="14.5" x14ac:dyDescent="0.35">
      <c r="A8408" s="34"/>
      <c r="B8408" s="35"/>
      <c r="C8408" s="36"/>
      <c r="D8408" s="37"/>
      <c r="E8408" s="36"/>
      <c r="F8408" s="42"/>
      <c r="G8408" s="42"/>
      <c r="H8408" s="42"/>
      <c r="AG8408" s="19">
        <v>8407</v>
      </c>
      <c r="AH8408" s="20">
        <v>1802.0302322852936</v>
      </c>
    </row>
    <row r="8409" spans="1:34" ht="14.5" x14ac:dyDescent="0.35">
      <c r="A8409" s="34"/>
      <c r="B8409" s="35"/>
      <c r="C8409" s="36"/>
      <c r="D8409" s="37"/>
      <c r="E8409" s="36"/>
      <c r="F8409" s="42"/>
      <c r="G8409" s="42"/>
      <c r="H8409" s="42"/>
      <c r="AG8409" s="19">
        <v>8408</v>
      </c>
      <c r="AH8409" s="20">
        <v>2179.8250221259582</v>
      </c>
    </row>
    <row r="8410" spans="1:34" ht="14.5" x14ac:dyDescent="0.35">
      <c r="A8410" s="34"/>
      <c r="B8410" s="35"/>
      <c r="C8410" s="36"/>
      <c r="D8410" s="37"/>
      <c r="E8410" s="36"/>
      <c r="F8410" s="42"/>
      <c r="G8410" s="42"/>
      <c r="H8410" s="42"/>
      <c r="AG8410" s="19">
        <v>8409</v>
      </c>
      <c r="AH8410" s="20">
        <v>-3274.8492568569886</v>
      </c>
    </row>
    <row r="8411" spans="1:34" ht="14.5" x14ac:dyDescent="0.35">
      <c r="A8411" s="34"/>
      <c r="B8411" s="35"/>
      <c r="C8411" s="36"/>
      <c r="D8411" s="37"/>
      <c r="E8411" s="36"/>
      <c r="F8411" s="42"/>
      <c r="G8411" s="42"/>
      <c r="H8411" s="42"/>
      <c r="AG8411" s="19">
        <v>8410</v>
      </c>
      <c r="AH8411" s="20">
        <v>960.90010270505013</v>
      </c>
    </row>
    <row r="8412" spans="1:34" ht="14.5" x14ac:dyDescent="0.35">
      <c r="A8412" s="34"/>
      <c r="B8412" s="35"/>
      <c r="C8412" s="36"/>
      <c r="D8412" s="37"/>
      <c r="E8412" s="36"/>
      <c r="F8412" s="42"/>
      <c r="G8412" s="42"/>
      <c r="H8412" s="42"/>
      <c r="AG8412" s="19">
        <v>8411</v>
      </c>
      <c r="AH8412" s="20">
        <v>1780.175732268008</v>
      </c>
    </row>
    <row r="8413" spans="1:34" ht="14.5" x14ac:dyDescent="0.35">
      <c r="A8413" s="34"/>
      <c r="B8413" s="35"/>
      <c r="C8413" s="36"/>
      <c r="D8413" s="37"/>
      <c r="E8413" s="36"/>
      <c r="F8413" s="42"/>
      <c r="G8413" s="42"/>
      <c r="H8413" s="42"/>
      <c r="AG8413" s="19">
        <v>8412</v>
      </c>
      <c r="AH8413" s="20">
        <v>-2084.8121838705542</v>
      </c>
    </row>
    <row r="8414" spans="1:34" ht="14.5" x14ac:dyDescent="0.35">
      <c r="A8414" s="34"/>
      <c r="B8414" s="35"/>
      <c r="C8414" s="36"/>
      <c r="D8414" s="37"/>
      <c r="E8414" s="36"/>
      <c r="F8414" s="42"/>
      <c r="G8414" s="42"/>
      <c r="H8414" s="42"/>
      <c r="AG8414" s="19">
        <v>8413</v>
      </c>
      <c r="AH8414" s="20">
        <v>5565.4769316173288</v>
      </c>
    </row>
    <row r="8415" spans="1:34" ht="14.5" x14ac:dyDescent="0.35">
      <c r="A8415" s="34"/>
      <c r="B8415" s="35"/>
      <c r="C8415" s="36"/>
      <c r="D8415" s="37"/>
      <c r="E8415" s="36"/>
      <c r="F8415" s="42"/>
      <c r="G8415" s="42"/>
      <c r="H8415" s="42"/>
      <c r="AG8415" s="19">
        <v>8414</v>
      </c>
      <c r="AH8415" s="20">
        <v>3748.9824784315101</v>
      </c>
    </row>
    <row r="8416" spans="1:34" ht="14.5" x14ac:dyDescent="0.35">
      <c r="A8416" s="34"/>
      <c r="B8416" s="35"/>
      <c r="C8416" s="36"/>
      <c r="D8416" s="37"/>
      <c r="E8416" s="36"/>
      <c r="F8416" s="42"/>
      <c r="G8416" s="42"/>
      <c r="H8416" s="42"/>
      <c r="AG8416" s="19">
        <v>8415</v>
      </c>
      <c r="AH8416" s="20">
        <v>875.24166065013537</v>
      </c>
    </row>
    <row r="8417" spans="1:34" ht="14.5" x14ac:dyDescent="0.35">
      <c r="A8417" s="34"/>
      <c r="B8417" s="35"/>
      <c r="C8417" s="36"/>
      <c r="D8417" s="37"/>
      <c r="E8417" s="36"/>
      <c r="F8417" s="42"/>
      <c r="G8417" s="42"/>
      <c r="H8417" s="42"/>
      <c r="AG8417" s="19">
        <v>8416</v>
      </c>
      <c r="AH8417" s="20">
        <v>-2368.3883761192019</v>
      </c>
    </row>
    <row r="8418" spans="1:34" ht="14.5" x14ac:dyDescent="0.35">
      <c r="A8418" s="34"/>
      <c r="B8418" s="35"/>
      <c r="C8418" s="36"/>
      <c r="D8418" s="37"/>
      <c r="E8418" s="36"/>
      <c r="F8418" s="42"/>
      <c r="G8418" s="42"/>
      <c r="H8418" s="42"/>
      <c r="AG8418" s="19">
        <v>8417</v>
      </c>
      <c r="AH8418" s="20">
        <v>-1563.0662261445261</v>
      </c>
    </row>
    <row r="8419" spans="1:34" ht="14.5" x14ac:dyDescent="0.35">
      <c r="A8419" s="34"/>
      <c r="B8419" s="35"/>
      <c r="C8419" s="36"/>
      <c r="D8419" s="37"/>
      <c r="E8419" s="36"/>
      <c r="F8419" s="42"/>
      <c r="G8419" s="42"/>
      <c r="H8419" s="42"/>
      <c r="AG8419" s="19">
        <v>8418</v>
      </c>
      <c r="AH8419" s="20">
        <v>3280.7345862029015</v>
      </c>
    </row>
    <row r="8420" spans="1:34" ht="14.5" x14ac:dyDescent="0.35">
      <c r="A8420" s="34"/>
      <c r="B8420" s="35"/>
      <c r="C8420" s="36"/>
      <c r="D8420" s="37"/>
      <c r="E8420" s="36"/>
      <c r="F8420" s="42"/>
      <c r="G8420" s="42"/>
      <c r="H8420" s="42"/>
      <c r="AG8420" s="19">
        <v>8419</v>
      </c>
      <c r="AH8420" s="20">
        <v>2827.3897439512948</v>
      </c>
    </row>
    <row r="8421" spans="1:34" ht="14.5" x14ac:dyDescent="0.35">
      <c r="A8421" s="34"/>
      <c r="B8421" s="35"/>
      <c r="C8421" s="36"/>
      <c r="D8421" s="37"/>
      <c r="E8421" s="36"/>
      <c r="F8421" s="42"/>
      <c r="G8421" s="42"/>
      <c r="H8421" s="42"/>
      <c r="AG8421" s="19">
        <v>8420</v>
      </c>
      <c r="AH8421" s="20">
        <v>2772.0225385307913</v>
      </c>
    </row>
    <row r="8422" spans="1:34" ht="14.5" x14ac:dyDescent="0.35">
      <c r="A8422" s="34"/>
      <c r="B8422" s="35"/>
      <c r="C8422" s="36"/>
      <c r="D8422" s="37"/>
      <c r="E8422" s="36"/>
      <c r="F8422" s="42"/>
      <c r="G8422" s="42"/>
      <c r="H8422" s="42"/>
      <c r="AG8422" s="19">
        <v>8421</v>
      </c>
      <c r="AH8422" s="20">
        <v>1065.2777561960982</v>
      </c>
    </row>
    <row r="8423" spans="1:34" ht="14.5" x14ac:dyDescent="0.35">
      <c r="A8423" s="34"/>
      <c r="B8423" s="35"/>
      <c r="C8423" s="36"/>
      <c r="D8423" s="37"/>
      <c r="E8423" s="36"/>
      <c r="F8423" s="42"/>
      <c r="G8423" s="42"/>
      <c r="H8423" s="42"/>
      <c r="AG8423" s="19">
        <v>8422</v>
      </c>
      <c r="AH8423" s="20">
        <v>1188.0160983233463</v>
      </c>
    </row>
    <row r="8424" spans="1:34" ht="14.5" x14ac:dyDescent="0.35">
      <c r="A8424" s="34"/>
      <c r="B8424" s="35"/>
      <c r="C8424" s="36"/>
      <c r="D8424" s="37"/>
      <c r="E8424" s="36"/>
      <c r="F8424" s="42"/>
      <c r="G8424" s="42"/>
      <c r="H8424" s="42"/>
      <c r="AG8424" s="19">
        <v>8423</v>
      </c>
      <c r="AH8424" s="20">
        <v>5614.4432433459815</v>
      </c>
    </row>
    <row r="8425" spans="1:34" ht="14.5" x14ac:dyDescent="0.35">
      <c r="A8425" s="34"/>
      <c r="B8425" s="35"/>
      <c r="C8425" s="36"/>
      <c r="D8425" s="37"/>
      <c r="E8425" s="36"/>
      <c r="F8425" s="42"/>
      <c r="G8425" s="42"/>
      <c r="H8425" s="42"/>
      <c r="AG8425" s="19">
        <v>8424</v>
      </c>
      <c r="AH8425" s="20">
        <v>-1770.7847946897161</v>
      </c>
    </row>
    <row r="8426" spans="1:34" ht="14.5" x14ac:dyDescent="0.35">
      <c r="A8426" s="34"/>
      <c r="B8426" s="35"/>
      <c r="C8426" s="36"/>
      <c r="D8426" s="37"/>
      <c r="E8426" s="36"/>
      <c r="F8426" s="42"/>
      <c r="G8426" s="42"/>
      <c r="H8426" s="42"/>
      <c r="AG8426" s="19">
        <v>8425</v>
      </c>
      <c r="AH8426" s="20">
        <v>-2040.0915270207104</v>
      </c>
    </row>
    <row r="8427" spans="1:34" ht="14.5" x14ac:dyDescent="0.35">
      <c r="A8427" s="34"/>
      <c r="B8427" s="35"/>
      <c r="C8427" s="36"/>
      <c r="D8427" s="37"/>
      <c r="E8427" s="36"/>
      <c r="F8427" s="42"/>
      <c r="G8427" s="42"/>
      <c r="H8427" s="42"/>
      <c r="AG8427" s="19">
        <v>8426</v>
      </c>
      <c r="AH8427" s="20">
        <v>1654.2719557153816</v>
      </c>
    </row>
    <row r="8428" spans="1:34" ht="14.5" x14ac:dyDescent="0.35">
      <c r="A8428" s="34"/>
      <c r="B8428" s="35"/>
      <c r="C8428" s="36"/>
      <c r="D8428" s="37"/>
      <c r="E8428" s="36"/>
      <c r="F8428" s="42"/>
      <c r="G8428" s="42"/>
      <c r="H8428" s="42"/>
      <c r="AG8428" s="19">
        <v>8427</v>
      </c>
      <c r="AH8428" s="20">
        <v>1699.8541856937507</v>
      </c>
    </row>
    <row r="8429" spans="1:34" ht="14.5" x14ac:dyDescent="0.35">
      <c r="A8429" s="34"/>
      <c r="B8429" s="35"/>
      <c r="C8429" s="36"/>
      <c r="D8429" s="37"/>
      <c r="E8429" s="36"/>
      <c r="F8429" s="42"/>
      <c r="G8429" s="42"/>
      <c r="H8429" s="42"/>
      <c r="AG8429" s="19">
        <v>8428</v>
      </c>
      <c r="AH8429" s="20">
        <v>85.575773916263245</v>
      </c>
    </row>
    <row r="8430" spans="1:34" ht="14.5" x14ac:dyDescent="0.35">
      <c r="A8430" s="34"/>
      <c r="B8430" s="35"/>
      <c r="C8430" s="36"/>
      <c r="D8430" s="37"/>
      <c r="E8430" s="36"/>
      <c r="F8430" s="42"/>
      <c r="G8430" s="42"/>
      <c r="H8430" s="42"/>
      <c r="AG8430" s="19">
        <v>8429</v>
      </c>
      <c r="AH8430" s="20">
        <v>2127.5888582353532</v>
      </c>
    </row>
    <row r="8431" spans="1:34" ht="14.5" x14ac:dyDescent="0.35">
      <c r="A8431" s="34"/>
      <c r="B8431" s="35"/>
      <c r="C8431" s="36"/>
      <c r="D8431" s="37"/>
      <c r="E8431" s="36"/>
      <c r="F8431" s="42"/>
      <c r="G8431" s="42"/>
      <c r="H8431" s="42"/>
      <c r="AG8431" s="19">
        <v>8430</v>
      </c>
      <c r="AH8431" s="20">
        <v>897.30594540988136</v>
      </c>
    </row>
    <row r="8432" spans="1:34" ht="14.5" x14ac:dyDescent="0.35">
      <c r="A8432" s="34"/>
      <c r="B8432" s="35"/>
      <c r="C8432" s="36"/>
      <c r="D8432" s="37"/>
      <c r="E8432" s="36"/>
      <c r="F8432" s="42"/>
      <c r="G8432" s="42"/>
      <c r="H8432" s="42"/>
      <c r="AG8432" s="19">
        <v>8431</v>
      </c>
      <c r="AH8432" s="20">
        <v>380.55532886341359</v>
      </c>
    </row>
    <row r="8433" spans="1:34" ht="14.5" x14ac:dyDescent="0.35">
      <c r="A8433" s="34"/>
      <c r="B8433" s="35"/>
      <c r="C8433" s="36"/>
      <c r="D8433" s="37"/>
      <c r="E8433" s="36"/>
      <c r="F8433" s="42"/>
      <c r="G8433" s="42"/>
      <c r="H8433" s="42"/>
      <c r="AG8433" s="19">
        <v>8432</v>
      </c>
      <c r="AH8433" s="20">
        <v>-3235.7726352711165</v>
      </c>
    </row>
    <row r="8434" spans="1:34" ht="14.5" x14ac:dyDescent="0.35">
      <c r="A8434" s="34"/>
      <c r="B8434" s="35"/>
      <c r="C8434" s="36"/>
      <c r="D8434" s="37"/>
      <c r="E8434" s="36"/>
      <c r="F8434" s="42"/>
      <c r="G8434" s="42"/>
      <c r="H8434" s="42"/>
      <c r="AG8434" s="19">
        <v>8433</v>
      </c>
      <c r="AH8434" s="20">
        <v>280.487447179588</v>
      </c>
    </row>
    <row r="8435" spans="1:34" ht="14.5" x14ac:dyDescent="0.35">
      <c r="A8435" s="34"/>
      <c r="B8435" s="35"/>
      <c r="C8435" s="36"/>
      <c r="D8435" s="37"/>
      <c r="E8435" s="36"/>
      <c r="F8435" s="42"/>
      <c r="G8435" s="42"/>
      <c r="H8435" s="42"/>
      <c r="AG8435" s="19">
        <v>8434</v>
      </c>
      <c r="AH8435" s="20">
        <v>1232.4478040836161</v>
      </c>
    </row>
    <row r="8436" spans="1:34" ht="14.5" x14ac:dyDescent="0.35">
      <c r="A8436" s="34"/>
      <c r="B8436" s="35"/>
      <c r="C8436" s="36"/>
      <c r="D8436" s="37"/>
      <c r="E8436" s="36"/>
      <c r="F8436" s="42"/>
      <c r="G8436" s="42"/>
      <c r="H8436" s="42"/>
      <c r="AG8436" s="19">
        <v>8435</v>
      </c>
      <c r="AH8436" s="20">
        <v>2183.7064387849591</v>
      </c>
    </row>
    <row r="8437" spans="1:34" ht="14.5" x14ac:dyDescent="0.35">
      <c r="A8437" s="34"/>
      <c r="B8437" s="35"/>
      <c r="C8437" s="36"/>
      <c r="D8437" s="37"/>
      <c r="E8437" s="36"/>
      <c r="F8437" s="42"/>
      <c r="G8437" s="42"/>
      <c r="H8437" s="42"/>
      <c r="AG8437" s="19">
        <v>8436</v>
      </c>
      <c r="AH8437" s="20">
        <v>-553.2468609433613</v>
      </c>
    </row>
    <row r="8438" spans="1:34" ht="14.5" x14ac:dyDescent="0.35">
      <c r="A8438" s="34"/>
      <c r="B8438" s="35"/>
      <c r="C8438" s="36"/>
      <c r="D8438" s="37"/>
      <c r="E8438" s="36"/>
      <c r="F8438" s="42"/>
      <c r="G8438" s="42"/>
      <c r="H8438" s="42"/>
      <c r="AG8438" s="19">
        <v>8437</v>
      </c>
      <c r="AH8438" s="20">
        <v>672.19090424370211</v>
      </c>
    </row>
    <row r="8439" spans="1:34" ht="14.5" x14ac:dyDescent="0.35">
      <c r="A8439" s="34"/>
      <c r="B8439" s="35"/>
      <c r="C8439" s="36"/>
      <c r="D8439" s="37"/>
      <c r="E8439" s="36"/>
      <c r="F8439" s="42"/>
      <c r="G8439" s="42"/>
      <c r="H8439" s="42"/>
      <c r="AG8439" s="19">
        <v>8438</v>
      </c>
      <c r="AH8439" s="20">
        <v>2803.0521076500572</v>
      </c>
    </row>
    <row r="8440" spans="1:34" ht="14.5" x14ac:dyDescent="0.35">
      <c r="A8440" s="34"/>
      <c r="B8440" s="35"/>
      <c r="C8440" s="36"/>
      <c r="D8440" s="37"/>
      <c r="E8440" s="36"/>
      <c r="F8440" s="42"/>
      <c r="G8440" s="42"/>
      <c r="H8440" s="42"/>
      <c r="AG8440" s="19">
        <v>8439</v>
      </c>
      <c r="AH8440" s="20">
        <v>-296.50819803230326</v>
      </c>
    </row>
    <row r="8441" spans="1:34" ht="14.5" x14ac:dyDescent="0.35">
      <c r="A8441" s="34"/>
      <c r="B8441" s="35"/>
      <c r="C8441" s="36"/>
      <c r="D8441" s="37"/>
      <c r="E8441" s="36"/>
      <c r="F8441" s="42"/>
      <c r="G8441" s="42"/>
      <c r="H8441" s="42"/>
      <c r="AG8441" s="19">
        <v>8440</v>
      </c>
      <c r="AH8441" s="20">
        <v>-3350.232388752991</v>
      </c>
    </row>
    <row r="8442" spans="1:34" ht="14.5" x14ac:dyDescent="0.35">
      <c r="A8442" s="34"/>
      <c r="B8442" s="35"/>
      <c r="C8442" s="36"/>
      <c r="D8442" s="37"/>
      <c r="E8442" s="36"/>
      <c r="F8442" s="42"/>
      <c r="G8442" s="42"/>
      <c r="H8442" s="42"/>
      <c r="AG8442" s="19">
        <v>8441</v>
      </c>
      <c r="AH8442" s="20">
        <v>1367.1359113503449</v>
      </c>
    </row>
    <row r="8443" spans="1:34" ht="14.5" x14ac:dyDescent="0.35">
      <c r="A8443" s="34"/>
      <c r="B8443" s="35"/>
      <c r="C8443" s="36"/>
      <c r="D8443" s="37"/>
      <c r="E8443" s="36"/>
      <c r="F8443" s="42"/>
      <c r="G8443" s="42"/>
      <c r="H8443" s="42"/>
      <c r="AG8443" s="19">
        <v>8442</v>
      </c>
      <c r="AH8443" s="20">
        <v>337.35120819728854</v>
      </c>
    </row>
    <row r="8444" spans="1:34" ht="14.5" x14ac:dyDescent="0.35">
      <c r="A8444" s="34"/>
      <c r="B8444" s="35"/>
      <c r="C8444" s="36"/>
      <c r="D8444" s="37"/>
      <c r="E8444" s="36"/>
      <c r="F8444" s="42"/>
      <c r="G8444" s="42"/>
      <c r="H8444" s="42"/>
      <c r="AG8444" s="19">
        <v>8443</v>
      </c>
      <c r="AH8444" s="20">
        <v>-3156.3713259027263</v>
      </c>
    </row>
    <row r="8445" spans="1:34" ht="14.5" x14ac:dyDescent="0.35">
      <c r="A8445" s="34"/>
      <c r="B8445" s="35"/>
      <c r="C8445" s="36"/>
      <c r="D8445" s="37"/>
      <c r="E8445" s="36"/>
      <c r="F8445" s="42"/>
      <c r="G8445" s="42"/>
      <c r="H8445" s="42"/>
      <c r="AG8445" s="19">
        <v>8444</v>
      </c>
      <c r="AH8445" s="20">
        <v>391.75194136784506</v>
      </c>
    </row>
    <row r="8446" spans="1:34" ht="14.5" x14ac:dyDescent="0.35">
      <c r="A8446" s="34"/>
      <c r="B8446" s="35"/>
      <c r="C8446" s="36"/>
      <c r="D8446" s="37"/>
      <c r="E8446" s="36"/>
      <c r="F8446" s="42"/>
      <c r="G8446" s="42"/>
      <c r="H8446" s="42"/>
      <c r="AG8446" s="19">
        <v>8445</v>
      </c>
      <c r="AH8446" s="20">
        <v>3463.6904286441186</v>
      </c>
    </row>
    <row r="8447" spans="1:34" ht="14.5" x14ac:dyDescent="0.35">
      <c r="A8447" s="34"/>
      <c r="B8447" s="35"/>
      <c r="C8447" s="36"/>
      <c r="D8447" s="37"/>
      <c r="E8447" s="36"/>
      <c r="F8447" s="42"/>
      <c r="G8447" s="42"/>
      <c r="H8447" s="42"/>
      <c r="AG8447" s="19">
        <v>8446</v>
      </c>
      <c r="AH8447" s="20">
        <v>1741.9813765988179</v>
      </c>
    </row>
    <row r="8448" spans="1:34" ht="14.5" x14ac:dyDescent="0.35">
      <c r="A8448" s="34"/>
      <c r="B8448" s="35"/>
      <c r="C8448" s="36"/>
      <c r="D8448" s="37"/>
      <c r="E8448" s="36"/>
      <c r="F8448" s="42"/>
      <c r="G8448" s="42"/>
      <c r="H8448" s="42"/>
      <c r="AG8448" s="19">
        <v>8447</v>
      </c>
      <c r="AH8448" s="20">
        <v>-2992.4839616648446</v>
      </c>
    </row>
    <row r="8449" spans="1:34" ht="14.5" x14ac:dyDescent="0.35">
      <c r="A8449" s="34"/>
      <c r="B8449" s="35"/>
      <c r="C8449" s="36"/>
      <c r="D8449" s="37"/>
      <c r="E8449" s="36"/>
      <c r="F8449" s="42"/>
      <c r="G8449" s="42"/>
      <c r="H8449" s="42"/>
      <c r="AG8449" s="19">
        <v>8448</v>
      </c>
      <c r="AH8449" s="20">
        <v>2684.586766158609</v>
      </c>
    </row>
    <row r="8450" spans="1:34" ht="14.5" x14ac:dyDescent="0.35">
      <c r="A8450" s="34"/>
      <c r="B8450" s="35"/>
      <c r="C8450" s="36"/>
      <c r="D8450" s="37"/>
      <c r="E8450" s="36"/>
      <c r="F8450" s="42"/>
      <c r="G8450" s="42"/>
      <c r="H8450" s="42"/>
      <c r="AG8450" s="19">
        <v>8449</v>
      </c>
      <c r="AH8450" s="20">
        <v>-601.99246486584093</v>
      </c>
    </row>
    <row r="8451" spans="1:34" ht="14.5" x14ac:dyDescent="0.35">
      <c r="A8451" s="34"/>
      <c r="B8451" s="35"/>
      <c r="C8451" s="36"/>
      <c r="D8451" s="37"/>
      <c r="E8451" s="36"/>
      <c r="F8451" s="42"/>
      <c r="G8451" s="42"/>
      <c r="H8451" s="42"/>
      <c r="AG8451" s="19">
        <v>8450</v>
      </c>
      <c r="AH8451" s="20">
        <v>-1851.9515223560586</v>
      </c>
    </row>
    <row r="8452" spans="1:34" ht="14.5" x14ac:dyDescent="0.35">
      <c r="A8452" s="34"/>
      <c r="B8452" s="35"/>
      <c r="C8452" s="36"/>
      <c r="D8452" s="37"/>
      <c r="E8452" s="36"/>
      <c r="F8452" s="42"/>
      <c r="G8452" s="42"/>
      <c r="H8452" s="42"/>
      <c r="AG8452" s="19">
        <v>8451</v>
      </c>
      <c r="AH8452" s="20">
        <v>-1137.3357161974491</v>
      </c>
    </row>
    <row r="8453" spans="1:34" ht="14.5" x14ac:dyDescent="0.35">
      <c r="A8453" s="34"/>
      <c r="B8453" s="35"/>
      <c r="C8453" s="36"/>
      <c r="D8453" s="37"/>
      <c r="E8453" s="36"/>
      <c r="F8453" s="42"/>
      <c r="G8453" s="42"/>
      <c r="H8453" s="42"/>
      <c r="AG8453" s="19">
        <v>8452</v>
      </c>
      <c r="AH8453" s="20">
        <v>1591.6129169399273</v>
      </c>
    </row>
    <row r="8454" spans="1:34" ht="14.5" x14ac:dyDescent="0.35">
      <c r="A8454" s="34"/>
      <c r="B8454" s="35"/>
      <c r="C8454" s="36"/>
      <c r="D8454" s="37"/>
      <c r="E8454" s="36"/>
      <c r="F8454" s="42"/>
      <c r="G8454" s="42"/>
      <c r="H8454" s="42"/>
      <c r="AG8454" s="19">
        <v>8453</v>
      </c>
      <c r="AH8454" s="20">
        <v>-107.61309775413446</v>
      </c>
    </row>
    <row r="8455" spans="1:34" ht="14.5" x14ac:dyDescent="0.35">
      <c r="A8455" s="34"/>
      <c r="B8455" s="35"/>
      <c r="C8455" s="36"/>
      <c r="D8455" s="37"/>
      <c r="E8455" s="36"/>
      <c r="F8455" s="42"/>
      <c r="G8455" s="42"/>
      <c r="H8455" s="42"/>
      <c r="AG8455" s="19">
        <v>8454</v>
      </c>
      <c r="AH8455" s="20">
        <v>557.44326541054772</v>
      </c>
    </row>
    <row r="8456" spans="1:34" ht="14.5" x14ac:dyDescent="0.35">
      <c r="A8456" s="34"/>
      <c r="B8456" s="35"/>
      <c r="C8456" s="36"/>
      <c r="D8456" s="37"/>
      <c r="E8456" s="36"/>
      <c r="F8456" s="42"/>
      <c r="G8456" s="42"/>
      <c r="H8456" s="42"/>
      <c r="AG8456" s="19">
        <v>8455</v>
      </c>
      <c r="AH8456" s="20">
        <v>-1013.9383414050292</v>
      </c>
    </row>
    <row r="8457" spans="1:34" ht="14.5" x14ac:dyDescent="0.35">
      <c r="A8457" s="34"/>
      <c r="B8457" s="35"/>
      <c r="C8457" s="36"/>
      <c r="D8457" s="37"/>
      <c r="E8457" s="36"/>
      <c r="F8457" s="42"/>
      <c r="G8457" s="42"/>
      <c r="H8457" s="42"/>
      <c r="AG8457" s="19">
        <v>8456</v>
      </c>
      <c r="AH8457" s="20">
        <v>1235.386760916977</v>
      </c>
    </row>
    <row r="8458" spans="1:34" ht="14.5" x14ac:dyDescent="0.35">
      <c r="A8458" s="34"/>
      <c r="B8458" s="35"/>
      <c r="C8458" s="36"/>
      <c r="D8458" s="37"/>
      <c r="E8458" s="36"/>
      <c r="F8458" s="42"/>
      <c r="G8458" s="42"/>
      <c r="H8458" s="42"/>
      <c r="AG8458" s="19">
        <v>8457</v>
      </c>
      <c r="AH8458" s="20">
        <v>1145.1978414873297</v>
      </c>
    </row>
    <row r="8459" spans="1:34" ht="14.5" x14ac:dyDescent="0.35">
      <c r="A8459" s="34"/>
      <c r="B8459" s="35"/>
      <c r="C8459" s="36"/>
      <c r="D8459" s="37"/>
      <c r="E8459" s="36"/>
      <c r="F8459" s="42"/>
      <c r="G8459" s="42"/>
      <c r="H8459" s="42"/>
      <c r="AG8459" s="19">
        <v>8458</v>
      </c>
      <c r="AH8459" s="20">
        <v>-1733.9708985437035</v>
      </c>
    </row>
    <row r="8460" spans="1:34" ht="14.5" x14ac:dyDescent="0.35">
      <c r="A8460" s="34"/>
      <c r="B8460" s="35"/>
      <c r="C8460" s="36"/>
      <c r="D8460" s="37"/>
      <c r="E8460" s="36"/>
      <c r="F8460" s="42"/>
      <c r="G8460" s="42"/>
      <c r="H8460" s="42"/>
      <c r="AG8460" s="19">
        <v>8459</v>
      </c>
      <c r="AH8460" s="20">
        <v>128.60864371216519</v>
      </c>
    </row>
    <row r="8461" spans="1:34" ht="14.5" x14ac:dyDescent="0.35">
      <c r="A8461" s="34"/>
      <c r="B8461" s="35"/>
      <c r="C8461" s="36"/>
      <c r="D8461" s="37"/>
      <c r="E8461" s="36"/>
      <c r="F8461" s="42"/>
      <c r="G8461" s="42"/>
      <c r="H8461" s="42"/>
      <c r="AG8461" s="19">
        <v>8460</v>
      </c>
      <c r="AH8461" s="20">
        <v>964.98758781094625</v>
      </c>
    </row>
    <row r="8462" spans="1:34" ht="14.5" x14ac:dyDescent="0.35">
      <c r="A8462" s="34"/>
      <c r="B8462" s="35"/>
      <c r="C8462" s="36"/>
      <c r="D8462" s="37"/>
      <c r="E8462" s="36"/>
      <c r="F8462" s="42"/>
      <c r="G8462" s="42"/>
      <c r="H8462" s="42"/>
      <c r="AG8462" s="19">
        <v>8461</v>
      </c>
      <c r="AH8462" s="20">
        <v>-2164.5827162644177</v>
      </c>
    </row>
    <row r="8463" spans="1:34" ht="14.5" x14ac:dyDescent="0.35">
      <c r="A8463" s="34"/>
      <c r="B8463" s="35"/>
      <c r="C8463" s="36"/>
      <c r="D8463" s="37"/>
      <c r="E8463" s="36"/>
      <c r="F8463" s="42"/>
      <c r="G8463" s="42"/>
      <c r="H8463" s="42"/>
      <c r="AG8463" s="19">
        <v>8462</v>
      </c>
      <c r="AH8463" s="20">
        <v>1397.1646262353108</v>
      </c>
    </row>
    <row r="8464" spans="1:34" ht="14.5" x14ac:dyDescent="0.35">
      <c r="A8464" s="34"/>
      <c r="B8464" s="35"/>
      <c r="C8464" s="36"/>
      <c r="D8464" s="37"/>
      <c r="E8464" s="36"/>
      <c r="F8464" s="42"/>
      <c r="G8464" s="42"/>
      <c r="H8464" s="42"/>
      <c r="AG8464" s="19">
        <v>8463</v>
      </c>
      <c r="AH8464" s="20">
        <v>1038.5836341002648</v>
      </c>
    </row>
    <row r="8465" spans="1:34" ht="14.5" x14ac:dyDescent="0.35">
      <c r="A8465" s="34"/>
      <c r="B8465" s="35"/>
      <c r="C8465" s="36"/>
      <c r="D8465" s="37"/>
      <c r="E8465" s="36"/>
      <c r="F8465" s="42"/>
      <c r="G8465" s="42"/>
      <c r="H8465" s="42"/>
      <c r="AG8465" s="19">
        <v>8464</v>
      </c>
      <c r="AH8465" s="20">
        <v>3047.5928324277179</v>
      </c>
    </row>
    <row r="8466" spans="1:34" ht="14.5" x14ac:dyDescent="0.35">
      <c r="A8466" s="34"/>
      <c r="B8466" s="35"/>
      <c r="C8466" s="36"/>
      <c r="D8466" s="37"/>
      <c r="E8466" s="36"/>
      <c r="F8466" s="42"/>
      <c r="G8466" s="42"/>
      <c r="H8466" s="42"/>
      <c r="AG8466" s="19">
        <v>8465</v>
      </c>
      <c r="AH8466" s="20">
        <v>2252.4734703817776</v>
      </c>
    </row>
    <row r="8467" spans="1:34" ht="14.5" x14ac:dyDescent="0.35">
      <c r="A8467" s="34"/>
      <c r="B8467" s="35"/>
      <c r="C8467" s="36"/>
      <c r="D8467" s="37"/>
      <c r="E8467" s="36"/>
      <c r="F8467" s="42"/>
      <c r="G8467" s="42"/>
      <c r="H8467" s="42"/>
      <c r="AG8467" s="19">
        <v>8466</v>
      </c>
      <c r="AH8467" s="20">
        <v>-75.526498944188859</v>
      </c>
    </row>
    <row r="8468" spans="1:34" ht="14.5" x14ac:dyDescent="0.35">
      <c r="A8468" s="34"/>
      <c r="B8468" s="35"/>
      <c r="C8468" s="36"/>
      <c r="D8468" s="37"/>
      <c r="E8468" s="36"/>
      <c r="F8468" s="42"/>
      <c r="G8468" s="42"/>
      <c r="H8468" s="42"/>
      <c r="AG8468" s="19">
        <v>8467</v>
      </c>
      <c r="AH8468" s="20">
        <v>2230.0950620089625</v>
      </c>
    </row>
    <row r="8469" spans="1:34" ht="14.5" x14ac:dyDescent="0.35">
      <c r="A8469" s="34"/>
      <c r="B8469" s="35"/>
      <c r="C8469" s="36"/>
      <c r="D8469" s="37"/>
      <c r="E8469" s="36"/>
      <c r="F8469" s="42"/>
      <c r="G8469" s="42"/>
      <c r="H8469" s="42"/>
      <c r="AG8469" s="19">
        <v>8468</v>
      </c>
      <c r="AH8469" s="20">
        <v>-597.94995911304841</v>
      </c>
    </row>
    <row r="8470" spans="1:34" ht="14.5" x14ac:dyDescent="0.35">
      <c r="A8470" s="34"/>
      <c r="B8470" s="35"/>
      <c r="C8470" s="36"/>
      <c r="D8470" s="37"/>
      <c r="E8470" s="36"/>
      <c r="F8470" s="42"/>
      <c r="G8470" s="42"/>
      <c r="H8470" s="42"/>
      <c r="AG8470" s="19">
        <v>8469</v>
      </c>
      <c r="AH8470" s="20">
        <v>-7.3351978512453684</v>
      </c>
    </row>
    <row r="8471" spans="1:34" ht="14.5" x14ac:dyDescent="0.35">
      <c r="A8471" s="34"/>
      <c r="B8471" s="35"/>
      <c r="C8471" s="36"/>
      <c r="D8471" s="37"/>
      <c r="E8471" s="36"/>
      <c r="F8471" s="42"/>
      <c r="G8471" s="42"/>
      <c r="H8471" s="42"/>
      <c r="AG8471" s="19">
        <v>8470</v>
      </c>
      <c r="AH8471" s="20">
        <v>1379.2563567471557</v>
      </c>
    </row>
    <row r="8472" spans="1:34" ht="14.5" x14ac:dyDescent="0.35">
      <c r="A8472" s="34"/>
      <c r="B8472" s="35"/>
      <c r="C8472" s="36"/>
      <c r="D8472" s="37"/>
      <c r="E8472" s="36"/>
      <c r="F8472" s="42"/>
      <c r="G8472" s="42"/>
      <c r="H8472" s="42"/>
      <c r="AG8472" s="19">
        <v>8471</v>
      </c>
      <c r="AH8472" s="20">
        <v>2906.197589103916</v>
      </c>
    </row>
    <row r="8473" spans="1:34" ht="14.5" x14ac:dyDescent="0.35">
      <c r="A8473" s="34"/>
      <c r="B8473" s="35"/>
      <c r="C8473" s="36"/>
      <c r="D8473" s="37"/>
      <c r="E8473" s="36"/>
      <c r="F8473" s="42"/>
      <c r="G8473" s="42"/>
      <c r="H8473" s="42"/>
      <c r="AG8473" s="19">
        <v>8472</v>
      </c>
      <c r="AH8473" s="20">
        <v>-1140.3305651015964</v>
      </c>
    </row>
    <row r="8474" spans="1:34" ht="14.5" x14ac:dyDescent="0.35">
      <c r="A8474" s="34"/>
      <c r="B8474" s="35"/>
      <c r="C8474" s="36"/>
      <c r="D8474" s="37"/>
      <c r="E8474" s="36"/>
      <c r="F8474" s="42"/>
      <c r="G8474" s="42"/>
      <c r="H8474" s="42"/>
      <c r="AG8474" s="19">
        <v>8473</v>
      </c>
      <c r="AH8474" s="20">
        <v>231.98903770652984</v>
      </c>
    </row>
    <row r="8475" spans="1:34" ht="14.5" x14ac:dyDescent="0.35">
      <c r="A8475" s="34"/>
      <c r="B8475" s="35"/>
      <c r="C8475" s="36"/>
      <c r="D8475" s="37"/>
      <c r="E8475" s="36"/>
      <c r="F8475" s="42"/>
      <c r="G8475" s="42"/>
      <c r="H8475" s="42"/>
      <c r="AG8475" s="19">
        <v>8474</v>
      </c>
      <c r="AH8475" s="20">
        <v>-3287.8591055477073</v>
      </c>
    </row>
    <row r="8476" spans="1:34" ht="14.5" x14ac:dyDescent="0.35">
      <c r="A8476" s="34"/>
      <c r="B8476" s="35"/>
      <c r="C8476" s="36"/>
      <c r="D8476" s="37"/>
      <c r="E8476" s="36"/>
      <c r="F8476" s="42"/>
      <c r="G8476" s="42"/>
      <c r="H8476" s="42"/>
      <c r="AG8476" s="19">
        <v>8475</v>
      </c>
      <c r="AH8476" s="20">
        <v>4338.387857204646</v>
      </c>
    </row>
    <row r="8477" spans="1:34" ht="14.5" x14ac:dyDescent="0.35">
      <c r="A8477" s="34"/>
      <c r="B8477" s="35"/>
      <c r="C8477" s="36"/>
      <c r="D8477" s="37"/>
      <c r="E8477" s="36"/>
      <c r="F8477" s="42"/>
      <c r="G8477" s="42"/>
      <c r="H8477" s="42"/>
      <c r="AG8477" s="19">
        <v>8476</v>
      </c>
      <c r="AH8477" s="20">
        <v>-1394.3714462495855</v>
      </c>
    </row>
    <row r="8478" spans="1:34" ht="14.5" x14ac:dyDescent="0.35">
      <c r="A8478" s="34"/>
      <c r="B8478" s="35"/>
      <c r="C8478" s="36"/>
      <c r="D8478" s="37"/>
      <c r="E8478" s="36"/>
      <c r="F8478" s="42"/>
      <c r="G8478" s="42"/>
      <c r="H8478" s="42"/>
      <c r="AG8478" s="19">
        <v>8477</v>
      </c>
      <c r="AH8478" s="20">
        <v>1473.0868945626</v>
      </c>
    </row>
    <row r="8479" spans="1:34" ht="14.5" x14ac:dyDescent="0.35">
      <c r="A8479" s="34"/>
      <c r="B8479" s="35"/>
      <c r="C8479" s="36"/>
      <c r="D8479" s="37"/>
      <c r="E8479" s="36"/>
      <c r="F8479" s="42"/>
      <c r="G8479" s="42"/>
      <c r="H8479" s="42"/>
      <c r="AG8479" s="19">
        <v>8478</v>
      </c>
      <c r="AH8479" s="20">
        <v>-1240.5282676347076</v>
      </c>
    </row>
    <row r="8480" spans="1:34" ht="14.5" x14ac:dyDescent="0.35">
      <c r="A8480" s="34"/>
      <c r="B8480" s="35"/>
      <c r="C8480" s="36"/>
      <c r="D8480" s="37"/>
      <c r="E8480" s="36"/>
      <c r="F8480" s="42"/>
      <c r="G8480" s="42"/>
      <c r="H8480" s="42"/>
      <c r="AG8480" s="19">
        <v>8479</v>
      </c>
      <c r="AH8480" s="20">
        <v>4796.9136869123331</v>
      </c>
    </row>
    <row r="8481" spans="1:34" ht="14.5" x14ac:dyDescent="0.35">
      <c r="A8481" s="34"/>
      <c r="B8481" s="35"/>
      <c r="C8481" s="36"/>
      <c r="D8481" s="37"/>
      <c r="E8481" s="36"/>
      <c r="F8481" s="42"/>
      <c r="G8481" s="42"/>
      <c r="H8481" s="42"/>
      <c r="AG8481" s="19">
        <v>8480</v>
      </c>
      <c r="AH8481" s="20">
        <v>3507.946742887857</v>
      </c>
    </row>
    <row r="8482" spans="1:34" ht="14.5" x14ac:dyDescent="0.35">
      <c r="A8482" s="34"/>
      <c r="B8482" s="35"/>
      <c r="C8482" s="36"/>
      <c r="D8482" s="37"/>
      <c r="E8482" s="36"/>
      <c r="F8482" s="42"/>
      <c r="G8482" s="42"/>
      <c r="H8482" s="42"/>
      <c r="AG8482" s="19">
        <v>8481</v>
      </c>
      <c r="AH8482" s="20">
        <v>-1421.9627287940264</v>
      </c>
    </row>
    <row r="8483" spans="1:34" ht="14.5" x14ac:dyDescent="0.35">
      <c r="A8483" s="34"/>
      <c r="B8483" s="35"/>
      <c r="C8483" s="36"/>
      <c r="D8483" s="37"/>
      <c r="E8483" s="36"/>
      <c r="F8483" s="42"/>
      <c r="G8483" s="42"/>
      <c r="H8483" s="42"/>
      <c r="AG8483" s="19">
        <v>8482</v>
      </c>
      <c r="AH8483" s="20">
        <v>1580.6945841671418</v>
      </c>
    </row>
    <row r="8484" spans="1:34" ht="14.5" x14ac:dyDescent="0.35">
      <c r="A8484" s="34"/>
      <c r="B8484" s="35"/>
      <c r="C8484" s="36"/>
      <c r="D8484" s="37"/>
      <c r="E8484" s="36"/>
      <c r="F8484" s="42"/>
      <c r="G8484" s="42"/>
      <c r="H8484" s="42"/>
      <c r="AG8484" s="19">
        <v>8483</v>
      </c>
      <c r="AH8484" s="20">
        <v>524.50531325874783</v>
      </c>
    </row>
    <row r="8485" spans="1:34" ht="14.5" x14ac:dyDescent="0.35">
      <c r="A8485" s="34"/>
      <c r="B8485" s="35"/>
      <c r="C8485" s="36"/>
      <c r="D8485" s="37"/>
      <c r="E8485" s="36"/>
      <c r="F8485" s="42"/>
      <c r="G8485" s="42"/>
      <c r="H8485" s="42"/>
      <c r="AG8485" s="19">
        <v>8484</v>
      </c>
      <c r="AH8485" s="20">
        <v>1166.6903450937436</v>
      </c>
    </row>
    <row r="8486" spans="1:34" ht="14.5" x14ac:dyDescent="0.35">
      <c r="A8486" s="34"/>
      <c r="B8486" s="35"/>
      <c r="C8486" s="36"/>
      <c r="D8486" s="37"/>
      <c r="E8486" s="36"/>
      <c r="F8486" s="42"/>
      <c r="G8486" s="42"/>
      <c r="H8486" s="42"/>
      <c r="AG8486" s="19">
        <v>8485</v>
      </c>
      <c r="AH8486" s="20">
        <v>1025.4311139884551</v>
      </c>
    </row>
    <row r="8487" spans="1:34" ht="14.5" x14ac:dyDescent="0.35">
      <c r="A8487" s="34"/>
      <c r="B8487" s="35"/>
      <c r="C8487" s="36"/>
      <c r="D8487" s="37"/>
      <c r="E8487" s="36"/>
      <c r="F8487" s="42"/>
      <c r="G8487" s="42"/>
      <c r="H8487" s="42"/>
      <c r="AG8487" s="19">
        <v>8486</v>
      </c>
      <c r="AH8487" s="20">
        <v>-4399.1825272174819</v>
      </c>
    </row>
    <row r="8488" spans="1:34" ht="14.5" x14ac:dyDescent="0.35">
      <c r="A8488" s="34"/>
      <c r="B8488" s="35"/>
      <c r="C8488" s="36"/>
      <c r="D8488" s="37"/>
      <c r="E8488" s="36"/>
      <c r="F8488" s="42"/>
      <c r="G8488" s="42"/>
      <c r="H8488" s="42"/>
      <c r="AG8488" s="19">
        <v>8487</v>
      </c>
      <c r="AH8488" s="20">
        <v>-493.52094245090603</v>
      </c>
    </row>
    <row r="8489" spans="1:34" ht="14.5" x14ac:dyDescent="0.35">
      <c r="A8489" s="34"/>
      <c r="B8489" s="35"/>
      <c r="C8489" s="36"/>
      <c r="D8489" s="37"/>
      <c r="E8489" s="36"/>
      <c r="F8489" s="42"/>
      <c r="G8489" s="42"/>
      <c r="H8489" s="42"/>
      <c r="AG8489" s="19">
        <v>8488</v>
      </c>
      <c r="AH8489" s="20">
        <v>693.29604662713132</v>
      </c>
    </row>
    <row r="8490" spans="1:34" ht="14.5" x14ac:dyDescent="0.35">
      <c r="A8490" s="34"/>
      <c r="B8490" s="35"/>
      <c r="C8490" s="36"/>
      <c r="D8490" s="37"/>
      <c r="E8490" s="36"/>
      <c r="F8490" s="42"/>
      <c r="G8490" s="42"/>
      <c r="H8490" s="42"/>
      <c r="AG8490" s="19">
        <v>8489</v>
      </c>
      <c r="AH8490" s="20">
        <v>-687.64116198508941</v>
      </c>
    </row>
    <row r="8491" spans="1:34" ht="14.5" x14ac:dyDescent="0.35">
      <c r="A8491" s="34"/>
      <c r="B8491" s="35"/>
      <c r="C8491" s="36"/>
      <c r="D8491" s="37"/>
      <c r="E8491" s="36"/>
      <c r="F8491" s="42"/>
      <c r="G8491" s="42"/>
      <c r="H8491" s="42"/>
      <c r="AG8491" s="19">
        <v>8490</v>
      </c>
      <c r="AH8491" s="20">
        <v>3436.0074394678054</v>
      </c>
    </row>
    <row r="8492" spans="1:34" ht="14.5" x14ac:dyDescent="0.35">
      <c r="A8492" s="34"/>
      <c r="B8492" s="35"/>
      <c r="C8492" s="36"/>
      <c r="D8492" s="37"/>
      <c r="E8492" s="36"/>
      <c r="F8492" s="42"/>
      <c r="G8492" s="42"/>
      <c r="H8492" s="42"/>
      <c r="AG8492" s="19">
        <v>8491</v>
      </c>
      <c r="AH8492" s="20">
        <v>2857.365580922653</v>
      </c>
    </row>
    <row r="8493" spans="1:34" ht="14.5" x14ac:dyDescent="0.35">
      <c r="A8493" s="34"/>
      <c r="B8493" s="35"/>
      <c r="C8493" s="36"/>
      <c r="D8493" s="37"/>
      <c r="E8493" s="36"/>
      <c r="F8493" s="42"/>
      <c r="G8493" s="42"/>
      <c r="H8493" s="42"/>
      <c r="AG8493" s="19">
        <v>8492</v>
      </c>
      <c r="AH8493" s="20">
        <v>626.63290620433463</v>
      </c>
    </row>
    <row r="8494" spans="1:34" ht="14.5" x14ac:dyDescent="0.35">
      <c r="A8494" s="34"/>
      <c r="B8494" s="35"/>
      <c r="C8494" s="36"/>
      <c r="D8494" s="37"/>
      <c r="E8494" s="36"/>
      <c r="F8494" s="42"/>
      <c r="G8494" s="42"/>
      <c r="H8494" s="42"/>
      <c r="AG8494" s="19">
        <v>8493</v>
      </c>
      <c r="AH8494" s="20">
        <v>-2452.6143765244324</v>
      </c>
    </row>
    <row r="8495" spans="1:34" ht="14.5" x14ac:dyDescent="0.35">
      <c r="A8495" s="34"/>
      <c r="B8495" s="35"/>
      <c r="C8495" s="36"/>
      <c r="D8495" s="37"/>
      <c r="E8495" s="36"/>
      <c r="F8495" s="42"/>
      <c r="G8495" s="42"/>
      <c r="H8495" s="42"/>
      <c r="AG8495" s="19">
        <v>8494</v>
      </c>
      <c r="AH8495" s="20">
        <v>-2085.6908980942358</v>
      </c>
    </row>
    <row r="8496" spans="1:34" ht="14.5" x14ac:dyDescent="0.35">
      <c r="A8496" s="34"/>
      <c r="B8496" s="35"/>
      <c r="C8496" s="36"/>
      <c r="D8496" s="37"/>
      <c r="E8496" s="36"/>
      <c r="F8496" s="42"/>
      <c r="G8496" s="42"/>
      <c r="H8496" s="42"/>
      <c r="AG8496" s="19">
        <v>8495</v>
      </c>
      <c r="AH8496" s="20">
        <v>-1434.2611708334996</v>
      </c>
    </row>
    <row r="8497" spans="1:34" ht="14.5" x14ac:dyDescent="0.35">
      <c r="A8497" s="34"/>
      <c r="B8497" s="35"/>
      <c r="C8497" s="36"/>
      <c r="D8497" s="37"/>
      <c r="E8497" s="36"/>
      <c r="F8497" s="42"/>
      <c r="G8497" s="42"/>
      <c r="H8497" s="42"/>
      <c r="AG8497" s="19">
        <v>8496</v>
      </c>
      <c r="AH8497" s="20">
        <v>1029.6469477274561</v>
      </c>
    </row>
    <row r="8498" spans="1:34" ht="14.5" x14ac:dyDescent="0.35">
      <c r="A8498" s="34"/>
      <c r="B8498" s="35"/>
      <c r="C8498" s="36"/>
      <c r="D8498" s="37"/>
      <c r="E8498" s="36"/>
      <c r="F8498" s="42"/>
      <c r="G8498" s="42"/>
      <c r="H8498" s="42"/>
      <c r="AG8498" s="19">
        <v>8497</v>
      </c>
      <c r="AH8498" s="20">
        <v>1602.051503225455</v>
      </c>
    </row>
    <row r="8499" spans="1:34" ht="14.5" x14ac:dyDescent="0.35">
      <c r="A8499" s="34"/>
      <c r="B8499" s="35"/>
      <c r="C8499" s="36"/>
      <c r="D8499" s="37"/>
      <c r="E8499" s="36"/>
      <c r="F8499" s="42"/>
      <c r="G8499" s="42"/>
      <c r="H8499" s="42"/>
      <c r="AG8499" s="19">
        <v>8498</v>
      </c>
      <c r="AH8499" s="20">
        <v>3486.8836925646892</v>
      </c>
    </row>
    <row r="8500" spans="1:34" ht="14.5" x14ac:dyDescent="0.35">
      <c r="A8500" s="34"/>
      <c r="B8500" s="35"/>
      <c r="C8500" s="36"/>
      <c r="D8500" s="37"/>
      <c r="E8500" s="36"/>
      <c r="F8500" s="42"/>
      <c r="G8500" s="42"/>
      <c r="H8500" s="42"/>
      <c r="AG8500" s="19">
        <v>8499</v>
      </c>
      <c r="AH8500" s="20">
        <v>988.19783103406417</v>
      </c>
    </row>
    <row r="8501" spans="1:34" ht="14.5" x14ac:dyDescent="0.35">
      <c r="A8501" s="34"/>
      <c r="B8501" s="35"/>
      <c r="C8501" s="36"/>
      <c r="D8501" s="37"/>
      <c r="E8501" s="36"/>
      <c r="F8501" s="42"/>
      <c r="G8501" s="42"/>
      <c r="H8501" s="42"/>
      <c r="AG8501" s="19">
        <v>8500</v>
      </c>
      <c r="AH8501" s="20">
        <v>2619.4695343040062</v>
      </c>
    </row>
    <row r="8502" spans="1:34" ht="14.5" x14ac:dyDescent="0.35">
      <c r="A8502" s="34"/>
      <c r="B8502" s="35"/>
      <c r="C8502" s="36"/>
      <c r="D8502" s="37"/>
      <c r="E8502" s="36"/>
      <c r="F8502" s="42"/>
      <c r="G8502" s="42"/>
      <c r="H8502" s="42"/>
      <c r="AG8502" s="19">
        <v>8501</v>
      </c>
      <c r="AH8502" s="20">
        <v>-1969.3334767302838</v>
      </c>
    </row>
    <row r="8503" spans="1:34" ht="14.5" x14ac:dyDescent="0.35">
      <c r="A8503" s="34"/>
      <c r="B8503" s="35"/>
      <c r="C8503" s="36"/>
      <c r="D8503" s="37"/>
      <c r="E8503" s="36"/>
      <c r="F8503" s="42"/>
      <c r="G8503" s="42"/>
      <c r="H8503" s="42"/>
      <c r="AG8503" s="19">
        <v>8502</v>
      </c>
      <c r="AH8503" s="20">
        <v>80.629597861181253</v>
      </c>
    </row>
    <row r="8504" spans="1:34" ht="14.5" x14ac:dyDescent="0.35">
      <c r="A8504" s="34"/>
      <c r="B8504" s="35"/>
      <c r="C8504" s="36"/>
      <c r="D8504" s="37"/>
      <c r="E8504" s="36"/>
      <c r="F8504" s="42"/>
      <c r="G8504" s="42"/>
      <c r="H8504" s="42"/>
      <c r="AG8504" s="19">
        <v>8503</v>
      </c>
      <c r="AH8504" s="20">
        <v>723.72063292095754</v>
      </c>
    </row>
    <row r="8505" spans="1:34" ht="14.5" x14ac:dyDescent="0.35">
      <c r="A8505" s="34"/>
      <c r="B8505" s="35"/>
      <c r="C8505" s="36"/>
      <c r="D8505" s="37"/>
      <c r="E8505" s="36"/>
      <c r="F8505" s="42"/>
      <c r="G8505" s="42"/>
      <c r="H8505" s="42"/>
      <c r="AG8505" s="19">
        <v>8504</v>
      </c>
      <c r="AH8505" s="20">
        <v>-589.91443548274083</v>
      </c>
    </row>
    <row r="8506" spans="1:34" ht="14.5" x14ac:dyDescent="0.35">
      <c r="A8506" s="34"/>
      <c r="B8506" s="35"/>
      <c r="C8506" s="36"/>
      <c r="D8506" s="37"/>
      <c r="E8506" s="36"/>
      <c r="F8506" s="42"/>
      <c r="G8506" s="42"/>
      <c r="H8506" s="42"/>
      <c r="AG8506" s="19">
        <v>8505</v>
      </c>
      <c r="AH8506" s="20">
        <v>-1586.0241079529628</v>
      </c>
    </row>
    <row r="8507" spans="1:34" ht="14.5" x14ac:dyDescent="0.35">
      <c r="A8507" s="34"/>
      <c r="B8507" s="35"/>
      <c r="C8507" s="36"/>
      <c r="D8507" s="37"/>
      <c r="E8507" s="36"/>
      <c r="F8507" s="42"/>
      <c r="G8507" s="42"/>
      <c r="H8507" s="42"/>
      <c r="AG8507" s="19">
        <v>8506</v>
      </c>
      <c r="AH8507" s="20">
        <v>2140.769758308571</v>
      </c>
    </row>
    <row r="8508" spans="1:34" ht="14.5" x14ac:dyDescent="0.35">
      <c r="A8508" s="34"/>
      <c r="B8508" s="35"/>
      <c r="C8508" s="36"/>
      <c r="D8508" s="37"/>
      <c r="E8508" s="36"/>
      <c r="F8508" s="42"/>
      <c r="G8508" s="42"/>
      <c r="H8508" s="42"/>
      <c r="AG8508" s="19">
        <v>8507</v>
      </c>
      <c r="AH8508" s="20">
        <v>1430.4650304634149</v>
      </c>
    </row>
    <row r="8509" spans="1:34" ht="14.5" x14ac:dyDescent="0.35">
      <c r="A8509" s="34"/>
      <c r="B8509" s="35"/>
      <c r="C8509" s="36"/>
      <c r="D8509" s="37"/>
      <c r="E8509" s="36"/>
      <c r="F8509" s="42"/>
      <c r="G8509" s="42"/>
      <c r="H8509" s="42"/>
      <c r="AG8509" s="19">
        <v>8508</v>
      </c>
      <c r="AH8509" s="20">
        <v>514.64593631104071</v>
      </c>
    </row>
    <row r="8510" spans="1:34" ht="14.5" x14ac:dyDescent="0.35">
      <c r="A8510" s="34"/>
      <c r="B8510" s="35"/>
      <c r="C8510" s="36"/>
      <c r="D8510" s="37"/>
      <c r="E8510" s="36"/>
      <c r="F8510" s="42"/>
      <c r="G8510" s="42"/>
      <c r="H8510" s="42"/>
      <c r="AG8510" s="19">
        <v>8509</v>
      </c>
      <c r="AH8510" s="20">
        <v>1952.5990840797945</v>
      </c>
    </row>
    <row r="8511" spans="1:34" ht="14.5" x14ac:dyDescent="0.35">
      <c r="A8511" s="34"/>
      <c r="B8511" s="35"/>
      <c r="C8511" s="36"/>
      <c r="D8511" s="37"/>
      <c r="E8511" s="36"/>
      <c r="F8511" s="42"/>
      <c r="G8511" s="42"/>
      <c r="H8511" s="42"/>
      <c r="AG8511" s="19">
        <v>8510</v>
      </c>
      <c r="AH8511" s="20">
        <v>3970.2581052995529</v>
      </c>
    </row>
    <row r="8512" spans="1:34" ht="14.5" x14ac:dyDescent="0.35">
      <c r="A8512" s="34"/>
      <c r="B8512" s="35"/>
      <c r="C8512" s="36"/>
      <c r="D8512" s="37"/>
      <c r="E8512" s="36"/>
      <c r="F8512" s="42"/>
      <c r="G8512" s="42"/>
      <c r="H8512" s="42"/>
      <c r="AG8512" s="19">
        <v>8511</v>
      </c>
      <c r="AH8512" s="20">
        <v>1768.8083059938051</v>
      </c>
    </row>
    <row r="8513" spans="1:34" ht="14.5" x14ac:dyDescent="0.35">
      <c r="A8513" s="34"/>
      <c r="B8513" s="35"/>
      <c r="C8513" s="36"/>
      <c r="D8513" s="37"/>
      <c r="E8513" s="36"/>
      <c r="F8513" s="42"/>
      <c r="G8513" s="42"/>
      <c r="H8513" s="42"/>
      <c r="AG8513" s="19">
        <v>8512</v>
      </c>
      <c r="AH8513" s="20">
        <v>713.73927038901445</v>
      </c>
    </row>
    <row r="8514" spans="1:34" ht="14.5" x14ac:dyDescent="0.35">
      <c r="A8514" s="34"/>
      <c r="B8514" s="35"/>
      <c r="C8514" s="36"/>
      <c r="D8514" s="37"/>
      <c r="E8514" s="36"/>
      <c r="F8514" s="42"/>
      <c r="G8514" s="42"/>
      <c r="H8514" s="42"/>
      <c r="AG8514" s="19">
        <v>8513</v>
      </c>
      <c r="AH8514" s="20">
        <v>1086.1395933876079</v>
      </c>
    </row>
    <row r="8515" spans="1:34" ht="14.5" x14ac:dyDescent="0.35">
      <c r="A8515" s="34"/>
      <c r="B8515" s="35"/>
      <c r="C8515" s="36"/>
      <c r="D8515" s="37"/>
      <c r="E8515" s="36"/>
      <c r="F8515" s="42"/>
      <c r="G8515" s="42"/>
      <c r="H8515" s="42"/>
      <c r="AG8515" s="19">
        <v>8514</v>
      </c>
      <c r="AH8515" s="20">
        <v>722.00096019658508</v>
      </c>
    </row>
    <row r="8516" spans="1:34" ht="14.5" x14ac:dyDescent="0.35">
      <c r="A8516" s="34"/>
      <c r="B8516" s="35"/>
      <c r="C8516" s="36"/>
      <c r="D8516" s="37"/>
      <c r="E8516" s="36"/>
      <c r="F8516" s="42"/>
      <c r="G8516" s="42"/>
      <c r="H8516" s="42"/>
      <c r="AG8516" s="19">
        <v>8515</v>
      </c>
      <c r="AH8516" s="20">
        <v>3285.7290099127085</v>
      </c>
    </row>
    <row r="8517" spans="1:34" ht="14.5" x14ac:dyDescent="0.35">
      <c r="A8517" s="34"/>
      <c r="B8517" s="35"/>
      <c r="C8517" s="36"/>
      <c r="D8517" s="37"/>
      <c r="E8517" s="36"/>
      <c r="F8517" s="42"/>
      <c r="G8517" s="42"/>
      <c r="H8517" s="42"/>
      <c r="AG8517" s="19">
        <v>8516</v>
      </c>
      <c r="AH8517" s="20">
        <v>-1634.4331103301549</v>
      </c>
    </row>
    <row r="8518" spans="1:34" ht="14.5" x14ac:dyDescent="0.35">
      <c r="A8518" s="34"/>
      <c r="B8518" s="35"/>
      <c r="C8518" s="36"/>
      <c r="D8518" s="37"/>
      <c r="E8518" s="36"/>
      <c r="F8518" s="42"/>
      <c r="G8518" s="42"/>
      <c r="H8518" s="42"/>
      <c r="AG8518" s="19">
        <v>8517</v>
      </c>
      <c r="AH8518" s="20">
        <v>950.65754408422913</v>
      </c>
    </row>
    <row r="8519" spans="1:34" ht="14.5" x14ac:dyDescent="0.35">
      <c r="A8519" s="34"/>
      <c r="B8519" s="35"/>
      <c r="C8519" s="36"/>
      <c r="D8519" s="37"/>
      <c r="E8519" s="36"/>
      <c r="F8519" s="42"/>
      <c r="G8519" s="42"/>
      <c r="H8519" s="42"/>
      <c r="AG8519" s="19">
        <v>8518</v>
      </c>
      <c r="AH8519" s="20">
        <v>-1227.6397238134989</v>
      </c>
    </row>
    <row r="8520" spans="1:34" ht="14.5" x14ac:dyDescent="0.35">
      <c r="A8520" s="34"/>
      <c r="B8520" s="35"/>
      <c r="C8520" s="36"/>
      <c r="D8520" s="37"/>
      <c r="E8520" s="36"/>
      <c r="F8520" s="42"/>
      <c r="G8520" s="42"/>
      <c r="H8520" s="42"/>
      <c r="AG8520" s="19">
        <v>8519</v>
      </c>
      <c r="AH8520" s="20">
        <v>229.88344840129125</v>
      </c>
    </row>
    <row r="8521" spans="1:34" ht="14.5" x14ac:dyDescent="0.35">
      <c r="A8521" s="34"/>
      <c r="B8521" s="35"/>
      <c r="C8521" s="36"/>
      <c r="D8521" s="37"/>
      <c r="E8521" s="36"/>
      <c r="F8521" s="42"/>
      <c r="G8521" s="42"/>
      <c r="H8521" s="42"/>
      <c r="AG8521" s="19">
        <v>8520</v>
      </c>
      <c r="AH8521" s="20">
        <v>314.14968343594205</v>
      </c>
    </row>
    <row r="8522" spans="1:34" ht="14.5" x14ac:dyDescent="0.35">
      <c r="A8522" s="34"/>
      <c r="B8522" s="35"/>
      <c r="C8522" s="36"/>
      <c r="D8522" s="37"/>
      <c r="E8522" s="36"/>
      <c r="F8522" s="42"/>
      <c r="G8522" s="42"/>
      <c r="H8522" s="42"/>
      <c r="AG8522" s="19">
        <v>8521</v>
      </c>
      <c r="AH8522" s="20">
        <v>-479.13375944251771</v>
      </c>
    </row>
    <row r="8523" spans="1:34" ht="14.5" x14ac:dyDescent="0.35">
      <c r="A8523" s="34"/>
      <c r="B8523" s="35"/>
      <c r="C8523" s="36"/>
      <c r="D8523" s="37"/>
      <c r="E8523" s="36"/>
      <c r="F8523" s="42"/>
      <c r="G8523" s="42"/>
      <c r="H8523" s="42"/>
      <c r="AG8523" s="19">
        <v>8522</v>
      </c>
      <c r="AH8523" s="20">
        <v>3584.2460211321941</v>
      </c>
    </row>
    <row r="8524" spans="1:34" ht="14.5" x14ac:dyDescent="0.35">
      <c r="A8524" s="34"/>
      <c r="B8524" s="35"/>
      <c r="C8524" s="36"/>
      <c r="D8524" s="37"/>
      <c r="E8524" s="36"/>
      <c r="F8524" s="42"/>
      <c r="G8524" s="42"/>
      <c r="H8524" s="42"/>
      <c r="AG8524" s="19">
        <v>8523</v>
      </c>
      <c r="AH8524" s="20">
        <v>-1056.3280062627141</v>
      </c>
    </row>
    <row r="8525" spans="1:34" ht="14.5" x14ac:dyDescent="0.35">
      <c r="A8525" s="34"/>
      <c r="B8525" s="35"/>
      <c r="C8525" s="36"/>
      <c r="D8525" s="37"/>
      <c r="E8525" s="36"/>
      <c r="F8525" s="42"/>
      <c r="G8525" s="42"/>
      <c r="H8525" s="42"/>
      <c r="AG8525" s="19">
        <v>8524</v>
      </c>
      <c r="AH8525" s="20">
        <v>1166.4319554549793</v>
      </c>
    </row>
    <row r="8526" spans="1:34" ht="14.5" x14ac:dyDescent="0.35">
      <c r="A8526" s="34"/>
      <c r="B8526" s="35"/>
      <c r="C8526" s="36"/>
      <c r="D8526" s="37"/>
      <c r="E8526" s="36"/>
      <c r="F8526" s="42"/>
      <c r="G8526" s="42"/>
      <c r="H8526" s="42"/>
      <c r="AG8526" s="19">
        <v>8525</v>
      </c>
      <c r="AH8526" s="20">
        <v>-2041.6565852535466</v>
      </c>
    </row>
    <row r="8527" spans="1:34" ht="14.5" x14ac:dyDescent="0.35">
      <c r="A8527" s="34"/>
      <c r="B8527" s="35"/>
      <c r="C8527" s="36"/>
      <c r="D8527" s="37"/>
      <c r="E8527" s="36"/>
      <c r="F8527" s="42"/>
      <c r="G8527" s="42"/>
      <c r="H8527" s="42"/>
      <c r="AG8527" s="19">
        <v>8526</v>
      </c>
      <c r="AH8527" s="20">
        <v>898.48474863151034</v>
      </c>
    </row>
    <row r="8528" spans="1:34" ht="14.5" x14ac:dyDescent="0.35">
      <c r="A8528" s="34"/>
      <c r="B8528" s="35"/>
      <c r="C8528" s="36"/>
      <c r="D8528" s="37"/>
      <c r="E8528" s="36"/>
      <c r="F8528" s="42"/>
      <c r="G8528" s="42"/>
      <c r="H8528" s="42"/>
      <c r="AG8528" s="19">
        <v>8527</v>
      </c>
      <c r="AH8528" s="20">
        <v>805.31230751678754</v>
      </c>
    </row>
    <row r="8529" spans="1:34" ht="14.5" x14ac:dyDescent="0.35">
      <c r="A8529" s="34"/>
      <c r="B8529" s="35"/>
      <c r="C8529" s="36"/>
      <c r="D8529" s="37"/>
      <c r="E8529" s="36"/>
      <c r="F8529" s="42"/>
      <c r="G8529" s="42"/>
      <c r="H8529" s="42"/>
      <c r="AG8529" s="19">
        <v>8528</v>
      </c>
      <c r="AH8529" s="20">
        <v>3055.52692387058</v>
      </c>
    </row>
    <row r="8530" spans="1:34" ht="14.5" x14ac:dyDescent="0.35">
      <c r="A8530" s="34"/>
      <c r="B8530" s="35"/>
      <c r="C8530" s="36"/>
      <c r="D8530" s="37"/>
      <c r="E8530" s="36"/>
      <c r="F8530" s="42"/>
      <c r="G8530" s="42"/>
      <c r="H8530" s="42"/>
      <c r="AG8530" s="19">
        <v>8529</v>
      </c>
      <c r="AH8530" s="20">
        <v>1096.4666732619148</v>
      </c>
    </row>
    <row r="8531" spans="1:34" ht="14.5" x14ac:dyDescent="0.35">
      <c r="A8531" s="34"/>
      <c r="B8531" s="35"/>
      <c r="C8531" s="36"/>
      <c r="D8531" s="37"/>
      <c r="E8531" s="36"/>
      <c r="F8531" s="42"/>
      <c r="G8531" s="42"/>
      <c r="H8531" s="42"/>
      <c r="AG8531" s="19">
        <v>8530</v>
      </c>
      <c r="AH8531" s="20">
        <v>-1192.9358717654547</v>
      </c>
    </row>
    <row r="8532" spans="1:34" ht="14.5" x14ac:dyDescent="0.35">
      <c r="A8532" s="34"/>
      <c r="B8532" s="35"/>
      <c r="C8532" s="36"/>
      <c r="D8532" s="37"/>
      <c r="E8532" s="36"/>
      <c r="F8532" s="42"/>
      <c r="G8532" s="42"/>
      <c r="H8532" s="42"/>
      <c r="AG8532" s="19">
        <v>8531</v>
      </c>
      <c r="AH8532" s="20">
        <v>479.7292349249721</v>
      </c>
    </row>
    <row r="8533" spans="1:34" ht="14.5" x14ac:dyDescent="0.35">
      <c r="A8533" s="34"/>
      <c r="B8533" s="35"/>
      <c r="C8533" s="36"/>
      <c r="D8533" s="37"/>
      <c r="E8533" s="36"/>
      <c r="F8533" s="42"/>
      <c r="G8533" s="42"/>
      <c r="H8533" s="42"/>
      <c r="AG8533" s="19">
        <v>8532</v>
      </c>
      <c r="AH8533" s="20">
        <v>-684.02370349686316</v>
      </c>
    </row>
    <row r="8534" spans="1:34" ht="14.5" x14ac:dyDescent="0.35">
      <c r="A8534" s="34"/>
      <c r="B8534" s="35"/>
      <c r="C8534" s="36"/>
      <c r="D8534" s="37"/>
      <c r="E8534" s="36"/>
      <c r="F8534" s="42"/>
      <c r="G8534" s="42"/>
      <c r="H8534" s="42"/>
      <c r="AG8534" s="19">
        <v>8533</v>
      </c>
      <c r="AH8534" s="20">
        <v>3518.7067194264132</v>
      </c>
    </row>
    <row r="8535" spans="1:34" ht="14.5" x14ac:dyDescent="0.35">
      <c r="A8535" s="34"/>
      <c r="B8535" s="35"/>
      <c r="C8535" s="36"/>
      <c r="D8535" s="37"/>
      <c r="E8535" s="36"/>
      <c r="F8535" s="42"/>
      <c r="G8535" s="42"/>
      <c r="H8535" s="42"/>
      <c r="AG8535" s="19">
        <v>8534</v>
      </c>
      <c r="AH8535" s="20">
        <v>318.47238192264973</v>
      </c>
    </row>
    <row r="8536" spans="1:34" ht="14.5" x14ac:dyDescent="0.35">
      <c r="A8536" s="34"/>
      <c r="B8536" s="35"/>
      <c r="C8536" s="36"/>
      <c r="D8536" s="37"/>
      <c r="E8536" s="36"/>
      <c r="F8536" s="42"/>
      <c r="G8536" s="42"/>
      <c r="H8536" s="42"/>
      <c r="AG8536" s="19">
        <v>8535</v>
      </c>
      <c r="AH8536" s="20">
        <v>1961.8731114300929</v>
      </c>
    </row>
    <row r="8537" spans="1:34" ht="14.5" x14ac:dyDescent="0.35">
      <c r="A8537" s="34"/>
      <c r="B8537" s="35"/>
      <c r="C8537" s="36"/>
      <c r="D8537" s="37"/>
      <c r="E8537" s="36"/>
      <c r="F8537" s="42"/>
      <c r="G8537" s="42"/>
      <c r="H8537" s="42"/>
      <c r="AG8537" s="19">
        <v>8536</v>
      </c>
      <c r="AH8537" s="20">
        <v>817.19659230374714</v>
      </c>
    </row>
    <row r="8538" spans="1:34" ht="14.5" x14ac:dyDescent="0.35">
      <c r="A8538" s="34"/>
      <c r="B8538" s="35"/>
      <c r="C8538" s="36"/>
      <c r="D8538" s="37"/>
      <c r="E8538" s="36"/>
      <c r="F8538" s="42"/>
      <c r="G8538" s="42"/>
      <c r="H8538" s="42"/>
      <c r="AG8538" s="19">
        <v>8537</v>
      </c>
      <c r="AH8538" s="20">
        <v>1060.9816275582459</v>
      </c>
    </row>
    <row r="8539" spans="1:34" ht="14.5" x14ac:dyDescent="0.35">
      <c r="A8539" s="34"/>
      <c r="B8539" s="35"/>
      <c r="C8539" s="36"/>
      <c r="D8539" s="37"/>
      <c r="E8539" s="36"/>
      <c r="F8539" s="42"/>
      <c r="G8539" s="42"/>
      <c r="H8539" s="42"/>
      <c r="AG8539" s="19">
        <v>8538</v>
      </c>
      <c r="AH8539" s="20">
        <v>47.948579380717092</v>
      </c>
    </row>
    <row r="8540" spans="1:34" ht="14.5" x14ac:dyDescent="0.35">
      <c r="A8540" s="34"/>
      <c r="B8540" s="35"/>
      <c r="C8540" s="36"/>
      <c r="D8540" s="37"/>
      <c r="E8540" s="36"/>
      <c r="F8540" s="42"/>
      <c r="G8540" s="42"/>
      <c r="H8540" s="42"/>
      <c r="AG8540" s="19">
        <v>8539</v>
      </c>
      <c r="AH8540" s="20">
        <v>2987.3090176006308</v>
      </c>
    </row>
    <row r="8541" spans="1:34" ht="14.5" x14ac:dyDescent="0.35">
      <c r="A8541" s="34"/>
      <c r="B8541" s="35"/>
      <c r="C8541" s="36"/>
      <c r="D8541" s="37"/>
      <c r="E8541" s="36"/>
      <c r="F8541" s="42"/>
      <c r="G8541" s="42"/>
      <c r="H8541" s="42"/>
      <c r="AG8541" s="19">
        <v>8540</v>
      </c>
      <c r="AH8541" s="20">
        <v>-479.36771777918597</v>
      </c>
    </row>
    <row r="8542" spans="1:34" ht="14.5" x14ac:dyDescent="0.35">
      <c r="A8542" s="34"/>
      <c r="B8542" s="35"/>
      <c r="C8542" s="36"/>
      <c r="D8542" s="37"/>
      <c r="E8542" s="36"/>
      <c r="F8542" s="42"/>
      <c r="G8542" s="42"/>
      <c r="H8542" s="42"/>
      <c r="AG8542" s="19">
        <v>8541</v>
      </c>
      <c r="AH8542" s="20">
        <v>-1028.2647942421079</v>
      </c>
    </row>
    <row r="8543" spans="1:34" ht="14.5" x14ac:dyDescent="0.35">
      <c r="A8543" s="34"/>
      <c r="B8543" s="35"/>
      <c r="C8543" s="36"/>
      <c r="D8543" s="37"/>
      <c r="E8543" s="36"/>
      <c r="F8543" s="42"/>
      <c r="G8543" s="42"/>
      <c r="H8543" s="42"/>
      <c r="AG8543" s="19">
        <v>8542</v>
      </c>
      <c r="AH8543" s="20">
        <v>-1510.2005385613186</v>
      </c>
    </row>
    <row r="8544" spans="1:34" ht="14.5" x14ac:dyDescent="0.35">
      <c r="A8544" s="34"/>
      <c r="B8544" s="35"/>
      <c r="C8544" s="36"/>
      <c r="D8544" s="37"/>
      <c r="E8544" s="36"/>
      <c r="F8544" s="42"/>
      <c r="G8544" s="42"/>
      <c r="H8544" s="42"/>
      <c r="AG8544" s="19">
        <v>8543</v>
      </c>
      <c r="AH8544" s="20">
        <v>535.12950139366035</v>
      </c>
    </row>
    <row r="8545" spans="1:34" ht="14.5" x14ac:dyDescent="0.35">
      <c r="A8545" s="34"/>
      <c r="B8545" s="35"/>
      <c r="C8545" s="36"/>
      <c r="D8545" s="37"/>
      <c r="E8545" s="36"/>
      <c r="F8545" s="42"/>
      <c r="G8545" s="42"/>
      <c r="H8545" s="42"/>
      <c r="AG8545" s="19">
        <v>8544</v>
      </c>
      <c r="AH8545" s="20">
        <v>-1174.3135157362008</v>
      </c>
    </row>
    <row r="8546" spans="1:34" ht="14.5" x14ac:dyDescent="0.35">
      <c r="A8546" s="34"/>
      <c r="B8546" s="35"/>
      <c r="C8546" s="36"/>
      <c r="D8546" s="37"/>
      <c r="E8546" s="36"/>
      <c r="F8546" s="42"/>
      <c r="G8546" s="42"/>
      <c r="H8546" s="42"/>
      <c r="AG8546" s="19">
        <v>8545</v>
      </c>
      <c r="AH8546" s="20">
        <v>3239.4748018501209</v>
      </c>
    </row>
    <row r="8547" spans="1:34" ht="14.5" x14ac:dyDescent="0.35">
      <c r="A8547" s="34"/>
      <c r="B8547" s="35"/>
      <c r="C8547" s="36"/>
      <c r="D8547" s="37"/>
      <c r="E8547" s="36"/>
      <c r="F8547" s="42"/>
      <c r="G8547" s="42"/>
      <c r="H8547" s="42"/>
      <c r="AG8547" s="19">
        <v>8546</v>
      </c>
      <c r="AH8547" s="20">
        <v>1466.1615107416526</v>
      </c>
    </row>
    <row r="8548" spans="1:34" ht="14.5" x14ac:dyDescent="0.35">
      <c r="A8548" s="34"/>
      <c r="B8548" s="35"/>
      <c r="C8548" s="36"/>
      <c r="D8548" s="37"/>
      <c r="E8548" s="36"/>
      <c r="F8548" s="42"/>
      <c r="G8548" s="42"/>
      <c r="H8548" s="42"/>
      <c r="AG8548" s="19">
        <v>8547</v>
      </c>
      <c r="AH8548" s="20">
        <v>1865.814983391338</v>
      </c>
    </row>
    <row r="8549" spans="1:34" ht="14.5" x14ac:dyDescent="0.35">
      <c r="A8549" s="34"/>
      <c r="B8549" s="35"/>
      <c r="C8549" s="36"/>
      <c r="D8549" s="37"/>
      <c r="E8549" s="36"/>
      <c r="F8549" s="42"/>
      <c r="G8549" s="42"/>
      <c r="H8549" s="42"/>
      <c r="AG8549" s="19">
        <v>8548</v>
      </c>
      <c r="AH8549" s="20">
        <v>36.368251165872039</v>
      </c>
    </row>
    <row r="8550" spans="1:34" ht="14.5" x14ac:dyDescent="0.35">
      <c r="A8550" s="34"/>
      <c r="B8550" s="35"/>
      <c r="C8550" s="36"/>
      <c r="D8550" s="37"/>
      <c r="E8550" s="36"/>
      <c r="F8550" s="42"/>
      <c r="G8550" s="42"/>
      <c r="H8550" s="42"/>
      <c r="AG8550" s="19">
        <v>8549</v>
      </c>
      <c r="AH8550" s="20">
        <v>2530.4392987294818</v>
      </c>
    </row>
    <row r="8551" spans="1:34" ht="14.5" x14ac:dyDescent="0.35">
      <c r="A8551" s="34"/>
      <c r="B8551" s="35"/>
      <c r="C8551" s="36"/>
      <c r="D8551" s="37"/>
      <c r="E8551" s="36"/>
      <c r="F8551" s="42"/>
      <c r="G8551" s="42"/>
      <c r="H8551" s="42"/>
      <c r="AG8551" s="19">
        <v>8550</v>
      </c>
      <c r="AH8551" s="20">
        <v>2708.5360572475024</v>
      </c>
    </row>
    <row r="8552" spans="1:34" ht="14.5" x14ac:dyDescent="0.35">
      <c r="A8552" s="34"/>
      <c r="B8552" s="35"/>
      <c r="C8552" s="36"/>
      <c r="D8552" s="37"/>
      <c r="E8552" s="36"/>
      <c r="F8552" s="42"/>
      <c r="G8552" s="42"/>
      <c r="H8552" s="42"/>
      <c r="AG8552" s="19">
        <v>8551</v>
      </c>
      <c r="AH8552" s="20">
        <v>2887.7707727170359</v>
      </c>
    </row>
    <row r="8553" spans="1:34" ht="14.5" x14ac:dyDescent="0.35">
      <c r="A8553" s="34"/>
      <c r="B8553" s="35"/>
      <c r="C8553" s="36"/>
      <c r="D8553" s="37"/>
      <c r="E8553" s="36"/>
      <c r="F8553" s="42"/>
      <c r="G8553" s="42"/>
      <c r="H8553" s="42"/>
      <c r="AG8553" s="19">
        <v>8552</v>
      </c>
      <c r="AH8553" s="20">
        <v>-2398.8728263482139</v>
      </c>
    </row>
    <row r="8554" spans="1:34" ht="14.5" x14ac:dyDescent="0.35">
      <c r="A8554" s="34"/>
      <c r="B8554" s="35"/>
      <c r="C8554" s="36"/>
      <c r="D8554" s="37"/>
      <c r="E8554" s="36"/>
      <c r="F8554" s="42"/>
      <c r="G8554" s="42"/>
      <c r="H8554" s="42"/>
      <c r="AG8554" s="19">
        <v>8553</v>
      </c>
      <c r="AH8554" s="20">
        <v>-1787.0923282650012</v>
      </c>
    </row>
    <row r="8555" spans="1:34" ht="14.5" x14ac:dyDescent="0.35">
      <c r="A8555" s="34"/>
      <c r="B8555" s="35"/>
      <c r="C8555" s="36"/>
      <c r="D8555" s="37"/>
      <c r="E8555" s="36"/>
      <c r="F8555" s="42"/>
      <c r="G8555" s="42"/>
      <c r="H8555" s="42"/>
      <c r="AG8555" s="19">
        <v>8554</v>
      </c>
      <c r="AH8555" s="20">
        <v>-4813.0564398433007</v>
      </c>
    </row>
    <row r="8556" spans="1:34" ht="14.5" x14ac:dyDescent="0.35">
      <c r="A8556" s="34"/>
      <c r="B8556" s="35"/>
      <c r="C8556" s="36"/>
      <c r="D8556" s="37"/>
      <c r="E8556" s="36"/>
      <c r="F8556" s="42"/>
      <c r="G8556" s="42"/>
      <c r="H8556" s="42"/>
      <c r="AG8556" s="19">
        <v>8555</v>
      </c>
      <c r="AH8556" s="20">
        <v>-945.37996078312858</v>
      </c>
    </row>
    <row r="8557" spans="1:34" ht="14.5" x14ac:dyDescent="0.35">
      <c r="A8557" s="34"/>
      <c r="B8557" s="35"/>
      <c r="C8557" s="36"/>
      <c r="D8557" s="37"/>
      <c r="E8557" s="36"/>
      <c r="F8557" s="42"/>
      <c r="G8557" s="42"/>
      <c r="H8557" s="42"/>
      <c r="AG8557" s="19">
        <v>8556</v>
      </c>
      <c r="AH8557" s="20">
        <v>987.60098838772706</v>
      </c>
    </row>
    <row r="8558" spans="1:34" ht="14.5" x14ac:dyDescent="0.35">
      <c r="A8558" s="34"/>
      <c r="B8558" s="35"/>
      <c r="C8558" s="36"/>
      <c r="D8558" s="37"/>
      <c r="E8558" s="36"/>
      <c r="F8558" s="42"/>
      <c r="G8558" s="42"/>
      <c r="H8558" s="42"/>
      <c r="AG8558" s="19">
        <v>8557</v>
      </c>
      <c r="AH8558" s="20">
        <v>-1783.3905363345154</v>
      </c>
    </row>
    <row r="8559" spans="1:34" ht="14.5" x14ac:dyDescent="0.35">
      <c r="A8559" s="34"/>
      <c r="B8559" s="35"/>
      <c r="C8559" s="36"/>
      <c r="D8559" s="37"/>
      <c r="E8559" s="36"/>
      <c r="F8559" s="42"/>
      <c r="G8559" s="42"/>
      <c r="H8559" s="42"/>
      <c r="AG8559" s="19">
        <v>8558</v>
      </c>
      <c r="AH8559" s="20">
        <v>-1118.8684185246104</v>
      </c>
    </row>
    <row r="8560" spans="1:34" ht="14.5" x14ac:dyDescent="0.35">
      <c r="A8560" s="34"/>
      <c r="B8560" s="35"/>
      <c r="C8560" s="36"/>
      <c r="D8560" s="37"/>
      <c r="E8560" s="36"/>
      <c r="F8560" s="42"/>
      <c r="G8560" s="42"/>
      <c r="H8560" s="42"/>
      <c r="AG8560" s="19">
        <v>8559</v>
      </c>
      <c r="AH8560" s="20">
        <v>6147.9542540402454</v>
      </c>
    </row>
    <row r="8561" spans="1:34" ht="14.5" x14ac:dyDescent="0.35">
      <c r="A8561" s="34"/>
      <c r="B8561" s="35"/>
      <c r="C8561" s="36"/>
      <c r="D8561" s="37"/>
      <c r="E8561" s="36"/>
      <c r="F8561" s="42"/>
      <c r="G8561" s="42"/>
      <c r="H8561" s="42"/>
      <c r="AG8561" s="19">
        <v>8560</v>
      </c>
      <c r="AH8561" s="20">
        <v>2470.8175753667315</v>
      </c>
    </row>
    <row r="8562" spans="1:34" ht="14.5" x14ac:dyDescent="0.35">
      <c r="A8562" s="34"/>
      <c r="B8562" s="35"/>
      <c r="C8562" s="36"/>
      <c r="D8562" s="37"/>
      <c r="E8562" s="36"/>
      <c r="F8562" s="42"/>
      <c r="G8562" s="42"/>
      <c r="H8562" s="42"/>
      <c r="AG8562" s="19">
        <v>8561</v>
      </c>
      <c r="AH8562" s="20">
        <v>-2105.8143084075164</v>
      </c>
    </row>
    <row r="8563" spans="1:34" ht="14.5" x14ac:dyDescent="0.35">
      <c r="A8563" s="34"/>
      <c r="B8563" s="35"/>
      <c r="C8563" s="36"/>
      <c r="D8563" s="37"/>
      <c r="E8563" s="36"/>
      <c r="F8563" s="42"/>
      <c r="G8563" s="42"/>
      <c r="H8563" s="42"/>
      <c r="AG8563" s="19">
        <v>8562</v>
      </c>
      <c r="AH8563" s="20">
        <v>1361.0413577745294</v>
      </c>
    </row>
    <row r="8564" spans="1:34" ht="14.5" x14ac:dyDescent="0.35">
      <c r="A8564" s="34"/>
      <c r="B8564" s="35"/>
      <c r="C8564" s="36"/>
      <c r="D8564" s="37"/>
      <c r="E8564" s="36"/>
      <c r="F8564" s="42"/>
      <c r="G8564" s="42"/>
      <c r="H8564" s="42"/>
      <c r="AG8564" s="19">
        <v>8563</v>
      </c>
      <c r="AH8564" s="20">
        <v>2085.8254562550169</v>
      </c>
    </row>
    <row r="8565" spans="1:34" ht="14.5" x14ac:dyDescent="0.35">
      <c r="A8565" s="34"/>
      <c r="B8565" s="35"/>
      <c r="C8565" s="36"/>
      <c r="D8565" s="37"/>
      <c r="E8565" s="36"/>
      <c r="F8565" s="42"/>
      <c r="G8565" s="42"/>
      <c r="H8565" s="42"/>
      <c r="AG8565" s="19">
        <v>8564</v>
      </c>
      <c r="AH8565" s="20">
        <v>-929.29746043157002</v>
      </c>
    </row>
    <row r="8566" spans="1:34" ht="14.5" x14ac:dyDescent="0.35">
      <c r="A8566" s="34"/>
      <c r="B8566" s="35"/>
      <c r="C8566" s="36"/>
      <c r="D8566" s="37"/>
      <c r="E8566" s="36"/>
      <c r="F8566" s="42"/>
      <c r="G8566" s="42"/>
      <c r="H8566" s="42"/>
      <c r="AG8566" s="19">
        <v>8565</v>
      </c>
      <c r="AH8566" s="20">
        <v>5603.9538594736596</v>
      </c>
    </row>
    <row r="8567" spans="1:34" ht="14.5" x14ac:dyDescent="0.35">
      <c r="A8567" s="34"/>
      <c r="B8567" s="35"/>
      <c r="C8567" s="36"/>
      <c r="D8567" s="37"/>
      <c r="E8567" s="36"/>
      <c r="F8567" s="42"/>
      <c r="G8567" s="42"/>
      <c r="H8567" s="42"/>
      <c r="AG8567" s="19">
        <v>8566</v>
      </c>
      <c r="AH8567" s="20">
        <v>1478.2964978887794</v>
      </c>
    </row>
    <row r="8568" spans="1:34" ht="14.5" x14ac:dyDescent="0.35">
      <c r="A8568" s="34"/>
      <c r="B8568" s="35"/>
      <c r="C8568" s="36"/>
      <c r="D8568" s="37"/>
      <c r="E8568" s="36"/>
      <c r="F8568" s="42"/>
      <c r="G8568" s="42"/>
      <c r="H8568" s="42"/>
      <c r="AG8568" s="19">
        <v>8567</v>
      </c>
      <c r="AH8568" s="20">
        <v>635.81651548438708</v>
      </c>
    </row>
    <row r="8569" spans="1:34" ht="14.5" x14ac:dyDescent="0.35">
      <c r="A8569" s="34"/>
      <c r="B8569" s="35"/>
      <c r="C8569" s="36"/>
      <c r="D8569" s="37"/>
      <c r="E8569" s="36"/>
      <c r="F8569" s="42"/>
      <c r="G8569" s="42"/>
      <c r="H8569" s="42"/>
      <c r="AG8569" s="19">
        <v>8568</v>
      </c>
      <c r="AH8569" s="20">
        <v>4483.8850839646984</v>
      </c>
    </row>
    <row r="8570" spans="1:34" ht="14.5" x14ac:dyDescent="0.35">
      <c r="A8570" s="34"/>
      <c r="B8570" s="35"/>
      <c r="C8570" s="36"/>
      <c r="D8570" s="37"/>
      <c r="E8570" s="36"/>
      <c r="F8570" s="42"/>
      <c r="G8570" s="42"/>
      <c r="H8570" s="42"/>
      <c r="AG8570" s="19">
        <v>8569</v>
      </c>
      <c r="AH8570" s="20">
        <v>5136.2252066437368</v>
      </c>
    </row>
    <row r="8571" spans="1:34" ht="14.5" x14ac:dyDescent="0.35">
      <c r="A8571" s="34"/>
      <c r="B8571" s="35"/>
      <c r="C8571" s="36"/>
      <c r="D8571" s="37"/>
      <c r="E8571" s="36"/>
      <c r="F8571" s="42"/>
      <c r="G8571" s="42"/>
      <c r="H8571" s="42"/>
      <c r="AG8571" s="19">
        <v>8570</v>
      </c>
      <c r="AH8571" s="20">
        <v>1366.4032761051697</v>
      </c>
    </row>
    <row r="8572" spans="1:34" ht="14.5" x14ac:dyDescent="0.35">
      <c r="A8572" s="34"/>
      <c r="B8572" s="35"/>
      <c r="C8572" s="36"/>
      <c r="D8572" s="37"/>
      <c r="E8572" s="36"/>
      <c r="F8572" s="42"/>
      <c r="G8572" s="42"/>
      <c r="H8572" s="42"/>
      <c r="AG8572" s="19">
        <v>8571</v>
      </c>
      <c r="AH8572" s="20">
        <v>272.92953738120843</v>
      </c>
    </row>
    <row r="8573" spans="1:34" ht="14.5" x14ac:dyDescent="0.35">
      <c r="A8573" s="34"/>
      <c r="B8573" s="35"/>
      <c r="C8573" s="36"/>
      <c r="D8573" s="37"/>
      <c r="E8573" s="36"/>
      <c r="F8573" s="42"/>
      <c r="G8573" s="42"/>
      <c r="H8573" s="42"/>
      <c r="AG8573" s="19">
        <v>8572</v>
      </c>
      <c r="AH8573" s="20">
        <v>2394.850548555019</v>
      </c>
    </row>
    <row r="8574" spans="1:34" ht="14.5" x14ac:dyDescent="0.35">
      <c r="A8574" s="34"/>
      <c r="B8574" s="35"/>
      <c r="C8574" s="36"/>
      <c r="D8574" s="37"/>
      <c r="E8574" s="36"/>
      <c r="F8574" s="42"/>
      <c r="G8574" s="42"/>
      <c r="H8574" s="42"/>
      <c r="AG8574" s="19">
        <v>8573</v>
      </c>
      <c r="AH8574" s="20">
        <v>-130.81890231109304</v>
      </c>
    </row>
    <row r="8575" spans="1:34" ht="14.5" x14ac:dyDescent="0.35">
      <c r="A8575" s="34"/>
      <c r="B8575" s="35"/>
      <c r="C8575" s="36"/>
      <c r="D8575" s="37"/>
      <c r="E8575" s="36"/>
      <c r="F8575" s="42"/>
      <c r="G8575" s="42"/>
      <c r="H8575" s="42"/>
      <c r="AG8575" s="19">
        <v>8574</v>
      </c>
      <c r="AH8575" s="20">
        <v>2057.9430470894772</v>
      </c>
    </row>
    <row r="8576" spans="1:34" ht="14.5" x14ac:dyDescent="0.35">
      <c r="A8576" s="34"/>
      <c r="B8576" s="35"/>
      <c r="C8576" s="36"/>
      <c r="D8576" s="37"/>
      <c r="E8576" s="36"/>
      <c r="F8576" s="42"/>
      <c r="G8576" s="42"/>
      <c r="H8576" s="42"/>
      <c r="AG8576" s="19">
        <v>8575</v>
      </c>
      <c r="AH8576" s="20">
        <v>-442.03197390123563</v>
      </c>
    </row>
    <row r="8577" spans="1:34" ht="14.5" x14ac:dyDescent="0.35">
      <c r="A8577" s="34"/>
      <c r="B8577" s="35"/>
      <c r="C8577" s="36"/>
      <c r="D8577" s="37"/>
      <c r="E8577" s="36"/>
      <c r="F8577" s="42"/>
      <c r="G8577" s="42"/>
      <c r="H8577" s="42"/>
      <c r="AG8577" s="19">
        <v>8576</v>
      </c>
      <c r="AH8577" s="20">
        <v>897.07146500120371</v>
      </c>
    </row>
    <row r="8578" spans="1:34" ht="14.5" x14ac:dyDescent="0.35">
      <c r="A8578" s="34"/>
      <c r="B8578" s="35"/>
      <c r="C8578" s="36"/>
      <c r="D8578" s="37"/>
      <c r="E8578" s="36"/>
      <c r="F8578" s="42"/>
      <c r="G8578" s="42"/>
      <c r="H8578" s="42"/>
      <c r="AG8578" s="19">
        <v>8577</v>
      </c>
      <c r="AH8578" s="20">
        <v>797.74730965630818</v>
      </c>
    </row>
    <row r="8579" spans="1:34" ht="14.5" x14ac:dyDescent="0.35">
      <c r="A8579" s="34"/>
      <c r="B8579" s="35"/>
      <c r="C8579" s="36"/>
      <c r="D8579" s="37"/>
      <c r="E8579" s="36"/>
      <c r="F8579" s="42"/>
      <c r="G8579" s="42"/>
      <c r="H8579" s="42"/>
      <c r="AG8579" s="19">
        <v>8578</v>
      </c>
      <c r="AH8579" s="20">
        <v>-5022.5337170437388</v>
      </c>
    </row>
    <row r="8580" spans="1:34" ht="14.5" x14ac:dyDescent="0.35">
      <c r="A8580" s="34"/>
      <c r="B8580" s="35"/>
      <c r="C8580" s="36"/>
      <c r="D8580" s="37"/>
      <c r="E8580" s="36"/>
      <c r="F8580" s="42"/>
      <c r="G8580" s="42"/>
      <c r="H8580" s="42"/>
      <c r="AG8580" s="19">
        <v>8579</v>
      </c>
      <c r="AH8580" s="20">
        <v>1908.4216670882431</v>
      </c>
    </row>
    <row r="8581" spans="1:34" ht="14.5" x14ac:dyDescent="0.35">
      <c r="A8581" s="34"/>
      <c r="B8581" s="35"/>
      <c r="C8581" s="36"/>
      <c r="D8581" s="37"/>
      <c r="E8581" s="36"/>
      <c r="F8581" s="42"/>
      <c r="G8581" s="42"/>
      <c r="H8581" s="42"/>
      <c r="AG8581" s="19">
        <v>8580</v>
      </c>
      <c r="AH8581" s="20">
        <v>-1516.0669230335673</v>
      </c>
    </row>
    <row r="8582" spans="1:34" ht="14.5" x14ac:dyDescent="0.35">
      <c r="A8582" s="34"/>
      <c r="B8582" s="35"/>
      <c r="C8582" s="36"/>
      <c r="D8582" s="37"/>
      <c r="E8582" s="36"/>
      <c r="F8582" s="42"/>
      <c r="G8582" s="42"/>
      <c r="H8582" s="42"/>
      <c r="AG8582" s="19">
        <v>8581</v>
      </c>
      <c r="AH8582" s="20">
        <v>-3548.0257366062888</v>
      </c>
    </row>
    <row r="8583" spans="1:34" ht="14.5" x14ac:dyDescent="0.35">
      <c r="A8583" s="34"/>
      <c r="B8583" s="35"/>
      <c r="C8583" s="36"/>
      <c r="D8583" s="37"/>
      <c r="E8583" s="36"/>
      <c r="F8583" s="42"/>
      <c r="G8583" s="42"/>
      <c r="H8583" s="42"/>
      <c r="AG8583" s="19">
        <v>8582</v>
      </c>
      <c r="AH8583" s="20">
        <v>3194.9991820165019</v>
      </c>
    </row>
    <row r="8584" spans="1:34" ht="14.5" x14ac:dyDescent="0.35">
      <c r="A8584" s="34"/>
      <c r="B8584" s="35"/>
      <c r="C8584" s="36"/>
      <c r="D8584" s="37"/>
      <c r="E8584" s="36"/>
      <c r="F8584" s="42"/>
      <c r="G8584" s="42"/>
      <c r="H8584" s="42"/>
      <c r="AG8584" s="19">
        <v>8583</v>
      </c>
      <c r="AH8584" s="20">
        <v>557.90539325895213</v>
      </c>
    </row>
    <row r="8585" spans="1:34" ht="14.5" x14ac:dyDescent="0.35">
      <c r="A8585" s="34"/>
      <c r="B8585" s="35"/>
      <c r="C8585" s="36"/>
      <c r="D8585" s="37"/>
      <c r="E8585" s="36"/>
      <c r="F8585" s="42"/>
      <c r="G8585" s="42"/>
      <c r="H8585" s="42"/>
      <c r="AG8585" s="19">
        <v>8584</v>
      </c>
      <c r="AH8585" s="20">
        <v>2531.7255766373205</v>
      </c>
    </row>
    <row r="8586" spans="1:34" ht="14.5" x14ac:dyDescent="0.35">
      <c r="A8586" s="34"/>
      <c r="B8586" s="35"/>
      <c r="C8586" s="36"/>
      <c r="D8586" s="37"/>
      <c r="E8586" s="36"/>
      <c r="F8586" s="42"/>
      <c r="G8586" s="42"/>
      <c r="H8586" s="42"/>
      <c r="AG8586" s="19">
        <v>8585</v>
      </c>
      <c r="AH8586" s="20">
        <v>-638.14818308328722</v>
      </c>
    </row>
    <row r="8587" spans="1:34" ht="14.5" x14ac:dyDescent="0.35">
      <c r="A8587" s="34"/>
      <c r="B8587" s="35"/>
      <c r="C8587" s="36"/>
      <c r="D8587" s="37"/>
      <c r="E8587" s="36"/>
      <c r="F8587" s="42"/>
      <c r="G8587" s="42"/>
      <c r="H8587" s="42"/>
      <c r="AG8587" s="19">
        <v>8586</v>
      </c>
      <c r="AH8587" s="20">
        <v>-914.7809886259563</v>
      </c>
    </row>
    <row r="8588" spans="1:34" ht="14.5" x14ac:dyDescent="0.35">
      <c r="A8588" s="34"/>
      <c r="B8588" s="35"/>
      <c r="C8588" s="36"/>
      <c r="D8588" s="37"/>
      <c r="E8588" s="36"/>
      <c r="F8588" s="42"/>
      <c r="G8588" s="42"/>
      <c r="H8588" s="42"/>
      <c r="AG8588" s="19">
        <v>8587</v>
      </c>
      <c r="AH8588" s="20">
        <v>2342.3527378356348</v>
      </c>
    </row>
    <row r="8589" spans="1:34" ht="14.5" x14ac:dyDescent="0.35">
      <c r="A8589" s="34"/>
      <c r="B8589" s="35"/>
      <c r="C8589" s="36"/>
      <c r="D8589" s="37"/>
      <c r="E8589" s="36"/>
      <c r="F8589" s="42"/>
      <c r="G8589" s="42"/>
      <c r="H8589" s="42"/>
      <c r="AG8589" s="19">
        <v>8588</v>
      </c>
      <c r="AH8589" s="20">
        <v>3577.5714354178931</v>
      </c>
    </row>
    <row r="8590" spans="1:34" ht="14.5" x14ac:dyDescent="0.35">
      <c r="A8590" s="34"/>
      <c r="B8590" s="35"/>
      <c r="C8590" s="36"/>
      <c r="D8590" s="37"/>
      <c r="E8590" s="36"/>
      <c r="F8590" s="42"/>
      <c r="G8590" s="42"/>
      <c r="H8590" s="42"/>
      <c r="AG8590" s="19">
        <v>8589</v>
      </c>
      <c r="AH8590" s="20">
        <v>-1726.3954129334718</v>
      </c>
    </row>
    <row r="8591" spans="1:34" ht="14.5" x14ac:dyDescent="0.35">
      <c r="A8591" s="34"/>
      <c r="B8591" s="35"/>
      <c r="C8591" s="36"/>
      <c r="D8591" s="37"/>
      <c r="E8591" s="36"/>
      <c r="F8591" s="42"/>
      <c r="G8591" s="42"/>
      <c r="H8591" s="42"/>
      <c r="AG8591" s="19">
        <v>8590</v>
      </c>
      <c r="AH8591" s="20">
        <v>-2637.1734259674163</v>
      </c>
    </row>
    <row r="8592" spans="1:34" ht="14.5" x14ac:dyDescent="0.35">
      <c r="A8592" s="34"/>
      <c r="B8592" s="35"/>
      <c r="C8592" s="36"/>
      <c r="D8592" s="37"/>
      <c r="E8592" s="36"/>
      <c r="F8592" s="42"/>
      <c r="G8592" s="42"/>
      <c r="H8592" s="42"/>
      <c r="AG8592" s="19">
        <v>8591</v>
      </c>
      <c r="AH8592" s="20">
        <v>1005.5696201420012</v>
      </c>
    </row>
    <row r="8593" spans="1:34" ht="14.5" x14ac:dyDescent="0.35">
      <c r="A8593" s="34"/>
      <c r="B8593" s="35"/>
      <c r="C8593" s="36"/>
      <c r="D8593" s="37"/>
      <c r="E8593" s="36"/>
      <c r="F8593" s="42"/>
      <c r="G8593" s="42"/>
      <c r="H8593" s="42"/>
      <c r="AG8593" s="19">
        <v>8592</v>
      </c>
      <c r="AH8593" s="20">
        <v>3514.2978494609847</v>
      </c>
    </row>
    <row r="8594" spans="1:34" ht="14.5" x14ac:dyDescent="0.35">
      <c r="A8594" s="34"/>
      <c r="B8594" s="35"/>
      <c r="C8594" s="36"/>
      <c r="D8594" s="37"/>
      <c r="E8594" s="36"/>
      <c r="F8594" s="42"/>
      <c r="G8594" s="42"/>
      <c r="H8594" s="42"/>
      <c r="AG8594" s="19">
        <v>8593</v>
      </c>
      <c r="AH8594" s="20">
        <v>-793.6429380744471</v>
      </c>
    </row>
    <row r="8595" spans="1:34" ht="14.5" x14ac:dyDescent="0.35">
      <c r="A8595" s="34"/>
      <c r="B8595" s="35"/>
      <c r="C8595" s="36"/>
      <c r="D8595" s="37"/>
      <c r="E8595" s="36"/>
      <c r="F8595" s="42"/>
      <c r="G8595" s="42"/>
      <c r="H8595" s="42"/>
      <c r="AG8595" s="19">
        <v>8594</v>
      </c>
      <c r="AH8595" s="20">
        <v>536.51796089767902</v>
      </c>
    </row>
    <row r="8596" spans="1:34" ht="14.5" x14ac:dyDescent="0.35">
      <c r="A8596" s="34"/>
      <c r="B8596" s="35"/>
      <c r="C8596" s="36"/>
      <c r="D8596" s="37"/>
      <c r="E8596" s="36"/>
      <c r="F8596" s="42"/>
      <c r="G8596" s="42"/>
      <c r="H8596" s="42"/>
      <c r="AG8596" s="19">
        <v>8595</v>
      </c>
      <c r="AH8596" s="20">
        <v>3647.7321187027378</v>
      </c>
    </row>
    <row r="8597" spans="1:34" ht="14.5" x14ac:dyDescent="0.35">
      <c r="A8597" s="34"/>
      <c r="B8597" s="35"/>
      <c r="C8597" s="36"/>
      <c r="D8597" s="37"/>
      <c r="E8597" s="36"/>
      <c r="F8597" s="42"/>
      <c r="G8597" s="42"/>
      <c r="H8597" s="42"/>
      <c r="AG8597" s="19">
        <v>8596</v>
      </c>
      <c r="AH8597" s="20">
        <v>669.71646762651244</v>
      </c>
    </row>
    <row r="8598" spans="1:34" ht="14.5" x14ac:dyDescent="0.35">
      <c r="A8598" s="34"/>
      <c r="B8598" s="35"/>
      <c r="C8598" s="36"/>
      <c r="D8598" s="37"/>
      <c r="E8598" s="36"/>
      <c r="F8598" s="42"/>
      <c r="G8598" s="42"/>
      <c r="H8598" s="42"/>
      <c r="AG8598" s="19">
        <v>8597</v>
      </c>
      <c r="AH8598" s="20">
        <v>928.08332829048754</v>
      </c>
    </row>
    <row r="8599" spans="1:34" ht="14.5" x14ac:dyDescent="0.35">
      <c r="A8599" s="34"/>
      <c r="B8599" s="35"/>
      <c r="C8599" s="36"/>
      <c r="D8599" s="37"/>
      <c r="E8599" s="36"/>
      <c r="F8599" s="42"/>
      <c r="G8599" s="42"/>
      <c r="H8599" s="42"/>
      <c r="AG8599" s="19">
        <v>8598</v>
      </c>
      <c r="AH8599" s="20">
        <v>-2057.8313855902938</v>
      </c>
    </row>
    <row r="8600" spans="1:34" ht="14.5" x14ac:dyDescent="0.35">
      <c r="A8600" s="34"/>
      <c r="B8600" s="35"/>
      <c r="C8600" s="36"/>
      <c r="D8600" s="37"/>
      <c r="E8600" s="36"/>
      <c r="F8600" s="42"/>
      <c r="G8600" s="42"/>
      <c r="H8600" s="42"/>
      <c r="AG8600" s="19">
        <v>8599</v>
      </c>
      <c r="AH8600" s="20">
        <v>-1866.7599695804558</v>
      </c>
    </row>
    <row r="8601" spans="1:34" ht="14.5" x14ac:dyDescent="0.35">
      <c r="A8601" s="34"/>
      <c r="B8601" s="35"/>
      <c r="C8601" s="36"/>
      <c r="D8601" s="37"/>
      <c r="E8601" s="36"/>
      <c r="F8601" s="42"/>
      <c r="G8601" s="42"/>
      <c r="H8601" s="42"/>
      <c r="AG8601" s="19">
        <v>8600</v>
      </c>
      <c r="AH8601" s="20">
        <v>-379.23635603078611</v>
      </c>
    </row>
    <row r="8602" spans="1:34" ht="14.5" x14ac:dyDescent="0.35">
      <c r="A8602" s="34"/>
      <c r="B8602" s="35"/>
      <c r="C8602" s="36"/>
      <c r="D8602" s="37"/>
      <c r="E8602" s="36"/>
      <c r="F8602" s="42"/>
      <c r="G8602" s="42"/>
      <c r="H8602" s="42"/>
      <c r="AG8602" s="19">
        <v>8601</v>
      </c>
      <c r="AH8602" s="20">
        <v>-2356.9938161306882</v>
      </c>
    </row>
    <row r="8603" spans="1:34" ht="14.5" x14ac:dyDescent="0.35">
      <c r="A8603" s="34"/>
      <c r="B8603" s="35"/>
      <c r="C8603" s="36"/>
      <c r="D8603" s="37"/>
      <c r="E8603" s="36"/>
      <c r="F8603" s="42"/>
      <c r="G8603" s="42"/>
      <c r="H8603" s="42"/>
      <c r="AG8603" s="19">
        <v>8602</v>
      </c>
      <c r="AH8603" s="20">
        <v>-1233.1851232026017</v>
      </c>
    </row>
    <row r="8604" spans="1:34" ht="14.5" x14ac:dyDescent="0.35">
      <c r="A8604" s="34"/>
      <c r="B8604" s="35"/>
      <c r="C8604" s="36"/>
      <c r="D8604" s="37"/>
      <c r="E8604" s="36"/>
      <c r="F8604" s="42"/>
      <c r="G8604" s="42"/>
      <c r="H8604" s="42"/>
      <c r="AG8604" s="19">
        <v>8603</v>
      </c>
      <c r="AH8604" s="20">
        <v>-1177.2377453724293</v>
      </c>
    </row>
    <row r="8605" spans="1:34" ht="14.5" x14ac:dyDescent="0.35">
      <c r="A8605" s="34"/>
      <c r="B8605" s="35"/>
      <c r="C8605" s="36"/>
      <c r="D8605" s="37"/>
      <c r="E8605" s="36"/>
      <c r="F8605" s="42"/>
      <c r="G8605" s="42"/>
      <c r="H8605" s="42"/>
      <c r="AG8605" s="19">
        <v>8604</v>
      </c>
      <c r="AH8605" s="20">
        <v>-2034.8233349663467</v>
      </c>
    </row>
    <row r="8606" spans="1:34" ht="14.5" x14ac:dyDescent="0.35">
      <c r="A8606" s="34"/>
      <c r="B8606" s="35"/>
      <c r="C8606" s="36"/>
      <c r="D8606" s="37"/>
      <c r="E8606" s="36"/>
      <c r="F8606" s="42"/>
      <c r="G8606" s="42"/>
      <c r="H8606" s="42"/>
      <c r="AG8606" s="19">
        <v>8605</v>
      </c>
      <c r="AH8606" s="20">
        <v>5126.8752305592934</v>
      </c>
    </row>
    <row r="8607" spans="1:34" ht="14.5" x14ac:dyDescent="0.35">
      <c r="A8607" s="34"/>
      <c r="B8607" s="35"/>
      <c r="C8607" s="36"/>
      <c r="D8607" s="37"/>
      <c r="E8607" s="36"/>
      <c r="F8607" s="42"/>
      <c r="G8607" s="42"/>
      <c r="H8607" s="42"/>
      <c r="AG8607" s="19">
        <v>8606</v>
      </c>
      <c r="AH8607" s="20">
        <v>1613.1691892274812</v>
      </c>
    </row>
    <row r="8608" spans="1:34" ht="14.5" x14ac:dyDescent="0.35">
      <c r="A8608" s="34"/>
      <c r="B8608" s="35"/>
      <c r="C8608" s="36"/>
      <c r="D8608" s="37"/>
      <c r="E8608" s="36"/>
      <c r="F8608" s="42"/>
      <c r="G8608" s="42"/>
      <c r="H8608" s="42"/>
      <c r="AG8608" s="19">
        <v>8607</v>
      </c>
      <c r="AH8608" s="20">
        <v>-1112.920603066415</v>
      </c>
    </row>
    <row r="8609" spans="1:34" ht="14.5" x14ac:dyDescent="0.35">
      <c r="A8609" s="34"/>
      <c r="B8609" s="35"/>
      <c r="C8609" s="36"/>
      <c r="D8609" s="37"/>
      <c r="E8609" s="36"/>
      <c r="F8609" s="42"/>
      <c r="G8609" s="42"/>
      <c r="H8609" s="42"/>
      <c r="AG8609" s="19">
        <v>8608</v>
      </c>
      <c r="AH8609" s="20">
        <v>1757.806333206056</v>
      </c>
    </row>
    <row r="8610" spans="1:34" ht="14.5" x14ac:dyDescent="0.35">
      <c r="A8610" s="34"/>
      <c r="B8610" s="35"/>
      <c r="C8610" s="36"/>
      <c r="D8610" s="37"/>
      <c r="E8610" s="36"/>
      <c r="F8610" s="42"/>
      <c r="G8610" s="42"/>
      <c r="H8610" s="42"/>
      <c r="AG8610" s="19">
        <v>8609</v>
      </c>
      <c r="AH8610" s="20">
        <v>-779.92224503340071</v>
      </c>
    </row>
    <row r="8611" spans="1:34" ht="14.5" x14ac:dyDescent="0.35">
      <c r="A8611" s="34"/>
      <c r="B8611" s="35"/>
      <c r="C8611" s="36"/>
      <c r="D8611" s="37"/>
      <c r="E8611" s="36"/>
      <c r="F8611" s="42"/>
      <c r="G8611" s="42"/>
      <c r="H8611" s="42"/>
      <c r="AG8611" s="19">
        <v>8610</v>
      </c>
      <c r="AH8611" s="20">
        <v>1908.3161042296306</v>
      </c>
    </row>
    <row r="8612" spans="1:34" ht="14.5" x14ac:dyDescent="0.35">
      <c r="A8612" s="34"/>
      <c r="B8612" s="35"/>
      <c r="C8612" s="36"/>
      <c r="D8612" s="37"/>
      <c r="E8612" s="36"/>
      <c r="F8612" s="42"/>
      <c r="G8612" s="42"/>
      <c r="H8612" s="42"/>
      <c r="AG8612" s="19">
        <v>8611</v>
      </c>
      <c r="AH8612" s="20">
        <v>1553.7679419559352</v>
      </c>
    </row>
    <row r="8613" spans="1:34" ht="14.5" x14ac:dyDescent="0.35">
      <c r="A8613" s="34"/>
      <c r="B8613" s="35"/>
      <c r="C8613" s="36"/>
      <c r="D8613" s="37"/>
      <c r="E8613" s="36"/>
      <c r="F8613" s="42"/>
      <c r="G8613" s="42"/>
      <c r="H8613" s="42"/>
      <c r="AG8613" s="19">
        <v>8612</v>
      </c>
      <c r="AH8613" s="20">
        <v>1352.3430228967779</v>
      </c>
    </row>
    <row r="8614" spans="1:34" ht="14.5" x14ac:dyDescent="0.35">
      <c r="A8614" s="34"/>
      <c r="B8614" s="35"/>
      <c r="C8614" s="36"/>
      <c r="D8614" s="37"/>
      <c r="E8614" s="36"/>
      <c r="F8614" s="42"/>
      <c r="G8614" s="42"/>
      <c r="H8614" s="42"/>
      <c r="AG8614" s="19">
        <v>8613</v>
      </c>
      <c r="AH8614" s="20">
        <v>1143.9858747286485</v>
      </c>
    </row>
    <row r="8615" spans="1:34" ht="14.5" x14ac:dyDescent="0.35">
      <c r="A8615" s="34"/>
      <c r="B8615" s="35"/>
      <c r="C8615" s="36"/>
      <c r="D8615" s="37"/>
      <c r="E8615" s="36"/>
      <c r="F8615" s="42"/>
      <c r="G8615" s="42"/>
      <c r="H8615" s="42"/>
      <c r="AG8615" s="19">
        <v>8614</v>
      </c>
      <c r="AH8615" s="20">
        <v>-928.26011714440028</v>
      </c>
    </row>
    <row r="8616" spans="1:34" ht="14.5" x14ac:dyDescent="0.35">
      <c r="A8616" s="34"/>
      <c r="B8616" s="35"/>
      <c r="C8616" s="36"/>
      <c r="D8616" s="37"/>
      <c r="E8616" s="36"/>
      <c r="F8616" s="42"/>
      <c r="G8616" s="42"/>
      <c r="H8616" s="42"/>
      <c r="AG8616" s="19">
        <v>8615</v>
      </c>
      <c r="AH8616" s="20">
        <v>995.6970713333933</v>
      </c>
    </row>
    <row r="8617" spans="1:34" ht="14.5" x14ac:dyDescent="0.35">
      <c r="A8617" s="34"/>
      <c r="B8617" s="35"/>
      <c r="C8617" s="36"/>
      <c r="D8617" s="37"/>
      <c r="E8617" s="36"/>
      <c r="F8617" s="42"/>
      <c r="G8617" s="42"/>
      <c r="H8617" s="42"/>
      <c r="AG8617" s="19">
        <v>8616</v>
      </c>
      <c r="AH8617" s="20">
        <v>-3776.6372446397891</v>
      </c>
    </row>
    <row r="8618" spans="1:34" ht="14.5" x14ac:dyDescent="0.35">
      <c r="A8618" s="34"/>
      <c r="B8618" s="35"/>
      <c r="C8618" s="36"/>
      <c r="D8618" s="37"/>
      <c r="E8618" s="36"/>
      <c r="F8618" s="42"/>
      <c r="G8618" s="42"/>
      <c r="H8618" s="42"/>
      <c r="AG8618" s="19">
        <v>8617</v>
      </c>
      <c r="AH8618" s="20">
        <v>3266.7323170656459</v>
      </c>
    </row>
    <row r="8619" spans="1:34" ht="14.5" x14ac:dyDescent="0.35">
      <c r="A8619" s="34"/>
      <c r="B8619" s="35"/>
      <c r="C8619" s="36"/>
      <c r="D8619" s="37"/>
      <c r="E8619" s="36"/>
      <c r="F8619" s="42"/>
      <c r="G8619" s="42"/>
      <c r="H8619" s="42"/>
      <c r="AG8619" s="19">
        <v>8618</v>
      </c>
      <c r="AH8619" s="20">
        <v>858.45701590106728</v>
      </c>
    </row>
    <row r="8620" spans="1:34" ht="14.5" x14ac:dyDescent="0.35">
      <c r="A8620" s="34"/>
      <c r="B8620" s="35"/>
      <c r="C8620" s="36"/>
      <c r="D8620" s="37"/>
      <c r="E8620" s="36"/>
      <c r="F8620" s="42"/>
      <c r="G8620" s="42"/>
      <c r="H8620" s="42"/>
      <c r="AG8620" s="19">
        <v>8619</v>
      </c>
      <c r="AH8620" s="20">
        <v>2100.8607475815379</v>
      </c>
    </row>
    <row r="8621" spans="1:34" ht="14.5" x14ac:dyDescent="0.35">
      <c r="A8621" s="34"/>
      <c r="B8621" s="35"/>
      <c r="C8621" s="36"/>
      <c r="D8621" s="37"/>
      <c r="E8621" s="36"/>
      <c r="F8621" s="42"/>
      <c r="G8621" s="42"/>
      <c r="H8621" s="42"/>
      <c r="AG8621" s="19">
        <v>8620</v>
      </c>
      <c r="AH8621" s="20">
        <v>-2394.1464209660967</v>
      </c>
    </row>
    <row r="8622" spans="1:34" ht="14.5" x14ac:dyDescent="0.35">
      <c r="A8622" s="34"/>
      <c r="B8622" s="35"/>
      <c r="C8622" s="36"/>
      <c r="D8622" s="37"/>
      <c r="E8622" s="36"/>
      <c r="F8622" s="42"/>
      <c r="G8622" s="42"/>
      <c r="H8622" s="42"/>
      <c r="AG8622" s="19">
        <v>8621</v>
      </c>
      <c r="AH8622" s="20">
        <v>-2630.6623103050429</v>
      </c>
    </row>
    <row r="8623" spans="1:34" ht="14.5" x14ac:dyDescent="0.35">
      <c r="A8623" s="34"/>
      <c r="B8623" s="35"/>
      <c r="C8623" s="36"/>
      <c r="D8623" s="37"/>
      <c r="E8623" s="36"/>
      <c r="F8623" s="42"/>
      <c r="G8623" s="42"/>
      <c r="H8623" s="42"/>
      <c r="AG8623" s="19">
        <v>8622</v>
      </c>
      <c r="AH8623" s="20">
        <v>-3451.3789742187309</v>
      </c>
    </row>
    <row r="8624" spans="1:34" ht="14.5" x14ac:dyDescent="0.35">
      <c r="A8624" s="34"/>
      <c r="B8624" s="35"/>
      <c r="C8624" s="36"/>
      <c r="D8624" s="37"/>
      <c r="E8624" s="36"/>
      <c r="F8624" s="42"/>
      <c r="G8624" s="42"/>
      <c r="H8624" s="42"/>
      <c r="AG8624" s="19">
        <v>8623</v>
      </c>
      <c r="AH8624" s="20">
        <v>-1848.1845768872411</v>
      </c>
    </row>
    <row r="8625" spans="1:34" ht="14.5" x14ac:dyDescent="0.35">
      <c r="A8625" s="34"/>
      <c r="B8625" s="35"/>
      <c r="C8625" s="36"/>
      <c r="D8625" s="37"/>
      <c r="E8625" s="36"/>
      <c r="F8625" s="42"/>
      <c r="G8625" s="42"/>
      <c r="H8625" s="42"/>
      <c r="AG8625" s="19">
        <v>8624</v>
      </c>
      <c r="AH8625" s="20">
        <v>3807.8964750056957</v>
      </c>
    </row>
    <row r="8626" spans="1:34" ht="14.5" x14ac:dyDescent="0.35">
      <c r="A8626" s="34"/>
      <c r="B8626" s="35"/>
      <c r="C8626" s="36"/>
      <c r="D8626" s="37"/>
      <c r="E8626" s="36"/>
      <c r="F8626" s="42"/>
      <c r="G8626" s="42"/>
      <c r="H8626" s="42"/>
      <c r="AG8626" s="19">
        <v>8625</v>
      </c>
      <c r="AH8626" s="20">
        <v>-826.22784921341236</v>
      </c>
    </row>
    <row r="8627" spans="1:34" ht="14.5" x14ac:dyDescent="0.35">
      <c r="A8627" s="34"/>
      <c r="B8627" s="35"/>
      <c r="C8627" s="36"/>
      <c r="D8627" s="37"/>
      <c r="E8627" s="36"/>
      <c r="F8627" s="42"/>
      <c r="G8627" s="42"/>
      <c r="H8627" s="42"/>
      <c r="AG8627" s="19">
        <v>8626</v>
      </c>
      <c r="AH8627" s="20">
        <v>622.63906763677721</v>
      </c>
    </row>
    <row r="8628" spans="1:34" ht="14.5" x14ac:dyDescent="0.35">
      <c r="A8628" s="34"/>
      <c r="B8628" s="35"/>
      <c r="C8628" s="36"/>
      <c r="D8628" s="37"/>
      <c r="E8628" s="36"/>
      <c r="F8628" s="42"/>
      <c r="G8628" s="42"/>
      <c r="H8628" s="42"/>
      <c r="AG8628" s="19">
        <v>8627</v>
      </c>
      <c r="AH8628" s="20">
        <v>-181.44580545954597</v>
      </c>
    </row>
    <row r="8629" spans="1:34" ht="14.5" x14ac:dyDescent="0.35">
      <c r="A8629" s="34"/>
      <c r="B8629" s="35"/>
      <c r="C8629" s="36"/>
      <c r="D8629" s="37"/>
      <c r="E8629" s="36"/>
      <c r="F8629" s="42"/>
      <c r="G8629" s="42"/>
      <c r="H8629" s="42"/>
      <c r="AG8629" s="19">
        <v>8628</v>
      </c>
      <c r="AH8629" s="20">
        <v>-1273.9411223325174</v>
      </c>
    </row>
    <row r="8630" spans="1:34" ht="14.5" x14ac:dyDescent="0.35">
      <c r="A8630" s="34"/>
      <c r="B8630" s="35"/>
      <c r="C8630" s="36"/>
      <c r="D8630" s="37"/>
      <c r="E8630" s="36"/>
      <c r="F8630" s="42"/>
      <c r="G8630" s="42"/>
      <c r="H8630" s="42"/>
      <c r="AG8630" s="19">
        <v>8629</v>
      </c>
      <c r="AH8630" s="20">
        <v>-1052.5128951348427</v>
      </c>
    </row>
    <row r="8631" spans="1:34" ht="14.5" x14ac:dyDescent="0.35">
      <c r="A8631" s="34"/>
      <c r="B8631" s="35"/>
      <c r="C8631" s="36"/>
      <c r="D8631" s="37"/>
      <c r="E8631" s="36"/>
      <c r="F8631" s="42"/>
      <c r="G8631" s="42"/>
      <c r="H8631" s="42"/>
      <c r="AG8631" s="19">
        <v>8630</v>
      </c>
      <c r="AH8631" s="20">
        <v>1295.0004554991483</v>
      </c>
    </row>
    <row r="8632" spans="1:34" ht="14.5" x14ac:dyDescent="0.35">
      <c r="A8632" s="34"/>
      <c r="B8632" s="35"/>
      <c r="C8632" s="36"/>
      <c r="D8632" s="37"/>
      <c r="E8632" s="36"/>
      <c r="F8632" s="42"/>
      <c r="G8632" s="42"/>
      <c r="H8632" s="42"/>
      <c r="AG8632" s="19">
        <v>8631</v>
      </c>
      <c r="AH8632" s="20">
        <v>-2634.6780284477436</v>
      </c>
    </row>
    <row r="8633" spans="1:34" ht="14.5" x14ac:dyDescent="0.35">
      <c r="A8633" s="34"/>
      <c r="B8633" s="35"/>
      <c r="C8633" s="36"/>
      <c r="D8633" s="37"/>
      <c r="E8633" s="36"/>
      <c r="F8633" s="42"/>
      <c r="G8633" s="42"/>
      <c r="H8633" s="42"/>
      <c r="AG8633" s="19">
        <v>8632</v>
      </c>
      <c r="AH8633" s="20">
        <v>2407.0239911125695</v>
      </c>
    </row>
    <row r="8634" spans="1:34" ht="14.5" x14ac:dyDescent="0.35">
      <c r="A8634" s="34"/>
      <c r="B8634" s="35"/>
      <c r="C8634" s="36"/>
      <c r="D8634" s="37"/>
      <c r="E8634" s="36"/>
      <c r="F8634" s="42"/>
      <c r="G8634" s="42"/>
      <c r="H8634" s="42"/>
      <c r="AG8634" s="19">
        <v>8633</v>
      </c>
      <c r="AH8634" s="20">
        <v>-599.01206184697617</v>
      </c>
    </row>
    <row r="8635" spans="1:34" ht="14.5" x14ac:dyDescent="0.35">
      <c r="A8635" s="34"/>
      <c r="B8635" s="35"/>
      <c r="C8635" s="36"/>
      <c r="D8635" s="37"/>
      <c r="E8635" s="36"/>
      <c r="F8635" s="42"/>
      <c r="G8635" s="42"/>
      <c r="H8635" s="42"/>
      <c r="AG8635" s="19">
        <v>8634</v>
      </c>
      <c r="AH8635" s="20">
        <v>2432.9807141200627</v>
      </c>
    </row>
    <row r="8636" spans="1:34" ht="14.5" x14ac:dyDescent="0.35">
      <c r="A8636" s="34"/>
      <c r="B8636" s="35"/>
      <c r="C8636" s="36"/>
      <c r="D8636" s="37"/>
      <c r="E8636" s="36"/>
      <c r="F8636" s="42"/>
      <c r="G8636" s="42"/>
      <c r="H8636" s="42"/>
      <c r="AG8636" s="19">
        <v>8635</v>
      </c>
      <c r="AH8636" s="20">
        <v>-741.53398796707575</v>
      </c>
    </row>
    <row r="8637" spans="1:34" ht="14.5" x14ac:dyDescent="0.35">
      <c r="A8637" s="34"/>
      <c r="B8637" s="35"/>
      <c r="C8637" s="36"/>
      <c r="D8637" s="37"/>
      <c r="E8637" s="36"/>
      <c r="F8637" s="42"/>
      <c r="G8637" s="42"/>
      <c r="H8637" s="42"/>
      <c r="AG8637" s="19">
        <v>8636</v>
      </c>
      <c r="AH8637" s="20">
        <v>617.94943791071842</v>
      </c>
    </row>
    <row r="8638" spans="1:34" ht="14.5" x14ac:dyDescent="0.35">
      <c r="A8638" s="34"/>
      <c r="B8638" s="35"/>
      <c r="C8638" s="36"/>
      <c r="D8638" s="37"/>
      <c r="E8638" s="36"/>
      <c r="F8638" s="42"/>
      <c r="G8638" s="42"/>
      <c r="H8638" s="42"/>
      <c r="AG8638" s="19">
        <v>8637</v>
      </c>
      <c r="AH8638" s="20">
        <v>1465.1431346093721</v>
      </c>
    </row>
    <row r="8639" spans="1:34" ht="14.5" x14ac:dyDescent="0.35">
      <c r="A8639" s="34"/>
      <c r="B8639" s="35"/>
      <c r="C8639" s="36"/>
      <c r="D8639" s="37"/>
      <c r="E8639" s="36"/>
      <c r="F8639" s="42"/>
      <c r="G8639" s="42"/>
      <c r="H8639" s="42"/>
      <c r="AG8639" s="19">
        <v>8638</v>
      </c>
      <c r="AH8639" s="20">
        <v>422.1297141023868</v>
      </c>
    </row>
    <row r="8640" spans="1:34" ht="14.5" x14ac:dyDescent="0.35">
      <c r="A8640" s="34"/>
      <c r="B8640" s="35"/>
      <c r="C8640" s="36"/>
      <c r="D8640" s="37"/>
      <c r="E8640" s="36"/>
      <c r="F8640" s="42"/>
      <c r="G8640" s="42"/>
      <c r="H8640" s="42"/>
      <c r="AG8640" s="19">
        <v>8639</v>
      </c>
      <c r="AH8640" s="20">
        <v>-2865.3232921522085</v>
      </c>
    </row>
    <row r="8641" spans="1:34" ht="14.5" x14ac:dyDescent="0.35">
      <c r="A8641" s="34"/>
      <c r="B8641" s="35"/>
      <c r="C8641" s="36"/>
      <c r="D8641" s="37"/>
      <c r="E8641" s="36"/>
      <c r="F8641" s="42"/>
      <c r="G8641" s="42"/>
      <c r="H8641" s="42"/>
      <c r="AG8641" s="19">
        <v>8640</v>
      </c>
      <c r="AH8641" s="20">
        <v>-994.60387839974328</v>
      </c>
    </row>
    <row r="8642" spans="1:34" ht="14.5" x14ac:dyDescent="0.35">
      <c r="A8642" s="34"/>
      <c r="B8642" s="35"/>
      <c r="C8642" s="36"/>
      <c r="D8642" s="37"/>
      <c r="E8642" s="36"/>
      <c r="F8642" s="42"/>
      <c r="G8642" s="42"/>
      <c r="H8642" s="42"/>
      <c r="AG8642" s="19">
        <v>8641</v>
      </c>
      <c r="AH8642" s="20">
        <v>1637.3839232695639</v>
      </c>
    </row>
    <row r="8643" spans="1:34" ht="14.5" x14ac:dyDescent="0.35">
      <c r="A8643" s="34"/>
      <c r="B8643" s="35"/>
      <c r="C8643" s="36"/>
      <c r="D8643" s="37"/>
      <c r="E8643" s="36"/>
      <c r="F8643" s="42"/>
      <c r="G8643" s="42"/>
      <c r="H8643" s="42"/>
      <c r="AG8643" s="19">
        <v>8642</v>
      </c>
      <c r="AH8643" s="20">
        <v>1677.5079638165266</v>
      </c>
    </row>
    <row r="8644" spans="1:34" ht="14.5" x14ac:dyDescent="0.35">
      <c r="A8644" s="34"/>
      <c r="B8644" s="35"/>
      <c r="C8644" s="36"/>
      <c r="D8644" s="37"/>
      <c r="E8644" s="36"/>
      <c r="F8644" s="42"/>
      <c r="G8644" s="42"/>
      <c r="H8644" s="42"/>
      <c r="AG8644" s="19">
        <v>8643</v>
      </c>
      <c r="AH8644" s="20">
        <v>3510.8791323449118</v>
      </c>
    </row>
    <row r="8645" spans="1:34" ht="14.5" x14ac:dyDescent="0.35">
      <c r="A8645" s="34"/>
      <c r="B8645" s="35"/>
      <c r="C8645" s="36"/>
      <c r="D8645" s="37"/>
      <c r="E8645" s="36"/>
      <c r="F8645" s="42"/>
      <c r="G8645" s="42"/>
      <c r="H8645" s="42"/>
      <c r="AG8645" s="19">
        <v>8644</v>
      </c>
      <c r="AH8645" s="20">
        <v>579.6519083351227</v>
      </c>
    </row>
    <row r="8646" spans="1:34" ht="14.5" x14ac:dyDescent="0.35">
      <c r="A8646" s="34"/>
      <c r="B8646" s="35"/>
      <c r="C8646" s="36"/>
      <c r="D8646" s="37"/>
      <c r="E8646" s="36"/>
      <c r="F8646" s="42"/>
      <c r="G8646" s="42"/>
      <c r="H8646" s="42"/>
      <c r="AG8646" s="19">
        <v>8645</v>
      </c>
      <c r="AH8646" s="20">
        <v>2938.0963461028759</v>
      </c>
    </row>
    <row r="8647" spans="1:34" ht="14.5" x14ac:dyDescent="0.35">
      <c r="A8647" s="34"/>
      <c r="B8647" s="35"/>
      <c r="C8647" s="36"/>
      <c r="D8647" s="37"/>
      <c r="E8647" s="36"/>
      <c r="F8647" s="42"/>
      <c r="G8647" s="42"/>
      <c r="H8647" s="42"/>
      <c r="AG8647" s="19">
        <v>8646</v>
      </c>
      <c r="AH8647" s="20">
        <v>3158.0211716183103</v>
      </c>
    </row>
    <row r="8648" spans="1:34" ht="14.5" x14ac:dyDescent="0.35">
      <c r="A8648" s="34"/>
      <c r="B8648" s="35"/>
      <c r="C8648" s="36"/>
      <c r="D8648" s="37"/>
      <c r="E8648" s="36"/>
      <c r="F8648" s="42"/>
      <c r="G8648" s="42"/>
      <c r="H8648" s="42"/>
      <c r="AG8648" s="19">
        <v>8647</v>
      </c>
      <c r="AH8648" s="20">
        <v>30.208670172701773</v>
      </c>
    </row>
    <row r="8649" spans="1:34" ht="14.5" x14ac:dyDescent="0.35">
      <c r="A8649" s="34"/>
      <c r="B8649" s="35"/>
      <c r="C8649" s="36"/>
      <c r="D8649" s="37"/>
      <c r="E8649" s="36"/>
      <c r="F8649" s="42"/>
      <c r="G8649" s="42"/>
      <c r="H8649" s="42"/>
      <c r="AG8649" s="19">
        <v>8648</v>
      </c>
      <c r="AH8649" s="20">
        <v>743.83304391790398</v>
      </c>
    </row>
    <row r="8650" spans="1:34" ht="14.5" x14ac:dyDescent="0.35">
      <c r="A8650" s="34"/>
      <c r="B8650" s="35"/>
      <c r="C8650" s="36"/>
      <c r="D8650" s="37"/>
      <c r="E8650" s="36"/>
      <c r="F8650" s="42"/>
      <c r="G8650" s="42"/>
      <c r="H8650" s="42"/>
      <c r="AG8650" s="19">
        <v>8649</v>
      </c>
      <c r="AH8650" s="20">
        <v>607.04017364829008</v>
      </c>
    </row>
    <row r="8651" spans="1:34" ht="14.5" x14ac:dyDescent="0.35">
      <c r="A8651" s="34"/>
      <c r="B8651" s="35"/>
      <c r="C8651" s="36"/>
      <c r="D8651" s="37"/>
      <c r="E8651" s="36"/>
      <c r="F8651" s="42"/>
      <c r="G8651" s="42"/>
      <c r="H8651" s="42"/>
      <c r="AG8651" s="19">
        <v>8650</v>
      </c>
      <c r="AH8651" s="20">
        <v>-1424.3757131884342</v>
      </c>
    </row>
    <row r="8652" spans="1:34" ht="14.5" x14ac:dyDescent="0.35">
      <c r="A8652" s="34"/>
      <c r="B8652" s="35"/>
      <c r="C8652" s="36"/>
      <c r="D8652" s="37"/>
      <c r="E8652" s="36"/>
      <c r="F8652" s="42"/>
      <c r="G8652" s="42"/>
      <c r="H8652" s="42"/>
      <c r="AG8652" s="19">
        <v>8651</v>
      </c>
      <c r="AH8652" s="20">
        <v>-247.61815361673069</v>
      </c>
    </row>
    <row r="8653" spans="1:34" ht="14.5" x14ac:dyDescent="0.35">
      <c r="A8653" s="34"/>
      <c r="B8653" s="35"/>
      <c r="C8653" s="36"/>
      <c r="D8653" s="37"/>
      <c r="E8653" s="36"/>
      <c r="F8653" s="42"/>
      <c r="G8653" s="42"/>
      <c r="H8653" s="42"/>
      <c r="AG8653" s="19">
        <v>8652</v>
      </c>
      <c r="AH8653" s="20">
        <v>-627.35234787860168</v>
      </c>
    </row>
    <row r="8654" spans="1:34" ht="14.5" x14ac:dyDescent="0.35">
      <c r="A8654" s="34"/>
      <c r="B8654" s="35"/>
      <c r="C8654" s="36"/>
      <c r="D8654" s="37"/>
      <c r="E8654" s="36"/>
      <c r="F8654" s="42"/>
      <c r="G8654" s="42"/>
      <c r="H8654" s="42"/>
      <c r="AG8654" s="19">
        <v>8653</v>
      </c>
      <c r="AH8654" s="20">
        <v>3955.6345052497068</v>
      </c>
    </row>
    <row r="8655" spans="1:34" ht="14.5" x14ac:dyDescent="0.35">
      <c r="A8655" s="34"/>
      <c r="B8655" s="35"/>
      <c r="C8655" s="36"/>
      <c r="D8655" s="37"/>
      <c r="E8655" s="36"/>
      <c r="F8655" s="42"/>
      <c r="G8655" s="42"/>
      <c r="H8655" s="42"/>
      <c r="AG8655" s="19">
        <v>8654</v>
      </c>
      <c r="AH8655" s="20">
        <v>1634.5364565435173</v>
      </c>
    </row>
    <row r="8656" spans="1:34" ht="14.5" x14ac:dyDescent="0.35">
      <c r="A8656" s="34"/>
      <c r="B8656" s="35"/>
      <c r="C8656" s="36"/>
      <c r="D8656" s="37"/>
      <c r="E8656" s="36"/>
      <c r="F8656" s="42"/>
      <c r="G8656" s="42"/>
      <c r="H8656" s="42"/>
      <c r="AG8656" s="19">
        <v>8655</v>
      </c>
      <c r="AH8656" s="20">
        <v>1824.4296785207403</v>
      </c>
    </row>
    <row r="8657" spans="1:34" ht="14.5" x14ac:dyDescent="0.35">
      <c r="A8657" s="34"/>
      <c r="B8657" s="35"/>
      <c r="C8657" s="36"/>
      <c r="D8657" s="37"/>
      <c r="E8657" s="36"/>
      <c r="F8657" s="42"/>
      <c r="G8657" s="42"/>
      <c r="H8657" s="42"/>
      <c r="AG8657" s="19">
        <v>8656</v>
      </c>
      <c r="AH8657" s="20">
        <v>12.753156177746689</v>
      </c>
    </row>
    <row r="8658" spans="1:34" ht="14.5" x14ac:dyDescent="0.35">
      <c r="A8658" s="34"/>
      <c r="B8658" s="35"/>
      <c r="C8658" s="36"/>
      <c r="D8658" s="37"/>
      <c r="E8658" s="36"/>
      <c r="F8658" s="42"/>
      <c r="G8658" s="42"/>
      <c r="H8658" s="42"/>
      <c r="AG8658" s="19">
        <v>8657</v>
      </c>
      <c r="AH8658" s="20">
        <v>609.17691254123429</v>
      </c>
    </row>
    <row r="8659" spans="1:34" ht="14.5" x14ac:dyDescent="0.35">
      <c r="A8659" s="34"/>
      <c r="B8659" s="35"/>
      <c r="C8659" s="36"/>
      <c r="D8659" s="37"/>
      <c r="E8659" s="36"/>
      <c r="F8659" s="42"/>
      <c r="G8659" s="42"/>
      <c r="H8659" s="42"/>
      <c r="AG8659" s="19">
        <v>8658</v>
      </c>
      <c r="AH8659" s="20">
        <v>3159.5953441424817</v>
      </c>
    </row>
    <row r="8660" spans="1:34" ht="14.5" x14ac:dyDescent="0.35">
      <c r="A8660" s="34"/>
      <c r="B8660" s="35"/>
      <c r="C8660" s="36"/>
      <c r="D8660" s="37"/>
      <c r="E8660" s="36"/>
      <c r="F8660" s="42"/>
      <c r="G8660" s="42"/>
      <c r="H8660" s="42"/>
      <c r="AG8660" s="19">
        <v>8659</v>
      </c>
      <c r="AH8660" s="20">
        <v>816.80123544383468</v>
      </c>
    </row>
    <row r="8661" spans="1:34" ht="14.5" x14ac:dyDescent="0.35">
      <c r="A8661" s="34"/>
      <c r="B8661" s="35"/>
      <c r="C8661" s="36"/>
      <c r="D8661" s="37"/>
      <c r="E8661" s="36"/>
      <c r="F8661" s="42"/>
      <c r="G8661" s="42"/>
      <c r="H8661" s="42"/>
      <c r="AG8661" s="19">
        <v>8660</v>
      </c>
      <c r="AH8661" s="20">
        <v>3741.3802970736642</v>
      </c>
    </row>
    <row r="8662" spans="1:34" ht="14.5" x14ac:dyDescent="0.35">
      <c r="A8662" s="34"/>
      <c r="B8662" s="35"/>
      <c r="C8662" s="36"/>
      <c r="D8662" s="37"/>
      <c r="E8662" s="36"/>
      <c r="F8662" s="42"/>
      <c r="G8662" s="42"/>
      <c r="H8662" s="42"/>
      <c r="AG8662" s="19">
        <v>8661</v>
      </c>
      <c r="AH8662" s="20">
        <v>1618.5389587205834</v>
      </c>
    </row>
    <row r="8663" spans="1:34" ht="14.5" x14ac:dyDescent="0.35">
      <c r="A8663" s="34"/>
      <c r="B8663" s="35"/>
      <c r="C8663" s="36"/>
      <c r="D8663" s="37"/>
      <c r="E8663" s="36"/>
      <c r="F8663" s="42"/>
      <c r="G8663" s="42"/>
      <c r="H8663" s="42"/>
      <c r="AG8663" s="19">
        <v>8662</v>
      </c>
      <c r="AH8663" s="20">
        <v>2427.9440408967757</v>
      </c>
    </row>
    <row r="8664" spans="1:34" ht="14.5" x14ac:dyDescent="0.35">
      <c r="A8664" s="34"/>
      <c r="B8664" s="35"/>
      <c r="C8664" s="36"/>
      <c r="D8664" s="37"/>
      <c r="E8664" s="36"/>
      <c r="F8664" s="42"/>
      <c r="G8664" s="42"/>
      <c r="H8664" s="42"/>
      <c r="AG8664" s="19">
        <v>8663</v>
      </c>
      <c r="AH8664" s="20">
        <v>-567.2609244698865</v>
      </c>
    </row>
    <row r="8665" spans="1:34" ht="14.5" x14ac:dyDescent="0.35">
      <c r="A8665" s="34"/>
      <c r="B8665" s="35"/>
      <c r="C8665" s="36"/>
      <c r="D8665" s="37"/>
      <c r="E8665" s="36"/>
      <c r="F8665" s="42"/>
      <c r="G8665" s="42"/>
      <c r="H8665" s="42"/>
      <c r="AG8665" s="19">
        <v>8664</v>
      </c>
      <c r="AH8665" s="20">
        <v>2098.5269857098506</v>
      </c>
    </row>
    <row r="8666" spans="1:34" ht="14.5" x14ac:dyDescent="0.35">
      <c r="A8666" s="34"/>
      <c r="B8666" s="35"/>
      <c r="C8666" s="36"/>
      <c r="D8666" s="37"/>
      <c r="E8666" s="36"/>
      <c r="F8666" s="42"/>
      <c r="G8666" s="42"/>
      <c r="H8666" s="42"/>
      <c r="AG8666" s="19">
        <v>8665</v>
      </c>
      <c r="AH8666" s="20">
        <v>1398.5635582934563</v>
      </c>
    </row>
    <row r="8667" spans="1:34" ht="14.5" x14ac:dyDescent="0.35">
      <c r="A8667" s="34"/>
      <c r="B8667" s="35"/>
      <c r="C8667" s="36"/>
      <c r="D8667" s="37"/>
      <c r="E8667" s="36"/>
      <c r="F8667" s="42"/>
      <c r="G8667" s="42"/>
      <c r="H8667" s="42"/>
      <c r="AG8667" s="19">
        <v>8666</v>
      </c>
      <c r="AH8667" s="20">
        <v>1048.3759226578841</v>
      </c>
    </row>
    <row r="8668" spans="1:34" ht="14.5" x14ac:dyDescent="0.35">
      <c r="A8668" s="34"/>
      <c r="B8668" s="35"/>
      <c r="C8668" s="36"/>
      <c r="D8668" s="37"/>
      <c r="E8668" s="36"/>
      <c r="F8668" s="42"/>
      <c r="G8668" s="42"/>
      <c r="H8668" s="42"/>
      <c r="AG8668" s="19">
        <v>8667</v>
      </c>
      <c r="AH8668" s="20">
        <v>250.72432868738142</v>
      </c>
    </row>
    <row r="8669" spans="1:34" ht="14.5" x14ac:dyDescent="0.35">
      <c r="A8669" s="34"/>
      <c r="B8669" s="35"/>
      <c r="C8669" s="36"/>
      <c r="D8669" s="37"/>
      <c r="E8669" s="36"/>
      <c r="F8669" s="42"/>
      <c r="G8669" s="42"/>
      <c r="H8669" s="42"/>
      <c r="AG8669" s="19">
        <v>8668</v>
      </c>
      <c r="AH8669" s="20">
        <v>419.86208907445206</v>
      </c>
    </row>
    <row r="8670" spans="1:34" ht="14.5" x14ac:dyDescent="0.35">
      <c r="A8670" s="34"/>
      <c r="B8670" s="35"/>
      <c r="C8670" s="36"/>
      <c r="D8670" s="37"/>
      <c r="E8670" s="36"/>
      <c r="F8670" s="42"/>
      <c r="G8670" s="42"/>
      <c r="H8670" s="42"/>
      <c r="AG8670" s="19">
        <v>8669</v>
      </c>
      <c r="AH8670" s="20">
        <v>-2746.9430274844176</v>
      </c>
    </row>
    <row r="8671" spans="1:34" ht="14.5" x14ac:dyDescent="0.35">
      <c r="A8671" s="34"/>
      <c r="B8671" s="35"/>
      <c r="C8671" s="36"/>
      <c r="D8671" s="37"/>
      <c r="E8671" s="36"/>
      <c r="F8671" s="42"/>
      <c r="G8671" s="42"/>
      <c r="H8671" s="42"/>
      <c r="AG8671" s="19">
        <v>8670</v>
      </c>
      <c r="AH8671" s="20">
        <v>1271.8281037584304</v>
      </c>
    </row>
    <row r="8672" spans="1:34" ht="14.5" x14ac:dyDescent="0.35">
      <c r="A8672" s="34"/>
      <c r="B8672" s="35"/>
      <c r="C8672" s="36"/>
      <c r="D8672" s="37"/>
      <c r="E8672" s="36"/>
      <c r="F8672" s="42"/>
      <c r="G8672" s="42"/>
      <c r="H8672" s="42"/>
      <c r="AG8672" s="19">
        <v>8671</v>
      </c>
      <c r="AH8672" s="20">
        <v>-4583.9032769493215</v>
      </c>
    </row>
    <row r="8673" spans="1:34" ht="14.5" x14ac:dyDescent="0.35">
      <c r="A8673" s="34"/>
      <c r="B8673" s="35"/>
      <c r="C8673" s="36"/>
      <c r="D8673" s="37"/>
      <c r="E8673" s="36"/>
      <c r="F8673" s="42"/>
      <c r="G8673" s="42"/>
      <c r="H8673" s="42"/>
      <c r="AG8673" s="19">
        <v>8672</v>
      </c>
      <c r="AH8673" s="20">
        <v>2478.0073867654323</v>
      </c>
    </row>
    <row r="8674" spans="1:34" ht="14.5" x14ac:dyDescent="0.35">
      <c r="A8674" s="34"/>
      <c r="B8674" s="35"/>
      <c r="C8674" s="36"/>
      <c r="D8674" s="37"/>
      <c r="E8674" s="36"/>
      <c r="F8674" s="42"/>
      <c r="G8674" s="42"/>
      <c r="H8674" s="42"/>
      <c r="AG8674" s="19">
        <v>8673</v>
      </c>
      <c r="AH8674" s="20">
        <v>1631.774200086501</v>
      </c>
    </row>
    <row r="8675" spans="1:34" ht="14.5" x14ac:dyDescent="0.35">
      <c r="A8675" s="34"/>
      <c r="B8675" s="35"/>
      <c r="C8675" s="36"/>
      <c r="D8675" s="37"/>
      <c r="E8675" s="36"/>
      <c r="F8675" s="42"/>
      <c r="G8675" s="42"/>
      <c r="H8675" s="42"/>
      <c r="AG8675" s="19">
        <v>8674</v>
      </c>
      <c r="AH8675" s="20">
        <v>444.94647500775619</v>
      </c>
    </row>
    <row r="8676" spans="1:34" ht="14.5" x14ac:dyDescent="0.35">
      <c r="A8676" s="34"/>
      <c r="B8676" s="35"/>
      <c r="C8676" s="36"/>
      <c r="D8676" s="37"/>
      <c r="E8676" s="36"/>
      <c r="F8676" s="42"/>
      <c r="G8676" s="42"/>
      <c r="H8676" s="42"/>
      <c r="AG8676" s="19">
        <v>8675</v>
      </c>
      <c r="AH8676" s="20">
        <v>1180.2739952283791</v>
      </c>
    </row>
    <row r="8677" spans="1:34" ht="14.5" x14ac:dyDescent="0.35">
      <c r="A8677" s="34"/>
      <c r="B8677" s="35"/>
      <c r="C8677" s="36"/>
      <c r="D8677" s="37"/>
      <c r="E8677" s="36"/>
      <c r="F8677" s="42"/>
      <c r="G8677" s="42"/>
      <c r="H8677" s="42"/>
      <c r="AG8677" s="19">
        <v>8676</v>
      </c>
      <c r="AH8677" s="20">
        <v>-2864.9382814995752</v>
      </c>
    </row>
    <row r="8678" spans="1:34" ht="14.5" x14ac:dyDescent="0.35">
      <c r="A8678" s="34"/>
      <c r="B8678" s="35"/>
      <c r="C8678" s="36"/>
      <c r="D8678" s="37"/>
      <c r="E8678" s="36"/>
      <c r="F8678" s="42"/>
      <c r="G8678" s="42"/>
      <c r="H8678" s="42"/>
      <c r="AG8678" s="19">
        <v>8677</v>
      </c>
      <c r="AH8678" s="20">
        <v>-459.51777379543063</v>
      </c>
    </row>
    <row r="8679" spans="1:34" ht="14.5" x14ac:dyDescent="0.35">
      <c r="A8679" s="34"/>
      <c r="B8679" s="35"/>
      <c r="C8679" s="36"/>
      <c r="D8679" s="37"/>
      <c r="E8679" s="36"/>
      <c r="F8679" s="42"/>
      <c r="G8679" s="42"/>
      <c r="H8679" s="42"/>
      <c r="AG8679" s="19">
        <v>8678</v>
      </c>
      <c r="AH8679" s="20">
        <v>1307.0956939408165</v>
      </c>
    </row>
    <row r="8680" spans="1:34" ht="14.5" x14ac:dyDescent="0.35">
      <c r="A8680" s="34"/>
      <c r="B8680" s="35"/>
      <c r="C8680" s="36"/>
      <c r="D8680" s="37"/>
      <c r="E8680" s="36"/>
      <c r="F8680" s="42"/>
      <c r="G8680" s="42"/>
      <c r="H8680" s="42"/>
      <c r="AG8680" s="19">
        <v>8679</v>
      </c>
      <c r="AH8680" s="20">
        <v>1126.5015238194042</v>
      </c>
    </row>
    <row r="8681" spans="1:34" ht="14.5" x14ac:dyDescent="0.35">
      <c r="A8681" s="34"/>
      <c r="B8681" s="35"/>
      <c r="C8681" s="36"/>
      <c r="D8681" s="37"/>
      <c r="E8681" s="36"/>
      <c r="F8681" s="42"/>
      <c r="G8681" s="42"/>
      <c r="H8681" s="42"/>
      <c r="AG8681" s="19">
        <v>8680</v>
      </c>
      <c r="AH8681" s="20">
        <v>-1911.3949454450915</v>
      </c>
    </row>
    <row r="8682" spans="1:34" ht="14.5" x14ac:dyDescent="0.35">
      <c r="A8682" s="34"/>
      <c r="B8682" s="35"/>
      <c r="C8682" s="36"/>
      <c r="D8682" s="37"/>
      <c r="E8682" s="36"/>
      <c r="F8682" s="42"/>
      <c r="G8682" s="42"/>
      <c r="H8682" s="42"/>
      <c r="AG8682" s="19">
        <v>8681</v>
      </c>
      <c r="AH8682" s="20">
        <v>-1256.8417389129008</v>
      </c>
    </row>
    <row r="8683" spans="1:34" ht="14.5" x14ac:dyDescent="0.35">
      <c r="A8683" s="34"/>
      <c r="B8683" s="35"/>
      <c r="C8683" s="36"/>
      <c r="D8683" s="37"/>
      <c r="E8683" s="36"/>
      <c r="F8683" s="42"/>
      <c r="G8683" s="42"/>
      <c r="H8683" s="42"/>
      <c r="AG8683" s="19">
        <v>8682</v>
      </c>
      <c r="AH8683" s="20">
        <v>-1669.8158376903677</v>
      </c>
    </row>
    <row r="8684" spans="1:34" ht="14.5" x14ac:dyDescent="0.35">
      <c r="A8684" s="34"/>
      <c r="B8684" s="35"/>
      <c r="C8684" s="36"/>
      <c r="D8684" s="37"/>
      <c r="E8684" s="36"/>
      <c r="F8684" s="42"/>
      <c r="G8684" s="42"/>
      <c r="H8684" s="42"/>
      <c r="AG8684" s="19">
        <v>8683</v>
      </c>
      <c r="AH8684" s="20">
        <v>-641.22014157284957</v>
      </c>
    </row>
    <row r="8685" spans="1:34" ht="14.5" x14ac:dyDescent="0.35">
      <c r="A8685" s="34"/>
      <c r="B8685" s="35"/>
      <c r="C8685" s="36"/>
      <c r="D8685" s="37"/>
      <c r="E8685" s="36"/>
      <c r="F8685" s="42"/>
      <c r="G8685" s="42"/>
      <c r="H8685" s="42"/>
      <c r="AG8685" s="19">
        <v>8684</v>
      </c>
      <c r="AH8685" s="20">
        <v>-2503.5282189935879</v>
      </c>
    </row>
    <row r="8686" spans="1:34" ht="14.5" x14ac:dyDescent="0.35">
      <c r="A8686" s="34"/>
      <c r="B8686" s="35"/>
      <c r="C8686" s="36"/>
      <c r="D8686" s="37"/>
      <c r="E8686" s="36"/>
      <c r="F8686" s="42"/>
      <c r="G8686" s="42"/>
      <c r="H8686" s="42"/>
      <c r="AG8686" s="19">
        <v>8685</v>
      </c>
      <c r="AH8686" s="20">
        <v>3383.8385127713609</v>
      </c>
    </row>
    <row r="8687" spans="1:34" ht="14.5" x14ac:dyDescent="0.35">
      <c r="A8687" s="34"/>
      <c r="B8687" s="35"/>
      <c r="C8687" s="36"/>
      <c r="D8687" s="37"/>
      <c r="E8687" s="36"/>
      <c r="F8687" s="42"/>
      <c r="G8687" s="42"/>
      <c r="H8687" s="42"/>
      <c r="AG8687" s="19">
        <v>8686</v>
      </c>
      <c r="AH8687" s="20">
        <v>-562.78536478387809</v>
      </c>
    </row>
    <row r="8688" spans="1:34" ht="14.5" x14ac:dyDescent="0.35">
      <c r="A8688" s="34"/>
      <c r="B8688" s="35"/>
      <c r="C8688" s="36"/>
      <c r="D8688" s="37"/>
      <c r="E8688" s="36"/>
      <c r="F8688" s="42"/>
      <c r="G8688" s="42"/>
      <c r="H8688" s="42"/>
      <c r="AG8688" s="19">
        <v>8687</v>
      </c>
      <c r="AH8688" s="20">
        <v>625.32626262606186</v>
      </c>
    </row>
    <row r="8689" spans="1:34" ht="14.5" x14ac:dyDescent="0.35">
      <c r="A8689" s="34"/>
      <c r="B8689" s="35"/>
      <c r="C8689" s="36"/>
      <c r="D8689" s="37"/>
      <c r="E8689" s="36"/>
      <c r="F8689" s="42"/>
      <c r="G8689" s="42"/>
      <c r="H8689" s="42"/>
      <c r="AG8689" s="19">
        <v>8688</v>
      </c>
      <c r="AH8689" s="20">
        <v>1555.6909159080217</v>
      </c>
    </row>
    <row r="8690" spans="1:34" ht="14.5" x14ac:dyDescent="0.35">
      <c r="A8690" s="34"/>
      <c r="B8690" s="35"/>
      <c r="C8690" s="36"/>
      <c r="D8690" s="37"/>
      <c r="E8690" s="36"/>
      <c r="F8690" s="42"/>
      <c r="G8690" s="42"/>
      <c r="H8690" s="42"/>
      <c r="AG8690" s="19">
        <v>8689</v>
      </c>
      <c r="AH8690" s="20">
        <v>2208.5894180071286</v>
      </c>
    </row>
    <row r="8691" spans="1:34" ht="14.5" x14ac:dyDescent="0.35">
      <c r="A8691" s="34"/>
      <c r="B8691" s="35"/>
      <c r="C8691" s="36"/>
      <c r="D8691" s="37"/>
      <c r="E8691" s="36"/>
      <c r="F8691" s="42"/>
      <c r="G8691" s="42"/>
      <c r="H8691" s="42"/>
      <c r="AG8691" s="19">
        <v>8690</v>
      </c>
      <c r="AH8691" s="20">
        <v>-1540.0347221424995</v>
      </c>
    </row>
    <row r="8692" spans="1:34" ht="14.5" x14ac:dyDescent="0.35">
      <c r="A8692" s="34"/>
      <c r="B8692" s="35"/>
      <c r="C8692" s="36"/>
      <c r="D8692" s="37"/>
      <c r="E8692" s="36"/>
      <c r="F8692" s="42"/>
      <c r="G8692" s="42"/>
      <c r="H8692" s="42"/>
      <c r="AG8692" s="19">
        <v>8691</v>
      </c>
      <c r="AH8692" s="20">
        <v>3776.6669856061349</v>
      </c>
    </row>
    <row r="8693" spans="1:34" ht="14.5" x14ac:dyDescent="0.35">
      <c r="A8693" s="34"/>
      <c r="B8693" s="35"/>
      <c r="C8693" s="36"/>
      <c r="D8693" s="37"/>
      <c r="E8693" s="36"/>
      <c r="F8693" s="42"/>
      <c r="G8693" s="42"/>
      <c r="H8693" s="42"/>
      <c r="AG8693" s="19">
        <v>8692</v>
      </c>
      <c r="AH8693" s="20">
        <v>-1430.9848287665061</v>
      </c>
    </row>
    <row r="8694" spans="1:34" ht="14.5" x14ac:dyDescent="0.35">
      <c r="A8694" s="34"/>
      <c r="B8694" s="35"/>
      <c r="C8694" s="36"/>
      <c r="D8694" s="37"/>
      <c r="E8694" s="36"/>
      <c r="F8694" s="42"/>
      <c r="G8694" s="42"/>
      <c r="H8694" s="42"/>
      <c r="AG8694" s="19">
        <v>8693</v>
      </c>
      <c r="AH8694" s="20">
        <v>3930.6682469331608</v>
      </c>
    </row>
    <row r="8695" spans="1:34" ht="14.5" x14ac:dyDescent="0.35">
      <c r="A8695" s="34"/>
      <c r="B8695" s="35"/>
      <c r="C8695" s="36"/>
      <c r="D8695" s="37"/>
      <c r="E8695" s="36"/>
      <c r="F8695" s="42"/>
      <c r="G8695" s="42"/>
      <c r="H8695" s="42"/>
      <c r="AG8695" s="19">
        <v>8694</v>
      </c>
      <c r="AH8695" s="20">
        <v>-2247.7704894953063</v>
      </c>
    </row>
    <row r="8696" spans="1:34" ht="14.5" x14ac:dyDescent="0.35">
      <c r="A8696" s="34"/>
      <c r="B8696" s="35"/>
      <c r="C8696" s="36"/>
      <c r="D8696" s="37"/>
      <c r="E8696" s="36"/>
      <c r="F8696" s="42"/>
      <c r="G8696" s="42"/>
      <c r="H8696" s="42"/>
      <c r="AG8696" s="19">
        <v>8695</v>
      </c>
      <c r="AH8696" s="20">
        <v>552.92919492467979</v>
      </c>
    </row>
    <row r="8697" spans="1:34" ht="14.5" x14ac:dyDescent="0.35">
      <c r="A8697" s="34"/>
      <c r="B8697" s="35"/>
      <c r="C8697" s="36"/>
      <c r="D8697" s="37"/>
      <c r="E8697" s="36"/>
      <c r="F8697" s="42"/>
      <c r="G8697" s="42"/>
      <c r="H8697" s="42"/>
      <c r="AG8697" s="19">
        <v>8696</v>
      </c>
      <c r="AH8697" s="20">
        <v>-2718.0527450915188</v>
      </c>
    </row>
    <row r="8698" spans="1:34" ht="14.5" x14ac:dyDescent="0.35">
      <c r="A8698" s="34"/>
      <c r="B8698" s="35"/>
      <c r="C8698" s="36"/>
      <c r="D8698" s="37"/>
      <c r="E8698" s="36"/>
      <c r="F8698" s="42"/>
      <c r="G8698" s="42"/>
      <c r="H8698" s="42"/>
      <c r="AG8698" s="19">
        <v>8697</v>
      </c>
      <c r="AH8698" s="20">
        <v>-475.30908631423432</v>
      </c>
    </row>
    <row r="8699" spans="1:34" ht="14.5" x14ac:dyDescent="0.35">
      <c r="A8699" s="34"/>
      <c r="B8699" s="35"/>
      <c r="C8699" s="36"/>
      <c r="D8699" s="37"/>
      <c r="E8699" s="36"/>
      <c r="F8699" s="42"/>
      <c r="G8699" s="42"/>
      <c r="H8699" s="42"/>
      <c r="AG8699" s="19">
        <v>8698</v>
      </c>
      <c r="AH8699" s="20">
        <v>-1392.5226162761714</v>
      </c>
    </row>
    <row r="8700" spans="1:34" ht="14.5" x14ac:dyDescent="0.35">
      <c r="A8700" s="34"/>
      <c r="B8700" s="35"/>
      <c r="C8700" s="36"/>
      <c r="D8700" s="37"/>
      <c r="E8700" s="36"/>
      <c r="F8700" s="42"/>
      <c r="G8700" s="42"/>
      <c r="H8700" s="42"/>
      <c r="AG8700" s="19">
        <v>8699</v>
      </c>
      <c r="AH8700" s="20">
        <v>1616.8285118153549</v>
      </c>
    </row>
    <row r="8701" spans="1:34" ht="14.5" x14ac:dyDescent="0.35">
      <c r="A8701" s="34"/>
      <c r="B8701" s="35"/>
      <c r="C8701" s="36"/>
      <c r="D8701" s="37"/>
      <c r="E8701" s="36"/>
      <c r="F8701" s="42"/>
      <c r="G8701" s="42"/>
      <c r="H8701" s="42"/>
      <c r="AG8701" s="19">
        <v>8700</v>
      </c>
      <c r="AH8701" s="20">
        <v>2035.6763418208309</v>
      </c>
    </row>
    <row r="8702" spans="1:34" ht="14.5" x14ac:dyDescent="0.35">
      <c r="A8702" s="34"/>
      <c r="B8702" s="35"/>
      <c r="C8702" s="36"/>
      <c r="D8702" s="37"/>
      <c r="E8702" s="36"/>
      <c r="F8702" s="42"/>
      <c r="G8702" s="42"/>
      <c r="H8702" s="42"/>
      <c r="AG8702" s="19">
        <v>8701</v>
      </c>
      <c r="AH8702" s="20">
        <v>2794.4869490152091</v>
      </c>
    </row>
    <row r="8703" spans="1:34" ht="14.5" x14ac:dyDescent="0.35">
      <c r="A8703" s="34"/>
      <c r="B8703" s="35"/>
      <c r="C8703" s="36"/>
      <c r="D8703" s="37"/>
      <c r="E8703" s="36"/>
      <c r="F8703" s="42"/>
      <c r="G8703" s="42"/>
      <c r="H8703" s="42"/>
      <c r="AG8703" s="19">
        <v>8702</v>
      </c>
      <c r="AH8703" s="20">
        <v>-2984.9010864613347</v>
      </c>
    </row>
    <row r="8704" spans="1:34" ht="14.5" x14ac:dyDescent="0.35">
      <c r="A8704" s="34"/>
      <c r="B8704" s="35"/>
      <c r="C8704" s="36"/>
      <c r="D8704" s="37"/>
      <c r="E8704" s="36"/>
      <c r="F8704" s="42"/>
      <c r="G8704" s="42"/>
      <c r="H8704" s="42"/>
      <c r="AG8704" s="19">
        <v>8703</v>
      </c>
      <c r="AH8704" s="20">
        <v>4814.7458002525427</v>
      </c>
    </row>
    <row r="8705" spans="1:34" ht="14.5" x14ac:dyDescent="0.35">
      <c r="A8705" s="34"/>
      <c r="B8705" s="35"/>
      <c r="C8705" s="36"/>
      <c r="D8705" s="37"/>
      <c r="E8705" s="36"/>
      <c r="F8705" s="42"/>
      <c r="G8705" s="42"/>
      <c r="H8705" s="42"/>
      <c r="AG8705" s="19">
        <v>8704</v>
      </c>
      <c r="AH8705" s="20">
        <v>2106.7255055365181</v>
      </c>
    </row>
    <row r="8706" spans="1:34" ht="14.5" x14ac:dyDescent="0.35">
      <c r="A8706" s="34"/>
      <c r="B8706" s="35"/>
      <c r="C8706" s="36"/>
      <c r="D8706" s="37"/>
      <c r="E8706" s="36"/>
      <c r="F8706" s="42"/>
      <c r="G8706" s="42"/>
      <c r="H8706" s="42"/>
      <c r="AG8706" s="19">
        <v>8705</v>
      </c>
      <c r="AH8706" s="20">
        <v>1491.3623136265255</v>
      </c>
    </row>
    <row r="8707" spans="1:34" ht="14.5" x14ac:dyDescent="0.35">
      <c r="A8707" s="34"/>
      <c r="B8707" s="35"/>
      <c r="C8707" s="36"/>
      <c r="D8707" s="37"/>
      <c r="E8707" s="36"/>
      <c r="F8707" s="42"/>
      <c r="G8707" s="42"/>
      <c r="H8707" s="42"/>
      <c r="AG8707" s="19">
        <v>8706</v>
      </c>
      <c r="AH8707" s="20">
        <v>-631.98955160986884</v>
      </c>
    </row>
    <row r="8708" spans="1:34" ht="14.5" x14ac:dyDescent="0.35">
      <c r="A8708" s="34"/>
      <c r="B8708" s="35"/>
      <c r="C8708" s="36"/>
      <c r="D8708" s="37"/>
      <c r="E8708" s="36"/>
      <c r="F8708" s="42"/>
      <c r="G8708" s="42"/>
      <c r="H8708" s="42"/>
      <c r="AG8708" s="19">
        <v>8707</v>
      </c>
      <c r="AH8708" s="20">
        <v>1977.9527866975209</v>
      </c>
    </row>
    <row r="8709" spans="1:34" ht="14.5" x14ac:dyDescent="0.35">
      <c r="A8709" s="34"/>
      <c r="B8709" s="35"/>
      <c r="C8709" s="36"/>
      <c r="D8709" s="37"/>
      <c r="E8709" s="36"/>
      <c r="F8709" s="42"/>
      <c r="G8709" s="42"/>
      <c r="H8709" s="42"/>
      <c r="AG8709" s="19">
        <v>8708</v>
      </c>
      <c r="AH8709" s="20">
        <v>4892.4124921922021</v>
      </c>
    </row>
    <row r="8710" spans="1:34" ht="14.5" x14ac:dyDescent="0.35">
      <c r="A8710" s="34"/>
      <c r="B8710" s="35"/>
      <c r="C8710" s="36"/>
      <c r="D8710" s="37"/>
      <c r="E8710" s="36"/>
      <c r="F8710" s="42"/>
      <c r="G8710" s="42"/>
      <c r="H8710" s="42"/>
      <c r="AG8710" s="19">
        <v>8709</v>
      </c>
      <c r="AH8710" s="20">
        <v>-3591.3386091496959</v>
      </c>
    </row>
    <row r="8711" spans="1:34" ht="14.5" x14ac:dyDescent="0.35">
      <c r="A8711" s="34"/>
      <c r="B8711" s="35"/>
      <c r="C8711" s="36"/>
      <c r="D8711" s="37"/>
      <c r="E8711" s="36"/>
      <c r="F8711" s="42"/>
      <c r="G8711" s="42"/>
      <c r="H8711" s="42"/>
      <c r="AG8711" s="19">
        <v>8710</v>
      </c>
      <c r="AH8711" s="20">
        <v>591.21250035884657</v>
      </c>
    </row>
    <row r="8712" spans="1:34" ht="14.5" x14ac:dyDescent="0.35">
      <c r="A8712" s="34"/>
      <c r="B8712" s="35"/>
      <c r="C8712" s="36"/>
      <c r="D8712" s="37"/>
      <c r="E8712" s="36"/>
      <c r="F8712" s="42"/>
      <c r="G8712" s="42"/>
      <c r="H8712" s="42"/>
      <c r="AG8712" s="19">
        <v>8711</v>
      </c>
      <c r="AH8712" s="20">
        <v>3801.4151961199341</v>
      </c>
    </row>
    <row r="8713" spans="1:34" ht="14.5" x14ac:dyDescent="0.35">
      <c r="A8713" s="34"/>
      <c r="B8713" s="35"/>
      <c r="C8713" s="36"/>
      <c r="D8713" s="37"/>
      <c r="E8713" s="36"/>
      <c r="F8713" s="42"/>
      <c r="G8713" s="42"/>
      <c r="H8713" s="42"/>
      <c r="AG8713" s="19">
        <v>8712</v>
      </c>
      <c r="AH8713" s="20">
        <v>2633.4555486116351</v>
      </c>
    </row>
    <row r="8714" spans="1:34" ht="14.5" x14ac:dyDescent="0.35">
      <c r="A8714" s="34"/>
      <c r="B8714" s="35"/>
      <c r="C8714" s="36"/>
      <c r="D8714" s="37"/>
      <c r="E8714" s="36"/>
      <c r="F8714" s="42"/>
      <c r="G8714" s="42"/>
      <c r="H8714" s="42"/>
      <c r="AG8714" s="19">
        <v>8713</v>
      </c>
      <c r="AH8714" s="20">
        <v>1076.7635478799068</v>
      </c>
    </row>
    <row r="8715" spans="1:34" ht="14.5" x14ac:dyDescent="0.35">
      <c r="A8715" s="34"/>
      <c r="B8715" s="35"/>
      <c r="C8715" s="36"/>
      <c r="D8715" s="37"/>
      <c r="E8715" s="36"/>
      <c r="F8715" s="42"/>
      <c r="G8715" s="42"/>
      <c r="H8715" s="42"/>
      <c r="AG8715" s="19">
        <v>8714</v>
      </c>
      <c r="AH8715" s="20">
        <v>2214.2337682602165</v>
      </c>
    </row>
    <row r="8716" spans="1:34" ht="14.5" x14ac:dyDescent="0.35">
      <c r="A8716" s="34"/>
      <c r="B8716" s="35"/>
      <c r="C8716" s="36"/>
      <c r="D8716" s="37"/>
      <c r="E8716" s="36"/>
      <c r="F8716" s="42"/>
      <c r="G8716" s="42"/>
      <c r="H8716" s="42"/>
      <c r="AG8716" s="19">
        <v>8715</v>
      </c>
      <c r="AH8716" s="20">
        <v>-503.20436130241541</v>
      </c>
    </row>
    <row r="8717" spans="1:34" ht="14.5" x14ac:dyDescent="0.35">
      <c r="A8717" s="34"/>
      <c r="B8717" s="35"/>
      <c r="C8717" s="36"/>
      <c r="D8717" s="37"/>
      <c r="E8717" s="36"/>
      <c r="F8717" s="42"/>
      <c r="G8717" s="42"/>
      <c r="H8717" s="42"/>
      <c r="AG8717" s="19">
        <v>8716</v>
      </c>
      <c r="AH8717" s="20">
        <v>-1010.7252200171567</v>
      </c>
    </row>
    <row r="8718" spans="1:34" ht="14.5" x14ac:dyDescent="0.35">
      <c r="A8718" s="34"/>
      <c r="B8718" s="35"/>
      <c r="C8718" s="36"/>
      <c r="D8718" s="37"/>
      <c r="E8718" s="36"/>
      <c r="F8718" s="42"/>
      <c r="G8718" s="42"/>
      <c r="H8718" s="42"/>
      <c r="AG8718" s="19">
        <v>8717</v>
      </c>
      <c r="AH8718" s="20">
        <v>3336.7828095004056</v>
      </c>
    </row>
    <row r="8719" spans="1:34" ht="14.5" x14ac:dyDescent="0.35">
      <c r="A8719" s="34"/>
      <c r="B8719" s="35"/>
      <c r="C8719" s="36"/>
      <c r="D8719" s="37"/>
      <c r="E8719" s="36"/>
      <c r="F8719" s="42"/>
      <c r="G8719" s="42"/>
      <c r="H8719" s="42"/>
      <c r="AG8719" s="19">
        <v>8718</v>
      </c>
      <c r="AH8719" s="20">
        <v>198.28320477891759</v>
      </c>
    </row>
    <row r="8720" spans="1:34" ht="14.5" x14ac:dyDescent="0.35">
      <c r="A8720" s="34"/>
      <c r="B8720" s="35"/>
      <c r="C8720" s="36"/>
      <c r="D8720" s="37"/>
      <c r="E8720" s="36"/>
      <c r="F8720" s="42"/>
      <c r="G8720" s="42"/>
      <c r="H8720" s="42"/>
      <c r="AG8720" s="19">
        <v>8719</v>
      </c>
      <c r="AH8720" s="20">
        <v>-900.23258945626867</v>
      </c>
    </row>
    <row r="8721" spans="1:34" ht="14.5" x14ac:dyDescent="0.35">
      <c r="A8721" s="34"/>
      <c r="B8721" s="35"/>
      <c r="C8721" s="36"/>
      <c r="D8721" s="37"/>
      <c r="E8721" s="36"/>
      <c r="F8721" s="42"/>
      <c r="G8721" s="42"/>
      <c r="H8721" s="42"/>
      <c r="AG8721" s="19">
        <v>8720</v>
      </c>
      <c r="AH8721" s="20">
        <v>-2786.2522665658248</v>
      </c>
    </row>
    <row r="8722" spans="1:34" ht="14.5" x14ac:dyDescent="0.35">
      <c r="A8722" s="34"/>
      <c r="B8722" s="35"/>
      <c r="C8722" s="36"/>
      <c r="D8722" s="37"/>
      <c r="E8722" s="36"/>
      <c r="F8722" s="42"/>
      <c r="G8722" s="42"/>
      <c r="H8722" s="42"/>
      <c r="AG8722" s="19">
        <v>8721</v>
      </c>
      <c r="AH8722" s="20">
        <v>1601.4501150308968</v>
      </c>
    </row>
    <row r="8723" spans="1:34" ht="14.5" x14ac:dyDescent="0.35">
      <c r="A8723" s="34"/>
      <c r="B8723" s="35"/>
      <c r="C8723" s="36"/>
      <c r="D8723" s="37"/>
      <c r="E8723" s="36"/>
      <c r="F8723" s="42"/>
      <c r="G8723" s="42"/>
      <c r="H8723" s="42"/>
      <c r="AG8723" s="19">
        <v>8722</v>
      </c>
      <c r="AH8723" s="20">
        <v>-3449.5695421210976</v>
      </c>
    </row>
    <row r="8724" spans="1:34" ht="14.5" x14ac:dyDescent="0.35">
      <c r="A8724" s="34"/>
      <c r="B8724" s="35"/>
      <c r="C8724" s="36"/>
      <c r="D8724" s="37"/>
      <c r="E8724" s="36"/>
      <c r="F8724" s="42"/>
      <c r="G8724" s="42"/>
      <c r="H8724" s="42"/>
      <c r="AG8724" s="19">
        <v>8723</v>
      </c>
      <c r="AH8724" s="20">
        <v>1419.5543394295457</v>
      </c>
    </row>
    <row r="8725" spans="1:34" ht="14.5" x14ac:dyDescent="0.35">
      <c r="A8725" s="34"/>
      <c r="B8725" s="35"/>
      <c r="C8725" s="36"/>
      <c r="D8725" s="37"/>
      <c r="E8725" s="36"/>
      <c r="F8725" s="42"/>
      <c r="G8725" s="42"/>
      <c r="H8725" s="42"/>
      <c r="AG8725" s="19">
        <v>8724</v>
      </c>
      <c r="AH8725" s="20">
        <v>3367.0810745803947</v>
      </c>
    </row>
    <row r="8726" spans="1:34" ht="14.5" x14ac:dyDescent="0.35">
      <c r="A8726" s="34"/>
      <c r="B8726" s="35"/>
      <c r="C8726" s="36"/>
      <c r="D8726" s="37"/>
      <c r="E8726" s="36"/>
      <c r="F8726" s="42"/>
      <c r="G8726" s="42"/>
      <c r="H8726" s="42"/>
      <c r="AG8726" s="19">
        <v>8725</v>
      </c>
      <c r="AH8726" s="20">
        <v>1533.2404672015593</v>
      </c>
    </row>
    <row r="8727" spans="1:34" ht="14.5" x14ac:dyDescent="0.35">
      <c r="A8727" s="34"/>
      <c r="B8727" s="35"/>
      <c r="C8727" s="36"/>
      <c r="D8727" s="37"/>
      <c r="E8727" s="36"/>
      <c r="F8727" s="42"/>
      <c r="G8727" s="42"/>
      <c r="H8727" s="42"/>
      <c r="AG8727" s="19">
        <v>8726</v>
      </c>
      <c r="AH8727" s="20">
        <v>747.7510601650888</v>
      </c>
    </row>
    <row r="8728" spans="1:34" ht="14.5" x14ac:dyDescent="0.35">
      <c r="A8728" s="34"/>
      <c r="B8728" s="35"/>
      <c r="C8728" s="36"/>
      <c r="D8728" s="37"/>
      <c r="E8728" s="36"/>
      <c r="F8728" s="42"/>
      <c r="G8728" s="42"/>
      <c r="H8728" s="42"/>
      <c r="AG8728" s="19">
        <v>8727</v>
      </c>
      <c r="AH8728" s="20">
        <v>-1167.2769559459557</v>
      </c>
    </row>
    <row r="8729" spans="1:34" ht="14.5" x14ac:dyDescent="0.35">
      <c r="A8729" s="34"/>
      <c r="B8729" s="35"/>
      <c r="C8729" s="36"/>
      <c r="D8729" s="37"/>
      <c r="E8729" s="36"/>
      <c r="F8729" s="42"/>
      <c r="G8729" s="42"/>
      <c r="H8729" s="42"/>
      <c r="AG8729" s="19">
        <v>8728</v>
      </c>
      <c r="AH8729" s="20">
        <v>-3699.5049572403286</v>
      </c>
    </row>
    <row r="8730" spans="1:34" ht="14.5" x14ac:dyDescent="0.35">
      <c r="A8730" s="34"/>
      <c r="B8730" s="35"/>
      <c r="C8730" s="36"/>
      <c r="D8730" s="37"/>
      <c r="E8730" s="36"/>
      <c r="F8730" s="42"/>
      <c r="G8730" s="42"/>
      <c r="H8730" s="42"/>
      <c r="AG8730" s="19">
        <v>8729</v>
      </c>
      <c r="AH8730" s="20">
        <v>229.52911742027797</v>
      </c>
    </row>
    <row r="8731" spans="1:34" ht="14.5" x14ac:dyDescent="0.35">
      <c r="A8731" s="34"/>
      <c r="B8731" s="35"/>
      <c r="C8731" s="36"/>
      <c r="D8731" s="37"/>
      <c r="E8731" s="36"/>
      <c r="F8731" s="42"/>
      <c r="G8731" s="42"/>
      <c r="H8731" s="42"/>
      <c r="AG8731" s="19">
        <v>8730</v>
      </c>
      <c r="AH8731" s="20">
        <v>2161.9348428370572</v>
      </c>
    </row>
    <row r="8732" spans="1:34" ht="14.5" x14ac:dyDescent="0.35">
      <c r="A8732" s="34"/>
      <c r="B8732" s="35"/>
      <c r="C8732" s="36"/>
      <c r="D8732" s="37"/>
      <c r="E8732" s="36"/>
      <c r="F8732" s="42"/>
      <c r="G8732" s="42"/>
      <c r="H8732" s="42"/>
      <c r="AG8732" s="19">
        <v>8731</v>
      </c>
      <c r="AH8732" s="20">
        <v>1325.9454742471937</v>
      </c>
    </row>
    <row r="8733" spans="1:34" ht="14.5" x14ac:dyDescent="0.35">
      <c r="A8733" s="34"/>
      <c r="B8733" s="35"/>
      <c r="C8733" s="36"/>
      <c r="D8733" s="37"/>
      <c r="E8733" s="36"/>
      <c r="F8733" s="42"/>
      <c r="G8733" s="42"/>
      <c r="H8733" s="42"/>
      <c r="AG8733" s="19">
        <v>8732</v>
      </c>
      <c r="AH8733" s="20">
        <v>-1633.3916446785099</v>
      </c>
    </row>
    <row r="8734" spans="1:34" ht="14.5" x14ac:dyDescent="0.35">
      <c r="A8734" s="34"/>
      <c r="B8734" s="35"/>
      <c r="C8734" s="36"/>
      <c r="D8734" s="37"/>
      <c r="E8734" s="36"/>
      <c r="F8734" s="42"/>
      <c r="G8734" s="42"/>
      <c r="H8734" s="42"/>
      <c r="AG8734" s="19">
        <v>8733</v>
      </c>
      <c r="AH8734" s="20">
        <v>-286.37358098562953</v>
      </c>
    </row>
    <row r="8735" spans="1:34" ht="14.5" x14ac:dyDescent="0.35">
      <c r="A8735" s="34"/>
      <c r="B8735" s="35"/>
      <c r="C8735" s="36"/>
      <c r="D8735" s="37"/>
      <c r="E8735" s="36"/>
      <c r="F8735" s="42"/>
      <c r="G8735" s="42"/>
      <c r="H8735" s="42"/>
      <c r="AG8735" s="19">
        <v>8734</v>
      </c>
      <c r="AH8735" s="20">
        <v>4578.9083612917866</v>
      </c>
    </row>
    <row r="8736" spans="1:34" ht="14.5" x14ac:dyDescent="0.35">
      <c r="A8736" s="34"/>
      <c r="B8736" s="35"/>
      <c r="C8736" s="36"/>
      <c r="D8736" s="37"/>
      <c r="E8736" s="36"/>
      <c r="F8736" s="42"/>
      <c r="G8736" s="42"/>
      <c r="H8736" s="42"/>
      <c r="AG8736" s="19">
        <v>8735</v>
      </c>
      <c r="AH8736" s="20">
        <v>1359.4693586383232</v>
      </c>
    </row>
    <row r="8737" spans="1:34" ht="14.5" x14ac:dyDescent="0.35">
      <c r="A8737" s="34"/>
      <c r="B8737" s="35"/>
      <c r="C8737" s="36"/>
      <c r="D8737" s="37"/>
      <c r="E8737" s="36"/>
      <c r="F8737" s="42"/>
      <c r="G8737" s="42"/>
      <c r="H8737" s="42"/>
      <c r="AG8737" s="19">
        <v>8736</v>
      </c>
      <c r="AH8737" s="20">
        <v>2753.5004007870712</v>
      </c>
    </row>
    <row r="8738" spans="1:34" ht="14.5" x14ac:dyDescent="0.35">
      <c r="A8738" s="34"/>
      <c r="B8738" s="35"/>
      <c r="C8738" s="36"/>
      <c r="D8738" s="37"/>
      <c r="E8738" s="36"/>
      <c r="F8738" s="42"/>
      <c r="G8738" s="42"/>
      <c r="H8738" s="42"/>
      <c r="AG8738" s="19">
        <v>8737</v>
      </c>
      <c r="AH8738" s="20">
        <v>-395.78311062669985</v>
      </c>
    </row>
    <row r="8739" spans="1:34" ht="14.5" x14ac:dyDescent="0.35">
      <c r="A8739" s="34"/>
      <c r="B8739" s="35"/>
      <c r="C8739" s="36"/>
      <c r="D8739" s="37"/>
      <c r="E8739" s="36"/>
      <c r="F8739" s="42"/>
      <c r="G8739" s="42"/>
      <c r="H8739" s="42"/>
      <c r="AG8739" s="19">
        <v>8738</v>
      </c>
      <c r="AH8739" s="20">
        <v>-2042.7161278601741</v>
      </c>
    </row>
    <row r="8740" spans="1:34" ht="14.5" x14ac:dyDescent="0.35">
      <c r="A8740" s="34"/>
      <c r="B8740" s="35"/>
      <c r="C8740" s="36"/>
      <c r="D8740" s="37"/>
      <c r="E8740" s="36"/>
      <c r="F8740" s="42"/>
      <c r="G8740" s="42"/>
      <c r="H8740" s="42"/>
      <c r="AG8740" s="19">
        <v>8739</v>
      </c>
      <c r="AH8740" s="20">
        <v>2690.0406108198249</v>
      </c>
    </row>
    <row r="8741" spans="1:34" ht="14.5" x14ac:dyDescent="0.35">
      <c r="A8741" s="34"/>
      <c r="B8741" s="35"/>
      <c r="C8741" s="36"/>
      <c r="D8741" s="37"/>
      <c r="E8741" s="36"/>
      <c r="F8741" s="42"/>
      <c r="G8741" s="42"/>
      <c r="H8741" s="42"/>
      <c r="AG8741" s="19">
        <v>8740</v>
      </c>
      <c r="AH8741" s="20">
        <v>1347.0217393234163</v>
      </c>
    </row>
    <row r="8742" spans="1:34" ht="14.5" x14ac:dyDescent="0.35">
      <c r="A8742" s="34"/>
      <c r="B8742" s="35"/>
      <c r="C8742" s="36"/>
      <c r="D8742" s="37"/>
      <c r="E8742" s="36"/>
      <c r="F8742" s="42"/>
      <c r="G8742" s="42"/>
      <c r="H8742" s="42"/>
      <c r="AG8742" s="19">
        <v>8741</v>
      </c>
      <c r="AH8742" s="20">
        <v>767.73526478057397</v>
      </c>
    </row>
    <row r="8743" spans="1:34" ht="14.5" x14ac:dyDescent="0.35">
      <c r="A8743" s="34"/>
      <c r="B8743" s="35"/>
      <c r="C8743" s="36"/>
      <c r="D8743" s="37"/>
      <c r="E8743" s="36"/>
      <c r="F8743" s="42"/>
      <c r="G8743" s="42"/>
      <c r="H8743" s="42"/>
      <c r="AG8743" s="19">
        <v>8742</v>
      </c>
      <c r="AH8743" s="20">
        <v>-1078.8548529852187</v>
      </c>
    </row>
    <row r="8744" spans="1:34" ht="14.5" x14ac:dyDescent="0.35">
      <c r="A8744" s="34"/>
      <c r="B8744" s="35"/>
      <c r="C8744" s="36"/>
      <c r="D8744" s="37"/>
      <c r="E8744" s="36"/>
      <c r="F8744" s="42"/>
      <c r="G8744" s="42"/>
      <c r="H8744" s="42"/>
      <c r="AG8744" s="19">
        <v>8743</v>
      </c>
      <c r="AH8744" s="20">
        <v>-1367.1597874878928</v>
      </c>
    </row>
    <row r="8745" spans="1:34" ht="14.5" x14ac:dyDescent="0.35">
      <c r="A8745" s="34"/>
      <c r="B8745" s="35"/>
      <c r="C8745" s="36"/>
      <c r="D8745" s="37"/>
      <c r="E8745" s="36"/>
      <c r="F8745" s="42"/>
      <c r="G8745" s="42"/>
      <c r="H8745" s="42"/>
      <c r="AG8745" s="19">
        <v>8744</v>
      </c>
      <c r="AH8745" s="20">
        <v>2895.6174226177714</v>
      </c>
    </row>
    <row r="8746" spans="1:34" ht="14.5" x14ac:dyDescent="0.35">
      <c r="A8746" s="34"/>
      <c r="B8746" s="35"/>
      <c r="C8746" s="36"/>
      <c r="D8746" s="37"/>
      <c r="E8746" s="36"/>
      <c r="F8746" s="42"/>
      <c r="G8746" s="42"/>
      <c r="H8746" s="42"/>
      <c r="AG8746" s="19">
        <v>8745</v>
      </c>
      <c r="AH8746" s="20">
        <v>-753.01906370367328</v>
      </c>
    </row>
    <row r="8747" spans="1:34" ht="14.5" x14ac:dyDescent="0.35">
      <c r="A8747" s="34"/>
      <c r="B8747" s="35"/>
      <c r="C8747" s="36"/>
      <c r="D8747" s="37"/>
      <c r="E8747" s="36"/>
      <c r="F8747" s="42"/>
      <c r="G8747" s="42"/>
      <c r="H8747" s="42"/>
      <c r="AG8747" s="19">
        <v>8746</v>
      </c>
      <c r="AH8747" s="20">
        <v>1647.1314762406307</v>
      </c>
    </row>
    <row r="8748" spans="1:34" ht="14.5" x14ac:dyDescent="0.35">
      <c r="A8748" s="34"/>
      <c r="B8748" s="35"/>
      <c r="C8748" s="36"/>
      <c r="D8748" s="37"/>
      <c r="E8748" s="36"/>
      <c r="F8748" s="42"/>
      <c r="G8748" s="42"/>
      <c r="H8748" s="42"/>
      <c r="AG8748" s="19">
        <v>8747</v>
      </c>
      <c r="AH8748" s="20">
        <v>924.9892062497031</v>
      </c>
    </row>
    <row r="8749" spans="1:34" ht="14.5" x14ac:dyDescent="0.35">
      <c r="A8749" s="34"/>
      <c r="B8749" s="35"/>
      <c r="C8749" s="36"/>
      <c r="D8749" s="37"/>
      <c r="E8749" s="36"/>
      <c r="F8749" s="42"/>
      <c r="G8749" s="42"/>
      <c r="H8749" s="42"/>
      <c r="AG8749" s="19">
        <v>8748</v>
      </c>
      <c r="AH8749" s="20">
        <v>1271.2358256659413</v>
      </c>
    </row>
    <row r="8750" spans="1:34" ht="14.5" x14ac:dyDescent="0.35">
      <c r="A8750" s="34"/>
      <c r="B8750" s="35"/>
      <c r="C8750" s="36"/>
      <c r="D8750" s="37"/>
      <c r="E8750" s="36"/>
      <c r="F8750" s="42"/>
      <c r="G8750" s="42"/>
      <c r="H8750" s="42"/>
      <c r="AG8750" s="19">
        <v>8749</v>
      </c>
      <c r="AH8750" s="20">
        <v>-2726.9082106074497</v>
      </c>
    </row>
    <row r="8751" spans="1:34" ht="14.5" x14ac:dyDescent="0.35">
      <c r="A8751" s="34"/>
      <c r="B8751" s="35"/>
      <c r="C8751" s="36"/>
      <c r="D8751" s="37"/>
      <c r="E8751" s="36"/>
      <c r="F8751" s="42"/>
      <c r="G8751" s="42"/>
      <c r="H8751" s="42"/>
      <c r="AG8751" s="19">
        <v>8750</v>
      </c>
      <c r="AH8751" s="20">
        <v>-987.17900756659719</v>
      </c>
    </row>
    <row r="8752" spans="1:34" ht="14.5" x14ac:dyDescent="0.35">
      <c r="A8752" s="34"/>
      <c r="B8752" s="35"/>
      <c r="C8752" s="36"/>
      <c r="D8752" s="37"/>
      <c r="E8752" s="36"/>
      <c r="F8752" s="42"/>
      <c r="G8752" s="42"/>
      <c r="H8752" s="42"/>
      <c r="AG8752" s="19">
        <v>8751</v>
      </c>
      <c r="AH8752" s="20">
        <v>1611.2482153520878</v>
      </c>
    </row>
    <row r="8753" spans="1:34" ht="14.5" x14ac:dyDescent="0.35">
      <c r="A8753" s="34"/>
      <c r="B8753" s="35"/>
      <c r="C8753" s="36"/>
      <c r="D8753" s="37"/>
      <c r="E8753" s="36"/>
      <c r="F8753" s="42"/>
      <c r="G8753" s="42"/>
      <c r="H8753" s="42"/>
      <c r="AG8753" s="19">
        <v>8752</v>
      </c>
      <c r="AH8753" s="20">
        <v>2720.0532317432876</v>
      </c>
    </row>
    <row r="8754" spans="1:34" ht="14.5" x14ac:dyDescent="0.35">
      <c r="A8754" s="34"/>
      <c r="B8754" s="35"/>
      <c r="C8754" s="36"/>
      <c r="D8754" s="37"/>
      <c r="E8754" s="36"/>
      <c r="F8754" s="42"/>
      <c r="G8754" s="42"/>
      <c r="H8754" s="42"/>
      <c r="AG8754" s="19">
        <v>8753</v>
      </c>
      <c r="AH8754" s="20">
        <v>200.45486152805785</v>
      </c>
    </row>
    <row r="8755" spans="1:34" ht="14.5" x14ac:dyDescent="0.35">
      <c r="A8755" s="34"/>
      <c r="B8755" s="35"/>
      <c r="C8755" s="36"/>
      <c r="D8755" s="37"/>
      <c r="E8755" s="36"/>
      <c r="F8755" s="42"/>
      <c r="G8755" s="42"/>
      <c r="H8755" s="42"/>
      <c r="AG8755" s="19">
        <v>8754</v>
      </c>
      <c r="AH8755" s="20">
        <v>-624.84318658007442</v>
      </c>
    </row>
    <row r="8756" spans="1:34" ht="14.5" x14ac:dyDescent="0.35">
      <c r="A8756" s="34"/>
      <c r="B8756" s="35"/>
      <c r="C8756" s="36"/>
      <c r="D8756" s="37"/>
      <c r="E8756" s="36"/>
      <c r="F8756" s="42"/>
      <c r="G8756" s="42"/>
      <c r="H8756" s="42"/>
      <c r="AG8756" s="19">
        <v>8755</v>
      </c>
      <c r="AH8756" s="20">
        <v>1997.0923305994224</v>
      </c>
    </row>
    <row r="8757" spans="1:34" ht="14.5" x14ac:dyDescent="0.35">
      <c r="A8757" s="34"/>
      <c r="B8757" s="35"/>
      <c r="C8757" s="36"/>
      <c r="D8757" s="37"/>
      <c r="E8757" s="36"/>
      <c r="F8757" s="42"/>
      <c r="G8757" s="42"/>
      <c r="H8757" s="42"/>
      <c r="AG8757" s="19">
        <v>8756</v>
      </c>
      <c r="AH8757" s="20">
        <v>-978.87192038515241</v>
      </c>
    </row>
    <row r="8758" spans="1:34" ht="14.5" x14ac:dyDescent="0.35">
      <c r="A8758" s="34"/>
      <c r="B8758" s="35"/>
      <c r="C8758" s="36"/>
      <c r="D8758" s="37"/>
      <c r="E8758" s="36"/>
      <c r="F8758" s="42"/>
      <c r="G8758" s="42"/>
      <c r="H8758" s="42"/>
      <c r="AG8758" s="19">
        <v>8757</v>
      </c>
      <c r="AH8758" s="20">
        <v>47.720862266854624</v>
      </c>
    </row>
    <row r="8759" spans="1:34" ht="14.5" x14ac:dyDescent="0.35">
      <c r="A8759" s="34"/>
      <c r="B8759" s="35"/>
      <c r="C8759" s="36"/>
      <c r="D8759" s="37"/>
      <c r="E8759" s="36"/>
      <c r="F8759" s="42"/>
      <c r="G8759" s="42"/>
      <c r="H8759" s="42"/>
      <c r="AG8759" s="19">
        <v>8758</v>
      </c>
      <c r="AH8759" s="20">
        <v>2042.7127809660074</v>
      </c>
    </row>
    <row r="8760" spans="1:34" ht="14.5" x14ac:dyDescent="0.35">
      <c r="A8760" s="34"/>
      <c r="B8760" s="35"/>
      <c r="C8760" s="36"/>
      <c r="D8760" s="37"/>
      <c r="E8760" s="36"/>
      <c r="F8760" s="42"/>
      <c r="G8760" s="42"/>
      <c r="H8760" s="42"/>
      <c r="AG8760" s="19">
        <v>8759</v>
      </c>
      <c r="AH8760" s="20">
        <v>1875.0232021788966</v>
      </c>
    </row>
    <row r="8761" spans="1:34" ht="14.5" x14ac:dyDescent="0.35">
      <c r="A8761" s="34"/>
      <c r="B8761" s="35"/>
      <c r="C8761" s="36"/>
      <c r="D8761" s="37"/>
      <c r="E8761" s="36"/>
      <c r="F8761" s="42"/>
      <c r="G8761" s="42"/>
      <c r="H8761" s="42"/>
      <c r="AG8761" s="19">
        <v>8760</v>
      </c>
      <c r="AH8761" s="20">
        <v>2021.4316205208254</v>
      </c>
    </row>
    <row r="8762" spans="1:34" ht="14.5" x14ac:dyDescent="0.35">
      <c r="A8762" s="34"/>
      <c r="B8762" s="35"/>
      <c r="C8762" s="36"/>
      <c r="D8762" s="37"/>
      <c r="E8762" s="36"/>
      <c r="F8762" s="42"/>
      <c r="G8762" s="42"/>
      <c r="H8762" s="42"/>
      <c r="AG8762" s="19">
        <v>8761</v>
      </c>
      <c r="AH8762" s="20">
        <v>1261.0783625006013</v>
      </c>
    </row>
    <row r="8763" spans="1:34" ht="14.5" x14ac:dyDescent="0.35">
      <c r="A8763" s="34"/>
      <c r="B8763" s="35"/>
      <c r="C8763" s="36"/>
      <c r="D8763" s="37"/>
      <c r="E8763" s="36"/>
      <c r="F8763" s="42"/>
      <c r="G8763" s="42"/>
      <c r="H8763" s="42"/>
      <c r="AG8763" s="19">
        <v>8762</v>
      </c>
      <c r="AH8763" s="20">
        <v>-276.34070695342615</v>
      </c>
    </row>
    <row r="8764" spans="1:34" ht="14.5" x14ac:dyDescent="0.35">
      <c r="A8764" s="34"/>
      <c r="B8764" s="35"/>
      <c r="C8764" s="36"/>
      <c r="D8764" s="37"/>
      <c r="E8764" s="36"/>
      <c r="F8764" s="42"/>
      <c r="G8764" s="42"/>
      <c r="H8764" s="42"/>
      <c r="AG8764" s="19">
        <v>8763</v>
      </c>
      <c r="AH8764" s="20">
        <v>2003.5510755568671</v>
      </c>
    </row>
    <row r="8765" spans="1:34" ht="14.5" x14ac:dyDescent="0.35">
      <c r="A8765" s="34"/>
      <c r="B8765" s="35"/>
      <c r="C8765" s="36"/>
      <c r="D8765" s="37"/>
      <c r="E8765" s="36"/>
      <c r="F8765" s="42"/>
      <c r="G8765" s="42"/>
      <c r="H8765" s="42"/>
      <c r="AG8765" s="19">
        <v>8764</v>
      </c>
      <c r="AH8765" s="20">
        <v>-1794.8638381494795</v>
      </c>
    </row>
    <row r="8766" spans="1:34" ht="14.5" x14ac:dyDescent="0.35">
      <c r="A8766" s="34"/>
      <c r="B8766" s="35"/>
      <c r="C8766" s="36"/>
      <c r="D8766" s="37"/>
      <c r="E8766" s="36"/>
      <c r="F8766" s="42"/>
      <c r="G8766" s="42"/>
      <c r="H8766" s="42"/>
      <c r="AG8766" s="19">
        <v>8765</v>
      </c>
      <c r="AH8766" s="20">
        <v>981.41337264585604</v>
      </c>
    </row>
    <row r="8767" spans="1:34" ht="14.5" x14ac:dyDescent="0.35">
      <c r="A8767" s="34"/>
      <c r="B8767" s="35"/>
      <c r="C8767" s="36"/>
      <c r="D8767" s="37"/>
      <c r="E8767" s="36"/>
      <c r="F8767" s="42"/>
      <c r="G8767" s="42"/>
      <c r="H8767" s="42"/>
      <c r="AG8767" s="19">
        <v>8766</v>
      </c>
      <c r="AH8767" s="20">
        <v>477.21167815220417</v>
      </c>
    </row>
    <row r="8768" spans="1:34" ht="14.5" x14ac:dyDescent="0.35">
      <c r="A8768" s="34"/>
      <c r="B8768" s="35"/>
      <c r="C8768" s="36"/>
      <c r="D8768" s="37"/>
      <c r="E8768" s="36"/>
      <c r="F8768" s="42"/>
      <c r="G8768" s="42"/>
      <c r="H8768" s="42"/>
      <c r="AG8768" s="19">
        <v>8767</v>
      </c>
      <c r="AH8768" s="20">
        <v>1316.9328998987223</v>
      </c>
    </row>
    <row r="8769" spans="1:34" ht="14.5" x14ac:dyDescent="0.35">
      <c r="A8769" s="34"/>
      <c r="B8769" s="35"/>
      <c r="C8769" s="36"/>
      <c r="D8769" s="37"/>
      <c r="E8769" s="36"/>
      <c r="F8769" s="42"/>
      <c r="G8769" s="42"/>
      <c r="H8769" s="42"/>
      <c r="AG8769" s="19">
        <v>8768</v>
      </c>
      <c r="AH8769" s="20">
        <v>1040.2479871118412</v>
      </c>
    </row>
    <row r="8770" spans="1:34" ht="14.5" x14ac:dyDescent="0.35">
      <c r="A8770" s="34"/>
      <c r="B8770" s="35"/>
      <c r="C8770" s="36"/>
      <c r="D8770" s="37"/>
      <c r="E8770" s="36"/>
      <c r="F8770" s="42"/>
      <c r="G8770" s="42"/>
      <c r="H8770" s="42"/>
      <c r="AG8770" s="19">
        <v>8769</v>
      </c>
      <c r="AH8770" s="20">
        <v>2317.397944831062</v>
      </c>
    </row>
    <row r="8771" spans="1:34" ht="14.5" x14ac:dyDescent="0.35">
      <c r="A8771" s="34"/>
      <c r="B8771" s="35"/>
      <c r="C8771" s="36"/>
      <c r="D8771" s="37"/>
      <c r="E8771" s="36"/>
      <c r="F8771" s="42"/>
      <c r="G8771" s="42"/>
      <c r="H8771" s="42"/>
      <c r="AG8771" s="19">
        <v>8770</v>
      </c>
      <c r="AH8771" s="20">
        <v>215.52895474222558</v>
      </c>
    </row>
    <row r="8772" spans="1:34" ht="14.5" x14ac:dyDescent="0.35">
      <c r="A8772" s="34"/>
      <c r="B8772" s="35"/>
      <c r="C8772" s="36"/>
      <c r="D8772" s="37"/>
      <c r="E8772" s="36"/>
      <c r="F8772" s="42"/>
      <c r="G8772" s="42"/>
      <c r="H8772" s="42"/>
      <c r="AG8772" s="19">
        <v>8771</v>
      </c>
      <c r="AH8772" s="20">
        <v>2609.2948650593894</v>
      </c>
    </row>
    <row r="8773" spans="1:34" ht="14.5" x14ac:dyDescent="0.35">
      <c r="A8773" s="34"/>
      <c r="B8773" s="35"/>
      <c r="C8773" s="36"/>
      <c r="D8773" s="37"/>
      <c r="E8773" s="36"/>
      <c r="F8773" s="42"/>
      <c r="G8773" s="42"/>
      <c r="H8773" s="42"/>
      <c r="AG8773" s="19">
        <v>8772</v>
      </c>
      <c r="AH8773" s="20">
        <v>-504.98837260278259</v>
      </c>
    </row>
    <row r="8774" spans="1:34" ht="14.5" x14ac:dyDescent="0.35">
      <c r="A8774" s="34"/>
      <c r="B8774" s="35"/>
      <c r="C8774" s="36"/>
      <c r="D8774" s="37"/>
      <c r="E8774" s="36"/>
      <c r="F8774" s="42"/>
      <c r="G8774" s="42"/>
      <c r="H8774" s="42"/>
      <c r="AG8774" s="19">
        <v>8773</v>
      </c>
      <c r="AH8774" s="20">
        <v>1976.363375833499</v>
      </c>
    </row>
    <row r="8775" spans="1:34" ht="14.5" x14ac:dyDescent="0.35">
      <c r="A8775" s="34"/>
      <c r="B8775" s="35"/>
      <c r="C8775" s="36"/>
      <c r="D8775" s="37"/>
      <c r="E8775" s="36"/>
      <c r="F8775" s="42"/>
      <c r="G8775" s="42"/>
      <c r="H8775" s="42"/>
      <c r="AG8775" s="19">
        <v>8774</v>
      </c>
      <c r="AH8775" s="20">
        <v>-520.59401383997192</v>
      </c>
    </row>
    <row r="8776" spans="1:34" ht="14.5" x14ac:dyDescent="0.35">
      <c r="A8776" s="34"/>
      <c r="B8776" s="35"/>
      <c r="C8776" s="36"/>
      <c r="D8776" s="37"/>
      <c r="E8776" s="36"/>
      <c r="F8776" s="42"/>
      <c r="G8776" s="42"/>
      <c r="H8776" s="42"/>
      <c r="AG8776" s="19">
        <v>8775</v>
      </c>
      <c r="AH8776" s="20">
        <v>574.78583566181283</v>
      </c>
    </row>
    <row r="8777" spans="1:34" ht="14.5" x14ac:dyDescent="0.35">
      <c r="A8777" s="34"/>
      <c r="B8777" s="35"/>
      <c r="C8777" s="36"/>
      <c r="D8777" s="37"/>
      <c r="E8777" s="36"/>
      <c r="F8777" s="42"/>
      <c r="G8777" s="42"/>
      <c r="H8777" s="42"/>
      <c r="AG8777" s="19">
        <v>8776</v>
      </c>
      <c r="AH8777" s="20">
        <v>4584.3879399669659</v>
      </c>
    </row>
    <row r="8778" spans="1:34" ht="14.5" x14ac:dyDescent="0.35">
      <c r="A8778" s="34"/>
      <c r="B8778" s="35"/>
      <c r="C8778" s="36"/>
      <c r="D8778" s="37"/>
      <c r="E8778" s="36"/>
      <c r="F8778" s="42"/>
      <c r="G8778" s="42"/>
      <c r="H8778" s="42"/>
      <c r="AG8778" s="19">
        <v>8777</v>
      </c>
      <c r="AH8778" s="20">
        <v>4205.9720961995235</v>
      </c>
    </row>
    <row r="8779" spans="1:34" ht="14.5" x14ac:dyDescent="0.35">
      <c r="A8779" s="34"/>
      <c r="B8779" s="35"/>
      <c r="C8779" s="36"/>
      <c r="D8779" s="37"/>
      <c r="E8779" s="36"/>
      <c r="F8779" s="42"/>
      <c r="G8779" s="42"/>
      <c r="H8779" s="42"/>
      <c r="AG8779" s="19">
        <v>8778</v>
      </c>
      <c r="AH8779" s="20">
        <v>1699.2975153146626</v>
      </c>
    </row>
    <row r="8780" spans="1:34" ht="14.5" x14ac:dyDescent="0.35">
      <c r="A8780" s="34"/>
      <c r="B8780" s="35"/>
      <c r="C8780" s="36"/>
      <c r="D8780" s="37"/>
      <c r="E8780" s="36"/>
      <c r="F8780" s="42"/>
      <c r="G8780" s="42"/>
      <c r="H8780" s="42"/>
      <c r="AG8780" s="19">
        <v>8779</v>
      </c>
      <c r="AH8780" s="20">
        <v>-2001.6732038819507</v>
      </c>
    </row>
    <row r="8781" spans="1:34" ht="14.5" x14ac:dyDescent="0.35">
      <c r="A8781" s="34"/>
      <c r="B8781" s="35"/>
      <c r="C8781" s="36"/>
      <c r="D8781" s="37"/>
      <c r="E8781" s="36"/>
      <c r="F8781" s="42"/>
      <c r="G8781" s="42"/>
      <c r="H8781" s="42"/>
      <c r="AG8781" s="19">
        <v>8780</v>
      </c>
      <c r="AH8781" s="20">
        <v>5409.5729336396989</v>
      </c>
    </row>
    <row r="8782" spans="1:34" ht="14.5" x14ac:dyDescent="0.35">
      <c r="A8782" s="34"/>
      <c r="B8782" s="35"/>
      <c r="C8782" s="36"/>
      <c r="D8782" s="37"/>
      <c r="E8782" s="36"/>
      <c r="F8782" s="42"/>
      <c r="G8782" s="42"/>
      <c r="H8782" s="42"/>
      <c r="AG8782" s="19">
        <v>8781</v>
      </c>
      <c r="AH8782" s="20">
        <v>4593.917339007191</v>
      </c>
    </row>
    <row r="8783" spans="1:34" ht="14.5" x14ac:dyDescent="0.35">
      <c r="A8783" s="34"/>
      <c r="B8783" s="35"/>
      <c r="C8783" s="36"/>
      <c r="D8783" s="37"/>
      <c r="E8783" s="36"/>
      <c r="F8783" s="42"/>
      <c r="G8783" s="42"/>
      <c r="H8783" s="42"/>
      <c r="AG8783" s="19">
        <v>8782</v>
      </c>
      <c r="AH8783" s="20">
        <v>1749.1632291905501</v>
      </c>
    </row>
    <row r="8784" spans="1:34" ht="14.5" x14ac:dyDescent="0.35">
      <c r="A8784" s="34"/>
      <c r="B8784" s="35"/>
      <c r="C8784" s="36"/>
      <c r="D8784" s="37"/>
      <c r="E8784" s="36"/>
      <c r="F8784" s="42"/>
      <c r="G8784" s="42"/>
      <c r="H8784" s="42"/>
      <c r="AG8784" s="19">
        <v>8783</v>
      </c>
      <c r="AH8784" s="20">
        <v>2960.6387965900412</v>
      </c>
    </row>
    <row r="8785" spans="1:34" ht="14.5" x14ac:dyDescent="0.35">
      <c r="A8785" s="34"/>
      <c r="B8785" s="35"/>
      <c r="C8785" s="36"/>
      <c r="D8785" s="37"/>
      <c r="E8785" s="36"/>
      <c r="F8785" s="42"/>
      <c r="G8785" s="42"/>
      <c r="H8785" s="42"/>
      <c r="AG8785" s="19">
        <v>8784</v>
      </c>
      <c r="AH8785" s="20">
        <v>3148.7883886328991</v>
      </c>
    </row>
    <row r="8786" spans="1:34" ht="14.5" x14ac:dyDescent="0.35">
      <c r="A8786" s="34"/>
      <c r="B8786" s="35"/>
      <c r="C8786" s="36"/>
      <c r="D8786" s="37"/>
      <c r="E8786" s="36"/>
      <c r="F8786" s="42"/>
      <c r="G8786" s="42"/>
      <c r="H8786" s="42"/>
      <c r="AG8786" s="19">
        <v>8785</v>
      </c>
      <c r="AH8786" s="20">
        <v>-1565.6327059910041</v>
      </c>
    </row>
    <row r="8787" spans="1:34" ht="14.5" x14ac:dyDescent="0.35">
      <c r="A8787" s="34"/>
      <c r="B8787" s="35"/>
      <c r="C8787" s="36"/>
      <c r="D8787" s="37"/>
      <c r="E8787" s="36"/>
      <c r="F8787" s="42"/>
      <c r="G8787" s="42"/>
      <c r="H8787" s="42"/>
      <c r="AG8787" s="19">
        <v>8786</v>
      </c>
      <c r="AH8787" s="20">
        <v>-3630.7166962848569</v>
      </c>
    </row>
    <row r="8788" spans="1:34" ht="14.5" x14ac:dyDescent="0.35">
      <c r="A8788" s="34"/>
      <c r="B8788" s="35"/>
      <c r="C8788" s="36"/>
      <c r="D8788" s="37"/>
      <c r="E8788" s="36"/>
      <c r="F8788" s="42"/>
      <c r="G8788" s="42"/>
      <c r="H8788" s="42"/>
      <c r="AG8788" s="19">
        <v>8787</v>
      </c>
      <c r="AH8788" s="20">
        <v>4613.047164876285</v>
      </c>
    </row>
    <row r="8789" spans="1:34" ht="14.5" x14ac:dyDescent="0.35">
      <c r="A8789" s="34"/>
      <c r="B8789" s="35"/>
      <c r="C8789" s="36"/>
      <c r="D8789" s="37"/>
      <c r="E8789" s="36"/>
      <c r="F8789" s="42"/>
      <c r="G8789" s="42"/>
      <c r="H8789" s="42"/>
      <c r="AG8789" s="19">
        <v>8788</v>
      </c>
      <c r="AH8789" s="20">
        <v>-349.68736122452816</v>
      </c>
    </row>
    <row r="8790" spans="1:34" ht="14.5" x14ac:dyDescent="0.35">
      <c r="A8790" s="34"/>
      <c r="B8790" s="35"/>
      <c r="C8790" s="36"/>
      <c r="D8790" s="37"/>
      <c r="E8790" s="36"/>
      <c r="F8790" s="42"/>
      <c r="G8790" s="42"/>
      <c r="H8790" s="42"/>
      <c r="AG8790" s="19">
        <v>8789</v>
      </c>
      <c r="AH8790" s="20">
        <v>-420.28084557569872</v>
      </c>
    </row>
    <row r="8791" spans="1:34" ht="14.5" x14ac:dyDescent="0.35">
      <c r="A8791" s="34"/>
      <c r="B8791" s="35"/>
      <c r="C8791" s="36"/>
      <c r="D8791" s="37"/>
      <c r="E8791" s="36"/>
      <c r="F8791" s="42"/>
      <c r="G8791" s="42"/>
      <c r="H8791" s="42"/>
      <c r="AG8791" s="19">
        <v>8790</v>
      </c>
      <c r="AH8791" s="20">
        <v>-1342.2532139956293</v>
      </c>
    </row>
    <row r="8792" spans="1:34" ht="14.5" x14ac:dyDescent="0.35">
      <c r="A8792" s="34"/>
      <c r="B8792" s="35"/>
      <c r="C8792" s="36"/>
      <c r="D8792" s="37"/>
      <c r="E8792" s="36"/>
      <c r="F8792" s="42"/>
      <c r="G8792" s="42"/>
      <c r="H8792" s="42"/>
      <c r="AG8792" s="19">
        <v>8791</v>
      </c>
      <c r="AH8792" s="20">
        <v>3187.3757494419424</v>
      </c>
    </row>
    <row r="8793" spans="1:34" ht="14.5" x14ac:dyDescent="0.35">
      <c r="A8793" s="34"/>
      <c r="B8793" s="35"/>
      <c r="C8793" s="36"/>
      <c r="D8793" s="37"/>
      <c r="E8793" s="36"/>
      <c r="F8793" s="42"/>
      <c r="G8793" s="42"/>
      <c r="H8793" s="42"/>
      <c r="AG8793" s="19">
        <v>8792</v>
      </c>
      <c r="AH8793" s="20">
        <v>407.9732231490471</v>
      </c>
    </row>
    <row r="8794" spans="1:34" ht="14.5" x14ac:dyDescent="0.35">
      <c r="A8794" s="34"/>
      <c r="B8794" s="35"/>
      <c r="C8794" s="36"/>
      <c r="D8794" s="37"/>
      <c r="E8794" s="36"/>
      <c r="F8794" s="42"/>
      <c r="G8794" s="42"/>
      <c r="H8794" s="42"/>
      <c r="AG8794" s="19">
        <v>8793</v>
      </c>
      <c r="AH8794" s="20">
        <v>2025.1450536367456</v>
      </c>
    </row>
    <row r="8795" spans="1:34" ht="14.5" x14ac:dyDescent="0.35">
      <c r="A8795" s="34"/>
      <c r="B8795" s="35"/>
      <c r="C8795" s="36"/>
      <c r="D8795" s="37"/>
      <c r="E8795" s="36"/>
      <c r="F8795" s="42"/>
      <c r="G8795" s="42"/>
      <c r="H8795" s="42"/>
      <c r="AG8795" s="19">
        <v>8794</v>
      </c>
      <c r="AH8795" s="20">
        <v>954.98007303918439</v>
      </c>
    </row>
    <row r="8796" spans="1:34" ht="14.5" x14ac:dyDescent="0.35">
      <c r="A8796" s="34"/>
      <c r="B8796" s="35"/>
      <c r="C8796" s="36"/>
      <c r="D8796" s="37"/>
      <c r="E8796" s="36"/>
      <c r="F8796" s="42"/>
      <c r="G8796" s="42"/>
      <c r="H8796" s="42"/>
      <c r="AG8796" s="19">
        <v>8795</v>
      </c>
      <c r="AH8796" s="20">
        <v>1741.6447590816485</v>
      </c>
    </row>
    <row r="8797" spans="1:34" ht="14.5" x14ac:dyDescent="0.35">
      <c r="A8797" s="34"/>
      <c r="B8797" s="35"/>
      <c r="C8797" s="36"/>
      <c r="D8797" s="37"/>
      <c r="E8797" s="36"/>
      <c r="F8797" s="42"/>
      <c r="G8797" s="42"/>
      <c r="H8797" s="42"/>
      <c r="AG8797" s="19">
        <v>8796</v>
      </c>
      <c r="AH8797" s="20">
        <v>-938.79444362748541</v>
      </c>
    </row>
    <row r="8798" spans="1:34" ht="14.5" x14ac:dyDescent="0.35">
      <c r="A8798" s="34"/>
      <c r="B8798" s="35"/>
      <c r="C8798" s="36"/>
      <c r="D8798" s="37"/>
      <c r="E8798" s="36"/>
      <c r="F8798" s="42"/>
      <c r="G8798" s="42"/>
      <c r="H8798" s="42"/>
      <c r="AG8798" s="19">
        <v>8797</v>
      </c>
      <c r="AH8798" s="20">
        <v>-954.59070236742559</v>
      </c>
    </row>
    <row r="8799" spans="1:34" ht="14.5" x14ac:dyDescent="0.35">
      <c r="A8799" s="34"/>
      <c r="B8799" s="35"/>
      <c r="C8799" s="36"/>
      <c r="D8799" s="37"/>
      <c r="E8799" s="36"/>
      <c r="F8799" s="42"/>
      <c r="G8799" s="42"/>
      <c r="H8799" s="42"/>
      <c r="AG8799" s="19">
        <v>8798</v>
      </c>
      <c r="AH8799" s="20">
        <v>4727.0735430427012</v>
      </c>
    </row>
    <row r="8800" spans="1:34" ht="14.5" x14ac:dyDescent="0.35">
      <c r="A8800" s="34"/>
      <c r="B8800" s="35"/>
      <c r="C8800" s="36"/>
      <c r="D8800" s="37"/>
      <c r="E8800" s="36"/>
      <c r="F8800" s="42"/>
      <c r="G8800" s="42"/>
      <c r="H8800" s="42"/>
      <c r="AG8800" s="19">
        <v>8799</v>
      </c>
      <c r="AH8800" s="20">
        <v>-639.60603821900577</v>
      </c>
    </row>
    <row r="8801" spans="1:34" ht="14.5" x14ac:dyDescent="0.35">
      <c r="A8801" s="34"/>
      <c r="B8801" s="35"/>
      <c r="C8801" s="36"/>
      <c r="D8801" s="37"/>
      <c r="E8801" s="36"/>
      <c r="F8801" s="42"/>
      <c r="G8801" s="42"/>
      <c r="H8801" s="42"/>
      <c r="AG8801" s="19">
        <v>8800</v>
      </c>
      <c r="AH8801" s="20">
        <v>-2037.0246079777937</v>
      </c>
    </row>
    <row r="8802" spans="1:34" ht="14.5" x14ac:dyDescent="0.35">
      <c r="A8802" s="34"/>
      <c r="B8802" s="35"/>
      <c r="C8802" s="36"/>
      <c r="D8802" s="37"/>
      <c r="E8802" s="36"/>
      <c r="F8802" s="42"/>
      <c r="G8802" s="42"/>
      <c r="H8802" s="42"/>
      <c r="AG8802" s="19">
        <v>8801</v>
      </c>
      <c r="AH8802" s="20">
        <v>669.85276203291255</v>
      </c>
    </row>
    <row r="8803" spans="1:34" ht="14.5" x14ac:dyDescent="0.35">
      <c r="A8803" s="34"/>
      <c r="B8803" s="35"/>
      <c r="C8803" s="36"/>
      <c r="D8803" s="37"/>
      <c r="E8803" s="36"/>
      <c r="F8803" s="42"/>
      <c r="G8803" s="42"/>
      <c r="H8803" s="42"/>
      <c r="AG8803" s="19">
        <v>8802</v>
      </c>
      <c r="AH8803" s="20">
        <v>1928.9390441254475</v>
      </c>
    </row>
    <row r="8804" spans="1:34" ht="14.5" x14ac:dyDescent="0.35">
      <c r="A8804" s="34"/>
      <c r="B8804" s="35"/>
      <c r="C8804" s="36"/>
      <c r="D8804" s="37"/>
      <c r="E8804" s="36"/>
      <c r="F8804" s="42"/>
      <c r="G8804" s="42"/>
      <c r="H8804" s="42"/>
      <c r="AG8804" s="19">
        <v>8803</v>
      </c>
      <c r="AH8804" s="20">
        <v>882.77735110763444</v>
      </c>
    </row>
    <row r="8805" spans="1:34" ht="14.5" x14ac:dyDescent="0.35">
      <c r="A8805" s="34"/>
      <c r="B8805" s="35"/>
      <c r="C8805" s="36"/>
      <c r="D8805" s="37"/>
      <c r="E8805" s="36"/>
      <c r="F8805" s="42"/>
      <c r="G8805" s="42"/>
      <c r="H8805" s="42"/>
      <c r="AG8805" s="19">
        <v>8804</v>
      </c>
      <c r="AH8805" s="20">
        <v>761.81775454455681</v>
      </c>
    </row>
    <row r="8806" spans="1:34" ht="14.5" x14ac:dyDescent="0.35">
      <c r="A8806" s="34"/>
      <c r="B8806" s="35"/>
      <c r="C8806" s="36"/>
      <c r="D8806" s="37"/>
      <c r="E8806" s="36"/>
      <c r="F8806" s="42"/>
      <c r="G8806" s="42"/>
      <c r="H8806" s="42"/>
      <c r="AG8806" s="19">
        <v>8805</v>
      </c>
      <c r="AH8806" s="20">
        <v>-783.63025840522232</v>
      </c>
    </row>
    <row r="8807" spans="1:34" ht="14.5" x14ac:dyDescent="0.35">
      <c r="A8807" s="34"/>
      <c r="B8807" s="35"/>
      <c r="C8807" s="36"/>
      <c r="D8807" s="37"/>
      <c r="E8807" s="36"/>
      <c r="F8807" s="42"/>
      <c r="G8807" s="42"/>
      <c r="H8807" s="42"/>
      <c r="AG8807" s="19">
        <v>8806</v>
      </c>
      <c r="AH8807" s="20">
        <v>976.74643421911901</v>
      </c>
    </row>
    <row r="8808" spans="1:34" ht="14.5" x14ac:dyDescent="0.35">
      <c r="A8808" s="34"/>
      <c r="B8808" s="35"/>
      <c r="C8808" s="36"/>
      <c r="D8808" s="37"/>
      <c r="E8808" s="36"/>
      <c r="F8808" s="42"/>
      <c r="G8808" s="42"/>
      <c r="H8808" s="42"/>
      <c r="AG8808" s="19">
        <v>8807</v>
      </c>
      <c r="AH8808" s="20">
        <v>4070.3131734520621</v>
      </c>
    </row>
    <row r="8809" spans="1:34" ht="14.5" x14ac:dyDescent="0.35">
      <c r="A8809" s="34"/>
      <c r="B8809" s="35"/>
      <c r="C8809" s="36"/>
      <c r="D8809" s="37"/>
      <c r="E8809" s="36"/>
      <c r="F8809" s="42"/>
      <c r="G8809" s="42"/>
      <c r="H8809" s="42"/>
      <c r="AG8809" s="19">
        <v>8808</v>
      </c>
      <c r="AH8809" s="20">
        <v>1935.0737310419088</v>
      </c>
    </row>
    <row r="8810" spans="1:34" ht="14.5" x14ac:dyDescent="0.35">
      <c r="A8810" s="34"/>
      <c r="B8810" s="35"/>
      <c r="C8810" s="36"/>
      <c r="D8810" s="37"/>
      <c r="E8810" s="36"/>
      <c r="F8810" s="42"/>
      <c r="G8810" s="42"/>
      <c r="H8810" s="42"/>
      <c r="AG8810" s="19">
        <v>8809</v>
      </c>
      <c r="AH8810" s="20">
        <v>-1632.0309981634512</v>
      </c>
    </row>
    <row r="8811" spans="1:34" ht="14.5" x14ac:dyDescent="0.35">
      <c r="A8811" s="34"/>
      <c r="B8811" s="35"/>
      <c r="C8811" s="36"/>
      <c r="D8811" s="37"/>
      <c r="E8811" s="36"/>
      <c r="F8811" s="42"/>
      <c r="G8811" s="42"/>
      <c r="H8811" s="42"/>
      <c r="AG8811" s="19">
        <v>8810</v>
      </c>
      <c r="AH8811" s="20">
        <v>-1250.8400419515306</v>
      </c>
    </row>
    <row r="8812" spans="1:34" ht="14.5" x14ac:dyDescent="0.35">
      <c r="A8812" s="34"/>
      <c r="B8812" s="35"/>
      <c r="C8812" s="36"/>
      <c r="D8812" s="37"/>
      <c r="E8812" s="36"/>
      <c r="F8812" s="42"/>
      <c r="G8812" s="42"/>
      <c r="H8812" s="42"/>
      <c r="AG8812" s="19">
        <v>8811</v>
      </c>
      <c r="AH8812" s="20">
        <v>-358.93166165968984</v>
      </c>
    </row>
    <row r="8813" spans="1:34" ht="14.5" x14ac:dyDescent="0.35">
      <c r="A8813" s="34"/>
      <c r="B8813" s="35"/>
      <c r="C8813" s="36"/>
      <c r="D8813" s="37"/>
      <c r="E8813" s="36"/>
      <c r="F8813" s="42"/>
      <c r="G8813" s="42"/>
      <c r="H8813" s="42"/>
      <c r="AG8813" s="19">
        <v>8812</v>
      </c>
      <c r="AH8813" s="20">
        <v>-240.13386603631017</v>
      </c>
    </row>
    <row r="8814" spans="1:34" ht="14.5" x14ac:dyDescent="0.35">
      <c r="A8814" s="34"/>
      <c r="B8814" s="35"/>
      <c r="C8814" s="36"/>
      <c r="D8814" s="37"/>
      <c r="E8814" s="36"/>
      <c r="F8814" s="42"/>
      <c r="G8814" s="42"/>
      <c r="H8814" s="42"/>
      <c r="AG8814" s="19">
        <v>8813</v>
      </c>
      <c r="AH8814" s="20">
        <v>3279.4132915766045</v>
      </c>
    </row>
    <row r="8815" spans="1:34" ht="14.5" x14ac:dyDescent="0.35">
      <c r="A8815" s="34"/>
      <c r="B8815" s="35"/>
      <c r="C8815" s="36"/>
      <c r="D8815" s="37"/>
      <c r="E8815" s="36"/>
      <c r="F8815" s="42"/>
      <c r="G8815" s="42"/>
      <c r="H8815" s="42"/>
      <c r="AG8815" s="19">
        <v>8814</v>
      </c>
      <c r="AH8815" s="20">
        <v>2538.8231531966321</v>
      </c>
    </row>
    <row r="8816" spans="1:34" ht="14.5" x14ac:dyDescent="0.35">
      <c r="A8816" s="34"/>
      <c r="B8816" s="35"/>
      <c r="C8816" s="36"/>
      <c r="D8816" s="37"/>
      <c r="E8816" s="36"/>
      <c r="F8816" s="42"/>
      <c r="G8816" s="42"/>
      <c r="H8816" s="42"/>
      <c r="AG8816" s="19">
        <v>8815</v>
      </c>
      <c r="AH8816" s="20">
        <v>2905.7591923811237</v>
      </c>
    </row>
    <row r="8817" spans="1:34" ht="14.5" x14ac:dyDescent="0.35">
      <c r="A8817" s="34"/>
      <c r="B8817" s="35"/>
      <c r="C8817" s="36"/>
      <c r="D8817" s="37"/>
      <c r="E8817" s="36"/>
      <c r="F8817" s="42"/>
      <c r="G8817" s="42"/>
      <c r="H8817" s="42"/>
      <c r="AG8817" s="19">
        <v>8816</v>
      </c>
      <c r="AH8817" s="20">
        <v>-257.95404721692449</v>
      </c>
    </row>
    <row r="8818" spans="1:34" ht="14.5" x14ac:dyDescent="0.35">
      <c r="A8818" s="34"/>
      <c r="B8818" s="35"/>
      <c r="C8818" s="36"/>
      <c r="D8818" s="37"/>
      <c r="E8818" s="36"/>
      <c r="F8818" s="42"/>
      <c r="G8818" s="42"/>
      <c r="H8818" s="42"/>
      <c r="AG8818" s="19">
        <v>8817</v>
      </c>
      <c r="AH8818" s="20">
        <v>-2306.0933710823947</v>
      </c>
    </row>
    <row r="8819" spans="1:34" ht="14.5" x14ac:dyDescent="0.35">
      <c r="A8819" s="34"/>
      <c r="B8819" s="35"/>
      <c r="C8819" s="36"/>
      <c r="D8819" s="37"/>
      <c r="E8819" s="36"/>
      <c r="F8819" s="42"/>
      <c r="G8819" s="42"/>
      <c r="H8819" s="42"/>
      <c r="AG8819" s="19">
        <v>8818</v>
      </c>
      <c r="AH8819" s="20">
        <v>-124.78061608562604</v>
      </c>
    </row>
    <row r="8820" spans="1:34" ht="14.5" x14ac:dyDescent="0.35">
      <c r="A8820" s="34"/>
      <c r="B8820" s="35"/>
      <c r="C8820" s="36"/>
      <c r="D8820" s="37"/>
      <c r="E8820" s="36"/>
      <c r="F8820" s="42"/>
      <c r="G8820" s="42"/>
      <c r="H8820" s="42"/>
      <c r="AG8820" s="19">
        <v>8819</v>
      </c>
      <c r="AH8820" s="20">
        <v>3887.5253156888307</v>
      </c>
    </row>
    <row r="8821" spans="1:34" ht="14.5" x14ac:dyDescent="0.35">
      <c r="A8821" s="34"/>
      <c r="B8821" s="35"/>
      <c r="C8821" s="36"/>
      <c r="D8821" s="37"/>
      <c r="E8821" s="36"/>
      <c r="F8821" s="42"/>
      <c r="G8821" s="42"/>
      <c r="H8821" s="42"/>
      <c r="AG8821" s="19">
        <v>8820</v>
      </c>
      <c r="AH8821" s="20">
        <v>-2090.2454116938729</v>
      </c>
    </row>
    <row r="8822" spans="1:34" ht="14.5" x14ac:dyDescent="0.35">
      <c r="A8822" s="34"/>
      <c r="B8822" s="35"/>
      <c r="C8822" s="36"/>
      <c r="D8822" s="37"/>
      <c r="E8822" s="36"/>
      <c r="F8822" s="42"/>
      <c r="G8822" s="42"/>
      <c r="H8822" s="42"/>
      <c r="AG8822" s="19">
        <v>8821</v>
      </c>
      <c r="AH8822" s="20">
        <v>2885.0731907206859</v>
      </c>
    </row>
    <row r="8823" spans="1:34" ht="14.5" x14ac:dyDescent="0.35">
      <c r="A8823" s="34"/>
      <c r="B8823" s="35"/>
      <c r="C8823" s="36"/>
      <c r="D8823" s="37"/>
      <c r="E8823" s="36"/>
      <c r="F8823" s="42"/>
      <c r="G8823" s="42"/>
      <c r="H8823" s="42"/>
      <c r="AG8823" s="19">
        <v>8822</v>
      </c>
      <c r="AH8823" s="20">
        <v>-3205.9977248078389</v>
      </c>
    </row>
    <row r="8824" spans="1:34" ht="14.5" x14ac:dyDescent="0.35">
      <c r="A8824" s="34"/>
      <c r="B8824" s="35"/>
      <c r="C8824" s="36"/>
      <c r="D8824" s="37"/>
      <c r="E8824" s="36"/>
      <c r="F8824" s="42"/>
      <c r="G8824" s="42"/>
      <c r="H8824" s="42"/>
      <c r="AG8824" s="19">
        <v>8823</v>
      </c>
      <c r="AH8824" s="20">
        <v>5598.0231807565278</v>
      </c>
    </row>
    <row r="8825" spans="1:34" ht="14.5" x14ac:dyDescent="0.35">
      <c r="A8825" s="34"/>
      <c r="B8825" s="35"/>
      <c r="C8825" s="36"/>
      <c r="D8825" s="37"/>
      <c r="E8825" s="36"/>
      <c r="F8825" s="42"/>
      <c r="G8825" s="42"/>
      <c r="H8825" s="42"/>
      <c r="AG8825" s="19">
        <v>8824</v>
      </c>
      <c r="AH8825" s="20">
        <v>1490.4580107604675</v>
      </c>
    </row>
    <row r="8826" spans="1:34" ht="14.5" x14ac:dyDescent="0.35">
      <c r="A8826" s="34"/>
      <c r="B8826" s="35"/>
      <c r="C8826" s="36"/>
      <c r="D8826" s="37"/>
      <c r="E8826" s="36"/>
      <c r="F8826" s="42"/>
      <c r="G8826" s="42"/>
      <c r="H8826" s="42"/>
      <c r="AG8826" s="19">
        <v>8825</v>
      </c>
      <c r="AH8826" s="20">
        <v>4488.6462623497337</v>
      </c>
    </row>
    <row r="8827" spans="1:34" ht="14.5" x14ac:dyDescent="0.35">
      <c r="A8827" s="34"/>
      <c r="B8827" s="35"/>
      <c r="C8827" s="36"/>
      <c r="D8827" s="37"/>
      <c r="E8827" s="36"/>
      <c r="F8827" s="42"/>
      <c r="G8827" s="42"/>
      <c r="H8827" s="42"/>
      <c r="AG8827" s="19">
        <v>8826</v>
      </c>
      <c r="AH8827" s="20">
        <v>-2509.1122667841792</v>
      </c>
    </row>
    <row r="8828" spans="1:34" ht="14.5" x14ac:dyDescent="0.35">
      <c r="A8828" s="34"/>
      <c r="B8828" s="35"/>
      <c r="C8828" s="36"/>
      <c r="D8828" s="37"/>
      <c r="E8828" s="36"/>
      <c r="F8828" s="42"/>
      <c r="G8828" s="42"/>
      <c r="H8828" s="42"/>
      <c r="AG8828" s="19">
        <v>8827</v>
      </c>
      <c r="AH8828" s="20">
        <v>1030.8617868703436</v>
      </c>
    </row>
    <row r="8829" spans="1:34" ht="14.5" x14ac:dyDescent="0.35">
      <c r="A8829" s="34"/>
      <c r="B8829" s="35"/>
      <c r="C8829" s="36"/>
      <c r="D8829" s="37"/>
      <c r="E8829" s="36"/>
      <c r="F8829" s="42"/>
      <c r="G8829" s="42"/>
      <c r="H8829" s="42"/>
      <c r="AG8829" s="19">
        <v>8828</v>
      </c>
      <c r="AH8829" s="20">
        <v>1624.4385590759002</v>
      </c>
    </row>
    <row r="8830" spans="1:34" ht="14.5" x14ac:dyDescent="0.35">
      <c r="A8830" s="34"/>
      <c r="B8830" s="35"/>
      <c r="C8830" s="36"/>
      <c r="D8830" s="37"/>
      <c r="E8830" s="36"/>
      <c r="F8830" s="42"/>
      <c r="G8830" s="42"/>
      <c r="H8830" s="42"/>
      <c r="AG8830" s="19">
        <v>8829</v>
      </c>
      <c r="AH8830" s="20">
        <v>-424.24899420812318</v>
      </c>
    </row>
    <row r="8831" spans="1:34" ht="14.5" x14ac:dyDescent="0.35">
      <c r="A8831" s="34"/>
      <c r="B8831" s="35"/>
      <c r="C8831" s="36"/>
      <c r="D8831" s="37"/>
      <c r="E8831" s="36"/>
      <c r="F8831" s="42"/>
      <c r="G8831" s="42"/>
      <c r="H8831" s="42"/>
      <c r="AG8831" s="19">
        <v>8830</v>
      </c>
      <c r="AH8831" s="20">
        <v>1383.5152649978875</v>
      </c>
    </row>
    <row r="8832" spans="1:34" ht="14.5" x14ac:dyDescent="0.35">
      <c r="A8832" s="34"/>
      <c r="B8832" s="35"/>
      <c r="C8832" s="36"/>
      <c r="D8832" s="37"/>
      <c r="E8832" s="36"/>
      <c r="F8832" s="42"/>
      <c r="G8832" s="42"/>
      <c r="H8832" s="42"/>
      <c r="AG8832" s="19">
        <v>8831</v>
      </c>
      <c r="AH8832" s="20">
        <v>4509.5910365493273</v>
      </c>
    </row>
    <row r="8833" spans="1:34" ht="14.5" x14ac:dyDescent="0.35">
      <c r="A8833" s="34"/>
      <c r="B8833" s="35"/>
      <c r="C8833" s="36"/>
      <c r="D8833" s="37"/>
      <c r="E8833" s="36"/>
      <c r="F8833" s="42"/>
      <c r="G8833" s="42"/>
      <c r="H8833" s="42"/>
      <c r="AG8833" s="19">
        <v>8832</v>
      </c>
      <c r="AH8833" s="20">
        <v>801.61691929670462</v>
      </c>
    </row>
    <row r="8834" spans="1:34" ht="14.5" x14ac:dyDescent="0.35">
      <c r="A8834" s="34"/>
      <c r="B8834" s="35"/>
      <c r="C8834" s="36"/>
      <c r="D8834" s="37"/>
      <c r="E8834" s="36"/>
      <c r="F8834" s="42"/>
      <c r="G8834" s="42"/>
      <c r="H8834" s="42"/>
      <c r="AG8834" s="19">
        <v>8833</v>
      </c>
      <c r="AH8834" s="20">
        <v>678.28525964264395</v>
      </c>
    </row>
    <row r="8835" spans="1:34" ht="14.5" x14ac:dyDescent="0.35">
      <c r="A8835" s="34"/>
      <c r="B8835" s="35"/>
      <c r="C8835" s="36"/>
      <c r="D8835" s="37"/>
      <c r="E8835" s="36"/>
      <c r="F8835" s="42"/>
      <c r="G8835" s="42"/>
      <c r="H8835" s="42"/>
      <c r="AG8835" s="19">
        <v>8834</v>
      </c>
      <c r="AH8835" s="20">
        <v>-1349.0891753257044</v>
      </c>
    </row>
    <row r="8836" spans="1:34" ht="14.5" x14ac:dyDescent="0.35">
      <c r="A8836" s="34"/>
      <c r="B8836" s="35"/>
      <c r="C8836" s="36"/>
      <c r="D8836" s="37"/>
      <c r="E8836" s="36"/>
      <c r="F8836" s="42"/>
      <c r="G8836" s="42"/>
      <c r="H8836" s="42"/>
      <c r="AG8836" s="19">
        <v>8835</v>
      </c>
      <c r="AH8836" s="20">
        <v>-1120.0570855102364</v>
      </c>
    </row>
    <row r="8837" spans="1:34" ht="14.5" x14ac:dyDescent="0.35">
      <c r="A8837" s="34"/>
      <c r="B8837" s="35"/>
      <c r="C8837" s="36"/>
      <c r="D8837" s="37"/>
      <c r="E8837" s="36"/>
      <c r="F8837" s="42"/>
      <c r="G8837" s="42"/>
      <c r="H8837" s="42"/>
      <c r="AG8837" s="19">
        <v>8836</v>
      </c>
      <c r="AH8837" s="20">
        <v>-2735.656372118463</v>
      </c>
    </row>
    <row r="8838" spans="1:34" ht="14.5" x14ac:dyDescent="0.35">
      <c r="A8838" s="34"/>
      <c r="B8838" s="35"/>
      <c r="C8838" s="36"/>
      <c r="D8838" s="37"/>
      <c r="E8838" s="36"/>
      <c r="F8838" s="42"/>
      <c r="G8838" s="42"/>
      <c r="H8838" s="42"/>
      <c r="AG8838" s="19">
        <v>8837</v>
      </c>
      <c r="AH8838" s="20">
        <v>2374.3077951286582</v>
      </c>
    </row>
    <row r="8839" spans="1:34" ht="14.5" x14ac:dyDescent="0.35">
      <c r="A8839" s="34"/>
      <c r="B8839" s="35"/>
      <c r="C8839" s="36"/>
      <c r="D8839" s="37"/>
      <c r="E8839" s="36"/>
      <c r="F8839" s="42"/>
      <c r="G8839" s="42"/>
      <c r="H8839" s="42"/>
      <c r="AG8839" s="19">
        <v>8838</v>
      </c>
      <c r="AH8839" s="20">
        <v>6087.8559795133515</v>
      </c>
    </row>
    <row r="8840" spans="1:34" ht="14.5" x14ac:dyDescent="0.35">
      <c r="A8840" s="34"/>
      <c r="B8840" s="35"/>
      <c r="C8840" s="36"/>
      <c r="D8840" s="37"/>
      <c r="E8840" s="36"/>
      <c r="F8840" s="42"/>
      <c r="G8840" s="42"/>
      <c r="H8840" s="42"/>
      <c r="AG8840" s="19">
        <v>8839</v>
      </c>
      <c r="AH8840" s="20">
        <v>-4.1054220592562842</v>
      </c>
    </row>
    <row r="8841" spans="1:34" ht="14.5" x14ac:dyDescent="0.35">
      <c r="A8841" s="34"/>
      <c r="B8841" s="35"/>
      <c r="C8841" s="36"/>
      <c r="D8841" s="37"/>
      <c r="E8841" s="36"/>
      <c r="F8841" s="42"/>
      <c r="G8841" s="42"/>
      <c r="H8841" s="42"/>
      <c r="AG8841" s="19">
        <v>8840</v>
      </c>
      <c r="AH8841" s="20">
        <v>-1889.747753302586</v>
      </c>
    </row>
    <row r="8842" spans="1:34" ht="14.5" x14ac:dyDescent="0.35">
      <c r="A8842" s="34"/>
      <c r="B8842" s="35"/>
      <c r="C8842" s="36"/>
      <c r="D8842" s="37"/>
      <c r="E8842" s="36"/>
      <c r="F8842" s="42"/>
      <c r="G8842" s="42"/>
      <c r="H8842" s="42"/>
      <c r="AG8842" s="19">
        <v>8841</v>
      </c>
      <c r="AH8842" s="20">
        <v>616.08721116436107</v>
      </c>
    </row>
    <row r="8843" spans="1:34" ht="14.5" x14ac:dyDescent="0.35">
      <c r="A8843" s="34"/>
      <c r="B8843" s="35"/>
      <c r="C8843" s="36"/>
      <c r="D8843" s="37"/>
      <c r="E8843" s="36"/>
      <c r="F8843" s="42"/>
      <c r="G8843" s="42"/>
      <c r="H8843" s="42"/>
      <c r="AG8843" s="19">
        <v>8842</v>
      </c>
      <c r="AH8843" s="20">
        <v>4191.399564416256</v>
      </c>
    </row>
    <row r="8844" spans="1:34" ht="14.5" x14ac:dyDescent="0.35">
      <c r="A8844" s="34"/>
      <c r="B8844" s="35"/>
      <c r="C8844" s="36"/>
      <c r="D8844" s="37"/>
      <c r="E8844" s="36"/>
      <c r="F8844" s="42"/>
      <c r="G8844" s="42"/>
      <c r="H8844" s="42"/>
      <c r="AG8844" s="19">
        <v>8843</v>
      </c>
      <c r="AH8844" s="20">
        <v>-855.21092115068086</v>
      </c>
    </row>
    <row r="8845" spans="1:34" ht="14.5" x14ac:dyDescent="0.35">
      <c r="A8845" s="34"/>
      <c r="B8845" s="35"/>
      <c r="C8845" s="36"/>
      <c r="D8845" s="37"/>
      <c r="E8845" s="36"/>
      <c r="F8845" s="42"/>
      <c r="G8845" s="42"/>
      <c r="H8845" s="42"/>
      <c r="AG8845" s="19">
        <v>8844</v>
      </c>
      <c r="AH8845" s="20">
        <v>-4547.3981254334822</v>
      </c>
    </row>
    <row r="8846" spans="1:34" ht="14.5" x14ac:dyDescent="0.35">
      <c r="A8846" s="34"/>
      <c r="B8846" s="35"/>
      <c r="C8846" s="36"/>
      <c r="D8846" s="37"/>
      <c r="E8846" s="36"/>
      <c r="F8846" s="42"/>
      <c r="G8846" s="42"/>
      <c r="H8846" s="42"/>
      <c r="AG8846" s="19">
        <v>8845</v>
      </c>
      <c r="AH8846" s="20">
        <v>1559.2293174442545</v>
      </c>
    </row>
    <row r="8847" spans="1:34" ht="14.5" x14ac:dyDescent="0.35">
      <c r="A8847" s="34"/>
      <c r="B8847" s="35"/>
      <c r="C8847" s="36"/>
      <c r="D8847" s="37"/>
      <c r="E8847" s="36"/>
      <c r="F8847" s="42"/>
      <c r="G8847" s="42"/>
      <c r="H8847" s="42"/>
      <c r="AG8847" s="19">
        <v>8846</v>
      </c>
      <c r="AH8847" s="20">
        <v>668.86638049141266</v>
      </c>
    </row>
    <row r="8848" spans="1:34" ht="14.5" x14ac:dyDescent="0.35">
      <c r="A8848" s="34"/>
      <c r="B8848" s="35"/>
      <c r="C8848" s="36"/>
      <c r="D8848" s="37"/>
      <c r="E8848" s="36"/>
      <c r="F8848" s="42"/>
      <c r="G8848" s="42"/>
      <c r="H8848" s="42"/>
      <c r="AG8848" s="19">
        <v>8847</v>
      </c>
      <c r="AH8848" s="20">
        <v>328.90499273009772</v>
      </c>
    </row>
    <row r="8849" spans="1:34" ht="14.5" x14ac:dyDescent="0.35">
      <c r="A8849" s="34"/>
      <c r="B8849" s="35"/>
      <c r="C8849" s="36"/>
      <c r="D8849" s="37"/>
      <c r="E8849" s="36"/>
      <c r="F8849" s="42"/>
      <c r="G8849" s="42"/>
      <c r="H8849" s="42"/>
      <c r="AG8849" s="19">
        <v>8848</v>
      </c>
      <c r="AH8849" s="20">
        <v>-3299.0481904938533</v>
      </c>
    </row>
    <row r="8850" spans="1:34" ht="14.5" x14ac:dyDescent="0.35">
      <c r="A8850" s="34"/>
      <c r="B8850" s="35"/>
      <c r="C8850" s="36"/>
      <c r="D8850" s="37"/>
      <c r="E8850" s="36"/>
      <c r="F8850" s="42"/>
      <c r="G8850" s="42"/>
      <c r="H8850" s="42"/>
      <c r="AG8850" s="19">
        <v>8849</v>
      </c>
      <c r="AH8850" s="20">
        <v>2786.6145771947913</v>
      </c>
    </row>
    <row r="8851" spans="1:34" ht="14.5" x14ac:dyDescent="0.35">
      <c r="A8851" s="34"/>
      <c r="B8851" s="35"/>
      <c r="C8851" s="36"/>
      <c r="D8851" s="37"/>
      <c r="E8851" s="36"/>
      <c r="F8851" s="42"/>
      <c r="G8851" s="42"/>
      <c r="H8851" s="42"/>
      <c r="AG8851" s="19">
        <v>8850</v>
      </c>
      <c r="AH8851" s="20">
        <v>-930.14812867744808</v>
      </c>
    </row>
    <row r="8852" spans="1:34" ht="14.5" x14ac:dyDescent="0.35">
      <c r="A8852" s="34"/>
      <c r="B8852" s="35"/>
      <c r="C8852" s="36"/>
      <c r="D8852" s="37"/>
      <c r="E8852" s="36"/>
      <c r="F8852" s="42"/>
      <c r="G8852" s="42"/>
      <c r="H8852" s="42"/>
      <c r="AG8852" s="19">
        <v>8851</v>
      </c>
      <c r="AH8852" s="20">
        <v>-1301.6627229098381</v>
      </c>
    </row>
    <row r="8853" spans="1:34" ht="14.5" x14ac:dyDescent="0.35">
      <c r="A8853" s="34"/>
      <c r="B8853" s="35"/>
      <c r="C8853" s="36"/>
      <c r="D8853" s="37"/>
      <c r="E8853" s="36"/>
      <c r="F8853" s="42"/>
      <c r="G8853" s="42"/>
      <c r="H8853" s="42"/>
      <c r="AG8853" s="19">
        <v>8852</v>
      </c>
      <c r="AH8853" s="20">
        <v>-3112.2797541449791</v>
      </c>
    </row>
    <row r="8854" spans="1:34" ht="14.5" x14ac:dyDescent="0.35">
      <c r="A8854" s="34"/>
      <c r="B8854" s="35"/>
      <c r="C8854" s="36"/>
      <c r="D8854" s="37"/>
      <c r="E8854" s="36"/>
      <c r="F8854" s="42"/>
      <c r="G8854" s="42"/>
      <c r="H8854" s="42"/>
      <c r="AG8854" s="19">
        <v>8853</v>
      </c>
      <c r="AH8854" s="20">
        <v>2939.2585843344332</v>
      </c>
    </row>
    <row r="8855" spans="1:34" ht="14.5" x14ac:dyDescent="0.35">
      <c r="A8855" s="34"/>
      <c r="B8855" s="35"/>
      <c r="C8855" s="36"/>
      <c r="D8855" s="37"/>
      <c r="E8855" s="36"/>
      <c r="F8855" s="42"/>
      <c r="G8855" s="42"/>
      <c r="H8855" s="42"/>
      <c r="AG8855" s="19">
        <v>8854</v>
      </c>
      <c r="AH8855" s="20">
        <v>702.2559624674866</v>
      </c>
    </row>
    <row r="8856" spans="1:34" ht="14.5" x14ac:dyDescent="0.35">
      <c r="A8856" s="34"/>
      <c r="B8856" s="35"/>
      <c r="C8856" s="36"/>
      <c r="D8856" s="37"/>
      <c r="E8856" s="36"/>
      <c r="F8856" s="42"/>
      <c r="G8856" s="42"/>
      <c r="H8856" s="42"/>
      <c r="AG8856" s="19">
        <v>8855</v>
      </c>
      <c r="AH8856" s="20">
        <v>-1176.9151644796809</v>
      </c>
    </row>
    <row r="8857" spans="1:34" ht="14.5" x14ac:dyDescent="0.35">
      <c r="A8857" s="34"/>
      <c r="B8857" s="35"/>
      <c r="C8857" s="36"/>
      <c r="D8857" s="37"/>
      <c r="E8857" s="36"/>
      <c r="F8857" s="42"/>
      <c r="G8857" s="42"/>
      <c r="H8857" s="42"/>
      <c r="AG8857" s="19">
        <v>8856</v>
      </c>
      <c r="AH8857" s="20">
        <v>2298.0804349975942</v>
      </c>
    </row>
    <row r="8858" spans="1:34" ht="14.5" x14ac:dyDescent="0.35">
      <c r="A8858" s="34"/>
      <c r="B8858" s="35"/>
      <c r="C8858" s="36"/>
      <c r="D8858" s="37"/>
      <c r="E8858" s="36"/>
      <c r="F8858" s="42"/>
      <c r="G8858" s="42"/>
      <c r="H8858" s="42"/>
      <c r="AG8858" s="19">
        <v>8857</v>
      </c>
      <c r="AH8858" s="20">
        <v>-1588.2413506782996</v>
      </c>
    </row>
    <row r="8859" spans="1:34" ht="14.5" x14ac:dyDescent="0.35">
      <c r="A8859" s="34"/>
      <c r="B8859" s="35"/>
      <c r="C8859" s="36"/>
      <c r="D8859" s="37"/>
      <c r="E8859" s="36"/>
      <c r="F8859" s="42"/>
      <c r="G8859" s="42"/>
      <c r="H8859" s="42"/>
      <c r="AG8859" s="19">
        <v>8858</v>
      </c>
      <c r="AH8859" s="20">
        <v>2095.9640397378462</v>
      </c>
    </row>
    <row r="8860" spans="1:34" ht="14.5" x14ac:dyDescent="0.35">
      <c r="A8860" s="34"/>
      <c r="B8860" s="35"/>
      <c r="C8860" s="36"/>
      <c r="D8860" s="37"/>
      <c r="E8860" s="36"/>
      <c r="F8860" s="42"/>
      <c r="G8860" s="42"/>
      <c r="H8860" s="42"/>
      <c r="AG8860" s="19">
        <v>8859</v>
      </c>
      <c r="AH8860" s="20">
        <v>-1345.0427931825575</v>
      </c>
    </row>
    <row r="8861" spans="1:34" ht="14.5" x14ac:dyDescent="0.35">
      <c r="A8861" s="34"/>
      <c r="B8861" s="35"/>
      <c r="C8861" s="36"/>
      <c r="D8861" s="37"/>
      <c r="E8861" s="36"/>
      <c r="F8861" s="42"/>
      <c r="G8861" s="42"/>
      <c r="H8861" s="42"/>
      <c r="AG8861" s="19">
        <v>8860</v>
      </c>
      <c r="AH8861" s="20">
        <v>283.56316524344498</v>
      </c>
    </row>
    <row r="8862" spans="1:34" ht="14.5" x14ac:dyDescent="0.35">
      <c r="A8862" s="34"/>
      <c r="B8862" s="35"/>
      <c r="C8862" s="36"/>
      <c r="D8862" s="37"/>
      <c r="E8862" s="36"/>
      <c r="F8862" s="42"/>
      <c r="G8862" s="42"/>
      <c r="H8862" s="42"/>
      <c r="AG8862" s="19">
        <v>8861</v>
      </c>
      <c r="AH8862" s="20">
        <v>495.84420591954483</v>
      </c>
    </row>
    <row r="8863" spans="1:34" ht="14.5" x14ac:dyDescent="0.35">
      <c r="A8863" s="34"/>
      <c r="B8863" s="35"/>
      <c r="C8863" s="36"/>
      <c r="D8863" s="37"/>
      <c r="E8863" s="36"/>
      <c r="F8863" s="42"/>
      <c r="G8863" s="42"/>
      <c r="H8863" s="42"/>
      <c r="AG8863" s="19">
        <v>8862</v>
      </c>
      <c r="AH8863" s="20">
        <v>1855.7122087081962</v>
      </c>
    </row>
    <row r="8864" spans="1:34" ht="14.5" x14ac:dyDescent="0.35">
      <c r="A8864" s="34"/>
      <c r="B8864" s="35"/>
      <c r="C8864" s="36"/>
      <c r="D8864" s="37"/>
      <c r="E8864" s="36"/>
      <c r="F8864" s="42"/>
      <c r="G8864" s="42"/>
      <c r="H8864" s="42"/>
      <c r="AG8864" s="19">
        <v>8863</v>
      </c>
      <c r="AH8864" s="20">
        <v>661.51906815027405</v>
      </c>
    </row>
    <row r="8865" spans="1:34" ht="14.5" x14ac:dyDescent="0.35">
      <c r="A8865" s="34"/>
      <c r="B8865" s="35"/>
      <c r="C8865" s="36"/>
      <c r="D8865" s="37"/>
      <c r="E8865" s="36"/>
      <c r="F8865" s="42"/>
      <c r="G8865" s="42"/>
      <c r="H8865" s="42"/>
      <c r="AG8865" s="19">
        <v>8864</v>
      </c>
      <c r="AH8865" s="20">
        <v>39.493955233734823</v>
      </c>
    </row>
    <row r="8866" spans="1:34" ht="14.5" x14ac:dyDescent="0.35">
      <c r="A8866" s="34"/>
      <c r="B8866" s="35"/>
      <c r="C8866" s="36"/>
      <c r="D8866" s="37"/>
      <c r="E8866" s="36"/>
      <c r="F8866" s="42"/>
      <c r="G8866" s="42"/>
      <c r="H8866" s="42"/>
      <c r="AG8866" s="19">
        <v>8865</v>
      </c>
      <c r="AH8866" s="20">
        <v>3661.0169890826742</v>
      </c>
    </row>
    <row r="8867" spans="1:34" ht="14.5" x14ac:dyDescent="0.35">
      <c r="A8867" s="34"/>
      <c r="B8867" s="35"/>
      <c r="C8867" s="36"/>
      <c r="D8867" s="37"/>
      <c r="E8867" s="36"/>
      <c r="F8867" s="42"/>
      <c r="G8867" s="42"/>
      <c r="H8867" s="42"/>
      <c r="AG8867" s="19">
        <v>8866</v>
      </c>
      <c r="AH8867" s="20">
        <v>1857.6661365937416</v>
      </c>
    </row>
    <row r="8868" spans="1:34" ht="14.5" x14ac:dyDescent="0.35">
      <c r="A8868" s="34"/>
      <c r="B8868" s="35"/>
      <c r="C8868" s="36"/>
      <c r="D8868" s="37"/>
      <c r="E8868" s="36"/>
      <c r="F8868" s="42"/>
      <c r="G8868" s="42"/>
      <c r="H8868" s="42"/>
      <c r="AG8868" s="19">
        <v>8867</v>
      </c>
      <c r="AH8868" s="20">
        <v>1056.1995305357309</v>
      </c>
    </row>
    <row r="8869" spans="1:34" ht="14.5" x14ac:dyDescent="0.35">
      <c r="A8869" s="34"/>
      <c r="B8869" s="35"/>
      <c r="C8869" s="36"/>
      <c r="D8869" s="37"/>
      <c r="E8869" s="36"/>
      <c r="F8869" s="42"/>
      <c r="G8869" s="42"/>
      <c r="H8869" s="42"/>
      <c r="AG8869" s="19">
        <v>8868</v>
      </c>
      <c r="AH8869" s="20">
        <v>-135.81638995127327</v>
      </c>
    </row>
    <row r="8870" spans="1:34" ht="14.5" x14ac:dyDescent="0.35">
      <c r="A8870" s="34"/>
      <c r="B8870" s="35"/>
      <c r="C8870" s="36"/>
      <c r="D8870" s="37"/>
      <c r="E8870" s="36"/>
      <c r="F8870" s="42"/>
      <c r="G8870" s="42"/>
      <c r="H8870" s="42"/>
      <c r="AG8870" s="19">
        <v>8869</v>
      </c>
      <c r="AH8870" s="20">
        <v>260.64104174059707</v>
      </c>
    </row>
    <row r="8871" spans="1:34" ht="14.5" x14ac:dyDescent="0.35">
      <c r="A8871" s="34"/>
      <c r="B8871" s="35"/>
      <c r="C8871" s="36"/>
      <c r="D8871" s="37"/>
      <c r="E8871" s="36"/>
      <c r="F8871" s="42"/>
      <c r="G8871" s="42"/>
      <c r="H8871" s="42"/>
      <c r="AG8871" s="19">
        <v>8870</v>
      </c>
      <c r="AH8871" s="20">
        <v>-1825.5805139818829</v>
      </c>
    </row>
    <row r="8872" spans="1:34" ht="14.5" x14ac:dyDescent="0.35">
      <c r="A8872" s="34"/>
      <c r="B8872" s="35"/>
      <c r="C8872" s="36"/>
      <c r="D8872" s="37"/>
      <c r="E8872" s="36"/>
      <c r="F8872" s="42"/>
      <c r="G8872" s="42"/>
      <c r="H8872" s="42"/>
      <c r="AG8872" s="19">
        <v>8871</v>
      </c>
      <c r="AH8872" s="20">
        <v>-914.93607058211819</v>
      </c>
    </row>
    <row r="8873" spans="1:34" ht="14.5" x14ac:dyDescent="0.35">
      <c r="A8873" s="34"/>
      <c r="B8873" s="35"/>
      <c r="C8873" s="36"/>
      <c r="D8873" s="37"/>
      <c r="E8873" s="36"/>
      <c r="F8873" s="42"/>
      <c r="G8873" s="42"/>
      <c r="H8873" s="42"/>
      <c r="AG8873" s="19">
        <v>8872</v>
      </c>
      <c r="AH8873" s="20">
        <v>-517.30443369222394</v>
      </c>
    </row>
    <row r="8874" spans="1:34" ht="14.5" x14ac:dyDescent="0.35">
      <c r="A8874" s="34"/>
      <c r="B8874" s="35"/>
      <c r="C8874" s="36"/>
      <c r="D8874" s="37"/>
      <c r="E8874" s="36"/>
      <c r="F8874" s="42"/>
      <c r="G8874" s="42"/>
      <c r="H8874" s="42"/>
      <c r="AG8874" s="19">
        <v>8873</v>
      </c>
      <c r="AH8874" s="20">
        <v>-3151.48442932744</v>
      </c>
    </row>
    <row r="8875" spans="1:34" ht="14.5" x14ac:dyDescent="0.35">
      <c r="A8875" s="34"/>
      <c r="B8875" s="35"/>
      <c r="C8875" s="36"/>
      <c r="D8875" s="37"/>
      <c r="E8875" s="36"/>
      <c r="F8875" s="42"/>
      <c r="G8875" s="42"/>
      <c r="H8875" s="42"/>
      <c r="AG8875" s="19">
        <v>8874</v>
      </c>
      <c r="AH8875" s="20">
        <v>863.28108320364788</v>
      </c>
    </row>
    <row r="8876" spans="1:34" ht="14.5" x14ac:dyDescent="0.35">
      <c r="A8876" s="34"/>
      <c r="B8876" s="35"/>
      <c r="C8876" s="36"/>
      <c r="D8876" s="37"/>
      <c r="E8876" s="36"/>
      <c r="F8876" s="42"/>
      <c r="G8876" s="42"/>
      <c r="H8876" s="42"/>
      <c r="AG8876" s="19">
        <v>8875</v>
      </c>
      <c r="AH8876" s="20">
        <v>-4058.9265453625485</v>
      </c>
    </row>
    <row r="8877" spans="1:34" ht="14.5" x14ac:dyDescent="0.35">
      <c r="A8877" s="34"/>
      <c r="B8877" s="35"/>
      <c r="C8877" s="36"/>
      <c r="D8877" s="37"/>
      <c r="E8877" s="36"/>
      <c r="F8877" s="42"/>
      <c r="G8877" s="42"/>
      <c r="H8877" s="42"/>
      <c r="AG8877" s="19">
        <v>8876</v>
      </c>
      <c r="AH8877" s="20">
        <v>-220.33175619367347</v>
      </c>
    </row>
    <row r="8878" spans="1:34" ht="14.5" x14ac:dyDescent="0.35">
      <c r="A8878" s="34"/>
      <c r="B8878" s="35"/>
      <c r="C8878" s="36"/>
      <c r="D8878" s="37"/>
      <c r="E8878" s="36"/>
      <c r="F8878" s="42"/>
      <c r="G8878" s="42"/>
      <c r="H8878" s="42"/>
      <c r="AG8878" s="19">
        <v>8877</v>
      </c>
      <c r="AH8878" s="20">
        <v>2572.2158503505661</v>
      </c>
    </row>
    <row r="8879" spans="1:34" ht="14.5" x14ac:dyDescent="0.35">
      <c r="A8879" s="34"/>
      <c r="B8879" s="35"/>
      <c r="C8879" s="36"/>
      <c r="D8879" s="37"/>
      <c r="E8879" s="36"/>
      <c r="F8879" s="42"/>
      <c r="G8879" s="42"/>
      <c r="H8879" s="42"/>
      <c r="AG8879" s="19">
        <v>8878</v>
      </c>
      <c r="AH8879" s="20">
        <v>-1918.6142146695731</v>
      </c>
    </row>
    <row r="8880" spans="1:34" ht="14.5" x14ac:dyDescent="0.35">
      <c r="A8880" s="34"/>
      <c r="B8880" s="35"/>
      <c r="C8880" s="36"/>
      <c r="D8880" s="37"/>
      <c r="E8880" s="36"/>
      <c r="F8880" s="42"/>
      <c r="G8880" s="42"/>
      <c r="H8880" s="42"/>
      <c r="AG8880" s="19">
        <v>8879</v>
      </c>
      <c r="AH8880" s="20">
        <v>1172.0402404882188</v>
      </c>
    </row>
    <row r="8881" spans="1:34" ht="14.5" x14ac:dyDescent="0.35">
      <c r="A8881" s="34"/>
      <c r="B8881" s="35"/>
      <c r="C8881" s="36"/>
      <c r="D8881" s="37"/>
      <c r="E8881" s="36"/>
      <c r="F8881" s="42"/>
      <c r="G8881" s="42"/>
      <c r="H8881" s="42"/>
      <c r="AG8881" s="19">
        <v>8880</v>
      </c>
      <c r="AH8881" s="20">
        <v>499.40900090151632</v>
      </c>
    </row>
    <row r="8882" spans="1:34" ht="14.5" x14ac:dyDescent="0.35">
      <c r="A8882" s="34"/>
      <c r="B8882" s="35"/>
      <c r="C8882" s="36"/>
      <c r="D8882" s="37"/>
      <c r="E8882" s="36"/>
      <c r="F8882" s="42"/>
      <c r="G8882" s="42"/>
      <c r="H8882" s="42"/>
      <c r="AG8882" s="19">
        <v>8881</v>
      </c>
      <c r="AH8882" s="20">
        <v>803.00608184046496</v>
      </c>
    </row>
    <row r="8883" spans="1:34" ht="14.5" x14ac:dyDescent="0.35">
      <c r="A8883" s="34"/>
      <c r="B8883" s="35"/>
      <c r="C8883" s="36"/>
      <c r="D8883" s="37"/>
      <c r="E8883" s="36"/>
      <c r="F8883" s="42"/>
      <c r="G8883" s="42"/>
      <c r="H8883" s="42"/>
      <c r="AG8883" s="19">
        <v>8882</v>
      </c>
      <c r="AH8883" s="20">
        <v>-872.35957900010339</v>
      </c>
    </row>
    <row r="8884" spans="1:34" ht="14.5" x14ac:dyDescent="0.35">
      <c r="A8884" s="34"/>
      <c r="B8884" s="35"/>
      <c r="C8884" s="36"/>
      <c r="D8884" s="37"/>
      <c r="E8884" s="36"/>
      <c r="F8884" s="42"/>
      <c r="G8884" s="42"/>
      <c r="H8884" s="42"/>
      <c r="AG8884" s="19">
        <v>8883</v>
      </c>
      <c r="AH8884" s="20">
        <v>741.30595360552684</v>
      </c>
    </row>
    <row r="8885" spans="1:34" ht="14.5" x14ac:dyDescent="0.35">
      <c r="A8885" s="34"/>
      <c r="B8885" s="35"/>
      <c r="C8885" s="36"/>
      <c r="D8885" s="37"/>
      <c r="E8885" s="36"/>
      <c r="F8885" s="42"/>
      <c r="G8885" s="42"/>
      <c r="H8885" s="42"/>
      <c r="AG8885" s="19">
        <v>8884</v>
      </c>
      <c r="AH8885" s="20">
        <v>1192.2812405783054</v>
      </c>
    </row>
    <row r="8886" spans="1:34" ht="14.5" x14ac:dyDescent="0.35">
      <c r="A8886" s="34"/>
      <c r="B8886" s="35"/>
      <c r="C8886" s="36"/>
      <c r="D8886" s="37"/>
      <c r="E8886" s="36"/>
      <c r="F8886" s="42"/>
      <c r="G8886" s="42"/>
      <c r="H8886" s="42"/>
      <c r="AG8886" s="19">
        <v>8885</v>
      </c>
      <c r="AH8886" s="20">
        <v>378.32378518988764</v>
      </c>
    </row>
    <row r="8887" spans="1:34" ht="14.5" x14ac:dyDescent="0.35">
      <c r="A8887" s="34"/>
      <c r="B8887" s="35"/>
      <c r="C8887" s="36"/>
      <c r="D8887" s="37"/>
      <c r="E8887" s="36"/>
      <c r="F8887" s="42"/>
      <c r="G8887" s="42"/>
      <c r="H8887" s="42"/>
      <c r="AG8887" s="19">
        <v>8886</v>
      </c>
      <c r="AH8887" s="20">
        <v>-1252.8538990535417</v>
      </c>
    </row>
    <row r="8888" spans="1:34" ht="14.5" x14ac:dyDescent="0.35">
      <c r="A8888" s="34"/>
      <c r="B8888" s="35"/>
      <c r="C8888" s="36"/>
      <c r="D8888" s="37"/>
      <c r="E8888" s="36"/>
      <c r="F8888" s="42"/>
      <c r="G8888" s="42"/>
      <c r="H8888" s="42"/>
      <c r="AG8888" s="19">
        <v>8887</v>
      </c>
      <c r="AH8888" s="20">
        <v>3117.9856428454286</v>
      </c>
    </row>
    <row r="8889" spans="1:34" ht="14.5" x14ac:dyDescent="0.35">
      <c r="A8889" s="34"/>
      <c r="B8889" s="35"/>
      <c r="C8889" s="36"/>
      <c r="D8889" s="37"/>
      <c r="E8889" s="36"/>
      <c r="F8889" s="42"/>
      <c r="G8889" s="42"/>
      <c r="H8889" s="42"/>
      <c r="AG8889" s="19">
        <v>8888</v>
      </c>
      <c r="AH8889" s="20">
        <v>349.96831878829079</v>
      </c>
    </row>
    <row r="8890" spans="1:34" ht="14.5" x14ac:dyDescent="0.35">
      <c r="A8890" s="34"/>
      <c r="B8890" s="35"/>
      <c r="C8890" s="36"/>
      <c r="D8890" s="37"/>
      <c r="E8890" s="36"/>
      <c r="F8890" s="42"/>
      <c r="G8890" s="42"/>
      <c r="H8890" s="42"/>
      <c r="AG8890" s="19">
        <v>8889</v>
      </c>
      <c r="AH8890" s="20">
        <v>-3667.556271237635</v>
      </c>
    </row>
    <row r="8891" spans="1:34" ht="14.5" x14ac:dyDescent="0.35">
      <c r="A8891" s="34"/>
      <c r="B8891" s="35"/>
      <c r="C8891" s="36"/>
      <c r="D8891" s="37"/>
      <c r="E8891" s="36"/>
      <c r="F8891" s="42"/>
      <c r="G8891" s="42"/>
      <c r="H8891" s="42"/>
      <c r="AG8891" s="19">
        <v>8890</v>
      </c>
      <c r="AH8891" s="20">
        <v>-595.67035451870879</v>
      </c>
    </row>
    <row r="8892" spans="1:34" ht="14.5" x14ac:dyDescent="0.35">
      <c r="A8892" s="34"/>
      <c r="B8892" s="35"/>
      <c r="C8892" s="36"/>
      <c r="D8892" s="37"/>
      <c r="E8892" s="36"/>
      <c r="F8892" s="42"/>
      <c r="G8892" s="42"/>
      <c r="H8892" s="42"/>
      <c r="AG8892" s="19">
        <v>8891</v>
      </c>
      <c r="AH8892" s="20">
        <v>212.30865332515302</v>
      </c>
    </row>
    <row r="8893" spans="1:34" ht="14.5" x14ac:dyDescent="0.35">
      <c r="A8893" s="34"/>
      <c r="B8893" s="35"/>
      <c r="C8893" s="36"/>
      <c r="D8893" s="37"/>
      <c r="E8893" s="36"/>
      <c r="F8893" s="42"/>
      <c r="G8893" s="42"/>
      <c r="H8893" s="42"/>
      <c r="AG8893" s="19">
        <v>8892</v>
      </c>
      <c r="AH8893" s="20">
        <v>1654.7979530540304</v>
      </c>
    </row>
    <row r="8894" spans="1:34" ht="14.5" x14ac:dyDescent="0.35">
      <c r="A8894" s="34"/>
      <c r="B8894" s="35"/>
      <c r="C8894" s="36"/>
      <c r="D8894" s="37"/>
      <c r="E8894" s="36"/>
      <c r="F8894" s="42"/>
      <c r="G8894" s="42"/>
      <c r="H8894" s="42"/>
      <c r="AG8894" s="19">
        <v>8893</v>
      </c>
      <c r="AH8894" s="20">
        <v>-533.83907542429529</v>
      </c>
    </row>
    <row r="8895" spans="1:34" ht="14.5" x14ac:dyDescent="0.35">
      <c r="A8895" s="34"/>
      <c r="B8895" s="35"/>
      <c r="C8895" s="36"/>
      <c r="D8895" s="37"/>
      <c r="E8895" s="36"/>
      <c r="F8895" s="42"/>
      <c r="G8895" s="42"/>
      <c r="H8895" s="42"/>
      <c r="AG8895" s="19">
        <v>8894</v>
      </c>
      <c r="AH8895" s="20">
        <v>475.97286809038025</v>
      </c>
    </row>
    <row r="8896" spans="1:34" ht="14.5" x14ac:dyDescent="0.35">
      <c r="A8896" s="34"/>
      <c r="B8896" s="35"/>
      <c r="C8896" s="36"/>
      <c r="D8896" s="37"/>
      <c r="E8896" s="36"/>
      <c r="F8896" s="42"/>
      <c r="G8896" s="42"/>
      <c r="H8896" s="42"/>
      <c r="AG8896" s="19">
        <v>8895</v>
      </c>
      <c r="AH8896" s="20">
        <v>52.592820310546813</v>
      </c>
    </row>
    <row r="8897" spans="1:34" ht="14.5" x14ac:dyDescent="0.35">
      <c r="A8897" s="34"/>
      <c r="B8897" s="35"/>
      <c r="C8897" s="36"/>
      <c r="D8897" s="37"/>
      <c r="E8897" s="36"/>
      <c r="F8897" s="42"/>
      <c r="G8897" s="42"/>
      <c r="H8897" s="42"/>
      <c r="AG8897" s="19">
        <v>8896</v>
      </c>
      <c r="AH8897" s="20">
        <v>3443.1630967011097</v>
      </c>
    </row>
    <row r="8898" spans="1:34" ht="14.5" x14ac:dyDescent="0.35">
      <c r="A8898" s="34"/>
      <c r="B8898" s="35"/>
      <c r="C8898" s="36"/>
      <c r="D8898" s="37"/>
      <c r="E8898" s="36"/>
      <c r="F8898" s="42"/>
      <c r="G8898" s="42"/>
      <c r="H8898" s="42"/>
      <c r="AG8898" s="19">
        <v>8897</v>
      </c>
      <c r="AH8898" s="20">
        <v>1966.1169634231553</v>
      </c>
    </row>
    <row r="8899" spans="1:34" ht="14.5" x14ac:dyDescent="0.35">
      <c r="A8899" s="34"/>
      <c r="B8899" s="35"/>
      <c r="C8899" s="36"/>
      <c r="D8899" s="37"/>
      <c r="E8899" s="36"/>
      <c r="F8899" s="42"/>
      <c r="G8899" s="42"/>
      <c r="H8899" s="42"/>
      <c r="AG8899" s="19">
        <v>8898</v>
      </c>
      <c r="AH8899" s="20">
        <v>1788.4275486189192</v>
      </c>
    </row>
    <row r="8900" spans="1:34" ht="14.5" x14ac:dyDescent="0.35">
      <c r="A8900" s="34"/>
      <c r="B8900" s="35"/>
      <c r="C8900" s="36"/>
      <c r="D8900" s="37"/>
      <c r="E8900" s="36"/>
      <c r="F8900" s="42"/>
      <c r="G8900" s="42"/>
      <c r="H8900" s="42"/>
      <c r="AG8900" s="19">
        <v>8899</v>
      </c>
      <c r="AH8900" s="20">
        <v>1214.4718970296622</v>
      </c>
    </row>
    <row r="8901" spans="1:34" ht="14.5" x14ac:dyDescent="0.35">
      <c r="A8901" s="34"/>
      <c r="B8901" s="35"/>
      <c r="C8901" s="36"/>
      <c r="D8901" s="37"/>
      <c r="E8901" s="36"/>
      <c r="F8901" s="42"/>
      <c r="G8901" s="42"/>
      <c r="H8901" s="42"/>
      <c r="AG8901" s="19">
        <v>8900</v>
      </c>
      <c r="AH8901" s="20">
        <v>236.56910465374969</v>
      </c>
    </row>
    <row r="8902" spans="1:34" ht="14.5" x14ac:dyDescent="0.35">
      <c r="A8902" s="34"/>
      <c r="B8902" s="35"/>
      <c r="C8902" s="36"/>
      <c r="D8902" s="37"/>
      <c r="E8902" s="36"/>
      <c r="F8902" s="42"/>
      <c r="G8902" s="42"/>
      <c r="H8902" s="42"/>
      <c r="AG8902" s="19">
        <v>8901</v>
      </c>
      <c r="AH8902" s="20">
        <v>629.52174240749707</v>
      </c>
    </row>
    <row r="8903" spans="1:34" ht="14.5" x14ac:dyDescent="0.35">
      <c r="A8903" s="34"/>
      <c r="B8903" s="35"/>
      <c r="C8903" s="36"/>
      <c r="D8903" s="37"/>
      <c r="E8903" s="36"/>
      <c r="F8903" s="42"/>
      <c r="G8903" s="42"/>
      <c r="H8903" s="42"/>
      <c r="AG8903" s="19">
        <v>8902</v>
      </c>
      <c r="AH8903" s="20">
        <v>5635.0453022410402</v>
      </c>
    </row>
    <row r="8904" spans="1:34" ht="14.5" x14ac:dyDescent="0.35">
      <c r="A8904" s="34"/>
      <c r="B8904" s="35"/>
      <c r="C8904" s="36"/>
      <c r="D8904" s="37"/>
      <c r="E8904" s="36"/>
      <c r="F8904" s="42"/>
      <c r="G8904" s="42"/>
      <c r="H8904" s="42"/>
      <c r="AG8904" s="19">
        <v>8903</v>
      </c>
      <c r="AH8904" s="20">
        <v>771.2416775652714</v>
      </c>
    </row>
    <row r="8905" spans="1:34" ht="14.5" x14ac:dyDescent="0.35">
      <c r="A8905" s="34"/>
      <c r="B8905" s="35"/>
      <c r="C8905" s="36"/>
      <c r="D8905" s="37"/>
      <c r="E8905" s="36"/>
      <c r="F8905" s="42"/>
      <c r="G8905" s="42"/>
      <c r="H8905" s="42"/>
      <c r="AG8905" s="19">
        <v>8904</v>
      </c>
      <c r="AH8905" s="20">
        <v>-294.01926603766213</v>
      </c>
    </row>
    <row r="8906" spans="1:34" ht="14.5" x14ac:dyDescent="0.35">
      <c r="A8906" s="34"/>
      <c r="B8906" s="35"/>
      <c r="C8906" s="36"/>
      <c r="D8906" s="37"/>
      <c r="E8906" s="36"/>
      <c r="F8906" s="42"/>
      <c r="G8906" s="42"/>
      <c r="H8906" s="42"/>
      <c r="AG8906" s="19">
        <v>8905</v>
      </c>
      <c r="AH8906" s="20">
        <v>839.91922805222282</v>
      </c>
    </row>
    <row r="8907" spans="1:34" ht="14.5" x14ac:dyDescent="0.35">
      <c r="A8907" s="34"/>
      <c r="B8907" s="35"/>
      <c r="C8907" s="36"/>
      <c r="D8907" s="37"/>
      <c r="E8907" s="36"/>
      <c r="F8907" s="42"/>
      <c r="G8907" s="42"/>
      <c r="H8907" s="42"/>
      <c r="AG8907" s="19">
        <v>8906</v>
      </c>
      <c r="AH8907" s="20">
        <v>-814.12816450064906</v>
      </c>
    </row>
    <row r="8908" spans="1:34" ht="14.5" x14ac:dyDescent="0.35">
      <c r="A8908" s="34"/>
      <c r="B8908" s="35"/>
      <c r="C8908" s="36"/>
      <c r="D8908" s="37"/>
      <c r="E8908" s="36"/>
      <c r="F8908" s="42"/>
      <c r="G8908" s="42"/>
      <c r="H8908" s="42"/>
      <c r="AG8908" s="19">
        <v>8907</v>
      </c>
      <c r="AH8908" s="20">
        <v>3021.6918602145884</v>
      </c>
    </row>
    <row r="8909" spans="1:34" ht="14.5" x14ac:dyDescent="0.35">
      <c r="A8909" s="34"/>
      <c r="B8909" s="35"/>
      <c r="C8909" s="36"/>
      <c r="D8909" s="37"/>
      <c r="E8909" s="36"/>
      <c r="F8909" s="42"/>
      <c r="G8909" s="42"/>
      <c r="H8909" s="42"/>
      <c r="AG8909" s="19">
        <v>8908</v>
      </c>
      <c r="AH8909" s="20">
        <v>949.6785263709819</v>
      </c>
    </row>
    <row r="8910" spans="1:34" ht="14.5" x14ac:dyDescent="0.35">
      <c r="A8910" s="34"/>
      <c r="B8910" s="35"/>
      <c r="C8910" s="36"/>
      <c r="D8910" s="37"/>
      <c r="E8910" s="36"/>
      <c r="F8910" s="42"/>
      <c r="G8910" s="42"/>
      <c r="H8910" s="42"/>
      <c r="AG8910" s="19">
        <v>8909</v>
      </c>
      <c r="AH8910" s="20">
        <v>-4484.4006487544393</v>
      </c>
    </row>
    <row r="8911" spans="1:34" ht="14.5" x14ac:dyDescent="0.35">
      <c r="A8911" s="34"/>
      <c r="B8911" s="35"/>
      <c r="C8911" s="36"/>
      <c r="D8911" s="37"/>
      <c r="E8911" s="36"/>
      <c r="F8911" s="42"/>
      <c r="G8911" s="42"/>
      <c r="H8911" s="42"/>
      <c r="AG8911" s="19">
        <v>8910</v>
      </c>
      <c r="AH8911" s="20">
        <v>-1134.2705938949398</v>
      </c>
    </row>
    <row r="8912" spans="1:34" ht="14.5" x14ac:dyDescent="0.35">
      <c r="A8912" s="34"/>
      <c r="B8912" s="35"/>
      <c r="C8912" s="36"/>
      <c r="D8912" s="37"/>
      <c r="E8912" s="36"/>
      <c r="F8912" s="42"/>
      <c r="G8912" s="42"/>
      <c r="H8912" s="42"/>
      <c r="AG8912" s="19">
        <v>8911</v>
      </c>
      <c r="AH8912" s="20">
        <v>-3021.0692035799007</v>
      </c>
    </row>
    <row r="8913" spans="1:34" ht="14.5" x14ac:dyDescent="0.35">
      <c r="A8913" s="34"/>
      <c r="B8913" s="35"/>
      <c r="C8913" s="36"/>
      <c r="D8913" s="37"/>
      <c r="E8913" s="36"/>
      <c r="F8913" s="42"/>
      <c r="G8913" s="42"/>
      <c r="H8913" s="42"/>
      <c r="AG8913" s="19">
        <v>8912</v>
      </c>
      <c r="AH8913" s="20">
        <v>2117.3857231697448</v>
      </c>
    </row>
    <row r="8914" spans="1:34" ht="14.5" x14ac:dyDescent="0.35">
      <c r="A8914" s="34"/>
      <c r="B8914" s="35"/>
      <c r="C8914" s="36"/>
      <c r="D8914" s="37"/>
      <c r="E8914" s="36"/>
      <c r="F8914" s="42"/>
      <c r="G8914" s="42"/>
      <c r="H8914" s="42"/>
      <c r="AG8914" s="19">
        <v>8913</v>
      </c>
      <c r="AH8914" s="20">
        <v>-190.03302723013502</v>
      </c>
    </row>
    <row r="8915" spans="1:34" ht="14.5" x14ac:dyDescent="0.35">
      <c r="A8915" s="34"/>
      <c r="B8915" s="35"/>
      <c r="C8915" s="36"/>
      <c r="D8915" s="37"/>
      <c r="E8915" s="36"/>
      <c r="F8915" s="42"/>
      <c r="G8915" s="42"/>
      <c r="H8915" s="42"/>
      <c r="AG8915" s="19">
        <v>8914</v>
      </c>
      <c r="AH8915" s="20">
        <v>465.08074759384237</v>
      </c>
    </row>
    <row r="8916" spans="1:34" ht="14.5" x14ac:dyDescent="0.35">
      <c r="A8916" s="34"/>
      <c r="B8916" s="35"/>
      <c r="C8916" s="36"/>
      <c r="D8916" s="37"/>
      <c r="E8916" s="36"/>
      <c r="F8916" s="42"/>
      <c r="G8916" s="42"/>
      <c r="H8916" s="42"/>
      <c r="AG8916" s="19">
        <v>8915</v>
      </c>
      <c r="AH8916" s="20">
        <v>-1707.9794952878412</v>
      </c>
    </row>
    <row r="8917" spans="1:34" ht="14.5" x14ac:dyDescent="0.35">
      <c r="A8917" s="34"/>
      <c r="B8917" s="35"/>
      <c r="C8917" s="36"/>
      <c r="D8917" s="37"/>
      <c r="E8917" s="36"/>
      <c r="F8917" s="42"/>
      <c r="G8917" s="42"/>
      <c r="H8917" s="42"/>
      <c r="AG8917" s="19">
        <v>8916</v>
      </c>
      <c r="AH8917" s="20">
        <v>1571.9726275926114</v>
      </c>
    </row>
    <row r="8918" spans="1:34" ht="14.5" x14ac:dyDescent="0.35">
      <c r="A8918" s="34"/>
      <c r="B8918" s="35"/>
      <c r="C8918" s="36"/>
      <c r="D8918" s="37"/>
      <c r="E8918" s="36"/>
      <c r="F8918" s="42"/>
      <c r="G8918" s="42"/>
      <c r="H8918" s="42"/>
      <c r="AG8918" s="19">
        <v>8917</v>
      </c>
      <c r="AH8918" s="20">
        <v>-1769.8654570051651</v>
      </c>
    </row>
    <row r="8919" spans="1:34" ht="14.5" x14ac:dyDescent="0.35">
      <c r="A8919" s="34"/>
      <c r="B8919" s="35"/>
      <c r="C8919" s="36"/>
      <c r="D8919" s="37"/>
      <c r="E8919" s="36"/>
      <c r="F8919" s="42"/>
      <c r="G8919" s="42"/>
      <c r="H8919" s="42"/>
      <c r="AG8919" s="19">
        <v>8918</v>
      </c>
      <c r="AH8919" s="20">
        <v>1679.0468370981312</v>
      </c>
    </row>
    <row r="8920" spans="1:34" ht="14.5" x14ac:dyDescent="0.35">
      <c r="A8920" s="34"/>
      <c r="B8920" s="35"/>
      <c r="C8920" s="36"/>
      <c r="D8920" s="37"/>
      <c r="E8920" s="36"/>
      <c r="F8920" s="42"/>
      <c r="G8920" s="42"/>
      <c r="H8920" s="42"/>
      <c r="AG8920" s="19">
        <v>8919</v>
      </c>
      <c r="AH8920" s="20">
        <v>-360.8460172337131</v>
      </c>
    </row>
    <row r="8921" spans="1:34" ht="14.5" x14ac:dyDescent="0.35">
      <c r="A8921" s="34"/>
      <c r="B8921" s="35"/>
      <c r="C8921" s="36"/>
      <c r="D8921" s="37"/>
      <c r="E8921" s="36"/>
      <c r="F8921" s="42"/>
      <c r="G8921" s="42"/>
      <c r="H8921" s="42"/>
      <c r="AG8921" s="19">
        <v>8920</v>
      </c>
      <c r="AH8921" s="20">
        <v>-775.79715926706922</v>
      </c>
    </row>
    <row r="8922" spans="1:34" ht="14.5" x14ac:dyDescent="0.35">
      <c r="A8922" s="34"/>
      <c r="B8922" s="35"/>
      <c r="C8922" s="36"/>
      <c r="D8922" s="37"/>
      <c r="E8922" s="36"/>
      <c r="F8922" s="42"/>
      <c r="G8922" s="42"/>
      <c r="H8922" s="42"/>
      <c r="AG8922" s="19">
        <v>8921</v>
      </c>
      <c r="AH8922" s="20">
        <v>2467.8001795472669</v>
      </c>
    </row>
    <row r="8923" spans="1:34" ht="14.5" x14ac:dyDescent="0.35">
      <c r="A8923" s="34"/>
      <c r="B8923" s="35"/>
      <c r="C8923" s="36"/>
      <c r="D8923" s="37"/>
      <c r="E8923" s="36"/>
      <c r="F8923" s="42"/>
      <c r="G8923" s="42"/>
      <c r="H8923" s="42"/>
      <c r="AG8923" s="19">
        <v>8922</v>
      </c>
      <c r="AH8923" s="20">
        <v>-1239.5939261026706</v>
      </c>
    </row>
    <row r="8924" spans="1:34" ht="14.5" x14ac:dyDescent="0.35">
      <c r="A8924" s="34"/>
      <c r="B8924" s="35"/>
      <c r="C8924" s="36"/>
      <c r="D8924" s="37"/>
      <c r="E8924" s="36"/>
      <c r="F8924" s="42"/>
      <c r="G8924" s="42"/>
      <c r="H8924" s="42"/>
      <c r="AG8924" s="19">
        <v>8923</v>
      </c>
      <c r="AH8924" s="20">
        <v>1328.558014160267</v>
      </c>
    </row>
    <row r="8925" spans="1:34" ht="14.5" x14ac:dyDescent="0.35">
      <c r="A8925" s="34"/>
      <c r="B8925" s="35"/>
      <c r="C8925" s="36"/>
      <c r="D8925" s="37"/>
      <c r="E8925" s="36"/>
      <c r="F8925" s="42"/>
      <c r="G8925" s="42"/>
      <c r="H8925" s="42"/>
      <c r="AG8925" s="19">
        <v>8924</v>
      </c>
      <c r="AH8925" s="20">
        <v>-1620.1976190477303</v>
      </c>
    </row>
    <row r="8926" spans="1:34" ht="14.5" x14ac:dyDescent="0.35">
      <c r="A8926" s="34"/>
      <c r="B8926" s="35"/>
      <c r="C8926" s="36"/>
      <c r="D8926" s="37"/>
      <c r="E8926" s="36"/>
      <c r="F8926" s="42"/>
      <c r="G8926" s="42"/>
      <c r="H8926" s="42"/>
      <c r="AG8926" s="19">
        <v>8925</v>
      </c>
      <c r="AH8926" s="20">
        <v>-2160.6455411792704</v>
      </c>
    </row>
    <row r="8927" spans="1:34" ht="14.5" x14ac:dyDescent="0.35">
      <c r="A8927" s="34"/>
      <c r="B8927" s="35"/>
      <c r="C8927" s="36"/>
      <c r="D8927" s="37"/>
      <c r="E8927" s="36"/>
      <c r="F8927" s="42"/>
      <c r="G8927" s="42"/>
      <c r="H8927" s="42"/>
      <c r="AG8927" s="19">
        <v>8926</v>
      </c>
      <c r="AH8927" s="20">
        <v>-810.84253541354155</v>
      </c>
    </row>
    <row r="8928" spans="1:34" ht="14.5" x14ac:dyDescent="0.35">
      <c r="A8928" s="34"/>
      <c r="B8928" s="35"/>
      <c r="C8928" s="36"/>
      <c r="D8928" s="37"/>
      <c r="E8928" s="36"/>
      <c r="F8928" s="42"/>
      <c r="G8928" s="42"/>
      <c r="H8928" s="42"/>
      <c r="AG8928" s="19">
        <v>8927</v>
      </c>
      <c r="AH8928" s="20">
        <v>1091.995648449584</v>
      </c>
    </row>
    <row r="8929" spans="1:34" ht="14.5" x14ac:dyDescent="0.35">
      <c r="A8929" s="34"/>
      <c r="B8929" s="35"/>
      <c r="C8929" s="36"/>
      <c r="D8929" s="37"/>
      <c r="E8929" s="36"/>
      <c r="F8929" s="42"/>
      <c r="G8929" s="42"/>
      <c r="H8929" s="42"/>
      <c r="AG8929" s="19">
        <v>8928</v>
      </c>
      <c r="AH8929" s="20">
        <v>947.01445100773253</v>
      </c>
    </row>
    <row r="8930" spans="1:34" ht="14.5" x14ac:dyDescent="0.35">
      <c r="A8930" s="34"/>
      <c r="B8930" s="35"/>
      <c r="C8930" s="36"/>
      <c r="D8930" s="37"/>
      <c r="E8930" s="36"/>
      <c r="F8930" s="42"/>
      <c r="G8930" s="42"/>
      <c r="H8930" s="42"/>
      <c r="AG8930" s="19">
        <v>8929</v>
      </c>
      <c r="AH8930" s="20">
        <v>-2336.0377622061096</v>
      </c>
    </row>
    <row r="8931" spans="1:34" ht="14.5" x14ac:dyDescent="0.35">
      <c r="A8931" s="34"/>
      <c r="B8931" s="35"/>
      <c r="C8931" s="36"/>
      <c r="D8931" s="37"/>
      <c r="E8931" s="36"/>
      <c r="F8931" s="42"/>
      <c r="G8931" s="42"/>
      <c r="H8931" s="42"/>
      <c r="AG8931" s="19">
        <v>8930</v>
      </c>
      <c r="AH8931" s="20">
        <v>-3469.3225575930292</v>
      </c>
    </row>
    <row r="8932" spans="1:34" ht="14.5" x14ac:dyDescent="0.35">
      <c r="A8932" s="34"/>
      <c r="B8932" s="35"/>
      <c r="C8932" s="36"/>
      <c r="D8932" s="37"/>
      <c r="E8932" s="36"/>
      <c r="F8932" s="42"/>
      <c r="G8932" s="42"/>
      <c r="H8932" s="42"/>
      <c r="AG8932" s="19">
        <v>8931</v>
      </c>
      <c r="AH8932" s="20">
        <v>875.15210748355071</v>
      </c>
    </row>
    <row r="8933" spans="1:34" ht="14.5" x14ac:dyDescent="0.35">
      <c r="A8933" s="34"/>
      <c r="B8933" s="35"/>
      <c r="C8933" s="36"/>
      <c r="D8933" s="37"/>
      <c r="E8933" s="36"/>
      <c r="F8933" s="42"/>
      <c r="G8933" s="42"/>
      <c r="H8933" s="42"/>
      <c r="AG8933" s="19">
        <v>8932</v>
      </c>
      <c r="AH8933" s="20">
        <v>-2103.6056389415708</v>
      </c>
    </row>
    <row r="8934" spans="1:34" ht="14.5" x14ac:dyDescent="0.35">
      <c r="A8934" s="34"/>
      <c r="B8934" s="35"/>
      <c r="C8934" s="36"/>
      <c r="D8934" s="37"/>
      <c r="E8934" s="36"/>
      <c r="F8934" s="42"/>
      <c r="G8934" s="42"/>
      <c r="H8934" s="42"/>
      <c r="AG8934" s="19">
        <v>8933</v>
      </c>
      <c r="AH8934" s="20">
        <v>-2482.3154335734744</v>
      </c>
    </row>
    <row r="8935" spans="1:34" ht="14.5" x14ac:dyDescent="0.35">
      <c r="A8935" s="34"/>
      <c r="B8935" s="35"/>
      <c r="C8935" s="36"/>
      <c r="D8935" s="37"/>
      <c r="E8935" s="36"/>
      <c r="F8935" s="42"/>
      <c r="G8935" s="42"/>
      <c r="H8935" s="42"/>
      <c r="AG8935" s="19">
        <v>8934</v>
      </c>
      <c r="AH8935" s="20">
        <v>-1099.3238112760132</v>
      </c>
    </row>
    <row r="8936" spans="1:34" ht="14.5" x14ac:dyDescent="0.35">
      <c r="A8936" s="34"/>
      <c r="B8936" s="35"/>
      <c r="C8936" s="36"/>
      <c r="D8936" s="37"/>
      <c r="E8936" s="36"/>
      <c r="F8936" s="42"/>
      <c r="G8936" s="42"/>
      <c r="H8936" s="42"/>
      <c r="AG8936" s="19">
        <v>8935</v>
      </c>
      <c r="AH8936" s="20">
        <v>191.17122756476476</v>
      </c>
    </row>
    <row r="8937" spans="1:34" ht="14.5" x14ac:dyDescent="0.35">
      <c r="A8937" s="34"/>
      <c r="B8937" s="35"/>
      <c r="C8937" s="36"/>
      <c r="D8937" s="37"/>
      <c r="E8937" s="36"/>
      <c r="F8937" s="42"/>
      <c r="G8937" s="42"/>
      <c r="H8937" s="42"/>
      <c r="AG8937" s="19">
        <v>8936</v>
      </c>
      <c r="AH8937" s="20">
        <v>2927.5398446170816</v>
      </c>
    </row>
    <row r="8938" spans="1:34" ht="14.5" x14ac:dyDescent="0.35">
      <c r="A8938" s="34"/>
      <c r="B8938" s="35"/>
      <c r="C8938" s="36"/>
      <c r="D8938" s="37"/>
      <c r="E8938" s="36"/>
      <c r="F8938" s="42"/>
      <c r="G8938" s="42"/>
      <c r="H8938" s="42"/>
      <c r="AG8938" s="19">
        <v>8937</v>
      </c>
      <c r="AH8938" s="20">
        <v>-2466.0094281803854</v>
      </c>
    </row>
    <row r="8939" spans="1:34" ht="14.5" x14ac:dyDescent="0.35">
      <c r="A8939" s="34"/>
      <c r="B8939" s="35"/>
      <c r="C8939" s="36"/>
      <c r="D8939" s="37"/>
      <c r="E8939" s="36"/>
      <c r="F8939" s="42"/>
      <c r="G8939" s="42"/>
      <c r="H8939" s="42"/>
      <c r="AG8939" s="19">
        <v>8938</v>
      </c>
      <c r="AH8939" s="20">
        <v>-1199.4955536291075</v>
      </c>
    </row>
    <row r="8940" spans="1:34" ht="14.5" x14ac:dyDescent="0.35">
      <c r="A8940" s="34"/>
      <c r="B8940" s="35"/>
      <c r="C8940" s="36"/>
      <c r="D8940" s="37"/>
      <c r="E8940" s="36"/>
      <c r="F8940" s="42"/>
      <c r="G8940" s="42"/>
      <c r="H8940" s="42"/>
      <c r="AG8940" s="19">
        <v>8939</v>
      </c>
      <c r="AH8940" s="20">
        <v>1438.5242469340772</v>
      </c>
    </row>
    <row r="8941" spans="1:34" ht="14.5" x14ac:dyDescent="0.35">
      <c r="A8941" s="34"/>
      <c r="B8941" s="35"/>
      <c r="C8941" s="36"/>
      <c r="D8941" s="37"/>
      <c r="E8941" s="36"/>
      <c r="F8941" s="42"/>
      <c r="G8941" s="42"/>
      <c r="H8941" s="42"/>
      <c r="AG8941" s="19">
        <v>8940</v>
      </c>
      <c r="AH8941" s="20">
        <v>-1178.8680027537937</v>
      </c>
    </row>
    <row r="8942" spans="1:34" ht="14.5" x14ac:dyDescent="0.35">
      <c r="A8942" s="34"/>
      <c r="B8942" s="35"/>
      <c r="C8942" s="36"/>
      <c r="D8942" s="37"/>
      <c r="E8942" s="36"/>
      <c r="F8942" s="42"/>
      <c r="G8942" s="42"/>
      <c r="H8942" s="42"/>
      <c r="AG8942" s="19">
        <v>8941</v>
      </c>
      <c r="AH8942" s="20">
        <v>5389.3110616608183</v>
      </c>
    </row>
    <row r="8943" spans="1:34" ht="14.5" x14ac:dyDescent="0.35">
      <c r="A8943" s="34"/>
      <c r="B8943" s="35"/>
      <c r="C8943" s="36"/>
      <c r="D8943" s="37"/>
      <c r="E8943" s="36"/>
      <c r="F8943" s="42"/>
      <c r="G8943" s="42"/>
      <c r="H8943" s="42"/>
      <c r="AG8943" s="19">
        <v>8942</v>
      </c>
      <c r="AH8943" s="20">
        <v>-331.87872873152713</v>
      </c>
    </row>
    <row r="8944" spans="1:34" ht="14.5" x14ac:dyDescent="0.35">
      <c r="A8944" s="34"/>
      <c r="B8944" s="35"/>
      <c r="C8944" s="36"/>
      <c r="D8944" s="37"/>
      <c r="E8944" s="36"/>
      <c r="F8944" s="42"/>
      <c r="G8944" s="42"/>
      <c r="H8944" s="42"/>
      <c r="AG8944" s="19">
        <v>8943</v>
      </c>
      <c r="AH8944" s="20">
        <v>-1401.9634908061923</v>
      </c>
    </row>
    <row r="8945" spans="1:34" ht="14.5" x14ac:dyDescent="0.35">
      <c r="A8945" s="34"/>
      <c r="B8945" s="35"/>
      <c r="C8945" s="36"/>
      <c r="D8945" s="37"/>
      <c r="E8945" s="36"/>
      <c r="F8945" s="42"/>
      <c r="G8945" s="42"/>
      <c r="H8945" s="42"/>
      <c r="AG8945" s="19">
        <v>8944</v>
      </c>
      <c r="AH8945" s="20">
        <v>-273.39886238775586</v>
      </c>
    </row>
    <row r="8946" spans="1:34" ht="14.5" x14ac:dyDescent="0.35">
      <c r="A8946" s="34"/>
      <c r="B8946" s="35"/>
      <c r="C8946" s="36"/>
      <c r="D8946" s="37"/>
      <c r="E8946" s="36"/>
      <c r="F8946" s="42"/>
      <c r="G8946" s="42"/>
      <c r="H8946" s="42"/>
      <c r="AG8946" s="19">
        <v>8945</v>
      </c>
      <c r="AH8946" s="20">
        <v>-3089.955956933476</v>
      </c>
    </row>
    <row r="8947" spans="1:34" ht="14.5" x14ac:dyDescent="0.35">
      <c r="A8947" s="34"/>
      <c r="B8947" s="35"/>
      <c r="C8947" s="36"/>
      <c r="D8947" s="37"/>
      <c r="E8947" s="36"/>
      <c r="F8947" s="42"/>
      <c r="G8947" s="42"/>
      <c r="H8947" s="42"/>
      <c r="AG8947" s="19">
        <v>8946</v>
      </c>
      <c r="AH8947" s="20">
        <v>2562.1972440952313</v>
      </c>
    </row>
    <row r="8948" spans="1:34" ht="14.5" x14ac:dyDescent="0.35">
      <c r="A8948" s="34"/>
      <c r="B8948" s="35"/>
      <c r="C8948" s="36"/>
      <c r="D8948" s="37"/>
      <c r="E8948" s="36"/>
      <c r="F8948" s="42"/>
      <c r="G8948" s="42"/>
      <c r="H8948" s="42"/>
      <c r="AG8948" s="19">
        <v>8947</v>
      </c>
      <c r="AH8948" s="20">
        <v>1045.5755950294229</v>
      </c>
    </row>
    <row r="8949" spans="1:34" ht="14.5" x14ac:dyDescent="0.35">
      <c r="A8949" s="34"/>
      <c r="B8949" s="35"/>
      <c r="C8949" s="36"/>
      <c r="D8949" s="37"/>
      <c r="E8949" s="36"/>
      <c r="F8949" s="42"/>
      <c r="G8949" s="42"/>
      <c r="H8949" s="42"/>
      <c r="AG8949" s="19">
        <v>8948</v>
      </c>
      <c r="AH8949" s="20">
        <v>-1433.0782143382173</v>
      </c>
    </row>
    <row r="8950" spans="1:34" ht="14.5" x14ac:dyDescent="0.35">
      <c r="A8950" s="34"/>
      <c r="B8950" s="35"/>
      <c r="C8950" s="36"/>
      <c r="D8950" s="37"/>
      <c r="E8950" s="36"/>
      <c r="F8950" s="42"/>
      <c r="G8950" s="42"/>
      <c r="H8950" s="42"/>
      <c r="AG8950" s="19">
        <v>8949</v>
      </c>
      <c r="AH8950" s="20">
        <v>181.07120073851158</v>
      </c>
    </row>
    <row r="8951" spans="1:34" ht="14.5" x14ac:dyDescent="0.35">
      <c r="A8951" s="34"/>
      <c r="B8951" s="35"/>
      <c r="C8951" s="36"/>
      <c r="D8951" s="37"/>
      <c r="E8951" s="36"/>
      <c r="F8951" s="42"/>
      <c r="G8951" s="42"/>
      <c r="H8951" s="42"/>
      <c r="AG8951" s="19">
        <v>8950</v>
      </c>
      <c r="AH8951" s="20">
        <v>-11.627133169676029</v>
      </c>
    </row>
    <row r="8952" spans="1:34" ht="14.5" x14ac:dyDescent="0.35">
      <c r="A8952" s="34"/>
      <c r="B8952" s="35"/>
      <c r="C8952" s="36"/>
      <c r="D8952" s="37"/>
      <c r="E8952" s="36"/>
      <c r="F8952" s="42"/>
      <c r="G8952" s="42"/>
      <c r="H8952" s="42"/>
      <c r="AG8952" s="19">
        <v>8951</v>
      </c>
      <c r="AH8952" s="20">
        <v>478.02131947060502</v>
      </c>
    </row>
    <row r="8953" spans="1:34" ht="14.5" x14ac:dyDescent="0.35">
      <c r="A8953" s="34"/>
      <c r="B8953" s="35"/>
      <c r="C8953" s="36"/>
      <c r="D8953" s="37"/>
      <c r="E8953" s="36"/>
      <c r="F8953" s="42"/>
      <c r="G8953" s="42"/>
      <c r="H8953" s="42"/>
      <c r="AG8953" s="19">
        <v>8952</v>
      </c>
      <c r="AH8953" s="20">
        <v>1812.5197184707597</v>
      </c>
    </row>
    <row r="8954" spans="1:34" ht="14.5" x14ac:dyDescent="0.35">
      <c r="A8954" s="34"/>
      <c r="B8954" s="35"/>
      <c r="C8954" s="36"/>
      <c r="D8954" s="37"/>
      <c r="E8954" s="36"/>
      <c r="F8954" s="42"/>
      <c r="G8954" s="42"/>
      <c r="H8954" s="42"/>
      <c r="AG8954" s="19">
        <v>8953</v>
      </c>
      <c r="AH8954" s="20">
        <v>-652.92450179282832</v>
      </c>
    </row>
    <row r="8955" spans="1:34" ht="14.5" x14ac:dyDescent="0.35">
      <c r="A8955" s="34"/>
      <c r="B8955" s="35"/>
      <c r="C8955" s="36"/>
      <c r="D8955" s="37"/>
      <c r="E8955" s="36"/>
      <c r="F8955" s="42"/>
      <c r="G8955" s="42"/>
      <c r="H8955" s="42"/>
      <c r="AG8955" s="19">
        <v>8954</v>
      </c>
      <c r="AH8955" s="20">
        <v>-1179.0657948982494</v>
      </c>
    </row>
    <row r="8956" spans="1:34" ht="14.5" x14ac:dyDescent="0.35">
      <c r="A8956" s="34"/>
      <c r="B8956" s="35"/>
      <c r="C8956" s="36"/>
      <c r="D8956" s="37"/>
      <c r="E8956" s="36"/>
      <c r="F8956" s="42"/>
      <c r="G8956" s="42"/>
      <c r="H8956" s="42"/>
      <c r="AG8956" s="19">
        <v>8955</v>
      </c>
      <c r="AH8956" s="20">
        <v>-3244.5147685659513</v>
      </c>
    </row>
    <row r="8957" spans="1:34" ht="14.5" x14ac:dyDescent="0.35">
      <c r="A8957" s="34"/>
      <c r="B8957" s="35"/>
      <c r="C8957" s="36"/>
      <c r="D8957" s="37"/>
      <c r="E8957" s="36"/>
      <c r="F8957" s="42"/>
      <c r="G8957" s="42"/>
      <c r="H8957" s="42"/>
      <c r="AG8957" s="19">
        <v>8956</v>
      </c>
      <c r="AH8957" s="20">
        <v>676.01145146016825</v>
      </c>
    </row>
    <row r="8958" spans="1:34" ht="14.5" x14ac:dyDescent="0.35">
      <c r="A8958" s="34"/>
      <c r="B8958" s="35"/>
      <c r="C8958" s="36"/>
      <c r="D8958" s="37"/>
      <c r="E8958" s="36"/>
      <c r="F8958" s="42"/>
      <c r="G8958" s="42"/>
      <c r="H8958" s="42"/>
      <c r="AG8958" s="19">
        <v>8957</v>
      </c>
      <c r="AH8958" s="20">
        <v>1364.2438833742428</v>
      </c>
    </row>
    <row r="8959" spans="1:34" ht="14.5" x14ac:dyDescent="0.35">
      <c r="A8959" s="34"/>
      <c r="B8959" s="35"/>
      <c r="C8959" s="36"/>
      <c r="D8959" s="37"/>
      <c r="E8959" s="36"/>
      <c r="F8959" s="42"/>
      <c r="G8959" s="42"/>
      <c r="H8959" s="42"/>
      <c r="AG8959" s="19">
        <v>8958</v>
      </c>
      <c r="AH8959" s="20">
        <v>-644.89353004208601</v>
      </c>
    </row>
    <row r="8960" spans="1:34" ht="14.5" x14ac:dyDescent="0.35">
      <c r="A8960" s="34"/>
      <c r="B8960" s="35"/>
      <c r="C8960" s="36"/>
      <c r="D8960" s="37"/>
      <c r="E8960" s="36"/>
      <c r="F8960" s="42"/>
      <c r="G8960" s="42"/>
      <c r="H8960" s="42"/>
      <c r="AG8960" s="19">
        <v>8959</v>
      </c>
      <c r="AH8960" s="20">
        <v>-3169.014669822594</v>
      </c>
    </row>
    <row r="8961" spans="1:34" ht="14.5" x14ac:dyDescent="0.35">
      <c r="A8961" s="34"/>
      <c r="B8961" s="35"/>
      <c r="C8961" s="36"/>
      <c r="D8961" s="37"/>
      <c r="E8961" s="36"/>
      <c r="F8961" s="42"/>
      <c r="G8961" s="42"/>
      <c r="H8961" s="42"/>
      <c r="AG8961" s="19">
        <v>8960</v>
      </c>
      <c r="AH8961" s="20">
        <v>886.03135732256999</v>
      </c>
    </row>
    <row r="8962" spans="1:34" ht="14.5" x14ac:dyDescent="0.35">
      <c r="A8962" s="34"/>
      <c r="B8962" s="35"/>
      <c r="C8962" s="36"/>
      <c r="D8962" s="37"/>
      <c r="E8962" s="36"/>
      <c r="F8962" s="42"/>
      <c r="G8962" s="42"/>
      <c r="H8962" s="42"/>
      <c r="AG8962" s="19">
        <v>8961</v>
      </c>
      <c r="AH8962" s="20">
        <v>-762.74634387744754</v>
      </c>
    </row>
    <row r="8963" spans="1:34" ht="14.5" x14ac:dyDescent="0.35">
      <c r="A8963" s="34"/>
      <c r="B8963" s="35"/>
      <c r="C8963" s="36"/>
      <c r="D8963" s="37"/>
      <c r="E8963" s="36"/>
      <c r="F8963" s="42"/>
      <c r="G8963" s="42"/>
      <c r="H8963" s="42"/>
      <c r="AG8963" s="19">
        <v>8962</v>
      </c>
      <c r="AH8963" s="20">
        <v>880.81050469321622</v>
      </c>
    </row>
    <row r="8964" spans="1:34" ht="14.5" x14ac:dyDescent="0.35">
      <c r="A8964" s="34"/>
      <c r="B8964" s="35"/>
      <c r="C8964" s="36"/>
      <c r="D8964" s="37"/>
      <c r="E8964" s="36"/>
      <c r="F8964" s="42"/>
      <c r="G8964" s="42"/>
      <c r="H8964" s="42"/>
      <c r="AG8964" s="19">
        <v>8963</v>
      </c>
      <c r="AH8964" s="20">
        <v>213.81384223629624</v>
      </c>
    </row>
    <row r="8965" spans="1:34" ht="14.5" x14ac:dyDescent="0.35">
      <c r="A8965" s="34"/>
      <c r="B8965" s="35"/>
      <c r="C8965" s="36"/>
      <c r="D8965" s="37"/>
      <c r="E8965" s="36"/>
      <c r="F8965" s="42"/>
      <c r="G8965" s="42"/>
      <c r="H8965" s="42"/>
      <c r="AG8965" s="19">
        <v>8964</v>
      </c>
      <c r="AH8965" s="20">
        <v>5510.197685874421</v>
      </c>
    </row>
    <row r="8966" spans="1:34" ht="14.5" x14ac:dyDescent="0.35">
      <c r="A8966" s="34"/>
      <c r="B8966" s="35"/>
      <c r="C8966" s="36"/>
      <c r="D8966" s="37"/>
      <c r="E8966" s="36"/>
      <c r="F8966" s="42"/>
      <c r="G8966" s="42"/>
      <c r="H8966" s="42"/>
      <c r="AG8966" s="19">
        <v>8965</v>
      </c>
      <c r="AH8966" s="20">
        <v>-3165.6768147609109</v>
      </c>
    </row>
    <row r="8967" spans="1:34" ht="14.5" x14ac:dyDescent="0.35">
      <c r="A8967" s="34"/>
      <c r="B8967" s="35"/>
      <c r="C8967" s="36"/>
      <c r="D8967" s="37"/>
      <c r="E8967" s="36"/>
      <c r="F8967" s="42"/>
      <c r="G8967" s="42"/>
      <c r="H8967" s="42"/>
      <c r="AG8967" s="19">
        <v>8966</v>
      </c>
      <c r="AH8967" s="20">
        <v>2350.8774147846175</v>
      </c>
    </row>
    <row r="8968" spans="1:34" ht="14.5" x14ac:dyDescent="0.35">
      <c r="A8968" s="34"/>
      <c r="B8968" s="35"/>
      <c r="C8968" s="36"/>
      <c r="D8968" s="37"/>
      <c r="E8968" s="36"/>
      <c r="F8968" s="42"/>
      <c r="G8968" s="42"/>
      <c r="H8968" s="42"/>
      <c r="AG8968" s="19">
        <v>8967</v>
      </c>
      <c r="AH8968" s="20">
        <v>3824.093143710701</v>
      </c>
    </row>
    <row r="8969" spans="1:34" ht="14.5" x14ac:dyDescent="0.35">
      <c r="A8969" s="34"/>
      <c r="B8969" s="35"/>
      <c r="C8969" s="36"/>
      <c r="D8969" s="37"/>
      <c r="E8969" s="36"/>
      <c r="F8969" s="42"/>
      <c r="G8969" s="42"/>
      <c r="H8969" s="42"/>
      <c r="AG8969" s="19">
        <v>8968</v>
      </c>
      <c r="AH8969" s="20">
        <v>4121.0208862194559</v>
      </c>
    </row>
    <row r="8970" spans="1:34" ht="14.5" x14ac:dyDescent="0.35">
      <c r="A8970" s="34"/>
      <c r="B8970" s="35"/>
      <c r="C8970" s="36"/>
      <c r="D8970" s="37"/>
      <c r="E8970" s="36"/>
      <c r="F8970" s="42"/>
      <c r="G8970" s="42"/>
      <c r="H8970" s="42"/>
      <c r="AG8970" s="19">
        <v>8969</v>
      </c>
      <c r="AH8970" s="20">
        <v>3468.0413664779044</v>
      </c>
    </row>
    <row r="8971" spans="1:34" ht="14.5" x14ac:dyDescent="0.35">
      <c r="A8971" s="34"/>
      <c r="B8971" s="35"/>
      <c r="C8971" s="36"/>
      <c r="D8971" s="37"/>
      <c r="E8971" s="36"/>
      <c r="F8971" s="42"/>
      <c r="G8971" s="42"/>
      <c r="H8971" s="42"/>
      <c r="AG8971" s="19">
        <v>8970</v>
      </c>
      <c r="AH8971" s="20">
        <v>-351.12758442335399</v>
      </c>
    </row>
    <row r="8972" spans="1:34" ht="14.5" x14ac:dyDescent="0.35">
      <c r="A8972" s="34"/>
      <c r="B8972" s="35"/>
      <c r="C8972" s="36"/>
      <c r="D8972" s="37"/>
      <c r="E8972" s="36"/>
      <c r="F8972" s="42"/>
      <c r="G8972" s="42"/>
      <c r="H8972" s="42"/>
      <c r="AG8972" s="19">
        <v>8971</v>
      </c>
      <c r="AH8972" s="20">
        <v>926.94131213252808</v>
      </c>
    </row>
    <row r="8973" spans="1:34" ht="14.5" x14ac:dyDescent="0.35">
      <c r="A8973" s="34"/>
      <c r="B8973" s="35"/>
      <c r="C8973" s="36"/>
      <c r="D8973" s="37"/>
      <c r="E8973" s="36"/>
      <c r="F8973" s="42"/>
      <c r="G8973" s="42"/>
      <c r="H8973" s="42"/>
      <c r="AG8973" s="19">
        <v>8972</v>
      </c>
      <c r="AH8973" s="20">
        <v>569.2942964717688</v>
      </c>
    </row>
    <row r="8974" spans="1:34" ht="14.5" x14ac:dyDescent="0.35">
      <c r="A8974" s="34"/>
      <c r="B8974" s="35"/>
      <c r="C8974" s="36"/>
      <c r="D8974" s="37"/>
      <c r="E8974" s="36"/>
      <c r="F8974" s="42"/>
      <c r="G8974" s="42"/>
      <c r="H8974" s="42"/>
      <c r="AG8974" s="19">
        <v>8973</v>
      </c>
      <c r="AH8974" s="20">
        <v>1571.6803472353254</v>
      </c>
    </row>
    <row r="8975" spans="1:34" ht="14.5" x14ac:dyDescent="0.35">
      <c r="A8975" s="34"/>
      <c r="B8975" s="35"/>
      <c r="C8975" s="36"/>
      <c r="D8975" s="37"/>
      <c r="E8975" s="36"/>
      <c r="F8975" s="42"/>
      <c r="G8975" s="42"/>
      <c r="H8975" s="42"/>
      <c r="AG8975" s="19">
        <v>8974</v>
      </c>
      <c r="AH8975" s="20">
        <v>-2251.1909834495373</v>
      </c>
    </row>
    <row r="8976" spans="1:34" ht="14.5" x14ac:dyDescent="0.35">
      <c r="A8976" s="34"/>
      <c r="B8976" s="35"/>
      <c r="C8976" s="36"/>
      <c r="D8976" s="37"/>
      <c r="E8976" s="36"/>
      <c r="F8976" s="42"/>
      <c r="G8976" s="42"/>
      <c r="H8976" s="42"/>
      <c r="AG8976" s="19">
        <v>8975</v>
      </c>
      <c r="AH8976" s="20">
        <v>-463.8149371220963</v>
      </c>
    </row>
    <row r="8977" spans="1:34" ht="14.5" x14ac:dyDescent="0.35">
      <c r="A8977" s="34"/>
      <c r="B8977" s="35"/>
      <c r="C8977" s="36"/>
      <c r="D8977" s="37"/>
      <c r="E8977" s="36"/>
      <c r="F8977" s="42"/>
      <c r="G8977" s="42"/>
      <c r="H8977" s="42"/>
      <c r="AG8977" s="19">
        <v>8976</v>
      </c>
      <c r="AH8977" s="20">
        <v>-2476.0414866488818</v>
      </c>
    </row>
    <row r="8978" spans="1:34" ht="14.5" x14ac:dyDescent="0.35">
      <c r="A8978" s="34"/>
      <c r="B8978" s="35"/>
      <c r="C8978" s="36"/>
      <c r="D8978" s="37"/>
      <c r="E8978" s="36"/>
      <c r="F8978" s="42"/>
      <c r="G8978" s="42"/>
      <c r="H8978" s="42"/>
      <c r="AG8978" s="19">
        <v>8977</v>
      </c>
      <c r="AH8978" s="20">
        <v>-490.95944066923249</v>
      </c>
    </row>
    <row r="8979" spans="1:34" ht="14.5" x14ac:dyDescent="0.35">
      <c r="A8979" s="34"/>
      <c r="B8979" s="35"/>
      <c r="C8979" s="36"/>
      <c r="D8979" s="37"/>
      <c r="E8979" s="36"/>
      <c r="F8979" s="42"/>
      <c r="G8979" s="42"/>
      <c r="H8979" s="42"/>
      <c r="AG8979" s="19">
        <v>8978</v>
      </c>
      <c r="AH8979" s="20">
        <v>549.3375941992025</v>
      </c>
    </row>
    <row r="8980" spans="1:34" ht="14.5" x14ac:dyDescent="0.35">
      <c r="A8980" s="34"/>
      <c r="B8980" s="35"/>
      <c r="C8980" s="36"/>
      <c r="D8980" s="37"/>
      <c r="E8980" s="36"/>
      <c r="F8980" s="42"/>
      <c r="G8980" s="42"/>
      <c r="H8980" s="42"/>
      <c r="AG8980" s="19">
        <v>8979</v>
      </c>
      <c r="AH8980" s="20">
        <v>2344.3892001896361</v>
      </c>
    </row>
    <row r="8981" spans="1:34" ht="14.5" x14ac:dyDescent="0.35">
      <c r="A8981" s="34"/>
      <c r="B8981" s="35"/>
      <c r="C8981" s="36"/>
      <c r="D8981" s="37"/>
      <c r="E8981" s="36"/>
      <c r="F8981" s="42"/>
      <c r="G8981" s="42"/>
      <c r="H8981" s="42"/>
      <c r="AG8981" s="19">
        <v>8980</v>
      </c>
      <c r="AH8981" s="20">
        <v>-856.4630339199025</v>
      </c>
    </row>
    <row r="8982" spans="1:34" ht="14.5" x14ac:dyDescent="0.35">
      <c r="A8982" s="34"/>
      <c r="B8982" s="35"/>
      <c r="C8982" s="36"/>
      <c r="D8982" s="37"/>
      <c r="E8982" s="36"/>
      <c r="F8982" s="42"/>
      <c r="G8982" s="42"/>
      <c r="H8982" s="42"/>
      <c r="AG8982" s="19">
        <v>8981</v>
      </c>
      <c r="AH8982" s="20">
        <v>-276.63297804656764</v>
      </c>
    </row>
    <row r="8983" spans="1:34" ht="14.5" x14ac:dyDescent="0.35">
      <c r="A8983" s="34"/>
      <c r="B8983" s="35"/>
      <c r="C8983" s="36"/>
      <c r="D8983" s="37"/>
      <c r="E8983" s="36"/>
      <c r="F8983" s="42"/>
      <c r="G8983" s="42"/>
      <c r="H8983" s="42"/>
      <c r="AG8983" s="19">
        <v>8982</v>
      </c>
      <c r="AH8983" s="20">
        <v>3419.0553726381399</v>
      </c>
    </row>
    <row r="8984" spans="1:34" ht="14.5" x14ac:dyDescent="0.35">
      <c r="A8984" s="34"/>
      <c r="B8984" s="35"/>
      <c r="C8984" s="36"/>
      <c r="D8984" s="37"/>
      <c r="E8984" s="36"/>
      <c r="F8984" s="42"/>
      <c r="G8984" s="42"/>
      <c r="H8984" s="42"/>
      <c r="AG8984" s="19">
        <v>8983</v>
      </c>
      <c r="AH8984" s="20">
        <v>-3241.5997327712926</v>
      </c>
    </row>
    <row r="8985" spans="1:34" ht="14.5" x14ac:dyDescent="0.35">
      <c r="A8985" s="34"/>
      <c r="B8985" s="35"/>
      <c r="C8985" s="36"/>
      <c r="D8985" s="37"/>
      <c r="E8985" s="36"/>
      <c r="F8985" s="42"/>
      <c r="G8985" s="42"/>
      <c r="H8985" s="42"/>
      <c r="AG8985" s="19">
        <v>8984</v>
      </c>
      <c r="AH8985" s="20">
        <v>-738.77623233101303</v>
      </c>
    </row>
    <row r="8986" spans="1:34" ht="14.5" x14ac:dyDescent="0.35">
      <c r="A8986" s="34"/>
      <c r="B8986" s="35"/>
      <c r="C8986" s="36"/>
      <c r="D8986" s="37"/>
      <c r="E8986" s="36"/>
      <c r="F8986" s="42"/>
      <c r="G8986" s="42"/>
      <c r="H8986" s="42"/>
      <c r="AG8986" s="19">
        <v>8985</v>
      </c>
      <c r="AH8986" s="20">
        <v>-786.22736377179831</v>
      </c>
    </row>
    <row r="8987" spans="1:34" ht="14.5" x14ac:dyDescent="0.35">
      <c r="A8987" s="34"/>
      <c r="B8987" s="35"/>
      <c r="C8987" s="36"/>
      <c r="D8987" s="37"/>
      <c r="E8987" s="36"/>
      <c r="F8987" s="42"/>
      <c r="G8987" s="42"/>
      <c r="H8987" s="42"/>
      <c r="AG8987" s="19">
        <v>8986</v>
      </c>
      <c r="AH8987" s="20">
        <v>-85.284327037834032</v>
      </c>
    </row>
    <row r="8988" spans="1:34" ht="14.5" x14ac:dyDescent="0.35">
      <c r="A8988" s="34"/>
      <c r="B8988" s="35"/>
      <c r="C8988" s="36"/>
      <c r="D8988" s="37"/>
      <c r="E8988" s="36"/>
      <c r="F8988" s="42"/>
      <c r="G8988" s="42"/>
      <c r="H8988" s="42"/>
      <c r="AG8988" s="19">
        <v>8987</v>
      </c>
      <c r="AH8988" s="20">
        <v>119.86880456174202</v>
      </c>
    </row>
    <row r="8989" spans="1:34" ht="14.5" x14ac:dyDescent="0.35">
      <c r="A8989" s="34"/>
      <c r="B8989" s="35"/>
      <c r="C8989" s="36"/>
      <c r="D8989" s="37"/>
      <c r="E8989" s="36"/>
      <c r="F8989" s="42"/>
      <c r="G8989" s="42"/>
      <c r="H8989" s="42"/>
      <c r="AG8989" s="19">
        <v>8988</v>
      </c>
      <c r="AH8989" s="20">
        <v>-1498.8826589013458</v>
      </c>
    </row>
    <row r="8990" spans="1:34" ht="14.5" x14ac:dyDescent="0.35">
      <c r="A8990" s="34"/>
      <c r="B8990" s="35"/>
      <c r="C8990" s="36"/>
      <c r="D8990" s="37"/>
      <c r="E8990" s="36"/>
      <c r="F8990" s="42"/>
      <c r="G8990" s="42"/>
      <c r="H8990" s="42"/>
      <c r="AG8990" s="19">
        <v>8989</v>
      </c>
      <c r="AH8990" s="20">
        <v>1130.255816692995</v>
      </c>
    </row>
    <row r="8991" spans="1:34" ht="14.5" x14ac:dyDescent="0.35">
      <c r="A8991" s="34"/>
      <c r="B8991" s="35"/>
      <c r="C8991" s="36"/>
      <c r="D8991" s="37"/>
      <c r="E8991" s="36"/>
      <c r="F8991" s="42"/>
      <c r="G8991" s="42"/>
      <c r="H8991" s="42"/>
      <c r="AG8991" s="19">
        <v>8990</v>
      </c>
      <c r="AH8991" s="20">
        <v>-3628.5833412472007</v>
      </c>
    </row>
    <row r="8992" spans="1:34" ht="14.5" x14ac:dyDescent="0.35">
      <c r="A8992" s="34"/>
      <c r="B8992" s="35"/>
      <c r="C8992" s="36"/>
      <c r="D8992" s="37"/>
      <c r="E8992" s="36"/>
      <c r="F8992" s="42"/>
      <c r="G8992" s="42"/>
      <c r="H8992" s="42"/>
      <c r="AG8992" s="19">
        <v>8991</v>
      </c>
      <c r="AH8992" s="20">
        <v>-3060.8110206771576</v>
      </c>
    </row>
    <row r="8993" spans="1:34" ht="14.5" x14ac:dyDescent="0.35">
      <c r="A8993" s="34"/>
      <c r="B8993" s="35"/>
      <c r="C8993" s="36"/>
      <c r="D8993" s="37"/>
      <c r="E8993" s="36"/>
      <c r="F8993" s="42"/>
      <c r="G8993" s="42"/>
      <c r="H8993" s="42"/>
      <c r="AG8993" s="19">
        <v>8992</v>
      </c>
      <c r="AH8993" s="20">
        <v>-1496.134743782289</v>
      </c>
    </row>
    <row r="8994" spans="1:34" ht="14.5" x14ac:dyDescent="0.35">
      <c r="A8994" s="34"/>
      <c r="B8994" s="35"/>
      <c r="C8994" s="36"/>
      <c r="D8994" s="37"/>
      <c r="E8994" s="36"/>
      <c r="F8994" s="42"/>
      <c r="G8994" s="42"/>
      <c r="H8994" s="42"/>
      <c r="AG8994" s="19">
        <v>8993</v>
      </c>
      <c r="AH8994" s="20">
        <v>-5677.1821318069897</v>
      </c>
    </row>
    <row r="8995" spans="1:34" ht="14.5" x14ac:dyDescent="0.35">
      <c r="A8995" s="34"/>
      <c r="B8995" s="35"/>
      <c r="C8995" s="36"/>
      <c r="D8995" s="37"/>
      <c r="E8995" s="36"/>
      <c r="F8995" s="42"/>
      <c r="G8995" s="42"/>
      <c r="H8995" s="42"/>
      <c r="AG8995" s="19">
        <v>8994</v>
      </c>
      <c r="AH8995" s="20">
        <v>-502.84243804456599</v>
      </c>
    </row>
    <row r="8996" spans="1:34" ht="14.5" x14ac:dyDescent="0.35">
      <c r="A8996" s="34"/>
      <c r="B8996" s="35"/>
      <c r="C8996" s="36"/>
      <c r="D8996" s="37"/>
      <c r="E8996" s="36"/>
      <c r="F8996" s="42"/>
      <c r="G8996" s="42"/>
      <c r="H8996" s="42"/>
      <c r="AG8996" s="19">
        <v>8995</v>
      </c>
      <c r="AH8996" s="20">
        <v>-2012.9906806312513</v>
      </c>
    </row>
    <row r="8997" spans="1:34" ht="14.5" x14ac:dyDescent="0.35">
      <c r="A8997" s="34"/>
      <c r="B8997" s="35"/>
      <c r="C8997" s="36"/>
      <c r="D8997" s="37"/>
      <c r="E8997" s="36"/>
      <c r="F8997" s="42"/>
      <c r="G8997" s="42"/>
      <c r="H8997" s="42"/>
      <c r="AG8997" s="19">
        <v>8996</v>
      </c>
      <c r="AH8997" s="20">
        <v>857.97909172396908</v>
      </c>
    </row>
    <row r="8998" spans="1:34" ht="14.5" x14ac:dyDescent="0.35">
      <c r="A8998" s="34"/>
      <c r="B8998" s="35"/>
      <c r="C8998" s="36"/>
      <c r="D8998" s="37"/>
      <c r="E8998" s="36"/>
      <c r="F8998" s="42"/>
      <c r="G8998" s="42"/>
      <c r="H8998" s="42"/>
      <c r="AG8998" s="19">
        <v>8997</v>
      </c>
      <c r="AH8998" s="20">
        <v>2241.9929035113323</v>
      </c>
    </row>
    <row r="8999" spans="1:34" ht="14.5" x14ac:dyDescent="0.35">
      <c r="A8999" s="34"/>
      <c r="B8999" s="35"/>
      <c r="C8999" s="36"/>
      <c r="D8999" s="37"/>
      <c r="E8999" s="36"/>
      <c r="F8999" s="42"/>
      <c r="G8999" s="42"/>
      <c r="H8999" s="42"/>
      <c r="AG8999" s="19">
        <v>8998</v>
      </c>
      <c r="AH8999" s="20">
        <v>-2256.5090623457286</v>
      </c>
    </row>
    <row r="9000" spans="1:34" ht="14.5" x14ac:dyDescent="0.35">
      <c r="A9000" s="34"/>
      <c r="B9000" s="35"/>
      <c r="C9000" s="36"/>
      <c r="D9000" s="37"/>
      <c r="E9000" s="36"/>
      <c r="F9000" s="42"/>
      <c r="G9000" s="42"/>
      <c r="H9000" s="42"/>
      <c r="AG9000" s="19">
        <v>8999</v>
      </c>
      <c r="AH9000" s="20">
        <v>-216.4849633152898</v>
      </c>
    </row>
    <row r="9001" spans="1:34" ht="14.5" x14ac:dyDescent="0.35">
      <c r="A9001" s="34"/>
      <c r="B9001" s="35"/>
      <c r="C9001" s="36"/>
      <c r="D9001" s="37"/>
      <c r="E9001" s="36"/>
      <c r="F9001" s="42"/>
      <c r="G9001" s="42"/>
      <c r="H9001" s="42"/>
      <c r="AG9001" s="19">
        <v>9000</v>
      </c>
      <c r="AH9001" s="20">
        <v>-3009.515291914222</v>
      </c>
    </row>
    <row r="9002" spans="1:34" ht="14.5" x14ac:dyDescent="0.35">
      <c r="A9002" s="34"/>
      <c r="B9002" s="35"/>
      <c r="C9002" s="36"/>
      <c r="D9002" s="37"/>
      <c r="E9002" s="36"/>
      <c r="F9002" s="42"/>
      <c r="G9002" s="42"/>
      <c r="H9002" s="42"/>
      <c r="AG9002" s="19">
        <v>9001</v>
      </c>
      <c r="AH9002" s="20">
        <v>-1355.6386293364621</v>
      </c>
    </row>
    <row r="9003" spans="1:34" ht="14.5" x14ac:dyDescent="0.35">
      <c r="A9003" s="34"/>
      <c r="B9003" s="35"/>
      <c r="C9003" s="36"/>
      <c r="D9003" s="37"/>
      <c r="E9003" s="36"/>
      <c r="F9003" s="42"/>
      <c r="G9003" s="42"/>
      <c r="H9003" s="42"/>
      <c r="AG9003" s="19">
        <v>9002</v>
      </c>
      <c r="AH9003" s="20">
        <v>3025.8728543217239</v>
      </c>
    </row>
    <row r="9004" spans="1:34" ht="14.5" x14ac:dyDescent="0.35">
      <c r="A9004" s="34"/>
      <c r="B9004" s="35"/>
      <c r="C9004" s="36"/>
      <c r="D9004" s="37"/>
      <c r="E9004" s="36"/>
      <c r="F9004" s="42"/>
      <c r="G9004" s="42"/>
      <c r="H9004" s="42"/>
      <c r="AG9004" s="19">
        <v>9003</v>
      </c>
      <c r="AH9004" s="20">
        <v>-3779.1244775421674</v>
      </c>
    </row>
    <row r="9005" spans="1:34" ht="14.5" x14ac:dyDescent="0.35">
      <c r="A9005" s="34"/>
      <c r="B9005" s="35"/>
      <c r="C9005" s="36"/>
      <c r="D9005" s="37"/>
      <c r="E9005" s="36"/>
      <c r="F9005" s="42"/>
      <c r="G9005" s="42"/>
      <c r="H9005" s="42"/>
      <c r="AG9005" s="19">
        <v>9004</v>
      </c>
      <c r="AH9005" s="20">
        <v>-347.6507668726311</v>
      </c>
    </row>
    <row r="9006" spans="1:34" ht="14.5" x14ac:dyDescent="0.35">
      <c r="A9006" s="34"/>
      <c r="B9006" s="35"/>
      <c r="C9006" s="36"/>
      <c r="D9006" s="37"/>
      <c r="E9006" s="36"/>
      <c r="F9006" s="42"/>
      <c r="G9006" s="42"/>
      <c r="H9006" s="42"/>
      <c r="AG9006" s="19">
        <v>9005</v>
      </c>
      <c r="AH9006" s="20">
        <v>-584.78197434983144</v>
      </c>
    </row>
    <row r="9007" spans="1:34" ht="14.5" x14ac:dyDescent="0.35">
      <c r="A9007" s="34"/>
      <c r="B9007" s="35"/>
      <c r="C9007" s="36"/>
      <c r="D9007" s="37"/>
      <c r="E9007" s="36"/>
      <c r="F9007" s="42"/>
      <c r="G9007" s="42"/>
      <c r="H9007" s="42"/>
      <c r="AG9007" s="19">
        <v>9006</v>
      </c>
      <c r="AH9007" s="20">
        <v>-1286.2613315590947</v>
      </c>
    </row>
    <row r="9008" spans="1:34" ht="14.5" x14ac:dyDescent="0.35">
      <c r="A9008" s="34"/>
      <c r="B9008" s="35"/>
      <c r="C9008" s="36"/>
      <c r="D9008" s="37"/>
      <c r="E9008" s="36"/>
      <c r="F9008" s="42"/>
      <c r="G9008" s="42"/>
      <c r="H9008" s="42"/>
      <c r="AG9008" s="19">
        <v>9007</v>
      </c>
      <c r="AH9008" s="20">
        <v>457.96136279089643</v>
      </c>
    </row>
    <row r="9009" spans="1:34" ht="14.5" x14ac:dyDescent="0.35">
      <c r="A9009" s="34"/>
      <c r="B9009" s="35"/>
      <c r="C9009" s="36"/>
      <c r="D9009" s="37"/>
      <c r="E9009" s="36"/>
      <c r="F9009" s="42"/>
      <c r="G9009" s="42"/>
      <c r="H9009" s="42"/>
      <c r="AG9009" s="19">
        <v>9008</v>
      </c>
      <c r="AH9009" s="20">
        <v>668.49889706048384</v>
      </c>
    </row>
    <row r="9010" spans="1:34" ht="14.5" x14ac:dyDescent="0.35">
      <c r="A9010" s="34"/>
      <c r="B9010" s="35"/>
      <c r="C9010" s="36"/>
      <c r="D9010" s="37"/>
      <c r="E9010" s="36"/>
      <c r="F9010" s="42"/>
      <c r="G9010" s="42"/>
      <c r="H9010" s="42"/>
      <c r="AG9010" s="19">
        <v>9009</v>
      </c>
      <c r="AH9010" s="20">
        <v>21.118447958383797</v>
      </c>
    </row>
    <row r="9011" spans="1:34" ht="14.5" x14ac:dyDescent="0.35">
      <c r="A9011" s="34"/>
      <c r="B9011" s="35"/>
      <c r="C9011" s="36"/>
      <c r="D9011" s="37"/>
      <c r="E9011" s="36"/>
      <c r="F9011" s="42"/>
      <c r="G9011" s="42"/>
      <c r="H9011" s="42"/>
      <c r="AG9011" s="19">
        <v>9010</v>
      </c>
      <c r="AH9011" s="20">
        <v>5295.0733820958576</v>
      </c>
    </row>
    <row r="9012" spans="1:34" ht="14.5" x14ac:dyDescent="0.35">
      <c r="A9012" s="34"/>
      <c r="B9012" s="35"/>
      <c r="C9012" s="36"/>
      <c r="D9012" s="37"/>
      <c r="E9012" s="36"/>
      <c r="F9012" s="42"/>
      <c r="G9012" s="42"/>
      <c r="H9012" s="42"/>
      <c r="AG9012" s="19">
        <v>9011</v>
      </c>
      <c r="AH9012" s="20">
        <v>2333.9069057743318</v>
      </c>
    </row>
    <row r="9013" spans="1:34" ht="14.5" x14ac:dyDescent="0.35">
      <c r="A9013" s="34"/>
      <c r="B9013" s="35"/>
      <c r="C9013" s="36"/>
      <c r="D9013" s="37"/>
      <c r="E9013" s="36"/>
      <c r="F9013" s="42"/>
      <c r="G9013" s="42"/>
      <c r="H9013" s="42"/>
      <c r="AG9013" s="19">
        <v>9012</v>
      </c>
      <c r="AH9013" s="20">
        <v>1519.0400984832891</v>
      </c>
    </row>
    <row r="9014" spans="1:34" ht="14.5" x14ac:dyDescent="0.35">
      <c r="A9014" s="34"/>
      <c r="B9014" s="35"/>
      <c r="C9014" s="36"/>
      <c r="D9014" s="37"/>
      <c r="E9014" s="36"/>
      <c r="F9014" s="42"/>
      <c r="G9014" s="42"/>
      <c r="H9014" s="42"/>
      <c r="AG9014" s="19">
        <v>9013</v>
      </c>
      <c r="AH9014" s="20">
        <v>4134.687714759315</v>
      </c>
    </row>
    <row r="9015" spans="1:34" ht="14.5" x14ac:dyDescent="0.35">
      <c r="A9015" s="34"/>
      <c r="B9015" s="35"/>
      <c r="C9015" s="36"/>
      <c r="D9015" s="37"/>
      <c r="E9015" s="36"/>
      <c r="F9015" s="42"/>
      <c r="G9015" s="42"/>
      <c r="H9015" s="42"/>
      <c r="AG9015" s="19">
        <v>9014</v>
      </c>
      <c r="AH9015" s="20">
        <v>2580.1281686232605</v>
      </c>
    </row>
    <row r="9016" spans="1:34" ht="14.5" x14ac:dyDescent="0.35">
      <c r="A9016" s="34"/>
      <c r="B9016" s="35"/>
      <c r="C9016" s="36"/>
      <c r="D9016" s="37"/>
      <c r="E9016" s="36"/>
      <c r="F9016" s="42"/>
      <c r="G9016" s="42"/>
      <c r="H9016" s="42"/>
      <c r="AG9016" s="19">
        <v>9015</v>
      </c>
      <c r="AH9016" s="20">
        <v>430.73284308949513</v>
      </c>
    </row>
    <row r="9017" spans="1:34" ht="14.5" x14ac:dyDescent="0.35">
      <c r="A9017" s="34"/>
      <c r="B9017" s="35"/>
      <c r="C9017" s="36"/>
      <c r="D9017" s="37"/>
      <c r="E9017" s="36"/>
      <c r="F9017" s="42"/>
      <c r="G9017" s="42"/>
      <c r="H9017" s="42"/>
      <c r="AG9017" s="19">
        <v>9016</v>
      </c>
      <c r="AH9017" s="20">
        <v>157.95314901226064</v>
      </c>
    </row>
    <row r="9018" spans="1:34" ht="14.5" x14ac:dyDescent="0.35">
      <c r="A9018" s="34"/>
      <c r="B9018" s="35"/>
      <c r="C9018" s="36"/>
      <c r="D9018" s="37"/>
      <c r="E9018" s="36"/>
      <c r="F9018" s="42"/>
      <c r="G9018" s="42"/>
      <c r="H9018" s="42"/>
      <c r="AG9018" s="19">
        <v>9017</v>
      </c>
      <c r="AH9018" s="20">
        <v>-123.04923727073157</v>
      </c>
    </row>
    <row r="9019" spans="1:34" ht="14.5" x14ac:dyDescent="0.35">
      <c r="A9019" s="34"/>
      <c r="B9019" s="35"/>
      <c r="C9019" s="36"/>
      <c r="D9019" s="37"/>
      <c r="E9019" s="36"/>
      <c r="F9019" s="42"/>
      <c r="G9019" s="42"/>
      <c r="H9019" s="42"/>
      <c r="AG9019" s="19">
        <v>9018</v>
      </c>
      <c r="AH9019" s="20">
        <v>-1768.5216008702603</v>
      </c>
    </row>
    <row r="9020" spans="1:34" ht="14.5" x14ac:dyDescent="0.35">
      <c r="A9020" s="34"/>
      <c r="B9020" s="35"/>
      <c r="C9020" s="36"/>
      <c r="D9020" s="37"/>
      <c r="E9020" s="36"/>
      <c r="F9020" s="42"/>
      <c r="G9020" s="42"/>
      <c r="H9020" s="42"/>
      <c r="AG9020" s="19">
        <v>9019</v>
      </c>
      <c r="AH9020" s="20">
        <v>-1306.7030082548424</v>
      </c>
    </row>
    <row r="9021" spans="1:34" ht="14.5" x14ac:dyDescent="0.35">
      <c r="A9021" s="34"/>
      <c r="B9021" s="35"/>
      <c r="C9021" s="36"/>
      <c r="D9021" s="37"/>
      <c r="E9021" s="36"/>
      <c r="F9021" s="42"/>
      <c r="G9021" s="42"/>
      <c r="H9021" s="42"/>
      <c r="AG9021" s="19">
        <v>9020</v>
      </c>
      <c r="AH9021" s="20">
        <v>2650.1300811594697</v>
      </c>
    </row>
    <row r="9022" spans="1:34" ht="14.5" x14ac:dyDescent="0.35">
      <c r="A9022" s="34"/>
      <c r="B9022" s="35"/>
      <c r="C9022" s="36"/>
      <c r="D9022" s="37"/>
      <c r="E9022" s="36"/>
      <c r="F9022" s="42"/>
      <c r="G9022" s="42"/>
      <c r="H9022" s="42"/>
      <c r="AG9022" s="19">
        <v>9021</v>
      </c>
      <c r="AH9022" s="20">
        <v>395.97405871443698</v>
      </c>
    </row>
    <row r="9023" spans="1:34" ht="14.5" x14ac:dyDescent="0.35">
      <c r="A9023" s="34"/>
      <c r="B9023" s="35"/>
      <c r="C9023" s="36"/>
      <c r="D9023" s="37"/>
      <c r="E9023" s="36"/>
      <c r="F9023" s="42"/>
      <c r="G9023" s="42"/>
      <c r="H9023" s="42"/>
      <c r="AG9023" s="19">
        <v>9022</v>
      </c>
      <c r="AH9023" s="20">
        <v>-754.07494167296636</v>
      </c>
    </row>
    <row r="9024" spans="1:34" ht="14.5" x14ac:dyDescent="0.35">
      <c r="A9024" s="34"/>
      <c r="B9024" s="35"/>
      <c r="C9024" s="36"/>
      <c r="D9024" s="37"/>
      <c r="E9024" s="36"/>
      <c r="F9024" s="42"/>
      <c r="G9024" s="42"/>
      <c r="H9024" s="42"/>
      <c r="AG9024" s="19">
        <v>9023</v>
      </c>
      <c r="AH9024" s="20">
        <v>517.56478259552091</v>
      </c>
    </row>
    <row r="9025" spans="1:34" ht="14.5" x14ac:dyDescent="0.35">
      <c r="A9025" s="34"/>
      <c r="B9025" s="35"/>
      <c r="C9025" s="36"/>
      <c r="D9025" s="37"/>
      <c r="E9025" s="36"/>
      <c r="F9025" s="42"/>
      <c r="G9025" s="42"/>
      <c r="H9025" s="42"/>
      <c r="AG9025" s="19">
        <v>9024</v>
      </c>
      <c r="AH9025" s="20">
        <v>1808.2733735196903</v>
      </c>
    </row>
    <row r="9026" spans="1:34" ht="14.5" x14ac:dyDescent="0.35">
      <c r="A9026" s="34"/>
      <c r="B9026" s="35"/>
      <c r="C9026" s="36"/>
      <c r="D9026" s="37"/>
      <c r="E9026" s="36"/>
      <c r="F9026" s="42"/>
      <c r="G9026" s="42"/>
      <c r="H9026" s="42"/>
      <c r="AG9026" s="19">
        <v>9025</v>
      </c>
      <c r="AH9026" s="20">
        <v>-415.99212664188798</v>
      </c>
    </row>
    <row r="9027" spans="1:34" ht="14.5" x14ac:dyDescent="0.35">
      <c r="A9027" s="34"/>
      <c r="B9027" s="35"/>
      <c r="C9027" s="36"/>
      <c r="D9027" s="37"/>
      <c r="E9027" s="36"/>
      <c r="F9027" s="42"/>
      <c r="G9027" s="42"/>
      <c r="H9027" s="42"/>
      <c r="AG9027" s="19">
        <v>9026</v>
      </c>
      <c r="AH9027" s="20">
        <v>-1191.0576602228271</v>
      </c>
    </row>
    <row r="9028" spans="1:34" ht="14.5" x14ac:dyDescent="0.35">
      <c r="A9028" s="34"/>
      <c r="B9028" s="35"/>
      <c r="C9028" s="36"/>
      <c r="D9028" s="37"/>
      <c r="E9028" s="36"/>
      <c r="F9028" s="42"/>
      <c r="G9028" s="42"/>
      <c r="H9028" s="42"/>
      <c r="AG9028" s="19">
        <v>9027</v>
      </c>
      <c r="AH9028" s="20">
        <v>2077.8490117421161</v>
      </c>
    </row>
    <row r="9029" spans="1:34" ht="14.5" x14ac:dyDescent="0.35">
      <c r="A9029" s="34"/>
      <c r="B9029" s="35"/>
      <c r="C9029" s="36"/>
      <c r="D9029" s="37"/>
      <c r="E9029" s="36"/>
      <c r="F9029" s="42"/>
      <c r="G9029" s="42"/>
      <c r="H9029" s="42"/>
      <c r="AG9029" s="19">
        <v>9028</v>
      </c>
      <c r="AH9029" s="20">
        <v>-1987.9335003735457</v>
      </c>
    </row>
    <row r="9030" spans="1:34" ht="14.5" x14ac:dyDescent="0.35">
      <c r="A9030" s="34"/>
      <c r="B9030" s="35"/>
      <c r="C9030" s="36"/>
      <c r="D9030" s="37"/>
      <c r="E9030" s="36"/>
      <c r="F9030" s="42"/>
      <c r="G9030" s="42"/>
      <c r="H9030" s="42"/>
      <c r="AG9030" s="19">
        <v>9029</v>
      </c>
      <c r="AH9030" s="20">
        <v>366.28400677192099</v>
      </c>
    </row>
    <row r="9031" spans="1:34" ht="14.5" x14ac:dyDescent="0.35">
      <c r="A9031" s="34"/>
      <c r="B9031" s="35"/>
      <c r="C9031" s="36"/>
      <c r="D9031" s="37"/>
      <c r="E9031" s="36"/>
      <c r="F9031" s="42"/>
      <c r="G9031" s="42"/>
      <c r="H9031" s="42"/>
      <c r="AG9031" s="19">
        <v>9030</v>
      </c>
      <c r="AH9031" s="20">
        <v>-1902.1135411726943</v>
      </c>
    </row>
    <row r="9032" spans="1:34" ht="14.5" x14ac:dyDescent="0.35">
      <c r="A9032" s="34"/>
      <c r="B9032" s="35"/>
      <c r="C9032" s="36"/>
      <c r="D9032" s="37"/>
      <c r="E9032" s="36"/>
      <c r="F9032" s="42"/>
      <c r="G9032" s="42"/>
      <c r="H9032" s="42"/>
      <c r="AG9032" s="19">
        <v>9031</v>
      </c>
      <c r="AH9032" s="20">
        <v>-2858.6824672524976</v>
      </c>
    </row>
    <row r="9033" spans="1:34" ht="14.5" x14ac:dyDescent="0.35">
      <c r="A9033" s="34"/>
      <c r="B9033" s="35"/>
      <c r="C9033" s="36"/>
      <c r="D9033" s="37"/>
      <c r="E9033" s="36"/>
      <c r="F9033" s="42"/>
      <c r="G9033" s="42"/>
      <c r="H9033" s="42"/>
      <c r="AG9033" s="19">
        <v>9032</v>
      </c>
      <c r="AH9033" s="20">
        <v>-1531.2125699293144</v>
      </c>
    </row>
    <row r="9034" spans="1:34" ht="14.5" x14ac:dyDescent="0.35">
      <c r="A9034" s="34"/>
      <c r="B9034" s="35"/>
      <c r="C9034" s="36"/>
      <c r="D9034" s="37"/>
      <c r="E9034" s="36"/>
      <c r="F9034" s="42"/>
      <c r="G9034" s="42"/>
      <c r="H9034" s="42"/>
      <c r="AG9034" s="19">
        <v>9033</v>
      </c>
      <c r="AH9034" s="20">
        <v>-1819.528983510201</v>
      </c>
    </row>
    <row r="9035" spans="1:34" ht="14.5" x14ac:dyDescent="0.35">
      <c r="A9035" s="34"/>
      <c r="B9035" s="35"/>
      <c r="C9035" s="36"/>
      <c r="D9035" s="37"/>
      <c r="E9035" s="36"/>
      <c r="F9035" s="42"/>
      <c r="G9035" s="42"/>
      <c r="H9035" s="42"/>
      <c r="AG9035" s="19">
        <v>9034</v>
      </c>
      <c r="AH9035" s="20">
        <v>-1987.0309365514456</v>
      </c>
    </row>
    <row r="9036" spans="1:34" ht="14.5" x14ac:dyDescent="0.35">
      <c r="A9036" s="34"/>
      <c r="B9036" s="35"/>
      <c r="C9036" s="36"/>
      <c r="D9036" s="37"/>
      <c r="E9036" s="36"/>
      <c r="F9036" s="42"/>
      <c r="G9036" s="42"/>
      <c r="H9036" s="42"/>
      <c r="AG9036" s="19">
        <v>9035</v>
      </c>
      <c r="AH9036" s="20">
        <v>1758.9795109918484</v>
      </c>
    </row>
    <row r="9037" spans="1:34" ht="14.5" x14ac:dyDescent="0.35">
      <c r="A9037" s="34"/>
      <c r="B9037" s="35"/>
      <c r="C9037" s="36"/>
      <c r="D9037" s="37"/>
      <c r="E9037" s="36"/>
      <c r="F9037" s="42"/>
      <c r="G9037" s="42"/>
      <c r="H9037" s="42"/>
      <c r="AG9037" s="19">
        <v>9036</v>
      </c>
      <c r="AH9037" s="20">
        <v>2967.7338558164674</v>
      </c>
    </row>
    <row r="9038" spans="1:34" ht="14.5" x14ac:dyDescent="0.35">
      <c r="A9038" s="34"/>
      <c r="B9038" s="35"/>
      <c r="C9038" s="36"/>
      <c r="D9038" s="37"/>
      <c r="E9038" s="36"/>
      <c r="F9038" s="42"/>
      <c r="G9038" s="42"/>
      <c r="H9038" s="42"/>
      <c r="AG9038" s="19">
        <v>9037</v>
      </c>
      <c r="AH9038" s="20">
        <v>-2181.7313483275107</v>
      </c>
    </row>
    <row r="9039" spans="1:34" ht="14.5" x14ac:dyDescent="0.35">
      <c r="A9039" s="34"/>
      <c r="B9039" s="35"/>
      <c r="C9039" s="36"/>
      <c r="D9039" s="37"/>
      <c r="E9039" s="36"/>
      <c r="F9039" s="42"/>
      <c r="G9039" s="42"/>
      <c r="H9039" s="42"/>
      <c r="AG9039" s="19">
        <v>9038</v>
      </c>
      <c r="AH9039" s="20">
        <v>-2377.8852285476587</v>
      </c>
    </row>
    <row r="9040" spans="1:34" ht="14.5" x14ac:dyDescent="0.35">
      <c r="A9040" s="34"/>
      <c r="B9040" s="35"/>
      <c r="C9040" s="36"/>
      <c r="D9040" s="37"/>
      <c r="E9040" s="36"/>
      <c r="F9040" s="42"/>
      <c r="G9040" s="42"/>
      <c r="H9040" s="42"/>
      <c r="AG9040" s="19">
        <v>9039</v>
      </c>
      <c r="AH9040" s="20">
        <v>-983.69571806899853</v>
      </c>
    </row>
    <row r="9041" spans="1:34" ht="14.5" x14ac:dyDescent="0.35">
      <c r="A9041" s="34"/>
      <c r="B9041" s="35"/>
      <c r="C9041" s="36"/>
      <c r="D9041" s="37"/>
      <c r="E9041" s="36"/>
      <c r="F9041" s="42"/>
      <c r="G9041" s="42"/>
      <c r="H9041" s="42"/>
      <c r="AG9041" s="19">
        <v>9040</v>
      </c>
      <c r="AH9041" s="20">
        <v>1502.8304456528601</v>
      </c>
    </row>
    <row r="9042" spans="1:34" ht="14.5" x14ac:dyDescent="0.35">
      <c r="A9042" s="34"/>
      <c r="B9042" s="35"/>
      <c r="C9042" s="36"/>
      <c r="D9042" s="37"/>
      <c r="E9042" s="36"/>
      <c r="F9042" s="42"/>
      <c r="G9042" s="42"/>
      <c r="H9042" s="42"/>
      <c r="AG9042" s="19">
        <v>9041</v>
      </c>
      <c r="AH9042" s="20">
        <v>-21.739121478360858</v>
      </c>
    </row>
    <row r="9043" spans="1:34" ht="14.5" x14ac:dyDescent="0.35">
      <c r="A9043" s="34"/>
      <c r="B9043" s="35"/>
      <c r="C9043" s="36"/>
      <c r="D9043" s="37"/>
      <c r="E9043" s="36"/>
      <c r="F9043" s="42"/>
      <c r="G9043" s="42"/>
      <c r="H9043" s="42"/>
      <c r="AG9043" s="19">
        <v>9042</v>
      </c>
      <c r="AH9043" s="20">
        <v>2232.5935586446435</v>
      </c>
    </row>
    <row r="9044" spans="1:34" ht="14.5" x14ac:dyDescent="0.35">
      <c r="A9044" s="34"/>
      <c r="B9044" s="35"/>
      <c r="C9044" s="36"/>
      <c r="D9044" s="37"/>
      <c r="E9044" s="36"/>
      <c r="F9044" s="42"/>
      <c r="G9044" s="42"/>
      <c r="H9044" s="42"/>
      <c r="AG9044" s="19">
        <v>9043</v>
      </c>
      <c r="AH9044" s="20">
        <v>751.88437663069237</v>
      </c>
    </row>
    <row r="9045" spans="1:34" ht="14.5" x14ac:dyDescent="0.35">
      <c r="A9045" s="34"/>
      <c r="B9045" s="35"/>
      <c r="C9045" s="36"/>
      <c r="D9045" s="37"/>
      <c r="E9045" s="36"/>
      <c r="F9045" s="42"/>
      <c r="G9045" s="42"/>
      <c r="H9045" s="42"/>
      <c r="AG9045" s="19">
        <v>9044</v>
      </c>
      <c r="AH9045" s="20">
        <v>-2755.6565302707677</v>
      </c>
    </row>
    <row r="9046" spans="1:34" ht="14.5" x14ac:dyDescent="0.35">
      <c r="A9046" s="34"/>
      <c r="B9046" s="35"/>
      <c r="C9046" s="36"/>
      <c r="D9046" s="37"/>
      <c r="E9046" s="36"/>
      <c r="F9046" s="42"/>
      <c r="G9046" s="42"/>
      <c r="H9046" s="42"/>
      <c r="AG9046" s="19">
        <v>9045</v>
      </c>
      <c r="AH9046" s="20">
        <v>1715.2523865288872</v>
      </c>
    </row>
    <row r="9047" spans="1:34" ht="14.5" x14ac:dyDescent="0.35">
      <c r="A9047" s="34"/>
      <c r="B9047" s="35"/>
      <c r="C9047" s="36"/>
      <c r="D9047" s="37"/>
      <c r="E9047" s="36"/>
      <c r="F9047" s="42"/>
      <c r="G9047" s="42"/>
      <c r="H9047" s="42"/>
      <c r="AG9047" s="19">
        <v>9046</v>
      </c>
      <c r="AH9047" s="20">
        <v>-2395.8874516690234</v>
      </c>
    </row>
    <row r="9048" spans="1:34" ht="14.5" x14ac:dyDescent="0.35">
      <c r="A9048" s="34"/>
      <c r="B9048" s="35"/>
      <c r="C9048" s="36"/>
      <c r="D9048" s="37"/>
      <c r="E9048" s="36"/>
      <c r="F9048" s="42"/>
      <c r="G9048" s="42"/>
      <c r="H9048" s="42"/>
      <c r="AG9048" s="19">
        <v>9047</v>
      </c>
      <c r="AH9048" s="20">
        <v>-2042.7971150302153</v>
      </c>
    </row>
    <row r="9049" spans="1:34" ht="14.5" x14ac:dyDescent="0.35">
      <c r="A9049" s="34"/>
      <c r="B9049" s="35"/>
      <c r="C9049" s="36"/>
      <c r="D9049" s="37"/>
      <c r="E9049" s="36"/>
      <c r="F9049" s="42"/>
      <c r="G9049" s="42"/>
      <c r="H9049" s="42"/>
      <c r="AG9049" s="19">
        <v>9048</v>
      </c>
      <c r="AH9049" s="20">
        <v>5517.7190653434291</v>
      </c>
    </row>
    <row r="9050" spans="1:34" ht="14.5" x14ac:dyDescent="0.35">
      <c r="A9050" s="34"/>
      <c r="B9050" s="35"/>
      <c r="C9050" s="36"/>
      <c r="D9050" s="37"/>
      <c r="E9050" s="36"/>
      <c r="F9050" s="42"/>
      <c r="G9050" s="42"/>
      <c r="H9050" s="42"/>
      <c r="AG9050" s="19">
        <v>9049</v>
      </c>
      <c r="AH9050" s="20">
        <v>4217.8317196159514</v>
      </c>
    </row>
    <row r="9051" spans="1:34" ht="14.5" x14ac:dyDescent="0.35">
      <c r="A9051" s="34"/>
      <c r="B9051" s="35"/>
      <c r="C9051" s="36"/>
      <c r="D9051" s="37"/>
      <c r="E9051" s="36"/>
      <c r="F9051" s="42"/>
      <c r="G9051" s="42"/>
      <c r="H9051" s="42"/>
      <c r="AG9051" s="19">
        <v>9050</v>
      </c>
      <c r="AH9051" s="20">
        <v>1969.8195445998092</v>
      </c>
    </row>
    <row r="9052" spans="1:34" ht="14.5" x14ac:dyDescent="0.35">
      <c r="A9052" s="34"/>
      <c r="B9052" s="35"/>
      <c r="C9052" s="36"/>
      <c r="D9052" s="37"/>
      <c r="E9052" s="36"/>
      <c r="F9052" s="42"/>
      <c r="G9052" s="42"/>
      <c r="H9052" s="42"/>
      <c r="AG9052" s="19">
        <v>9051</v>
      </c>
      <c r="AH9052" s="20">
        <v>1193.7662513363966</v>
      </c>
    </row>
    <row r="9053" spans="1:34" ht="14.5" x14ac:dyDescent="0.35">
      <c r="A9053" s="34"/>
      <c r="B9053" s="35"/>
      <c r="C9053" s="36"/>
      <c r="D9053" s="37"/>
      <c r="E9053" s="36"/>
      <c r="F9053" s="42"/>
      <c r="G9053" s="42"/>
      <c r="H9053" s="42"/>
      <c r="AG9053" s="19">
        <v>9052</v>
      </c>
      <c r="AH9053" s="20">
        <v>-1197.5331981042466</v>
      </c>
    </row>
    <row r="9054" spans="1:34" ht="14.5" x14ac:dyDescent="0.35">
      <c r="A9054" s="34"/>
      <c r="B9054" s="35"/>
      <c r="C9054" s="36"/>
      <c r="D9054" s="37"/>
      <c r="E9054" s="36"/>
      <c r="F9054" s="42"/>
      <c r="G9054" s="42"/>
      <c r="H9054" s="42"/>
      <c r="AG9054" s="19">
        <v>9053</v>
      </c>
      <c r="AH9054" s="20">
        <v>-1863.5553442187354</v>
      </c>
    </row>
    <row r="9055" spans="1:34" ht="14.5" x14ac:dyDescent="0.35">
      <c r="A9055" s="34"/>
      <c r="B9055" s="35"/>
      <c r="C9055" s="36"/>
      <c r="D9055" s="37"/>
      <c r="E9055" s="36"/>
      <c r="F9055" s="42"/>
      <c r="G9055" s="42"/>
      <c r="H9055" s="42"/>
      <c r="AG9055" s="19">
        <v>9054</v>
      </c>
      <c r="AH9055" s="20">
        <v>-894.06037503208154</v>
      </c>
    </row>
    <row r="9056" spans="1:34" ht="14.5" x14ac:dyDescent="0.35">
      <c r="A9056" s="34"/>
      <c r="B9056" s="35"/>
      <c r="C9056" s="36"/>
      <c r="D9056" s="37"/>
      <c r="E9056" s="36"/>
      <c r="F9056" s="42"/>
      <c r="G9056" s="42"/>
      <c r="H9056" s="42"/>
      <c r="AG9056" s="19">
        <v>9055</v>
      </c>
      <c r="AH9056" s="20">
        <v>-724.24581341655312</v>
      </c>
    </row>
    <row r="9057" spans="1:34" ht="14.5" x14ac:dyDescent="0.35">
      <c r="A9057" s="34"/>
      <c r="B9057" s="35"/>
      <c r="C9057" s="36"/>
      <c r="D9057" s="37"/>
      <c r="E9057" s="36"/>
      <c r="F9057" s="42"/>
      <c r="G9057" s="42"/>
      <c r="H9057" s="42"/>
      <c r="AG9057" s="19">
        <v>9056</v>
      </c>
      <c r="AH9057" s="20">
        <v>-407.40816282264194</v>
      </c>
    </row>
    <row r="9058" spans="1:34" ht="14.5" x14ac:dyDescent="0.35">
      <c r="A9058" s="34"/>
      <c r="B9058" s="35"/>
      <c r="C9058" s="36"/>
      <c r="D9058" s="37"/>
      <c r="E9058" s="36"/>
      <c r="F9058" s="42"/>
      <c r="G9058" s="42"/>
      <c r="H9058" s="42"/>
      <c r="AG9058" s="19">
        <v>9057</v>
      </c>
      <c r="AH9058" s="20">
        <v>-328.56946693062281</v>
      </c>
    </row>
    <row r="9059" spans="1:34" ht="14.5" x14ac:dyDescent="0.35">
      <c r="A9059" s="34"/>
      <c r="B9059" s="35"/>
      <c r="C9059" s="36"/>
      <c r="D9059" s="37"/>
      <c r="E9059" s="36"/>
      <c r="F9059" s="42"/>
      <c r="G9059" s="42"/>
      <c r="H9059" s="42"/>
      <c r="AG9059" s="19">
        <v>9058</v>
      </c>
      <c r="AH9059" s="20">
        <v>-105.31374698362782</v>
      </c>
    </row>
    <row r="9060" spans="1:34" ht="14.5" x14ac:dyDescent="0.35">
      <c r="A9060" s="34"/>
      <c r="B9060" s="35"/>
      <c r="C9060" s="36"/>
      <c r="D9060" s="37"/>
      <c r="E9060" s="36"/>
      <c r="F9060" s="42"/>
      <c r="G9060" s="42"/>
      <c r="H9060" s="42"/>
      <c r="AG9060" s="19">
        <v>9059</v>
      </c>
      <c r="AH9060" s="20">
        <v>3171.1578814463146</v>
      </c>
    </row>
    <row r="9061" spans="1:34" ht="14.5" x14ac:dyDescent="0.35">
      <c r="A9061" s="34"/>
      <c r="B9061" s="35"/>
      <c r="C9061" s="36"/>
      <c r="D9061" s="37"/>
      <c r="E9061" s="36"/>
      <c r="F9061" s="42"/>
      <c r="G9061" s="42"/>
      <c r="H9061" s="42"/>
      <c r="AG9061" s="19">
        <v>9060</v>
      </c>
      <c r="AH9061" s="20">
        <v>7.3975968823725111</v>
      </c>
    </row>
    <row r="9062" spans="1:34" ht="14.5" x14ac:dyDescent="0.35">
      <c r="A9062" s="34"/>
      <c r="B9062" s="35"/>
      <c r="C9062" s="36"/>
      <c r="D9062" s="37"/>
      <c r="E9062" s="36"/>
      <c r="F9062" s="42"/>
      <c r="G9062" s="42"/>
      <c r="H9062" s="42"/>
      <c r="AG9062" s="19">
        <v>9061</v>
      </c>
      <c r="AH9062" s="20">
        <v>1721.1977327667648</v>
      </c>
    </row>
    <row r="9063" spans="1:34" ht="14.5" x14ac:dyDescent="0.35">
      <c r="A9063" s="34"/>
      <c r="B9063" s="35"/>
      <c r="C9063" s="36"/>
      <c r="D9063" s="37"/>
      <c r="E9063" s="36"/>
      <c r="F9063" s="42"/>
      <c r="G9063" s="42"/>
      <c r="H9063" s="42"/>
      <c r="AG9063" s="19">
        <v>9062</v>
      </c>
      <c r="AH9063" s="20">
        <v>-708.77327130759591</v>
      </c>
    </row>
    <row r="9064" spans="1:34" ht="14.5" x14ac:dyDescent="0.35">
      <c r="A9064" s="34"/>
      <c r="B9064" s="35"/>
      <c r="C9064" s="36"/>
      <c r="D9064" s="37"/>
      <c r="E9064" s="36"/>
      <c r="F9064" s="42"/>
      <c r="G9064" s="42"/>
      <c r="H9064" s="42"/>
      <c r="AG9064" s="19">
        <v>9063</v>
      </c>
      <c r="AH9064" s="20">
        <v>-1035.8649655956465</v>
      </c>
    </row>
    <row r="9065" spans="1:34" ht="14.5" x14ac:dyDescent="0.35">
      <c r="A9065" s="34"/>
      <c r="B9065" s="35"/>
      <c r="C9065" s="36"/>
      <c r="D9065" s="37"/>
      <c r="E9065" s="36"/>
      <c r="F9065" s="42"/>
      <c r="G9065" s="42"/>
      <c r="H9065" s="42"/>
      <c r="AG9065" s="19">
        <v>9064</v>
      </c>
      <c r="AH9065" s="20">
        <v>2990.0311421261854</v>
      </c>
    </row>
    <row r="9066" spans="1:34" ht="14.5" x14ac:dyDescent="0.35">
      <c r="A9066" s="34"/>
      <c r="B9066" s="35"/>
      <c r="C9066" s="36"/>
      <c r="D9066" s="37"/>
      <c r="E9066" s="36"/>
      <c r="F9066" s="42"/>
      <c r="G9066" s="42"/>
      <c r="H9066" s="42"/>
      <c r="AG9066" s="19">
        <v>9065</v>
      </c>
      <c r="AH9066" s="20">
        <v>2708.9321569744811</v>
      </c>
    </row>
    <row r="9067" spans="1:34" ht="14.5" x14ac:dyDescent="0.35">
      <c r="A9067" s="34"/>
      <c r="B9067" s="35"/>
      <c r="C9067" s="36"/>
      <c r="D9067" s="37"/>
      <c r="E9067" s="36"/>
      <c r="F9067" s="42"/>
      <c r="G9067" s="42"/>
      <c r="H9067" s="42"/>
      <c r="AG9067" s="19">
        <v>9066</v>
      </c>
      <c r="AH9067" s="20">
        <v>1.3098436649322593</v>
      </c>
    </row>
    <row r="9068" spans="1:34" ht="14.5" x14ac:dyDescent="0.35">
      <c r="A9068" s="34"/>
      <c r="B9068" s="35"/>
      <c r="C9068" s="36"/>
      <c r="D9068" s="37"/>
      <c r="E9068" s="36"/>
      <c r="F9068" s="42"/>
      <c r="G9068" s="42"/>
      <c r="H9068" s="42"/>
      <c r="AG9068" s="19">
        <v>9067</v>
      </c>
      <c r="AH9068" s="20">
        <v>-1009.3369813054774</v>
      </c>
    </row>
    <row r="9069" spans="1:34" ht="14.5" x14ac:dyDescent="0.35">
      <c r="A9069" s="34"/>
      <c r="B9069" s="35"/>
      <c r="C9069" s="36"/>
      <c r="D9069" s="37"/>
      <c r="E9069" s="36"/>
      <c r="F9069" s="42"/>
      <c r="G9069" s="42"/>
      <c r="H9069" s="42"/>
      <c r="AG9069" s="19">
        <v>9068</v>
      </c>
      <c r="AH9069" s="20">
        <v>2296.8431990090785</v>
      </c>
    </row>
    <row r="9070" spans="1:34" ht="14.5" x14ac:dyDescent="0.35">
      <c r="A9070" s="34"/>
      <c r="B9070" s="35"/>
      <c r="C9070" s="36"/>
      <c r="D9070" s="37"/>
      <c r="E9070" s="36"/>
      <c r="F9070" s="42"/>
      <c r="G9070" s="42"/>
      <c r="H9070" s="42"/>
      <c r="AG9070" s="19">
        <v>9069</v>
      </c>
      <c r="AH9070" s="20">
        <v>639.97804635248031</v>
      </c>
    </row>
    <row r="9071" spans="1:34" ht="14.5" x14ac:dyDescent="0.35">
      <c r="A9071" s="34"/>
      <c r="B9071" s="35"/>
      <c r="C9071" s="36"/>
      <c r="D9071" s="37"/>
      <c r="E9071" s="36"/>
      <c r="F9071" s="42"/>
      <c r="G9071" s="42"/>
      <c r="H9071" s="42"/>
      <c r="AG9071" s="19">
        <v>9070</v>
      </c>
      <c r="AH9071" s="20">
        <v>-945.19918531948474</v>
      </c>
    </row>
    <row r="9072" spans="1:34" ht="14.5" x14ac:dyDescent="0.35">
      <c r="A9072" s="34"/>
      <c r="B9072" s="35"/>
      <c r="C9072" s="36"/>
      <c r="D9072" s="37"/>
      <c r="E9072" s="36"/>
      <c r="F9072" s="42"/>
      <c r="G9072" s="42"/>
      <c r="H9072" s="42"/>
      <c r="AG9072" s="19">
        <v>9071</v>
      </c>
      <c r="AH9072" s="20">
        <v>254.16502765160843</v>
      </c>
    </row>
    <row r="9073" spans="1:34" ht="14.5" x14ac:dyDescent="0.35">
      <c r="A9073" s="34"/>
      <c r="B9073" s="35"/>
      <c r="C9073" s="36"/>
      <c r="D9073" s="37"/>
      <c r="E9073" s="36"/>
      <c r="F9073" s="42"/>
      <c r="G9073" s="42"/>
      <c r="H9073" s="42"/>
      <c r="AG9073" s="19">
        <v>9072</v>
      </c>
      <c r="AH9073" s="20">
        <v>-1013.4690457713987</v>
      </c>
    </row>
    <row r="9074" spans="1:34" ht="14.5" x14ac:dyDescent="0.35">
      <c r="A9074" s="34"/>
      <c r="B9074" s="35"/>
      <c r="C9074" s="36"/>
      <c r="D9074" s="37"/>
      <c r="E9074" s="36"/>
      <c r="F9074" s="42"/>
      <c r="G9074" s="42"/>
      <c r="H9074" s="42"/>
      <c r="AG9074" s="19">
        <v>9073</v>
      </c>
      <c r="AH9074" s="20">
        <v>2939.5009996457147</v>
      </c>
    </row>
    <row r="9075" spans="1:34" ht="14.5" x14ac:dyDescent="0.35">
      <c r="A9075" s="34"/>
      <c r="B9075" s="35"/>
      <c r="C9075" s="36"/>
      <c r="D9075" s="37"/>
      <c r="E9075" s="36"/>
      <c r="F9075" s="42"/>
      <c r="G9075" s="42"/>
      <c r="H9075" s="42"/>
      <c r="AG9075" s="19">
        <v>9074</v>
      </c>
      <c r="AH9075" s="20">
        <v>1391.7667382838845</v>
      </c>
    </row>
    <row r="9076" spans="1:34" ht="14.5" x14ac:dyDescent="0.35">
      <c r="A9076" s="34"/>
      <c r="B9076" s="35"/>
      <c r="C9076" s="36"/>
      <c r="D9076" s="37"/>
      <c r="E9076" s="36"/>
      <c r="F9076" s="42"/>
      <c r="G9076" s="42"/>
      <c r="H9076" s="42"/>
      <c r="AG9076" s="19">
        <v>9075</v>
      </c>
      <c r="AH9076" s="20">
        <v>343.09169526007361</v>
      </c>
    </row>
    <row r="9077" spans="1:34" ht="14.5" x14ac:dyDescent="0.35">
      <c r="A9077" s="34"/>
      <c r="B9077" s="35"/>
      <c r="C9077" s="36"/>
      <c r="D9077" s="37"/>
      <c r="E9077" s="36"/>
      <c r="F9077" s="42"/>
      <c r="G9077" s="42"/>
      <c r="H9077" s="42"/>
      <c r="AG9077" s="19">
        <v>9076</v>
      </c>
      <c r="AH9077" s="20">
        <v>2020.8713763801011</v>
      </c>
    </row>
    <row r="9078" spans="1:34" ht="14.5" x14ac:dyDescent="0.35">
      <c r="A9078" s="34"/>
      <c r="B9078" s="35"/>
      <c r="C9078" s="36"/>
      <c r="D9078" s="37"/>
      <c r="E9078" s="36"/>
      <c r="F9078" s="42"/>
      <c r="G9078" s="42"/>
      <c r="H9078" s="42"/>
      <c r="AG9078" s="19">
        <v>9077</v>
      </c>
      <c r="AH9078" s="20">
        <v>-812.29201468932479</v>
      </c>
    </row>
    <row r="9079" spans="1:34" ht="14.5" x14ac:dyDescent="0.35">
      <c r="A9079" s="34"/>
      <c r="B9079" s="35"/>
      <c r="C9079" s="36"/>
      <c r="D9079" s="37"/>
      <c r="E9079" s="36"/>
      <c r="F9079" s="42"/>
      <c r="G9079" s="42"/>
      <c r="H9079" s="42"/>
      <c r="AG9079" s="19">
        <v>9078</v>
      </c>
      <c r="AH9079" s="20">
        <v>-534.21914370119202</v>
      </c>
    </row>
    <row r="9080" spans="1:34" ht="14.5" x14ac:dyDescent="0.35">
      <c r="A9080" s="34"/>
      <c r="B9080" s="35"/>
      <c r="C9080" s="36"/>
      <c r="D9080" s="37"/>
      <c r="E9080" s="36"/>
      <c r="F9080" s="42"/>
      <c r="G9080" s="42"/>
      <c r="H9080" s="42"/>
      <c r="AG9080" s="19">
        <v>9079</v>
      </c>
      <c r="AH9080" s="20">
        <v>1127.1112305733732</v>
      </c>
    </row>
    <row r="9081" spans="1:34" ht="14.5" x14ac:dyDescent="0.35">
      <c r="A9081" s="34"/>
      <c r="B9081" s="35"/>
      <c r="C9081" s="36"/>
      <c r="D9081" s="37"/>
      <c r="E9081" s="36"/>
      <c r="F9081" s="42"/>
      <c r="G9081" s="42"/>
      <c r="H9081" s="42"/>
      <c r="AG9081" s="19">
        <v>9080</v>
      </c>
      <c r="AH9081" s="20">
        <v>922.95533099975387</v>
      </c>
    </row>
    <row r="9082" spans="1:34" ht="14.5" x14ac:dyDescent="0.35">
      <c r="A9082" s="34"/>
      <c r="B9082" s="35"/>
      <c r="C9082" s="36"/>
      <c r="D9082" s="37"/>
      <c r="E9082" s="36"/>
      <c r="F9082" s="42"/>
      <c r="G9082" s="42"/>
      <c r="H9082" s="42"/>
      <c r="AG9082" s="19">
        <v>9081</v>
      </c>
      <c r="AH9082" s="20">
        <v>-1046.6080920403001</v>
      </c>
    </row>
    <row r="9083" spans="1:34" ht="14.5" x14ac:dyDescent="0.35">
      <c r="A9083" s="34"/>
      <c r="B9083" s="35"/>
      <c r="C9083" s="36"/>
      <c r="D9083" s="37"/>
      <c r="E9083" s="36"/>
      <c r="F9083" s="42"/>
      <c r="G9083" s="42"/>
      <c r="H9083" s="42"/>
      <c r="AG9083" s="19">
        <v>9082</v>
      </c>
      <c r="AH9083" s="20">
        <v>-2015.575660893275</v>
      </c>
    </row>
    <row r="9084" spans="1:34" ht="14.5" x14ac:dyDescent="0.35">
      <c r="A9084" s="34"/>
      <c r="B9084" s="35"/>
      <c r="C9084" s="36"/>
      <c r="D9084" s="37"/>
      <c r="E9084" s="36"/>
      <c r="F9084" s="42"/>
      <c r="G9084" s="42"/>
      <c r="H9084" s="42"/>
      <c r="AG9084" s="19">
        <v>9083</v>
      </c>
      <c r="AH9084" s="20">
        <v>2573.052685835652</v>
      </c>
    </row>
    <row r="9085" spans="1:34" ht="14.5" x14ac:dyDescent="0.35">
      <c r="A9085" s="34"/>
      <c r="B9085" s="35"/>
      <c r="C9085" s="36"/>
      <c r="D9085" s="37"/>
      <c r="E9085" s="36"/>
      <c r="F9085" s="42"/>
      <c r="G9085" s="42"/>
      <c r="H9085" s="42"/>
      <c r="AG9085" s="19">
        <v>9084</v>
      </c>
      <c r="AH9085" s="20">
        <v>1090.3062169594268</v>
      </c>
    </row>
    <row r="9086" spans="1:34" ht="14.5" x14ac:dyDescent="0.35">
      <c r="A9086" s="34"/>
      <c r="B9086" s="35"/>
      <c r="C9086" s="36"/>
      <c r="D9086" s="37"/>
      <c r="E9086" s="36"/>
      <c r="F9086" s="42"/>
      <c r="G9086" s="42"/>
      <c r="H9086" s="42"/>
      <c r="AG9086" s="19">
        <v>9085</v>
      </c>
      <c r="AH9086" s="20">
        <v>-2814.8859327360924</v>
      </c>
    </row>
    <row r="9087" spans="1:34" ht="14.5" x14ac:dyDescent="0.35">
      <c r="A9087" s="34"/>
      <c r="B9087" s="35"/>
      <c r="C9087" s="36"/>
      <c r="D9087" s="37"/>
      <c r="E9087" s="36"/>
      <c r="F9087" s="42"/>
      <c r="G9087" s="42"/>
      <c r="H9087" s="42"/>
      <c r="AG9087" s="19">
        <v>9086</v>
      </c>
      <c r="AH9087" s="20">
        <v>3742.8016671715563</v>
      </c>
    </row>
    <row r="9088" spans="1:34" ht="14.5" x14ac:dyDescent="0.35">
      <c r="A9088" s="34"/>
      <c r="B9088" s="35"/>
      <c r="C9088" s="36"/>
      <c r="D9088" s="37"/>
      <c r="E9088" s="36"/>
      <c r="F9088" s="42"/>
      <c r="G9088" s="42"/>
      <c r="H9088" s="42"/>
      <c r="AG9088" s="19">
        <v>9087</v>
      </c>
      <c r="AH9088" s="20">
        <v>-3266.1210136399677</v>
      </c>
    </row>
    <row r="9089" spans="1:34" ht="14.5" x14ac:dyDescent="0.35">
      <c r="A9089" s="34"/>
      <c r="B9089" s="35"/>
      <c r="C9089" s="36"/>
      <c r="D9089" s="37"/>
      <c r="E9089" s="36"/>
      <c r="F9089" s="42"/>
      <c r="G9089" s="42"/>
      <c r="H9089" s="42"/>
      <c r="AG9089" s="19">
        <v>9088</v>
      </c>
      <c r="AH9089" s="20">
        <v>-1587.1033230646262</v>
      </c>
    </row>
    <row r="9090" spans="1:34" ht="14.5" x14ac:dyDescent="0.35">
      <c r="A9090" s="34"/>
      <c r="B9090" s="35"/>
      <c r="C9090" s="36"/>
      <c r="D9090" s="37"/>
      <c r="E9090" s="36"/>
      <c r="F9090" s="42"/>
      <c r="G9090" s="42"/>
      <c r="H9090" s="42"/>
      <c r="AG9090" s="19">
        <v>9089</v>
      </c>
      <c r="AH9090" s="20">
        <v>-793.93823341250391</v>
      </c>
    </row>
    <row r="9091" spans="1:34" ht="14.5" x14ac:dyDescent="0.35">
      <c r="A9091" s="34"/>
      <c r="B9091" s="35"/>
      <c r="C9091" s="36"/>
      <c r="D9091" s="37"/>
      <c r="E9091" s="36"/>
      <c r="F9091" s="42"/>
      <c r="G9091" s="42"/>
      <c r="H9091" s="42"/>
      <c r="AG9091" s="19">
        <v>9090</v>
      </c>
      <c r="AH9091" s="20">
        <v>20.675690150623723</v>
      </c>
    </row>
    <row r="9092" spans="1:34" ht="14.5" x14ac:dyDescent="0.35">
      <c r="A9092" s="34"/>
      <c r="B9092" s="35"/>
      <c r="C9092" s="36"/>
      <c r="D9092" s="37"/>
      <c r="E9092" s="36"/>
      <c r="F9092" s="42"/>
      <c r="G9092" s="42"/>
      <c r="H9092" s="42"/>
      <c r="AG9092" s="19">
        <v>9091</v>
      </c>
      <c r="AH9092" s="20">
        <v>69.878133886530236</v>
      </c>
    </row>
    <row r="9093" spans="1:34" ht="14.5" x14ac:dyDescent="0.35">
      <c r="A9093" s="34"/>
      <c r="B9093" s="35"/>
      <c r="C9093" s="36"/>
      <c r="D9093" s="37"/>
      <c r="E9093" s="36"/>
      <c r="F9093" s="42"/>
      <c r="G9093" s="42"/>
      <c r="H9093" s="42"/>
      <c r="AG9093" s="19">
        <v>9092</v>
      </c>
      <c r="AH9093" s="20">
        <v>-3879.8406272681641</v>
      </c>
    </row>
    <row r="9094" spans="1:34" ht="14.5" x14ac:dyDescent="0.35">
      <c r="A9094" s="34"/>
      <c r="B9094" s="35"/>
      <c r="C9094" s="36"/>
      <c r="D9094" s="37"/>
      <c r="E9094" s="36"/>
      <c r="F9094" s="42"/>
      <c r="G9094" s="42"/>
      <c r="H9094" s="42"/>
      <c r="AG9094" s="19">
        <v>9093</v>
      </c>
      <c r="AH9094" s="20">
        <v>2098.0527297655667</v>
      </c>
    </row>
    <row r="9095" spans="1:34" ht="14.5" x14ac:dyDescent="0.35">
      <c r="A9095" s="34"/>
      <c r="B9095" s="35"/>
      <c r="C9095" s="36"/>
      <c r="D9095" s="37"/>
      <c r="E9095" s="36"/>
      <c r="F9095" s="42"/>
      <c r="G9095" s="42"/>
      <c r="H9095" s="42"/>
      <c r="AG9095" s="19">
        <v>9094</v>
      </c>
      <c r="AH9095" s="20">
        <v>-481.53594521269605</v>
      </c>
    </row>
    <row r="9096" spans="1:34" ht="14.5" x14ac:dyDescent="0.35">
      <c r="A9096" s="34"/>
      <c r="B9096" s="35"/>
      <c r="C9096" s="36"/>
      <c r="D9096" s="37"/>
      <c r="E9096" s="36"/>
      <c r="F9096" s="42"/>
      <c r="G9096" s="42"/>
      <c r="H9096" s="42"/>
      <c r="AG9096" s="19">
        <v>9095</v>
      </c>
      <c r="AH9096" s="20">
        <v>3825.402291748715</v>
      </c>
    </row>
    <row r="9097" spans="1:34" ht="14.5" x14ac:dyDescent="0.35">
      <c r="A9097" s="34"/>
      <c r="B9097" s="35"/>
      <c r="C9097" s="36"/>
      <c r="D9097" s="37"/>
      <c r="E9097" s="36"/>
      <c r="F9097" s="42"/>
      <c r="G9097" s="42"/>
      <c r="H9097" s="42"/>
      <c r="AG9097" s="19">
        <v>9096</v>
      </c>
      <c r="AH9097" s="20">
        <v>-2405.7396924825198</v>
      </c>
    </row>
    <row r="9098" spans="1:34" ht="14.5" x14ac:dyDescent="0.35">
      <c r="A9098" s="34"/>
      <c r="B9098" s="35"/>
      <c r="C9098" s="36"/>
      <c r="D9098" s="37"/>
      <c r="E9098" s="36"/>
      <c r="F9098" s="42"/>
      <c r="G9098" s="42"/>
      <c r="H9098" s="42"/>
      <c r="AG9098" s="19">
        <v>9097</v>
      </c>
      <c r="AH9098" s="20">
        <v>6.5085268959655878</v>
      </c>
    </row>
    <row r="9099" spans="1:34" ht="14.5" x14ac:dyDescent="0.35">
      <c r="A9099" s="34"/>
      <c r="B9099" s="35"/>
      <c r="C9099" s="36"/>
      <c r="D9099" s="37"/>
      <c r="E9099" s="36"/>
      <c r="F9099" s="42"/>
      <c r="G9099" s="42"/>
      <c r="H9099" s="42"/>
      <c r="AG9099" s="19">
        <v>9098</v>
      </c>
      <c r="AH9099" s="20">
        <v>3831.840025168744</v>
      </c>
    </row>
    <row r="9100" spans="1:34" ht="14.5" x14ac:dyDescent="0.35">
      <c r="A9100" s="34"/>
      <c r="B9100" s="35"/>
      <c r="C9100" s="36"/>
      <c r="D9100" s="37"/>
      <c r="E9100" s="36"/>
      <c r="F9100" s="42"/>
      <c r="G9100" s="42"/>
      <c r="H9100" s="42"/>
      <c r="AG9100" s="19">
        <v>9099</v>
      </c>
      <c r="AH9100" s="20">
        <v>1878.4329626426502</v>
      </c>
    </row>
    <row r="9101" spans="1:34" ht="14.5" x14ac:dyDescent="0.35">
      <c r="A9101" s="34"/>
      <c r="B9101" s="35"/>
      <c r="C9101" s="36"/>
      <c r="D9101" s="37"/>
      <c r="E9101" s="36"/>
      <c r="F9101" s="42"/>
      <c r="G9101" s="42"/>
      <c r="H9101" s="42"/>
      <c r="AG9101" s="19">
        <v>9100</v>
      </c>
      <c r="AH9101" s="20">
        <v>370.55885283183386</v>
      </c>
    </row>
    <row r="9102" spans="1:34" ht="14.5" x14ac:dyDescent="0.35">
      <c r="A9102" s="34"/>
      <c r="B9102" s="35"/>
      <c r="C9102" s="36"/>
      <c r="D9102" s="37"/>
      <c r="E9102" s="36"/>
      <c r="F9102" s="42"/>
      <c r="G9102" s="42"/>
      <c r="H9102" s="42"/>
      <c r="AG9102" s="19">
        <v>9101</v>
      </c>
      <c r="AH9102" s="20">
        <v>539.09521880630177</v>
      </c>
    </row>
    <row r="9103" spans="1:34" ht="14.5" x14ac:dyDescent="0.35">
      <c r="A9103" s="34"/>
      <c r="B9103" s="35"/>
      <c r="C9103" s="36"/>
      <c r="D9103" s="37"/>
      <c r="E9103" s="36"/>
      <c r="F9103" s="42"/>
      <c r="G9103" s="42"/>
      <c r="H9103" s="42"/>
      <c r="AG9103" s="19">
        <v>9102</v>
      </c>
      <c r="AH9103" s="20">
        <v>-364.67817519121462</v>
      </c>
    </row>
    <row r="9104" spans="1:34" ht="14.5" x14ac:dyDescent="0.35">
      <c r="A9104" s="34"/>
      <c r="B9104" s="35"/>
      <c r="C9104" s="36"/>
      <c r="D9104" s="37"/>
      <c r="E9104" s="36"/>
      <c r="F9104" s="42"/>
      <c r="G9104" s="42"/>
      <c r="H9104" s="42"/>
      <c r="AG9104" s="19">
        <v>9103</v>
      </c>
      <c r="AH9104" s="20">
        <v>2013.467722111149</v>
      </c>
    </row>
    <row r="9105" spans="1:34" ht="14.5" x14ac:dyDescent="0.35">
      <c r="A9105" s="34"/>
      <c r="B9105" s="35"/>
      <c r="C9105" s="36"/>
      <c r="D9105" s="37"/>
      <c r="E9105" s="36"/>
      <c r="F9105" s="42"/>
      <c r="G9105" s="42"/>
      <c r="H9105" s="42"/>
      <c r="AG9105" s="19">
        <v>9104</v>
      </c>
      <c r="AH9105" s="20">
        <v>3680.2555741462097</v>
      </c>
    </row>
    <row r="9106" spans="1:34" ht="14.5" x14ac:dyDescent="0.35">
      <c r="A9106" s="34"/>
      <c r="B9106" s="35"/>
      <c r="C9106" s="36"/>
      <c r="D9106" s="37"/>
      <c r="E9106" s="36"/>
      <c r="F9106" s="42"/>
      <c r="G9106" s="42"/>
      <c r="H9106" s="42"/>
      <c r="AG9106" s="19">
        <v>9105</v>
      </c>
      <c r="AH9106" s="20">
        <v>-579.47978421407902</v>
      </c>
    </row>
    <row r="9107" spans="1:34" ht="14.5" x14ac:dyDescent="0.35">
      <c r="A9107" s="34"/>
      <c r="B9107" s="35"/>
      <c r="C9107" s="36"/>
      <c r="D9107" s="37"/>
      <c r="E9107" s="36"/>
      <c r="F9107" s="42"/>
      <c r="G9107" s="42"/>
      <c r="H9107" s="42"/>
      <c r="AG9107" s="19">
        <v>9106</v>
      </c>
      <c r="AH9107" s="20">
        <v>-57.31630732853364</v>
      </c>
    </row>
    <row r="9108" spans="1:34" ht="14.5" x14ac:dyDescent="0.35">
      <c r="A9108" s="34"/>
      <c r="B9108" s="35"/>
      <c r="C9108" s="36"/>
      <c r="D9108" s="37"/>
      <c r="E9108" s="36"/>
      <c r="F9108" s="42"/>
      <c r="G9108" s="42"/>
      <c r="H9108" s="42"/>
      <c r="AG9108" s="19">
        <v>9107</v>
      </c>
      <c r="AH9108" s="20">
        <v>-1774.8777160075449</v>
      </c>
    </row>
    <row r="9109" spans="1:34" ht="14.5" x14ac:dyDescent="0.35">
      <c r="A9109" s="34"/>
      <c r="B9109" s="35"/>
      <c r="C9109" s="36"/>
      <c r="D9109" s="37"/>
      <c r="E9109" s="36"/>
      <c r="F9109" s="42"/>
      <c r="G9109" s="42"/>
      <c r="H9109" s="42"/>
      <c r="AG9109" s="19">
        <v>9108</v>
      </c>
      <c r="AH9109" s="20">
        <v>534.98210337740511</v>
      </c>
    </row>
    <row r="9110" spans="1:34" ht="14.5" x14ac:dyDescent="0.35">
      <c r="A9110" s="34"/>
      <c r="B9110" s="35"/>
      <c r="C9110" s="36"/>
      <c r="D9110" s="37"/>
      <c r="E9110" s="36"/>
      <c r="F9110" s="42"/>
      <c r="G9110" s="42"/>
      <c r="H9110" s="42"/>
      <c r="AG9110" s="19">
        <v>9109</v>
      </c>
      <c r="AH9110" s="20">
        <v>-220.96623955735134</v>
      </c>
    </row>
    <row r="9111" spans="1:34" ht="14.5" x14ac:dyDescent="0.35">
      <c r="A9111" s="34"/>
      <c r="B9111" s="35"/>
      <c r="C9111" s="36"/>
      <c r="D9111" s="37"/>
      <c r="E9111" s="36"/>
      <c r="F9111" s="42"/>
      <c r="G9111" s="42"/>
      <c r="H9111" s="42"/>
      <c r="AG9111" s="19">
        <v>9110</v>
      </c>
      <c r="AH9111" s="20">
        <v>-64.272194251502583</v>
      </c>
    </row>
    <row r="9112" spans="1:34" ht="14.5" x14ac:dyDescent="0.35">
      <c r="A9112" s="34"/>
      <c r="B9112" s="35"/>
      <c r="C9112" s="36"/>
      <c r="D9112" s="37"/>
      <c r="E9112" s="36"/>
      <c r="F9112" s="42"/>
      <c r="G9112" s="42"/>
      <c r="H9112" s="42"/>
      <c r="AG9112" s="19">
        <v>9111</v>
      </c>
      <c r="AH9112" s="20">
        <v>5776.9128112786566</v>
      </c>
    </row>
    <row r="9113" spans="1:34" ht="14.5" x14ac:dyDescent="0.35">
      <c r="A9113" s="34"/>
      <c r="B9113" s="35"/>
      <c r="C9113" s="36"/>
      <c r="D9113" s="37"/>
      <c r="E9113" s="36"/>
      <c r="F9113" s="42"/>
      <c r="G9113" s="42"/>
      <c r="H9113" s="42"/>
      <c r="AG9113" s="19">
        <v>9112</v>
      </c>
      <c r="AH9113" s="20">
        <v>925.63735927862649</v>
      </c>
    </row>
    <row r="9114" spans="1:34" ht="14.5" x14ac:dyDescent="0.35">
      <c r="A9114" s="34"/>
      <c r="B9114" s="35"/>
      <c r="C9114" s="36"/>
      <c r="D9114" s="37"/>
      <c r="E9114" s="36"/>
      <c r="F9114" s="42"/>
      <c r="G9114" s="42"/>
      <c r="H9114" s="42"/>
      <c r="AG9114" s="19">
        <v>9113</v>
      </c>
      <c r="AH9114" s="20">
        <v>2716.7957194075566</v>
      </c>
    </row>
    <row r="9115" spans="1:34" ht="14.5" x14ac:dyDescent="0.35">
      <c r="A9115" s="34"/>
      <c r="B9115" s="35"/>
      <c r="C9115" s="36"/>
      <c r="D9115" s="37"/>
      <c r="E9115" s="36"/>
      <c r="F9115" s="42"/>
      <c r="G9115" s="42"/>
      <c r="H9115" s="42"/>
      <c r="AG9115" s="19">
        <v>9114</v>
      </c>
      <c r="AH9115" s="20">
        <v>506.29535671613115</v>
      </c>
    </row>
    <row r="9116" spans="1:34" ht="14.5" x14ac:dyDescent="0.35">
      <c r="A9116" s="34"/>
      <c r="B9116" s="35"/>
      <c r="C9116" s="36"/>
      <c r="D9116" s="37"/>
      <c r="E9116" s="36"/>
      <c r="F9116" s="42"/>
      <c r="G9116" s="42"/>
      <c r="H9116" s="42"/>
      <c r="AG9116" s="19">
        <v>9115</v>
      </c>
      <c r="AH9116" s="20">
        <v>-6.3509462413418305</v>
      </c>
    </row>
    <row r="9117" spans="1:34" ht="14.5" x14ac:dyDescent="0.35">
      <c r="A9117" s="34"/>
      <c r="B9117" s="35"/>
      <c r="C9117" s="36"/>
      <c r="D9117" s="37"/>
      <c r="E9117" s="36"/>
      <c r="F9117" s="42"/>
      <c r="G9117" s="42"/>
      <c r="H9117" s="42"/>
      <c r="AG9117" s="19">
        <v>9116</v>
      </c>
      <c r="AH9117" s="20">
        <v>-2117.7601655403028</v>
      </c>
    </row>
    <row r="9118" spans="1:34" ht="14.5" x14ac:dyDescent="0.35">
      <c r="A9118" s="34"/>
      <c r="B9118" s="35"/>
      <c r="C9118" s="36"/>
      <c r="D9118" s="37"/>
      <c r="E9118" s="36"/>
      <c r="F9118" s="42"/>
      <c r="G9118" s="42"/>
      <c r="H9118" s="42"/>
      <c r="AG9118" s="19">
        <v>9117</v>
      </c>
      <c r="AH9118" s="20">
        <v>-2611.8517367057943</v>
      </c>
    </row>
    <row r="9119" spans="1:34" ht="14.5" x14ac:dyDescent="0.35">
      <c r="A9119" s="34"/>
      <c r="B9119" s="35"/>
      <c r="C9119" s="36"/>
      <c r="D9119" s="37"/>
      <c r="E9119" s="36"/>
      <c r="F9119" s="42"/>
      <c r="G9119" s="42"/>
      <c r="H9119" s="42"/>
      <c r="AG9119" s="19">
        <v>9118</v>
      </c>
      <c r="AH9119" s="20">
        <v>-1535.753781491369</v>
      </c>
    </row>
    <row r="9120" spans="1:34" ht="14.5" x14ac:dyDescent="0.35">
      <c r="A9120" s="34"/>
      <c r="B9120" s="35"/>
      <c r="C9120" s="36"/>
      <c r="D9120" s="37"/>
      <c r="E9120" s="36"/>
      <c r="F9120" s="42"/>
      <c r="G9120" s="42"/>
      <c r="H9120" s="42"/>
      <c r="AG9120" s="19">
        <v>9119</v>
      </c>
      <c r="AH9120" s="20">
        <v>1290.4455883487828</v>
      </c>
    </row>
    <row r="9121" spans="1:34" ht="14.5" x14ac:dyDescent="0.35">
      <c r="A9121" s="34"/>
      <c r="B9121" s="35"/>
      <c r="C9121" s="36"/>
      <c r="D9121" s="37"/>
      <c r="E9121" s="36"/>
      <c r="F9121" s="42"/>
      <c r="G9121" s="42"/>
      <c r="H9121" s="42"/>
      <c r="AG9121" s="19">
        <v>9120</v>
      </c>
      <c r="AH9121" s="20">
        <v>538.38908950555719</v>
      </c>
    </row>
    <row r="9122" spans="1:34" ht="14.5" x14ac:dyDescent="0.35">
      <c r="A9122" s="34"/>
      <c r="B9122" s="35"/>
      <c r="C9122" s="36"/>
      <c r="D9122" s="37"/>
      <c r="E9122" s="36"/>
      <c r="F9122" s="42"/>
      <c r="G9122" s="42"/>
      <c r="H9122" s="42"/>
      <c r="AG9122" s="19">
        <v>9121</v>
      </c>
      <c r="AH9122" s="20">
        <v>-624.23736447937426</v>
      </c>
    </row>
    <row r="9123" spans="1:34" ht="14.5" x14ac:dyDescent="0.35">
      <c r="A9123" s="34"/>
      <c r="B9123" s="35"/>
      <c r="C9123" s="36"/>
      <c r="D9123" s="37"/>
      <c r="E9123" s="36"/>
      <c r="F9123" s="42"/>
      <c r="G9123" s="42"/>
      <c r="H9123" s="42"/>
      <c r="AG9123" s="19">
        <v>9122</v>
      </c>
      <c r="AH9123" s="20">
        <v>106.71160607883184</v>
      </c>
    </row>
    <row r="9124" spans="1:34" ht="14.5" x14ac:dyDescent="0.35">
      <c r="A9124" s="34"/>
      <c r="B9124" s="35"/>
      <c r="C9124" s="36"/>
      <c r="D9124" s="37"/>
      <c r="E9124" s="36"/>
      <c r="F9124" s="42"/>
      <c r="G9124" s="42"/>
      <c r="H9124" s="42"/>
      <c r="AG9124" s="19">
        <v>9123</v>
      </c>
      <c r="AH9124" s="20">
        <v>1104.8112999354948</v>
      </c>
    </row>
    <row r="9125" spans="1:34" ht="14.5" x14ac:dyDescent="0.35">
      <c r="A9125" s="34"/>
      <c r="B9125" s="35"/>
      <c r="C9125" s="36"/>
      <c r="D9125" s="37"/>
      <c r="E9125" s="36"/>
      <c r="F9125" s="42"/>
      <c r="G9125" s="42"/>
      <c r="H9125" s="42"/>
      <c r="AG9125" s="19">
        <v>9124</v>
      </c>
      <c r="AH9125" s="20">
        <v>422.91482584044684</v>
      </c>
    </row>
    <row r="9126" spans="1:34" ht="14.5" x14ac:dyDescent="0.35">
      <c r="A9126" s="34"/>
      <c r="B9126" s="35"/>
      <c r="C9126" s="36"/>
      <c r="D9126" s="37"/>
      <c r="E9126" s="36"/>
      <c r="F9126" s="42"/>
      <c r="G9126" s="42"/>
      <c r="H9126" s="42"/>
      <c r="AG9126" s="19">
        <v>9125</v>
      </c>
      <c r="AH9126" s="20">
        <v>521.04087213858622</v>
      </c>
    </row>
    <row r="9127" spans="1:34" ht="14.5" x14ac:dyDescent="0.35">
      <c r="A9127" s="34"/>
      <c r="B9127" s="35"/>
      <c r="C9127" s="36"/>
      <c r="D9127" s="37"/>
      <c r="E9127" s="36"/>
      <c r="F9127" s="42"/>
      <c r="G9127" s="42"/>
      <c r="H9127" s="42"/>
      <c r="AG9127" s="19">
        <v>9126</v>
      </c>
      <c r="AH9127" s="20">
        <v>-1097.9128053204852</v>
      </c>
    </row>
    <row r="9128" spans="1:34" ht="14.5" x14ac:dyDescent="0.35">
      <c r="A9128" s="34"/>
      <c r="B9128" s="35"/>
      <c r="C9128" s="36"/>
      <c r="D9128" s="37"/>
      <c r="E9128" s="36"/>
      <c r="F9128" s="42"/>
      <c r="G9128" s="42"/>
      <c r="H9128" s="42"/>
      <c r="AG9128" s="19">
        <v>9127</v>
      </c>
      <c r="AH9128" s="20">
        <v>-1008.39473875009</v>
      </c>
    </row>
    <row r="9129" spans="1:34" ht="14.5" x14ac:dyDescent="0.35">
      <c r="A9129" s="34"/>
      <c r="B9129" s="35"/>
      <c r="C9129" s="36"/>
      <c r="D9129" s="37"/>
      <c r="E9129" s="36"/>
      <c r="F9129" s="42"/>
      <c r="G9129" s="42"/>
      <c r="H9129" s="42"/>
      <c r="AG9129" s="19">
        <v>9128</v>
      </c>
      <c r="AH9129" s="20">
        <v>-731.07415324172143</v>
      </c>
    </row>
    <row r="9130" spans="1:34" ht="14.5" x14ac:dyDescent="0.35">
      <c r="A9130" s="34"/>
      <c r="B9130" s="35"/>
      <c r="C9130" s="36"/>
      <c r="D9130" s="37"/>
      <c r="E9130" s="36"/>
      <c r="F9130" s="42"/>
      <c r="G9130" s="42"/>
      <c r="H9130" s="42"/>
      <c r="AG9130" s="19">
        <v>9129</v>
      </c>
      <c r="AH9130" s="20">
        <v>-1375.371363981774</v>
      </c>
    </row>
    <row r="9131" spans="1:34" ht="14.5" x14ac:dyDescent="0.35">
      <c r="A9131" s="34"/>
      <c r="B9131" s="35"/>
      <c r="C9131" s="36"/>
      <c r="D9131" s="37"/>
      <c r="E9131" s="36"/>
      <c r="F9131" s="42"/>
      <c r="G9131" s="42"/>
      <c r="H9131" s="42"/>
      <c r="AG9131" s="19">
        <v>9130</v>
      </c>
      <c r="AH9131" s="20">
        <v>1566.165900997029</v>
      </c>
    </row>
    <row r="9132" spans="1:34" ht="14.5" x14ac:dyDescent="0.35">
      <c r="A9132" s="34"/>
      <c r="B9132" s="35"/>
      <c r="C9132" s="36"/>
      <c r="D9132" s="37"/>
      <c r="E9132" s="36"/>
      <c r="F9132" s="42"/>
      <c r="G9132" s="42"/>
      <c r="H9132" s="42"/>
      <c r="AG9132" s="19">
        <v>9131</v>
      </c>
      <c r="AH9132" s="20">
        <v>-2406.200444894198</v>
      </c>
    </row>
    <row r="9133" spans="1:34" ht="14.5" x14ac:dyDescent="0.35">
      <c r="A9133" s="34"/>
      <c r="B9133" s="35"/>
      <c r="C9133" s="36"/>
      <c r="D9133" s="37"/>
      <c r="E9133" s="36"/>
      <c r="F9133" s="42"/>
      <c r="G9133" s="42"/>
      <c r="H9133" s="42"/>
      <c r="AG9133" s="19">
        <v>9132</v>
      </c>
      <c r="AH9133" s="20">
        <v>6.678118145420683</v>
      </c>
    </row>
    <row r="9134" spans="1:34" ht="14.5" x14ac:dyDescent="0.35">
      <c r="A9134" s="34"/>
      <c r="B9134" s="35"/>
      <c r="C9134" s="36"/>
      <c r="D9134" s="37"/>
      <c r="E9134" s="36"/>
      <c r="F9134" s="42"/>
      <c r="G9134" s="42"/>
      <c r="H9134" s="42"/>
      <c r="AG9134" s="19">
        <v>9133</v>
      </c>
      <c r="AH9134" s="20">
        <v>-6271.0253781642205</v>
      </c>
    </row>
    <row r="9135" spans="1:34" ht="14.5" x14ac:dyDescent="0.35">
      <c r="A9135" s="34"/>
      <c r="B9135" s="35"/>
      <c r="C9135" s="36"/>
      <c r="D9135" s="37"/>
      <c r="E9135" s="36"/>
      <c r="F9135" s="42"/>
      <c r="G9135" s="42"/>
      <c r="H9135" s="42"/>
      <c r="AG9135" s="19">
        <v>9134</v>
      </c>
      <c r="AH9135" s="20">
        <v>2329.7171995259955</v>
      </c>
    </row>
    <row r="9136" spans="1:34" ht="14.5" x14ac:dyDescent="0.35">
      <c r="A9136" s="34"/>
      <c r="B9136" s="35"/>
      <c r="C9136" s="36"/>
      <c r="D9136" s="37"/>
      <c r="E9136" s="36"/>
      <c r="F9136" s="42"/>
      <c r="G9136" s="42"/>
      <c r="H9136" s="42"/>
      <c r="AG9136" s="19">
        <v>9135</v>
      </c>
      <c r="AH9136" s="20">
        <v>-1231.2166491601099</v>
      </c>
    </row>
    <row r="9137" spans="1:34" ht="14.5" x14ac:dyDescent="0.35">
      <c r="A9137" s="34"/>
      <c r="B9137" s="35"/>
      <c r="C9137" s="36"/>
      <c r="D9137" s="37"/>
      <c r="E9137" s="36"/>
      <c r="F9137" s="42"/>
      <c r="G9137" s="42"/>
      <c r="H9137" s="42"/>
      <c r="AG9137" s="19">
        <v>9136</v>
      </c>
      <c r="AH9137" s="20">
        <v>-3016.965974895239</v>
      </c>
    </row>
    <row r="9138" spans="1:34" ht="14.5" x14ac:dyDescent="0.35">
      <c r="A9138" s="34"/>
      <c r="B9138" s="35"/>
      <c r="C9138" s="36"/>
      <c r="D9138" s="37"/>
      <c r="E9138" s="36"/>
      <c r="F9138" s="42"/>
      <c r="G9138" s="42"/>
      <c r="H9138" s="42"/>
      <c r="AG9138" s="19">
        <v>9137</v>
      </c>
      <c r="AH9138" s="20">
        <v>-840.70261912639421</v>
      </c>
    </row>
    <row r="9139" spans="1:34" ht="14.5" x14ac:dyDescent="0.35">
      <c r="A9139" s="34"/>
      <c r="B9139" s="35"/>
      <c r="C9139" s="36"/>
      <c r="D9139" s="37"/>
      <c r="E9139" s="36"/>
      <c r="F9139" s="42"/>
      <c r="G9139" s="42"/>
      <c r="H9139" s="42"/>
      <c r="AG9139" s="19">
        <v>9138</v>
      </c>
      <c r="AH9139" s="20">
        <v>-4115.6847148752104</v>
      </c>
    </row>
    <row r="9140" spans="1:34" ht="14.5" x14ac:dyDescent="0.35">
      <c r="A9140" s="34"/>
      <c r="B9140" s="35"/>
      <c r="C9140" s="36"/>
      <c r="D9140" s="37"/>
      <c r="E9140" s="36"/>
      <c r="F9140" s="42"/>
      <c r="G9140" s="42"/>
      <c r="H9140" s="42"/>
      <c r="AG9140" s="19">
        <v>9139</v>
      </c>
      <c r="AH9140" s="20">
        <v>1041.4299210976246</v>
      </c>
    </row>
    <row r="9141" spans="1:34" ht="14.5" x14ac:dyDescent="0.35">
      <c r="A9141" s="34"/>
      <c r="B9141" s="35"/>
      <c r="C9141" s="36"/>
      <c r="D9141" s="37"/>
      <c r="E9141" s="36"/>
      <c r="F9141" s="42"/>
      <c r="G9141" s="42"/>
      <c r="H9141" s="42"/>
      <c r="AG9141" s="19">
        <v>9140</v>
      </c>
      <c r="AH9141" s="20">
        <v>429.57756591579283</v>
      </c>
    </row>
    <row r="9142" spans="1:34" ht="14.5" x14ac:dyDescent="0.35">
      <c r="A9142" s="34"/>
      <c r="B9142" s="35"/>
      <c r="C9142" s="36"/>
      <c r="D9142" s="37"/>
      <c r="E9142" s="36"/>
      <c r="F9142" s="42"/>
      <c r="G9142" s="42"/>
      <c r="H9142" s="42"/>
      <c r="AG9142" s="19">
        <v>9141</v>
      </c>
      <c r="AH9142" s="20">
        <v>-475.84048085702221</v>
      </c>
    </row>
    <row r="9143" spans="1:34" ht="14.5" x14ac:dyDescent="0.35">
      <c r="A9143" s="34"/>
      <c r="B9143" s="35"/>
      <c r="C9143" s="36"/>
      <c r="D9143" s="37"/>
      <c r="E9143" s="36"/>
      <c r="F9143" s="42"/>
      <c r="G9143" s="42"/>
      <c r="H9143" s="42"/>
      <c r="AG9143" s="19">
        <v>9142</v>
      </c>
      <c r="AH9143" s="20">
        <v>-4337.1752623913608</v>
      </c>
    </row>
    <row r="9144" spans="1:34" ht="14.5" x14ac:dyDescent="0.35">
      <c r="A9144" s="34"/>
      <c r="B9144" s="35"/>
      <c r="C9144" s="36"/>
      <c r="D9144" s="37"/>
      <c r="E9144" s="36"/>
      <c r="F9144" s="42"/>
      <c r="G9144" s="42"/>
      <c r="H9144" s="42"/>
      <c r="AG9144" s="19">
        <v>9143</v>
      </c>
      <c r="AH9144" s="20">
        <v>2258.2864140582469</v>
      </c>
    </row>
    <row r="9145" spans="1:34" ht="14.5" x14ac:dyDescent="0.35">
      <c r="A9145" s="34"/>
      <c r="B9145" s="35"/>
      <c r="C9145" s="36"/>
      <c r="D9145" s="37"/>
      <c r="E9145" s="36"/>
      <c r="F9145" s="42"/>
      <c r="G9145" s="42"/>
      <c r="H9145" s="42"/>
      <c r="AG9145" s="19">
        <v>9144</v>
      </c>
      <c r="AH9145" s="20">
        <v>-1396.8613708667158</v>
      </c>
    </row>
    <row r="9146" spans="1:34" ht="14.5" x14ac:dyDescent="0.35">
      <c r="A9146" s="34"/>
      <c r="B9146" s="35"/>
      <c r="C9146" s="36"/>
      <c r="D9146" s="37"/>
      <c r="E9146" s="36"/>
      <c r="F9146" s="42"/>
      <c r="G9146" s="42"/>
      <c r="H9146" s="42"/>
      <c r="AG9146" s="19">
        <v>9145</v>
      </c>
      <c r="AH9146" s="20">
        <v>-508.12467294944753</v>
      </c>
    </row>
    <row r="9147" spans="1:34" ht="14.5" x14ac:dyDescent="0.35">
      <c r="A9147" s="34"/>
      <c r="B9147" s="35"/>
      <c r="C9147" s="36"/>
      <c r="D9147" s="37"/>
      <c r="E9147" s="36"/>
      <c r="F9147" s="42"/>
      <c r="G9147" s="42"/>
      <c r="H9147" s="42"/>
      <c r="AG9147" s="19">
        <v>9146</v>
      </c>
      <c r="AH9147" s="20">
        <v>1557.7043476521656</v>
      </c>
    </row>
    <row r="9148" spans="1:34" ht="14.5" x14ac:dyDescent="0.35">
      <c r="A9148" s="34"/>
      <c r="B9148" s="35"/>
      <c r="C9148" s="36"/>
      <c r="D9148" s="37"/>
      <c r="E9148" s="36"/>
      <c r="F9148" s="42"/>
      <c r="G9148" s="42"/>
      <c r="H9148" s="42"/>
      <c r="AG9148" s="19">
        <v>9147</v>
      </c>
      <c r="AH9148" s="20">
        <v>-1057.2884289834403</v>
      </c>
    </row>
    <row r="9149" spans="1:34" ht="14.5" x14ac:dyDescent="0.35">
      <c r="A9149" s="34"/>
      <c r="B9149" s="35"/>
      <c r="C9149" s="36"/>
      <c r="D9149" s="37"/>
      <c r="E9149" s="36"/>
      <c r="F9149" s="42"/>
      <c r="G9149" s="42"/>
      <c r="H9149" s="42"/>
      <c r="AG9149" s="19">
        <v>9148</v>
      </c>
      <c r="AH9149" s="20">
        <v>5867.9913864162581</v>
      </c>
    </row>
    <row r="9150" spans="1:34" ht="14.5" x14ac:dyDescent="0.35">
      <c r="A9150" s="34"/>
      <c r="B9150" s="35"/>
      <c r="C9150" s="36"/>
      <c r="D9150" s="37"/>
      <c r="E9150" s="36"/>
      <c r="F9150" s="42"/>
      <c r="G9150" s="42"/>
      <c r="H9150" s="42"/>
      <c r="AG9150" s="19">
        <v>9149</v>
      </c>
      <c r="AH9150" s="20">
        <v>-1050.4429747833583</v>
      </c>
    </row>
    <row r="9151" spans="1:34" ht="14.5" x14ac:dyDescent="0.35">
      <c r="A9151" s="34"/>
      <c r="B9151" s="35"/>
      <c r="C9151" s="36"/>
      <c r="D9151" s="37"/>
      <c r="E9151" s="36"/>
      <c r="F9151" s="42"/>
      <c r="G9151" s="42"/>
      <c r="H9151" s="42"/>
      <c r="AG9151" s="19">
        <v>9150</v>
      </c>
      <c r="AH9151" s="20">
        <v>2724.3044705869934</v>
      </c>
    </row>
    <row r="9152" spans="1:34" ht="14.5" x14ac:dyDescent="0.35">
      <c r="A9152" s="34"/>
      <c r="B9152" s="35"/>
      <c r="C9152" s="36"/>
      <c r="D9152" s="37"/>
      <c r="E9152" s="36"/>
      <c r="F9152" s="42"/>
      <c r="G9152" s="42"/>
      <c r="H9152" s="42"/>
      <c r="AG9152" s="19">
        <v>9151</v>
      </c>
      <c r="AH9152" s="20">
        <v>769.56803228156275</v>
      </c>
    </row>
    <row r="9153" spans="1:34" ht="14.5" x14ac:dyDescent="0.35">
      <c r="A9153" s="34"/>
      <c r="B9153" s="35"/>
      <c r="C9153" s="36"/>
      <c r="D9153" s="37"/>
      <c r="E9153" s="36"/>
      <c r="F9153" s="42"/>
      <c r="G9153" s="42"/>
      <c r="H9153" s="42"/>
      <c r="AG9153" s="19">
        <v>9152</v>
      </c>
      <c r="AH9153" s="20">
        <v>-716.15975795135705</v>
      </c>
    </row>
    <row r="9154" spans="1:34" ht="14.5" x14ac:dyDescent="0.35">
      <c r="A9154" s="34"/>
      <c r="B9154" s="35"/>
      <c r="C9154" s="36"/>
      <c r="D9154" s="37"/>
      <c r="E9154" s="36"/>
      <c r="F9154" s="42"/>
      <c r="G9154" s="42"/>
      <c r="H9154" s="42"/>
      <c r="AG9154" s="19">
        <v>9153</v>
      </c>
      <c r="AH9154" s="20">
        <v>574.7745583087052</v>
      </c>
    </row>
    <row r="9155" spans="1:34" ht="14.5" x14ac:dyDescent="0.35">
      <c r="A9155" s="34"/>
      <c r="B9155" s="35"/>
      <c r="C9155" s="36"/>
      <c r="D9155" s="37"/>
      <c r="E9155" s="36"/>
      <c r="F9155" s="42"/>
      <c r="G9155" s="42"/>
      <c r="H9155" s="42"/>
      <c r="AG9155" s="19">
        <v>9154</v>
      </c>
      <c r="AH9155" s="20">
        <v>-4146.9319809033759</v>
      </c>
    </row>
    <row r="9156" spans="1:34" ht="14.5" x14ac:dyDescent="0.35">
      <c r="A9156" s="34"/>
      <c r="B9156" s="35"/>
      <c r="C9156" s="36"/>
      <c r="D9156" s="37"/>
      <c r="E9156" s="36"/>
      <c r="F9156" s="42"/>
      <c r="G9156" s="42"/>
      <c r="H9156" s="42"/>
      <c r="AG9156" s="19">
        <v>9155</v>
      </c>
      <c r="AH9156" s="20">
        <v>1204.3149917776066</v>
      </c>
    </row>
    <row r="9157" spans="1:34" ht="14.5" x14ac:dyDescent="0.35">
      <c r="A9157" s="34"/>
      <c r="B9157" s="35"/>
      <c r="C9157" s="36"/>
      <c r="D9157" s="37"/>
      <c r="E9157" s="36"/>
      <c r="F9157" s="42"/>
      <c r="G9157" s="42"/>
      <c r="H9157" s="42"/>
      <c r="AG9157" s="19">
        <v>9156</v>
      </c>
      <c r="AH9157" s="20">
        <v>3802.4242797655625</v>
      </c>
    </row>
    <row r="9158" spans="1:34" ht="14.5" x14ac:dyDescent="0.35">
      <c r="A9158" s="34"/>
      <c r="B9158" s="35"/>
      <c r="C9158" s="36"/>
      <c r="D9158" s="37"/>
      <c r="E9158" s="36"/>
      <c r="F9158" s="42"/>
      <c r="G9158" s="42"/>
      <c r="H9158" s="42"/>
      <c r="AG9158" s="19">
        <v>9157</v>
      </c>
      <c r="AH9158" s="20">
        <v>-1338.7801017349857</v>
      </c>
    </row>
    <row r="9159" spans="1:34" ht="14.5" x14ac:dyDescent="0.35">
      <c r="A9159" s="34"/>
      <c r="B9159" s="35"/>
      <c r="C9159" s="36"/>
      <c r="D9159" s="37"/>
      <c r="E9159" s="36"/>
      <c r="F9159" s="42"/>
      <c r="G9159" s="42"/>
      <c r="H9159" s="42"/>
      <c r="AG9159" s="19">
        <v>9158</v>
      </c>
      <c r="AH9159" s="20">
        <v>-0.29029516916659759</v>
      </c>
    </row>
    <row r="9160" spans="1:34" ht="14.5" x14ac:dyDescent="0.35">
      <c r="A9160" s="34"/>
      <c r="B9160" s="35"/>
      <c r="C9160" s="36"/>
      <c r="D9160" s="37"/>
      <c r="E9160" s="36"/>
      <c r="F9160" s="42"/>
      <c r="G9160" s="42"/>
      <c r="H9160" s="42"/>
      <c r="AG9160" s="19">
        <v>9159</v>
      </c>
      <c r="AH9160" s="20">
        <v>983.95560210116741</v>
      </c>
    </row>
    <row r="9161" spans="1:34" ht="14.5" x14ac:dyDescent="0.35">
      <c r="A9161" s="34"/>
      <c r="B9161" s="35"/>
      <c r="C9161" s="36"/>
      <c r="D9161" s="37"/>
      <c r="E9161" s="36"/>
      <c r="F9161" s="42"/>
      <c r="G9161" s="42"/>
      <c r="H9161" s="42"/>
      <c r="AG9161" s="19">
        <v>9160</v>
      </c>
      <c r="AH9161" s="20">
        <v>-1881.0634504628886</v>
      </c>
    </row>
    <row r="9162" spans="1:34" ht="14.5" x14ac:dyDescent="0.35">
      <c r="A9162" s="34"/>
      <c r="B9162" s="35"/>
      <c r="C9162" s="36"/>
      <c r="D9162" s="37"/>
      <c r="E9162" s="36"/>
      <c r="F9162" s="42"/>
      <c r="G9162" s="42"/>
      <c r="H9162" s="42"/>
      <c r="AG9162" s="19">
        <v>9161</v>
      </c>
      <c r="AH9162" s="20">
        <v>2281.6376608125015</v>
      </c>
    </row>
    <row r="9163" spans="1:34" ht="14.5" x14ac:dyDescent="0.35">
      <c r="A9163" s="34"/>
      <c r="B9163" s="35"/>
      <c r="C9163" s="36"/>
      <c r="D9163" s="37"/>
      <c r="E9163" s="36"/>
      <c r="F9163" s="42"/>
      <c r="G9163" s="42"/>
      <c r="H9163" s="42"/>
      <c r="AG9163" s="19">
        <v>9162</v>
      </c>
      <c r="AH9163" s="20">
        <v>1321.3178603340548</v>
      </c>
    </row>
    <row r="9164" spans="1:34" ht="14.5" x14ac:dyDescent="0.35">
      <c r="A9164" s="34"/>
      <c r="B9164" s="35"/>
      <c r="C9164" s="36"/>
      <c r="D9164" s="37"/>
      <c r="E9164" s="36"/>
      <c r="F9164" s="42"/>
      <c r="G9164" s="42"/>
      <c r="H9164" s="42"/>
      <c r="AG9164" s="19">
        <v>9163</v>
      </c>
      <c r="AH9164" s="20">
        <v>-804.27361759667133</v>
      </c>
    </row>
    <row r="9165" spans="1:34" ht="14.5" x14ac:dyDescent="0.35">
      <c r="A9165" s="34"/>
      <c r="B9165" s="35"/>
      <c r="C9165" s="36"/>
      <c r="D9165" s="37"/>
      <c r="E9165" s="36"/>
      <c r="F9165" s="42"/>
      <c r="G9165" s="42"/>
      <c r="H9165" s="42"/>
      <c r="AG9165" s="19">
        <v>9164</v>
      </c>
      <c r="AH9165" s="20">
        <v>1387.0241390807719</v>
      </c>
    </row>
    <row r="9166" spans="1:34" ht="14.5" x14ac:dyDescent="0.35">
      <c r="A9166" s="34"/>
      <c r="B9166" s="35"/>
      <c r="C9166" s="36"/>
      <c r="D9166" s="37"/>
      <c r="E9166" s="36"/>
      <c r="F9166" s="42"/>
      <c r="G9166" s="42"/>
      <c r="H9166" s="42"/>
      <c r="AG9166" s="19">
        <v>9165</v>
      </c>
      <c r="AH9166" s="20">
        <v>-810.50294225537255</v>
      </c>
    </row>
    <row r="9167" spans="1:34" ht="14.5" x14ac:dyDescent="0.35">
      <c r="A9167" s="34"/>
      <c r="B9167" s="35"/>
      <c r="C9167" s="36"/>
      <c r="D9167" s="37"/>
      <c r="E9167" s="36"/>
      <c r="F9167" s="42"/>
      <c r="G9167" s="42"/>
      <c r="H9167" s="42"/>
      <c r="AG9167" s="19">
        <v>9166</v>
      </c>
      <c r="AH9167" s="20">
        <v>42.919959712535785</v>
      </c>
    </row>
    <row r="9168" spans="1:34" ht="14.5" x14ac:dyDescent="0.35">
      <c r="A9168" s="34"/>
      <c r="B9168" s="35"/>
      <c r="C9168" s="36"/>
      <c r="D9168" s="37"/>
      <c r="E9168" s="36"/>
      <c r="F9168" s="42"/>
      <c r="G9168" s="42"/>
      <c r="H9168" s="42"/>
      <c r="AG9168" s="19">
        <v>9167</v>
      </c>
      <c r="AH9168" s="20">
        <v>2917.8714817198943</v>
      </c>
    </row>
    <row r="9169" spans="1:34" ht="14.5" x14ac:dyDescent="0.35">
      <c r="A9169" s="34"/>
      <c r="B9169" s="35"/>
      <c r="C9169" s="36"/>
      <c r="D9169" s="37"/>
      <c r="E9169" s="36"/>
      <c r="F9169" s="42"/>
      <c r="G9169" s="42"/>
      <c r="H9169" s="42"/>
      <c r="AG9169" s="19">
        <v>9168</v>
      </c>
      <c r="AH9169" s="20">
        <v>1084.5366356601864</v>
      </c>
    </row>
    <row r="9170" spans="1:34" ht="14.5" x14ac:dyDescent="0.35">
      <c r="A9170" s="34"/>
      <c r="B9170" s="35"/>
      <c r="C9170" s="36"/>
      <c r="D9170" s="37"/>
      <c r="E9170" s="36"/>
      <c r="F9170" s="42"/>
      <c r="G9170" s="42"/>
      <c r="H9170" s="42"/>
      <c r="AG9170" s="19">
        <v>9169</v>
      </c>
      <c r="AH9170" s="20">
        <v>339.79655122379637</v>
      </c>
    </row>
    <row r="9171" spans="1:34" ht="14.5" x14ac:dyDescent="0.35">
      <c r="A9171" s="34"/>
      <c r="B9171" s="35"/>
      <c r="C9171" s="36"/>
      <c r="D9171" s="37"/>
      <c r="E9171" s="36"/>
      <c r="F9171" s="42"/>
      <c r="G9171" s="42"/>
      <c r="H9171" s="42"/>
      <c r="AG9171" s="19">
        <v>9170</v>
      </c>
      <c r="AH9171" s="20">
        <v>892.4733688771056</v>
      </c>
    </row>
    <row r="9172" spans="1:34" ht="14.5" x14ac:dyDescent="0.35">
      <c r="A9172" s="34"/>
      <c r="B9172" s="35"/>
      <c r="C9172" s="36"/>
      <c r="D9172" s="37"/>
      <c r="E9172" s="36"/>
      <c r="F9172" s="42"/>
      <c r="G9172" s="42"/>
      <c r="H9172" s="42"/>
      <c r="AG9172" s="19">
        <v>9171</v>
      </c>
      <c r="AH9172" s="20">
        <v>-220.99173221006862</v>
      </c>
    </row>
    <row r="9173" spans="1:34" ht="14.5" x14ac:dyDescent="0.35">
      <c r="A9173" s="34"/>
      <c r="B9173" s="35"/>
      <c r="C9173" s="36"/>
      <c r="D9173" s="37"/>
      <c r="E9173" s="36"/>
      <c r="F9173" s="42"/>
      <c r="G9173" s="42"/>
      <c r="H9173" s="42"/>
      <c r="AG9173" s="19">
        <v>9172</v>
      </c>
      <c r="AH9173" s="20">
        <v>-2566.2915036827444</v>
      </c>
    </row>
    <row r="9174" spans="1:34" ht="14.5" x14ac:dyDescent="0.35">
      <c r="A9174" s="34"/>
      <c r="B9174" s="35"/>
      <c r="C9174" s="36"/>
      <c r="D9174" s="37"/>
      <c r="E9174" s="36"/>
      <c r="F9174" s="42"/>
      <c r="G9174" s="42"/>
      <c r="H9174" s="42"/>
      <c r="AG9174" s="19">
        <v>9173</v>
      </c>
      <c r="AH9174" s="20">
        <v>-190.46161285642523</v>
      </c>
    </row>
    <row r="9175" spans="1:34" ht="14.5" x14ac:dyDescent="0.35">
      <c r="A9175" s="34"/>
      <c r="B9175" s="35"/>
      <c r="C9175" s="36"/>
      <c r="D9175" s="37"/>
      <c r="E9175" s="36"/>
      <c r="F9175" s="42"/>
      <c r="G9175" s="42"/>
      <c r="H9175" s="42"/>
      <c r="AG9175" s="19">
        <v>9174</v>
      </c>
      <c r="AH9175" s="20">
        <v>-160.92190442790633</v>
      </c>
    </row>
    <row r="9176" spans="1:34" ht="14.5" x14ac:dyDescent="0.35">
      <c r="A9176" s="34"/>
      <c r="B9176" s="35"/>
      <c r="C9176" s="36"/>
      <c r="D9176" s="37"/>
      <c r="E9176" s="36"/>
      <c r="F9176" s="42"/>
      <c r="G9176" s="42"/>
      <c r="H9176" s="42"/>
      <c r="AG9176" s="19">
        <v>9175</v>
      </c>
      <c r="AH9176" s="20">
        <v>1061.9284800034666</v>
      </c>
    </row>
    <row r="9177" spans="1:34" ht="14.5" x14ac:dyDescent="0.35">
      <c r="A9177" s="34"/>
      <c r="B9177" s="35"/>
      <c r="C9177" s="36"/>
      <c r="D9177" s="37"/>
      <c r="E9177" s="36"/>
      <c r="F9177" s="42"/>
      <c r="G9177" s="42"/>
      <c r="H9177" s="42"/>
      <c r="AG9177" s="19">
        <v>9176</v>
      </c>
      <c r="AH9177" s="20">
        <v>303.16981148736261</v>
      </c>
    </row>
    <row r="9178" spans="1:34" ht="14.5" x14ac:dyDescent="0.35">
      <c r="A9178" s="34"/>
      <c r="B9178" s="35"/>
      <c r="C9178" s="36"/>
      <c r="D9178" s="37"/>
      <c r="E9178" s="36"/>
      <c r="F9178" s="42"/>
      <c r="G9178" s="42"/>
      <c r="H9178" s="42"/>
      <c r="AG9178" s="19">
        <v>9177</v>
      </c>
      <c r="AH9178" s="20">
        <v>-954.45845779350316</v>
      </c>
    </row>
    <row r="9179" spans="1:34" ht="14.5" x14ac:dyDescent="0.35">
      <c r="A9179" s="34"/>
      <c r="B9179" s="35"/>
      <c r="C9179" s="36"/>
      <c r="D9179" s="37"/>
      <c r="E9179" s="36"/>
      <c r="F9179" s="42"/>
      <c r="G9179" s="42"/>
      <c r="H9179" s="42"/>
      <c r="AG9179" s="19">
        <v>9178</v>
      </c>
      <c r="AH9179" s="20">
        <v>1111.2170403407422</v>
      </c>
    </row>
    <row r="9180" spans="1:34" ht="14.5" x14ac:dyDescent="0.35">
      <c r="A9180" s="34"/>
      <c r="B9180" s="35"/>
      <c r="C9180" s="36"/>
      <c r="D9180" s="37"/>
      <c r="E9180" s="36"/>
      <c r="F9180" s="42"/>
      <c r="G9180" s="42"/>
      <c r="H9180" s="42"/>
      <c r="AG9180" s="19">
        <v>9179</v>
      </c>
      <c r="AH9180" s="20">
        <v>-1253.1523213319267</v>
      </c>
    </row>
    <row r="9181" spans="1:34" ht="14.5" x14ac:dyDescent="0.35">
      <c r="A9181" s="34"/>
      <c r="B9181" s="35"/>
      <c r="C9181" s="36"/>
      <c r="D9181" s="37"/>
      <c r="E9181" s="36"/>
      <c r="F9181" s="42"/>
      <c r="G9181" s="42"/>
      <c r="H9181" s="42"/>
      <c r="AG9181" s="19">
        <v>9180</v>
      </c>
      <c r="AH9181" s="20">
        <v>581.76187361478787</v>
      </c>
    </row>
    <row r="9182" spans="1:34" ht="14.5" x14ac:dyDescent="0.35">
      <c r="A9182" s="34"/>
      <c r="B9182" s="35"/>
      <c r="C9182" s="36"/>
      <c r="D9182" s="37"/>
      <c r="E9182" s="36"/>
      <c r="F9182" s="42"/>
      <c r="G9182" s="42"/>
      <c r="H9182" s="42"/>
      <c r="AG9182" s="19">
        <v>9181</v>
      </c>
      <c r="AH9182" s="20">
        <v>1.9146631431930814</v>
      </c>
    </row>
    <row r="9183" spans="1:34" ht="14.5" x14ac:dyDescent="0.35">
      <c r="A9183" s="34"/>
      <c r="B9183" s="35"/>
      <c r="C9183" s="36"/>
      <c r="D9183" s="37"/>
      <c r="E9183" s="36"/>
      <c r="F9183" s="42"/>
      <c r="G9183" s="42"/>
      <c r="H9183" s="42"/>
      <c r="AG9183" s="19">
        <v>9182</v>
      </c>
      <c r="AH9183" s="20">
        <v>-1668.3206611509956</v>
      </c>
    </row>
    <row r="9184" spans="1:34" ht="14.5" x14ac:dyDescent="0.35">
      <c r="A9184" s="34"/>
      <c r="B9184" s="35"/>
      <c r="C9184" s="36"/>
      <c r="D9184" s="37"/>
      <c r="E9184" s="36"/>
      <c r="F9184" s="42"/>
      <c r="G9184" s="42"/>
      <c r="H9184" s="42"/>
      <c r="AG9184" s="19">
        <v>9183</v>
      </c>
      <c r="AH9184" s="20">
        <v>163.67351582635087</v>
      </c>
    </row>
    <row r="9185" spans="1:34" ht="14.5" x14ac:dyDescent="0.35">
      <c r="A9185" s="34"/>
      <c r="B9185" s="35"/>
      <c r="C9185" s="36"/>
      <c r="D9185" s="37"/>
      <c r="E9185" s="36"/>
      <c r="F9185" s="42"/>
      <c r="G9185" s="42"/>
      <c r="H9185" s="42"/>
      <c r="AG9185" s="19">
        <v>9184</v>
      </c>
      <c r="AH9185" s="20">
        <v>-493.65145101811169</v>
      </c>
    </row>
    <row r="9186" spans="1:34" ht="14.5" x14ac:dyDescent="0.35">
      <c r="A9186" s="34"/>
      <c r="B9186" s="35"/>
      <c r="C9186" s="36"/>
      <c r="D9186" s="37"/>
      <c r="E9186" s="36"/>
      <c r="F9186" s="42"/>
      <c r="G9186" s="42"/>
      <c r="H9186" s="42"/>
      <c r="AG9186" s="19">
        <v>9185</v>
      </c>
      <c r="AH9186" s="20">
        <v>2567.6003891531</v>
      </c>
    </row>
    <row r="9187" spans="1:34" ht="14.5" x14ac:dyDescent="0.35">
      <c r="A9187" s="34"/>
      <c r="B9187" s="35"/>
      <c r="C9187" s="36"/>
      <c r="D9187" s="37"/>
      <c r="E9187" s="36"/>
      <c r="F9187" s="42"/>
      <c r="G9187" s="42"/>
      <c r="H9187" s="42"/>
      <c r="AG9187" s="19">
        <v>9186</v>
      </c>
      <c r="AH9187" s="20">
        <v>806.66956881103408</v>
      </c>
    </row>
    <row r="9188" spans="1:34" ht="14.5" x14ac:dyDescent="0.35">
      <c r="A9188" s="34"/>
      <c r="B9188" s="35"/>
      <c r="C9188" s="36"/>
      <c r="D9188" s="37"/>
      <c r="E9188" s="36"/>
      <c r="F9188" s="42"/>
      <c r="G9188" s="42"/>
      <c r="H9188" s="42"/>
      <c r="AG9188" s="19">
        <v>9187</v>
      </c>
      <c r="AH9188" s="20">
        <v>-3990.130175995746</v>
      </c>
    </row>
    <row r="9189" spans="1:34" ht="14.5" x14ac:dyDescent="0.35">
      <c r="A9189" s="34"/>
      <c r="B9189" s="35"/>
      <c r="C9189" s="36"/>
      <c r="D9189" s="37"/>
      <c r="E9189" s="36"/>
      <c r="F9189" s="42"/>
      <c r="G9189" s="42"/>
      <c r="H9189" s="42"/>
      <c r="AG9189" s="19">
        <v>9188</v>
      </c>
      <c r="AH9189" s="20">
        <v>1685.2001449090319</v>
      </c>
    </row>
    <row r="9190" spans="1:34" ht="14.5" x14ac:dyDescent="0.35">
      <c r="A9190" s="34"/>
      <c r="B9190" s="35"/>
      <c r="C9190" s="36"/>
      <c r="D9190" s="37"/>
      <c r="E9190" s="36"/>
      <c r="F9190" s="42"/>
      <c r="G9190" s="42"/>
      <c r="H9190" s="42"/>
      <c r="AG9190" s="19">
        <v>9189</v>
      </c>
      <c r="AH9190" s="20">
        <v>1266.6708535292414</v>
      </c>
    </row>
    <row r="9191" spans="1:34" ht="14.5" x14ac:dyDescent="0.35">
      <c r="A9191" s="34"/>
      <c r="B9191" s="35"/>
      <c r="C9191" s="36"/>
      <c r="D9191" s="37"/>
      <c r="E9191" s="36"/>
      <c r="F9191" s="42"/>
      <c r="G9191" s="42"/>
      <c r="H9191" s="42"/>
      <c r="AG9191" s="19">
        <v>9190</v>
      </c>
      <c r="AH9191" s="20">
        <v>-2964.2459938436596</v>
      </c>
    </row>
    <row r="9192" spans="1:34" ht="14.5" x14ac:dyDescent="0.35">
      <c r="A9192" s="34"/>
      <c r="B9192" s="35"/>
      <c r="C9192" s="36"/>
      <c r="D9192" s="37"/>
      <c r="E9192" s="36"/>
      <c r="F9192" s="42"/>
      <c r="G9192" s="42"/>
      <c r="H9192" s="42"/>
      <c r="AG9192" s="19">
        <v>9191</v>
      </c>
      <c r="AH9192" s="20">
        <v>1573.068135860022</v>
      </c>
    </row>
    <row r="9193" spans="1:34" ht="14.5" x14ac:dyDescent="0.35">
      <c r="A9193" s="34"/>
      <c r="B9193" s="35"/>
      <c r="C9193" s="36"/>
      <c r="D9193" s="37"/>
      <c r="E9193" s="36"/>
      <c r="F9193" s="42"/>
      <c r="G9193" s="42"/>
      <c r="H9193" s="42"/>
      <c r="AG9193" s="19">
        <v>9192</v>
      </c>
      <c r="AH9193" s="20">
        <v>937.296032338636</v>
      </c>
    </row>
    <row r="9194" spans="1:34" ht="14.5" x14ac:dyDescent="0.35">
      <c r="A9194" s="34"/>
      <c r="B9194" s="35"/>
      <c r="C9194" s="36"/>
      <c r="D9194" s="37"/>
      <c r="E9194" s="36"/>
      <c r="F9194" s="42"/>
      <c r="G9194" s="42"/>
      <c r="H9194" s="42"/>
      <c r="AG9194" s="19">
        <v>9193</v>
      </c>
      <c r="AH9194" s="20">
        <v>-3311.8139085287999</v>
      </c>
    </row>
    <row r="9195" spans="1:34" ht="14.5" x14ac:dyDescent="0.35">
      <c r="A9195" s="34"/>
      <c r="B9195" s="35"/>
      <c r="C9195" s="36"/>
      <c r="D9195" s="37"/>
      <c r="E9195" s="36"/>
      <c r="F9195" s="42"/>
      <c r="G9195" s="42"/>
      <c r="H9195" s="42"/>
      <c r="AG9195" s="19">
        <v>9194</v>
      </c>
      <c r="AH9195" s="20">
        <v>2030.6149743548085</v>
      </c>
    </row>
    <row r="9196" spans="1:34" ht="14.5" x14ac:dyDescent="0.35">
      <c r="A9196" s="34"/>
      <c r="B9196" s="35"/>
      <c r="C9196" s="36"/>
      <c r="D9196" s="37"/>
      <c r="E9196" s="36"/>
      <c r="F9196" s="42"/>
      <c r="G9196" s="42"/>
      <c r="H9196" s="42"/>
      <c r="AG9196" s="19">
        <v>9195</v>
      </c>
      <c r="AH9196" s="20">
        <v>-957.35159203675516</v>
      </c>
    </row>
    <row r="9197" spans="1:34" ht="14.5" x14ac:dyDescent="0.35">
      <c r="A9197" s="34"/>
      <c r="B9197" s="35"/>
      <c r="C9197" s="36"/>
      <c r="D9197" s="37"/>
      <c r="E9197" s="36"/>
      <c r="F9197" s="42"/>
      <c r="G9197" s="42"/>
      <c r="H9197" s="42"/>
      <c r="AG9197" s="19">
        <v>9196</v>
      </c>
      <c r="AH9197" s="20">
        <v>1132.6211760331564</v>
      </c>
    </row>
    <row r="9198" spans="1:34" ht="14.5" x14ac:dyDescent="0.35">
      <c r="A9198" s="34"/>
      <c r="B9198" s="35"/>
      <c r="C9198" s="36"/>
      <c r="D9198" s="37"/>
      <c r="E9198" s="36"/>
      <c r="F9198" s="42"/>
      <c r="G9198" s="42"/>
      <c r="H9198" s="42"/>
      <c r="AG9198" s="19">
        <v>9197</v>
      </c>
      <c r="AH9198" s="20">
        <v>1536.5603546205259</v>
      </c>
    </row>
    <row r="9199" spans="1:34" ht="14.5" x14ac:dyDescent="0.35">
      <c r="A9199" s="34"/>
      <c r="B9199" s="35"/>
      <c r="C9199" s="36"/>
      <c r="D9199" s="37"/>
      <c r="E9199" s="36"/>
      <c r="F9199" s="42"/>
      <c r="G9199" s="42"/>
      <c r="H9199" s="42"/>
      <c r="AG9199" s="19">
        <v>9198</v>
      </c>
      <c r="AH9199" s="20">
        <v>-615.71282840988783</v>
      </c>
    </row>
    <row r="9200" spans="1:34" ht="14.5" x14ac:dyDescent="0.35">
      <c r="A9200" s="34"/>
      <c r="B9200" s="35"/>
      <c r="C9200" s="36"/>
      <c r="D9200" s="37"/>
      <c r="E9200" s="36"/>
      <c r="F9200" s="42"/>
      <c r="G9200" s="42"/>
      <c r="H9200" s="42"/>
      <c r="AG9200" s="19">
        <v>9199</v>
      </c>
      <c r="AH9200" s="20">
        <v>1762.8659955692265</v>
      </c>
    </row>
    <row r="9201" spans="1:34" ht="14.5" x14ac:dyDescent="0.35">
      <c r="A9201" s="34"/>
      <c r="B9201" s="35"/>
      <c r="C9201" s="36"/>
      <c r="D9201" s="37"/>
      <c r="E9201" s="36"/>
      <c r="F9201" s="42"/>
      <c r="G9201" s="42"/>
      <c r="H9201" s="42"/>
      <c r="AG9201" s="19">
        <v>9200</v>
      </c>
      <c r="AH9201" s="20">
        <v>-1110.1290978820866</v>
      </c>
    </row>
    <row r="9202" spans="1:34" ht="14.5" x14ac:dyDescent="0.35">
      <c r="A9202" s="34"/>
      <c r="B9202" s="35"/>
      <c r="C9202" s="36"/>
      <c r="D9202" s="37"/>
      <c r="E9202" s="36"/>
      <c r="F9202" s="42"/>
      <c r="G9202" s="42"/>
      <c r="H9202" s="42"/>
      <c r="AG9202" s="19">
        <v>9201</v>
      </c>
      <c r="AH9202" s="20">
        <v>690.55607841770097</v>
      </c>
    </row>
    <row r="9203" spans="1:34" ht="14.5" x14ac:dyDescent="0.35">
      <c r="A9203" s="34"/>
      <c r="B9203" s="35"/>
      <c r="C9203" s="36"/>
      <c r="D9203" s="37"/>
      <c r="E9203" s="36"/>
      <c r="F9203" s="42"/>
      <c r="G9203" s="42"/>
      <c r="H9203" s="42"/>
      <c r="AG9203" s="19">
        <v>9202</v>
      </c>
      <c r="AH9203" s="20">
        <v>-1170.0184278356767</v>
      </c>
    </row>
    <row r="9204" spans="1:34" ht="14.5" x14ac:dyDescent="0.35">
      <c r="A9204" s="34"/>
      <c r="B9204" s="35"/>
      <c r="C9204" s="36"/>
      <c r="D9204" s="37"/>
      <c r="E9204" s="36"/>
      <c r="F9204" s="42"/>
      <c r="G9204" s="42"/>
      <c r="H9204" s="42"/>
      <c r="AG9204" s="19">
        <v>9203</v>
      </c>
      <c r="AH9204" s="20">
        <v>346.9568331412168</v>
      </c>
    </row>
    <row r="9205" spans="1:34" ht="14.5" x14ac:dyDescent="0.35">
      <c r="A9205" s="34"/>
      <c r="B9205" s="35"/>
      <c r="C9205" s="36"/>
      <c r="D9205" s="37"/>
      <c r="E9205" s="36"/>
      <c r="F9205" s="42"/>
      <c r="G9205" s="42"/>
      <c r="H9205" s="42"/>
      <c r="AG9205" s="19">
        <v>9204</v>
      </c>
      <c r="AH9205" s="20">
        <v>1699.4003935649214</v>
      </c>
    </row>
    <row r="9206" spans="1:34" ht="14.5" x14ac:dyDescent="0.35">
      <c r="A9206" s="34"/>
      <c r="B9206" s="35"/>
      <c r="C9206" s="36"/>
      <c r="D9206" s="37"/>
      <c r="E9206" s="36"/>
      <c r="F9206" s="42"/>
      <c r="G9206" s="42"/>
      <c r="H9206" s="42"/>
      <c r="AG9206" s="19">
        <v>9205</v>
      </c>
      <c r="AH9206" s="20">
        <v>288.70292383046842</v>
      </c>
    </row>
    <row r="9207" spans="1:34" ht="14.5" x14ac:dyDescent="0.35">
      <c r="A9207" s="34"/>
      <c r="B9207" s="35"/>
      <c r="C9207" s="36"/>
      <c r="D9207" s="37"/>
      <c r="E9207" s="36"/>
      <c r="F9207" s="42"/>
      <c r="G9207" s="42"/>
      <c r="H9207" s="42"/>
      <c r="AG9207" s="19">
        <v>9206</v>
      </c>
      <c r="AH9207" s="20">
        <v>1922.3374002416488</v>
      </c>
    </row>
    <row r="9208" spans="1:34" ht="14.5" x14ac:dyDescent="0.35">
      <c r="A9208" s="34"/>
      <c r="B9208" s="35"/>
      <c r="C9208" s="36"/>
      <c r="D9208" s="37"/>
      <c r="E9208" s="36"/>
      <c r="F9208" s="42"/>
      <c r="G9208" s="42"/>
      <c r="H9208" s="42"/>
      <c r="AG9208" s="19">
        <v>9207</v>
      </c>
      <c r="AH9208" s="20">
        <v>-2865.2537422166361</v>
      </c>
    </row>
    <row r="9209" spans="1:34" ht="14.5" x14ac:dyDescent="0.35">
      <c r="A9209" s="34"/>
      <c r="B9209" s="35"/>
      <c r="C9209" s="36"/>
      <c r="D9209" s="37"/>
      <c r="E9209" s="36"/>
      <c r="F9209" s="42"/>
      <c r="G9209" s="42"/>
      <c r="H9209" s="42"/>
      <c r="AG9209" s="19">
        <v>9208</v>
      </c>
      <c r="AH9209" s="20">
        <v>-1262.5377040814451</v>
      </c>
    </row>
    <row r="9210" spans="1:34" ht="14.5" x14ac:dyDescent="0.35">
      <c r="A9210" s="34"/>
      <c r="B9210" s="35"/>
      <c r="C9210" s="36"/>
      <c r="D9210" s="37"/>
      <c r="E9210" s="36"/>
      <c r="F9210" s="42"/>
      <c r="G9210" s="42"/>
      <c r="H9210" s="42"/>
      <c r="AG9210" s="19">
        <v>9209</v>
      </c>
      <c r="AH9210" s="20">
        <v>-1599.0566704015914</v>
      </c>
    </row>
    <row r="9211" spans="1:34" ht="14.5" x14ac:dyDescent="0.35">
      <c r="A9211" s="34"/>
      <c r="B9211" s="35"/>
      <c r="C9211" s="36"/>
      <c r="D9211" s="37"/>
      <c r="E9211" s="36"/>
      <c r="F9211" s="42"/>
      <c r="G9211" s="42"/>
      <c r="H9211" s="42"/>
      <c r="AG9211" s="19">
        <v>9210</v>
      </c>
      <c r="AH9211" s="20">
        <v>3430.6401421700352</v>
      </c>
    </row>
    <row r="9212" spans="1:34" ht="14.5" x14ac:dyDescent="0.35">
      <c r="A9212" s="34"/>
      <c r="B9212" s="35"/>
      <c r="C9212" s="36"/>
      <c r="D9212" s="37"/>
      <c r="E9212" s="36"/>
      <c r="F9212" s="42"/>
      <c r="G9212" s="42"/>
      <c r="H9212" s="42"/>
      <c r="AG9212" s="19">
        <v>9211</v>
      </c>
      <c r="AH9212" s="20">
        <v>465.70276701567605</v>
      </c>
    </row>
    <row r="9213" spans="1:34" ht="14.5" x14ac:dyDescent="0.35">
      <c r="A9213" s="34"/>
      <c r="B9213" s="35"/>
      <c r="C9213" s="36"/>
      <c r="D9213" s="37"/>
      <c r="E9213" s="36"/>
      <c r="F9213" s="42"/>
      <c r="G9213" s="42"/>
      <c r="H9213" s="42"/>
      <c r="AG9213" s="19">
        <v>9212</v>
      </c>
      <c r="AH9213" s="20">
        <v>2505.3993209907767</v>
      </c>
    </row>
    <row r="9214" spans="1:34" ht="14.5" x14ac:dyDescent="0.35">
      <c r="A9214" s="34"/>
      <c r="B9214" s="35"/>
      <c r="C9214" s="36"/>
      <c r="D9214" s="37"/>
      <c r="E9214" s="36"/>
      <c r="F9214" s="42"/>
      <c r="G9214" s="42"/>
      <c r="H9214" s="42"/>
      <c r="AG9214" s="19">
        <v>9213</v>
      </c>
      <c r="AH9214" s="20">
        <v>3201.898597616484</v>
      </c>
    </row>
    <row r="9215" spans="1:34" ht="14.5" x14ac:dyDescent="0.35">
      <c r="A9215" s="34"/>
      <c r="B9215" s="35"/>
      <c r="C9215" s="36"/>
      <c r="D9215" s="37"/>
      <c r="E9215" s="36"/>
      <c r="F9215" s="42"/>
      <c r="G9215" s="42"/>
      <c r="H9215" s="42"/>
      <c r="AG9215" s="19">
        <v>9214</v>
      </c>
      <c r="AH9215" s="20">
        <v>-750.98643810455701</v>
      </c>
    </row>
    <row r="9216" spans="1:34" ht="14.5" x14ac:dyDescent="0.35">
      <c r="A9216" s="34"/>
      <c r="B9216" s="35"/>
      <c r="C9216" s="36"/>
      <c r="D9216" s="37"/>
      <c r="E9216" s="36"/>
      <c r="F9216" s="42"/>
      <c r="G9216" s="42"/>
      <c r="H9216" s="42"/>
      <c r="AG9216" s="19">
        <v>9215</v>
      </c>
      <c r="AH9216" s="20">
        <v>-2300.8983679318453</v>
      </c>
    </row>
    <row r="9217" spans="1:34" ht="14.5" x14ac:dyDescent="0.35">
      <c r="A9217" s="34"/>
      <c r="B9217" s="35"/>
      <c r="C9217" s="36"/>
      <c r="D9217" s="37"/>
      <c r="E9217" s="36"/>
      <c r="F9217" s="42"/>
      <c r="G9217" s="42"/>
      <c r="H9217" s="42"/>
      <c r="AG9217" s="19">
        <v>9216</v>
      </c>
      <c r="AH9217" s="20">
        <v>2853.3279452906709</v>
      </c>
    </row>
    <row r="9218" spans="1:34" ht="14.5" x14ac:dyDescent="0.35">
      <c r="A9218" s="34"/>
      <c r="B9218" s="35"/>
      <c r="C9218" s="36"/>
      <c r="D9218" s="37"/>
      <c r="E9218" s="36"/>
      <c r="F9218" s="42"/>
      <c r="G9218" s="42"/>
      <c r="H9218" s="42"/>
      <c r="AG9218" s="19">
        <v>9217</v>
      </c>
      <c r="AH9218" s="20">
        <v>593.48643134809754</v>
      </c>
    </row>
    <row r="9219" spans="1:34" ht="14.5" x14ac:dyDescent="0.35">
      <c r="A9219" s="34"/>
      <c r="B9219" s="35"/>
      <c r="C9219" s="36"/>
      <c r="D9219" s="37"/>
      <c r="E9219" s="36"/>
      <c r="F9219" s="42"/>
      <c r="G9219" s="42"/>
      <c r="H9219" s="42"/>
      <c r="AG9219" s="19">
        <v>9218</v>
      </c>
      <c r="AH9219" s="20">
        <v>90.263940712914177</v>
      </c>
    </row>
    <row r="9220" spans="1:34" ht="14.5" x14ac:dyDescent="0.35">
      <c r="A9220" s="34"/>
      <c r="B9220" s="35"/>
      <c r="C9220" s="36"/>
      <c r="D9220" s="37"/>
      <c r="E9220" s="36"/>
      <c r="F9220" s="42"/>
      <c r="G9220" s="42"/>
      <c r="H9220" s="42"/>
      <c r="AG9220" s="19">
        <v>9219</v>
      </c>
      <c r="AH9220" s="20">
        <v>116.13246508327626</v>
      </c>
    </row>
    <row r="9221" spans="1:34" ht="14.5" x14ac:dyDescent="0.35">
      <c r="A9221" s="34"/>
      <c r="B9221" s="35"/>
      <c r="C9221" s="36"/>
      <c r="D9221" s="37"/>
      <c r="E9221" s="36"/>
      <c r="F9221" s="42"/>
      <c r="G9221" s="42"/>
      <c r="H9221" s="42"/>
      <c r="AG9221" s="19">
        <v>9220</v>
      </c>
      <c r="AH9221" s="20">
        <v>-959.74436929196486</v>
      </c>
    </row>
    <row r="9222" spans="1:34" ht="14.5" x14ac:dyDescent="0.35">
      <c r="A9222" s="34"/>
      <c r="B9222" s="35"/>
      <c r="C9222" s="36"/>
      <c r="D9222" s="37"/>
      <c r="E9222" s="36"/>
      <c r="F9222" s="42"/>
      <c r="G9222" s="42"/>
      <c r="H9222" s="42"/>
      <c r="AG9222" s="19">
        <v>9221</v>
      </c>
      <c r="AH9222" s="20">
        <v>-1327.0425715155782</v>
      </c>
    </row>
    <row r="9223" spans="1:34" ht="14.5" x14ac:dyDescent="0.35">
      <c r="A9223" s="34"/>
      <c r="B9223" s="35"/>
      <c r="C9223" s="36"/>
      <c r="D9223" s="37"/>
      <c r="E9223" s="36"/>
      <c r="F9223" s="42"/>
      <c r="G9223" s="42"/>
      <c r="H9223" s="42"/>
      <c r="AG9223" s="19">
        <v>9222</v>
      </c>
      <c r="AH9223" s="20">
        <v>745.4395032930878</v>
      </c>
    </row>
    <row r="9224" spans="1:34" ht="14.5" x14ac:dyDescent="0.35">
      <c r="A9224" s="34"/>
      <c r="B9224" s="35"/>
      <c r="C9224" s="36"/>
      <c r="D9224" s="37"/>
      <c r="E9224" s="36"/>
      <c r="F9224" s="42"/>
      <c r="G9224" s="42"/>
      <c r="H9224" s="42"/>
      <c r="AG9224" s="19">
        <v>9223</v>
      </c>
      <c r="AH9224" s="20">
        <v>1265.0305827594816</v>
      </c>
    </row>
    <row r="9225" spans="1:34" ht="14.5" x14ac:dyDescent="0.35">
      <c r="A9225" s="34"/>
      <c r="B9225" s="35"/>
      <c r="C9225" s="36"/>
      <c r="D9225" s="37"/>
      <c r="E9225" s="36"/>
      <c r="F9225" s="42"/>
      <c r="G9225" s="42"/>
      <c r="H9225" s="42"/>
      <c r="AG9225" s="19">
        <v>9224</v>
      </c>
      <c r="AH9225" s="20">
        <v>-336.42733858681157</v>
      </c>
    </row>
    <row r="9226" spans="1:34" ht="14.5" x14ac:dyDescent="0.35">
      <c r="A9226" s="34"/>
      <c r="B9226" s="35"/>
      <c r="C9226" s="36"/>
      <c r="D9226" s="37"/>
      <c r="E9226" s="36"/>
      <c r="F9226" s="42"/>
      <c r="G9226" s="42"/>
      <c r="H9226" s="42"/>
      <c r="AG9226" s="19">
        <v>9225</v>
      </c>
      <c r="AH9226" s="20">
        <v>-1898.7067214572796</v>
      </c>
    </row>
    <row r="9227" spans="1:34" ht="14.5" x14ac:dyDescent="0.35">
      <c r="A9227" s="34"/>
      <c r="B9227" s="35"/>
      <c r="C9227" s="36"/>
      <c r="D9227" s="37"/>
      <c r="E9227" s="36"/>
      <c r="F9227" s="42"/>
      <c r="G9227" s="42"/>
      <c r="H9227" s="42"/>
      <c r="AG9227" s="19">
        <v>9226</v>
      </c>
      <c r="AH9227" s="20">
        <v>1973.8381111578194</v>
      </c>
    </row>
    <row r="9228" spans="1:34" ht="14.5" x14ac:dyDescent="0.35">
      <c r="A9228" s="34"/>
      <c r="B9228" s="35"/>
      <c r="C9228" s="36"/>
      <c r="D9228" s="37"/>
      <c r="E9228" s="36"/>
      <c r="F9228" s="42"/>
      <c r="G9228" s="42"/>
      <c r="H9228" s="42"/>
      <c r="AG9228" s="19">
        <v>9227</v>
      </c>
      <c r="AH9228" s="20">
        <v>1660.2207534812492</v>
      </c>
    </row>
    <row r="9229" spans="1:34" ht="14.5" x14ac:dyDescent="0.35">
      <c r="A9229" s="34"/>
      <c r="B9229" s="35"/>
      <c r="C9229" s="36"/>
      <c r="D9229" s="37"/>
      <c r="E9229" s="36"/>
      <c r="F9229" s="42"/>
      <c r="G9229" s="42"/>
      <c r="H9229" s="42"/>
      <c r="AG9229" s="19">
        <v>9228</v>
      </c>
      <c r="AH9229" s="20">
        <v>2209.7650861658321</v>
      </c>
    </row>
    <row r="9230" spans="1:34" ht="14.5" x14ac:dyDescent="0.35">
      <c r="A9230" s="34"/>
      <c r="B9230" s="35"/>
      <c r="C9230" s="36"/>
      <c r="D9230" s="37"/>
      <c r="E9230" s="36"/>
      <c r="F9230" s="42"/>
      <c r="G9230" s="42"/>
      <c r="H9230" s="42"/>
      <c r="AG9230" s="19">
        <v>9229</v>
      </c>
      <c r="AH9230" s="20">
        <v>487.98604088684425</v>
      </c>
    </row>
    <row r="9231" spans="1:34" ht="14.5" x14ac:dyDescent="0.35">
      <c r="A9231" s="34"/>
      <c r="B9231" s="35"/>
      <c r="C9231" s="36"/>
      <c r="D9231" s="37"/>
      <c r="E9231" s="36"/>
      <c r="F9231" s="42"/>
      <c r="G9231" s="42"/>
      <c r="H9231" s="42"/>
      <c r="AG9231" s="19">
        <v>9230</v>
      </c>
      <c r="AH9231" s="20">
        <v>1068.2249594332268</v>
      </c>
    </row>
    <row r="9232" spans="1:34" ht="14.5" x14ac:dyDescent="0.35">
      <c r="A9232" s="34"/>
      <c r="B9232" s="35"/>
      <c r="C9232" s="36"/>
      <c r="D9232" s="37"/>
      <c r="E9232" s="36"/>
      <c r="F9232" s="42"/>
      <c r="G9232" s="42"/>
      <c r="H9232" s="42"/>
      <c r="AG9232" s="19">
        <v>9231</v>
      </c>
      <c r="AH9232" s="20">
        <v>141.51961218988839</v>
      </c>
    </row>
    <row r="9233" spans="1:34" ht="14.5" x14ac:dyDescent="0.35">
      <c r="A9233" s="34"/>
      <c r="B9233" s="35"/>
      <c r="C9233" s="36"/>
      <c r="D9233" s="37"/>
      <c r="E9233" s="36"/>
      <c r="F9233" s="42"/>
      <c r="G9233" s="42"/>
      <c r="H9233" s="42"/>
      <c r="AG9233" s="19">
        <v>9232</v>
      </c>
      <c r="AH9233" s="20">
        <v>1499.6497790315295</v>
      </c>
    </row>
    <row r="9234" spans="1:34" ht="14.5" x14ac:dyDescent="0.35">
      <c r="A9234" s="34"/>
      <c r="B9234" s="35"/>
      <c r="C9234" s="36"/>
      <c r="D9234" s="37"/>
      <c r="E9234" s="36"/>
      <c r="F9234" s="42"/>
      <c r="G9234" s="42"/>
      <c r="H9234" s="42"/>
      <c r="AG9234" s="19">
        <v>9233</v>
      </c>
      <c r="AH9234" s="20">
        <v>1281.7293858511046</v>
      </c>
    </row>
    <row r="9235" spans="1:34" ht="14.5" x14ac:dyDescent="0.35">
      <c r="A9235" s="34"/>
      <c r="B9235" s="35"/>
      <c r="C9235" s="36"/>
      <c r="D9235" s="37"/>
      <c r="E9235" s="36"/>
      <c r="F9235" s="42"/>
      <c r="G9235" s="42"/>
      <c r="H9235" s="42"/>
      <c r="AG9235" s="19">
        <v>9234</v>
      </c>
      <c r="AH9235" s="20">
        <v>-555.29575107564187</v>
      </c>
    </row>
    <row r="9236" spans="1:34" ht="14.5" x14ac:dyDescent="0.35">
      <c r="A9236" s="34"/>
      <c r="B9236" s="35"/>
      <c r="C9236" s="36"/>
      <c r="D9236" s="37"/>
      <c r="E9236" s="36"/>
      <c r="F9236" s="42"/>
      <c r="G9236" s="42"/>
      <c r="H9236" s="42"/>
      <c r="AG9236" s="19">
        <v>9235</v>
      </c>
      <c r="AH9236" s="20">
        <v>-2624.799577063477</v>
      </c>
    </row>
    <row r="9237" spans="1:34" ht="14.5" x14ac:dyDescent="0.35">
      <c r="A9237" s="34"/>
      <c r="B9237" s="35"/>
      <c r="C9237" s="36"/>
      <c r="D9237" s="37"/>
      <c r="E9237" s="36"/>
      <c r="F9237" s="42"/>
      <c r="G9237" s="42"/>
      <c r="H9237" s="42"/>
      <c r="AG9237" s="19">
        <v>9236</v>
      </c>
      <c r="AH9237" s="20">
        <v>1585.169957689275</v>
      </c>
    </row>
    <row r="9238" spans="1:34" ht="14.5" x14ac:dyDescent="0.35">
      <c r="A9238" s="34"/>
      <c r="B9238" s="35"/>
      <c r="C9238" s="36"/>
      <c r="D9238" s="37"/>
      <c r="E9238" s="36"/>
      <c r="F9238" s="42"/>
      <c r="G9238" s="42"/>
      <c r="H9238" s="42"/>
      <c r="AG9238" s="19">
        <v>9237</v>
      </c>
      <c r="AH9238" s="20">
        <v>3519.0162655212994</v>
      </c>
    </row>
    <row r="9239" spans="1:34" ht="14.5" x14ac:dyDescent="0.35">
      <c r="A9239" s="34"/>
      <c r="B9239" s="35"/>
      <c r="C9239" s="36"/>
      <c r="D9239" s="37"/>
      <c r="E9239" s="36"/>
      <c r="F9239" s="42"/>
      <c r="G9239" s="42"/>
      <c r="H9239" s="42"/>
      <c r="AG9239" s="19">
        <v>9238</v>
      </c>
      <c r="AH9239" s="20">
        <v>82.307529025511144</v>
      </c>
    </row>
    <row r="9240" spans="1:34" ht="14.5" x14ac:dyDescent="0.35">
      <c r="A9240" s="34"/>
      <c r="B9240" s="35"/>
      <c r="C9240" s="36"/>
      <c r="D9240" s="37"/>
      <c r="E9240" s="36"/>
      <c r="F9240" s="42"/>
      <c r="G9240" s="42"/>
      <c r="H9240" s="42"/>
      <c r="AG9240" s="19">
        <v>9239</v>
      </c>
      <c r="AH9240" s="20">
        <v>3343.9905439868176</v>
      </c>
    </row>
    <row r="9241" spans="1:34" ht="14.5" x14ac:dyDescent="0.35">
      <c r="A9241" s="34"/>
      <c r="B9241" s="35"/>
      <c r="C9241" s="36"/>
      <c r="D9241" s="37"/>
      <c r="E9241" s="36"/>
      <c r="F9241" s="42"/>
      <c r="G9241" s="42"/>
      <c r="H9241" s="42"/>
      <c r="AG9241" s="19">
        <v>9240</v>
      </c>
      <c r="AH9241" s="20">
        <v>-1236.6215874914833</v>
      </c>
    </row>
    <row r="9242" spans="1:34" ht="14.5" x14ac:dyDescent="0.35">
      <c r="A9242" s="34"/>
      <c r="B9242" s="35"/>
      <c r="C9242" s="36"/>
      <c r="D9242" s="37"/>
      <c r="E9242" s="36"/>
      <c r="F9242" s="42"/>
      <c r="G9242" s="42"/>
      <c r="H9242" s="42"/>
      <c r="AG9242" s="19">
        <v>9241</v>
      </c>
      <c r="AH9242" s="20">
        <v>881.24507968640364</v>
      </c>
    </row>
    <row r="9243" spans="1:34" ht="14.5" x14ac:dyDescent="0.35">
      <c r="A9243" s="34"/>
      <c r="B9243" s="35"/>
      <c r="C9243" s="36"/>
      <c r="D9243" s="37"/>
      <c r="E9243" s="36"/>
      <c r="F9243" s="42"/>
      <c r="G9243" s="42"/>
      <c r="H9243" s="42"/>
      <c r="AG9243" s="19">
        <v>9242</v>
      </c>
      <c r="AH9243" s="20">
        <v>5029.9803067444827</v>
      </c>
    </row>
    <row r="9244" spans="1:34" ht="14.5" x14ac:dyDescent="0.35">
      <c r="A9244" s="34"/>
      <c r="B9244" s="35"/>
      <c r="C9244" s="36"/>
      <c r="D9244" s="37"/>
      <c r="E9244" s="36"/>
      <c r="F9244" s="42"/>
      <c r="G9244" s="42"/>
      <c r="H9244" s="42"/>
      <c r="AG9244" s="19">
        <v>9243</v>
      </c>
      <c r="AH9244" s="20">
        <v>4151.5203114075275</v>
      </c>
    </row>
    <row r="9245" spans="1:34" ht="14.5" x14ac:dyDescent="0.35">
      <c r="A9245" s="34"/>
      <c r="B9245" s="35"/>
      <c r="C9245" s="36"/>
      <c r="D9245" s="37"/>
      <c r="E9245" s="36"/>
      <c r="F9245" s="42"/>
      <c r="G9245" s="42"/>
      <c r="H9245" s="42"/>
      <c r="AG9245" s="19">
        <v>9244</v>
      </c>
      <c r="AH9245" s="20">
        <v>-2659.3271842240933</v>
      </c>
    </row>
    <row r="9246" spans="1:34" ht="14.5" x14ac:dyDescent="0.35">
      <c r="A9246" s="34"/>
      <c r="B9246" s="35"/>
      <c r="C9246" s="36"/>
      <c r="D9246" s="37"/>
      <c r="E9246" s="36"/>
      <c r="F9246" s="42"/>
      <c r="G9246" s="42"/>
      <c r="H9246" s="42"/>
      <c r="AG9246" s="19">
        <v>9245</v>
      </c>
      <c r="AH9246" s="20">
        <v>2890.8831524807815</v>
      </c>
    </row>
    <row r="9247" spans="1:34" ht="14.5" x14ac:dyDescent="0.35">
      <c r="A9247" s="34"/>
      <c r="B9247" s="35"/>
      <c r="C9247" s="36"/>
      <c r="D9247" s="37"/>
      <c r="E9247" s="36"/>
      <c r="F9247" s="42"/>
      <c r="G9247" s="42"/>
      <c r="H9247" s="42"/>
      <c r="AG9247" s="19">
        <v>9246</v>
      </c>
      <c r="AH9247" s="20">
        <v>-643.89947977791212</v>
      </c>
    </row>
    <row r="9248" spans="1:34" ht="14.5" x14ac:dyDescent="0.35">
      <c r="A9248" s="34"/>
      <c r="B9248" s="35"/>
      <c r="C9248" s="36"/>
      <c r="D9248" s="37"/>
      <c r="E9248" s="36"/>
      <c r="F9248" s="42"/>
      <c r="G9248" s="42"/>
      <c r="H9248" s="42"/>
      <c r="AG9248" s="19">
        <v>9247</v>
      </c>
      <c r="AH9248" s="20">
        <v>883.93927205863565</v>
      </c>
    </row>
    <row r="9249" spans="1:34" ht="14.5" x14ac:dyDescent="0.35">
      <c r="A9249" s="34"/>
      <c r="B9249" s="35"/>
      <c r="C9249" s="36"/>
      <c r="D9249" s="37"/>
      <c r="E9249" s="36"/>
      <c r="F9249" s="42"/>
      <c r="G9249" s="42"/>
      <c r="H9249" s="42"/>
      <c r="AG9249" s="19">
        <v>9248</v>
      </c>
      <c r="AH9249" s="20">
        <v>1617.0617993081046</v>
      </c>
    </row>
    <row r="9250" spans="1:34" ht="14.5" x14ac:dyDescent="0.35">
      <c r="A9250" s="34"/>
      <c r="B9250" s="35"/>
      <c r="C9250" s="36"/>
      <c r="D9250" s="37"/>
      <c r="E9250" s="36"/>
      <c r="F9250" s="42"/>
      <c r="G9250" s="42"/>
      <c r="H9250" s="42"/>
      <c r="AG9250" s="19">
        <v>9249</v>
      </c>
      <c r="AH9250" s="20">
        <v>5302.7932279999131</v>
      </c>
    </row>
    <row r="9251" spans="1:34" ht="14.5" x14ac:dyDescent="0.35">
      <c r="A9251" s="34"/>
      <c r="B9251" s="35"/>
      <c r="C9251" s="36"/>
      <c r="D9251" s="37"/>
      <c r="E9251" s="36"/>
      <c r="F9251" s="42"/>
      <c r="G9251" s="42"/>
      <c r="H9251" s="42"/>
      <c r="AG9251" s="19">
        <v>9250</v>
      </c>
      <c r="AH9251" s="20">
        <v>-108.37144606380247</v>
      </c>
    </row>
    <row r="9252" spans="1:34" ht="14.5" x14ac:dyDescent="0.35">
      <c r="A9252" s="34"/>
      <c r="B9252" s="35"/>
      <c r="C9252" s="36"/>
      <c r="D9252" s="37"/>
      <c r="E9252" s="36"/>
      <c r="F9252" s="42"/>
      <c r="G9252" s="42"/>
      <c r="H9252" s="42"/>
      <c r="AG9252" s="19">
        <v>9251</v>
      </c>
      <c r="AH9252" s="20">
        <v>-1629.5921458500056</v>
      </c>
    </row>
    <row r="9253" spans="1:34" ht="14.5" x14ac:dyDescent="0.35">
      <c r="A9253" s="34"/>
      <c r="B9253" s="35"/>
      <c r="C9253" s="36"/>
      <c r="D9253" s="37"/>
      <c r="E9253" s="36"/>
      <c r="F9253" s="42"/>
      <c r="G9253" s="42"/>
      <c r="H9253" s="42"/>
      <c r="AG9253" s="19">
        <v>9252</v>
      </c>
      <c r="AH9253" s="20">
        <v>2471.7835103586635</v>
      </c>
    </row>
    <row r="9254" spans="1:34" ht="14.5" x14ac:dyDescent="0.35">
      <c r="A9254" s="34"/>
      <c r="B9254" s="35"/>
      <c r="C9254" s="36"/>
      <c r="D9254" s="37"/>
      <c r="E9254" s="36"/>
      <c r="F9254" s="42"/>
      <c r="G9254" s="42"/>
      <c r="H9254" s="42"/>
      <c r="AG9254" s="19">
        <v>9253</v>
      </c>
      <c r="AH9254" s="20">
        <v>141.49774752471825</v>
      </c>
    </row>
    <row r="9255" spans="1:34" ht="14.5" x14ac:dyDescent="0.35">
      <c r="A9255" s="34"/>
      <c r="B9255" s="35"/>
      <c r="C9255" s="36"/>
      <c r="D9255" s="37"/>
      <c r="E9255" s="36"/>
      <c r="F9255" s="42"/>
      <c r="G9255" s="42"/>
      <c r="H9255" s="42"/>
      <c r="AG9255" s="19">
        <v>9254</v>
      </c>
      <c r="AH9255" s="20">
        <v>-737.17317573004016</v>
      </c>
    </row>
    <row r="9256" spans="1:34" ht="14.5" x14ac:dyDescent="0.35">
      <c r="A9256" s="34"/>
      <c r="B9256" s="35"/>
      <c r="C9256" s="36"/>
      <c r="D9256" s="37"/>
      <c r="E9256" s="36"/>
      <c r="F9256" s="42"/>
      <c r="G9256" s="42"/>
      <c r="H9256" s="42"/>
      <c r="AG9256" s="19">
        <v>9255</v>
      </c>
      <c r="AH9256" s="20">
        <v>1256.7729344193256</v>
      </c>
    </row>
    <row r="9257" spans="1:34" ht="14.5" x14ac:dyDescent="0.35">
      <c r="A9257" s="34"/>
      <c r="B9257" s="35"/>
      <c r="C9257" s="36"/>
      <c r="D9257" s="37"/>
      <c r="E9257" s="36"/>
      <c r="F9257" s="42"/>
      <c r="G9257" s="42"/>
      <c r="H9257" s="42"/>
      <c r="AG9257" s="19">
        <v>9256</v>
      </c>
      <c r="AH9257" s="20">
        <v>-1059.3159488730751</v>
      </c>
    </row>
    <row r="9258" spans="1:34" ht="14.5" x14ac:dyDescent="0.35">
      <c r="A9258" s="34"/>
      <c r="B9258" s="35"/>
      <c r="C9258" s="36"/>
      <c r="D9258" s="37"/>
      <c r="E9258" s="36"/>
      <c r="F9258" s="42"/>
      <c r="G9258" s="42"/>
      <c r="H9258" s="42"/>
      <c r="AG9258" s="19">
        <v>9257</v>
      </c>
      <c r="AH9258" s="20">
        <v>1580.1801856856698</v>
      </c>
    </row>
    <row r="9259" spans="1:34" ht="14.5" x14ac:dyDescent="0.35">
      <c r="A9259" s="34"/>
      <c r="B9259" s="35"/>
      <c r="C9259" s="36"/>
      <c r="D9259" s="37"/>
      <c r="E9259" s="36"/>
      <c r="F9259" s="42"/>
      <c r="G9259" s="42"/>
      <c r="H9259" s="42"/>
      <c r="AG9259" s="19">
        <v>9258</v>
      </c>
      <c r="AH9259" s="20">
        <v>-990.88199419403531</v>
      </c>
    </row>
    <row r="9260" spans="1:34" ht="14.5" x14ac:dyDescent="0.35">
      <c r="A9260" s="34"/>
      <c r="B9260" s="35"/>
      <c r="C9260" s="36"/>
      <c r="D9260" s="37"/>
      <c r="E9260" s="36"/>
      <c r="F9260" s="42"/>
      <c r="G9260" s="42"/>
      <c r="H9260" s="42"/>
      <c r="AG9260" s="19">
        <v>9259</v>
      </c>
      <c r="AH9260" s="20">
        <v>1753.7379997958094</v>
      </c>
    </row>
    <row r="9261" spans="1:34" ht="14.5" x14ac:dyDescent="0.35">
      <c r="A9261" s="34"/>
      <c r="B9261" s="35"/>
      <c r="C9261" s="36"/>
      <c r="D9261" s="37"/>
      <c r="E9261" s="36"/>
      <c r="F9261" s="42"/>
      <c r="G9261" s="42"/>
      <c r="H9261" s="42"/>
      <c r="AG9261" s="19">
        <v>9260</v>
      </c>
      <c r="AH9261" s="20">
        <v>3735.57183850205</v>
      </c>
    </row>
    <row r="9262" spans="1:34" ht="14.5" x14ac:dyDescent="0.35">
      <c r="A9262" s="34"/>
      <c r="B9262" s="35"/>
      <c r="C9262" s="36"/>
      <c r="D9262" s="37"/>
      <c r="E9262" s="36"/>
      <c r="F9262" s="42"/>
      <c r="G9262" s="42"/>
      <c r="H9262" s="42"/>
      <c r="AG9262" s="19">
        <v>9261</v>
      </c>
      <c r="AH9262" s="20">
        <v>-613.54027707080354</v>
      </c>
    </row>
    <row r="9263" spans="1:34" ht="14.5" x14ac:dyDescent="0.35">
      <c r="A9263" s="34"/>
      <c r="B9263" s="35"/>
      <c r="C9263" s="36"/>
      <c r="D9263" s="37"/>
      <c r="E9263" s="36"/>
      <c r="F9263" s="42"/>
      <c r="G9263" s="42"/>
      <c r="H9263" s="42"/>
      <c r="AG9263" s="19">
        <v>9262</v>
      </c>
      <c r="AH9263" s="20">
        <v>-1473.3002292932322</v>
      </c>
    </row>
    <row r="9264" spans="1:34" ht="14.5" x14ac:dyDescent="0.35">
      <c r="A9264" s="34"/>
      <c r="B9264" s="35"/>
      <c r="C9264" s="36"/>
      <c r="D9264" s="37"/>
      <c r="E9264" s="36"/>
      <c r="F9264" s="42"/>
      <c r="G9264" s="42"/>
      <c r="H9264" s="42"/>
      <c r="AG9264" s="19">
        <v>9263</v>
      </c>
      <c r="AH9264" s="20">
        <v>1047.7124269423377</v>
      </c>
    </row>
    <row r="9265" spans="1:34" ht="14.5" x14ac:dyDescent="0.35">
      <c r="A9265" s="34"/>
      <c r="B9265" s="35"/>
      <c r="C9265" s="36"/>
      <c r="D9265" s="37"/>
      <c r="E9265" s="36"/>
      <c r="F9265" s="42"/>
      <c r="G9265" s="42"/>
      <c r="H9265" s="42"/>
      <c r="AG9265" s="19">
        <v>9264</v>
      </c>
      <c r="AH9265" s="20">
        <v>3668.1891782765538</v>
      </c>
    </row>
    <row r="9266" spans="1:34" ht="14.5" x14ac:dyDescent="0.35">
      <c r="A9266" s="34"/>
      <c r="B9266" s="35"/>
      <c r="C9266" s="36"/>
      <c r="D9266" s="37"/>
      <c r="E9266" s="36"/>
      <c r="F9266" s="42"/>
      <c r="G9266" s="42"/>
      <c r="H9266" s="42"/>
      <c r="AG9266" s="19">
        <v>9265</v>
      </c>
      <c r="AH9266" s="20">
        <v>3437.9318498684979</v>
      </c>
    </row>
    <row r="9267" spans="1:34" ht="14.5" x14ac:dyDescent="0.35">
      <c r="A9267" s="34"/>
      <c r="B9267" s="35"/>
      <c r="C9267" s="36"/>
      <c r="D9267" s="37"/>
      <c r="E9267" s="36"/>
      <c r="F9267" s="42"/>
      <c r="G9267" s="42"/>
      <c r="H9267" s="42"/>
      <c r="AG9267" s="19">
        <v>9266</v>
      </c>
      <c r="AH9267" s="20">
        <v>-476.92878551340726</v>
      </c>
    </row>
    <row r="9268" spans="1:34" ht="14.5" x14ac:dyDescent="0.35">
      <c r="A9268" s="34"/>
      <c r="B9268" s="35"/>
      <c r="C9268" s="36"/>
      <c r="D9268" s="37"/>
      <c r="E9268" s="36"/>
      <c r="F9268" s="42"/>
      <c r="G9268" s="42"/>
      <c r="H9268" s="42"/>
      <c r="AG9268" s="19">
        <v>9267</v>
      </c>
      <c r="AH9268" s="20">
        <v>-1826.7123341259746</v>
      </c>
    </row>
    <row r="9269" spans="1:34" ht="14.5" x14ac:dyDescent="0.35">
      <c r="A9269" s="34"/>
      <c r="B9269" s="35"/>
      <c r="C9269" s="36"/>
      <c r="D9269" s="37"/>
      <c r="E9269" s="36"/>
      <c r="F9269" s="42"/>
      <c r="G9269" s="42"/>
      <c r="H9269" s="42"/>
      <c r="AG9269" s="19">
        <v>9268</v>
      </c>
      <c r="AH9269" s="20">
        <v>197.1581627374986</v>
      </c>
    </row>
    <row r="9270" spans="1:34" ht="14.5" x14ac:dyDescent="0.35">
      <c r="A9270" s="34"/>
      <c r="B9270" s="35"/>
      <c r="C9270" s="36"/>
      <c r="D9270" s="37"/>
      <c r="E9270" s="36"/>
      <c r="F9270" s="42"/>
      <c r="G9270" s="42"/>
      <c r="H9270" s="42"/>
      <c r="AG9270" s="19">
        <v>9269</v>
      </c>
      <c r="AH9270" s="20">
        <v>1711.5250404681485</v>
      </c>
    </row>
    <row r="9271" spans="1:34" ht="14.5" x14ac:dyDescent="0.35">
      <c r="A9271" s="34"/>
      <c r="B9271" s="35"/>
      <c r="C9271" s="36"/>
      <c r="D9271" s="37"/>
      <c r="E9271" s="36"/>
      <c r="F9271" s="42"/>
      <c r="G9271" s="42"/>
      <c r="H9271" s="42"/>
      <c r="AG9271" s="19">
        <v>9270</v>
      </c>
      <c r="AH9271" s="20">
        <v>816.56771537120653</v>
      </c>
    </row>
    <row r="9272" spans="1:34" ht="14.5" x14ac:dyDescent="0.35">
      <c r="A9272" s="34"/>
      <c r="B9272" s="35"/>
      <c r="C9272" s="36"/>
      <c r="D9272" s="37"/>
      <c r="E9272" s="36"/>
      <c r="F9272" s="42"/>
      <c r="G9272" s="42"/>
      <c r="H9272" s="42"/>
      <c r="AG9272" s="19">
        <v>9271</v>
      </c>
      <c r="AH9272" s="20">
        <v>-2944.112087952336</v>
      </c>
    </row>
    <row r="9273" spans="1:34" ht="14.5" x14ac:dyDescent="0.35">
      <c r="A9273" s="34"/>
      <c r="B9273" s="35"/>
      <c r="C9273" s="36"/>
      <c r="D9273" s="37"/>
      <c r="E9273" s="36"/>
      <c r="F9273" s="42"/>
      <c r="G9273" s="42"/>
      <c r="H9273" s="42"/>
      <c r="AG9273" s="19">
        <v>9272</v>
      </c>
      <c r="AH9273" s="20">
        <v>-2070.2947066625361</v>
      </c>
    </row>
    <row r="9274" spans="1:34" ht="14.5" x14ac:dyDescent="0.35">
      <c r="A9274" s="34"/>
      <c r="B9274" s="35"/>
      <c r="C9274" s="36"/>
      <c r="D9274" s="37"/>
      <c r="E9274" s="36"/>
      <c r="F9274" s="42"/>
      <c r="G9274" s="42"/>
      <c r="H9274" s="42"/>
      <c r="AG9274" s="19">
        <v>9273</v>
      </c>
      <c r="AH9274" s="20">
        <v>-939.11612919818276</v>
      </c>
    </row>
    <row r="9275" spans="1:34" ht="14.5" x14ac:dyDescent="0.35">
      <c r="A9275" s="34"/>
      <c r="B9275" s="35"/>
      <c r="C9275" s="36"/>
      <c r="D9275" s="37"/>
      <c r="E9275" s="36"/>
      <c r="F9275" s="42"/>
      <c r="G9275" s="42"/>
      <c r="H9275" s="42"/>
      <c r="AG9275" s="19">
        <v>9274</v>
      </c>
      <c r="AH9275" s="20">
        <v>-3344.4740625174941</v>
      </c>
    </row>
    <row r="9276" spans="1:34" ht="14.5" x14ac:dyDescent="0.35">
      <c r="A9276" s="34"/>
      <c r="B9276" s="35"/>
      <c r="C9276" s="36"/>
      <c r="D9276" s="37"/>
      <c r="E9276" s="36"/>
      <c r="F9276" s="42"/>
      <c r="G9276" s="42"/>
      <c r="H9276" s="42"/>
      <c r="AG9276" s="19">
        <v>9275</v>
      </c>
      <c r="AH9276" s="20">
        <v>-2092.7396393029217</v>
      </c>
    </row>
    <row r="9277" spans="1:34" ht="14.5" x14ac:dyDescent="0.35">
      <c r="A9277" s="34"/>
      <c r="B9277" s="35"/>
      <c r="C9277" s="36"/>
      <c r="D9277" s="37"/>
      <c r="E9277" s="36"/>
      <c r="F9277" s="42"/>
      <c r="G9277" s="42"/>
      <c r="H9277" s="42"/>
      <c r="AG9277" s="19">
        <v>9276</v>
      </c>
      <c r="AH9277" s="20">
        <v>-634.16810907621084</v>
      </c>
    </row>
    <row r="9278" spans="1:34" ht="14.5" x14ac:dyDescent="0.35">
      <c r="A9278" s="34"/>
      <c r="B9278" s="35"/>
      <c r="C9278" s="36"/>
      <c r="D9278" s="37"/>
      <c r="E9278" s="36"/>
      <c r="F9278" s="42"/>
      <c r="G9278" s="42"/>
      <c r="H9278" s="42"/>
      <c r="AG9278" s="19">
        <v>9277</v>
      </c>
      <c r="AH9278" s="20">
        <v>574.50617744426938</v>
      </c>
    </row>
    <row r="9279" spans="1:34" ht="14.5" x14ac:dyDescent="0.35">
      <c r="A9279" s="34"/>
      <c r="B9279" s="35"/>
      <c r="C9279" s="36"/>
      <c r="D9279" s="37"/>
      <c r="E9279" s="36"/>
      <c r="F9279" s="42"/>
      <c r="G9279" s="42"/>
      <c r="H9279" s="42"/>
      <c r="AG9279" s="19">
        <v>9278</v>
      </c>
      <c r="AH9279" s="20">
        <v>-249.9258492785936</v>
      </c>
    </row>
    <row r="9280" spans="1:34" ht="14.5" x14ac:dyDescent="0.35">
      <c r="A9280" s="34"/>
      <c r="B9280" s="35"/>
      <c r="C9280" s="36"/>
      <c r="D9280" s="37"/>
      <c r="E9280" s="36"/>
      <c r="F9280" s="42"/>
      <c r="G9280" s="42"/>
      <c r="H9280" s="42"/>
      <c r="AG9280" s="19">
        <v>9279</v>
      </c>
      <c r="AH9280" s="20">
        <v>-2006.5119055953016</v>
      </c>
    </row>
    <row r="9281" spans="1:34" ht="14.5" x14ac:dyDescent="0.35">
      <c r="A9281" s="34"/>
      <c r="B9281" s="35"/>
      <c r="C9281" s="36"/>
      <c r="D9281" s="37"/>
      <c r="E9281" s="36"/>
      <c r="F9281" s="42"/>
      <c r="G9281" s="42"/>
      <c r="H9281" s="42"/>
      <c r="AG9281" s="19">
        <v>9280</v>
      </c>
      <c r="AH9281" s="20">
        <v>294.6983578208575</v>
      </c>
    </row>
    <row r="9282" spans="1:34" ht="14.5" x14ac:dyDescent="0.35">
      <c r="A9282" s="34"/>
      <c r="B9282" s="35"/>
      <c r="C9282" s="36"/>
      <c r="D9282" s="37"/>
      <c r="E9282" s="36"/>
      <c r="F9282" s="42"/>
      <c r="G9282" s="42"/>
      <c r="H9282" s="42"/>
      <c r="AG9282" s="19">
        <v>9281</v>
      </c>
      <c r="AH9282" s="20">
        <v>-91.650625028095874</v>
      </c>
    </row>
    <row r="9283" spans="1:34" ht="14.5" x14ac:dyDescent="0.35">
      <c r="A9283" s="34"/>
      <c r="B9283" s="35"/>
      <c r="C9283" s="36"/>
      <c r="D9283" s="37"/>
      <c r="E9283" s="36"/>
      <c r="F9283" s="42"/>
      <c r="G9283" s="42"/>
      <c r="H9283" s="42"/>
      <c r="AG9283" s="19">
        <v>9282</v>
      </c>
      <c r="AH9283" s="20">
        <v>694.22924150948052</v>
      </c>
    </row>
    <row r="9284" spans="1:34" ht="14.5" x14ac:dyDescent="0.35">
      <c r="A9284" s="34"/>
      <c r="B9284" s="35"/>
      <c r="C9284" s="36"/>
      <c r="D9284" s="37"/>
      <c r="E9284" s="36"/>
      <c r="F9284" s="42"/>
      <c r="G9284" s="42"/>
      <c r="H9284" s="42"/>
      <c r="AG9284" s="19">
        <v>9283</v>
      </c>
      <c r="AH9284" s="20">
        <v>-122.52033438901691</v>
      </c>
    </row>
    <row r="9285" spans="1:34" ht="14.5" x14ac:dyDescent="0.35">
      <c r="A9285" s="34"/>
      <c r="B9285" s="35"/>
      <c r="C9285" s="36"/>
      <c r="D9285" s="37"/>
      <c r="E9285" s="36"/>
      <c r="F9285" s="42"/>
      <c r="G9285" s="42"/>
      <c r="H9285" s="42"/>
      <c r="AG9285" s="19">
        <v>9284</v>
      </c>
      <c r="AH9285" s="20">
        <v>-2558.0906290454209</v>
      </c>
    </row>
    <row r="9286" spans="1:34" ht="14.5" x14ac:dyDescent="0.35">
      <c r="A9286" s="34"/>
      <c r="B9286" s="35"/>
      <c r="C9286" s="36"/>
      <c r="D9286" s="37"/>
      <c r="E9286" s="36"/>
      <c r="F9286" s="42"/>
      <c r="G9286" s="42"/>
      <c r="H9286" s="42"/>
      <c r="AG9286" s="19">
        <v>9285</v>
      </c>
      <c r="AH9286" s="20">
        <v>-1360.9343555695746</v>
      </c>
    </row>
    <row r="9287" spans="1:34" ht="14.5" x14ac:dyDescent="0.35">
      <c r="A9287" s="34"/>
      <c r="B9287" s="35"/>
      <c r="C9287" s="36"/>
      <c r="D9287" s="37"/>
      <c r="E9287" s="36"/>
      <c r="F9287" s="42"/>
      <c r="G9287" s="42"/>
      <c r="H9287" s="42"/>
      <c r="AG9287" s="19">
        <v>9286</v>
      </c>
      <c r="AH9287" s="20">
        <v>1912.2820759047199</v>
      </c>
    </row>
    <row r="9288" spans="1:34" ht="14.5" x14ac:dyDescent="0.35">
      <c r="A9288" s="34"/>
      <c r="B9288" s="35"/>
      <c r="C9288" s="36"/>
      <c r="D9288" s="37"/>
      <c r="E9288" s="36"/>
      <c r="F9288" s="42"/>
      <c r="G9288" s="42"/>
      <c r="H9288" s="42"/>
      <c r="AG9288" s="19">
        <v>9287</v>
      </c>
      <c r="AH9288" s="20">
        <v>887.90357937647332</v>
      </c>
    </row>
    <row r="9289" spans="1:34" ht="14.5" x14ac:dyDescent="0.35">
      <c r="A9289" s="34"/>
      <c r="B9289" s="35"/>
      <c r="C9289" s="36"/>
      <c r="D9289" s="37"/>
      <c r="E9289" s="36"/>
      <c r="F9289" s="42"/>
      <c r="G9289" s="42"/>
      <c r="H9289" s="42"/>
      <c r="AG9289" s="19">
        <v>9288</v>
      </c>
      <c r="AH9289" s="20">
        <v>-678.68203506631198</v>
      </c>
    </row>
    <row r="9290" spans="1:34" ht="14.5" x14ac:dyDescent="0.35">
      <c r="A9290" s="34"/>
      <c r="B9290" s="35"/>
      <c r="C9290" s="36"/>
      <c r="D9290" s="37"/>
      <c r="E9290" s="36"/>
      <c r="F9290" s="42"/>
      <c r="G9290" s="42"/>
      <c r="H9290" s="42"/>
      <c r="AG9290" s="19">
        <v>9289</v>
      </c>
      <c r="AH9290" s="20">
        <v>-552.61412383252855</v>
      </c>
    </row>
    <row r="9291" spans="1:34" ht="14.5" x14ac:dyDescent="0.35">
      <c r="A9291" s="34"/>
      <c r="B9291" s="35"/>
      <c r="C9291" s="36"/>
      <c r="D9291" s="37"/>
      <c r="E9291" s="36"/>
      <c r="F9291" s="42"/>
      <c r="G9291" s="42"/>
      <c r="H9291" s="42"/>
      <c r="AG9291" s="19">
        <v>9290</v>
      </c>
      <c r="AH9291" s="20">
        <v>655.26796540252508</v>
      </c>
    </row>
    <row r="9292" spans="1:34" ht="14.5" x14ac:dyDescent="0.35">
      <c r="A9292" s="34"/>
      <c r="B9292" s="35"/>
      <c r="C9292" s="36"/>
      <c r="D9292" s="37"/>
      <c r="E9292" s="36"/>
      <c r="F9292" s="42"/>
      <c r="G9292" s="42"/>
      <c r="H9292" s="42"/>
      <c r="AG9292" s="19">
        <v>9291</v>
      </c>
      <c r="AH9292" s="20">
        <v>2246.382845740728</v>
      </c>
    </row>
    <row r="9293" spans="1:34" ht="14.5" x14ac:dyDescent="0.35">
      <c r="A9293" s="34"/>
      <c r="B9293" s="35"/>
      <c r="C9293" s="36"/>
      <c r="D9293" s="37"/>
      <c r="E9293" s="36"/>
      <c r="F9293" s="42"/>
      <c r="G9293" s="42"/>
      <c r="H9293" s="42"/>
      <c r="AG9293" s="19">
        <v>9292</v>
      </c>
      <c r="AH9293" s="20">
        <v>-1954.5387385077295</v>
      </c>
    </row>
    <row r="9294" spans="1:34" ht="14.5" x14ac:dyDescent="0.35">
      <c r="A9294" s="34"/>
      <c r="B9294" s="35"/>
      <c r="C9294" s="36"/>
      <c r="D9294" s="37"/>
      <c r="E9294" s="36"/>
      <c r="F9294" s="42"/>
      <c r="G9294" s="42"/>
      <c r="H9294" s="42"/>
      <c r="AG9294" s="19">
        <v>9293</v>
      </c>
      <c r="AH9294" s="20">
        <v>215.94129121330019</v>
      </c>
    </row>
    <row r="9295" spans="1:34" ht="14.5" x14ac:dyDescent="0.35">
      <c r="A9295" s="34"/>
      <c r="B9295" s="35"/>
      <c r="C9295" s="36"/>
      <c r="D9295" s="37"/>
      <c r="E9295" s="36"/>
      <c r="F9295" s="42"/>
      <c r="G9295" s="42"/>
      <c r="H9295" s="42"/>
      <c r="AG9295" s="19">
        <v>9294</v>
      </c>
      <c r="AH9295" s="20">
        <v>-1870.9877467984113</v>
      </c>
    </row>
    <row r="9296" spans="1:34" ht="14.5" x14ac:dyDescent="0.35">
      <c r="A9296" s="34"/>
      <c r="B9296" s="35"/>
      <c r="C9296" s="36"/>
      <c r="D9296" s="37"/>
      <c r="E9296" s="36"/>
      <c r="F9296" s="42"/>
      <c r="G9296" s="42"/>
      <c r="H9296" s="42"/>
      <c r="AG9296" s="19">
        <v>9295</v>
      </c>
      <c r="AH9296" s="20">
        <v>-1619.8888191002579</v>
      </c>
    </row>
    <row r="9297" spans="1:34" ht="14.5" x14ac:dyDescent="0.35">
      <c r="A9297" s="34"/>
      <c r="B9297" s="35"/>
      <c r="C9297" s="36"/>
      <c r="D9297" s="37"/>
      <c r="E9297" s="36"/>
      <c r="F9297" s="42"/>
      <c r="G9297" s="42"/>
      <c r="H9297" s="42"/>
      <c r="AG9297" s="19">
        <v>9296</v>
      </c>
      <c r="AH9297" s="20">
        <v>3714.0990838636239</v>
      </c>
    </row>
    <row r="9298" spans="1:34" ht="14.5" x14ac:dyDescent="0.35">
      <c r="A9298" s="34"/>
      <c r="B9298" s="35"/>
      <c r="C9298" s="36"/>
      <c r="D9298" s="37"/>
      <c r="E9298" s="36"/>
      <c r="F9298" s="42"/>
      <c r="G9298" s="42"/>
      <c r="H9298" s="42"/>
      <c r="AG9298" s="19">
        <v>9297</v>
      </c>
      <c r="AH9298" s="20">
        <v>-460.5319453220406</v>
      </c>
    </row>
    <row r="9299" spans="1:34" ht="14.5" x14ac:dyDescent="0.35">
      <c r="A9299" s="34"/>
      <c r="B9299" s="35"/>
      <c r="C9299" s="36"/>
      <c r="D9299" s="37"/>
      <c r="E9299" s="36"/>
      <c r="F9299" s="42"/>
      <c r="G9299" s="42"/>
      <c r="H9299" s="42"/>
      <c r="AG9299" s="19">
        <v>9298</v>
      </c>
      <c r="AH9299" s="20">
        <v>-3608.2686591744491</v>
      </c>
    </row>
    <row r="9300" spans="1:34" ht="14.5" x14ac:dyDescent="0.35">
      <c r="A9300" s="34"/>
      <c r="B9300" s="35"/>
      <c r="C9300" s="36"/>
      <c r="D9300" s="37"/>
      <c r="E9300" s="36"/>
      <c r="F9300" s="42"/>
      <c r="G9300" s="42"/>
      <c r="H9300" s="42"/>
      <c r="AG9300" s="19">
        <v>9299</v>
      </c>
      <c r="AH9300" s="20">
        <v>-937.55467703571367</v>
      </c>
    </row>
    <row r="9301" spans="1:34" ht="14.5" x14ac:dyDescent="0.35">
      <c r="A9301" s="34"/>
      <c r="B9301" s="35"/>
      <c r="C9301" s="36"/>
      <c r="D9301" s="37"/>
      <c r="E9301" s="36"/>
      <c r="F9301" s="42"/>
      <c r="G9301" s="42"/>
      <c r="H9301" s="42"/>
      <c r="AG9301" s="19">
        <v>9300</v>
      </c>
      <c r="AH9301" s="20">
        <v>3832.4728518983325</v>
      </c>
    </row>
    <row r="9302" spans="1:34" ht="14.5" x14ac:dyDescent="0.35">
      <c r="A9302" s="34"/>
      <c r="B9302" s="35"/>
      <c r="C9302" s="36"/>
      <c r="D9302" s="37"/>
      <c r="E9302" s="36"/>
      <c r="F9302" s="42"/>
      <c r="G9302" s="42"/>
      <c r="H9302" s="42"/>
      <c r="AG9302" s="19">
        <v>9301</v>
      </c>
      <c r="AH9302" s="20">
        <v>-3830.3631911399261</v>
      </c>
    </row>
    <row r="9303" spans="1:34" ht="14.5" x14ac:dyDescent="0.35">
      <c r="A9303" s="34"/>
      <c r="B9303" s="35"/>
      <c r="C9303" s="36"/>
      <c r="D9303" s="37"/>
      <c r="E9303" s="36"/>
      <c r="F9303" s="42"/>
      <c r="G9303" s="42"/>
      <c r="H9303" s="42"/>
      <c r="AG9303" s="19">
        <v>9302</v>
      </c>
      <c r="AH9303" s="20">
        <v>743.15389862533834</v>
      </c>
    </row>
    <row r="9304" spans="1:34" ht="14.5" x14ac:dyDescent="0.35">
      <c r="A9304" s="34"/>
      <c r="B9304" s="35"/>
      <c r="C9304" s="36"/>
      <c r="D9304" s="37"/>
      <c r="E9304" s="36"/>
      <c r="F9304" s="42"/>
      <c r="G9304" s="42"/>
      <c r="H9304" s="42"/>
      <c r="AG9304" s="19">
        <v>9303</v>
      </c>
      <c r="AH9304" s="20">
        <v>4887.8377585918997</v>
      </c>
    </row>
    <row r="9305" spans="1:34" ht="14.5" x14ac:dyDescent="0.35">
      <c r="A9305" s="34"/>
      <c r="B9305" s="35"/>
      <c r="C9305" s="36"/>
      <c r="D9305" s="37"/>
      <c r="E9305" s="36"/>
      <c r="F9305" s="42"/>
      <c r="G9305" s="42"/>
      <c r="H9305" s="42"/>
      <c r="AG9305" s="19">
        <v>9304</v>
      </c>
      <c r="AH9305" s="20">
        <v>-934.4941383220164</v>
      </c>
    </row>
    <row r="9306" spans="1:34" ht="14.5" x14ac:dyDescent="0.35">
      <c r="A9306" s="34"/>
      <c r="B9306" s="35"/>
      <c r="C9306" s="36"/>
      <c r="D9306" s="37"/>
      <c r="E9306" s="36"/>
      <c r="F9306" s="42"/>
      <c r="G9306" s="42"/>
      <c r="H9306" s="42"/>
      <c r="AG9306" s="19">
        <v>9305</v>
      </c>
      <c r="AH9306" s="20">
        <v>1028.8829331284091</v>
      </c>
    </row>
    <row r="9307" spans="1:34" ht="14.5" x14ac:dyDescent="0.35">
      <c r="A9307" s="34"/>
      <c r="B9307" s="35"/>
      <c r="C9307" s="36"/>
      <c r="D9307" s="37"/>
      <c r="E9307" s="36"/>
      <c r="F9307" s="42"/>
      <c r="G9307" s="42"/>
      <c r="H9307" s="42"/>
      <c r="AG9307" s="19">
        <v>9306</v>
      </c>
      <c r="AH9307" s="20">
        <v>39.573378267830265</v>
      </c>
    </row>
    <row r="9308" spans="1:34" ht="14.5" x14ac:dyDescent="0.35">
      <c r="A9308" s="34"/>
      <c r="B9308" s="35"/>
      <c r="C9308" s="36"/>
      <c r="D9308" s="37"/>
      <c r="E9308" s="36"/>
      <c r="F9308" s="42"/>
      <c r="G9308" s="42"/>
      <c r="H9308" s="42"/>
      <c r="AG9308" s="19">
        <v>9307</v>
      </c>
      <c r="AH9308" s="20">
        <v>-220.47066456098088</v>
      </c>
    </row>
    <row r="9309" spans="1:34" ht="14.5" x14ac:dyDescent="0.35">
      <c r="A9309" s="34"/>
      <c r="B9309" s="35"/>
      <c r="C9309" s="36"/>
      <c r="D9309" s="37"/>
      <c r="E9309" s="36"/>
      <c r="F9309" s="42"/>
      <c r="G9309" s="42"/>
      <c r="H9309" s="42"/>
      <c r="AG9309" s="19">
        <v>9308</v>
      </c>
      <c r="AH9309" s="20">
        <v>-1028.3620788478852</v>
      </c>
    </row>
    <row r="9310" spans="1:34" ht="14.5" x14ac:dyDescent="0.35">
      <c r="A9310" s="34"/>
      <c r="B9310" s="35"/>
      <c r="C9310" s="36"/>
      <c r="D9310" s="37"/>
      <c r="E9310" s="36"/>
      <c r="F9310" s="42"/>
      <c r="G9310" s="42"/>
      <c r="H9310" s="42"/>
      <c r="AG9310" s="19">
        <v>9309</v>
      </c>
      <c r="AH9310" s="20">
        <v>903.42916606258086</v>
      </c>
    </row>
    <row r="9311" spans="1:34" ht="14.5" x14ac:dyDescent="0.35">
      <c r="A9311" s="34"/>
      <c r="B9311" s="35"/>
      <c r="C9311" s="36"/>
      <c r="D9311" s="37"/>
      <c r="E9311" s="36"/>
      <c r="F9311" s="42"/>
      <c r="G9311" s="42"/>
      <c r="H9311" s="42"/>
      <c r="AG9311" s="19">
        <v>9310</v>
      </c>
      <c r="AH9311" s="20">
        <v>-1968.1882616394685</v>
      </c>
    </row>
    <row r="9312" spans="1:34" ht="14.5" x14ac:dyDescent="0.35">
      <c r="A9312" s="34"/>
      <c r="B9312" s="35"/>
      <c r="C9312" s="36"/>
      <c r="D9312" s="37"/>
      <c r="E9312" s="36"/>
      <c r="F9312" s="42"/>
      <c r="G9312" s="42"/>
      <c r="H9312" s="42"/>
      <c r="AG9312" s="19">
        <v>9311</v>
      </c>
      <c r="AH9312" s="20">
        <v>3066.8070218611479</v>
      </c>
    </row>
    <row r="9313" spans="1:34" ht="14.5" x14ac:dyDescent="0.35">
      <c r="A9313" s="34"/>
      <c r="B9313" s="35"/>
      <c r="C9313" s="36"/>
      <c r="D9313" s="37"/>
      <c r="E9313" s="36"/>
      <c r="F9313" s="42"/>
      <c r="G9313" s="42"/>
      <c r="H9313" s="42"/>
      <c r="AG9313" s="19">
        <v>9312</v>
      </c>
      <c r="AH9313" s="20">
        <v>-1475.5674436122172</v>
      </c>
    </row>
    <row r="9314" spans="1:34" ht="14.5" x14ac:dyDescent="0.35">
      <c r="A9314" s="34"/>
      <c r="B9314" s="35"/>
      <c r="C9314" s="36"/>
      <c r="D9314" s="37"/>
      <c r="E9314" s="36"/>
      <c r="F9314" s="42"/>
      <c r="G9314" s="42"/>
      <c r="H9314" s="42"/>
      <c r="AG9314" s="19">
        <v>9313</v>
      </c>
      <c r="AH9314" s="20">
        <v>660.850908110727</v>
      </c>
    </row>
    <row r="9315" spans="1:34" ht="14.5" x14ac:dyDescent="0.35">
      <c r="A9315" s="34"/>
      <c r="B9315" s="35"/>
      <c r="C9315" s="36"/>
      <c r="D9315" s="37"/>
      <c r="E9315" s="36"/>
      <c r="F9315" s="42"/>
      <c r="G9315" s="42"/>
      <c r="H9315" s="42"/>
      <c r="AG9315" s="19">
        <v>9314</v>
      </c>
      <c r="AH9315" s="20">
        <v>6023.0831338186981</v>
      </c>
    </row>
    <row r="9316" spans="1:34" ht="14.5" x14ac:dyDescent="0.35">
      <c r="A9316" s="34"/>
      <c r="B9316" s="35"/>
      <c r="C9316" s="36"/>
      <c r="D9316" s="37"/>
      <c r="E9316" s="36"/>
      <c r="F9316" s="42"/>
      <c r="G9316" s="42"/>
      <c r="H9316" s="42"/>
      <c r="AG9316" s="19">
        <v>9315</v>
      </c>
      <c r="AH9316" s="20">
        <v>-533.29817337603117</v>
      </c>
    </row>
    <row r="9317" spans="1:34" ht="14.5" x14ac:dyDescent="0.35">
      <c r="A9317" s="34"/>
      <c r="B9317" s="35"/>
      <c r="C9317" s="36"/>
      <c r="D9317" s="37"/>
      <c r="E9317" s="36"/>
      <c r="F9317" s="42"/>
      <c r="G9317" s="42"/>
      <c r="H9317" s="42"/>
      <c r="AG9317" s="19">
        <v>9316</v>
      </c>
      <c r="AH9317" s="20">
        <v>1254.1971458751204</v>
      </c>
    </row>
    <row r="9318" spans="1:34" ht="14.5" x14ac:dyDescent="0.35">
      <c r="A9318" s="34"/>
      <c r="B9318" s="35"/>
      <c r="C9318" s="36"/>
      <c r="D9318" s="37"/>
      <c r="E9318" s="36"/>
      <c r="F9318" s="42"/>
      <c r="G9318" s="42"/>
      <c r="H9318" s="42"/>
      <c r="AG9318" s="19">
        <v>9317</v>
      </c>
      <c r="AH9318" s="20">
        <v>4053.0616835463893</v>
      </c>
    </row>
    <row r="9319" spans="1:34" ht="14.5" x14ac:dyDescent="0.35">
      <c r="A9319" s="34"/>
      <c r="B9319" s="35"/>
      <c r="C9319" s="36"/>
      <c r="D9319" s="37"/>
      <c r="E9319" s="36"/>
      <c r="F9319" s="42"/>
      <c r="G9319" s="42"/>
      <c r="H9319" s="42"/>
      <c r="AG9319" s="19">
        <v>9318</v>
      </c>
      <c r="AH9319" s="20">
        <v>-3581.8669425286985</v>
      </c>
    </row>
    <row r="9320" spans="1:34" ht="14.5" x14ac:dyDescent="0.35">
      <c r="A9320" s="34"/>
      <c r="B9320" s="35"/>
      <c r="C9320" s="36"/>
      <c r="D9320" s="37"/>
      <c r="E9320" s="36"/>
      <c r="F9320" s="42"/>
      <c r="G9320" s="42"/>
      <c r="H9320" s="42"/>
      <c r="AG9320" s="19">
        <v>9319</v>
      </c>
      <c r="AH9320" s="20">
        <v>2204.1309907353757</v>
      </c>
    </row>
    <row r="9321" spans="1:34" ht="14.5" x14ac:dyDescent="0.35">
      <c r="A9321" s="34"/>
      <c r="B9321" s="35"/>
      <c r="C9321" s="36"/>
      <c r="D9321" s="37"/>
      <c r="E9321" s="36"/>
      <c r="F9321" s="42"/>
      <c r="G9321" s="42"/>
      <c r="H9321" s="42"/>
      <c r="AG9321" s="19">
        <v>9320</v>
      </c>
      <c r="AH9321" s="20">
        <v>1659.4550572619567</v>
      </c>
    </row>
    <row r="9322" spans="1:34" ht="14.5" x14ac:dyDescent="0.35">
      <c r="A9322" s="34"/>
      <c r="B9322" s="35"/>
      <c r="C9322" s="36"/>
      <c r="D9322" s="37"/>
      <c r="E9322" s="36"/>
      <c r="F9322" s="42"/>
      <c r="G9322" s="42"/>
      <c r="H9322" s="42"/>
      <c r="AG9322" s="19">
        <v>9321</v>
      </c>
      <c r="AH9322" s="20">
        <v>-2020.5358498861031</v>
      </c>
    </row>
    <row r="9323" spans="1:34" ht="14.5" x14ac:dyDescent="0.35">
      <c r="A9323" s="34"/>
      <c r="B9323" s="35"/>
      <c r="C9323" s="36"/>
      <c r="D9323" s="37"/>
      <c r="E9323" s="36"/>
      <c r="F9323" s="42"/>
      <c r="G9323" s="42"/>
      <c r="H9323" s="42"/>
      <c r="AG9323" s="19">
        <v>9322</v>
      </c>
      <c r="AH9323" s="20">
        <v>-8.5757762366903307</v>
      </c>
    </row>
    <row r="9324" spans="1:34" ht="14.5" x14ac:dyDescent="0.35">
      <c r="A9324" s="34"/>
      <c r="B9324" s="35"/>
      <c r="C9324" s="36"/>
      <c r="D9324" s="37"/>
      <c r="E9324" s="36"/>
      <c r="F9324" s="42"/>
      <c r="G9324" s="42"/>
      <c r="H9324" s="42"/>
      <c r="AG9324" s="19">
        <v>9323</v>
      </c>
      <c r="AH9324" s="20">
        <v>1196.9345314192224</v>
      </c>
    </row>
    <row r="9325" spans="1:34" ht="14.5" x14ac:dyDescent="0.35">
      <c r="A9325" s="34"/>
      <c r="B9325" s="35"/>
      <c r="C9325" s="36"/>
      <c r="D9325" s="37"/>
      <c r="E9325" s="36"/>
      <c r="F9325" s="42"/>
      <c r="G9325" s="42"/>
      <c r="H9325" s="42"/>
      <c r="AG9325" s="19">
        <v>9324</v>
      </c>
      <c r="AH9325" s="20">
        <v>2400.0274473119521</v>
      </c>
    </row>
    <row r="9326" spans="1:34" ht="14.5" x14ac:dyDescent="0.35">
      <c r="A9326" s="34"/>
      <c r="B9326" s="35"/>
      <c r="C9326" s="36"/>
      <c r="D9326" s="37"/>
      <c r="E9326" s="36"/>
      <c r="F9326" s="42"/>
      <c r="G9326" s="42"/>
      <c r="H9326" s="42"/>
      <c r="AG9326" s="19">
        <v>9325</v>
      </c>
      <c r="AH9326" s="20">
        <v>1393.9412732380742</v>
      </c>
    </row>
    <row r="9327" spans="1:34" ht="14.5" x14ac:dyDescent="0.35">
      <c r="A9327" s="34"/>
      <c r="B9327" s="35"/>
      <c r="C9327" s="36"/>
      <c r="D9327" s="37"/>
      <c r="E9327" s="36"/>
      <c r="F9327" s="42"/>
      <c r="G9327" s="42"/>
      <c r="H9327" s="42"/>
      <c r="AG9327" s="19">
        <v>9326</v>
      </c>
      <c r="AH9327" s="20">
        <v>2777.9081992308056</v>
      </c>
    </row>
    <row r="9328" spans="1:34" ht="14.5" x14ac:dyDescent="0.35">
      <c r="A9328" s="34"/>
      <c r="B9328" s="35"/>
      <c r="C9328" s="36"/>
      <c r="D9328" s="37"/>
      <c r="E9328" s="36"/>
      <c r="F9328" s="42"/>
      <c r="G9328" s="42"/>
      <c r="H9328" s="42"/>
      <c r="AG9328" s="19">
        <v>9327</v>
      </c>
      <c r="AH9328" s="20">
        <v>1286.1639159816759</v>
      </c>
    </row>
    <row r="9329" spans="1:34" ht="14.5" x14ac:dyDescent="0.35">
      <c r="A9329" s="34"/>
      <c r="B9329" s="35"/>
      <c r="C9329" s="36"/>
      <c r="D9329" s="37"/>
      <c r="E9329" s="36"/>
      <c r="F9329" s="42"/>
      <c r="G9329" s="42"/>
      <c r="H9329" s="42"/>
      <c r="AG9329" s="19">
        <v>9328</v>
      </c>
      <c r="AH9329" s="20">
        <v>1094.2040910363596</v>
      </c>
    </row>
    <row r="9330" spans="1:34" ht="14.5" x14ac:dyDescent="0.35">
      <c r="A9330" s="34"/>
      <c r="B9330" s="35"/>
      <c r="C9330" s="36"/>
      <c r="D9330" s="37"/>
      <c r="E9330" s="36"/>
      <c r="F9330" s="42"/>
      <c r="G9330" s="42"/>
      <c r="H9330" s="42"/>
      <c r="AG9330" s="19">
        <v>9329</v>
      </c>
      <c r="AH9330" s="20">
        <v>2089.0134330322344</v>
      </c>
    </row>
    <row r="9331" spans="1:34" ht="14.5" x14ac:dyDescent="0.35">
      <c r="A9331" s="34"/>
      <c r="B9331" s="35"/>
      <c r="C9331" s="36"/>
      <c r="D9331" s="37"/>
      <c r="E9331" s="36"/>
      <c r="F9331" s="42"/>
      <c r="G9331" s="42"/>
      <c r="H9331" s="42"/>
      <c r="AG9331" s="19">
        <v>9330</v>
      </c>
      <c r="AH9331" s="20">
        <v>2987.8576259338329</v>
      </c>
    </row>
    <row r="9332" spans="1:34" ht="14.5" x14ac:dyDescent="0.35">
      <c r="A9332" s="34"/>
      <c r="B9332" s="35"/>
      <c r="C9332" s="36"/>
      <c r="D9332" s="37"/>
      <c r="E9332" s="36"/>
      <c r="F9332" s="42"/>
      <c r="G9332" s="42"/>
      <c r="H9332" s="42"/>
      <c r="AG9332" s="19">
        <v>9331</v>
      </c>
      <c r="AH9332" s="20">
        <v>2660.5652954042253</v>
      </c>
    </row>
    <row r="9333" spans="1:34" ht="14.5" x14ac:dyDescent="0.35">
      <c r="A9333" s="34"/>
      <c r="B9333" s="35"/>
      <c r="C9333" s="36"/>
      <c r="D9333" s="37"/>
      <c r="E9333" s="36"/>
      <c r="F9333" s="42"/>
      <c r="G9333" s="42"/>
      <c r="H9333" s="42"/>
      <c r="AG9333" s="19">
        <v>9332</v>
      </c>
      <c r="AH9333" s="20">
        <v>3742.6671452991145</v>
      </c>
    </row>
    <row r="9334" spans="1:34" ht="14.5" x14ac:dyDescent="0.35">
      <c r="A9334" s="34"/>
      <c r="B9334" s="35"/>
      <c r="C9334" s="36"/>
      <c r="D9334" s="37"/>
      <c r="E9334" s="36"/>
      <c r="F9334" s="42"/>
      <c r="G9334" s="42"/>
      <c r="H9334" s="42"/>
      <c r="AG9334" s="19">
        <v>9333</v>
      </c>
      <c r="AH9334" s="20">
        <v>-282.27302175643689</v>
      </c>
    </row>
    <row r="9335" spans="1:34" ht="14.5" x14ac:dyDescent="0.35">
      <c r="A9335" s="34"/>
      <c r="B9335" s="35"/>
      <c r="C9335" s="36"/>
      <c r="D9335" s="37"/>
      <c r="E9335" s="36"/>
      <c r="F9335" s="42"/>
      <c r="G9335" s="42"/>
      <c r="H9335" s="42"/>
      <c r="AG9335" s="19">
        <v>9334</v>
      </c>
      <c r="AH9335" s="20">
        <v>771.16616461074329</v>
      </c>
    </row>
    <row r="9336" spans="1:34" ht="14.5" x14ac:dyDescent="0.35">
      <c r="A9336" s="34"/>
      <c r="B9336" s="35"/>
      <c r="C9336" s="36"/>
      <c r="D9336" s="37"/>
      <c r="E9336" s="36"/>
      <c r="F9336" s="42"/>
      <c r="G9336" s="42"/>
      <c r="H9336" s="42"/>
      <c r="AG9336" s="19">
        <v>9335</v>
      </c>
      <c r="AH9336" s="20">
        <v>2002.0112733063643</v>
      </c>
    </row>
    <row r="9337" spans="1:34" ht="14.5" x14ac:dyDescent="0.35">
      <c r="A9337" s="34"/>
      <c r="B9337" s="35"/>
      <c r="C9337" s="36"/>
      <c r="D9337" s="37"/>
      <c r="E9337" s="36"/>
      <c r="F9337" s="42"/>
      <c r="G9337" s="42"/>
      <c r="H9337" s="42"/>
      <c r="AG9337" s="19">
        <v>9336</v>
      </c>
      <c r="AH9337" s="20">
        <v>2596.1464493024555</v>
      </c>
    </row>
    <row r="9338" spans="1:34" ht="14.5" x14ac:dyDescent="0.35">
      <c r="A9338" s="34"/>
      <c r="B9338" s="35"/>
      <c r="C9338" s="36"/>
      <c r="D9338" s="37"/>
      <c r="E9338" s="36"/>
      <c r="F9338" s="42"/>
      <c r="G9338" s="42"/>
      <c r="H9338" s="42"/>
      <c r="AG9338" s="19">
        <v>9337</v>
      </c>
      <c r="AH9338" s="20">
        <v>-2081.1718226512494</v>
      </c>
    </row>
    <row r="9339" spans="1:34" ht="14.5" x14ac:dyDescent="0.35">
      <c r="A9339" s="34"/>
      <c r="B9339" s="35"/>
      <c r="C9339" s="36"/>
      <c r="D9339" s="37"/>
      <c r="E9339" s="36"/>
      <c r="F9339" s="42"/>
      <c r="G9339" s="42"/>
      <c r="H9339" s="42"/>
      <c r="AG9339" s="19">
        <v>9338</v>
      </c>
      <c r="AH9339" s="20">
        <v>3356.5166805513236</v>
      </c>
    </row>
    <row r="9340" spans="1:34" ht="14.5" x14ac:dyDescent="0.35">
      <c r="A9340" s="34"/>
      <c r="B9340" s="35"/>
      <c r="C9340" s="36"/>
      <c r="D9340" s="37"/>
      <c r="E9340" s="36"/>
      <c r="F9340" s="42"/>
      <c r="G9340" s="42"/>
      <c r="H9340" s="42"/>
      <c r="AG9340" s="19">
        <v>9339</v>
      </c>
      <c r="AH9340" s="20">
        <v>600.37856207474806</v>
      </c>
    </row>
    <row r="9341" spans="1:34" ht="14.5" x14ac:dyDescent="0.35">
      <c r="A9341" s="34"/>
      <c r="B9341" s="35"/>
      <c r="C9341" s="36"/>
      <c r="D9341" s="37"/>
      <c r="E9341" s="36"/>
      <c r="F9341" s="42"/>
      <c r="G9341" s="42"/>
      <c r="H9341" s="42"/>
      <c r="AG9341" s="19">
        <v>9340</v>
      </c>
      <c r="AH9341" s="20">
        <v>-3157.0429469451888</v>
      </c>
    </row>
    <row r="9342" spans="1:34" ht="14.5" x14ac:dyDescent="0.35">
      <c r="A9342" s="34"/>
      <c r="B9342" s="35"/>
      <c r="C9342" s="36"/>
      <c r="D9342" s="37"/>
      <c r="E9342" s="36"/>
      <c r="F9342" s="42"/>
      <c r="G9342" s="42"/>
      <c r="H9342" s="42"/>
      <c r="AG9342" s="19">
        <v>9341</v>
      </c>
      <c r="AH9342" s="20">
        <v>621.08825469038266</v>
      </c>
    </row>
    <row r="9343" spans="1:34" ht="14.5" x14ac:dyDescent="0.35">
      <c r="A9343" s="34"/>
      <c r="B9343" s="35"/>
      <c r="C9343" s="36"/>
      <c r="D9343" s="37"/>
      <c r="E9343" s="36"/>
      <c r="F9343" s="42"/>
      <c r="G9343" s="42"/>
      <c r="H9343" s="42"/>
      <c r="AG9343" s="19">
        <v>9342</v>
      </c>
      <c r="AH9343" s="20">
        <v>935.2033100928702</v>
      </c>
    </row>
    <row r="9344" spans="1:34" ht="14.5" x14ac:dyDescent="0.35">
      <c r="A9344" s="34"/>
      <c r="B9344" s="35"/>
      <c r="C9344" s="36"/>
      <c r="D9344" s="37"/>
      <c r="E9344" s="36"/>
      <c r="F9344" s="42"/>
      <c r="G9344" s="42"/>
      <c r="H9344" s="42"/>
      <c r="AG9344" s="19">
        <v>9343</v>
      </c>
      <c r="AH9344" s="20">
        <v>669.92518817290397</v>
      </c>
    </row>
    <row r="9345" spans="1:34" ht="14.5" x14ac:dyDescent="0.35">
      <c r="A9345" s="34"/>
      <c r="B9345" s="35"/>
      <c r="C9345" s="36"/>
      <c r="D9345" s="37"/>
      <c r="E9345" s="36"/>
      <c r="F9345" s="42"/>
      <c r="G9345" s="42"/>
      <c r="H9345" s="42"/>
      <c r="AG9345" s="19">
        <v>9344</v>
      </c>
      <c r="AH9345" s="20">
        <v>4334.5607739583529</v>
      </c>
    </row>
    <row r="9346" spans="1:34" ht="14.5" x14ac:dyDescent="0.35">
      <c r="A9346" s="34"/>
      <c r="B9346" s="35"/>
      <c r="C9346" s="36"/>
      <c r="D9346" s="37"/>
      <c r="E9346" s="36"/>
      <c r="F9346" s="42"/>
      <c r="G9346" s="42"/>
      <c r="H9346" s="42"/>
      <c r="AG9346" s="19">
        <v>9345</v>
      </c>
      <c r="AH9346" s="20">
        <v>817.1634594221257</v>
      </c>
    </row>
    <row r="9347" spans="1:34" ht="14.5" x14ac:dyDescent="0.35">
      <c r="A9347" s="34"/>
      <c r="B9347" s="35"/>
      <c r="C9347" s="36"/>
      <c r="D9347" s="37"/>
      <c r="E9347" s="36"/>
      <c r="F9347" s="42"/>
      <c r="G9347" s="42"/>
      <c r="H9347" s="42"/>
      <c r="AG9347" s="19">
        <v>9346</v>
      </c>
      <c r="AH9347" s="20">
        <v>-6750.2253245892707</v>
      </c>
    </row>
    <row r="9348" spans="1:34" ht="14.5" x14ac:dyDescent="0.35">
      <c r="A9348" s="34"/>
      <c r="B9348" s="35"/>
      <c r="C9348" s="36"/>
      <c r="D9348" s="37"/>
      <c r="E9348" s="36"/>
      <c r="F9348" s="42"/>
      <c r="G9348" s="42"/>
      <c r="H9348" s="42"/>
      <c r="AG9348" s="19">
        <v>9347</v>
      </c>
      <c r="AH9348" s="20">
        <v>-2212.6454324628626</v>
      </c>
    </row>
    <row r="9349" spans="1:34" ht="14.5" x14ac:dyDescent="0.35">
      <c r="A9349" s="34"/>
      <c r="B9349" s="35"/>
      <c r="C9349" s="36"/>
      <c r="D9349" s="37"/>
      <c r="E9349" s="36"/>
      <c r="F9349" s="42"/>
      <c r="G9349" s="42"/>
      <c r="H9349" s="42"/>
      <c r="AG9349" s="19">
        <v>9348</v>
      </c>
      <c r="AH9349" s="20">
        <v>4368.978239181205</v>
      </c>
    </row>
    <row r="9350" spans="1:34" ht="14.5" x14ac:dyDescent="0.35">
      <c r="A9350" s="34"/>
      <c r="B9350" s="35"/>
      <c r="C9350" s="36"/>
      <c r="D9350" s="37"/>
      <c r="E9350" s="36"/>
      <c r="F9350" s="42"/>
      <c r="G9350" s="42"/>
      <c r="H9350" s="42"/>
      <c r="AG9350" s="19">
        <v>9349</v>
      </c>
      <c r="AH9350" s="20">
        <v>1216.7743335480968</v>
      </c>
    </row>
    <row r="9351" spans="1:34" ht="14.5" x14ac:dyDescent="0.35">
      <c r="A9351" s="34"/>
      <c r="B9351" s="35"/>
      <c r="C9351" s="36"/>
      <c r="D9351" s="37"/>
      <c r="E9351" s="36"/>
      <c r="F9351" s="42"/>
      <c r="G9351" s="42"/>
      <c r="H9351" s="42"/>
      <c r="AG9351" s="19">
        <v>9350</v>
      </c>
      <c r="AH9351" s="20">
        <v>-2497.4250998625698</v>
      </c>
    </row>
    <row r="9352" spans="1:34" ht="14.5" x14ac:dyDescent="0.35">
      <c r="A9352" s="34"/>
      <c r="B9352" s="35"/>
      <c r="C9352" s="36"/>
      <c r="D9352" s="37"/>
      <c r="E9352" s="36"/>
      <c r="F9352" s="42"/>
      <c r="G9352" s="42"/>
      <c r="H9352" s="42"/>
      <c r="AG9352" s="19">
        <v>9351</v>
      </c>
      <c r="AH9352" s="20">
        <v>4900.5162226846815</v>
      </c>
    </row>
    <row r="9353" spans="1:34" ht="14.5" x14ac:dyDescent="0.35">
      <c r="A9353" s="34"/>
      <c r="B9353" s="35"/>
      <c r="C9353" s="36"/>
      <c r="D9353" s="37"/>
      <c r="E9353" s="36"/>
      <c r="F9353" s="42"/>
      <c r="G9353" s="42"/>
      <c r="H9353" s="42"/>
      <c r="AG9353" s="19">
        <v>9352</v>
      </c>
      <c r="AH9353" s="20">
        <v>-1093.6147990394618</v>
      </c>
    </row>
    <row r="9354" spans="1:34" ht="14.5" x14ac:dyDescent="0.35">
      <c r="A9354" s="34"/>
      <c r="B9354" s="35"/>
      <c r="C9354" s="36"/>
      <c r="D9354" s="37"/>
      <c r="E9354" s="36"/>
      <c r="F9354" s="42"/>
      <c r="G9354" s="42"/>
      <c r="H9354" s="42"/>
      <c r="AG9354" s="19">
        <v>9353</v>
      </c>
      <c r="AH9354" s="20">
        <v>-2128.2987438892624</v>
      </c>
    </row>
    <row r="9355" spans="1:34" ht="14.5" x14ac:dyDescent="0.35">
      <c r="A9355" s="34"/>
      <c r="B9355" s="35"/>
      <c r="C9355" s="36"/>
      <c r="D9355" s="37"/>
      <c r="E9355" s="36"/>
      <c r="F9355" s="42"/>
      <c r="G9355" s="42"/>
      <c r="H9355" s="42"/>
      <c r="AG9355" s="19">
        <v>9354</v>
      </c>
      <c r="AH9355" s="20">
        <v>1576.3490395061124</v>
      </c>
    </row>
    <row r="9356" spans="1:34" ht="14.5" x14ac:dyDescent="0.35">
      <c r="A9356" s="34"/>
      <c r="B9356" s="35"/>
      <c r="C9356" s="36"/>
      <c r="D9356" s="37"/>
      <c r="E9356" s="36"/>
      <c r="F9356" s="42"/>
      <c r="G9356" s="42"/>
      <c r="H9356" s="42"/>
      <c r="AG9356" s="19">
        <v>9355</v>
      </c>
      <c r="AH9356" s="20">
        <v>3242.7989900212506</v>
      </c>
    </row>
    <row r="9357" spans="1:34" ht="14.5" x14ac:dyDescent="0.35">
      <c r="A9357" s="34"/>
      <c r="B9357" s="35"/>
      <c r="C9357" s="36"/>
      <c r="D9357" s="37"/>
      <c r="E9357" s="36"/>
      <c r="F9357" s="42"/>
      <c r="G9357" s="42"/>
      <c r="H9357" s="42"/>
      <c r="AG9357" s="19">
        <v>9356</v>
      </c>
      <c r="AH9357" s="20">
        <v>1306.0547740924364</v>
      </c>
    </row>
    <row r="9358" spans="1:34" ht="14.5" x14ac:dyDescent="0.35">
      <c r="A9358" s="34"/>
      <c r="B9358" s="35"/>
      <c r="C9358" s="36"/>
      <c r="D9358" s="37"/>
      <c r="E9358" s="36"/>
      <c r="F9358" s="42"/>
      <c r="G9358" s="42"/>
      <c r="H9358" s="42"/>
      <c r="AG9358" s="19">
        <v>9357</v>
      </c>
      <c r="AH9358" s="20">
        <v>2614.8472750103597</v>
      </c>
    </row>
    <row r="9359" spans="1:34" ht="14.5" x14ac:dyDescent="0.35">
      <c r="A9359" s="34"/>
      <c r="B9359" s="35"/>
      <c r="C9359" s="36"/>
      <c r="D9359" s="37"/>
      <c r="E9359" s="36"/>
      <c r="F9359" s="42"/>
      <c r="G9359" s="42"/>
      <c r="H9359" s="42"/>
      <c r="AG9359" s="19">
        <v>9358</v>
      </c>
      <c r="AH9359" s="20">
        <v>-835.3637587418873</v>
      </c>
    </row>
    <row r="9360" spans="1:34" ht="14.5" x14ac:dyDescent="0.35">
      <c r="A9360" s="34"/>
      <c r="B9360" s="35"/>
      <c r="C9360" s="36"/>
      <c r="D9360" s="37"/>
      <c r="E9360" s="36"/>
      <c r="F9360" s="42"/>
      <c r="G9360" s="42"/>
      <c r="H9360" s="42"/>
      <c r="AG9360" s="19">
        <v>9359</v>
      </c>
      <c r="AH9360" s="20">
        <v>-1880.2022066380139</v>
      </c>
    </row>
    <row r="9361" spans="1:34" ht="14.5" x14ac:dyDescent="0.35">
      <c r="A9361" s="34"/>
      <c r="B9361" s="35"/>
      <c r="C9361" s="36"/>
      <c r="D9361" s="37"/>
      <c r="E9361" s="36"/>
      <c r="F9361" s="42"/>
      <c r="G9361" s="42"/>
      <c r="H9361" s="42"/>
      <c r="AG9361" s="19">
        <v>9360</v>
      </c>
      <c r="AH9361" s="20">
        <v>1556.0183220253418</v>
      </c>
    </row>
    <row r="9362" spans="1:34" ht="14.5" x14ac:dyDescent="0.35">
      <c r="A9362" s="34"/>
      <c r="B9362" s="35"/>
      <c r="C9362" s="36"/>
      <c r="D9362" s="37"/>
      <c r="E9362" s="36"/>
      <c r="F9362" s="42"/>
      <c r="G9362" s="42"/>
      <c r="H9362" s="42"/>
      <c r="AG9362" s="19">
        <v>9361</v>
      </c>
      <c r="AH9362" s="20">
        <v>866.74799470232631</v>
      </c>
    </row>
    <row r="9363" spans="1:34" ht="14.5" x14ac:dyDescent="0.35">
      <c r="A9363" s="34"/>
      <c r="B9363" s="35"/>
      <c r="C9363" s="36"/>
      <c r="D9363" s="37"/>
      <c r="E9363" s="36"/>
      <c r="F9363" s="42"/>
      <c r="G9363" s="42"/>
      <c r="H9363" s="42"/>
      <c r="AG9363" s="19">
        <v>9362</v>
      </c>
      <c r="AH9363" s="20">
        <v>-3246.3055047805333</v>
      </c>
    </row>
    <row r="9364" spans="1:34" ht="14.5" x14ac:dyDescent="0.35">
      <c r="A9364" s="34"/>
      <c r="B9364" s="35"/>
      <c r="C9364" s="36"/>
      <c r="D9364" s="37"/>
      <c r="E9364" s="36"/>
      <c r="F9364" s="42"/>
      <c r="G9364" s="42"/>
      <c r="H9364" s="42"/>
      <c r="AG9364" s="19">
        <v>9363</v>
      </c>
      <c r="AH9364" s="20">
        <v>9.1977605868930254</v>
      </c>
    </row>
    <row r="9365" spans="1:34" ht="14.5" x14ac:dyDescent="0.35">
      <c r="A9365" s="34"/>
      <c r="B9365" s="35"/>
      <c r="C9365" s="36"/>
      <c r="D9365" s="37"/>
      <c r="E9365" s="36"/>
      <c r="F9365" s="42"/>
      <c r="G9365" s="42"/>
      <c r="H9365" s="42"/>
      <c r="AG9365" s="19">
        <v>9364</v>
      </c>
      <c r="AH9365" s="20">
        <v>-696.20753245741503</v>
      </c>
    </row>
    <row r="9366" spans="1:34" ht="14.5" x14ac:dyDescent="0.35">
      <c r="A9366" s="34"/>
      <c r="B9366" s="35"/>
      <c r="C9366" s="36"/>
      <c r="D9366" s="37"/>
      <c r="E9366" s="36"/>
      <c r="F9366" s="42"/>
      <c r="G9366" s="42"/>
      <c r="H9366" s="42"/>
      <c r="AG9366" s="19">
        <v>9365</v>
      </c>
      <c r="AH9366" s="20">
        <v>-915.64959625140568</v>
      </c>
    </row>
    <row r="9367" spans="1:34" ht="14.5" x14ac:dyDescent="0.35">
      <c r="A9367" s="34"/>
      <c r="B9367" s="35"/>
      <c r="C9367" s="36"/>
      <c r="D9367" s="37"/>
      <c r="E9367" s="36"/>
      <c r="F9367" s="42"/>
      <c r="G9367" s="42"/>
      <c r="H9367" s="42"/>
      <c r="AG9367" s="19">
        <v>9366</v>
      </c>
      <c r="AH9367" s="20">
        <v>3854.9705498429967</v>
      </c>
    </row>
    <row r="9368" spans="1:34" ht="14.5" x14ac:dyDescent="0.35">
      <c r="A9368" s="34"/>
      <c r="B9368" s="35"/>
      <c r="C9368" s="36"/>
      <c r="D9368" s="37"/>
      <c r="E9368" s="36"/>
      <c r="F9368" s="42"/>
      <c r="G9368" s="42"/>
      <c r="H9368" s="42"/>
      <c r="AG9368" s="19">
        <v>9367</v>
      </c>
      <c r="AH9368" s="20">
        <v>-5540.0252501810355</v>
      </c>
    </row>
    <row r="9369" spans="1:34" ht="14.5" x14ac:dyDescent="0.35">
      <c r="A9369" s="34"/>
      <c r="B9369" s="35"/>
      <c r="C9369" s="36"/>
      <c r="D9369" s="37"/>
      <c r="E9369" s="36"/>
      <c r="F9369" s="42"/>
      <c r="G9369" s="42"/>
      <c r="H9369" s="42"/>
      <c r="AG9369" s="19">
        <v>9368</v>
      </c>
      <c r="AH9369" s="20">
        <v>-6201.7130115550572</v>
      </c>
    </row>
    <row r="9370" spans="1:34" ht="14.5" x14ac:dyDescent="0.35">
      <c r="A9370" s="34"/>
      <c r="B9370" s="35"/>
      <c r="C9370" s="36"/>
      <c r="D9370" s="37"/>
      <c r="E9370" s="36"/>
      <c r="F9370" s="42"/>
      <c r="G9370" s="42"/>
      <c r="H9370" s="42"/>
      <c r="AG9370" s="19">
        <v>9369</v>
      </c>
      <c r="AH9370" s="20">
        <v>-62.879860217201667</v>
      </c>
    </row>
    <row r="9371" spans="1:34" ht="14.5" x14ac:dyDescent="0.35">
      <c r="A9371" s="34"/>
      <c r="B9371" s="35"/>
      <c r="C9371" s="36"/>
      <c r="D9371" s="37"/>
      <c r="E9371" s="36"/>
      <c r="F9371" s="42"/>
      <c r="G9371" s="42"/>
      <c r="H9371" s="42"/>
      <c r="AG9371" s="19">
        <v>9370</v>
      </c>
      <c r="AH9371" s="20">
        <v>-450.63031632308883</v>
      </c>
    </row>
    <row r="9372" spans="1:34" ht="14.5" x14ac:dyDescent="0.35">
      <c r="A9372" s="34"/>
      <c r="B9372" s="35"/>
      <c r="C9372" s="36"/>
      <c r="D9372" s="37"/>
      <c r="E9372" s="36"/>
      <c r="F9372" s="42"/>
      <c r="G9372" s="42"/>
      <c r="H9372" s="42"/>
      <c r="AG9372" s="19">
        <v>9371</v>
      </c>
      <c r="AH9372" s="20">
        <v>1674.8877788402908</v>
      </c>
    </row>
    <row r="9373" spans="1:34" ht="14.5" x14ac:dyDescent="0.35">
      <c r="A9373" s="34"/>
      <c r="B9373" s="35"/>
      <c r="C9373" s="36"/>
      <c r="D9373" s="37"/>
      <c r="E9373" s="36"/>
      <c r="F9373" s="42"/>
      <c r="G9373" s="42"/>
      <c r="H9373" s="42"/>
      <c r="AG9373" s="19">
        <v>9372</v>
      </c>
      <c r="AH9373" s="20">
        <v>2475.5764462476668</v>
      </c>
    </row>
    <row r="9374" spans="1:34" ht="14.5" x14ac:dyDescent="0.35">
      <c r="A9374" s="34"/>
      <c r="B9374" s="35"/>
      <c r="C9374" s="36"/>
      <c r="D9374" s="37"/>
      <c r="E9374" s="36"/>
      <c r="F9374" s="42"/>
      <c r="G9374" s="42"/>
      <c r="H9374" s="42"/>
      <c r="AG9374" s="19">
        <v>9373</v>
      </c>
      <c r="AH9374" s="20">
        <v>2625.7968310840661</v>
      </c>
    </row>
    <row r="9375" spans="1:34" ht="14.5" x14ac:dyDescent="0.35">
      <c r="A9375" s="34"/>
      <c r="B9375" s="35"/>
      <c r="C9375" s="36"/>
      <c r="D9375" s="37"/>
      <c r="E9375" s="36"/>
      <c r="F9375" s="42"/>
      <c r="G9375" s="42"/>
      <c r="H9375" s="42"/>
      <c r="AG9375" s="19">
        <v>9374</v>
      </c>
      <c r="AH9375" s="20">
        <v>-1012.8159821824343</v>
      </c>
    </row>
    <row r="9376" spans="1:34" ht="14.5" x14ac:dyDescent="0.35">
      <c r="A9376" s="34"/>
      <c r="B9376" s="35"/>
      <c r="C9376" s="36"/>
      <c r="D9376" s="37"/>
      <c r="E9376" s="36"/>
      <c r="F9376" s="42"/>
      <c r="G9376" s="42"/>
      <c r="H9376" s="42"/>
      <c r="AG9376" s="19">
        <v>9375</v>
      </c>
      <c r="AH9376" s="20">
        <v>1112.9817211278569</v>
      </c>
    </row>
    <row r="9377" spans="1:34" ht="14.5" x14ac:dyDescent="0.35">
      <c r="A9377" s="34"/>
      <c r="B9377" s="35"/>
      <c r="C9377" s="36"/>
      <c r="D9377" s="37"/>
      <c r="E9377" s="36"/>
      <c r="F9377" s="42"/>
      <c r="G9377" s="42"/>
      <c r="H9377" s="42"/>
      <c r="AG9377" s="19">
        <v>9376</v>
      </c>
      <c r="AH9377" s="20">
        <v>473.45430389012722</v>
      </c>
    </row>
    <row r="9378" spans="1:34" ht="14.5" x14ac:dyDescent="0.35">
      <c r="A9378" s="34"/>
      <c r="B9378" s="35"/>
      <c r="C9378" s="36"/>
      <c r="D9378" s="37"/>
      <c r="E9378" s="36"/>
      <c r="F9378" s="42"/>
      <c r="G9378" s="42"/>
      <c r="H9378" s="42"/>
      <c r="AG9378" s="19">
        <v>9377</v>
      </c>
      <c r="AH9378" s="20">
        <v>-900.79933857481637</v>
      </c>
    </row>
    <row r="9379" spans="1:34" ht="14.5" x14ac:dyDescent="0.35">
      <c r="A9379" s="34"/>
      <c r="B9379" s="35"/>
      <c r="C9379" s="36"/>
      <c r="D9379" s="37"/>
      <c r="E9379" s="36"/>
      <c r="F9379" s="42"/>
      <c r="G9379" s="42"/>
      <c r="H9379" s="42"/>
      <c r="AG9379" s="19">
        <v>9378</v>
      </c>
      <c r="AH9379" s="20">
        <v>214.50938133901363</v>
      </c>
    </row>
    <row r="9380" spans="1:34" ht="14.5" x14ac:dyDescent="0.35">
      <c r="A9380" s="34"/>
      <c r="B9380" s="35"/>
      <c r="C9380" s="36"/>
      <c r="D9380" s="37"/>
      <c r="E9380" s="36"/>
      <c r="F9380" s="42"/>
      <c r="G9380" s="42"/>
      <c r="H9380" s="42"/>
      <c r="AG9380" s="19">
        <v>9379</v>
      </c>
      <c r="AH9380" s="20">
        <v>-1098.5917467342317</v>
      </c>
    </row>
    <row r="9381" spans="1:34" ht="14.5" x14ac:dyDescent="0.35">
      <c r="A9381" s="34"/>
      <c r="B9381" s="35"/>
      <c r="C9381" s="36"/>
      <c r="D9381" s="37"/>
      <c r="E9381" s="36"/>
      <c r="F9381" s="42"/>
      <c r="G9381" s="42"/>
      <c r="H9381" s="42"/>
      <c r="AG9381" s="19">
        <v>9380</v>
      </c>
      <c r="AH9381" s="20">
        <v>-1352.490858426718</v>
      </c>
    </row>
    <row r="9382" spans="1:34" ht="14.5" x14ac:dyDescent="0.35">
      <c r="A9382" s="34"/>
      <c r="B9382" s="35"/>
      <c r="C9382" s="36"/>
      <c r="D9382" s="37"/>
      <c r="E9382" s="36"/>
      <c r="F9382" s="42"/>
      <c r="G9382" s="42"/>
      <c r="H9382" s="42"/>
      <c r="AG9382" s="19">
        <v>9381</v>
      </c>
      <c r="AH9382" s="20">
        <v>-1372.4433077123272</v>
      </c>
    </row>
    <row r="9383" spans="1:34" ht="14.5" x14ac:dyDescent="0.35">
      <c r="A9383" s="34"/>
      <c r="B9383" s="35"/>
      <c r="C9383" s="36"/>
      <c r="D9383" s="37"/>
      <c r="E9383" s="36"/>
      <c r="F9383" s="42"/>
      <c r="G9383" s="42"/>
      <c r="H9383" s="42"/>
      <c r="AG9383" s="19">
        <v>9382</v>
      </c>
      <c r="AH9383" s="20">
        <v>2482.0508522822611</v>
      </c>
    </row>
    <row r="9384" spans="1:34" ht="14.5" x14ac:dyDescent="0.35">
      <c r="A9384" s="34"/>
      <c r="B9384" s="35"/>
      <c r="C9384" s="36"/>
      <c r="D9384" s="37"/>
      <c r="E9384" s="36"/>
      <c r="F9384" s="42"/>
      <c r="G9384" s="42"/>
      <c r="H9384" s="42"/>
      <c r="AG9384" s="19">
        <v>9383</v>
      </c>
      <c r="AH9384" s="20">
        <v>1325.5120892420323</v>
      </c>
    </row>
    <row r="9385" spans="1:34" ht="14.5" x14ac:dyDescent="0.35">
      <c r="A9385" s="34"/>
      <c r="B9385" s="35"/>
      <c r="C9385" s="36"/>
      <c r="D9385" s="37"/>
      <c r="E9385" s="36"/>
      <c r="F9385" s="42"/>
      <c r="G9385" s="42"/>
      <c r="H9385" s="42"/>
      <c r="AG9385" s="19">
        <v>9384</v>
      </c>
      <c r="AH9385" s="20">
        <v>-376.16025475438204</v>
      </c>
    </row>
    <row r="9386" spans="1:34" ht="14.5" x14ac:dyDescent="0.35">
      <c r="A9386" s="34"/>
      <c r="B9386" s="35"/>
      <c r="C9386" s="36"/>
      <c r="D9386" s="37"/>
      <c r="E9386" s="36"/>
      <c r="F9386" s="42"/>
      <c r="G9386" s="42"/>
      <c r="H9386" s="42"/>
      <c r="AG9386" s="19">
        <v>9385</v>
      </c>
      <c r="AH9386" s="20">
        <v>-1679.9194516744572</v>
      </c>
    </row>
    <row r="9387" spans="1:34" ht="14.5" x14ac:dyDescent="0.35">
      <c r="A9387" s="34"/>
      <c r="B9387" s="35"/>
      <c r="C9387" s="36"/>
      <c r="D9387" s="37"/>
      <c r="E9387" s="36"/>
      <c r="F9387" s="42"/>
      <c r="G9387" s="42"/>
      <c r="H9387" s="42"/>
      <c r="AG9387" s="19">
        <v>9386</v>
      </c>
      <c r="AH9387" s="20">
        <v>-275.91874705357958</v>
      </c>
    </row>
    <row r="9388" spans="1:34" ht="14.5" x14ac:dyDescent="0.35">
      <c r="A9388" s="34"/>
      <c r="B9388" s="35"/>
      <c r="C9388" s="36"/>
      <c r="D9388" s="37"/>
      <c r="E9388" s="36"/>
      <c r="F9388" s="42"/>
      <c r="G9388" s="42"/>
      <c r="H9388" s="42"/>
      <c r="AG9388" s="19">
        <v>9387</v>
      </c>
      <c r="AH9388" s="20">
        <v>2575.5512809480842</v>
      </c>
    </row>
    <row r="9389" spans="1:34" ht="14.5" x14ac:dyDescent="0.35">
      <c r="A9389" s="34"/>
      <c r="B9389" s="35"/>
      <c r="C9389" s="36"/>
      <c r="D9389" s="37"/>
      <c r="E9389" s="36"/>
      <c r="F9389" s="42"/>
      <c r="G9389" s="42"/>
      <c r="H9389" s="42"/>
      <c r="AG9389" s="19">
        <v>9388</v>
      </c>
      <c r="AH9389" s="20">
        <v>-3945.1411996136758</v>
      </c>
    </row>
    <row r="9390" spans="1:34" ht="14.5" x14ac:dyDescent="0.35">
      <c r="A9390" s="34"/>
      <c r="B9390" s="35"/>
      <c r="C9390" s="36"/>
      <c r="D9390" s="37"/>
      <c r="E9390" s="36"/>
      <c r="F9390" s="42"/>
      <c r="G9390" s="42"/>
      <c r="H9390" s="42"/>
      <c r="AG9390" s="19">
        <v>9389</v>
      </c>
      <c r="AH9390" s="20">
        <v>596.75732073500262</v>
      </c>
    </row>
    <row r="9391" spans="1:34" ht="14.5" x14ac:dyDescent="0.35">
      <c r="A9391" s="34"/>
      <c r="B9391" s="35"/>
      <c r="C9391" s="36"/>
      <c r="D9391" s="37"/>
      <c r="E9391" s="36"/>
      <c r="F9391" s="42"/>
      <c r="G9391" s="42"/>
      <c r="H9391" s="42"/>
      <c r="AG9391" s="19">
        <v>9390</v>
      </c>
      <c r="AH9391" s="20">
        <v>2885.831212813725</v>
      </c>
    </row>
    <row r="9392" spans="1:34" ht="14.5" x14ac:dyDescent="0.35">
      <c r="A9392" s="34"/>
      <c r="B9392" s="35"/>
      <c r="C9392" s="36"/>
      <c r="D9392" s="37"/>
      <c r="E9392" s="36"/>
      <c r="F9392" s="42"/>
      <c r="G9392" s="42"/>
      <c r="H9392" s="42"/>
      <c r="AG9392" s="19">
        <v>9391</v>
      </c>
      <c r="AH9392" s="20">
        <v>-1313.5373565461543</v>
      </c>
    </row>
    <row r="9393" spans="1:34" ht="14.5" x14ac:dyDescent="0.35">
      <c r="A9393" s="34"/>
      <c r="B9393" s="35"/>
      <c r="C9393" s="36"/>
      <c r="D9393" s="37"/>
      <c r="E9393" s="36"/>
      <c r="F9393" s="42"/>
      <c r="G9393" s="42"/>
      <c r="H9393" s="42"/>
      <c r="AG9393" s="19">
        <v>9392</v>
      </c>
      <c r="AH9393" s="20">
        <v>3529.2925855207659</v>
      </c>
    </row>
    <row r="9394" spans="1:34" ht="14.5" x14ac:dyDescent="0.35">
      <c r="A9394" s="34"/>
      <c r="B9394" s="35"/>
      <c r="C9394" s="36"/>
      <c r="D9394" s="37"/>
      <c r="E9394" s="36"/>
      <c r="F9394" s="42"/>
      <c r="G9394" s="42"/>
      <c r="H9394" s="42"/>
      <c r="AG9394" s="19">
        <v>9393</v>
      </c>
      <c r="AH9394" s="20">
        <v>766.67123036759608</v>
      </c>
    </row>
    <row r="9395" spans="1:34" ht="14.5" x14ac:dyDescent="0.35">
      <c r="A9395" s="34"/>
      <c r="B9395" s="35"/>
      <c r="C9395" s="36"/>
      <c r="D9395" s="37"/>
      <c r="E9395" s="36"/>
      <c r="F9395" s="42"/>
      <c r="G9395" s="42"/>
      <c r="H9395" s="42"/>
      <c r="AG9395" s="19">
        <v>9394</v>
      </c>
      <c r="AH9395" s="20">
        <v>-1785.7846731202401</v>
      </c>
    </row>
    <row r="9396" spans="1:34" ht="14.5" x14ac:dyDescent="0.35">
      <c r="A9396" s="34"/>
      <c r="B9396" s="35"/>
      <c r="C9396" s="36"/>
      <c r="D9396" s="37"/>
      <c r="E9396" s="36"/>
      <c r="F9396" s="42"/>
      <c r="G9396" s="42"/>
      <c r="H9396" s="42"/>
      <c r="AG9396" s="19">
        <v>9395</v>
      </c>
      <c r="AH9396" s="20">
        <v>683.47608784190061</v>
      </c>
    </row>
    <row r="9397" spans="1:34" ht="14.5" x14ac:dyDescent="0.35">
      <c r="A9397" s="34"/>
      <c r="B9397" s="35"/>
      <c r="C9397" s="36"/>
      <c r="D9397" s="37"/>
      <c r="E9397" s="36"/>
      <c r="F9397" s="42"/>
      <c r="G9397" s="42"/>
      <c r="H9397" s="42"/>
      <c r="AG9397" s="19">
        <v>9396</v>
      </c>
      <c r="AH9397" s="20">
        <v>217.91466777399879</v>
      </c>
    </row>
    <row r="9398" spans="1:34" ht="14.5" x14ac:dyDescent="0.35">
      <c r="A9398" s="34"/>
      <c r="B9398" s="35"/>
      <c r="C9398" s="36"/>
      <c r="D9398" s="37"/>
      <c r="E9398" s="36"/>
      <c r="F9398" s="42"/>
      <c r="G9398" s="42"/>
      <c r="H9398" s="42"/>
      <c r="AG9398" s="19">
        <v>9397</v>
      </c>
      <c r="AH9398" s="20">
        <v>136.2975784119464</v>
      </c>
    </row>
    <row r="9399" spans="1:34" ht="14.5" x14ac:dyDescent="0.35">
      <c r="A9399" s="34"/>
      <c r="B9399" s="35"/>
      <c r="C9399" s="36"/>
      <c r="D9399" s="37"/>
      <c r="E9399" s="36"/>
      <c r="F9399" s="42"/>
      <c r="G9399" s="42"/>
      <c r="H9399" s="42"/>
      <c r="AG9399" s="19">
        <v>9398</v>
      </c>
      <c r="AH9399" s="20">
        <v>1137.2809209922223</v>
      </c>
    </row>
    <row r="9400" spans="1:34" ht="14.5" x14ac:dyDescent="0.35">
      <c r="A9400" s="34"/>
      <c r="B9400" s="35"/>
      <c r="C9400" s="36"/>
      <c r="D9400" s="37"/>
      <c r="E9400" s="36"/>
      <c r="F9400" s="42"/>
      <c r="G9400" s="42"/>
      <c r="H9400" s="42"/>
      <c r="AG9400" s="19">
        <v>9399</v>
      </c>
      <c r="AH9400" s="20">
        <v>-2238.6462309202461</v>
      </c>
    </row>
    <row r="9401" spans="1:34" ht="14.5" x14ac:dyDescent="0.35">
      <c r="A9401" s="34"/>
      <c r="B9401" s="35"/>
      <c r="C9401" s="36"/>
      <c r="D9401" s="37"/>
      <c r="E9401" s="36"/>
      <c r="F9401" s="42"/>
      <c r="G9401" s="42"/>
      <c r="H9401" s="42"/>
      <c r="AG9401" s="19">
        <v>9400</v>
      </c>
      <c r="AH9401" s="20">
        <v>389.80582489410972</v>
      </c>
    </row>
    <row r="9402" spans="1:34" ht="14.5" x14ac:dyDescent="0.35">
      <c r="A9402" s="34"/>
      <c r="B9402" s="35"/>
      <c r="C9402" s="36"/>
      <c r="D9402" s="37"/>
      <c r="E9402" s="36"/>
      <c r="F9402" s="42"/>
      <c r="G9402" s="42"/>
      <c r="H9402" s="42"/>
      <c r="AG9402" s="19">
        <v>9401</v>
      </c>
      <c r="AH9402" s="20">
        <v>1054.6897038811978</v>
      </c>
    </row>
    <row r="9403" spans="1:34" ht="14.5" x14ac:dyDescent="0.35">
      <c r="A9403" s="34"/>
      <c r="B9403" s="35"/>
      <c r="C9403" s="36"/>
      <c r="D9403" s="37"/>
      <c r="E9403" s="36"/>
      <c r="F9403" s="42"/>
      <c r="G9403" s="42"/>
      <c r="H9403" s="42"/>
      <c r="AG9403" s="19">
        <v>9402</v>
      </c>
      <c r="AH9403" s="20">
        <v>1425.1641943162449</v>
      </c>
    </row>
    <row r="9404" spans="1:34" ht="14.5" x14ac:dyDescent="0.35">
      <c r="A9404" s="34"/>
      <c r="B9404" s="35"/>
      <c r="C9404" s="36"/>
      <c r="D9404" s="37"/>
      <c r="E9404" s="36"/>
      <c r="F9404" s="42"/>
      <c r="G9404" s="42"/>
      <c r="H9404" s="42"/>
      <c r="AG9404" s="19">
        <v>9403</v>
      </c>
      <c r="AH9404" s="20">
        <v>1406.4513294514186</v>
      </c>
    </row>
    <row r="9405" spans="1:34" ht="14.5" x14ac:dyDescent="0.35">
      <c r="A9405" s="34"/>
      <c r="B9405" s="35"/>
      <c r="C9405" s="36"/>
      <c r="D9405" s="37"/>
      <c r="E9405" s="36"/>
      <c r="F9405" s="42"/>
      <c r="G9405" s="42"/>
      <c r="H9405" s="42"/>
      <c r="AG9405" s="19">
        <v>9404</v>
      </c>
      <c r="AH9405" s="20">
        <v>-867.18559821873441</v>
      </c>
    </row>
    <row r="9406" spans="1:34" ht="14.5" x14ac:dyDescent="0.35">
      <c r="A9406" s="34"/>
      <c r="B9406" s="35"/>
      <c r="C9406" s="36"/>
      <c r="D9406" s="37"/>
      <c r="E9406" s="36"/>
      <c r="F9406" s="42"/>
      <c r="G9406" s="42"/>
      <c r="H9406" s="42"/>
      <c r="AG9406" s="19">
        <v>9405</v>
      </c>
      <c r="AH9406" s="20">
        <v>1290.8143792247452</v>
      </c>
    </row>
    <row r="9407" spans="1:34" ht="14.5" x14ac:dyDescent="0.35">
      <c r="A9407" s="34"/>
      <c r="B9407" s="35"/>
      <c r="C9407" s="36"/>
      <c r="D9407" s="37"/>
      <c r="E9407" s="36"/>
      <c r="F9407" s="42"/>
      <c r="G9407" s="42"/>
      <c r="H9407" s="42"/>
      <c r="AG9407" s="19">
        <v>9406</v>
      </c>
      <c r="AH9407" s="20">
        <v>-436.10021311515226</v>
      </c>
    </row>
    <row r="9408" spans="1:34" ht="14.5" x14ac:dyDescent="0.35">
      <c r="A9408" s="34"/>
      <c r="B9408" s="35"/>
      <c r="C9408" s="36"/>
      <c r="D9408" s="37"/>
      <c r="E9408" s="36"/>
      <c r="F9408" s="42"/>
      <c r="G9408" s="42"/>
      <c r="H9408" s="42"/>
      <c r="AG9408" s="19">
        <v>9407</v>
      </c>
      <c r="AH9408" s="20">
        <v>-3368.7096883253357</v>
      </c>
    </row>
    <row r="9409" spans="1:34" ht="14.5" x14ac:dyDescent="0.35">
      <c r="A9409" s="34"/>
      <c r="B9409" s="35"/>
      <c r="C9409" s="36"/>
      <c r="D9409" s="37"/>
      <c r="E9409" s="36"/>
      <c r="F9409" s="42"/>
      <c r="G9409" s="42"/>
      <c r="H9409" s="42"/>
      <c r="AG9409" s="19">
        <v>9408</v>
      </c>
      <c r="AH9409" s="20">
        <v>159.91305966783179</v>
      </c>
    </row>
    <row r="9410" spans="1:34" ht="14.5" x14ac:dyDescent="0.35">
      <c r="A9410" s="34"/>
      <c r="B9410" s="35"/>
      <c r="C9410" s="36"/>
      <c r="D9410" s="37"/>
      <c r="E9410" s="36"/>
      <c r="F9410" s="42"/>
      <c r="G9410" s="42"/>
      <c r="H9410" s="42"/>
      <c r="AG9410" s="19">
        <v>9409</v>
      </c>
      <c r="AH9410" s="20">
        <v>2015.5663004705827</v>
      </c>
    </row>
    <row r="9411" spans="1:34" ht="14.5" x14ac:dyDescent="0.35">
      <c r="A9411" s="34"/>
      <c r="B9411" s="35"/>
      <c r="C9411" s="36"/>
      <c r="D9411" s="37"/>
      <c r="E9411" s="36"/>
      <c r="F9411" s="42"/>
      <c r="G9411" s="42"/>
      <c r="H9411" s="42"/>
      <c r="AG9411" s="19">
        <v>9410</v>
      </c>
      <c r="AH9411" s="20">
        <v>1150.534243109264</v>
      </c>
    </row>
    <row r="9412" spans="1:34" ht="14.5" x14ac:dyDescent="0.35">
      <c r="A9412" s="34"/>
      <c r="B9412" s="35"/>
      <c r="C9412" s="36"/>
      <c r="D9412" s="37"/>
      <c r="E9412" s="36"/>
      <c r="F9412" s="42"/>
      <c r="G9412" s="42"/>
      <c r="H9412" s="42"/>
      <c r="AG9412" s="19">
        <v>9411</v>
      </c>
      <c r="AH9412" s="20">
        <v>379.6389537657883</v>
      </c>
    </row>
    <row r="9413" spans="1:34" ht="14.5" x14ac:dyDescent="0.35">
      <c r="A9413" s="34"/>
      <c r="B9413" s="35"/>
      <c r="C9413" s="36"/>
      <c r="D9413" s="37"/>
      <c r="E9413" s="36"/>
      <c r="F9413" s="42"/>
      <c r="G9413" s="42"/>
      <c r="H9413" s="42"/>
      <c r="AG9413" s="19">
        <v>9412</v>
      </c>
      <c r="AH9413" s="20">
        <v>-247.47303310082253</v>
      </c>
    </row>
    <row r="9414" spans="1:34" ht="14.5" x14ac:dyDescent="0.35">
      <c r="A9414" s="34"/>
      <c r="B9414" s="35"/>
      <c r="C9414" s="36"/>
      <c r="D9414" s="37"/>
      <c r="E9414" s="36"/>
      <c r="F9414" s="42"/>
      <c r="G9414" s="42"/>
      <c r="H9414" s="42"/>
      <c r="AG9414" s="19">
        <v>9413</v>
      </c>
      <c r="AH9414" s="20">
        <v>245.27724041697996</v>
      </c>
    </row>
    <row r="9415" spans="1:34" ht="14.5" x14ac:dyDescent="0.35">
      <c r="A9415" s="34"/>
      <c r="B9415" s="35"/>
      <c r="C9415" s="36"/>
      <c r="D9415" s="37"/>
      <c r="E9415" s="36"/>
      <c r="F9415" s="42"/>
      <c r="G9415" s="42"/>
      <c r="H9415" s="42"/>
      <c r="AG9415" s="19">
        <v>9414</v>
      </c>
      <c r="AH9415" s="20">
        <v>-1760.9755808381481</v>
      </c>
    </row>
    <row r="9416" spans="1:34" ht="14.5" x14ac:dyDescent="0.35">
      <c r="A9416" s="34"/>
      <c r="B9416" s="35"/>
      <c r="C9416" s="36"/>
      <c r="D9416" s="37"/>
      <c r="E9416" s="36"/>
      <c r="F9416" s="42"/>
      <c r="G9416" s="42"/>
      <c r="H9416" s="42"/>
      <c r="AG9416" s="19">
        <v>9415</v>
      </c>
      <c r="AH9416" s="20">
        <v>-201.75319686709685</v>
      </c>
    </row>
    <row r="9417" spans="1:34" ht="14.5" x14ac:dyDescent="0.35">
      <c r="A9417" s="34"/>
      <c r="B9417" s="35"/>
      <c r="C9417" s="36"/>
      <c r="D9417" s="37"/>
      <c r="E9417" s="36"/>
      <c r="F9417" s="42"/>
      <c r="G9417" s="42"/>
      <c r="H9417" s="42"/>
      <c r="AG9417" s="19">
        <v>9416</v>
      </c>
      <c r="AH9417" s="20">
        <v>-282.2531196183084</v>
      </c>
    </row>
    <row r="9418" spans="1:34" ht="14.5" x14ac:dyDescent="0.35">
      <c r="A9418" s="34"/>
      <c r="B9418" s="35"/>
      <c r="C9418" s="36"/>
      <c r="D9418" s="37"/>
      <c r="E9418" s="36"/>
      <c r="F9418" s="42"/>
      <c r="G9418" s="42"/>
      <c r="H9418" s="42"/>
      <c r="AG9418" s="19">
        <v>9417</v>
      </c>
      <c r="AH9418" s="20">
        <v>-2364.885881703543</v>
      </c>
    </row>
    <row r="9419" spans="1:34" ht="14.5" x14ac:dyDescent="0.35">
      <c r="A9419" s="34"/>
      <c r="B9419" s="35"/>
      <c r="C9419" s="36"/>
      <c r="D9419" s="37"/>
      <c r="E9419" s="36"/>
      <c r="F9419" s="42"/>
      <c r="G9419" s="42"/>
      <c r="H9419" s="42"/>
      <c r="AG9419" s="19">
        <v>9418</v>
      </c>
      <c r="AH9419" s="20">
        <v>-1685.8310986663162</v>
      </c>
    </row>
    <row r="9420" spans="1:34" ht="14.5" x14ac:dyDescent="0.35">
      <c r="A9420" s="34"/>
      <c r="B9420" s="35"/>
      <c r="C9420" s="36"/>
      <c r="D9420" s="37"/>
      <c r="E9420" s="36"/>
      <c r="F9420" s="42"/>
      <c r="G9420" s="42"/>
      <c r="H9420" s="42"/>
      <c r="AG9420" s="19">
        <v>9419</v>
      </c>
      <c r="AH9420" s="20">
        <v>1385.1577320279762</v>
      </c>
    </row>
    <row r="9421" spans="1:34" ht="14.5" x14ac:dyDescent="0.35">
      <c r="A9421" s="34"/>
      <c r="B9421" s="35"/>
      <c r="C9421" s="36"/>
      <c r="D9421" s="37"/>
      <c r="E9421" s="36"/>
      <c r="F9421" s="42"/>
      <c r="G9421" s="42"/>
      <c r="H9421" s="42"/>
      <c r="AG9421" s="19">
        <v>9420</v>
      </c>
      <c r="AH9421" s="20">
        <v>-949.51834202070745</v>
      </c>
    </row>
    <row r="9422" spans="1:34" ht="14.5" x14ac:dyDescent="0.35">
      <c r="A9422" s="34"/>
      <c r="B9422" s="35"/>
      <c r="C9422" s="36"/>
      <c r="D9422" s="37"/>
      <c r="E9422" s="36"/>
      <c r="F9422" s="42"/>
      <c r="G9422" s="42"/>
      <c r="H9422" s="42"/>
      <c r="AG9422" s="19">
        <v>9421</v>
      </c>
      <c r="AH9422" s="20">
        <v>3324.7538544570257</v>
      </c>
    </row>
    <row r="9423" spans="1:34" ht="14.5" x14ac:dyDescent="0.35">
      <c r="A9423" s="34"/>
      <c r="B9423" s="35"/>
      <c r="C9423" s="36"/>
      <c r="D9423" s="37"/>
      <c r="E9423" s="36"/>
      <c r="F9423" s="42"/>
      <c r="G9423" s="42"/>
      <c r="H9423" s="42"/>
      <c r="AG9423" s="19">
        <v>9422</v>
      </c>
      <c r="AH9423" s="20">
        <v>138.11163972964113</v>
      </c>
    </row>
    <row r="9424" spans="1:34" ht="14.5" x14ac:dyDescent="0.35">
      <c r="A9424" s="34"/>
      <c r="B9424" s="35"/>
      <c r="C9424" s="36"/>
      <c r="D9424" s="37"/>
      <c r="E9424" s="36"/>
      <c r="F9424" s="42"/>
      <c r="G9424" s="42"/>
      <c r="H9424" s="42"/>
      <c r="AG9424" s="19">
        <v>9423</v>
      </c>
      <c r="AH9424" s="20">
        <v>3833.6386999308938</v>
      </c>
    </row>
    <row r="9425" spans="1:34" ht="14.5" x14ac:dyDescent="0.35">
      <c r="A9425" s="34"/>
      <c r="B9425" s="35"/>
      <c r="C9425" s="36"/>
      <c r="D9425" s="37"/>
      <c r="E9425" s="36"/>
      <c r="F9425" s="42"/>
      <c r="G9425" s="42"/>
      <c r="H9425" s="42"/>
      <c r="AG9425" s="19">
        <v>9424</v>
      </c>
      <c r="AH9425" s="20">
        <v>2872.3081263837321</v>
      </c>
    </row>
    <row r="9426" spans="1:34" ht="14.5" x14ac:dyDescent="0.35">
      <c r="A9426" s="34"/>
      <c r="B9426" s="35"/>
      <c r="C9426" s="36"/>
      <c r="D9426" s="37"/>
      <c r="E9426" s="36"/>
      <c r="F9426" s="42"/>
      <c r="G9426" s="42"/>
      <c r="H9426" s="42"/>
      <c r="AG9426" s="19">
        <v>9425</v>
      </c>
      <c r="AH9426" s="20">
        <v>1704.4744156684358</v>
      </c>
    </row>
    <row r="9427" spans="1:34" ht="14.5" x14ac:dyDescent="0.35">
      <c r="A9427" s="34"/>
      <c r="B9427" s="35"/>
      <c r="C9427" s="36"/>
      <c r="D9427" s="37"/>
      <c r="E9427" s="36"/>
      <c r="F9427" s="42"/>
      <c r="G9427" s="42"/>
      <c r="H9427" s="42"/>
      <c r="AG9427" s="19">
        <v>9426</v>
      </c>
      <c r="AH9427" s="20">
        <v>2856.7548486237247</v>
      </c>
    </row>
    <row r="9428" spans="1:34" ht="14.5" x14ac:dyDescent="0.35">
      <c r="A9428" s="34"/>
      <c r="B9428" s="35"/>
      <c r="C9428" s="36"/>
      <c r="D9428" s="37"/>
      <c r="E9428" s="36"/>
      <c r="F9428" s="42"/>
      <c r="G9428" s="42"/>
      <c r="H9428" s="42"/>
      <c r="AG9428" s="19">
        <v>9427</v>
      </c>
      <c r="AH9428" s="20">
        <v>813.6207745327381</v>
      </c>
    </row>
    <row r="9429" spans="1:34" ht="14.5" x14ac:dyDescent="0.35">
      <c r="A9429" s="34"/>
      <c r="B9429" s="35"/>
      <c r="C9429" s="36"/>
      <c r="D9429" s="37"/>
      <c r="E9429" s="36"/>
      <c r="F9429" s="42"/>
      <c r="G9429" s="42"/>
      <c r="H9429" s="42"/>
      <c r="AG9429" s="19">
        <v>9428</v>
      </c>
      <c r="AH9429" s="20">
        <v>1408.6418990147822</v>
      </c>
    </row>
    <row r="9430" spans="1:34" ht="14.5" x14ac:dyDescent="0.35">
      <c r="A9430" s="34"/>
      <c r="B9430" s="35"/>
      <c r="C9430" s="36"/>
      <c r="D9430" s="37"/>
      <c r="E9430" s="36"/>
      <c r="F9430" s="42"/>
      <c r="G9430" s="42"/>
      <c r="H9430" s="42"/>
      <c r="AG9430" s="19">
        <v>9429</v>
      </c>
      <c r="AH9430" s="20">
        <v>279.33967172721185</v>
      </c>
    </row>
    <row r="9431" spans="1:34" ht="14.5" x14ac:dyDescent="0.35">
      <c r="A9431" s="34"/>
      <c r="B9431" s="35"/>
      <c r="C9431" s="36"/>
      <c r="D9431" s="37"/>
      <c r="E9431" s="36"/>
      <c r="F9431" s="42"/>
      <c r="G9431" s="42"/>
      <c r="H9431" s="42"/>
      <c r="AG9431" s="19">
        <v>9430</v>
      </c>
      <c r="AH9431" s="20">
        <v>524.0383637023416</v>
      </c>
    </row>
    <row r="9432" spans="1:34" ht="14.5" x14ac:dyDescent="0.35">
      <c r="A9432" s="34"/>
      <c r="B9432" s="35"/>
      <c r="C9432" s="36"/>
      <c r="D9432" s="37"/>
      <c r="E9432" s="36"/>
      <c r="F9432" s="42"/>
      <c r="G9432" s="42"/>
      <c r="H9432" s="42"/>
      <c r="AG9432" s="19">
        <v>9431</v>
      </c>
      <c r="AH9432" s="20">
        <v>833.35046801724434</v>
      </c>
    </row>
    <row r="9433" spans="1:34" ht="14.5" x14ac:dyDescent="0.35">
      <c r="A9433" s="34"/>
      <c r="B9433" s="35"/>
      <c r="C9433" s="36"/>
      <c r="D9433" s="37"/>
      <c r="E9433" s="36"/>
      <c r="F9433" s="42"/>
      <c r="G9433" s="42"/>
      <c r="H9433" s="42"/>
      <c r="AG9433" s="19">
        <v>9432</v>
      </c>
      <c r="AH9433" s="20">
        <v>2276.1213116004997</v>
      </c>
    </row>
    <row r="9434" spans="1:34" ht="14.5" x14ac:dyDescent="0.35">
      <c r="A9434" s="34"/>
      <c r="B9434" s="35"/>
      <c r="C9434" s="36"/>
      <c r="D9434" s="37"/>
      <c r="E9434" s="36"/>
      <c r="F9434" s="42"/>
      <c r="G9434" s="42"/>
      <c r="H9434" s="42"/>
      <c r="AG9434" s="19">
        <v>9433</v>
      </c>
      <c r="AH9434" s="20">
        <v>-1238.5703053979125</v>
      </c>
    </row>
    <row r="9435" spans="1:34" ht="14.5" x14ac:dyDescent="0.35">
      <c r="A9435" s="34"/>
      <c r="B9435" s="35"/>
      <c r="C9435" s="36"/>
      <c r="D9435" s="37"/>
      <c r="E9435" s="36"/>
      <c r="F9435" s="42"/>
      <c r="G9435" s="42"/>
      <c r="H9435" s="42"/>
      <c r="AG9435" s="19">
        <v>9434</v>
      </c>
      <c r="AH9435" s="20">
        <v>288.37879936188807</v>
      </c>
    </row>
    <row r="9436" spans="1:34" ht="14.5" x14ac:dyDescent="0.35">
      <c r="A9436" s="34"/>
      <c r="B9436" s="35"/>
      <c r="C9436" s="36"/>
      <c r="D9436" s="37"/>
      <c r="E9436" s="36"/>
      <c r="F9436" s="42"/>
      <c r="G9436" s="42"/>
      <c r="H9436" s="42"/>
      <c r="AG9436" s="19">
        <v>9435</v>
      </c>
      <c r="AH9436" s="20">
        <v>3457.5798209736909</v>
      </c>
    </row>
    <row r="9437" spans="1:34" ht="14.5" x14ac:dyDescent="0.35">
      <c r="A9437" s="34"/>
      <c r="B9437" s="35"/>
      <c r="C9437" s="36"/>
      <c r="D9437" s="37"/>
      <c r="E9437" s="36"/>
      <c r="F9437" s="42"/>
      <c r="G9437" s="42"/>
      <c r="H9437" s="42"/>
      <c r="AG9437" s="19">
        <v>9436</v>
      </c>
      <c r="AH9437" s="20">
        <v>-1335.8719072834044</v>
      </c>
    </row>
    <row r="9438" spans="1:34" ht="14.5" x14ac:dyDescent="0.35">
      <c r="A9438" s="34"/>
      <c r="B9438" s="35"/>
      <c r="C9438" s="36"/>
      <c r="D9438" s="37"/>
      <c r="E9438" s="36"/>
      <c r="F9438" s="42"/>
      <c r="G9438" s="42"/>
      <c r="H9438" s="42"/>
      <c r="AG9438" s="19">
        <v>9437</v>
      </c>
      <c r="AH9438" s="20">
        <v>-2709.0817156964818</v>
      </c>
    </row>
    <row r="9439" spans="1:34" ht="14.5" x14ac:dyDescent="0.35">
      <c r="A9439" s="34"/>
      <c r="B9439" s="35"/>
      <c r="C9439" s="36"/>
      <c r="D9439" s="37"/>
      <c r="E9439" s="36"/>
      <c r="F9439" s="42"/>
      <c r="G9439" s="42"/>
      <c r="H9439" s="42"/>
      <c r="AG9439" s="19">
        <v>9438</v>
      </c>
      <c r="AH9439" s="20">
        <v>1225.1976779575484</v>
      </c>
    </row>
    <row r="9440" spans="1:34" ht="14.5" x14ac:dyDescent="0.35">
      <c r="A9440" s="34"/>
      <c r="B9440" s="35"/>
      <c r="C9440" s="36"/>
      <c r="D9440" s="37"/>
      <c r="E9440" s="36"/>
      <c r="F9440" s="42"/>
      <c r="G9440" s="42"/>
      <c r="H9440" s="42"/>
      <c r="AG9440" s="19">
        <v>9439</v>
      </c>
      <c r="AH9440" s="20">
        <v>-152.91982188472349</v>
      </c>
    </row>
    <row r="9441" spans="1:34" ht="14.5" x14ac:dyDescent="0.35">
      <c r="A9441" s="34"/>
      <c r="B9441" s="35"/>
      <c r="C9441" s="36"/>
      <c r="D9441" s="37"/>
      <c r="E9441" s="36"/>
      <c r="F9441" s="42"/>
      <c r="G9441" s="42"/>
      <c r="H9441" s="42"/>
      <c r="AG9441" s="19">
        <v>9440</v>
      </c>
      <c r="AH9441" s="20">
        <v>-3762.5558077478663</v>
      </c>
    </row>
    <row r="9442" spans="1:34" ht="14.5" x14ac:dyDescent="0.35">
      <c r="A9442" s="34"/>
      <c r="B9442" s="35"/>
      <c r="C9442" s="36"/>
      <c r="D9442" s="37"/>
      <c r="E9442" s="36"/>
      <c r="F9442" s="42"/>
      <c r="G9442" s="42"/>
      <c r="H9442" s="42"/>
      <c r="AG9442" s="19">
        <v>9441</v>
      </c>
      <c r="AH9442" s="20">
        <v>367.58059696993365</v>
      </c>
    </row>
    <row r="9443" spans="1:34" ht="14.5" x14ac:dyDescent="0.35">
      <c r="A9443" s="34"/>
      <c r="B9443" s="35"/>
      <c r="C9443" s="36"/>
      <c r="D9443" s="37"/>
      <c r="E9443" s="36"/>
      <c r="F9443" s="42"/>
      <c r="G9443" s="42"/>
      <c r="H9443" s="42"/>
      <c r="AG9443" s="19">
        <v>9442</v>
      </c>
      <c r="AH9443" s="20">
        <v>2920.8264808613962</v>
      </c>
    </row>
    <row r="9444" spans="1:34" ht="14.5" x14ac:dyDescent="0.35">
      <c r="A9444" s="34"/>
      <c r="B9444" s="35"/>
      <c r="C9444" s="36"/>
      <c r="D9444" s="37"/>
      <c r="E9444" s="36"/>
      <c r="F9444" s="42"/>
      <c r="G9444" s="42"/>
      <c r="H9444" s="42"/>
      <c r="AG9444" s="19">
        <v>9443</v>
      </c>
      <c r="AH9444" s="20">
        <v>-1189.5669277426932</v>
      </c>
    </row>
    <row r="9445" spans="1:34" ht="14.5" x14ac:dyDescent="0.35">
      <c r="A9445" s="34"/>
      <c r="B9445" s="35"/>
      <c r="C9445" s="36"/>
      <c r="D9445" s="37"/>
      <c r="E9445" s="36"/>
      <c r="F9445" s="42"/>
      <c r="G9445" s="42"/>
      <c r="H9445" s="42"/>
      <c r="AG9445" s="19">
        <v>9444</v>
      </c>
      <c r="AH9445" s="20">
        <v>681.5405383980692</v>
      </c>
    </row>
    <row r="9446" spans="1:34" ht="14.5" x14ac:dyDescent="0.35">
      <c r="A9446" s="34"/>
      <c r="B9446" s="35"/>
      <c r="C9446" s="36"/>
      <c r="D9446" s="37"/>
      <c r="E9446" s="36"/>
      <c r="F9446" s="42"/>
      <c r="G9446" s="42"/>
      <c r="H9446" s="42"/>
      <c r="AG9446" s="19">
        <v>9445</v>
      </c>
      <c r="AH9446" s="20">
        <v>890.18586951896805</v>
      </c>
    </row>
    <row r="9447" spans="1:34" ht="14.5" x14ac:dyDescent="0.35">
      <c r="A9447" s="34"/>
      <c r="B9447" s="35"/>
      <c r="C9447" s="36"/>
      <c r="D9447" s="37"/>
      <c r="E9447" s="36"/>
      <c r="F9447" s="42"/>
      <c r="G9447" s="42"/>
      <c r="H9447" s="42"/>
      <c r="AG9447" s="19">
        <v>9446</v>
      </c>
      <c r="AH9447" s="20">
        <v>-2525.2934239678148</v>
      </c>
    </row>
    <row r="9448" spans="1:34" ht="14.5" x14ac:dyDescent="0.35">
      <c r="A9448" s="34"/>
      <c r="B9448" s="35"/>
      <c r="C9448" s="36"/>
      <c r="D9448" s="37"/>
      <c r="E9448" s="36"/>
      <c r="F9448" s="42"/>
      <c r="G9448" s="42"/>
      <c r="H9448" s="42"/>
      <c r="AG9448" s="19">
        <v>9447</v>
      </c>
      <c r="AH9448" s="20">
        <v>3102.4721581144581</v>
      </c>
    </row>
    <row r="9449" spans="1:34" ht="14.5" x14ac:dyDescent="0.35">
      <c r="A9449" s="34"/>
      <c r="B9449" s="35"/>
      <c r="C9449" s="36"/>
      <c r="D9449" s="37"/>
      <c r="E9449" s="36"/>
      <c r="F9449" s="42"/>
      <c r="G9449" s="42"/>
      <c r="H9449" s="42"/>
      <c r="AG9449" s="19">
        <v>9448</v>
      </c>
      <c r="AH9449" s="20">
        <v>-1533.56447626974</v>
      </c>
    </row>
    <row r="9450" spans="1:34" ht="14.5" x14ac:dyDescent="0.35">
      <c r="A9450" s="34"/>
      <c r="B9450" s="35"/>
      <c r="C9450" s="36"/>
      <c r="D9450" s="37"/>
      <c r="E9450" s="36"/>
      <c r="F9450" s="42"/>
      <c r="G9450" s="42"/>
      <c r="H9450" s="42"/>
      <c r="AG9450" s="19">
        <v>9449</v>
      </c>
      <c r="AH9450" s="20">
        <v>2270.3692816010148</v>
      </c>
    </row>
    <row r="9451" spans="1:34" ht="14.5" x14ac:dyDescent="0.35">
      <c r="A9451" s="34"/>
      <c r="B9451" s="35"/>
      <c r="C9451" s="36"/>
      <c r="D9451" s="37"/>
      <c r="E9451" s="36"/>
      <c r="F9451" s="42"/>
      <c r="G9451" s="42"/>
      <c r="H9451" s="42"/>
      <c r="AG9451" s="19">
        <v>9450</v>
      </c>
      <c r="AH9451" s="20">
        <v>1974.6597527422311</v>
      </c>
    </row>
    <row r="9452" spans="1:34" ht="14.5" x14ac:dyDescent="0.35">
      <c r="A9452" s="34"/>
      <c r="B9452" s="35"/>
      <c r="C9452" s="36"/>
      <c r="D9452" s="37"/>
      <c r="E9452" s="36"/>
      <c r="F9452" s="42"/>
      <c r="G9452" s="42"/>
      <c r="H9452" s="42"/>
      <c r="AG9452" s="19">
        <v>9451</v>
      </c>
      <c r="AH9452" s="20">
        <v>-167.3511480960039</v>
      </c>
    </row>
    <row r="9453" spans="1:34" ht="14.5" x14ac:dyDescent="0.35">
      <c r="A9453" s="34"/>
      <c r="B9453" s="35"/>
      <c r="C9453" s="36"/>
      <c r="D9453" s="37"/>
      <c r="E9453" s="36"/>
      <c r="F9453" s="42"/>
      <c r="G9453" s="42"/>
      <c r="H9453" s="42"/>
      <c r="AG9453" s="19">
        <v>9452</v>
      </c>
      <c r="AH9453" s="20">
        <v>347.03034798489728</v>
      </c>
    </row>
    <row r="9454" spans="1:34" ht="14.5" x14ac:dyDescent="0.35">
      <c r="A9454" s="34"/>
      <c r="B9454" s="35"/>
      <c r="C9454" s="36"/>
      <c r="D9454" s="37"/>
      <c r="E9454" s="36"/>
      <c r="F9454" s="42"/>
      <c r="G9454" s="42"/>
      <c r="H9454" s="42"/>
      <c r="AG9454" s="19">
        <v>9453</v>
      </c>
      <c r="AH9454" s="20">
        <v>79.67931434433342</v>
      </c>
    </row>
    <row r="9455" spans="1:34" ht="14.5" x14ac:dyDescent="0.35">
      <c r="A9455" s="34"/>
      <c r="B9455" s="35"/>
      <c r="C9455" s="36"/>
      <c r="D9455" s="37"/>
      <c r="E9455" s="36"/>
      <c r="F9455" s="42"/>
      <c r="G9455" s="42"/>
      <c r="H9455" s="42"/>
      <c r="AG9455" s="19">
        <v>9454</v>
      </c>
      <c r="AH9455" s="20">
        <v>-3914.1038527489754</v>
      </c>
    </row>
    <row r="9456" spans="1:34" ht="14.5" x14ac:dyDescent="0.35">
      <c r="A9456" s="34"/>
      <c r="B9456" s="35"/>
      <c r="C9456" s="36"/>
      <c r="D9456" s="37"/>
      <c r="E9456" s="36"/>
      <c r="F9456" s="42"/>
      <c r="G9456" s="42"/>
      <c r="H9456" s="42"/>
      <c r="AG9456" s="19">
        <v>9455</v>
      </c>
      <c r="AH9456" s="20">
        <v>-1592.2802254430176</v>
      </c>
    </row>
    <row r="9457" spans="1:34" ht="14.5" x14ac:dyDescent="0.35">
      <c r="A9457" s="34"/>
      <c r="B9457" s="35"/>
      <c r="C9457" s="36"/>
      <c r="D9457" s="37"/>
      <c r="E9457" s="36"/>
      <c r="F9457" s="42"/>
      <c r="G9457" s="42"/>
      <c r="H9457" s="42"/>
      <c r="AG9457" s="19">
        <v>9456</v>
      </c>
      <c r="AH9457" s="20">
        <v>48.132804144132649</v>
      </c>
    </row>
    <row r="9458" spans="1:34" ht="14.5" x14ac:dyDescent="0.35">
      <c r="A9458" s="34"/>
      <c r="B9458" s="35"/>
      <c r="C9458" s="36"/>
      <c r="D9458" s="37"/>
      <c r="E9458" s="36"/>
      <c r="F9458" s="42"/>
      <c r="G9458" s="42"/>
      <c r="H9458" s="42"/>
      <c r="AG9458" s="19">
        <v>9457</v>
      </c>
      <c r="AH9458" s="20">
        <v>-523.6968276611226</v>
      </c>
    </row>
    <row r="9459" spans="1:34" ht="14.5" x14ac:dyDescent="0.35">
      <c r="A9459" s="34"/>
      <c r="B9459" s="35"/>
      <c r="C9459" s="36"/>
      <c r="D9459" s="37"/>
      <c r="E9459" s="36"/>
      <c r="F9459" s="42"/>
      <c r="G9459" s="42"/>
      <c r="H9459" s="42"/>
      <c r="AG9459" s="19">
        <v>9458</v>
      </c>
      <c r="AH9459" s="20">
        <v>1506.764057458864</v>
      </c>
    </row>
    <row r="9460" spans="1:34" ht="14.5" x14ac:dyDescent="0.35">
      <c r="A9460" s="34"/>
      <c r="B9460" s="35"/>
      <c r="C9460" s="36"/>
      <c r="D9460" s="37"/>
      <c r="E9460" s="36"/>
      <c r="F9460" s="42"/>
      <c r="G9460" s="42"/>
      <c r="H9460" s="42"/>
      <c r="AG9460" s="19">
        <v>9459</v>
      </c>
      <c r="AH9460" s="20">
        <v>1137.8134909733656</v>
      </c>
    </row>
    <row r="9461" spans="1:34" ht="14.5" x14ac:dyDescent="0.35">
      <c r="A9461" s="34"/>
      <c r="B9461" s="35"/>
      <c r="C9461" s="36"/>
      <c r="D9461" s="37"/>
      <c r="E9461" s="36"/>
      <c r="F9461" s="42"/>
      <c r="G9461" s="42"/>
      <c r="H9461" s="42"/>
      <c r="AG9461" s="19">
        <v>9460</v>
      </c>
      <c r="AH9461" s="20">
        <v>687.02005764376122</v>
      </c>
    </row>
    <row r="9462" spans="1:34" ht="14.5" x14ac:dyDescent="0.35">
      <c r="A9462" s="34"/>
      <c r="B9462" s="35"/>
      <c r="C9462" s="36"/>
      <c r="D9462" s="37"/>
      <c r="E9462" s="36"/>
      <c r="F9462" s="42"/>
      <c r="G9462" s="42"/>
      <c r="H9462" s="42"/>
      <c r="AG9462" s="19">
        <v>9461</v>
      </c>
      <c r="AH9462" s="20">
        <v>1240.5173151782969</v>
      </c>
    </row>
    <row r="9463" spans="1:34" ht="14.5" x14ac:dyDescent="0.35">
      <c r="A9463" s="34"/>
      <c r="B9463" s="35"/>
      <c r="C9463" s="36"/>
      <c r="D9463" s="37"/>
      <c r="E9463" s="36"/>
      <c r="F9463" s="42"/>
      <c r="G9463" s="42"/>
      <c r="H9463" s="42"/>
      <c r="AG9463" s="19">
        <v>9462</v>
      </c>
      <c r="AH9463" s="20">
        <v>2042.1172467920176</v>
      </c>
    </row>
    <row r="9464" spans="1:34" ht="14.5" x14ac:dyDescent="0.35">
      <c r="A9464" s="34"/>
      <c r="B9464" s="35"/>
      <c r="C9464" s="36"/>
      <c r="D9464" s="37"/>
      <c r="E9464" s="36"/>
      <c r="F9464" s="42"/>
      <c r="G9464" s="42"/>
      <c r="H9464" s="42"/>
      <c r="AG9464" s="19">
        <v>9463</v>
      </c>
      <c r="AH9464" s="20">
        <v>1560.2121670621148</v>
      </c>
    </row>
    <row r="9465" spans="1:34" ht="14.5" x14ac:dyDescent="0.35">
      <c r="A9465" s="34"/>
      <c r="B9465" s="35"/>
      <c r="C9465" s="36"/>
      <c r="D9465" s="37"/>
      <c r="E9465" s="36"/>
      <c r="F9465" s="42"/>
      <c r="G9465" s="42"/>
      <c r="H9465" s="42"/>
      <c r="AG9465" s="19">
        <v>9464</v>
      </c>
      <c r="AH9465" s="20">
        <v>2461.3663177231078</v>
      </c>
    </row>
    <row r="9466" spans="1:34" ht="14.5" x14ac:dyDescent="0.35">
      <c r="A9466" s="34"/>
      <c r="B9466" s="35"/>
      <c r="C9466" s="36"/>
      <c r="D9466" s="37"/>
      <c r="E9466" s="36"/>
      <c r="F9466" s="42"/>
      <c r="G9466" s="42"/>
      <c r="H9466" s="42"/>
      <c r="AG9466" s="19">
        <v>9465</v>
      </c>
      <c r="AH9466" s="20">
        <v>3651.0884298350343</v>
      </c>
    </row>
    <row r="9467" spans="1:34" ht="14.5" x14ac:dyDescent="0.35">
      <c r="A9467" s="34"/>
      <c r="B9467" s="35"/>
      <c r="C9467" s="36"/>
      <c r="D9467" s="37"/>
      <c r="E9467" s="36"/>
      <c r="F9467" s="42"/>
      <c r="G9467" s="42"/>
      <c r="H9467" s="42"/>
      <c r="AG9467" s="19">
        <v>9466</v>
      </c>
      <c r="AH9467" s="20">
        <v>-829.45069480998882</v>
      </c>
    </row>
    <row r="9468" spans="1:34" ht="14.5" x14ac:dyDescent="0.35">
      <c r="A9468" s="34"/>
      <c r="B9468" s="35"/>
      <c r="C9468" s="36"/>
      <c r="D9468" s="37"/>
      <c r="E9468" s="36"/>
      <c r="F9468" s="42"/>
      <c r="G9468" s="42"/>
      <c r="H9468" s="42"/>
      <c r="AG9468" s="19">
        <v>9467</v>
      </c>
      <c r="AH9468" s="20">
        <v>-1668.521745889672</v>
      </c>
    </row>
    <row r="9469" spans="1:34" ht="14.5" x14ac:dyDescent="0.35">
      <c r="A9469" s="34"/>
      <c r="B9469" s="35"/>
      <c r="C9469" s="36"/>
      <c r="D9469" s="37"/>
      <c r="E9469" s="36"/>
      <c r="F9469" s="42"/>
      <c r="G9469" s="42"/>
      <c r="H9469" s="42"/>
      <c r="AG9469" s="19">
        <v>9468</v>
      </c>
      <c r="AH9469" s="20">
        <v>-2537.2419166736872</v>
      </c>
    </row>
    <row r="9470" spans="1:34" ht="14.5" x14ac:dyDescent="0.35">
      <c r="A9470" s="34"/>
      <c r="B9470" s="35"/>
      <c r="C9470" s="36"/>
      <c r="D9470" s="37"/>
      <c r="E9470" s="36"/>
      <c r="F9470" s="42"/>
      <c r="G9470" s="42"/>
      <c r="H9470" s="42"/>
      <c r="AG9470" s="19">
        <v>9469</v>
      </c>
      <c r="AH9470" s="20">
        <v>1171.2712382527798</v>
      </c>
    </row>
    <row r="9471" spans="1:34" ht="14.5" x14ac:dyDescent="0.35">
      <c r="A9471" s="34"/>
      <c r="B9471" s="35"/>
      <c r="C9471" s="36"/>
      <c r="D9471" s="37"/>
      <c r="E9471" s="36"/>
      <c r="F9471" s="42"/>
      <c r="G9471" s="42"/>
      <c r="H9471" s="42"/>
      <c r="AG9471" s="19">
        <v>9470</v>
      </c>
      <c r="AH9471" s="20">
        <v>-130.06750212198205</v>
      </c>
    </row>
    <row r="9472" spans="1:34" ht="14.5" x14ac:dyDescent="0.35">
      <c r="A9472" s="34"/>
      <c r="B9472" s="35"/>
      <c r="C9472" s="36"/>
      <c r="D9472" s="37"/>
      <c r="E9472" s="36"/>
      <c r="F9472" s="42"/>
      <c r="G9472" s="42"/>
      <c r="H9472" s="42"/>
      <c r="AG9472" s="19">
        <v>9471</v>
      </c>
      <c r="AH9472" s="20">
        <v>1152.4135365458367</v>
      </c>
    </row>
    <row r="9473" spans="1:34" ht="14.5" x14ac:dyDescent="0.35">
      <c r="A9473" s="34"/>
      <c r="B9473" s="35"/>
      <c r="C9473" s="36"/>
      <c r="D9473" s="37"/>
      <c r="E9473" s="36"/>
      <c r="F9473" s="42"/>
      <c r="G9473" s="42"/>
      <c r="H9473" s="42"/>
      <c r="AG9473" s="19">
        <v>9472</v>
      </c>
      <c r="AH9473" s="20">
        <v>-427.72191485137972</v>
      </c>
    </row>
    <row r="9474" spans="1:34" ht="14.5" x14ac:dyDescent="0.35">
      <c r="A9474" s="34"/>
      <c r="B9474" s="35"/>
      <c r="C9474" s="36"/>
      <c r="D9474" s="37"/>
      <c r="E9474" s="36"/>
      <c r="F9474" s="42"/>
      <c r="G9474" s="42"/>
      <c r="H9474" s="42"/>
      <c r="AG9474" s="19">
        <v>9473</v>
      </c>
      <c r="AH9474" s="20">
        <v>-1861.5535617569606</v>
      </c>
    </row>
    <row r="9475" spans="1:34" ht="14.5" x14ac:dyDescent="0.35">
      <c r="A9475" s="34"/>
      <c r="B9475" s="35"/>
      <c r="C9475" s="36"/>
      <c r="D9475" s="37"/>
      <c r="E9475" s="36"/>
      <c r="F9475" s="42"/>
      <c r="G9475" s="42"/>
      <c r="H9475" s="42"/>
      <c r="AG9475" s="19">
        <v>9474</v>
      </c>
      <c r="AH9475" s="20">
        <v>-577.71064094781377</v>
      </c>
    </row>
    <row r="9476" spans="1:34" ht="14.5" x14ac:dyDescent="0.35">
      <c r="A9476" s="34"/>
      <c r="B9476" s="35"/>
      <c r="C9476" s="36"/>
      <c r="D9476" s="37"/>
      <c r="E9476" s="36"/>
      <c r="F9476" s="42"/>
      <c r="G9476" s="42"/>
      <c r="H9476" s="42"/>
      <c r="AG9476" s="19">
        <v>9475</v>
      </c>
      <c r="AH9476" s="20">
        <v>-1040.9092399466836</v>
      </c>
    </row>
    <row r="9477" spans="1:34" ht="14.5" x14ac:dyDescent="0.35">
      <c r="A9477" s="34"/>
      <c r="B9477" s="35"/>
      <c r="C9477" s="36"/>
      <c r="D9477" s="37"/>
      <c r="E9477" s="36"/>
      <c r="F9477" s="42"/>
      <c r="G9477" s="42"/>
      <c r="H9477" s="42"/>
      <c r="AG9477" s="19">
        <v>9476</v>
      </c>
      <c r="AH9477" s="20">
        <v>324.52360448756968</v>
      </c>
    </row>
    <row r="9478" spans="1:34" ht="14.5" x14ac:dyDescent="0.35">
      <c r="A9478" s="34"/>
      <c r="B9478" s="35"/>
      <c r="C9478" s="36"/>
      <c r="D9478" s="37"/>
      <c r="E9478" s="36"/>
      <c r="F9478" s="42"/>
      <c r="G9478" s="42"/>
      <c r="H9478" s="42"/>
      <c r="AG9478" s="19">
        <v>9477</v>
      </c>
      <c r="AH9478" s="20">
        <v>3275.38401270041</v>
      </c>
    </row>
    <row r="9479" spans="1:34" ht="14.5" x14ac:dyDescent="0.35">
      <c r="A9479" s="34"/>
      <c r="B9479" s="35"/>
      <c r="C9479" s="36"/>
      <c r="D9479" s="37"/>
      <c r="E9479" s="36"/>
      <c r="F9479" s="42"/>
      <c r="G9479" s="42"/>
      <c r="H9479" s="42"/>
      <c r="AG9479" s="19">
        <v>9478</v>
      </c>
      <c r="AH9479" s="20">
        <v>591.93454235824913</v>
      </c>
    </row>
    <row r="9480" spans="1:34" ht="14.5" x14ac:dyDescent="0.35">
      <c r="A9480" s="34"/>
      <c r="B9480" s="35"/>
      <c r="C9480" s="36"/>
      <c r="D9480" s="37"/>
      <c r="E9480" s="36"/>
      <c r="F9480" s="42"/>
      <c r="G9480" s="42"/>
      <c r="H9480" s="42"/>
      <c r="AG9480" s="19">
        <v>9479</v>
      </c>
      <c r="AH9480" s="20">
        <v>1064.7985148447979</v>
      </c>
    </row>
    <row r="9481" spans="1:34" ht="14.5" x14ac:dyDescent="0.35">
      <c r="A9481" s="34"/>
      <c r="B9481" s="35"/>
      <c r="C9481" s="36"/>
      <c r="D9481" s="37"/>
      <c r="E9481" s="36"/>
      <c r="F9481" s="42"/>
      <c r="G9481" s="42"/>
      <c r="H9481" s="42"/>
      <c r="AG9481" s="19">
        <v>9480</v>
      </c>
      <c r="AH9481" s="20">
        <v>-2147.8888279471184</v>
      </c>
    </row>
    <row r="9482" spans="1:34" ht="14.5" x14ac:dyDescent="0.35">
      <c r="A9482" s="34"/>
      <c r="B9482" s="35"/>
      <c r="C9482" s="36"/>
      <c r="D9482" s="37"/>
      <c r="E9482" s="36"/>
      <c r="F9482" s="42"/>
      <c r="G9482" s="42"/>
      <c r="H9482" s="42"/>
      <c r="AG9482" s="19">
        <v>9481</v>
      </c>
      <c r="AH9482" s="20">
        <v>1425.9127368611403</v>
      </c>
    </row>
    <row r="9483" spans="1:34" ht="14.5" x14ac:dyDescent="0.35">
      <c r="A9483" s="34"/>
      <c r="B9483" s="35"/>
      <c r="C9483" s="36"/>
      <c r="D9483" s="37"/>
      <c r="E9483" s="36"/>
      <c r="F9483" s="42"/>
      <c r="G9483" s="42"/>
      <c r="H9483" s="42"/>
      <c r="AG9483" s="19">
        <v>9482</v>
      </c>
      <c r="AH9483" s="20">
        <v>3285.9470750785827</v>
      </c>
    </row>
    <row r="9484" spans="1:34" ht="14.5" x14ac:dyDescent="0.35">
      <c r="A9484" s="34"/>
      <c r="B9484" s="35"/>
      <c r="C9484" s="36"/>
      <c r="D9484" s="37"/>
      <c r="E9484" s="36"/>
      <c r="F9484" s="42"/>
      <c r="G9484" s="42"/>
      <c r="H9484" s="42"/>
      <c r="AG9484" s="19">
        <v>9483</v>
      </c>
      <c r="AH9484" s="20">
        <v>1475.0828666892219</v>
      </c>
    </row>
    <row r="9485" spans="1:34" ht="14.5" x14ac:dyDescent="0.35">
      <c r="A9485" s="34"/>
      <c r="B9485" s="35"/>
      <c r="C9485" s="36"/>
      <c r="D9485" s="37"/>
      <c r="E9485" s="36"/>
      <c r="F9485" s="42"/>
      <c r="G9485" s="42"/>
      <c r="H9485" s="42"/>
      <c r="AG9485" s="19">
        <v>9484</v>
      </c>
      <c r="AH9485" s="20">
        <v>727.35320069955765</v>
      </c>
    </row>
    <row r="9486" spans="1:34" ht="14.5" x14ac:dyDescent="0.35">
      <c r="A9486" s="34"/>
      <c r="B9486" s="35"/>
      <c r="C9486" s="36"/>
      <c r="D9486" s="37"/>
      <c r="E9486" s="36"/>
      <c r="F9486" s="42"/>
      <c r="G9486" s="42"/>
      <c r="H9486" s="42"/>
      <c r="AG9486" s="19">
        <v>9485</v>
      </c>
      <c r="AH9486" s="20">
        <v>-2415.8174217355436</v>
      </c>
    </row>
    <row r="9487" spans="1:34" ht="14.5" x14ac:dyDescent="0.35">
      <c r="A9487" s="34"/>
      <c r="B9487" s="35"/>
      <c r="C9487" s="36"/>
      <c r="D9487" s="37"/>
      <c r="E9487" s="36"/>
      <c r="F9487" s="42"/>
      <c r="G9487" s="42"/>
      <c r="H9487" s="42"/>
      <c r="AG9487" s="19">
        <v>9486</v>
      </c>
      <c r="AH9487" s="20">
        <v>-2467.2968247290505</v>
      </c>
    </row>
    <row r="9488" spans="1:34" ht="14.5" x14ac:dyDescent="0.35">
      <c r="A9488" s="34"/>
      <c r="B9488" s="35"/>
      <c r="C9488" s="36"/>
      <c r="D9488" s="37"/>
      <c r="E9488" s="36"/>
      <c r="F9488" s="42"/>
      <c r="G9488" s="42"/>
      <c r="H9488" s="42"/>
      <c r="AG9488" s="19">
        <v>9487</v>
      </c>
      <c r="AH9488" s="20">
        <v>1809.8763137098251</v>
      </c>
    </row>
    <row r="9489" spans="1:34" ht="14.5" x14ac:dyDescent="0.35">
      <c r="A9489" s="34"/>
      <c r="B9489" s="35"/>
      <c r="C9489" s="36"/>
      <c r="D9489" s="37"/>
      <c r="E9489" s="36"/>
      <c r="F9489" s="42"/>
      <c r="G9489" s="42"/>
      <c r="H9489" s="42"/>
      <c r="AG9489" s="19">
        <v>9488</v>
      </c>
      <c r="AH9489" s="20">
        <v>313.70187694893781</v>
      </c>
    </row>
    <row r="9490" spans="1:34" ht="14.5" x14ac:dyDescent="0.35">
      <c r="A9490" s="34"/>
      <c r="B9490" s="35"/>
      <c r="C9490" s="36"/>
      <c r="D9490" s="37"/>
      <c r="E9490" s="36"/>
      <c r="F9490" s="42"/>
      <c r="G9490" s="42"/>
      <c r="H9490" s="42"/>
      <c r="AG9490" s="19">
        <v>9489</v>
      </c>
      <c r="AH9490" s="20">
        <v>-435.36959235038438</v>
      </c>
    </row>
    <row r="9491" spans="1:34" ht="14.5" x14ac:dyDescent="0.35">
      <c r="A9491" s="34"/>
      <c r="B9491" s="35"/>
      <c r="C9491" s="36"/>
      <c r="D9491" s="37"/>
      <c r="E9491" s="36"/>
      <c r="F9491" s="42"/>
      <c r="G9491" s="42"/>
      <c r="H9491" s="42"/>
      <c r="AG9491" s="19">
        <v>9490</v>
      </c>
      <c r="AH9491" s="20">
        <v>-213.35272969832357</v>
      </c>
    </row>
    <row r="9492" spans="1:34" ht="14.5" x14ac:dyDescent="0.35">
      <c r="A9492" s="34"/>
      <c r="B9492" s="35"/>
      <c r="C9492" s="36"/>
      <c r="D9492" s="37"/>
      <c r="E9492" s="36"/>
      <c r="F9492" s="42"/>
      <c r="G9492" s="42"/>
      <c r="H9492" s="42"/>
      <c r="AG9492" s="19">
        <v>9491</v>
      </c>
      <c r="AH9492" s="20">
        <v>24.780877693445746</v>
      </c>
    </row>
    <row r="9493" spans="1:34" ht="14.5" x14ac:dyDescent="0.35">
      <c r="A9493" s="34"/>
      <c r="B9493" s="35"/>
      <c r="C9493" s="36"/>
      <c r="D9493" s="37"/>
      <c r="E9493" s="36"/>
      <c r="F9493" s="42"/>
      <c r="G9493" s="42"/>
      <c r="H9493" s="42"/>
      <c r="AG9493" s="19">
        <v>9492</v>
      </c>
      <c r="AH9493" s="20">
        <v>-1539.6376553485825</v>
      </c>
    </row>
    <row r="9494" spans="1:34" ht="14.5" x14ac:dyDescent="0.35">
      <c r="A9494" s="34"/>
      <c r="B9494" s="35"/>
      <c r="C9494" s="36"/>
      <c r="D9494" s="37"/>
      <c r="E9494" s="36"/>
      <c r="F9494" s="42"/>
      <c r="G9494" s="42"/>
      <c r="H9494" s="42"/>
      <c r="AG9494" s="19">
        <v>9493</v>
      </c>
      <c r="AH9494" s="20">
        <v>15.716966456340629</v>
      </c>
    </row>
    <row r="9495" spans="1:34" ht="14.5" x14ac:dyDescent="0.35">
      <c r="A9495" s="34"/>
      <c r="B9495" s="35"/>
      <c r="C9495" s="36"/>
      <c r="D9495" s="37"/>
      <c r="E9495" s="36"/>
      <c r="F9495" s="42"/>
      <c r="G9495" s="42"/>
      <c r="H9495" s="42"/>
      <c r="AG9495" s="19">
        <v>9494</v>
      </c>
      <c r="AH9495" s="20">
        <v>3683.1696152398131</v>
      </c>
    </row>
    <row r="9496" spans="1:34" ht="14.5" x14ac:dyDescent="0.35">
      <c r="A9496" s="34"/>
      <c r="B9496" s="35"/>
      <c r="C9496" s="36"/>
      <c r="D9496" s="37"/>
      <c r="E9496" s="36"/>
      <c r="F9496" s="42"/>
      <c r="G9496" s="42"/>
      <c r="H9496" s="42"/>
      <c r="AG9496" s="19">
        <v>9495</v>
      </c>
      <c r="AH9496" s="20">
        <v>2830.3352542565558</v>
      </c>
    </row>
    <row r="9497" spans="1:34" ht="14.5" x14ac:dyDescent="0.35">
      <c r="A9497" s="34"/>
      <c r="B9497" s="35"/>
      <c r="C9497" s="36"/>
      <c r="D9497" s="37"/>
      <c r="E9497" s="36"/>
      <c r="F9497" s="42"/>
      <c r="G9497" s="42"/>
      <c r="H9497" s="42"/>
      <c r="AG9497" s="19">
        <v>9496</v>
      </c>
      <c r="AH9497" s="20">
        <v>1796.0682479302873</v>
      </c>
    </row>
    <row r="9498" spans="1:34" ht="14.5" x14ac:dyDescent="0.35">
      <c r="A9498" s="34"/>
      <c r="B9498" s="35"/>
      <c r="C9498" s="36"/>
      <c r="D9498" s="37"/>
      <c r="E9498" s="36"/>
      <c r="F9498" s="42"/>
      <c r="G9498" s="42"/>
      <c r="H9498" s="42"/>
      <c r="AG9498" s="19">
        <v>9497</v>
      </c>
      <c r="AH9498" s="20">
        <v>-2314.9731391782925</v>
      </c>
    </row>
    <row r="9499" spans="1:34" ht="14.5" x14ac:dyDescent="0.35">
      <c r="A9499" s="34"/>
      <c r="B9499" s="35"/>
      <c r="C9499" s="36"/>
      <c r="D9499" s="37"/>
      <c r="E9499" s="36"/>
      <c r="F9499" s="42"/>
      <c r="G9499" s="42"/>
      <c r="H9499" s="42"/>
      <c r="AG9499" s="19">
        <v>9498</v>
      </c>
      <c r="AH9499" s="20">
        <v>619.12730029734996</v>
      </c>
    </row>
    <row r="9500" spans="1:34" ht="14.5" x14ac:dyDescent="0.35">
      <c r="A9500" s="34"/>
      <c r="B9500" s="35"/>
      <c r="C9500" s="36"/>
      <c r="D9500" s="37"/>
      <c r="E9500" s="36"/>
      <c r="F9500" s="42"/>
      <c r="G9500" s="42"/>
      <c r="H9500" s="42"/>
      <c r="AG9500" s="19">
        <v>9499</v>
      </c>
      <c r="AH9500" s="20">
        <v>-1883.587288032101</v>
      </c>
    </row>
    <row r="9501" spans="1:34" ht="14.5" x14ac:dyDescent="0.35">
      <c r="A9501" s="34"/>
      <c r="B9501" s="35"/>
      <c r="C9501" s="36"/>
      <c r="D9501" s="37"/>
      <c r="E9501" s="36"/>
      <c r="F9501" s="42"/>
      <c r="G9501" s="42"/>
      <c r="H9501" s="42"/>
      <c r="AG9501" s="19">
        <v>9500</v>
      </c>
      <c r="AH9501" s="20">
        <v>70.106053554584093</v>
      </c>
    </row>
    <row r="9502" spans="1:34" ht="14.5" x14ac:dyDescent="0.35">
      <c r="A9502" s="34"/>
      <c r="B9502" s="35"/>
      <c r="C9502" s="36"/>
      <c r="D9502" s="37"/>
      <c r="E9502" s="36"/>
      <c r="F9502" s="42"/>
      <c r="G9502" s="42"/>
      <c r="H9502" s="42"/>
      <c r="AG9502" s="19">
        <v>9501</v>
      </c>
      <c r="AH9502" s="20">
        <v>-1458.0089174592879</v>
      </c>
    </row>
    <row r="9503" spans="1:34" ht="14.5" x14ac:dyDescent="0.35">
      <c r="A9503" s="34"/>
      <c r="B9503" s="35"/>
      <c r="C9503" s="36"/>
      <c r="D9503" s="37"/>
      <c r="E9503" s="36"/>
      <c r="F9503" s="42"/>
      <c r="G9503" s="42"/>
      <c r="H9503" s="42"/>
      <c r="AG9503" s="19">
        <v>9502</v>
      </c>
      <c r="AH9503" s="20">
        <v>267.18433341892467</v>
      </c>
    </row>
    <row r="9504" spans="1:34" ht="14.5" x14ac:dyDescent="0.35">
      <c r="A9504" s="34"/>
      <c r="B9504" s="35"/>
      <c r="C9504" s="36"/>
      <c r="D9504" s="37"/>
      <c r="E9504" s="36"/>
      <c r="F9504" s="42"/>
      <c r="G9504" s="42"/>
      <c r="H9504" s="42"/>
      <c r="AG9504" s="19">
        <v>9503</v>
      </c>
      <c r="AH9504" s="20">
        <v>4837.4506226390085</v>
      </c>
    </row>
    <row r="9505" spans="1:34" ht="14.5" x14ac:dyDescent="0.35">
      <c r="A9505" s="34"/>
      <c r="B9505" s="35"/>
      <c r="C9505" s="36"/>
      <c r="D9505" s="37"/>
      <c r="E9505" s="36"/>
      <c r="F9505" s="42"/>
      <c r="G9505" s="42"/>
      <c r="H9505" s="42"/>
      <c r="AG9505" s="19">
        <v>9504</v>
      </c>
      <c r="AH9505" s="20">
        <v>-469.05273066393494</v>
      </c>
    </row>
    <row r="9506" spans="1:34" ht="14.5" x14ac:dyDescent="0.35">
      <c r="A9506" s="34"/>
      <c r="B9506" s="35"/>
      <c r="C9506" s="36"/>
      <c r="D9506" s="37"/>
      <c r="E9506" s="36"/>
      <c r="F9506" s="42"/>
      <c r="G9506" s="42"/>
      <c r="H9506" s="42"/>
      <c r="AG9506" s="19">
        <v>9505</v>
      </c>
      <c r="AH9506" s="20">
        <v>-666.54742991419516</v>
      </c>
    </row>
    <row r="9507" spans="1:34" ht="14.5" x14ac:dyDescent="0.35">
      <c r="A9507" s="34"/>
      <c r="B9507" s="35"/>
      <c r="C9507" s="36"/>
      <c r="D9507" s="37"/>
      <c r="E9507" s="36"/>
      <c r="F9507" s="42"/>
      <c r="G9507" s="42"/>
      <c r="H9507" s="42"/>
      <c r="AG9507" s="19">
        <v>9506</v>
      </c>
      <c r="AH9507" s="20">
        <v>-2003.663497387415</v>
      </c>
    </row>
    <row r="9508" spans="1:34" ht="14.5" x14ac:dyDescent="0.35">
      <c r="A9508" s="34"/>
      <c r="B9508" s="35"/>
      <c r="C9508" s="36"/>
      <c r="D9508" s="37"/>
      <c r="E9508" s="36"/>
      <c r="F9508" s="42"/>
      <c r="G9508" s="42"/>
      <c r="H9508" s="42"/>
      <c r="AG9508" s="19">
        <v>9507</v>
      </c>
      <c r="AH9508" s="20">
        <v>1491.6294408223139</v>
      </c>
    </row>
    <row r="9509" spans="1:34" ht="14.5" x14ac:dyDescent="0.35">
      <c r="A9509" s="34"/>
      <c r="B9509" s="35"/>
      <c r="C9509" s="36"/>
      <c r="D9509" s="37"/>
      <c r="E9509" s="36"/>
      <c r="F9509" s="42"/>
      <c r="G9509" s="42"/>
      <c r="H9509" s="42"/>
      <c r="AG9509" s="19">
        <v>9508</v>
      </c>
      <c r="AH9509" s="20">
        <v>53.783179117904638</v>
      </c>
    </row>
    <row r="9510" spans="1:34" ht="14.5" x14ac:dyDescent="0.35">
      <c r="A9510" s="34"/>
      <c r="B9510" s="35"/>
      <c r="C9510" s="36"/>
      <c r="D9510" s="37"/>
      <c r="E9510" s="36"/>
      <c r="F9510" s="42"/>
      <c r="G9510" s="42"/>
      <c r="H9510" s="42"/>
      <c r="AG9510" s="19">
        <v>9509</v>
      </c>
      <c r="AH9510" s="20">
        <v>-868.6045883296365</v>
      </c>
    </row>
    <row r="9511" spans="1:34" ht="14.5" x14ac:dyDescent="0.35">
      <c r="A9511" s="34"/>
      <c r="B9511" s="35"/>
      <c r="C9511" s="36"/>
      <c r="D9511" s="37"/>
      <c r="E9511" s="36"/>
      <c r="F9511" s="42"/>
      <c r="G9511" s="42"/>
      <c r="H9511" s="42"/>
      <c r="AG9511" s="19">
        <v>9510</v>
      </c>
      <c r="AH9511" s="20">
        <v>-1485.7747604839187</v>
      </c>
    </row>
    <row r="9512" spans="1:34" ht="14.5" x14ac:dyDescent="0.35">
      <c r="A9512" s="34"/>
      <c r="B9512" s="35"/>
      <c r="C9512" s="36"/>
      <c r="D9512" s="37"/>
      <c r="E9512" s="36"/>
      <c r="F9512" s="42"/>
      <c r="G9512" s="42"/>
      <c r="H9512" s="42"/>
      <c r="AG9512" s="19">
        <v>9511</v>
      </c>
      <c r="AH9512" s="20">
        <v>-1330.7833124990377</v>
      </c>
    </row>
    <row r="9513" spans="1:34" ht="14.5" x14ac:dyDescent="0.35">
      <c r="A9513" s="34"/>
      <c r="B9513" s="35"/>
      <c r="C9513" s="36"/>
      <c r="D9513" s="37"/>
      <c r="E9513" s="36"/>
      <c r="F9513" s="42"/>
      <c r="G9513" s="42"/>
      <c r="H9513" s="42"/>
      <c r="AG9513" s="19">
        <v>9512</v>
      </c>
      <c r="AH9513" s="20">
        <v>1353.0363590223792</v>
      </c>
    </row>
    <row r="9514" spans="1:34" ht="14.5" x14ac:dyDescent="0.35">
      <c r="A9514" s="34"/>
      <c r="B9514" s="35"/>
      <c r="C9514" s="36"/>
      <c r="D9514" s="37"/>
      <c r="E9514" s="36"/>
      <c r="F9514" s="42"/>
      <c r="G9514" s="42"/>
      <c r="H9514" s="42"/>
      <c r="AG9514" s="19">
        <v>9513</v>
      </c>
      <c r="AH9514" s="20">
        <v>-2546.2492290369937</v>
      </c>
    </row>
    <row r="9515" spans="1:34" ht="14.5" x14ac:dyDescent="0.35">
      <c r="A9515" s="34"/>
      <c r="B9515" s="35"/>
      <c r="C9515" s="36"/>
      <c r="D9515" s="37"/>
      <c r="E9515" s="36"/>
      <c r="F9515" s="42"/>
      <c r="G9515" s="42"/>
      <c r="H9515" s="42"/>
      <c r="AG9515" s="19">
        <v>9514</v>
      </c>
      <c r="AH9515" s="20">
        <v>1994.7215184762633</v>
      </c>
    </row>
    <row r="9516" spans="1:34" ht="14.5" x14ac:dyDescent="0.35">
      <c r="A9516" s="34"/>
      <c r="B9516" s="35"/>
      <c r="C9516" s="36"/>
      <c r="D9516" s="37"/>
      <c r="E9516" s="36"/>
      <c r="F9516" s="42"/>
      <c r="G9516" s="42"/>
      <c r="H9516" s="42"/>
      <c r="AG9516" s="19">
        <v>9515</v>
      </c>
      <c r="AH9516" s="20">
        <v>-1818.5314286863343</v>
      </c>
    </row>
    <row r="9517" spans="1:34" ht="14.5" x14ac:dyDescent="0.35">
      <c r="A9517" s="34"/>
      <c r="B9517" s="35"/>
      <c r="C9517" s="36"/>
      <c r="D9517" s="37"/>
      <c r="E9517" s="36"/>
      <c r="F9517" s="42"/>
      <c r="G9517" s="42"/>
      <c r="H9517" s="42"/>
      <c r="AG9517" s="19">
        <v>9516</v>
      </c>
      <c r="AH9517" s="20">
        <v>-628.94804368589848</v>
      </c>
    </row>
    <row r="9518" spans="1:34" ht="14.5" x14ac:dyDescent="0.35">
      <c r="A9518" s="34"/>
      <c r="B9518" s="35"/>
      <c r="C9518" s="36"/>
      <c r="D9518" s="37"/>
      <c r="E9518" s="36"/>
      <c r="F9518" s="42"/>
      <c r="G9518" s="42"/>
      <c r="H9518" s="42"/>
      <c r="AG9518" s="19">
        <v>9517</v>
      </c>
      <c r="AH9518" s="20">
        <v>697.164458525349</v>
      </c>
    </row>
    <row r="9519" spans="1:34" ht="14.5" x14ac:dyDescent="0.35">
      <c r="A9519" s="34"/>
      <c r="B9519" s="35"/>
      <c r="C9519" s="36"/>
      <c r="D9519" s="37"/>
      <c r="E9519" s="36"/>
      <c r="F9519" s="42"/>
      <c r="G9519" s="42"/>
      <c r="H9519" s="42"/>
      <c r="AG9519" s="19">
        <v>9518</v>
      </c>
      <c r="AH9519" s="20">
        <v>-40.42112485322707</v>
      </c>
    </row>
    <row r="9520" spans="1:34" ht="14.5" x14ac:dyDescent="0.35">
      <c r="A9520" s="34"/>
      <c r="B9520" s="35"/>
      <c r="C9520" s="36"/>
      <c r="D9520" s="37"/>
      <c r="E9520" s="36"/>
      <c r="F9520" s="42"/>
      <c r="G9520" s="42"/>
      <c r="H9520" s="42"/>
      <c r="AG9520" s="19">
        <v>9519</v>
      </c>
      <c r="AH9520" s="20">
        <v>-1107.8691453429944</v>
      </c>
    </row>
    <row r="9521" spans="1:34" ht="14.5" x14ac:dyDescent="0.35">
      <c r="A9521" s="34"/>
      <c r="B9521" s="35"/>
      <c r="C9521" s="36"/>
      <c r="D9521" s="37"/>
      <c r="E9521" s="36"/>
      <c r="F9521" s="42"/>
      <c r="G9521" s="42"/>
      <c r="H9521" s="42"/>
      <c r="AG9521" s="19">
        <v>9520</v>
      </c>
      <c r="AH9521" s="20">
        <v>-3000.0644283376928</v>
      </c>
    </row>
    <row r="9522" spans="1:34" ht="14.5" x14ac:dyDescent="0.35">
      <c r="A9522" s="34"/>
      <c r="B9522" s="35"/>
      <c r="C9522" s="36"/>
      <c r="D9522" s="37"/>
      <c r="E9522" s="36"/>
      <c r="F9522" s="42"/>
      <c r="G9522" s="42"/>
      <c r="H9522" s="42"/>
      <c r="AG9522" s="19">
        <v>9521</v>
      </c>
      <c r="AH9522" s="20">
        <v>-2030.0023757438478</v>
      </c>
    </row>
    <row r="9523" spans="1:34" ht="14.5" x14ac:dyDescent="0.35">
      <c r="A9523" s="34"/>
      <c r="B9523" s="35"/>
      <c r="C9523" s="36"/>
      <c r="D9523" s="37"/>
      <c r="E9523" s="36"/>
      <c r="F9523" s="42"/>
      <c r="G9523" s="42"/>
      <c r="H9523" s="42"/>
      <c r="AG9523" s="19">
        <v>9522</v>
      </c>
      <c r="AH9523" s="20">
        <v>-1649.5492679997751</v>
      </c>
    </row>
    <row r="9524" spans="1:34" ht="14.5" x14ac:dyDescent="0.35">
      <c r="A9524" s="34"/>
      <c r="B9524" s="35"/>
      <c r="C9524" s="36"/>
      <c r="D9524" s="37"/>
      <c r="E9524" s="36"/>
      <c r="F9524" s="42"/>
      <c r="G9524" s="42"/>
      <c r="H9524" s="42"/>
      <c r="AG9524" s="19">
        <v>9523</v>
      </c>
      <c r="AH9524" s="20">
        <v>2237.5380131904294</v>
      </c>
    </row>
    <row r="9525" spans="1:34" ht="14.5" x14ac:dyDescent="0.35">
      <c r="A9525" s="34"/>
      <c r="B9525" s="35"/>
      <c r="C9525" s="36"/>
      <c r="D9525" s="37"/>
      <c r="E9525" s="36"/>
      <c r="F9525" s="42"/>
      <c r="G9525" s="42"/>
      <c r="H9525" s="42"/>
      <c r="AG9525" s="19">
        <v>9524</v>
      </c>
      <c r="AH9525" s="20">
        <v>3845.3630215004896</v>
      </c>
    </row>
    <row r="9526" spans="1:34" ht="14.5" x14ac:dyDescent="0.35">
      <c r="A9526" s="34"/>
      <c r="B9526" s="35"/>
      <c r="C9526" s="36"/>
      <c r="D9526" s="37"/>
      <c r="E9526" s="36"/>
      <c r="F9526" s="42"/>
      <c r="G9526" s="42"/>
      <c r="H9526" s="42"/>
      <c r="AG9526" s="19">
        <v>9525</v>
      </c>
      <c r="AH9526" s="20">
        <v>-76.243115936054551</v>
      </c>
    </row>
    <row r="9527" spans="1:34" ht="14.5" x14ac:dyDescent="0.35">
      <c r="A9527" s="34"/>
      <c r="B9527" s="35"/>
      <c r="C9527" s="36"/>
      <c r="D9527" s="37"/>
      <c r="E9527" s="36"/>
      <c r="F9527" s="42"/>
      <c r="G9527" s="42"/>
      <c r="H9527" s="42"/>
      <c r="AG9527" s="19">
        <v>9526</v>
      </c>
      <c r="AH9527" s="20">
        <v>120.43789632770472</v>
      </c>
    </row>
    <row r="9528" spans="1:34" ht="14.5" x14ac:dyDescent="0.35">
      <c r="A9528" s="34"/>
      <c r="B9528" s="35"/>
      <c r="C9528" s="36"/>
      <c r="D9528" s="37"/>
      <c r="E9528" s="36"/>
      <c r="F9528" s="42"/>
      <c r="G9528" s="42"/>
      <c r="H9528" s="42"/>
      <c r="AG9528" s="19">
        <v>9527</v>
      </c>
      <c r="AH9528" s="20">
        <v>-200.25806036443004</v>
      </c>
    </row>
    <row r="9529" spans="1:34" ht="14.5" x14ac:dyDescent="0.35">
      <c r="A9529" s="34"/>
      <c r="B9529" s="35"/>
      <c r="C9529" s="36"/>
      <c r="D9529" s="37"/>
      <c r="E9529" s="36"/>
      <c r="F9529" s="42"/>
      <c r="G9529" s="42"/>
      <c r="H9529" s="42"/>
      <c r="AG9529" s="19">
        <v>9528</v>
      </c>
      <c r="AH9529" s="20">
        <v>2827.4985975532754</v>
      </c>
    </row>
    <row r="9530" spans="1:34" ht="14.5" x14ac:dyDescent="0.35">
      <c r="A9530" s="34"/>
      <c r="B9530" s="35"/>
      <c r="C9530" s="36"/>
      <c r="D9530" s="37"/>
      <c r="E9530" s="36"/>
      <c r="F9530" s="42"/>
      <c r="G9530" s="42"/>
      <c r="H9530" s="42"/>
      <c r="AG9530" s="19">
        <v>9529</v>
      </c>
      <c r="AH9530" s="20">
        <v>747.87956574317241</v>
      </c>
    </row>
    <row r="9531" spans="1:34" ht="14.5" x14ac:dyDescent="0.35">
      <c r="A9531" s="34"/>
      <c r="B9531" s="35"/>
      <c r="C9531" s="36"/>
      <c r="D9531" s="37"/>
      <c r="E9531" s="36"/>
      <c r="F9531" s="42"/>
      <c r="G9531" s="42"/>
      <c r="H9531" s="42"/>
      <c r="AG9531" s="19">
        <v>9530</v>
      </c>
      <c r="AH9531" s="20">
        <v>2357.2416216195002</v>
      </c>
    </row>
    <row r="9532" spans="1:34" ht="14.5" x14ac:dyDescent="0.35">
      <c r="A9532" s="34"/>
      <c r="B9532" s="35"/>
      <c r="C9532" s="36"/>
      <c r="D9532" s="37"/>
      <c r="E9532" s="36"/>
      <c r="F9532" s="42"/>
      <c r="G9532" s="42"/>
      <c r="H9532" s="42"/>
      <c r="AG9532" s="19">
        <v>9531</v>
      </c>
      <c r="AH9532" s="20">
        <v>-2146.9604215891368</v>
      </c>
    </row>
    <row r="9533" spans="1:34" ht="14.5" x14ac:dyDescent="0.35">
      <c r="A9533" s="34"/>
      <c r="B9533" s="35"/>
      <c r="C9533" s="36"/>
      <c r="D9533" s="37"/>
      <c r="E9533" s="36"/>
      <c r="F9533" s="42"/>
      <c r="G9533" s="42"/>
      <c r="H9533" s="42"/>
      <c r="AG9533" s="19">
        <v>9532</v>
      </c>
      <c r="AH9533" s="20">
        <v>-1851.0025013730276</v>
      </c>
    </row>
    <row r="9534" spans="1:34" ht="14.5" x14ac:dyDescent="0.35">
      <c r="A9534" s="34"/>
      <c r="B9534" s="35"/>
      <c r="C9534" s="36"/>
      <c r="D9534" s="37"/>
      <c r="E9534" s="36"/>
      <c r="F9534" s="42"/>
      <c r="G9534" s="42"/>
      <c r="H9534" s="42"/>
      <c r="AG9534" s="19">
        <v>9533</v>
      </c>
      <c r="AH9534" s="20">
        <v>210.60855014691452</v>
      </c>
    </row>
    <row r="9535" spans="1:34" ht="14.5" x14ac:dyDescent="0.35">
      <c r="A9535" s="34"/>
      <c r="B9535" s="35"/>
      <c r="C9535" s="36"/>
      <c r="D9535" s="37"/>
      <c r="E9535" s="36"/>
      <c r="F9535" s="42"/>
      <c r="G9535" s="42"/>
      <c r="H9535" s="42"/>
      <c r="AG9535" s="19">
        <v>9534</v>
      </c>
      <c r="AH9535" s="20">
        <v>3409.4493166674729</v>
      </c>
    </row>
    <row r="9536" spans="1:34" ht="14.5" x14ac:dyDescent="0.35">
      <c r="A9536" s="34"/>
      <c r="B9536" s="35"/>
      <c r="C9536" s="36"/>
      <c r="D9536" s="37"/>
      <c r="E9536" s="36"/>
      <c r="F9536" s="42"/>
      <c r="G9536" s="42"/>
      <c r="H9536" s="42"/>
      <c r="AG9536" s="19">
        <v>9535</v>
      </c>
      <c r="AH9536" s="20">
        <v>2011.6337518208916</v>
      </c>
    </row>
    <row r="9537" spans="1:34" ht="14.5" x14ac:dyDescent="0.35">
      <c r="A9537" s="34"/>
      <c r="B9537" s="35"/>
      <c r="C9537" s="36"/>
      <c r="D9537" s="37"/>
      <c r="E9537" s="36"/>
      <c r="F9537" s="42"/>
      <c r="G9537" s="42"/>
      <c r="H9537" s="42"/>
      <c r="AG9537" s="19">
        <v>9536</v>
      </c>
      <c r="AH9537" s="20">
        <v>1339.1360731511752</v>
      </c>
    </row>
    <row r="9538" spans="1:34" ht="14.5" x14ac:dyDescent="0.35">
      <c r="A9538" s="34"/>
      <c r="B9538" s="35"/>
      <c r="C9538" s="36"/>
      <c r="D9538" s="37"/>
      <c r="E9538" s="36"/>
      <c r="F9538" s="42"/>
      <c r="G9538" s="42"/>
      <c r="H9538" s="42"/>
      <c r="AG9538" s="19">
        <v>9537</v>
      </c>
      <c r="AH9538" s="20">
        <v>-3128.8483560624468</v>
      </c>
    </row>
    <row r="9539" spans="1:34" ht="14.5" x14ac:dyDescent="0.35">
      <c r="A9539" s="34"/>
      <c r="B9539" s="35"/>
      <c r="C9539" s="36"/>
      <c r="D9539" s="37"/>
      <c r="E9539" s="36"/>
      <c r="F9539" s="42"/>
      <c r="G9539" s="42"/>
      <c r="H9539" s="42"/>
      <c r="AG9539" s="19">
        <v>9538</v>
      </c>
      <c r="AH9539" s="20">
        <v>1690.6464150836875</v>
      </c>
    </row>
    <row r="9540" spans="1:34" ht="14.5" x14ac:dyDescent="0.35">
      <c r="A9540" s="34"/>
      <c r="B9540" s="35"/>
      <c r="C9540" s="36"/>
      <c r="D9540" s="37"/>
      <c r="E9540" s="36"/>
      <c r="F9540" s="42"/>
      <c r="G9540" s="42"/>
      <c r="H9540" s="42"/>
      <c r="AG9540" s="19">
        <v>9539</v>
      </c>
      <c r="AH9540" s="20">
        <v>-2494.543702842067</v>
      </c>
    </row>
    <row r="9541" spans="1:34" ht="14.5" x14ac:dyDescent="0.35">
      <c r="A9541" s="34"/>
      <c r="B9541" s="35"/>
      <c r="C9541" s="36"/>
      <c r="D9541" s="37"/>
      <c r="E9541" s="36"/>
      <c r="F9541" s="42"/>
      <c r="G9541" s="42"/>
      <c r="H9541" s="42"/>
      <c r="AG9541" s="19">
        <v>9540</v>
      </c>
      <c r="AH9541" s="20">
        <v>2744.0098729333331</v>
      </c>
    </row>
    <row r="9542" spans="1:34" ht="14.5" x14ac:dyDescent="0.35">
      <c r="A9542" s="34"/>
      <c r="B9542" s="35"/>
      <c r="C9542" s="36"/>
      <c r="D9542" s="37"/>
      <c r="E9542" s="36"/>
      <c r="F9542" s="42"/>
      <c r="G9542" s="42"/>
      <c r="H9542" s="42"/>
      <c r="AG9542" s="19">
        <v>9541</v>
      </c>
      <c r="AH9542" s="20">
        <v>-263.91583897200729</v>
      </c>
    </row>
    <row r="9543" spans="1:34" ht="14.5" x14ac:dyDescent="0.35">
      <c r="A9543" s="34"/>
      <c r="B9543" s="35"/>
      <c r="C9543" s="36"/>
      <c r="D9543" s="37"/>
      <c r="E9543" s="36"/>
      <c r="F9543" s="42"/>
      <c r="G9543" s="42"/>
      <c r="H9543" s="42"/>
      <c r="AG9543" s="19">
        <v>9542</v>
      </c>
      <c r="AH9543" s="20">
        <v>1691.2475378087729</v>
      </c>
    </row>
    <row r="9544" spans="1:34" ht="14.5" x14ac:dyDescent="0.35">
      <c r="A9544" s="34"/>
      <c r="B9544" s="35"/>
      <c r="C9544" s="36"/>
      <c r="D9544" s="37"/>
      <c r="E9544" s="36"/>
      <c r="F9544" s="42"/>
      <c r="G9544" s="42"/>
      <c r="H9544" s="42"/>
      <c r="AG9544" s="19">
        <v>9543</v>
      </c>
      <c r="AH9544" s="20">
        <v>-671.31560815968123</v>
      </c>
    </row>
    <row r="9545" spans="1:34" ht="14.5" x14ac:dyDescent="0.35">
      <c r="A9545" s="34"/>
      <c r="B9545" s="35"/>
      <c r="C9545" s="36"/>
      <c r="D9545" s="37"/>
      <c r="E9545" s="36"/>
      <c r="F9545" s="42"/>
      <c r="G9545" s="42"/>
      <c r="H9545" s="42"/>
      <c r="AG9545" s="19">
        <v>9544</v>
      </c>
      <c r="AH9545" s="20">
        <v>-929.3451267830028</v>
      </c>
    </row>
    <row r="9546" spans="1:34" ht="14.5" x14ac:dyDescent="0.35">
      <c r="A9546" s="34"/>
      <c r="B9546" s="35"/>
      <c r="C9546" s="36"/>
      <c r="D9546" s="37"/>
      <c r="E9546" s="36"/>
      <c r="F9546" s="42"/>
      <c r="G9546" s="42"/>
      <c r="H9546" s="42"/>
      <c r="AG9546" s="19">
        <v>9545</v>
      </c>
      <c r="AH9546" s="20">
        <v>-1081.3165511547254</v>
      </c>
    </row>
    <row r="9547" spans="1:34" ht="14.5" x14ac:dyDescent="0.35">
      <c r="A9547" s="34"/>
      <c r="B9547" s="35"/>
      <c r="C9547" s="36"/>
      <c r="D9547" s="37"/>
      <c r="E9547" s="36"/>
      <c r="F9547" s="42"/>
      <c r="G9547" s="42"/>
      <c r="H9547" s="42"/>
      <c r="AG9547" s="19">
        <v>9546</v>
      </c>
      <c r="AH9547" s="20">
        <v>2053.8658753810482</v>
      </c>
    </row>
    <row r="9548" spans="1:34" ht="14.5" x14ac:dyDescent="0.35">
      <c r="A9548" s="34"/>
      <c r="B9548" s="35"/>
      <c r="C9548" s="36"/>
      <c r="D9548" s="37"/>
      <c r="E9548" s="36"/>
      <c r="F9548" s="42"/>
      <c r="G9548" s="42"/>
      <c r="H9548" s="42"/>
      <c r="AG9548" s="19">
        <v>9547</v>
      </c>
      <c r="AH9548" s="20">
        <v>1084.3933779020026</v>
      </c>
    </row>
    <row r="9549" spans="1:34" ht="14.5" x14ac:dyDescent="0.35">
      <c r="A9549" s="34"/>
      <c r="B9549" s="35"/>
      <c r="C9549" s="36"/>
      <c r="D9549" s="37"/>
      <c r="E9549" s="36"/>
      <c r="F9549" s="42"/>
      <c r="G9549" s="42"/>
      <c r="H9549" s="42"/>
      <c r="AG9549" s="19">
        <v>9548</v>
      </c>
      <c r="AH9549" s="20">
        <v>1033.4221294579554</v>
      </c>
    </row>
    <row r="9550" spans="1:34" ht="14.5" x14ac:dyDescent="0.35">
      <c r="A9550" s="34"/>
      <c r="B9550" s="35"/>
      <c r="C9550" s="36"/>
      <c r="D9550" s="37"/>
      <c r="E9550" s="36"/>
      <c r="F9550" s="42"/>
      <c r="G9550" s="42"/>
      <c r="H9550" s="42"/>
      <c r="AG9550" s="19">
        <v>9549</v>
      </c>
      <c r="AH9550" s="20">
        <v>756.53628062798361</v>
      </c>
    </row>
    <row r="9551" spans="1:34" ht="14.5" x14ac:dyDescent="0.35">
      <c r="A9551" s="34"/>
      <c r="B9551" s="35"/>
      <c r="C9551" s="36"/>
      <c r="D9551" s="37"/>
      <c r="E9551" s="36"/>
      <c r="F9551" s="42"/>
      <c r="G9551" s="42"/>
      <c r="H9551" s="42"/>
      <c r="AG9551" s="19">
        <v>9550</v>
      </c>
      <c r="AH9551" s="20">
        <v>1474.7037773889911</v>
      </c>
    </row>
    <row r="9552" spans="1:34" ht="14.5" x14ac:dyDescent="0.35">
      <c r="A9552" s="34"/>
      <c r="B9552" s="35"/>
      <c r="C9552" s="36"/>
      <c r="D9552" s="37"/>
      <c r="E9552" s="36"/>
      <c r="F9552" s="42"/>
      <c r="G9552" s="42"/>
      <c r="H9552" s="42"/>
      <c r="AG9552" s="19">
        <v>9551</v>
      </c>
      <c r="AH9552" s="20">
        <v>2413.8487515568577</v>
      </c>
    </row>
    <row r="9553" spans="1:34" ht="14.5" x14ac:dyDescent="0.35">
      <c r="A9553" s="34"/>
      <c r="B9553" s="35"/>
      <c r="C9553" s="36"/>
      <c r="D9553" s="37"/>
      <c r="E9553" s="36"/>
      <c r="F9553" s="42"/>
      <c r="G9553" s="42"/>
      <c r="H9553" s="42"/>
      <c r="AG9553" s="19">
        <v>9552</v>
      </c>
      <c r="AH9553" s="20">
        <v>693.73185793445555</v>
      </c>
    </row>
    <row r="9554" spans="1:34" ht="14.5" x14ac:dyDescent="0.35">
      <c r="A9554" s="34"/>
      <c r="B9554" s="35"/>
      <c r="C9554" s="36"/>
      <c r="D9554" s="37"/>
      <c r="E9554" s="36"/>
      <c r="F9554" s="42"/>
      <c r="G9554" s="42"/>
      <c r="H9554" s="42"/>
      <c r="AG9554" s="19">
        <v>9553</v>
      </c>
      <c r="AH9554" s="20">
        <v>280.37071034983626</v>
      </c>
    </row>
    <row r="9555" spans="1:34" ht="14.5" x14ac:dyDescent="0.35">
      <c r="A9555" s="34"/>
      <c r="B9555" s="35"/>
      <c r="C9555" s="36"/>
      <c r="D9555" s="37"/>
      <c r="E9555" s="36"/>
      <c r="F9555" s="42"/>
      <c r="G9555" s="42"/>
      <c r="H9555" s="42"/>
      <c r="AG9555" s="19">
        <v>9554</v>
      </c>
      <c r="AH9555" s="20">
        <v>-5058.0170987972469</v>
      </c>
    </row>
    <row r="9556" spans="1:34" ht="14.5" x14ac:dyDescent="0.35">
      <c r="A9556" s="34"/>
      <c r="B9556" s="35"/>
      <c r="C9556" s="36"/>
      <c r="D9556" s="37"/>
      <c r="E9556" s="36"/>
      <c r="F9556" s="42"/>
      <c r="G9556" s="42"/>
      <c r="H9556" s="42"/>
      <c r="AG9556" s="19">
        <v>9555</v>
      </c>
      <c r="AH9556" s="20">
        <v>1820.3613983727578</v>
      </c>
    </row>
    <row r="9557" spans="1:34" ht="14.5" x14ac:dyDescent="0.35">
      <c r="A9557" s="34"/>
      <c r="B9557" s="35"/>
      <c r="C9557" s="36"/>
      <c r="D9557" s="37"/>
      <c r="E9557" s="36"/>
      <c r="F9557" s="42"/>
      <c r="G9557" s="42"/>
      <c r="H9557" s="42"/>
      <c r="AG9557" s="19">
        <v>9556</v>
      </c>
      <c r="AH9557" s="20">
        <v>418.34649325352484</v>
      </c>
    </row>
    <row r="9558" spans="1:34" ht="14.5" x14ac:dyDescent="0.35">
      <c r="A9558" s="34"/>
      <c r="B9558" s="35"/>
      <c r="C9558" s="36"/>
      <c r="D9558" s="37"/>
      <c r="E9558" s="36"/>
      <c r="F9558" s="42"/>
      <c r="G9558" s="42"/>
      <c r="H9558" s="42"/>
      <c r="AG9558" s="19">
        <v>9557</v>
      </c>
      <c r="AH9558" s="20">
        <v>-2941.0484969222384</v>
      </c>
    </row>
    <row r="9559" spans="1:34" ht="14.5" x14ac:dyDescent="0.35">
      <c r="A9559" s="34"/>
      <c r="B9559" s="35"/>
      <c r="C9559" s="36"/>
      <c r="D9559" s="37"/>
      <c r="E9559" s="36"/>
      <c r="F9559" s="42"/>
      <c r="G9559" s="42"/>
      <c r="H9559" s="42"/>
      <c r="AG9559" s="19">
        <v>9558</v>
      </c>
      <c r="AH9559" s="20">
        <v>1704.8915399495538</v>
      </c>
    </row>
    <row r="9560" spans="1:34" ht="14.5" x14ac:dyDescent="0.35">
      <c r="A9560" s="34"/>
      <c r="B9560" s="35"/>
      <c r="C9560" s="36"/>
      <c r="D9560" s="37"/>
      <c r="E9560" s="36"/>
      <c r="F9560" s="42"/>
      <c r="G9560" s="42"/>
      <c r="H9560" s="42"/>
      <c r="AG9560" s="19">
        <v>9559</v>
      </c>
      <c r="AH9560" s="20">
        <v>-2832.4280464905851</v>
      </c>
    </row>
    <row r="9561" spans="1:34" ht="14.5" x14ac:dyDescent="0.35">
      <c r="A9561" s="34"/>
      <c r="B9561" s="35"/>
      <c r="C9561" s="36"/>
      <c r="D9561" s="37"/>
      <c r="E9561" s="36"/>
      <c r="F9561" s="42"/>
      <c r="G9561" s="42"/>
      <c r="H9561" s="42"/>
      <c r="AG9561" s="19">
        <v>9560</v>
      </c>
      <c r="AH9561" s="20">
        <v>-232.16651016268457</v>
      </c>
    </row>
    <row r="9562" spans="1:34" ht="14.5" x14ac:dyDescent="0.35">
      <c r="A9562" s="34"/>
      <c r="B9562" s="35"/>
      <c r="C9562" s="36"/>
      <c r="D9562" s="37"/>
      <c r="E9562" s="36"/>
      <c r="F9562" s="42"/>
      <c r="G9562" s="42"/>
      <c r="H9562" s="42"/>
      <c r="AG9562" s="19">
        <v>9561</v>
      </c>
      <c r="AH9562" s="20">
        <v>-1093.3883384131591</v>
      </c>
    </row>
    <row r="9563" spans="1:34" ht="14.5" x14ac:dyDescent="0.35">
      <c r="A9563" s="34"/>
      <c r="B9563" s="35"/>
      <c r="C9563" s="36"/>
      <c r="D9563" s="37"/>
      <c r="E9563" s="36"/>
      <c r="F9563" s="42"/>
      <c r="G9563" s="42"/>
      <c r="H9563" s="42"/>
      <c r="AG9563" s="19">
        <v>9562</v>
      </c>
      <c r="AH9563" s="20">
        <v>3472.1673741710538</v>
      </c>
    </row>
    <row r="9564" spans="1:34" ht="14.5" x14ac:dyDescent="0.35">
      <c r="A9564" s="34"/>
      <c r="B9564" s="35"/>
      <c r="C9564" s="36"/>
      <c r="D9564" s="37"/>
      <c r="E9564" s="36"/>
      <c r="F9564" s="42"/>
      <c r="G9564" s="42"/>
      <c r="H9564" s="42"/>
      <c r="AG9564" s="19">
        <v>9563</v>
      </c>
      <c r="AH9564" s="20">
        <v>-3626.546025896278</v>
      </c>
    </row>
    <row r="9565" spans="1:34" ht="14.5" x14ac:dyDescent="0.35">
      <c r="A9565" s="34"/>
      <c r="B9565" s="35"/>
      <c r="C9565" s="36"/>
      <c r="D9565" s="37"/>
      <c r="E9565" s="36"/>
      <c r="F9565" s="42"/>
      <c r="G9565" s="42"/>
      <c r="H9565" s="42"/>
      <c r="AG9565" s="19">
        <v>9564</v>
      </c>
      <c r="AH9565" s="20">
        <v>-512.93329825054366</v>
      </c>
    </row>
    <row r="9566" spans="1:34" ht="14.5" x14ac:dyDescent="0.35">
      <c r="A9566" s="34"/>
      <c r="B9566" s="35"/>
      <c r="C9566" s="36"/>
      <c r="D9566" s="37"/>
      <c r="E9566" s="36"/>
      <c r="F9566" s="42"/>
      <c r="G9566" s="42"/>
      <c r="H9566" s="42"/>
      <c r="AG9566" s="19">
        <v>9565</v>
      </c>
      <c r="AH9566" s="20">
        <v>1936.7614976870548</v>
      </c>
    </row>
    <row r="9567" spans="1:34" ht="14.5" x14ac:dyDescent="0.35">
      <c r="A9567" s="34"/>
      <c r="B9567" s="35"/>
      <c r="C9567" s="36"/>
      <c r="D9567" s="37"/>
      <c r="E9567" s="36"/>
      <c r="F9567" s="42"/>
      <c r="G9567" s="42"/>
      <c r="H9567" s="42"/>
      <c r="AG9567" s="19">
        <v>9566</v>
      </c>
      <c r="AH9567" s="20">
        <v>-469.97844477086136</v>
      </c>
    </row>
    <row r="9568" spans="1:34" ht="14.5" x14ac:dyDescent="0.35">
      <c r="A9568" s="34"/>
      <c r="B9568" s="35"/>
      <c r="C9568" s="36"/>
      <c r="D9568" s="37"/>
      <c r="E9568" s="36"/>
      <c r="F9568" s="42"/>
      <c r="G9568" s="42"/>
      <c r="H9568" s="42"/>
      <c r="AG9568" s="19">
        <v>9567</v>
      </c>
      <c r="AH9568" s="20">
        <v>1536.1258653152656</v>
      </c>
    </row>
    <row r="9569" spans="1:34" ht="14.5" x14ac:dyDescent="0.35">
      <c r="A9569" s="34"/>
      <c r="B9569" s="35"/>
      <c r="C9569" s="36"/>
      <c r="D9569" s="37"/>
      <c r="E9569" s="36"/>
      <c r="F9569" s="42"/>
      <c r="G9569" s="42"/>
      <c r="H9569" s="42"/>
      <c r="AG9569" s="19">
        <v>9568</v>
      </c>
      <c r="AH9569" s="20">
        <v>331.85750515209384</v>
      </c>
    </row>
    <row r="9570" spans="1:34" ht="14.5" x14ac:dyDescent="0.35">
      <c r="A9570" s="34"/>
      <c r="B9570" s="35"/>
      <c r="C9570" s="36"/>
      <c r="D9570" s="37"/>
      <c r="E9570" s="36"/>
      <c r="F9570" s="42"/>
      <c r="G9570" s="42"/>
      <c r="H9570" s="42"/>
      <c r="AG9570" s="19">
        <v>9569</v>
      </c>
      <c r="AH9570" s="20">
        <v>2577.93241687001</v>
      </c>
    </row>
    <row r="9571" spans="1:34" ht="14.5" x14ac:dyDescent="0.35">
      <c r="A9571" s="34"/>
      <c r="B9571" s="35"/>
      <c r="C9571" s="36"/>
      <c r="D9571" s="37"/>
      <c r="E9571" s="36"/>
      <c r="F9571" s="42"/>
      <c r="G9571" s="42"/>
      <c r="H9571" s="42"/>
      <c r="AG9571" s="19">
        <v>9570</v>
      </c>
      <c r="AH9571" s="20">
        <v>594.19012808867001</v>
      </c>
    </row>
    <row r="9572" spans="1:34" ht="14.5" x14ac:dyDescent="0.35">
      <c r="A9572" s="34"/>
      <c r="B9572" s="35"/>
      <c r="C9572" s="36"/>
      <c r="D9572" s="37"/>
      <c r="E9572" s="36"/>
      <c r="F9572" s="42"/>
      <c r="G9572" s="42"/>
      <c r="H9572" s="42"/>
      <c r="AG9572" s="19">
        <v>9571</v>
      </c>
      <c r="AH9572" s="20">
        <v>1741.9234731437311</v>
      </c>
    </row>
    <row r="9573" spans="1:34" ht="14.5" x14ac:dyDescent="0.35">
      <c r="A9573" s="34"/>
      <c r="B9573" s="35"/>
      <c r="C9573" s="36"/>
      <c r="D9573" s="37"/>
      <c r="E9573" s="36"/>
      <c r="F9573" s="42"/>
      <c r="G9573" s="42"/>
      <c r="H9573" s="42"/>
      <c r="AG9573" s="19">
        <v>9572</v>
      </c>
      <c r="AH9573" s="20">
        <v>2147.6346768234503</v>
      </c>
    </row>
    <row r="9574" spans="1:34" ht="14.5" x14ac:dyDescent="0.35">
      <c r="A9574" s="34"/>
      <c r="B9574" s="35"/>
      <c r="C9574" s="36"/>
      <c r="D9574" s="37"/>
      <c r="E9574" s="36"/>
      <c r="F9574" s="42"/>
      <c r="G9574" s="42"/>
      <c r="H9574" s="42"/>
      <c r="AG9574" s="19">
        <v>9573</v>
      </c>
      <c r="AH9574" s="20">
        <v>2387.8600906632691</v>
      </c>
    </row>
    <row r="9575" spans="1:34" ht="14.5" x14ac:dyDescent="0.35">
      <c r="A9575" s="34"/>
      <c r="B9575" s="35"/>
      <c r="C9575" s="36"/>
      <c r="D9575" s="37"/>
      <c r="E9575" s="36"/>
      <c r="F9575" s="42"/>
      <c r="G9575" s="42"/>
      <c r="H9575" s="42"/>
      <c r="AG9575" s="19">
        <v>9574</v>
      </c>
      <c r="AH9575" s="20">
        <v>-2432.0032543606831</v>
      </c>
    </row>
    <row r="9576" spans="1:34" ht="14.5" x14ac:dyDescent="0.35">
      <c r="A9576" s="34"/>
      <c r="B9576" s="35"/>
      <c r="C9576" s="36"/>
      <c r="D9576" s="37"/>
      <c r="E9576" s="36"/>
      <c r="F9576" s="42"/>
      <c r="G9576" s="42"/>
      <c r="H9576" s="42"/>
      <c r="AG9576" s="19">
        <v>9575</v>
      </c>
      <c r="AH9576" s="20">
        <v>-2729.5781704544033</v>
      </c>
    </row>
    <row r="9577" spans="1:34" ht="14.5" x14ac:dyDescent="0.35">
      <c r="A9577" s="34"/>
      <c r="B9577" s="35"/>
      <c r="C9577" s="36"/>
      <c r="D9577" s="37"/>
      <c r="E9577" s="36"/>
      <c r="F9577" s="42"/>
      <c r="G9577" s="42"/>
      <c r="H9577" s="42"/>
      <c r="AG9577" s="19">
        <v>9576</v>
      </c>
      <c r="AH9577" s="20">
        <v>1408.9654686865711</v>
      </c>
    </row>
    <row r="9578" spans="1:34" ht="14.5" x14ac:dyDescent="0.35">
      <c r="A9578" s="34"/>
      <c r="B9578" s="35"/>
      <c r="C9578" s="36"/>
      <c r="D9578" s="37"/>
      <c r="E9578" s="36"/>
      <c r="F9578" s="42"/>
      <c r="G9578" s="42"/>
      <c r="H9578" s="42"/>
      <c r="AG9578" s="19">
        <v>9577</v>
      </c>
      <c r="AH9578" s="20">
        <v>875.89901592381557</v>
      </c>
    </row>
    <row r="9579" spans="1:34" ht="14.5" x14ac:dyDescent="0.35">
      <c r="A9579" s="34"/>
      <c r="B9579" s="35"/>
      <c r="C9579" s="36"/>
      <c r="D9579" s="37"/>
      <c r="E9579" s="36"/>
      <c r="F9579" s="42"/>
      <c r="G9579" s="42"/>
      <c r="H9579" s="42"/>
      <c r="AG9579" s="19">
        <v>9578</v>
      </c>
      <c r="AH9579" s="20">
        <v>813.10731578543118</v>
      </c>
    </row>
    <row r="9580" spans="1:34" ht="14.5" x14ac:dyDescent="0.35">
      <c r="A9580" s="34"/>
      <c r="B9580" s="35"/>
      <c r="C9580" s="36"/>
      <c r="D9580" s="37"/>
      <c r="E9580" s="36"/>
      <c r="F9580" s="42"/>
      <c r="G9580" s="42"/>
      <c r="H9580" s="42"/>
      <c r="AG9580" s="19">
        <v>9579</v>
      </c>
      <c r="AH9580" s="20">
        <v>-1672.8929406853219</v>
      </c>
    </row>
    <row r="9581" spans="1:34" ht="14.5" x14ac:dyDescent="0.35">
      <c r="A9581" s="34"/>
      <c r="B9581" s="35"/>
      <c r="C9581" s="36"/>
      <c r="D9581" s="37"/>
      <c r="E9581" s="36"/>
      <c r="F9581" s="42"/>
      <c r="G9581" s="42"/>
      <c r="H9581" s="42"/>
      <c r="AG9581" s="19">
        <v>9580</v>
      </c>
      <c r="AH9581" s="20">
        <v>2408.4785743285688</v>
      </c>
    </row>
    <row r="9582" spans="1:34" ht="14.5" x14ac:dyDescent="0.35">
      <c r="A9582" s="34"/>
      <c r="B9582" s="35"/>
      <c r="C9582" s="36"/>
      <c r="D9582" s="37"/>
      <c r="E9582" s="36"/>
      <c r="F9582" s="42"/>
      <c r="G9582" s="42"/>
      <c r="H9582" s="42"/>
      <c r="AG9582" s="19">
        <v>9581</v>
      </c>
      <c r="AH9582" s="20">
        <v>1989.4482145837167</v>
      </c>
    </row>
    <row r="9583" spans="1:34" ht="14.5" x14ac:dyDescent="0.35">
      <c r="A9583" s="34"/>
      <c r="B9583" s="35"/>
      <c r="C9583" s="36"/>
      <c r="D9583" s="37"/>
      <c r="E9583" s="36"/>
      <c r="F9583" s="42"/>
      <c r="G9583" s="42"/>
      <c r="H9583" s="42"/>
      <c r="AG9583" s="19">
        <v>9582</v>
      </c>
      <c r="AH9583" s="20">
        <v>976.84696122964237</v>
      </c>
    </row>
    <row r="9584" spans="1:34" ht="14.5" x14ac:dyDescent="0.35">
      <c r="A9584" s="34"/>
      <c r="B9584" s="35"/>
      <c r="C9584" s="36"/>
      <c r="D9584" s="37"/>
      <c r="E9584" s="36"/>
      <c r="F9584" s="42"/>
      <c r="G9584" s="42"/>
      <c r="H9584" s="42"/>
      <c r="AG9584" s="19">
        <v>9583</v>
      </c>
      <c r="AH9584" s="20">
        <v>-2240.0935527055772</v>
      </c>
    </row>
    <row r="9585" spans="1:34" ht="14.5" x14ac:dyDescent="0.35">
      <c r="A9585" s="34"/>
      <c r="B9585" s="35"/>
      <c r="C9585" s="36"/>
      <c r="D9585" s="37"/>
      <c r="E9585" s="36"/>
      <c r="F9585" s="42"/>
      <c r="G9585" s="42"/>
      <c r="H9585" s="42"/>
      <c r="AG9585" s="19">
        <v>9584</v>
      </c>
      <c r="AH9585" s="20">
        <v>-1393.2832245271486</v>
      </c>
    </row>
    <row r="9586" spans="1:34" ht="14.5" x14ac:dyDescent="0.35">
      <c r="A9586" s="34"/>
      <c r="B9586" s="35"/>
      <c r="C9586" s="36"/>
      <c r="D9586" s="37"/>
      <c r="E9586" s="36"/>
      <c r="F9586" s="42"/>
      <c r="G9586" s="42"/>
      <c r="H9586" s="42"/>
      <c r="AG9586" s="19">
        <v>9585</v>
      </c>
      <c r="AH9586" s="20">
        <v>2445.1776362120972</v>
      </c>
    </row>
    <row r="9587" spans="1:34" ht="14.5" x14ac:dyDescent="0.35">
      <c r="A9587" s="34"/>
      <c r="B9587" s="35"/>
      <c r="C9587" s="36"/>
      <c r="D9587" s="37"/>
      <c r="E9587" s="36"/>
      <c r="F9587" s="42"/>
      <c r="G9587" s="42"/>
      <c r="H9587" s="42"/>
      <c r="AG9587" s="19">
        <v>9586</v>
      </c>
      <c r="AH9587" s="20">
        <v>-1368.7094170184646</v>
      </c>
    </row>
    <row r="9588" spans="1:34" ht="14.5" x14ac:dyDescent="0.35">
      <c r="A9588" s="34"/>
      <c r="B9588" s="35"/>
      <c r="C9588" s="36"/>
      <c r="D9588" s="37"/>
      <c r="E9588" s="36"/>
      <c r="F9588" s="42"/>
      <c r="G9588" s="42"/>
      <c r="H9588" s="42"/>
      <c r="AG9588" s="19">
        <v>9587</v>
      </c>
      <c r="AH9588" s="20">
        <v>5042.6855325687475</v>
      </c>
    </row>
    <row r="9589" spans="1:34" ht="14.5" x14ac:dyDescent="0.35">
      <c r="A9589" s="34"/>
      <c r="B9589" s="35"/>
      <c r="C9589" s="36"/>
      <c r="D9589" s="37"/>
      <c r="E9589" s="36"/>
      <c r="F9589" s="42"/>
      <c r="G9589" s="42"/>
      <c r="H9589" s="42"/>
      <c r="AG9589" s="19">
        <v>9588</v>
      </c>
      <c r="AH9589" s="20">
        <v>1726.0450302215183</v>
      </c>
    </row>
    <row r="9590" spans="1:34" ht="14.5" x14ac:dyDescent="0.35">
      <c r="A9590" s="34"/>
      <c r="B9590" s="35"/>
      <c r="C9590" s="36"/>
      <c r="D9590" s="37"/>
      <c r="E9590" s="36"/>
      <c r="F9590" s="42"/>
      <c r="G9590" s="42"/>
      <c r="H9590" s="42"/>
      <c r="AG9590" s="19">
        <v>9589</v>
      </c>
      <c r="AH9590" s="20">
        <v>63.557239595529552</v>
      </c>
    </row>
    <row r="9591" spans="1:34" ht="14.5" x14ac:dyDescent="0.35">
      <c r="A9591" s="34"/>
      <c r="B9591" s="35"/>
      <c r="C9591" s="36"/>
      <c r="D9591" s="37"/>
      <c r="E9591" s="36"/>
      <c r="F9591" s="42"/>
      <c r="G9591" s="42"/>
      <c r="H9591" s="42"/>
      <c r="AG9591" s="19">
        <v>9590</v>
      </c>
      <c r="AH9591" s="20">
        <v>3377.4219348956808</v>
      </c>
    </row>
    <row r="9592" spans="1:34" ht="14.5" x14ac:dyDescent="0.35">
      <c r="A9592" s="34"/>
      <c r="B9592" s="35"/>
      <c r="C9592" s="36"/>
      <c r="D9592" s="37"/>
      <c r="E9592" s="36"/>
      <c r="F9592" s="42"/>
      <c r="G9592" s="42"/>
      <c r="H9592" s="42"/>
      <c r="AG9592" s="19">
        <v>9591</v>
      </c>
      <c r="AH9592" s="20">
        <v>2321.7956590088379</v>
      </c>
    </row>
    <row r="9593" spans="1:34" ht="14.5" x14ac:dyDescent="0.35">
      <c r="A9593" s="34"/>
      <c r="B9593" s="35"/>
      <c r="C9593" s="36"/>
      <c r="D9593" s="37"/>
      <c r="E9593" s="36"/>
      <c r="F9593" s="42"/>
      <c r="G9593" s="42"/>
      <c r="H9593" s="42"/>
      <c r="AG9593" s="19">
        <v>9592</v>
      </c>
      <c r="AH9593" s="20">
        <v>-458.87449586295321</v>
      </c>
    </row>
    <row r="9594" spans="1:34" ht="14.5" x14ac:dyDescent="0.35">
      <c r="A9594" s="34"/>
      <c r="B9594" s="35"/>
      <c r="C9594" s="36"/>
      <c r="D9594" s="37"/>
      <c r="E9594" s="36"/>
      <c r="F9594" s="42"/>
      <c r="G9594" s="42"/>
      <c r="H9594" s="42"/>
      <c r="AG9594" s="19">
        <v>9593</v>
      </c>
      <c r="AH9594" s="20">
        <v>285.5751164272238</v>
      </c>
    </row>
    <row r="9595" spans="1:34" ht="14.5" x14ac:dyDescent="0.35">
      <c r="A9595" s="34"/>
      <c r="B9595" s="35"/>
      <c r="C9595" s="36"/>
      <c r="D9595" s="37"/>
      <c r="E9595" s="36"/>
      <c r="F9595" s="42"/>
      <c r="G9595" s="42"/>
      <c r="H9595" s="42"/>
      <c r="AG9595" s="19">
        <v>9594</v>
      </c>
      <c r="AH9595" s="20">
        <v>4174.5391508615667</v>
      </c>
    </row>
    <row r="9596" spans="1:34" ht="14.5" x14ac:dyDescent="0.35">
      <c r="A9596" s="34"/>
      <c r="B9596" s="35"/>
      <c r="C9596" s="36"/>
      <c r="D9596" s="37"/>
      <c r="E9596" s="36"/>
      <c r="F9596" s="42"/>
      <c r="G9596" s="42"/>
      <c r="H9596" s="42"/>
      <c r="AG9596" s="19">
        <v>9595</v>
      </c>
      <c r="AH9596" s="20">
        <v>-4847.2671579370826</v>
      </c>
    </row>
    <row r="9597" spans="1:34" ht="14.5" x14ac:dyDescent="0.35">
      <c r="A9597" s="34"/>
      <c r="B9597" s="35"/>
      <c r="C9597" s="36"/>
      <c r="D9597" s="37"/>
      <c r="E9597" s="36"/>
      <c r="F9597" s="42"/>
      <c r="G9597" s="42"/>
      <c r="H9597" s="42"/>
      <c r="AG9597" s="19">
        <v>9596</v>
      </c>
      <c r="AH9597" s="20">
        <v>3157.9715532525047</v>
      </c>
    </row>
    <row r="9598" spans="1:34" ht="14.5" x14ac:dyDescent="0.35">
      <c r="A9598" s="34"/>
      <c r="B9598" s="35"/>
      <c r="C9598" s="36"/>
      <c r="D9598" s="37"/>
      <c r="E9598" s="36"/>
      <c r="F9598" s="42"/>
      <c r="G9598" s="42"/>
      <c r="H9598" s="42"/>
      <c r="AG9598" s="19">
        <v>9597</v>
      </c>
      <c r="AH9598" s="20">
        <v>278.95061941037795</v>
      </c>
    </row>
    <row r="9599" spans="1:34" ht="14.5" x14ac:dyDescent="0.35">
      <c r="A9599" s="34"/>
      <c r="B9599" s="35"/>
      <c r="C9599" s="36"/>
      <c r="D9599" s="37"/>
      <c r="E9599" s="36"/>
      <c r="F9599" s="42"/>
      <c r="G9599" s="42"/>
      <c r="H9599" s="42"/>
      <c r="AG9599" s="19">
        <v>9598</v>
      </c>
      <c r="AH9599" s="20">
        <v>1885.4476658304593</v>
      </c>
    </row>
    <row r="9600" spans="1:34" ht="14.5" x14ac:dyDescent="0.35">
      <c r="A9600" s="34"/>
      <c r="B9600" s="35"/>
      <c r="C9600" s="36"/>
      <c r="D9600" s="37"/>
      <c r="E9600" s="36"/>
      <c r="F9600" s="42"/>
      <c r="G9600" s="42"/>
      <c r="H9600" s="42"/>
      <c r="AG9600" s="19">
        <v>9599</v>
      </c>
      <c r="AH9600" s="20">
        <v>2953.1490890962755</v>
      </c>
    </row>
    <row r="9601" spans="1:34" ht="14.5" x14ac:dyDescent="0.35">
      <c r="A9601" s="34"/>
      <c r="B9601" s="35"/>
      <c r="C9601" s="36"/>
      <c r="D9601" s="37"/>
      <c r="E9601" s="36"/>
      <c r="F9601" s="42"/>
      <c r="G9601" s="42"/>
      <c r="H9601" s="42"/>
      <c r="AG9601" s="19">
        <v>9600</v>
      </c>
      <c r="AH9601" s="20">
        <v>-384.97671965414241</v>
      </c>
    </row>
    <row r="9602" spans="1:34" ht="14.5" x14ac:dyDescent="0.35">
      <c r="A9602" s="34"/>
      <c r="B9602" s="35"/>
      <c r="C9602" s="36"/>
      <c r="D9602" s="37"/>
      <c r="E9602" s="36"/>
      <c r="F9602" s="42"/>
      <c r="G9602" s="42"/>
      <c r="H9602" s="42"/>
      <c r="AG9602" s="19">
        <v>9601</v>
      </c>
      <c r="AH9602" s="20">
        <v>-2183.249838076842</v>
      </c>
    </row>
    <row r="9603" spans="1:34" ht="14.5" x14ac:dyDescent="0.35">
      <c r="A9603" s="34"/>
      <c r="B9603" s="35"/>
      <c r="C9603" s="36"/>
      <c r="D9603" s="37"/>
      <c r="E9603" s="36"/>
      <c r="F9603" s="42"/>
      <c r="G9603" s="42"/>
      <c r="H9603" s="42"/>
      <c r="AG9603" s="19">
        <v>9602</v>
      </c>
      <c r="AH9603" s="20">
        <v>-1313.1250278017887</v>
      </c>
    </row>
    <row r="9604" spans="1:34" ht="14.5" x14ac:dyDescent="0.35">
      <c r="A9604" s="34"/>
      <c r="B9604" s="35"/>
      <c r="C9604" s="36"/>
      <c r="D9604" s="37"/>
      <c r="E9604" s="36"/>
      <c r="F9604" s="42"/>
      <c r="G9604" s="42"/>
      <c r="H9604" s="42"/>
      <c r="AG9604" s="19">
        <v>9603</v>
      </c>
      <c r="AH9604" s="20">
        <v>-2634.1264507347282</v>
      </c>
    </row>
    <row r="9605" spans="1:34" ht="14.5" x14ac:dyDescent="0.35">
      <c r="A9605" s="34"/>
      <c r="B9605" s="35"/>
      <c r="C9605" s="36"/>
      <c r="D9605" s="37"/>
      <c r="E9605" s="36"/>
      <c r="F9605" s="42"/>
      <c r="G9605" s="42"/>
      <c r="H9605" s="42"/>
      <c r="AG9605" s="19">
        <v>9604</v>
      </c>
      <c r="AH9605" s="20">
        <v>1541.6485714815406</v>
      </c>
    </row>
    <row r="9606" spans="1:34" ht="14.5" x14ac:dyDescent="0.35">
      <c r="A9606" s="34"/>
      <c r="B9606" s="35"/>
      <c r="C9606" s="36"/>
      <c r="D9606" s="37"/>
      <c r="E9606" s="36"/>
      <c r="F9606" s="42"/>
      <c r="G9606" s="42"/>
      <c r="H9606" s="42"/>
      <c r="AG9606" s="19">
        <v>9605</v>
      </c>
      <c r="AH9606" s="20">
        <v>-471.72939763379333</v>
      </c>
    </row>
    <row r="9607" spans="1:34" ht="14.5" x14ac:dyDescent="0.35">
      <c r="A9607" s="34"/>
      <c r="B9607" s="35"/>
      <c r="C9607" s="36"/>
      <c r="D9607" s="37"/>
      <c r="E9607" s="36"/>
      <c r="F9607" s="42"/>
      <c r="G9607" s="42"/>
      <c r="H9607" s="42"/>
      <c r="AG9607" s="19">
        <v>9606</v>
      </c>
      <c r="AH9607" s="20">
        <v>792.36844856566017</v>
      </c>
    </row>
    <row r="9608" spans="1:34" ht="14.5" x14ac:dyDescent="0.35">
      <c r="A9608" s="34"/>
      <c r="B9608" s="35"/>
      <c r="C9608" s="36"/>
      <c r="D9608" s="37"/>
      <c r="E9608" s="36"/>
      <c r="F9608" s="42"/>
      <c r="G9608" s="42"/>
      <c r="H9608" s="42"/>
      <c r="AG9608" s="19">
        <v>9607</v>
      </c>
      <c r="AH9608" s="20">
        <v>1788.7489736657469</v>
      </c>
    </row>
    <row r="9609" spans="1:34" ht="14.5" x14ac:dyDescent="0.35">
      <c r="A9609" s="34"/>
      <c r="B9609" s="35"/>
      <c r="C9609" s="36"/>
      <c r="D9609" s="37"/>
      <c r="E9609" s="36"/>
      <c r="F9609" s="42"/>
      <c r="G9609" s="42"/>
      <c r="H9609" s="42"/>
      <c r="AG9609" s="19">
        <v>9608</v>
      </c>
      <c r="AH9609" s="20">
        <v>-2211.8791659015815</v>
      </c>
    </row>
    <row r="9610" spans="1:34" ht="14.5" x14ac:dyDescent="0.35">
      <c r="A9610" s="34"/>
      <c r="B9610" s="35"/>
      <c r="C9610" s="36"/>
      <c r="D9610" s="37"/>
      <c r="E9610" s="36"/>
      <c r="F9610" s="42"/>
      <c r="G9610" s="42"/>
      <c r="H9610" s="42"/>
      <c r="AG9610" s="19">
        <v>9609</v>
      </c>
      <c r="AH9610" s="20">
        <v>1040.1493360397926</v>
      </c>
    </row>
    <row r="9611" spans="1:34" ht="14.5" x14ac:dyDescent="0.35">
      <c r="A9611" s="34"/>
      <c r="B9611" s="35"/>
      <c r="C9611" s="36"/>
      <c r="D9611" s="37"/>
      <c r="E9611" s="36"/>
      <c r="F9611" s="42"/>
      <c r="G9611" s="42"/>
      <c r="H9611" s="42"/>
      <c r="AG9611" s="19">
        <v>9610</v>
      </c>
      <c r="AH9611" s="20">
        <v>2424.3676386173697</v>
      </c>
    </row>
    <row r="9612" spans="1:34" ht="14.5" x14ac:dyDescent="0.35">
      <c r="A9612" s="34"/>
      <c r="B9612" s="35"/>
      <c r="C9612" s="36"/>
      <c r="D9612" s="37"/>
      <c r="E9612" s="36"/>
      <c r="F9612" s="42"/>
      <c r="G9612" s="42"/>
      <c r="H9612" s="42"/>
      <c r="AG9612" s="19">
        <v>9611</v>
      </c>
      <c r="AH9612" s="20">
        <v>-404.36017485114229</v>
      </c>
    </row>
    <row r="9613" spans="1:34" ht="14.5" x14ac:dyDescent="0.35">
      <c r="A9613" s="34"/>
      <c r="B9613" s="35"/>
      <c r="C9613" s="36"/>
      <c r="D9613" s="37"/>
      <c r="E9613" s="36"/>
      <c r="F9613" s="42"/>
      <c r="G9613" s="42"/>
      <c r="H9613" s="42"/>
      <c r="AG9613" s="19">
        <v>9612</v>
      </c>
      <c r="AH9613" s="20">
        <v>-2151.1047600430161</v>
      </c>
    </row>
    <row r="9614" spans="1:34" ht="14.5" x14ac:dyDescent="0.35">
      <c r="A9614" s="34"/>
      <c r="B9614" s="35"/>
      <c r="C9614" s="36"/>
      <c r="D9614" s="37"/>
      <c r="E9614" s="36"/>
      <c r="F9614" s="42"/>
      <c r="G9614" s="42"/>
      <c r="H9614" s="42"/>
      <c r="AG9614" s="19">
        <v>9613</v>
      </c>
      <c r="AH9614" s="20">
        <v>2257.5057455725778</v>
      </c>
    </row>
    <row r="9615" spans="1:34" ht="14.5" x14ac:dyDescent="0.35">
      <c r="A9615" s="34"/>
      <c r="B9615" s="35"/>
      <c r="C9615" s="36"/>
      <c r="D9615" s="37"/>
      <c r="E9615" s="36"/>
      <c r="F9615" s="42"/>
      <c r="G9615" s="42"/>
      <c r="H9615" s="42"/>
      <c r="AG9615" s="19">
        <v>9614</v>
      </c>
      <c r="AH9615" s="20">
        <v>4758.7465222474257</v>
      </c>
    </row>
    <row r="9616" spans="1:34" ht="14.5" x14ac:dyDescent="0.35">
      <c r="A9616" s="34"/>
      <c r="B9616" s="35"/>
      <c r="C9616" s="36"/>
      <c r="D9616" s="37"/>
      <c r="E9616" s="36"/>
      <c r="F9616" s="42"/>
      <c r="G9616" s="42"/>
      <c r="H9616" s="42"/>
      <c r="AG9616" s="19">
        <v>9615</v>
      </c>
      <c r="AH9616" s="20">
        <v>4403.716994535901</v>
      </c>
    </row>
    <row r="9617" spans="1:34" ht="14.5" x14ac:dyDescent="0.35">
      <c r="A9617" s="34"/>
      <c r="B9617" s="35"/>
      <c r="C9617" s="36"/>
      <c r="D9617" s="37"/>
      <c r="E9617" s="36"/>
      <c r="F9617" s="42"/>
      <c r="G9617" s="42"/>
      <c r="H9617" s="42"/>
      <c r="AG9617" s="19">
        <v>9616</v>
      </c>
      <c r="AH9617" s="20">
        <v>2040.5380292243904</v>
      </c>
    </row>
    <row r="9618" spans="1:34" ht="14.5" x14ac:dyDescent="0.35">
      <c r="A9618" s="34"/>
      <c r="B9618" s="35"/>
      <c r="C9618" s="36"/>
      <c r="D9618" s="37"/>
      <c r="E9618" s="36"/>
      <c r="F9618" s="42"/>
      <c r="G9618" s="42"/>
      <c r="H9618" s="42"/>
      <c r="AG9618" s="19">
        <v>9617</v>
      </c>
      <c r="AH9618" s="20">
        <v>-2957.8311560533521</v>
      </c>
    </row>
    <row r="9619" spans="1:34" ht="14.5" x14ac:dyDescent="0.35">
      <c r="A9619" s="34"/>
      <c r="B9619" s="35"/>
      <c r="C9619" s="36"/>
      <c r="D9619" s="37"/>
      <c r="E9619" s="36"/>
      <c r="F9619" s="42"/>
      <c r="G9619" s="42"/>
      <c r="H9619" s="42"/>
      <c r="AG9619" s="19">
        <v>9618</v>
      </c>
      <c r="AH9619" s="20">
        <v>-1880.0477963854871</v>
      </c>
    </row>
    <row r="9620" spans="1:34" ht="14.5" x14ac:dyDescent="0.35">
      <c r="A9620" s="34"/>
      <c r="B9620" s="35"/>
      <c r="C9620" s="36"/>
      <c r="D9620" s="37"/>
      <c r="E9620" s="36"/>
      <c r="F9620" s="42"/>
      <c r="G9620" s="42"/>
      <c r="H9620" s="42"/>
      <c r="AG9620" s="19">
        <v>9619</v>
      </c>
      <c r="AH9620" s="20">
        <v>-1051.7506340737609</v>
      </c>
    </row>
    <row r="9621" spans="1:34" ht="14.5" x14ac:dyDescent="0.35">
      <c r="A9621" s="34"/>
      <c r="B9621" s="35"/>
      <c r="C9621" s="36"/>
      <c r="D9621" s="37"/>
      <c r="E9621" s="36"/>
      <c r="F9621" s="42"/>
      <c r="G9621" s="42"/>
      <c r="H9621" s="42"/>
      <c r="AG9621" s="19">
        <v>9620</v>
      </c>
      <c r="AH9621" s="20">
        <v>1161.6672393894919</v>
      </c>
    </row>
    <row r="9622" spans="1:34" ht="14.5" x14ac:dyDescent="0.35">
      <c r="A9622" s="34"/>
      <c r="B9622" s="35"/>
      <c r="C9622" s="36"/>
      <c r="D9622" s="37"/>
      <c r="E9622" s="36"/>
      <c r="F9622" s="42"/>
      <c r="G9622" s="42"/>
      <c r="H9622" s="42"/>
      <c r="AG9622" s="19">
        <v>9621</v>
      </c>
      <c r="AH9622" s="20">
        <v>4132.3767686499223</v>
      </c>
    </row>
    <row r="9623" spans="1:34" ht="14.5" x14ac:dyDescent="0.35">
      <c r="A9623" s="34"/>
      <c r="B9623" s="35"/>
      <c r="C9623" s="36"/>
      <c r="D9623" s="37"/>
      <c r="E9623" s="36"/>
      <c r="F9623" s="42"/>
      <c r="G9623" s="42"/>
      <c r="H9623" s="42"/>
      <c r="AG9623" s="19">
        <v>9622</v>
      </c>
      <c r="AH9623" s="20">
        <v>3335.1593024532444</v>
      </c>
    </row>
    <row r="9624" spans="1:34" ht="14.5" x14ac:dyDescent="0.35">
      <c r="A9624" s="34"/>
      <c r="B9624" s="35"/>
      <c r="C9624" s="36"/>
      <c r="D9624" s="37"/>
      <c r="E9624" s="36"/>
      <c r="F9624" s="42"/>
      <c r="G9624" s="42"/>
      <c r="H9624" s="42"/>
      <c r="AG9624" s="19">
        <v>9623</v>
      </c>
      <c r="AH9624" s="20">
        <v>-3883.4710608724517</v>
      </c>
    </row>
    <row r="9625" spans="1:34" ht="14.5" x14ac:dyDescent="0.35">
      <c r="A9625" s="34"/>
      <c r="B9625" s="35"/>
      <c r="C9625" s="36"/>
      <c r="D9625" s="37"/>
      <c r="E9625" s="36"/>
      <c r="F9625" s="42"/>
      <c r="G9625" s="42"/>
      <c r="H9625" s="42"/>
      <c r="AG9625" s="19">
        <v>9624</v>
      </c>
      <c r="AH9625" s="20">
        <v>4700.6032081339717</v>
      </c>
    </row>
    <row r="9626" spans="1:34" ht="14.5" x14ac:dyDescent="0.35">
      <c r="A9626" s="34"/>
      <c r="B9626" s="35"/>
      <c r="C9626" s="36"/>
      <c r="D9626" s="37"/>
      <c r="E9626" s="36"/>
      <c r="F9626" s="42"/>
      <c r="G9626" s="42"/>
      <c r="H9626" s="42"/>
      <c r="AG9626" s="19">
        <v>9625</v>
      </c>
      <c r="AH9626" s="20">
        <v>2433.0556866399952</v>
      </c>
    </row>
    <row r="9627" spans="1:34" ht="14.5" x14ac:dyDescent="0.35">
      <c r="A9627" s="34"/>
      <c r="B9627" s="35"/>
      <c r="C9627" s="36"/>
      <c r="D9627" s="37"/>
      <c r="E9627" s="36"/>
      <c r="F9627" s="42"/>
      <c r="G9627" s="42"/>
      <c r="H9627" s="42"/>
      <c r="AG9627" s="19">
        <v>9626</v>
      </c>
      <c r="AH9627" s="20">
        <v>2843.2507583313086</v>
      </c>
    </row>
    <row r="9628" spans="1:34" ht="14.5" x14ac:dyDescent="0.35">
      <c r="A9628" s="34"/>
      <c r="B9628" s="35"/>
      <c r="C9628" s="36"/>
      <c r="D9628" s="37"/>
      <c r="E9628" s="36"/>
      <c r="F9628" s="42"/>
      <c r="G9628" s="42"/>
      <c r="H9628" s="42"/>
      <c r="AG9628" s="19">
        <v>9627</v>
      </c>
      <c r="AH9628" s="20">
        <v>2879.315761357976</v>
      </c>
    </row>
    <row r="9629" spans="1:34" ht="14.5" x14ac:dyDescent="0.35">
      <c r="A9629" s="34"/>
      <c r="B9629" s="35"/>
      <c r="C9629" s="36"/>
      <c r="D9629" s="37"/>
      <c r="E9629" s="36"/>
      <c r="F9629" s="42"/>
      <c r="G9629" s="42"/>
      <c r="H9629" s="42"/>
      <c r="AG9629" s="19">
        <v>9628</v>
      </c>
      <c r="AH9629" s="20">
        <v>2824.7104756955823</v>
      </c>
    </row>
    <row r="9630" spans="1:34" ht="14.5" x14ac:dyDescent="0.35">
      <c r="A9630" s="34"/>
      <c r="B9630" s="35"/>
      <c r="C9630" s="36"/>
      <c r="D9630" s="37"/>
      <c r="E9630" s="36"/>
      <c r="F9630" s="42"/>
      <c r="G9630" s="42"/>
      <c r="H9630" s="42"/>
      <c r="AG9630" s="19">
        <v>9629</v>
      </c>
      <c r="AH9630" s="20">
        <v>39.845158013526941</v>
      </c>
    </row>
    <row r="9631" spans="1:34" ht="14.5" x14ac:dyDescent="0.35">
      <c r="A9631" s="34"/>
      <c r="B9631" s="35"/>
      <c r="C9631" s="36"/>
      <c r="D9631" s="37"/>
      <c r="E9631" s="36"/>
      <c r="F9631" s="42"/>
      <c r="G9631" s="42"/>
      <c r="H9631" s="42"/>
      <c r="AG9631" s="19">
        <v>9630</v>
      </c>
      <c r="AH9631" s="20">
        <v>-918.46976400656968</v>
      </c>
    </row>
    <row r="9632" spans="1:34" ht="14.5" x14ac:dyDescent="0.35">
      <c r="A9632" s="34"/>
      <c r="B9632" s="35"/>
      <c r="C9632" s="36"/>
      <c r="D9632" s="37"/>
      <c r="E9632" s="36"/>
      <c r="F9632" s="42"/>
      <c r="G9632" s="42"/>
      <c r="H9632" s="42"/>
      <c r="AG9632" s="19">
        <v>9631</v>
      </c>
      <c r="AH9632" s="20">
        <v>1494.0944750382721</v>
      </c>
    </row>
    <row r="9633" spans="1:34" ht="14.5" x14ac:dyDescent="0.35">
      <c r="A9633" s="34"/>
      <c r="B9633" s="35"/>
      <c r="C9633" s="36"/>
      <c r="D9633" s="37"/>
      <c r="E9633" s="36"/>
      <c r="F9633" s="42"/>
      <c r="G9633" s="42"/>
      <c r="H9633" s="42"/>
      <c r="AG9633" s="19">
        <v>9632</v>
      </c>
      <c r="AH9633" s="20">
        <v>1097.6233639463378</v>
      </c>
    </row>
    <row r="9634" spans="1:34" ht="14.5" x14ac:dyDescent="0.35">
      <c r="A9634" s="34"/>
      <c r="B9634" s="35"/>
      <c r="C9634" s="36"/>
      <c r="D9634" s="37"/>
      <c r="E9634" s="36"/>
      <c r="F9634" s="42"/>
      <c r="G9634" s="42"/>
      <c r="H9634" s="42"/>
      <c r="AG9634" s="19">
        <v>9633</v>
      </c>
      <c r="AH9634" s="20">
        <v>-2895.5176020899157</v>
      </c>
    </row>
    <row r="9635" spans="1:34" ht="14.5" x14ac:dyDescent="0.35">
      <c r="A9635" s="34"/>
      <c r="B9635" s="35"/>
      <c r="C9635" s="36"/>
      <c r="D9635" s="37"/>
      <c r="E9635" s="36"/>
      <c r="F9635" s="42"/>
      <c r="G9635" s="42"/>
      <c r="H9635" s="42"/>
      <c r="AG9635" s="19">
        <v>9634</v>
      </c>
      <c r="AH9635" s="20">
        <v>-2507.1270665879274</v>
      </c>
    </row>
    <row r="9636" spans="1:34" ht="14.5" x14ac:dyDescent="0.35">
      <c r="A9636" s="34"/>
      <c r="B9636" s="35"/>
      <c r="C9636" s="36"/>
      <c r="D9636" s="37"/>
      <c r="E9636" s="36"/>
      <c r="F9636" s="42"/>
      <c r="G9636" s="42"/>
      <c r="H9636" s="42"/>
      <c r="AG9636" s="19">
        <v>9635</v>
      </c>
      <c r="AH9636" s="20">
        <v>3478.9481484971793</v>
      </c>
    </row>
    <row r="9637" spans="1:34" ht="14.5" x14ac:dyDescent="0.35">
      <c r="A9637" s="34"/>
      <c r="B9637" s="35"/>
      <c r="C9637" s="36"/>
      <c r="D9637" s="37"/>
      <c r="E9637" s="36"/>
      <c r="F9637" s="42"/>
      <c r="G9637" s="42"/>
      <c r="H9637" s="42"/>
      <c r="AG9637" s="19">
        <v>9636</v>
      </c>
      <c r="AH9637" s="20">
        <v>534.50306445142098</v>
      </c>
    </row>
    <row r="9638" spans="1:34" ht="14.5" x14ac:dyDescent="0.35">
      <c r="A9638" s="34"/>
      <c r="B9638" s="35"/>
      <c r="C9638" s="36"/>
      <c r="D9638" s="37"/>
      <c r="E9638" s="36"/>
      <c r="F9638" s="42"/>
      <c r="G9638" s="42"/>
      <c r="H9638" s="42"/>
      <c r="AG9638" s="19">
        <v>9637</v>
      </c>
      <c r="AH9638" s="20">
        <v>-1940.7373020819084</v>
      </c>
    </row>
    <row r="9639" spans="1:34" ht="14.5" x14ac:dyDescent="0.35">
      <c r="A9639" s="34"/>
      <c r="B9639" s="35"/>
      <c r="C9639" s="36"/>
      <c r="D9639" s="37"/>
      <c r="E9639" s="36"/>
      <c r="F9639" s="42"/>
      <c r="G9639" s="42"/>
      <c r="H9639" s="42"/>
      <c r="AG9639" s="19">
        <v>9638</v>
      </c>
      <c r="AH9639" s="20">
        <v>1143.207776652921</v>
      </c>
    </row>
    <row r="9640" spans="1:34" ht="14.5" x14ac:dyDescent="0.35">
      <c r="A9640" s="34"/>
      <c r="B9640" s="35"/>
      <c r="C9640" s="36"/>
      <c r="D9640" s="37"/>
      <c r="E9640" s="36"/>
      <c r="F9640" s="42"/>
      <c r="G9640" s="42"/>
      <c r="H9640" s="42"/>
      <c r="AG9640" s="19">
        <v>9639</v>
      </c>
      <c r="AH9640" s="20">
        <v>927.52001058167161</v>
      </c>
    </row>
    <row r="9641" spans="1:34" ht="14.5" x14ac:dyDescent="0.35">
      <c r="A9641" s="34"/>
      <c r="B9641" s="35"/>
      <c r="C9641" s="36"/>
      <c r="D9641" s="37"/>
      <c r="E9641" s="36"/>
      <c r="F9641" s="42"/>
      <c r="G9641" s="42"/>
      <c r="H9641" s="42"/>
      <c r="AG9641" s="19">
        <v>9640</v>
      </c>
      <c r="AH9641" s="20">
        <v>217.44109111286988</v>
      </c>
    </row>
    <row r="9642" spans="1:34" ht="14.5" x14ac:dyDescent="0.35">
      <c r="A9642" s="34"/>
      <c r="B9642" s="35"/>
      <c r="C9642" s="36"/>
      <c r="D9642" s="37"/>
      <c r="E9642" s="36"/>
      <c r="F9642" s="42"/>
      <c r="G9642" s="42"/>
      <c r="H9642" s="42"/>
      <c r="AG9642" s="19">
        <v>9641</v>
      </c>
      <c r="AH9642" s="20">
        <v>1506.6381084807892</v>
      </c>
    </row>
    <row r="9643" spans="1:34" ht="14.5" x14ac:dyDescent="0.35">
      <c r="A9643" s="34"/>
      <c r="B9643" s="35"/>
      <c r="C9643" s="36"/>
      <c r="D9643" s="37"/>
      <c r="E9643" s="36"/>
      <c r="F9643" s="42"/>
      <c r="G9643" s="42"/>
      <c r="H9643" s="42"/>
      <c r="AG9643" s="19">
        <v>9642</v>
      </c>
      <c r="AH9643" s="20">
        <v>-3179.5396051435391</v>
      </c>
    </row>
    <row r="9644" spans="1:34" ht="14.5" x14ac:dyDescent="0.35">
      <c r="A9644" s="34"/>
      <c r="B9644" s="35"/>
      <c r="C9644" s="36"/>
      <c r="D9644" s="37"/>
      <c r="E9644" s="36"/>
      <c r="F9644" s="42"/>
      <c r="G9644" s="42"/>
      <c r="H9644" s="42"/>
      <c r="AG9644" s="19">
        <v>9643</v>
      </c>
      <c r="AH9644" s="20">
        <v>-5125.3039249752892</v>
      </c>
    </row>
    <row r="9645" spans="1:34" ht="14.5" x14ac:dyDescent="0.35">
      <c r="A9645" s="34"/>
      <c r="B9645" s="35"/>
      <c r="C9645" s="36"/>
      <c r="D9645" s="37"/>
      <c r="E9645" s="36"/>
      <c r="F9645" s="42"/>
      <c r="G9645" s="42"/>
      <c r="H9645" s="42"/>
      <c r="AG9645" s="19">
        <v>9644</v>
      </c>
      <c r="AH9645" s="20">
        <v>-441.12916415124579</v>
      </c>
    </row>
    <row r="9646" spans="1:34" ht="14.5" x14ac:dyDescent="0.35">
      <c r="A9646" s="34"/>
      <c r="B9646" s="35"/>
      <c r="C9646" s="36"/>
      <c r="D9646" s="37"/>
      <c r="E9646" s="36"/>
      <c r="F9646" s="42"/>
      <c r="G9646" s="42"/>
      <c r="H9646" s="42"/>
      <c r="AG9646" s="19">
        <v>9645</v>
      </c>
      <c r="AH9646" s="20">
        <v>290.35816089195782</v>
      </c>
    </row>
    <row r="9647" spans="1:34" ht="14.5" x14ac:dyDescent="0.35">
      <c r="A9647" s="34"/>
      <c r="B9647" s="35"/>
      <c r="C9647" s="36"/>
      <c r="D9647" s="37"/>
      <c r="E9647" s="36"/>
      <c r="F9647" s="42"/>
      <c r="G9647" s="42"/>
      <c r="H9647" s="42"/>
      <c r="AG9647" s="19">
        <v>9646</v>
      </c>
      <c r="AH9647" s="20">
        <v>-195.14682043080819</v>
      </c>
    </row>
    <row r="9648" spans="1:34" ht="14.5" x14ac:dyDescent="0.35">
      <c r="A9648" s="34"/>
      <c r="B9648" s="35"/>
      <c r="C9648" s="36"/>
      <c r="D9648" s="37"/>
      <c r="E9648" s="36"/>
      <c r="F9648" s="42"/>
      <c r="G9648" s="42"/>
      <c r="H9648" s="42"/>
      <c r="AG9648" s="19">
        <v>9647</v>
      </c>
      <c r="AH9648" s="20">
        <v>-1241.603118022445</v>
      </c>
    </row>
    <row r="9649" spans="1:34" ht="14.5" x14ac:dyDescent="0.35">
      <c r="A9649" s="34"/>
      <c r="B9649" s="35"/>
      <c r="C9649" s="36"/>
      <c r="D9649" s="37"/>
      <c r="E9649" s="36"/>
      <c r="F9649" s="42"/>
      <c r="G9649" s="42"/>
      <c r="H9649" s="42"/>
      <c r="AG9649" s="19">
        <v>9648</v>
      </c>
      <c r="AH9649" s="20">
        <v>1412.8187309360437</v>
      </c>
    </row>
    <row r="9650" spans="1:34" ht="14.5" x14ac:dyDescent="0.35">
      <c r="A9650" s="34"/>
      <c r="B9650" s="35"/>
      <c r="C9650" s="36"/>
      <c r="D9650" s="37"/>
      <c r="E9650" s="36"/>
      <c r="F9650" s="42"/>
      <c r="G9650" s="42"/>
      <c r="H9650" s="42"/>
      <c r="AG9650" s="19">
        <v>9649</v>
      </c>
      <c r="AH9650" s="20">
        <v>3787.8526960570262</v>
      </c>
    </row>
    <row r="9651" spans="1:34" ht="14.5" x14ac:dyDescent="0.35">
      <c r="A9651" s="34"/>
      <c r="B9651" s="35"/>
      <c r="C9651" s="36"/>
      <c r="D9651" s="37"/>
      <c r="E9651" s="36"/>
      <c r="F9651" s="42"/>
      <c r="G9651" s="42"/>
      <c r="H9651" s="42"/>
      <c r="AG9651" s="19">
        <v>9650</v>
      </c>
      <c r="AH9651" s="20">
        <v>897.58023259352944</v>
      </c>
    </row>
    <row r="9652" spans="1:34" ht="14.5" x14ac:dyDescent="0.35">
      <c r="A9652" s="34"/>
      <c r="B9652" s="35"/>
      <c r="C9652" s="36"/>
      <c r="D9652" s="37"/>
      <c r="E9652" s="36"/>
      <c r="F9652" s="42"/>
      <c r="G9652" s="42"/>
      <c r="H9652" s="42"/>
      <c r="AG9652" s="19">
        <v>9651</v>
      </c>
      <c r="AH9652" s="20">
        <v>5083.4614450407889</v>
      </c>
    </row>
    <row r="9653" spans="1:34" ht="14.5" x14ac:dyDescent="0.35">
      <c r="A9653" s="34"/>
      <c r="B9653" s="35"/>
      <c r="C9653" s="36"/>
      <c r="D9653" s="37"/>
      <c r="E9653" s="36"/>
      <c r="F9653" s="42"/>
      <c r="G9653" s="42"/>
      <c r="H9653" s="42"/>
      <c r="AG9653" s="19">
        <v>9652</v>
      </c>
      <c r="AH9653" s="20">
        <v>3400.3267267966412</v>
      </c>
    </row>
    <row r="9654" spans="1:34" ht="14.5" x14ac:dyDescent="0.35">
      <c r="A9654" s="34"/>
      <c r="B9654" s="35"/>
      <c r="C9654" s="36"/>
      <c r="D9654" s="37"/>
      <c r="E9654" s="36"/>
      <c r="F9654" s="42"/>
      <c r="G9654" s="42"/>
      <c r="H9654" s="42"/>
      <c r="AG9654" s="19">
        <v>9653</v>
      </c>
      <c r="AH9654" s="20">
        <v>163.13646934587058</v>
      </c>
    </row>
    <row r="9655" spans="1:34" ht="14.5" x14ac:dyDescent="0.35">
      <c r="A9655" s="34"/>
      <c r="B9655" s="35"/>
      <c r="C9655" s="36"/>
      <c r="D9655" s="37"/>
      <c r="E9655" s="36"/>
      <c r="F9655" s="42"/>
      <c r="G9655" s="42"/>
      <c r="H9655" s="42"/>
      <c r="AG9655" s="19">
        <v>9654</v>
      </c>
      <c r="AH9655" s="20">
        <v>-1790.8932189036184</v>
      </c>
    </row>
    <row r="9656" spans="1:34" ht="14.5" x14ac:dyDescent="0.35">
      <c r="A9656" s="34"/>
      <c r="B9656" s="35"/>
      <c r="C9656" s="36"/>
      <c r="D9656" s="37"/>
      <c r="E9656" s="36"/>
      <c r="F9656" s="42"/>
      <c r="G9656" s="42"/>
      <c r="H9656" s="42"/>
      <c r="AG9656" s="19">
        <v>9655</v>
      </c>
      <c r="AH9656" s="20">
        <v>340.84244255681824</v>
      </c>
    </row>
    <row r="9657" spans="1:34" ht="14.5" x14ac:dyDescent="0.35">
      <c r="A9657" s="34"/>
      <c r="B9657" s="35"/>
      <c r="C9657" s="36"/>
      <c r="D9657" s="37"/>
      <c r="E9657" s="36"/>
      <c r="F9657" s="42"/>
      <c r="G9657" s="42"/>
      <c r="H9657" s="42"/>
      <c r="AG9657" s="19">
        <v>9656</v>
      </c>
      <c r="AH9657" s="20">
        <v>2715.9326438727144</v>
      </c>
    </row>
    <row r="9658" spans="1:34" ht="14.5" x14ac:dyDescent="0.35">
      <c r="A9658" s="34"/>
      <c r="B9658" s="35"/>
      <c r="C9658" s="36"/>
      <c r="D9658" s="37"/>
      <c r="E9658" s="36"/>
      <c r="F9658" s="42"/>
      <c r="G9658" s="42"/>
      <c r="H9658" s="42"/>
      <c r="AG9658" s="19">
        <v>9657</v>
      </c>
      <c r="AH9658" s="20">
        <v>-2438.1700346668581</v>
      </c>
    </row>
    <row r="9659" spans="1:34" ht="14.5" x14ac:dyDescent="0.35">
      <c r="A9659" s="34"/>
      <c r="B9659" s="35"/>
      <c r="C9659" s="36"/>
      <c r="D9659" s="37"/>
      <c r="E9659" s="36"/>
      <c r="F9659" s="42"/>
      <c r="G9659" s="42"/>
      <c r="H9659" s="42"/>
      <c r="AG9659" s="19">
        <v>9658</v>
      </c>
      <c r="AH9659" s="20">
        <v>2593.3030811119356</v>
      </c>
    </row>
    <row r="9660" spans="1:34" ht="14.5" x14ac:dyDescent="0.35">
      <c r="A9660" s="34"/>
      <c r="B9660" s="35"/>
      <c r="C9660" s="36"/>
      <c r="D9660" s="37"/>
      <c r="E9660" s="36"/>
      <c r="F9660" s="42"/>
      <c r="G9660" s="42"/>
      <c r="H9660" s="42"/>
      <c r="AG9660" s="19">
        <v>9659</v>
      </c>
      <c r="AH9660" s="20">
        <v>-4591.9957029377583</v>
      </c>
    </row>
    <row r="9661" spans="1:34" ht="14.5" x14ac:dyDescent="0.35">
      <c r="A9661" s="34"/>
      <c r="B9661" s="35"/>
      <c r="C9661" s="36"/>
      <c r="D9661" s="37"/>
      <c r="E9661" s="36"/>
      <c r="F9661" s="42"/>
      <c r="G9661" s="42"/>
      <c r="H9661" s="42"/>
      <c r="AG9661" s="19">
        <v>9660</v>
      </c>
      <c r="AH9661" s="20">
        <v>-2605.1725186971498</v>
      </c>
    </row>
    <row r="9662" spans="1:34" ht="14.5" x14ac:dyDescent="0.35">
      <c r="A9662" s="34"/>
      <c r="B9662" s="35"/>
      <c r="C9662" s="36"/>
      <c r="D9662" s="37"/>
      <c r="E9662" s="36"/>
      <c r="F9662" s="42"/>
      <c r="G9662" s="42"/>
      <c r="H9662" s="42"/>
      <c r="AG9662" s="19">
        <v>9661</v>
      </c>
      <c r="AH9662" s="20">
        <v>526.88457981990064</v>
      </c>
    </row>
    <row r="9663" spans="1:34" ht="14.5" x14ac:dyDescent="0.35">
      <c r="A9663" s="34"/>
      <c r="B9663" s="35"/>
      <c r="C9663" s="36"/>
      <c r="D9663" s="37"/>
      <c r="E9663" s="36"/>
      <c r="F9663" s="42"/>
      <c r="G9663" s="42"/>
      <c r="H9663" s="42"/>
      <c r="AG9663" s="19">
        <v>9662</v>
      </c>
      <c r="AH9663" s="20">
        <v>493.47208541875028</v>
      </c>
    </row>
    <row r="9664" spans="1:34" ht="14.5" x14ac:dyDescent="0.35">
      <c r="A9664" s="34"/>
      <c r="B9664" s="35"/>
      <c r="C9664" s="36"/>
      <c r="D9664" s="37"/>
      <c r="E9664" s="36"/>
      <c r="F9664" s="42"/>
      <c r="G9664" s="42"/>
      <c r="H9664" s="42"/>
      <c r="AG9664" s="19">
        <v>9663</v>
      </c>
      <c r="AH9664" s="20">
        <v>2109.9180044059331</v>
      </c>
    </row>
    <row r="9665" spans="1:34" ht="14.5" x14ac:dyDescent="0.35">
      <c r="A9665" s="34"/>
      <c r="B9665" s="35"/>
      <c r="C9665" s="36"/>
      <c r="D9665" s="37"/>
      <c r="E9665" s="36"/>
      <c r="F9665" s="42"/>
      <c r="G9665" s="42"/>
      <c r="H9665" s="42"/>
      <c r="AG9665" s="19">
        <v>9664</v>
      </c>
      <c r="AH9665" s="20">
        <v>-1389.5952747024191</v>
      </c>
    </row>
    <row r="9666" spans="1:34" ht="14.5" x14ac:dyDescent="0.35">
      <c r="A9666" s="34"/>
      <c r="B9666" s="35"/>
      <c r="C9666" s="36"/>
      <c r="D9666" s="37"/>
      <c r="E9666" s="36"/>
      <c r="F9666" s="42"/>
      <c r="G9666" s="42"/>
      <c r="H9666" s="42"/>
      <c r="AG9666" s="19">
        <v>9665</v>
      </c>
      <c r="AH9666" s="20">
        <v>884.23559136980589</v>
      </c>
    </row>
    <row r="9667" spans="1:34" ht="14.5" x14ac:dyDescent="0.35">
      <c r="A9667" s="34"/>
      <c r="B9667" s="35"/>
      <c r="C9667" s="36"/>
      <c r="D9667" s="37"/>
      <c r="E9667" s="36"/>
      <c r="F9667" s="42"/>
      <c r="G9667" s="42"/>
      <c r="H9667" s="42"/>
      <c r="AG9667" s="19">
        <v>9666</v>
      </c>
      <c r="AH9667" s="20">
        <v>-1063.1857436443584</v>
      </c>
    </row>
    <row r="9668" spans="1:34" ht="14.5" x14ac:dyDescent="0.35">
      <c r="A9668" s="34"/>
      <c r="B9668" s="35"/>
      <c r="C9668" s="36"/>
      <c r="D9668" s="37"/>
      <c r="E9668" s="36"/>
      <c r="F9668" s="42"/>
      <c r="G9668" s="42"/>
      <c r="H9668" s="42"/>
      <c r="AG9668" s="19">
        <v>9667</v>
      </c>
      <c r="AH9668" s="20">
        <v>692.97059374080959</v>
      </c>
    </row>
    <row r="9669" spans="1:34" ht="14.5" x14ac:dyDescent="0.35">
      <c r="A9669" s="34"/>
      <c r="B9669" s="35"/>
      <c r="C9669" s="36"/>
      <c r="D9669" s="37"/>
      <c r="E9669" s="36"/>
      <c r="F9669" s="42"/>
      <c r="G9669" s="42"/>
      <c r="H9669" s="42"/>
      <c r="AG9669" s="19">
        <v>9668</v>
      </c>
      <c r="AH9669" s="20">
        <v>-459.13912903131785</v>
      </c>
    </row>
    <row r="9670" spans="1:34" ht="14.5" x14ac:dyDescent="0.35">
      <c r="A9670" s="34"/>
      <c r="B9670" s="35"/>
      <c r="C9670" s="36"/>
      <c r="D9670" s="37"/>
      <c r="E9670" s="36"/>
      <c r="F9670" s="42"/>
      <c r="G9670" s="42"/>
      <c r="H9670" s="42"/>
      <c r="AG9670" s="19">
        <v>9669</v>
      </c>
      <c r="AH9670" s="20">
        <v>2972.5763978931654</v>
      </c>
    </row>
    <row r="9671" spans="1:34" ht="14.5" x14ac:dyDescent="0.35">
      <c r="A9671" s="34"/>
      <c r="B9671" s="35"/>
      <c r="C9671" s="36"/>
      <c r="D9671" s="37"/>
      <c r="E9671" s="36"/>
      <c r="F9671" s="42"/>
      <c r="G9671" s="42"/>
      <c r="H9671" s="42"/>
      <c r="AG9671" s="19">
        <v>9670</v>
      </c>
      <c r="AH9671" s="20">
        <v>544.00624147594442</v>
      </c>
    </row>
    <row r="9672" spans="1:34" ht="14.5" x14ac:dyDescent="0.35">
      <c r="A9672" s="34"/>
      <c r="B9672" s="35"/>
      <c r="C9672" s="36"/>
      <c r="D9672" s="37"/>
      <c r="E9672" s="36"/>
      <c r="F9672" s="42"/>
      <c r="G9672" s="42"/>
      <c r="H9672" s="42"/>
      <c r="AG9672" s="19">
        <v>9671</v>
      </c>
      <c r="AH9672" s="20">
        <v>3424.0694247950551</v>
      </c>
    </row>
    <row r="9673" spans="1:34" ht="14.5" x14ac:dyDescent="0.35">
      <c r="A9673" s="34"/>
      <c r="B9673" s="35"/>
      <c r="C9673" s="36"/>
      <c r="D9673" s="37"/>
      <c r="E9673" s="36"/>
      <c r="F9673" s="42"/>
      <c r="G9673" s="42"/>
      <c r="H9673" s="42"/>
      <c r="AG9673" s="19">
        <v>9672</v>
      </c>
      <c r="AH9673" s="20">
        <v>-3048.726407164067</v>
      </c>
    </row>
    <row r="9674" spans="1:34" ht="14.5" x14ac:dyDescent="0.35">
      <c r="A9674" s="34"/>
      <c r="B9674" s="35"/>
      <c r="C9674" s="36"/>
      <c r="D9674" s="37"/>
      <c r="E9674" s="36"/>
      <c r="F9674" s="42"/>
      <c r="G9674" s="42"/>
      <c r="H9674" s="42"/>
      <c r="AG9674" s="19">
        <v>9673</v>
      </c>
      <c r="AH9674" s="20">
        <v>2343.6993285600679</v>
      </c>
    </row>
    <row r="9675" spans="1:34" ht="14.5" x14ac:dyDescent="0.35">
      <c r="A9675" s="34"/>
      <c r="B9675" s="35"/>
      <c r="C9675" s="36"/>
      <c r="D9675" s="37"/>
      <c r="E9675" s="36"/>
      <c r="F9675" s="42"/>
      <c r="G9675" s="42"/>
      <c r="H9675" s="42"/>
      <c r="AG9675" s="19">
        <v>9674</v>
      </c>
      <c r="AH9675" s="20">
        <v>2803.8639837888354</v>
      </c>
    </row>
    <row r="9676" spans="1:34" ht="14.5" x14ac:dyDescent="0.35">
      <c r="A9676" s="34"/>
      <c r="B9676" s="35"/>
      <c r="C9676" s="36"/>
      <c r="D9676" s="37"/>
      <c r="E9676" s="36"/>
      <c r="F9676" s="42"/>
      <c r="G9676" s="42"/>
      <c r="H9676" s="42"/>
      <c r="AG9676" s="19">
        <v>9675</v>
      </c>
      <c r="AH9676" s="20">
        <v>2090.0475894344863</v>
      </c>
    </row>
    <row r="9677" spans="1:34" ht="14.5" x14ac:dyDescent="0.35">
      <c r="A9677" s="34"/>
      <c r="B9677" s="35"/>
      <c r="C9677" s="36"/>
      <c r="D9677" s="37"/>
      <c r="E9677" s="36"/>
      <c r="F9677" s="42"/>
      <c r="G9677" s="42"/>
      <c r="H9677" s="42"/>
      <c r="AG9677" s="19">
        <v>9676</v>
      </c>
      <c r="AH9677" s="20">
        <v>700.56954633651026</v>
      </c>
    </row>
    <row r="9678" spans="1:34" ht="14.5" x14ac:dyDescent="0.35">
      <c r="A9678" s="34"/>
      <c r="B9678" s="35"/>
      <c r="C9678" s="36"/>
      <c r="D9678" s="37"/>
      <c r="E9678" s="36"/>
      <c r="F9678" s="42"/>
      <c r="G9678" s="42"/>
      <c r="H9678" s="42"/>
      <c r="AG9678" s="19">
        <v>9677</v>
      </c>
      <c r="AH9678" s="20">
        <v>-2475.7881070046419</v>
      </c>
    </row>
    <row r="9679" spans="1:34" ht="14.5" x14ac:dyDescent="0.35">
      <c r="A9679" s="34"/>
      <c r="B9679" s="35"/>
      <c r="C9679" s="36"/>
      <c r="D9679" s="37"/>
      <c r="E9679" s="36"/>
      <c r="F9679" s="42"/>
      <c r="G9679" s="42"/>
      <c r="H9679" s="42"/>
      <c r="AG9679" s="19">
        <v>9678</v>
      </c>
      <c r="AH9679" s="20">
        <v>573.54971377027528</v>
      </c>
    </row>
    <row r="9680" spans="1:34" ht="14.5" x14ac:dyDescent="0.35">
      <c r="A9680" s="34"/>
      <c r="B9680" s="35"/>
      <c r="C9680" s="36"/>
      <c r="D9680" s="37"/>
      <c r="E9680" s="36"/>
      <c r="F9680" s="42"/>
      <c r="G9680" s="42"/>
      <c r="H9680" s="42"/>
      <c r="AG9680" s="19">
        <v>9679</v>
      </c>
      <c r="AH9680" s="20">
        <v>-497.07481917432943</v>
      </c>
    </row>
    <row r="9681" spans="1:34" ht="14.5" x14ac:dyDescent="0.35">
      <c r="A9681" s="34"/>
      <c r="B9681" s="35"/>
      <c r="C9681" s="36"/>
      <c r="D9681" s="37"/>
      <c r="E9681" s="36"/>
      <c r="F9681" s="42"/>
      <c r="G9681" s="42"/>
      <c r="H9681" s="42"/>
      <c r="AG9681" s="19">
        <v>9680</v>
      </c>
      <c r="AH9681" s="20">
        <v>3814.1318901284553</v>
      </c>
    </row>
    <row r="9682" spans="1:34" ht="14.5" x14ac:dyDescent="0.35">
      <c r="A9682" s="34"/>
      <c r="B9682" s="35"/>
      <c r="C9682" s="36"/>
      <c r="D9682" s="37"/>
      <c r="E9682" s="36"/>
      <c r="F9682" s="42"/>
      <c r="G9682" s="42"/>
      <c r="H9682" s="42"/>
      <c r="AG9682" s="19">
        <v>9681</v>
      </c>
      <c r="AH9682" s="20">
        <v>-1646.4476236955068</v>
      </c>
    </row>
    <row r="9683" spans="1:34" ht="14.5" x14ac:dyDescent="0.35">
      <c r="A9683" s="34"/>
      <c r="B9683" s="35"/>
      <c r="C9683" s="36"/>
      <c r="D9683" s="37"/>
      <c r="E9683" s="36"/>
      <c r="F9683" s="42"/>
      <c r="G9683" s="42"/>
      <c r="H9683" s="42"/>
      <c r="AG9683" s="19">
        <v>9682</v>
      </c>
      <c r="AH9683" s="20">
        <v>1636.7928722745664</v>
      </c>
    </row>
    <row r="9684" spans="1:34" ht="14.5" x14ac:dyDescent="0.35">
      <c r="A9684" s="34"/>
      <c r="B9684" s="35"/>
      <c r="C9684" s="36"/>
      <c r="D9684" s="37"/>
      <c r="E9684" s="36"/>
      <c r="F9684" s="42"/>
      <c r="G9684" s="42"/>
      <c r="H9684" s="42"/>
      <c r="AG9684" s="19">
        <v>9683</v>
      </c>
      <c r="AH9684" s="20">
        <v>-311.71387807917671</v>
      </c>
    </row>
    <row r="9685" spans="1:34" ht="14.5" x14ac:dyDescent="0.35">
      <c r="A9685" s="34"/>
      <c r="B9685" s="35"/>
      <c r="C9685" s="36"/>
      <c r="D9685" s="37"/>
      <c r="E9685" s="36"/>
      <c r="F9685" s="42"/>
      <c r="G9685" s="42"/>
      <c r="H9685" s="42"/>
      <c r="AG9685" s="19">
        <v>9684</v>
      </c>
      <c r="AH9685" s="20">
        <v>2738.9168583003679</v>
      </c>
    </row>
    <row r="9686" spans="1:34" ht="14.5" x14ac:dyDescent="0.35">
      <c r="A9686" s="34"/>
      <c r="B9686" s="35"/>
      <c r="C9686" s="36"/>
      <c r="D9686" s="37"/>
      <c r="E9686" s="36"/>
      <c r="F9686" s="42"/>
      <c r="G9686" s="42"/>
      <c r="H9686" s="42"/>
      <c r="AG9686" s="19">
        <v>9685</v>
      </c>
      <c r="AH9686" s="20">
        <v>-1292.218201563433</v>
      </c>
    </row>
    <row r="9687" spans="1:34" ht="14.5" x14ac:dyDescent="0.35">
      <c r="A9687" s="34"/>
      <c r="B9687" s="35"/>
      <c r="C9687" s="36"/>
      <c r="D9687" s="37"/>
      <c r="E9687" s="36"/>
      <c r="F9687" s="42"/>
      <c r="G9687" s="42"/>
      <c r="H9687" s="42"/>
      <c r="AG9687" s="19">
        <v>9686</v>
      </c>
      <c r="AH9687" s="20">
        <v>-1447.021631638785</v>
      </c>
    </row>
    <row r="9688" spans="1:34" ht="14.5" x14ac:dyDescent="0.35">
      <c r="A9688" s="34"/>
      <c r="B9688" s="35"/>
      <c r="C9688" s="36"/>
      <c r="D9688" s="37"/>
      <c r="E9688" s="36"/>
      <c r="F9688" s="42"/>
      <c r="G9688" s="42"/>
      <c r="H9688" s="42"/>
      <c r="AG9688" s="19">
        <v>9687</v>
      </c>
      <c r="AH9688" s="20">
        <v>-308.22491058983684</v>
      </c>
    </row>
    <row r="9689" spans="1:34" ht="14.5" x14ac:dyDescent="0.35">
      <c r="A9689" s="34"/>
      <c r="B9689" s="35"/>
      <c r="C9689" s="36"/>
      <c r="D9689" s="37"/>
      <c r="E9689" s="36"/>
      <c r="F9689" s="42"/>
      <c r="G9689" s="42"/>
      <c r="H9689" s="42"/>
      <c r="AG9689" s="19">
        <v>9688</v>
      </c>
      <c r="AH9689" s="20">
        <v>1379.7282796557497</v>
      </c>
    </row>
    <row r="9690" spans="1:34" ht="14.5" x14ac:dyDescent="0.35">
      <c r="A9690" s="34"/>
      <c r="B9690" s="35"/>
      <c r="C9690" s="36"/>
      <c r="D9690" s="37"/>
      <c r="E9690" s="36"/>
      <c r="F9690" s="42"/>
      <c r="G9690" s="42"/>
      <c r="H9690" s="42"/>
      <c r="AG9690" s="19">
        <v>9689</v>
      </c>
      <c r="AH9690" s="20">
        <v>-1650.3039556283609</v>
      </c>
    </row>
    <row r="9691" spans="1:34" ht="14.5" x14ac:dyDescent="0.35">
      <c r="A9691" s="34"/>
      <c r="B9691" s="35"/>
      <c r="C9691" s="36"/>
      <c r="D9691" s="37"/>
      <c r="E9691" s="36"/>
      <c r="F9691" s="42"/>
      <c r="G9691" s="42"/>
      <c r="H9691" s="42"/>
      <c r="AG9691" s="19">
        <v>9690</v>
      </c>
      <c r="AH9691" s="20">
        <v>-122.38605311081841</v>
      </c>
    </row>
    <row r="9692" spans="1:34" ht="14.5" x14ac:dyDescent="0.35">
      <c r="A9692" s="34"/>
      <c r="B9692" s="35"/>
      <c r="C9692" s="36"/>
      <c r="D9692" s="37"/>
      <c r="E9692" s="36"/>
      <c r="F9692" s="42"/>
      <c r="G9692" s="42"/>
      <c r="H9692" s="42"/>
      <c r="AG9692" s="19">
        <v>9691</v>
      </c>
      <c r="AH9692" s="20">
        <v>2413.6445553974127</v>
      </c>
    </row>
    <row r="9693" spans="1:34" ht="14.5" x14ac:dyDescent="0.35">
      <c r="A9693" s="34"/>
      <c r="B9693" s="35"/>
      <c r="C9693" s="36"/>
      <c r="D9693" s="37"/>
      <c r="E9693" s="36"/>
      <c r="F9693" s="42"/>
      <c r="G9693" s="42"/>
      <c r="H9693" s="42"/>
      <c r="AG9693" s="19">
        <v>9692</v>
      </c>
      <c r="AH9693" s="20">
        <v>1711.8463329920048</v>
      </c>
    </row>
    <row r="9694" spans="1:34" ht="14.5" x14ac:dyDescent="0.35">
      <c r="A9694" s="34"/>
      <c r="B9694" s="35"/>
      <c r="C9694" s="36"/>
      <c r="D9694" s="37"/>
      <c r="E9694" s="36"/>
      <c r="F9694" s="42"/>
      <c r="G9694" s="42"/>
      <c r="H9694" s="42"/>
      <c r="AG9694" s="19">
        <v>9693</v>
      </c>
      <c r="AH9694" s="20">
        <v>2250.7171282401368</v>
      </c>
    </row>
    <row r="9695" spans="1:34" ht="14.5" x14ac:dyDescent="0.35">
      <c r="A9695" s="34"/>
      <c r="B9695" s="35"/>
      <c r="C9695" s="36"/>
      <c r="D9695" s="37"/>
      <c r="E9695" s="36"/>
      <c r="F9695" s="42"/>
      <c r="G9695" s="42"/>
      <c r="H9695" s="42"/>
      <c r="AG9695" s="19">
        <v>9694</v>
      </c>
      <c r="AH9695" s="20">
        <v>-1068.9899278554155</v>
      </c>
    </row>
    <row r="9696" spans="1:34" ht="14.5" x14ac:dyDescent="0.35">
      <c r="A9696" s="34"/>
      <c r="B9696" s="35"/>
      <c r="C9696" s="36"/>
      <c r="D9696" s="37"/>
      <c r="E9696" s="36"/>
      <c r="F9696" s="42"/>
      <c r="G9696" s="42"/>
      <c r="H9696" s="42"/>
      <c r="AG9696" s="19">
        <v>9695</v>
      </c>
      <c r="AH9696" s="20">
        <v>-1311.8402304547003</v>
      </c>
    </row>
    <row r="9697" spans="1:34" ht="14.5" x14ac:dyDescent="0.35">
      <c r="A9697" s="34"/>
      <c r="B9697" s="35"/>
      <c r="C9697" s="36"/>
      <c r="D9697" s="37"/>
      <c r="E9697" s="36"/>
      <c r="F9697" s="42"/>
      <c r="G9697" s="42"/>
      <c r="H9697" s="42"/>
      <c r="AG9697" s="19">
        <v>9696</v>
      </c>
      <c r="AH9697" s="20">
        <v>4002.9503046982095</v>
      </c>
    </row>
    <row r="9698" spans="1:34" ht="14.5" x14ac:dyDescent="0.35">
      <c r="A9698" s="34"/>
      <c r="B9698" s="35"/>
      <c r="C9698" s="36"/>
      <c r="D9698" s="37"/>
      <c r="E9698" s="36"/>
      <c r="F9698" s="42"/>
      <c r="G9698" s="42"/>
      <c r="H9698" s="42"/>
      <c r="AG9698" s="19">
        <v>9697</v>
      </c>
      <c r="AH9698" s="20">
        <v>1356.2584065072231</v>
      </c>
    </row>
    <row r="9699" spans="1:34" ht="14.5" x14ac:dyDescent="0.35">
      <c r="A9699" s="34"/>
      <c r="B9699" s="35"/>
      <c r="C9699" s="36"/>
      <c r="D9699" s="37"/>
      <c r="E9699" s="36"/>
      <c r="F9699" s="42"/>
      <c r="G9699" s="42"/>
      <c r="H9699" s="42"/>
      <c r="AG9699" s="19">
        <v>9698</v>
      </c>
      <c r="AH9699" s="20">
        <v>2771.5531029304766</v>
      </c>
    </row>
    <row r="9700" spans="1:34" ht="14.5" x14ac:dyDescent="0.35">
      <c r="A9700" s="34"/>
      <c r="B9700" s="35"/>
      <c r="C9700" s="36"/>
      <c r="D9700" s="37"/>
      <c r="E9700" s="36"/>
      <c r="F9700" s="42"/>
      <c r="G9700" s="42"/>
      <c r="H9700" s="42"/>
      <c r="AG9700" s="19">
        <v>9699</v>
      </c>
      <c r="AH9700" s="20">
        <v>2147.0994580136257</v>
      </c>
    </row>
    <row r="9701" spans="1:34" ht="14.5" x14ac:dyDescent="0.35">
      <c r="A9701" s="34"/>
      <c r="B9701" s="35"/>
      <c r="C9701" s="36"/>
      <c r="D9701" s="37"/>
      <c r="E9701" s="36"/>
      <c r="F9701" s="42"/>
      <c r="G9701" s="42"/>
      <c r="H9701" s="42"/>
      <c r="AG9701" s="19">
        <v>9700</v>
      </c>
      <c r="AH9701" s="20">
        <v>176.64537109869772</v>
      </c>
    </row>
    <row r="9702" spans="1:34" ht="14.5" x14ac:dyDescent="0.35">
      <c r="A9702" s="34"/>
      <c r="B9702" s="35"/>
      <c r="C9702" s="36"/>
      <c r="D9702" s="37"/>
      <c r="E9702" s="36"/>
      <c r="F9702" s="42"/>
      <c r="G9702" s="42"/>
      <c r="H9702" s="42"/>
      <c r="AG9702" s="19">
        <v>9701</v>
      </c>
      <c r="AH9702" s="20">
        <v>1462.0785810816337</v>
      </c>
    </row>
    <row r="9703" spans="1:34" ht="14.5" x14ac:dyDescent="0.35">
      <c r="A9703" s="34"/>
      <c r="B9703" s="35"/>
      <c r="C9703" s="36"/>
      <c r="D9703" s="37"/>
      <c r="E9703" s="36"/>
      <c r="F9703" s="42"/>
      <c r="G9703" s="42"/>
      <c r="H9703" s="42"/>
      <c r="AG9703" s="19">
        <v>9702</v>
      </c>
      <c r="AH9703" s="20">
        <v>-4839.9613540359487</v>
      </c>
    </row>
    <row r="9704" spans="1:34" ht="14.5" x14ac:dyDescent="0.35">
      <c r="A9704" s="34"/>
      <c r="B9704" s="35"/>
      <c r="C9704" s="36"/>
      <c r="D9704" s="37"/>
      <c r="E9704" s="36"/>
      <c r="F9704" s="42"/>
      <c r="G9704" s="42"/>
      <c r="H9704" s="42"/>
      <c r="AG9704" s="19">
        <v>9703</v>
      </c>
      <c r="AH9704" s="20">
        <v>1628.3532309643201</v>
      </c>
    </row>
    <row r="9705" spans="1:34" ht="14.5" x14ac:dyDescent="0.35">
      <c r="A9705" s="34"/>
      <c r="B9705" s="35"/>
      <c r="C9705" s="36"/>
      <c r="D9705" s="37"/>
      <c r="E9705" s="36"/>
      <c r="F9705" s="42"/>
      <c r="G9705" s="42"/>
      <c r="H9705" s="42"/>
      <c r="AG9705" s="19">
        <v>9704</v>
      </c>
      <c r="AH9705" s="20">
        <v>2051.9832385806717</v>
      </c>
    </row>
    <row r="9706" spans="1:34" ht="14.5" x14ac:dyDescent="0.35">
      <c r="A9706" s="34"/>
      <c r="B9706" s="35"/>
      <c r="C9706" s="36"/>
      <c r="D9706" s="37"/>
      <c r="E9706" s="36"/>
      <c r="F9706" s="42"/>
      <c r="G9706" s="42"/>
      <c r="H9706" s="42"/>
      <c r="AG9706" s="19">
        <v>9705</v>
      </c>
      <c r="AH9706" s="20">
        <v>2530.8818717489212</v>
      </c>
    </row>
    <row r="9707" spans="1:34" ht="14.5" x14ac:dyDescent="0.35">
      <c r="A9707" s="34"/>
      <c r="B9707" s="35"/>
      <c r="C9707" s="36"/>
      <c r="D9707" s="37"/>
      <c r="E9707" s="36"/>
      <c r="F9707" s="42"/>
      <c r="G9707" s="42"/>
      <c r="H9707" s="42"/>
      <c r="AG9707" s="19">
        <v>9706</v>
      </c>
      <c r="AH9707" s="20">
        <v>2777.1164883935076</v>
      </c>
    </row>
    <row r="9708" spans="1:34" ht="14.5" x14ac:dyDescent="0.35">
      <c r="A9708" s="34"/>
      <c r="B9708" s="35"/>
      <c r="C9708" s="36"/>
      <c r="D9708" s="37"/>
      <c r="E9708" s="36"/>
      <c r="F9708" s="42"/>
      <c r="G9708" s="42"/>
      <c r="H9708" s="42"/>
      <c r="AG9708" s="19">
        <v>9707</v>
      </c>
      <c r="AH9708" s="20">
        <v>-1011.2707362192673</v>
      </c>
    </row>
    <row r="9709" spans="1:34" ht="14.5" x14ac:dyDescent="0.35">
      <c r="A9709" s="34"/>
      <c r="B9709" s="35"/>
      <c r="C9709" s="36"/>
      <c r="D9709" s="37"/>
      <c r="E9709" s="36"/>
      <c r="F9709" s="42"/>
      <c r="G9709" s="42"/>
      <c r="H9709" s="42"/>
      <c r="AG9709" s="19">
        <v>9708</v>
      </c>
      <c r="AH9709" s="20">
        <v>-839.32600226928707</v>
      </c>
    </row>
    <row r="9710" spans="1:34" ht="14.5" x14ac:dyDescent="0.35">
      <c r="A9710" s="34"/>
      <c r="B9710" s="35"/>
      <c r="C9710" s="36"/>
      <c r="D9710" s="37"/>
      <c r="E9710" s="36"/>
      <c r="F9710" s="42"/>
      <c r="G9710" s="42"/>
      <c r="H9710" s="42"/>
      <c r="AG9710" s="19">
        <v>9709</v>
      </c>
      <c r="AH9710" s="20">
        <v>2252.3286687668119</v>
      </c>
    </row>
    <row r="9711" spans="1:34" ht="14.5" x14ac:dyDescent="0.35">
      <c r="A9711" s="34"/>
      <c r="B9711" s="35"/>
      <c r="C9711" s="36"/>
      <c r="D9711" s="37"/>
      <c r="E9711" s="36"/>
      <c r="F9711" s="42"/>
      <c r="G9711" s="42"/>
      <c r="H9711" s="42"/>
      <c r="AG9711" s="19">
        <v>9710</v>
      </c>
      <c r="AH9711" s="20">
        <v>-658.81153525593777</v>
      </c>
    </row>
    <row r="9712" spans="1:34" ht="14.5" x14ac:dyDescent="0.35">
      <c r="A9712" s="34"/>
      <c r="B9712" s="35"/>
      <c r="C9712" s="36"/>
      <c r="D9712" s="37"/>
      <c r="E9712" s="36"/>
      <c r="F9712" s="42"/>
      <c r="G9712" s="42"/>
      <c r="H9712" s="42"/>
      <c r="AG9712" s="19">
        <v>9711</v>
      </c>
      <c r="AH9712" s="20">
        <v>-296.55656058936842</v>
      </c>
    </row>
    <row r="9713" spans="1:34" ht="14.5" x14ac:dyDescent="0.35">
      <c r="A9713" s="34"/>
      <c r="B9713" s="35"/>
      <c r="C9713" s="36"/>
      <c r="D9713" s="37"/>
      <c r="E9713" s="36"/>
      <c r="F9713" s="42"/>
      <c r="G9713" s="42"/>
      <c r="H9713" s="42"/>
      <c r="AG9713" s="19">
        <v>9712</v>
      </c>
      <c r="AH9713" s="20">
        <v>-1202.0170724450841</v>
      </c>
    </row>
    <row r="9714" spans="1:34" ht="14.5" x14ac:dyDescent="0.35">
      <c r="A9714" s="34"/>
      <c r="B9714" s="35"/>
      <c r="C9714" s="36"/>
      <c r="D9714" s="37"/>
      <c r="E9714" s="36"/>
      <c r="F9714" s="42"/>
      <c r="G9714" s="42"/>
      <c r="H9714" s="42"/>
      <c r="AG9714" s="19">
        <v>9713</v>
      </c>
      <c r="AH9714" s="20">
        <v>-660.62404129802553</v>
      </c>
    </row>
    <row r="9715" spans="1:34" ht="14.5" x14ac:dyDescent="0.35">
      <c r="A9715" s="34"/>
      <c r="B9715" s="35"/>
      <c r="C9715" s="36"/>
      <c r="D9715" s="37"/>
      <c r="E9715" s="36"/>
      <c r="F9715" s="42"/>
      <c r="G9715" s="42"/>
      <c r="H9715" s="42"/>
      <c r="AG9715" s="19">
        <v>9714</v>
      </c>
      <c r="AH9715" s="20">
        <v>2611.6851371402372</v>
      </c>
    </row>
    <row r="9716" spans="1:34" ht="14.5" x14ac:dyDescent="0.35">
      <c r="A9716" s="34"/>
      <c r="B9716" s="35"/>
      <c r="C9716" s="36"/>
      <c r="D9716" s="37"/>
      <c r="E9716" s="36"/>
      <c r="F9716" s="42"/>
      <c r="G9716" s="42"/>
      <c r="H9716" s="42"/>
      <c r="AG9716" s="19">
        <v>9715</v>
      </c>
      <c r="AH9716" s="20">
        <v>1698.918113146985</v>
      </c>
    </row>
    <row r="9717" spans="1:34" ht="14.5" x14ac:dyDescent="0.35">
      <c r="A9717" s="34"/>
      <c r="B9717" s="35"/>
      <c r="C9717" s="36"/>
      <c r="D9717" s="37"/>
      <c r="E9717" s="36"/>
      <c r="F9717" s="42"/>
      <c r="G9717" s="42"/>
      <c r="H9717" s="42"/>
      <c r="AG9717" s="19">
        <v>9716</v>
      </c>
      <c r="AH9717" s="20">
        <v>302.7637731225272</v>
      </c>
    </row>
    <row r="9718" spans="1:34" ht="14.5" x14ac:dyDescent="0.35">
      <c r="A9718" s="34"/>
      <c r="B9718" s="35"/>
      <c r="C9718" s="36"/>
      <c r="D9718" s="37"/>
      <c r="E9718" s="36"/>
      <c r="F9718" s="42"/>
      <c r="G9718" s="42"/>
      <c r="H9718" s="42"/>
      <c r="AG9718" s="19">
        <v>9717</v>
      </c>
      <c r="AH9718" s="20">
        <v>2220.5046369801353</v>
      </c>
    </row>
    <row r="9719" spans="1:34" ht="14.5" x14ac:dyDescent="0.35">
      <c r="A9719" s="34"/>
      <c r="B9719" s="35"/>
      <c r="C9719" s="36"/>
      <c r="D9719" s="37"/>
      <c r="E9719" s="36"/>
      <c r="F9719" s="42"/>
      <c r="G9719" s="42"/>
      <c r="H9719" s="42"/>
      <c r="AG9719" s="19">
        <v>9718</v>
      </c>
      <c r="AH9719" s="20">
        <v>-1136.9732093404532</v>
      </c>
    </row>
    <row r="9720" spans="1:34" ht="14.5" x14ac:dyDescent="0.35">
      <c r="A9720" s="34"/>
      <c r="B9720" s="35"/>
      <c r="C9720" s="36"/>
      <c r="D9720" s="37"/>
      <c r="E9720" s="36"/>
      <c r="F9720" s="42"/>
      <c r="G9720" s="42"/>
      <c r="H9720" s="42"/>
      <c r="AG9720" s="19">
        <v>9719</v>
      </c>
      <c r="AH9720" s="20">
        <v>737.59537435057791</v>
      </c>
    </row>
    <row r="9721" spans="1:34" ht="14.5" x14ac:dyDescent="0.35">
      <c r="A9721" s="34"/>
      <c r="B9721" s="35"/>
      <c r="C9721" s="36"/>
      <c r="D9721" s="37"/>
      <c r="E9721" s="36"/>
      <c r="F9721" s="42"/>
      <c r="G9721" s="42"/>
      <c r="H9721" s="42"/>
      <c r="AG9721" s="19">
        <v>9720</v>
      </c>
      <c r="AH9721" s="20">
        <v>153.29551996641331</v>
      </c>
    </row>
    <row r="9722" spans="1:34" ht="14.5" x14ac:dyDescent="0.35">
      <c r="A9722" s="34"/>
      <c r="B9722" s="35"/>
      <c r="C9722" s="36"/>
      <c r="D9722" s="37"/>
      <c r="E9722" s="36"/>
      <c r="F9722" s="42"/>
      <c r="G9722" s="42"/>
      <c r="H9722" s="42"/>
      <c r="AG9722" s="19">
        <v>9721</v>
      </c>
      <c r="AH9722" s="20">
        <v>-211.6650976448297</v>
      </c>
    </row>
    <row r="9723" spans="1:34" ht="14.5" x14ac:dyDescent="0.35">
      <c r="A9723" s="34"/>
      <c r="B9723" s="35"/>
      <c r="C9723" s="36"/>
      <c r="D9723" s="37"/>
      <c r="E9723" s="36"/>
      <c r="F9723" s="42"/>
      <c r="G9723" s="42"/>
      <c r="H9723" s="42"/>
      <c r="AG9723" s="19">
        <v>9722</v>
      </c>
      <c r="AH9723" s="20">
        <v>-2969.1989676637149</v>
      </c>
    </row>
    <row r="9724" spans="1:34" ht="14.5" x14ac:dyDescent="0.35">
      <c r="A9724" s="34"/>
      <c r="B9724" s="35"/>
      <c r="C9724" s="36"/>
      <c r="D9724" s="37"/>
      <c r="E9724" s="36"/>
      <c r="F9724" s="42"/>
      <c r="G9724" s="42"/>
      <c r="H9724" s="42"/>
      <c r="AG9724" s="19">
        <v>9723</v>
      </c>
      <c r="AH9724" s="20">
        <v>1505.9584226782868</v>
      </c>
    </row>
    <row r="9725" spans="1:34" ht="14.5" x14ac:dyDescent="0.35">
      <c r="A9725" s="34"/>
      <c r="B9725" s="35"/>
      <c r="C9725" s="36"/>
      <c r="D9725" s="37"/>
      <c r="E9725" s="36"/>
      <c r="F9725" s="42"/>
      <c r="G9725" s="42"/>
      <c r="H9725" s="42"/>
      <c r="AG9725" s="19">
        <v>9724</v>
      </c>
      <c r="AH9725" s="20">
        <v>1440.836029473244</v>
      </c>
    </row>
    <row r="9726" spans="1:34" ht="14.5" x14ac:dyDescent="0.35">
      <c r="A9726" s="34"/>
      <c r="B9726" s="35"/>
      <c r="C9726" s="36"/>
      <c r="D9726" s="37"/>
      <c r="E9726" s="36"/>
      <c r="F9726" s="42"/>
      <c r="G9726" s="42"/>
      <c r="H9726" s="42"/>
      <c r="AG9726" s="19">
        <v>9725</v>
      </c>
      <c r="AH9726" s="20">
        <v>-403.22024253052763</v>
      </c>
    </row>
    <row r="9727" spans="1:34" ht="14.5" x14ac:dyDescent="0.35">
      <c r="A9727" s="34"/>
      <c r="B9727" s="35"/>
      <c r="C9727" s="36"/>
      <c r="D9727" s="37"/>
      <c r="E9727" s="36"/>
      <c r="F9727" s="42"/>
      <c r="G9727" s="42"/>
      <c r="H9727" s="42"/>
      <c r="AG9727" s="19">
        <v>9726</v>
      </c>
      <c r="AH9727" s="20">
        <v>1135.9540346143804</v>
      </c>
    </row>
    <row r="9728" spans="1:34" ht="14.5" x14ac:dyDescent="0.35">
      <c r="A9728" s="34"/>
      <c r="B9728" s="35"/>
      <c r="C9728" s="36"/>
      <c r="D9728" s="37"/>
      <c r="E9728" s="36"/>
      <c r="F9728" s="42"/>
      <c r="G9728" s="42"/>
      <c r="H9728" s="42"/>
      <c r="AG9728" s="19">
        <v>9727</v>
      </c>
      <c r="AH9728" s="20">
        <v>1737.1810593211808</v>
      </c>
    </row>
    <row r="9729" spans="1:34" ht="14.5" x14ac:dyDescent="0.35">
      <c r="A9729" s="34"/>
      <c r="B9729" s="35"/>
      <c r="C9729" s="36"/>
      <c r="D9729" s="37"/>
      <c r="E9729" s="36"/>
      <c r="F9729" s="42"/>
      <c r="G9729" s="42"/>
      <c r="H9729" s="42"/>
      <c r="AG9729" s="19">
        <v>9728</v>
      </c>
      <c r="AH9729" s="20">
        <v>28.191328366425239</v>
      </c>
    </row>
    <row r="9730" spans="1:34" ht="14.5" x14ac:dyDescent="0.35">
      <c r="A9730" s="34"/>
      <c r="B9730" s="35"/>
      <c r="C9730" s="36"/>
      <c r="D9730" s="37"/>
      <c r="E9730" s="36"/>
      <c r="F9730" s="42"/>
      <c r="G9730" s="42"/>
      <c r="H9730" s="42"/>
      <c r="AG9730" s="19">
        <v>9729</v>
      </c>
      <c r="AH9730" s="20">
        <v>205.06961573280506</v>
      </c>
    </row>
    <row r="9731" spans="1:34" ht="14.5" x14ac:dyDescent="0.35">
      <c r="A9731" s="34"/>
      <c r="B9731" s="35"/>
      <c r="C9731" s="36"/>
      <c r="D9731" s="37"/>
      <c r="E9731" s="36"/>
      <c r="F9731" s="42"/>
      <c r="G9731" s="42"/>
      <c r="H9731" s="42"/>
      <c r="AG9731" s="19">
        <v>9730</v>
      </c>
      <c r="AH9731" s="20">
        <v>2958.1995820417069</v>
      </c>
    </row>
    <row r="9732" spans="1:34" ht="14.5" x14ac:dyDescent="0.35">
      <c r="A9732" s="34"/>
      <c r="B9732" s="35"/>
      <c r="C9732" s="36"/>
      <c r="D9732" s="37"/>
      <c r="E9732" s="36"/>
      <c r="F9732" s="42"/>
      <c r="G9732" s="42"/>
      <c r="H9732" s="42"/>
      <c r="AG9732" s="19">
        <v>9731</v>
      </c>
      <c r="AH9732" s="20">
        <v>1325.8656381222654</v>
      </c>
    </row>
    <row r="9733" spans="1:34" ht="14.5" x14ac:dyDescent="0.35">
      <c r="A9733" s="34"/>
      <c r="B9733" s="35"/>
      <c r="C9733" s="36"/>
      <c r="D9733" s="37"/>
      <c r="E9733" s="36"/>
      <c r="F9733" s="42"/>
      <c r="G9733" s="42"/>
      <c r="H9733" s="42"/>
      <c r="AG9733" s="19">
        <v>9732</v>
      </c>
      <c r="AH9733" s="20">
        <v>4058.6787109119059</v>
      </c>
    </row>
    <row r="9734" spans="1:34" ht="14.5" x14ac:dyDescent="0.35">
      <c r="A9734" s="34"/>
      <c r="B9734" s="35"/>
      <c r="C9734" s="36"/>
      <c r="D9734" s="37"/>
      <c r="E9734" s="36"/>
      <c r="F9734" s="42"/>
      <c r="G9734" s="42"/>
      <c r="H9734" s="42"/>
      <c r="AG9734" s="19">
        <v>9733</v>
      </c>
      <c r="AH9734" s="20">
        <v>-960.74352001592501</v>
      </c>
    </row>
    <row r="9735" spans="1:34" ht="14.5" x14ac:dyDescent="0.35">
      <c r="A9735" s="34"/>
      <c r="B9735" s="35"/>
      <c r="C9735" s="36"/>
      <c r="D9735" s="37"/>
      <c r="E9735" s="36"/>
      <c r="F9735" s="42"/>
      <c r="G9735" s="42"/>
      <c r="H9735" s="42"/>
      <c r="AG9735" s="19">
        <v>9734</v>
      </c>
      <c r="AH9735" s="20">
        <v>-1431.3208004476742</v>
      </c>
    </row>
    <row r="9736" spans="1:34" ht="14.5" x14ac:dyDescent="0.35">
      <c r="A9736" s="34"/>
      <c r="B9736" s="35"/>
      <c r="C9736" s="36"/>
      <c r="D9736" s="37"/>
      <c r="E9736" s="36"/>
      <c r="F9736" s="42"/>
      <c r="G9736" s="42"/>
      <c r="H9736" s="42"/>
      <c r="AG9736" s="19">
        <v>9735</v>
      </c>
      <c r="AH9736" s="20">
        <v>-724.10980984300363</v>
      </c>
    </row>
    <row r="9737" spans="1:34" ht="14.5" x14ac:dyDescent="0.35">
      <c r="A9737" s="34"/>
      <c r="B9737" s="35"/>
      <c r="C9737" s="36"/>
      <c r="D9737" s="37"/>
      <c r="E9737" s="36"/>
      <c r="F9737" s="42"/>
      <c r="G9737" s="42"/>
      <c r="H9737" s="42"/>
      <c r="AG9737" s="19">
        <v>9736</v>
      </c>
      <c r="AH9737" s="20">
        <v>505.13771163157139</v>
      </c>
    </row>
    <row r="9738" spans="1:34" ht="14.5" x14ac:dyDescent="0.35">
      <c r="A9738" s="34"/>
      <c r="B9738" s="35"/>
      <c r="C9738" s="36"/>
      <c r="D9738" s="37"/>
      <c r="E9738" s="36"/>
      <c r="F9738" s="42"/>
      <c r="G9738" s="42"/>
      <c r="H9738" s="42"/>
      <c r="AG9738" s="19">
        <v>9737</v>
      </c>
      <c r="AH9738" s="20">
        <v>-1357.7883180937424</v>
      </c>
    </row>
    <row r="9739" spans="1:34" ht="14.5" x14ac:dyDescent="0.35">
      <c r="A9739" s="34"/>
      <c r="B9739" s="35"/>
      <c r="C9739" s="36"/>
      <c r="D9739" s="37"/>
      <c r="E9739" s="36"/>
      <c r="F9739" s="42"/>
      <c r="G9739" s="42"/>
      <c r="H9739" s="42"/>
      <c r="AG9739" s="19">
        <v>9738</v>
      </c>
      <c r="AH9739" s="20">
        <v>1204.4212053917854</v>
      </c>
    </row>
    <row r="9740" spans="1:34" ht="14.5" x14ac:dyDescent="0.35">
      <c r="A9740" s="34"/>
      <c r="B9740" s="35"/>
      <c r="C9740" s="36"/>
      <c r="D9740" s="37"/>
      <c r="E9740" s="36"/>
      <c r="F9740" s="42"/>
      <c r="G9740" s="42"/>
      <c r="H9740" s="42"/>
      <c r="AG9740" s="19">
        <v>9739</v>
      </c>
      <c r="AH9740" s="20">
        <v>2024.9157067353467</v>
      </c>
    </row>
    <row r="9741" spans="1:34" ht="14.5" x14ac:dyDescent="0.35">
      <c r="A9741" s="34"/>
      <c r="B9741" s="35"/>
      <c r="C9741" s="36"/>
      <c r="D9741" s="37"/>
      <c r="E9741" s="36"/>
      <c r="F9741" s="42"/>
      <c r="G9741" s="42"/>
      <c r="H9741" s="42"/>
      <c r="AG9741" s="19">
        <v>9740</v>
      </c>
      <c r="AH9741" s="20">
        <v>4521.3164400984588</v>
      </c>
    </row>
    <row r="9742" spans="1:34" ht="14.5" x14ac:dyDescent="0.35">
      <c r="A9742" s="34"/>
      <c r="B9742" s="35"/>
      <c r="C9742" s="36"/>
      <c r="D9742" s="37"/>
      <c r="E9742" s="36"/>
      <c r="F9742" s="42"/>
      <c r="G9742" s="42"/>
      <c r="H9742" s="42"/>
      <c r="AG9742" s="19">
        <v>9741</v>
      </c>
      <c r="AH9742" s="20">
        <v>-603.05285877370943</v>
      </c>
    </row>
    <row r="9743" spans="1:34" ht="14.5" x14ac:dyDescent="0.35">
      <c r="A9743" s="34"/>
      <c r="B9743" s="35"/>
      <c r="C9743" s="36"/>
      <c r="D9743" s="37"/>
      <c r="E9743" s="36"/>
      <c r="F9743" s="42"/>
      <c r="G9743" s="42"/>
      <c r="H9743" s="42"/>
      <c r="AG9743" s="19">
        <v>9742</v>
      </c>
      <c r="AH9743" s="20">
        <v>586.02067726398695</v>
      </c>
    </row>
    <row r="9744" spans="1:34" ht="14.5" x14ac:dyDescent="0.35">
      <c r="A9744" s="34"/>
      <c r="B9744" s="35"/>
      <c r="C9744" s="36"/>
      <c r="D9744" s="37"/>
      <c r="E9744" s="36"/>
      <c r="F9744" s="42"/>
      <c r="G9744" s="42"/>
      <c r="H9744" s="42"/>
      <c r="AG9744" s="19">
        <v>9743</v>
      </c>
      <c r="AH9744" s="20">
        <v>2475.8377932555945</v>
      </c>
    </row>
    <row r="9745" spans="1:34" ht="14.5" x14ac:dyDescent="0.35">
      <c r="A9745" s="34"/>
      <c r="B9745" s="35"/>
      <c r="C9745" s="36"/>
      <c r="D9745" s="37"/>
      <c r="E9745" s="36"/>
      <c r="F9745" s="42"/>
      <c r="G9745" s="42"/>
      <c r="H9745" s="42"/>
      <c r="AG9745" s="19">
        <v>9744</v>
      </c>
      <c r="AH9745" s="20">
        <v>-661.74619574037638</v>
      </c>
    </row>
    <row r="9746" spans="1:34" ht="14.5" x14ac:dyDescent="0.35">
      <c r="A9746" s="34"/>
      <c r="B9746" s="35"/>
      <c r="C9746" s="36"/>
      <c r="D9746" s="37"/>
      <c r="E9746" s="36"/>
      <c r="F9746" s="42"/>
      <c r="G9746" s="42"/>
      <c r="H9746" s="42"/>
      <c r="AG9746" s="19">
        <v>9745</v>
      </c>
      <c r="AH9746" s="20">
        <v>-1170.3978235476002</v>
      </c>
    </row>
    <row r="9747" spans="1:34" ht="14.5" x14ac:dyDescent="0.35">
      <c r="A9747" s="34"/>
      <c r="B9747" s="35"/>
      <c r="C9747" s="36"/>
      <c r="D9747" s="37"/>
      <c r="E9747" s="36"/>
      <c r="F9747" s="42"/>
      <c r="G9747" s="42"/>
      <c r="H9747" s="42"/>
      <c r="AG9747" s="19">
        <v>9746</v>
      </c>
      <c r="AH9747" s="20">
        <v>4013.6940396073746</v>
      </c>
    </row>
    <row r="9748" spans="1:34" ht="14.5" x14ac:dyDescent="0.35">
      <c r="A9748" s="34"/>
      <c r="B9748" s="35"/>
      <c r="C9748" s="36"/>
      <c r="D9748" s="37"/>
      <c r="E9748" s="36"/>
      <c r="F9748" s="42"/>
      <c r="G9748" s="42"/>
      <c r="H9748" s="42"/>
      <c r="AG9748" s="19">
        <v>9747</v>
      </c>
      <c r="AH9748" s="20">
        <v>769.9141259015928</v>
      </c>
    </row>
    <row r="9749" spans="1:34" ht="14.5" x14ac:dyDescent="0.35">
      <c r="A9749" s="34"/>
      <c r="B9749" s="35"/>
      <c r="C9749" s="36"/>
      <c r="D9749" s="37"/>
      <c r="E9749" s="36"/>
      <c r="F9749" s="42"/>
      <c r="G9749" s="42"/>
      <c r="H9749" s="42"/>
      <c r="AG9749" s="19">
        <v>9748</v>
      </c>
      <c r="AH9749" s="20">
        <v>1141.9808792026206</v>
      </c>
    </row>
    <row r="9750" spans="1:34" ht="14.5" x14ac:dyDescent="0.35">
      <c r="A9750" s="34"/>
      <c r="B9750" s="35"/>
      <c r="C9750" s="36"/>
      <c r="D9750" s="37"/>
      <c r="E9750" s="36"/>
      <c r="F9750" s="42"/>
      <c r="G9750" s="42"/>
      <c r="H9750" s="42"/>
      <c r="AG9750" s="19">
        <v>9749</v>
      </c>
      <c r="AH9750" s="20">
        <v>-1209.6294872207118</v>
      </c>
    </row>
    <row r="9751" spans="1:34" ht="14.5" x14ac:dyDescent="0.35">
      <c r="A9751" s="34"/>
      <c r="B9751" s="35"/>
      <c r="C9751" s="36"/>
      <c r="D9751" s="37"/>
      <c r="E9751" s="36"/>
      <c r="F9751" s="42"/>
      <c r="G9751" s="42"/>
      <c r="H9751" s="42"/>
      <c r="AG9751" s="19">
        <v>9750</v>
      </c>
      <c r="AH9751" s="20">
        <v>1911.5582609091234</v>
      </c>
    </row>
    <row r="9752" spans="1:34" ht="14.5" x14ac:dyDescent="0.35">
      <c r="A9752" s="34"/>
      <c r="B9752" s="35"/>
      <c r="C9752" s="36"/>
      <c r="D9752" s="37"/>
      <c r="E9752" s="36"/>
      <c r="F9752" s="42"/>
      <c r="G9752" s="42"/>
      <c r="H9752" s="42"/>
      <c r="AG9752" s="19">
        <v>9751</v>
      </c>
      <c r="AH9752" s="20">
        <v>-592.15467237329494</v>
      </c>
    </row>
    <row r="9753" spans="1:34" ht="14.5" x14ac:dyDescent="0.35">
      <c r="A9753" s="34"/>
      <c r="B9753" s="35"/>
      <c r="C9753" s="36"/>
      <c r="D9753" s="37"/>
      <c r="E9753" s="36"/>
      <c r="F9753" s="42"/>
      <c r="G9753" s="42"/>
      <c r="H9753" s="42"/>
      <c r="AG9753" s="19">
        <v>9752</v>
      </c>
      <c r="AH9753" s="20">
        <v>-2099.4845632889374</v>
      </c>
    </row>
    <row r="9754" spans="1:34" ht="14.5" x14ac:dyDescent="0.35">
      <c r="A9754" s="34"/>
      <c r="B9754" s="35"/>
      <c r="C9754" s="36"/>
      <c r="D9754" s="37"/>
      <c r="E9754" s="36"/>
      <c r="F9754" s="42"/>
      <c r="G9754" s="42"/>
      <c r="H9754" s="42"/>
      <c r="AG9754" s="19">
        <v>9753</v>
      </c>
      <c r="AH9754" s="20">
        <v>-2774.2709596966606</v>
      </c>
    </row>
    <row r="9755" spans="1:34" ht="14.5" x14ac:dyDescent="0.35">
      <c r="A9755" s="34"/>
      <c r="B9755" s="35"/>
      <c r="C9755" s="36"/>
      <c r="D9755" s="37"/>
      <c r="E9755" s="36"/>
      <c r="F9755" s="42"/>
      <c r="G9755" s="42"/>
      <c r="H9755" s="42"/>
      <c r="AG9755" s="19">
        <v>9754</v>
      </c>
      <c r="AH9755" s="20">
        <v>744.40622650497562</v>
      </c>
    </row>
    <row r="9756" spans="1:34" ht="14.5" x14ac:dyDescent="0.35">
      <c r="A9756" s="34"/>
      <c r="B9756" s="35"/>
      <c r="C9756" s="36"/>
      <c r="D9756" s="37"/>
      <c r="E9756" s="36"/>
      <c r="F9756" s="42"/>
      <c r="G9756" s="42"/>
      <c r="H9756" s="42"/>
      <c r="AG9756" s="19">
        <v>9755</v>
      </c>
      <c r="AH9756" s="20">
        <v>-736.41163885324181</v>
      </c>
    </row>
    <row r="9757" spans="1:34" ht="14.5" x14ac:dyDescent="0.35">
      <c r="A9757" s="34"/>
      <c r="B9757" s="35"/>
      <c r="C9757" s="36"/>
      <c r="D9757" s="37"/>
      <c r="E9757" s="36"/>
      <c r="F9757" s="42"/>
      <c r="G9757" s="42"/>
      <c r="H9757" s="42"/>
      <c r="AG9757" s="19">
        <v>9756</v>
      </c>
      <c r="AH9757" s="20">
        <v>-541.40368840166389</v>
      </c>
    </row>
    <row r="9758" spans="1:34" ht="14.5" x14ac:dyDescent="0.35">
      <c r="A9758" s="34"/>
      <c r="B9758" s="35"/>
      <c r="C9758" s="36"/>
      <c r="D9758" s="37"/>
      <c r="E9758" s="36"/>
      <c r="F9758" s="42"/>
      <c r="G9758" s="42"/>
      <c r="H9758" s="42"/>
      <c r="AG9758" s="19">
        <v>9757</v>
      </c>
      <c r="AH9758" s="20">
        <v>1385.9311320581685</v>
      </c>
    </row>
    <row r="9759" spans="1:34" ht="14.5" x14ac:dyDescent="0.35">
      <c r="A9759" s="34"/>
      <c r="B9759" s="35"/>
      <c r="C9759" s="36"/>
      <c r="D9759" s="37"/>
      <c r="E9759" s="36"/>
      <c r="F9759" s="42"/>
      <c r="G9759" s="42"/>
      <c r="H9759" s="42"/>
      <c r="AG9759" s="19">
        <v>9758</v>
      </c>
      <c r="AH9759" s="20">
        <v>1583.1562973860209</v>
      </c>
    </row>
    <row r="9760" spans="1:34" ht="14.5" x14ac:dyDescent="0.35">
      <c r="A9760" s="34"/>
      <c r="B9760" s="35"/>
      <c r="C9760" s="36"/>
      <c r="D9760" s="37"/>
      <c r="E9760" s="36"/>
      <c r="F9760" s="42"/>
      <c r="G9760" s="42"/>
      <c r="H9760" s="42"/>
      <c r="AG9760" s="19">
        <v>9759</v>
      </c>
      <c r="AH9760" s="20">
        <v>-394.30124620455541</v>
      </c>
    </row>
    <row r="9761" spans="1:34" ht="14.5" x14ac:dyDescent="0.35">
      <c r="A9761" s="34"/>
      <c r="B9761" s="35"/>
      <c r="C9761" s="36"/>
      <c r="D9761" s="37"/>
      <c r="E9761" s="36"/>
      <c r="F9761" s="42"/>
      <c r="G9761" s="42"/>
      <c r="H9761" s="42"/>
      <c r="AG9761" s="19">
        <v>9760</v>
      </c>
      <c r="AH9761" s="20">
        <v>-163.97546200380447</v>
      </c>
    </row>
    <row r="9762" spans="1:34" ht="14.5" x14ac:dyDescent="0.35">
      <c r="A9762" s="34"/>
      <c r="B9762" s="35"/>
      <c r="C9762" s="36"/>
      <c r="D9762" s="37"/>
      <c r="E9762" s="36"/>
      <c r="F9762" s="42"/>
      <c r="G9762" s="42"/>
      <c r="H9762" s="42"/>
      <c r="AG9762" s="19">
        <v>9761</v>
      </c>
      <c r="AH9762" s="20">
        <v>-49.8124652884905</v>
      </c>
    </row>
    <row r="9763" spans="1:34" ht="14.5" x14ac:dyDescent="0.35">
      <c r="A9763" s="34"/>
      <c r="B9763" s="35"/>
      <c r="C9763" s="36"/>
      <c r="D9763" s="37"/>
      <c r="E9763" s="36"/>
      <c r="F9763" s="42"/>
      <c r="G9763" s="42"/>
      <c r="H9763" s="42"/>
      <c r="AG9763" s="19">
        <v>9762</v>
      </c>
      <c r="AH9763" s="20">
        <v>907.36058022862676</v>
      </c>
    </row>
    <row r="9764" spans="1:34" ht="14.5" x14ac:dyDescent="0.35">
      <c r="A9764" s="34"/>
      <c r="B9764" s="35"/>
      <c r="C9764" s="36"/>
      <c r="D9764" s="37"/>
      <c r="E9764" s="36"/>
      <c r="F9764" s="42"/>
      <c r="G9764" s="42"/>
      <c r="H9764" s="42"/>
      <c r="AG9764" s="19">
        <v>9763</v>
      </c>
      <c r="AH9764" s="20">
        <v>-1616.3722396141</v>
      </c>
    </row>
    <row r="9765" spans="1:34" ht="14.5" x14ac:dyDescent="0.35">
      <c r="A9765" s="34"/>
      <c r="B9765" s="35"/>
      <c r="C9765" s="36"/>
      <c r="D9765" s="37"/>
      <c r="E9765" s="36"/>
      <c r="F9765" s="42"/>
      <c r="G9765" s="42"/>
      <c r="H9765" s="42"/>
      <c r="AG9765" s="19">
        <v>9764</v>
      </c>
      <c r="AH9765" s="20">
        <v>3550.6542335514355</v>
      </c>
    </row>
    <row r="9766" spans="1:34" ht="14.5" x14ac:dyDescent="0.35">
      <c r="A9766" s="34"/>
      <c r="B9766" s="35"/>
      <c r="C9766" s="36"/>
      <c r="D9766" s="37"/>
      <c r="E9766" s="36"/>
      <c r="F9766" s="42"/>
      <c r="G9766" s="42"/>
      <c r="H9766" s="42"/>
      <c r="AG9766" s="19">
        <v>9765</v>
      </c>
      <c r="AH9766" s="20">
        <v>2957.961565179703</v>
      </c>
    </row>
    <row r="9767" spans="1:34" ht="14.5" x14ac:dyDescent="0.35">
      <c r="A9767" s="34"/>
      <c r="B9767" s="35"/>
      <c r="C9767" s="36"/>
      <c r="D9767" s="37"/>
      <c r="E9767" s="36"/>
      <c r="F9767" s="42"/>
      <c r="G9767" s="42"/>
      <c r="H9767" s="42"/>
      <c r="AG9767" s="19">
        <v>9766</v>
      </c>
      <c r="AH9767" s="20">
        <v>1389.3991408882637</v>
      </c>
    </row>
    <row r="9768" spans="1:34" ht="14.5" x14ac:dyDescent="0.35">
      <c r="A9768" s="34"/>
      <c r="B9768" s="35"/>
      <c r="C9768" s="36"/>
      <c r="D9768" s="37"/>
      <c r="E9768" s="36"/>
      <c r="F9768" s="42"/>
      <c r="G9768" s="42"/>
      <c r="H9768" s="42"/>
      <c r="AG9768" s="19">
        <v>9767</v>
      </c>
      <c r="AH9768" s="20">
        <v>-445.19722303151565</v>
      </c>
    </row>
    <row r="9769" spans="1:34" ht="14.5" x14ac:dyDescent="0.35">
      <c r="A9769" s="34"/>
      <c r="B9769" s="35"/>
      <c r="C9769" s="36"/>
      <c r="D9769" s="37"/>
      <c r="E9769" s="36"/>
      <c r="F9769" s="42"/>
      <c r="G9769" s="42"/>
      <c r="H9769" s="42"/>
      <c r="AG9769" s="19">
        <v>9768</v>
      </c>
      <c r="AH9769" s="20">
        <v>1548.4685472345282</v>
      </c>
    </row>
    <row r="9770" spans="1:34" ht="14.5" x14ac:dyDescent="0.35">
      <c r="A9770" s="34"/>
      <c r="B9770" s="35"/>
      <c r="C9770" s="36"/>
      <c r="D9770" s="37"/>
      <c r="E9770" s="36"/>
      <c r="F9770" s="42"/>
      <c r="G9770" s="42"/>
      <c r="H9770" s="42"/>
      <c r="AG9770" s="19">
        <v>9769</v>
      </c>
      <c r="AH9770" s="20">
        <v>-2499.20170456801</v>
      </c>
    </row>
    <row r="9771" spans="1:34" ht="14.5" x14ac:dyDescent="0.35">
      <c r="A9771" s="34"/>
      <c r="B9771" s="35"/>
      <c r="C9771" s="36"/>
      <c r="D9771" s="37"/>
      <c r="E9771" s="36"/>
      <c r="F9771" s="42"/>
      <c r="G9771" s="42"/>
      <c r="H9771" s="42"/>
      <c r="AG9771" s="19">
        <v>9770</v>
      </c>
      <c r="AH9771" s="20">
        <v>857.76492286010057</v>
      </c>
    </row>
    <row r="9772" spans="1:34" ht="14.5" x14ac:dyDescent="0.35">
      <c r="A9772" s="34"/>
      <c r="B9772" s="35"/>
      <c r="C9772" s="36"/>
      <c r="D9772" s="37"/>
      <c r="E9772" s="36"/>
      <c r="F9772" s="42"/>
      <c r="G9772" s="42"/>
      <c r="H9772" s="42"/>
      <c r="AG9772" s="19">
        <v>9771</v>
      </c>
      <c r="AH9772" s="20">
        <v>1371.3565251710477</v>
      </c>
    </row>
    <row r="9773" spans="1:34" ht="14.5" x14ac:dyDescent="0.35">
      <c r="A9773" s="34"/>
      <c r="B9773" s="35"/>
      <c r="C9773" s="36"/>
      <c r="D9773" s="37"/>
      <c r="E9773" s="36"/>
      <c r="F9773" s="42"/>
      <c r="G9773" s="42"/>
      <c r="H9773" s="42"/>
      <c r="AG9773" s="19">
        <v>9772</v>
      </c>
      <c r="AH9773" s="20">
        <v>-396.50444753267431</v>
      </c>
    </row>
    <row r="9774" spans="1:34" ht="14.5" x14ac:dyDescent="0.35">
      <c r="A9774" s="34"/>
      <c r="B9774" s="35"/>
      <c r="C9774" s="36"/>
      <c r="D9774" s="37"/>
      <c r="E9774" s="36"/>
      <c r="F9774" s="42"/>
      <c r="G9774" s="42"/>
      <c r="H9774" s="42"/>
      <c r="AG9774" s="19">
        <v>9773</v>
      </c>
      <c r="AH9774" s="20">
        <v>-93.444630557271466</v>
      </c>
    </row>
    <row r="9775" spans="1:34" ht="14.5" x14ac:dyDescent="0.35">
      <c r="A9775" s="34"/>
      <c r="B9775" s="35"/>
      <c r="C9775" s="36"/>
      <c r="D9775" s="37"/>
      <c r="E9775" s="36"/>
      <c r="F9775" s="42"/>
      <c r="G9775" s="42"/>
      <c r="H9775" s="42"/>
      <c r="AG9775" s="19">
        <v>9774</v>
      </c>
      <c r="AH9775" s="20">
        <v>-1101.1081060603658</v>
      </c>
    </row>
    <row r="9776" spans="1:34" ht="14.5" x14ac:dyDescent="0.35">
      <c r="A9776" s="34"/>
      <c r="B9776" s="35"/>
      <c r="C9776" s="36"/>
      <c r="D9776" s="37"/>
      <c r="E9776" s="36"/>
      <c r="F9776" s="42"/>
      <c r="G9776" s="42"/>
      <c r="H9776" s="42"/>
      <c r="AG9776" s="19">
        <v>9775</v>
      </c>
      <c r="AH9776" s="20">
        <v>5030.3537969450872</v>
      </c>
    </row>
    <row r="9777" spans="1:34" ht="14.5" x14ac:dyDescent="0.35">
      <c r="A9777" s="34"/>
      <c r="B9777" s="35"/>
      <c r="C9777" s="36"/>
      <c r="D9777" s="37"/>
      <c r="E9777" s="36"/>
      <c r="F9777" s="42"/>
      <c r="G9777" s="42"/>
      <c r="H9777" s="42"/>
      <c r="AG9777" s="19">
        <v>9776</v>
      </c>
      <c r="AH9777" s="20">
        <v>605.22885820610736</v>
      </c>
    </row>
    <row r="9778" spans="1:34" ht="14.5" x14ac:dyDescent="0.35">
      <c r="A9778" s="34"/>
      <c r="B9778" s="35"/>
      <c r="C9778" s="36"/>
      <c r="D9778" s="37"/>
      <c r="E9778" s="36"/>
      <c r="F9778" s="42"/>
      <c r="G9778" s="42"/>
      <c r="H9778" s="42"/>
      <c r="AG9778" s="19">
        <v>9777</v>
      </c>
      <c r="AH9778" s="20">
        <v>2057.590327882433</v>
      </c>
    </row>
    <row r="9779" spans="1:34" ht="14.5" x14ac:dyDescent="0.35">
      <c r="A9779" s="34"/>
      <c r="B9779" s="35"/>
      <c r="C9779" s="36"/>
      <c r="D9779" s="37"/>
      <c r="E9779" s="36"/>
      <c r="F9779" s="42"/>
      <c r="G9779" s="42"/>
      <c r="H9779" s="42"/>
      <c r="AG9779" s="19">
        <v>9778</v>
      </c>
      <c r="AH9779" s="20">
        <v>1056.370460640042</v>
      </c>
    </row>
    <row r="9780" spans="1:34" ht="14.5" x14ac:dyDescent="0.35">
      <c r="A9780" s="34"/>
      <c r="B9780" s="35"/>
      <c r="C9780" s="36"/>
      <c r="D9780" s="37"/>
      <c r="E9780" s="36"/>
      <c r="F9780" s="42"/>
      <c r="G9780" s="42"/>
      <c r="H9780" s="42"/>
      <c r="AG9780" s="19">
        <v>9779</v>
      </c>
      <c r="AH9780" s="20">
        <v>-2312.5735390248929</v>
      </c>
    </row>
    <row r="9781" spans="1:34" ht="14.5" x14ac:dyDescent="0.35">
      <c r="A9781" s="34"/>
      <c r="B9781" s="35"/>
      <c r="C9781" s="36"/>
      <c r="D9781" s="37"/>
      <c r="E9781" s="36"/>
      <c r="F9781" s="42"/>
      <c r="G9781" s="42"/>
      <c r="H9781" s="42"/>
      <c r="AG9781" s="19">
        <v>9780</v>
      </c>
      <c r="AH9781" s="20">
        <v>510.58596284258363</v>
      </c>
    </row>
    <row r="9782" spans="1:34" ht="14.5" x14ac:dyDescent="0.35">
      <c r="A9782" s="34"/>
      <c r="B9782" s="35"/>
      <c r="C9782" s="36"/>
      <c r="D9782" s="37"/>
      <c r="E9782" s="36"/>
      <c r="F9782" s="42"/>
      <c r="G9782" s="42"/>
      <c r="H9782" s="42"/>
      <c r="AG9782" s="19">
        <v>9781</v>
      </c>
      <c r="AH9782" s="20">
        <v>990.06466425884423</v>
      </c>
    </row>
    <row r="9783" spans="1:34" ht="14.5" x14ac:dyDescent="0.35">
      <c r="A9783" s="34"/>
      <c r="B9783" s="35"/>
      <c r="C9783" s="36"/>
      <c r="D9783" s="37"/>
      <c r="E9783" s="36"/>
      <c r="F9783" s="42"/>
      <c r="G9783" s="42"/>
      <c r="H9783" s="42"/>
      <c r="AG9783" s="19">
        <v>9782</v>
      </c>
      <c r="AH9783" s="20">
        <v>-2088.9583522025932</v>
      </c>
    </row>
    <row r="9784" spans="1:34" ht="14.5" x14ac:dyDescent="0.35">
      <c r="A9784" s="34"/>
      <c r="B9784" s="35"/>
      <c r="C9784" s="36"/>
      <c r="D9784" s="37"/>
      <c r="E9784" s="36"/>
      <c r="F9784" s="42"/>
      <c r="G9784" s="42"/>
      <c r="H9784" s="42"/>
      <c r="AG9784" s="19">
        <v>9783</v>
      </c>
      <c r="AH9784" s="20">
        <v>402.89896152897148</v>
      </c>
    </row>
    <row r="9785" spans="1:34" ht="14.5" x14ac:dyDescent="0.35">
      <c r="A9785" s="34"/>
      <c r="B9785" s="35"/>
      <c r="C9785" s="36"/>
      <c r="D9785" s="37"/>
      <c r="E9785" s="36"/>
      <c r="F9785" s="42"/>
      <c r="G9785" s="42"/>
      <c r="H9785" s="42"/>
      <c r="AG9785" s="19">
        <v>9784</v>
      </c>
      <c r="AH9785" s="20">
        <v>181.30717935067977</v>
      </c>
    </row>
    <row r="9786" spans="1:34" ht="14.5" x14ac:dyDescent="0.35">
      <c r="A9786" s="34"/>
      <c r="B9786" s="35"/>
      <c r="C9786" s="36"/>
      <c r="D9786" s="37"/>
      <c r="E9786" s="36"/>
      <c r="F9786" s="42"/>
      <c r="G9786" s="42"/>
      <c r="H9786" s="42"/>
      <c r="AG9786" s="19">
        <v>9785</v>
      </c>
      <c r="AH9786" s="20">
        <v>-1648.7751782171499</v>
      </c>
    </row>
    <row r="9787" spans="1:34" ht="14.5" x14ac:dyDescent="0.35">
      <c r="A9787" s="34"/>
      <c r="B9787" s="35"/>
      <c r="C9787" s="36"/>
      <c r="D9787" s="37"/>
      <c r="E9787" s="36"/>
      <c r="F9787" s="42"/>
      <c r="G9787" s="42"/>
      <c r="H9787" s="42"/>
      <c r="AG9787" s="19">
        <v>9786</v>
      </c>
      <c r="AH9787" s="20">
        <v>-756.42683407439586</v>
      </c>
    </row>
    <row r="9788" spans="1:34" ht="14.5" x14ac:dyDescent="0.35">
      <c r="A9788" s="34"/>
      <c r="B9788" s="35"/>
      <c r="C9788" s="36"/>
      <c r="D9788" s="37"/>
      <c r="E9788" s="36"/>
      <c r="F9788" s="42"/>
      <c r="G9788" s="42"/>
      <c r="H9788" s="42"/>
      <c r="AG9788" s="19">
        <v>9787</v>
      </c>
      <c r="AH9788" s="20">
        <v>-1118.1374837427509</v>
      </c>
    </row>
    <row r="9789" spans="1:34" ht="14.5" x14ac:dyDescent="0.35">
      <c r="A9789" s="34"/>
      <c r="B9789" s="35"/>
      <c r="C9789" s="36"/>
      <c r="D9789" s="37"/>
      <c r="E9789" s="36"/>
      <c r="F9789" s="42"/>
      <c r="G9789" s="42"/>
      <c r="H9789" s="42"/>
      <c r="AG9789" s="19">
        <v>9788</v>
      </c>
      <c r="AH9789" s="20">
        <v>-2421.7591125335957</v>
      </c>
    </row>
    <row r="9790" spans="1:34" ht="14.5" x14ac:dyDescent="0.35">
      <c r="A9790" s="34"/>
      <c r="B9790" s="35"/>
      <c r="C9790" s="36"/>
      <c r="D9790" s="37"/>
      <c r="E9790" s="36"/>
      <c r="F9790" s="42"/>
      <c r="G9790" s="42"/>
      <c r="H9790" s="42"/>
      <c r="AG9790" s="19">
        <v>9789</v>
      </c>
      <c r="AH9790" s="20">
        <v>2213.3649255261726</v>
      </c>
    </row>
    <row r="9791" spans="1:34" ht="14.5" x14ac:dyDescent="0.35">
      <c r="A9791" s="34"/>
      <c r="B9791" s="35"/>
      <c r="C9791" s="36"/>
      <c r="D9791" s="37"/>
      <c r="E9791" s="36"/>
      <c r="F9791" s="42"/>
      <c r="G9791" s="42"/>
      <c r="H9791" s="42"/>
      <c r="AG9791" s="19">
        <v>9790</v>
      </c>
      <c r="AH9791" s="20">
        <v>-274.60745317609945</v>
      </c>
    </row>
    <row r="9792" spans="1:34" ht="14.5" x14ac:dyDescent="0.35">
      <c r="A9792" s="34"/>
      <c r="B9792" s="35"/>
      <c r="C9792" s="36"/>
      <c r="D9792" s="37"/>
      <c r="E9792" s="36"/>
      <c r="F9792" s="42"/>
      <c r="G9792" s="42"/>
      <c r="H9792" s="42"/>
      <c r="AG9792" s="19">
        <v>9791</v>
      </c>
      <c r="AH9792" s="20">
        <v>-625.05068732167297</v>
      </c>
    </row>
    <row r="9793" spans="1:34" ht="14.5" x14ac:dyDescent="0.35">
      <c r="A9793" s="34"/>
      <c r="B9793" s="35"/>
      <c r="C9793" s="36"/>
      <c r="D9793" s="37"/>
      <c r="E9793" s="36"/>
      <c r="F9793" s="42"/>
      <c r="G9793" s="42"/>
      <c r="H9793" s="42"/>
      <c r="AG9793" s="19">
        <v>9792</v>
      </c>
      <c r="AH9793" s="20">
        <v>-694.52515453525439</v>
      </c>
    </row>
    <row r="9794" spans="1:34" ht="14.5" x14ac:dyDescent="0.35">
      <c r="A9794" s="34"/>
      <c r="B9794" s="35"/>
      <c r="C9794" s="36"/>
      <c r="D9794" s="37"/>
      <c r="E9794" s="36"/>
      <c r="F9794" s="42"/>
      <c r="G9794" s="42"/>
      <c r="H9794" s="42"/>
      <c r="AG9794" s="19">
        <v>9793</v>
      </c>
      <c r="AH9794" s="20">
        <v>2148.6852010748084</v>
      </c>
    </row>
    <row r="9795" spans="1:34" ht="14.5" x14ac:dyDescent="0.35">
      <c r="A9795" s="34"/>
      <c r="B9795" s="35"/>
      <c r="C9795" s="36"/>
      <c r="D9795" s="37"/>
      <c r="E9795" s="36"/>
      <c r="F9795" s="42"/>
      <c r="G9795" s="42"/>
      <c r="H9795" s="42"/>
      <c r="AG9795" s="19">
        <v>9794</v>
      </c>
      <c r="AH9795" s="20">
        <v>472.55359889041068</v>
      </c>
    </row>
    <row r="9796" spans="1:34" ht="14.5" x14ac:dyDescent="0.35">
      <c r="A9796" s="34"/>
      <c r="B9796" s="35"/>
      <c r="C9796" s="36"/>
      <c r="D9796" s="37"/>
      <c r="E9796" s="36"/>
      <c r="F9796" s="42"/>
      <c r="G9796" s="42"/>
      <c r="H9796" s="42"/>
      <c r="AG9796" s="19">
        <v>9795</v>
      </c>
      <c r="AH9796" s="20">
        <v>2406.1429613526398</v>
      </c>
    </row>
    <row r="9797" spans="1:34" ht="14.5" x14ac:dyDescent="0.35">
      <c r="A9797" s="34"/>
      <c r="B9797" s="35"/>
      <c r="C9797" s="36"/>
      <c r="D9797" s="37"/>
      <c r="E9797" s="36"/>
      <c r="F9797" s="42"/>
      <c r="G9797" s="42"/>
      <c r="H9797" s="42"/>
      <c r="AG9797" s="19">
        <v>9796</v>
      </c>
      <c r="AH9797" s="20">
        <v>-466.52936689077029</v>
      </c>
    </row>
    <row r="9798" spans="1:34" ht="14.5" x14ac:dyDescent="0.35">
      <c r="A9798" s="34"/>
      <c r="B9798" s="35"/>
      <c r="C9798" s="36"/>
      <c r="D9798" s="37"/>
      <c r="E9798" s="36"/>
      <c r="F9798" s="42"/>
      <c r="G9798" s="42"/>
      <c r="H9798" s="42"/>
      <c r="AG9798" s="19">
        <v>9797</v>
      </c>
      <c r="AH9798" s="20">
        <v>5212.3286289278585</v>
      </c>
    </row>
    <row r="9799" spans="1:34" ht="14.5" x14ac:dyDescent="0.35">
      <c r="A9799" s="34"/>
      <c r="B9799" s="35"/>
      <c r="C9799" s="36"/>
      <c r="D9799" s="37"/>
      <c r="E9799" s="36"/>
      <c r="F9799" s="42"/>
      <c r="G9799" s="42"/>
      <c r="H9799" s="42"/>
      <c r="AG9799" s="19">
        <v>9798</v>
      </c>
      <c r="AH9799" s="20">
        <v>610.22439473237307</v>
      </c>
    </row>
    <row r="9800" spans="1:34" ht="14.5" x14ac:dyDescent="0.35">
      <c r="A9800" s="34"/>
      <c r="B9800" s="35"/>
      <c r="C9800" s="36"/>
      <c r="D9800" s="37"/>
      <c r="E9800" s="36"/>
      <c r="F9800" s="42"/>
      <c r="G9800" s="42"/>
      <c r="H9800" s="42"/>
      <c r="AG9800" s="19">
        <v>9799</v>
      </c>
      <c r="AH9800" s="20">
        <v>2125.3336341860058</v>
      </c>
    </row>
    <row r="9801" spans="1:34" ht="14.5" x14ac:dyDescent="0.35">
      <c r="A9801" s="34"/>
      <c r="B9801" s="35"/>
      <c r="C9801" s="36"/>
      <c r="D9801" s="37"/>
      <c r="E9801" s="36"/>
      <c r="F9801" s="42"/>
      <c r="G9801" s="42"/>
      <c r="H9801" s="42"/>
      <c r="AG9801" s="19">
        <v>9800</v>
      </c>
      <c r="AH9801" s="20">
        <v>-100.07317266202625</v>
      </c>
    </row>
    <row r="9802" spans="1:34" ht="14.5" x14ac:dyDescent="0.35">
      <c r="A9802" s="34"/>
      <c r="B9802" s="35"/>
      <c r="C9802" s="36"/>
      <c r="D9802" s="37"/>
      <c r="E9802" s="36"/>
      <c r="F9802" s="42"/>
      <c r="G9802" s="42"/>
      <c r="H9802" s="42"/>
      <c r="AG9802" s="19">
        <v>9801</v>
      </c>
      <c r="AH9802" s="20">
        <v>-5021.3104304555745</v>
      </c>
    </row>
    <row r="9803" spans="1:34" ht="14.5" x14ac:dyDescent="0.35">
      <c r="A9803" s="34"/>
      <c r="B9803" s="35"/>
      <c r="C9803" s="36"/>
      <c r="D9803" s="37"/>
      <c r="E9803" s="36"/>
      <c r="F9803" s="42"/>
      <c r="G9803" s="42"/>
      <c r="H9803" s="42"/>
      <c r="AG9803" s="19">
        <v>9802</v>
      </c>
      <c r="AH9803" s="20">
        <v>531.97414090771611</v>
      </c>
    </row>
    <row r="9804" spans="1:34" ht="14.5" x14ac:dyDescent="0.35">
      <c r="A9804" s="34"/>
      <c r="B9804" s="35"/>
      <c r="C9804" s="36"/>
      <c r="D9804" s="37"/>
      <c r="E9804" s="36"/>
      <c r="F9804" s="42"/>
      <c r="G9804" s="42"/>
      <c r="H9804" s="42"/>
      <c r="AG9804" s="19">
        <v>9803</v>
      </c>
      <c r="AH9804" s="20">
        <v>15.822988855183269</v>
      </c>
    </row>
    <row r="9805" spans="1:34" ht="14.5" x14ac:dyDescent="0.35">
      <c r="A9805" s="34"/>
      <c r="B9805" s="35"/>
      <c r="C9805" s="36"/>
      <c r="D9805" s="37"/>
      <c r="E9805" s="36"/>
      <c r="F9805" s="42"/>
      <c r="G9805" s="42"/>
      <c r="H9805" s="42"/>
      <c r="AG9805" s="19">
        <v>9804</v>
      </c>
      <c r="AH9805" s="20">
        <v>4237.4467559314971</v>
      </c>
    </row>
    <row r="9806" spans="1:34" ht="14.5" x14ac:dyDescent="0.35">
      <c r="A9806" s="34"/>
      <c r="B9806" s="35"/>
      <c r="C9806" s="36"/>
      <c r="D9806" s="37"/>
      <c r="E9806" s="36"/>
      <c r="F9806" s="42"/>
      <c r="G9806" s="42"/>
      <c r="H9806" s="42"/>
      <c r="AG9806" s="19">
        <v>9805</v>
      </c>
      <c r="AH9806" s="20">
        <v>-1231.5730277125749</v>
      </c>
    </row>
    <row r="9807" spans="1:34" ht="14.5" x14ac:dyDescent="0.35">
      <c r="A9807" s="34"/>
      <c r="B9807" s="35"/>
      <c r="C9807" s="36"/>
      <c r="D9807" s="37"/>
      <c r="E9807" s="36"/>
      <c r="F9807" s="42"/>
      <c r="G9807" s="42"/>
      <c r="H9807" s="42"/>
      <c r="AG9807" s="19">
        <v>9806</v>
      </c>
      <c r="AH9807" s="20">
        <v>3764.5276878133373</v>
      </c>
    </row>
    <row r="9808" spans="1:34" ht="14.5" x14ac:dyDescent="0.35">
      <c r="A9808" s="34"/>
      <c r="B9808" s="35"/>
      <c r="C9808" s="36"/>
      <c r="D9808" s="37"/>
      <c r="E9808" s="36"/>
      <c r="F9808" s="42"/>
      <c r="G9808" s="42"/>
      <c r="H9808" s="42"/>
      <c r="AG9808" s="19">
        <v>9807</v>
      </c>
      <c r="AH9808" s="20">
        <v>-2015.2565563692981</v>
      </c>
    </row>
    <row r="9809" spans="1:34" ht="14.5" x14ac:dyDescent="0.35">
      <c r="A9809" s="34"/>
      <c r="B9809" s="35"/>
      <c r="C9809" s="36"/>
      <c r="D9809" s="37"/>
      <c r="E9809" s="36"/>
      <c r="F9809" s="42"/>
      <c r="G9809" s="42"/>
      <c r="H9809" s="42"/>
      <c r="AG9809" s="19">
        <v>9808</v>
      </c>
      <c r="AH9809" s="20">
        <v>1333.3608034744389</v>
      </c>
    </row>
    <row r="9810" spans="1:34" ht="14.5" x14ac:dyDescent="0.35">
      <c r="A9810" s="34"/>
      <c r="B9810" s="35"/>
      <c r="C9810" s="36"/>
      <c r="D9810" s="37"/>
      <c r="E9810" s="36"/>
      <c r="F9810" s="42"/>
      <c r="G9810" s="42"/>
      <c r="H9810" s="42"/>
      <c r="AG9810" s="19">
        <v>9809</v>
      </c>
      <c r="AH9810" s="20">
        <v>1083.2113142831392</v>
      </c>
    </row>
    <row r="9811" spans="1:34" ht="14.5" x14ac:dyDescent="0.35">
      <c r="A9811" s="34"/>
      <c r="B9811" s="35"/>
      <c r="C9811" s="36"/>
      <c r="D9811" s="37"/>
      <c r="E9811" s="36"/>
      <c r="F9811" s="42"/>
      <c r="G9811" s="42"/>
      <c r="H9811" s="42"/>
      <c r="AG9811" s="19">
        <v>9810</v>
      </c>
      <c r="AH9811" s="20">
        <v>606.00879150504659</v>
      </c>
    </row>
    <row r="9812" spans="1:34" ht="14.5" x14ac:dyDescent="0.35">
      <c r="A9812" s="34"/>
      <c r="B9812" s="35"/>
      <c r="C9812" s="36"/>
      <c r="D9812" s="37"/>
      <c r="E9812" s="36"/>
      <c r="F9812" s="42"/>
      <c r="G9812" s="42"/>
      <c r="H9812" s="42"/>
      <c r="AG9812" s="19">
        <v>9811</v>
      </c>
      <c r="AH9812" s="20">
        <v>278.94087262853793</v>
      </c>
    </row>
    <row r="9813" spans="1:34" ht="14.5" x14ac:dyDescent="0.35">
      <c r="A9813" s="34"/>
      <c r="B9813" s="35"/>
      <c r="C9813" s="36"/>
      <c r="D9813" s="37"/>
      <c r="E9813" s="36"/>
      <c r="F9813" s="42"/>
      <c r="G9813" s="42"/>
      <c r="H9813" s="42"/>
      <c r="AG9813" s="19">
        <v>9812</v>
      </c>
      <c r="AH9813" s="20">
        <v>-690.77560946358813</v>
      </c>
    </row>
    <row r="9814" spans="1:34" ht="14.5" x14ac:dyDescent="0.35">
      <c r="A9814" s="34"/>
      <c r="B9814" s="35"/>
      <c r="C9814" s="36"/>
      <c r="D9814" s="37"/>
      <c r="E9814" s="36"/>
      <c r="F9814" s="42"/>
      <c r="G9814" s="42"/>
      <c r="H9814" s="42"/>
      <c r="AG9814" s="19">
        <v>9813</v>
      </c>
      <c r="AH9814" s="20">
        <v>2024.9167070773976</v>
      </c>
    </row>
    <row r="9815" spans="1:34" ht="14.5" x14ac:dyDescent="0.35">
      <c r="A9815" s="34"/>
      <c r="B9815" s="35"/>
      <c r="C9815" s="36"/>
      <c r="D9815" s="37"/>
      <c r="E9815" s="36"/>
      <c r="F9815" s="42"/>
      <c r="G9815" s="42"/>
      <c r="H9815" s="42"/>
      <c r="AG9815" s="19">
        <v>9814</v>
      </c>
      <c r="AH9815" s="20">
        <v>1413.0755837028289</v>
      </c>
    </row>
    <row r="9816" spans="1:34" ht="14.5" x14ac:dyDescent="0.35">
      <c r="A9816" s="34"/>
      <c r="B9816" s="35"/>
      <c r="C9816" s="36"/>
      <c r="D9816" s="37"/>
      <c r="E9816" s="36"/>
      <c r="F9816" s="42"/>
      <c r="G9816" s="42"/>
      <c r="H9816" s="42"/>
      <c r="AG9816" s="19">
        <v>9815</v>
      </c>
      <c r="AH9816" s="20">
        <v>-3584.1297395709357</v>
      </c>
    </row>
    <row r="9817" spans="1:34" ht="14.5" x14ac:dyDescent="0.35">
      <c r="A9817" s="34"/>
      <c r="B9817" s="35"/>
      <c r="C9817" s="36"/>
      <c r="D9817" s="37"/>
      <c r="E9817" s="36"/>
      <c r="F9817" s="42"/>
      <c r="G9817" s="42"/>
      <c r="H9817" s="42"/>
      <c r="AG9817" s="19">
        <v>9816</v>
      </c>
      <c r="AH9817" s="20">
        <v>1432.2851068202974</v>
      </c>
    </row>
    <row r="9818" spans="1:34" ht="14.5" x14ac:dyDescent="0.35">
      <c r="A9818" s="34"/>
      <c r="B9818" s="35"/>
      <c r="C9818" s="36"/>
      <c r="D9818" s="37"/>
      <c r="E9818" s="36"/>
      <c r="F9818" s="42"/>
      <c r="G9818" s="42"/>
      <c r="H9818" s="42"/>
      <c r="AG9818" s="19">
        <v>9817</v>
      </c>
      <c r="AH9818" s="20">
        <v>4321.8496715604197</v>
      </c>
    </row>
    <row r="9819" spans="1:34" ht="14.5" x14ac:dyDescent="0.35">
      <c r="A9819" s="34"/>
      <c r="B9819" s="35"/>
      <c r="C9819" s="36"/>
      <c r="D9819" s="37"/>
      <c r="E9819" s="36"/>
      <c r="F9819" s="42"/>
      <c r="G9819" s="42"/>
      <c r="H9819" s="42"/>
      <c r="AG9819" s="19">
        <v>9818</v>
      </c>
      <c r="AH9819" s="20">
        <v>2342.2917945036379</v>
      </c>
    </row>
    <row r="9820" spans="1:34" ht="14.5" x14ac:dyDescent="0.35">
      <c r="A9820" s="34"/>
      <c r="B9820" s="35"/>
      <c r="C9820" s="36"/>
      <c r="D9820" s="37"/>
      <c r="E9820" s="36"/>
      <c r="F9820" s="42"/>
      <c r="G9820" s="42"/>
      <c r="H9820" s="42"/>
      <c r="AG9820" s="19">
        <v>9819</v>
      </c>
      <c r="AH9820" s="20">
        <v>3177.505804835223</v>
      </c>
    </row>
    <row r="9821" spans="1:34" ht="14.5" x14ac:dyDescent="0.35">
      <c r="A9821" s="34"/>
      <c r="B9821" s="35"/>
      <c r="C9821" s="36"/>
      <c r="D9821" s="37"/>
      <c r="E9821" s="36"/>
      <c r="F9821" s="42"/>
      <c r="G9821" s="42"/>
      <c r="H9821" s="42"/>
      <c r="AG9821" s="19">
        <v>9820</v>
      </c>
      <c r="AH9821" s="20">
        <v>-1985.1563905723708</v>
      </c>
    </row>
    <row r="9822" spans="1:34" ht="14.5" x14ac:dyDescent="0.35">
      <c r="A9822" s="34"/>
      <c r="B9822" s="35"/>
      <c r="C9822" s="36"/>
      <c r="D9822" s="37"/>
      <c r="E9822" s="36"/>
      <c r="F9822" s="42"/>
      <c r="G9822" s="42"/>
      <c r="H9822" s="42"/>
      <c r="AG9822" s="19">
        <v>9821</v>
      </c>
      <c r="AH9822" s="20">
        <v>-1045.6817240887162</v>
      </c>
    </row>
    <row r="9823" spans="1:34" ht="14.5" x14ac:dyDescent="0.35">
      <c r="A9823" s="34"/>
      <c r="B9823" s="35"/>
      <c r="C9823" s="36"/>
      <c r="D9823" s="37"/>
      <c r="E9823" s="36"/>
      <c r="F9823" s="42"/>
      <c r="G9823" s="42"/>
      <c r="H9823" s="42"/>
      <c r="AG9823" s="19">
        <v>9822</v>
      </c>
      <c r="AH9823" s="20">
        <v>-45.742303427241723</v>
      </c>
    </row>
    <row r="9824" spans="1:34" ht="14.5" x14ac:dyDescent="0.35">
      <c r="A9824" s="34"/>
      <c r="B9824" s="35"/>
      <c r="C9824" s="36"/>
      <c r="D9824" s="37"/>
      <c r="E9824" s="36"/>
      <c r="F9824" s="42"/>
      <c r="G9824" s="42"/>
      <c r="H9824" s="42"/>
      <c r="AG9824" s="19">
        <v>9823</v>
      </c>
      <c r="AH9824" s="20">
        <v>-1454.6225900429829</v>
      </c>
    </row>
    <row r="9825" spans="1:34" ht="14.5" x14ac:dyDescent="0.35">
      <c r="A9825" s="34"/>
      <c r="B9825" s="35"/>
      <c r="C9825" s="36"/>
      <c r="D9825" s="37"/>
      <c r="E9825" s="36"/>
      <c r="F9825" s="42"/>
      <c r="G9825" s="42"/>
      <c r="H9825" s="42"/>
      <c r="AG9825" s="19">
        <v>9824</v>
      </c>
      <c r="AH9825" s="20">
        <v>1047.112864575136</v>
      </c>
    </row>
    <row r="9826" spans="1:34" ht="14.5" x14ac:dyDescent="0.35">
      <c r="A9826" s="34"/>
      <c r="B9826" s="35"/>
      <c r="C9826" s="36"/>
      <c r="D9826" s="37"/>
      <c r="E9826" s="36"/>
      <c r="F9826" s="42"/>
      <c r="G9826" s="42"/>
      <c r="H9826" s="42"/>
      <c r="AG9826" s="19">
        <v>9825</v>
      </c>
      <c r="AH9826" s="20">
        <v>3539.9760036147331</v>
      </c>
    </row>
    <row r="9827" spans="1:34" ht="14.5" x14ac:dyDescent="0.35">
      <c r="A9827" s="34"/>
      <c r="B9827" s="35"/>
      <c r="C9827" s="36"/>
      <c r="D9827" s="37"/>
      <c r="E9827" s="36"/>
      <c r="F9827" s="42"/>
      <c r="G9827" s="42"/>
      <c r="H9827" s="42"/>
      <c r="AG9827" s="19">
        <v>9826</v>
      </c>
      <c r="AH9827" s="20">
        <v>1191.6791876567918</v>
      </c>
    </row>
    <row r="9828" spans="1:34" ht="14.5" x14ac:dyDescent="0.35">
      <c r="A9828" s="34"/>
      <c r="B9828" s="35"/>
      <c r="C9828" s="36"/>
      <c r="D9828" s="37"/>
      <c r="E9828" s="36"/>
      <c r="F9828" s="42"/>
      <c r="G9828" s="42"/>
      <c r="H9828" s="42"/>
      <c r="AG9828" s="19">
        <v>9827</v>
      </c>
      <c r="AH9828" s="20">
        <v>-1027.4658803347481</v>
      </c>
    </row>
    <row r="9829" spans="1:34" ht="14.5" x14ac:dyDescent="0.35">
      <c r="A9829" s="34"/>
      <c r="B9829" s="35"/>
      <c r="C9829" s="36"/>
      <c r="D9829" s="37"/>
      <c r="E9829" s="36"/>
      <c r="F9829" s="42"/>
      <c r="G9829" s="42"/>
      <c r="H9829" s="42"/>
      <c r="AG9829" s="19">
        <v>9828</v>
      </c>
      <c r="AH9829" s="20">
        <v>-463.1898959918463</v>
      </c>
    </row>
    <row r="9830" spans="1:34" ht="14.5" x14ac:dyDescent="0.35">
      <c r="A9830" s="34"/>
      <c r="B9830" s="35"/>
      <c r="C9830" s="36"/>
      <c r="D9830" s="37"/>
      <c r="E9830" s="36"/>
      <c r="F9830" s="42"/>
      <c r="G9830" s="42"/>
      <c r="H9830" s="42"/>
      <c r="AG9830" s="19">
        <v>9829</v>
      </c>
      <c r="AH9830" s="20">
        <v>-2752.4538021012272</v>
      </c>
    </row>
    <row r="9831" spans="1:34" ht="14.5" x14ac:dyDescent="0.35">
      <c r="A9831" s="34"/>
      <c r="B9831" s="35"/>
      <c r="C9831" s="36"/>
      <c r="D9831" s="37"/>
      <c r="E9831" s="36"/>
      <c r="F9831" s="42"/>
      <c r="G9831" s="42"/>
      <c r="H9831" s="42"/>
      <c r="AG9831" s="19">
        <v>9830</v>
      </c>
      <c r="AH9831" s="20">
        <v>-918.42315323310845</v>
      </c>
    </row>
    <row r="9832" spans="1:34" ht="14.5" x14ac:dyDescent="0.35">
      <c r="A9832" s="34"/>
      <c r="B9832" s="35"/>
      <c r="C9832" s="36"/>
      <c r="D9832" s="37"/>
      <c r="E9832" s="36"/>
      <c r="F9832" s="42"/>
      <c r="G9832" s="42"/>
      <c r="H9832" s="42"/>
      <c r="AG9832" s="19">
        <v>9831</v>
      </c>
      <c r="AH9832" s="20">
        <v>2090.8375650956009</v>
      </c>
    </row>
    <row r="9833" spans="1:34" ht="14.5" x14ac:dyDescent="0.35">
      <c r="A9833" s="34"/>
      <c r="B9833" s="35"/>
      <c r="C9833" s="36"/>
      <c r="D9833" s="37"/>
      <c r="E9833" s="36"/>
      <c r="F9833" s="42"/>
      <c r="G9833" s="42"/>
      <c r="H9833" s="42"/>
      <c r="AG9833" s="19">
        <v>9832</v>
      </c>
      <c r="AH9833" s="20">
        <v>2716.5383263085682</v>
      </c>
    </row>
    <row r="9834" spans="1:34" ht="14.5" x14ac:dyDescent="0.35">
      <c r="A9834" s="34"/>
      <c r="B9834" s="35"/>
      <c r="C9834" s="36"/>
      <c r="D9834" s="37"/>
      <c r="E9834" s="36"/>
      <c r="F9834" s="42"/>
      <c r="G9834" s="42"/>
      <c r="H9834" s="42"/>
      <c r="AG9834" s="19">
        <v>9833</v>
      </c>
      <c r="AH9834" s="20">
        <v>1313.6493720902513</v>
      </c>
    </row>
    <row r="9835" spans="1:34" ht="14.5" x14ac:dyDescent="0.35">
      <c r="A9835" s="34"/>
      <c r="B9835" s="35"/>
      <c r="C9835" s="36"/>
      <c r="D9835" s="37"/>
      <c r="E9835" s="36"/>
      <c r="F9835" s="42"/>
      <c r="G9835" s="42"/>
      <c r="H9835" s="42"/>
      <c r="AG9835" s="19">
        <v>9834</v>
      </c>
      <c r="AH9835" s="20">
        <v>-3419.0308175296568</v>
      </c>
    </row>
    <row r="9836" spans="1:34" ht="14.5" x14ac:dyDescent="0.35">
      <c r="A9836" s="34"/>
      <c r="B9836" s="35"/>
      <c r="C9836" s="36"/>
      <c r="D9836" s="37"/>
      <c r="E9836" s="36"/>
      <c r="F9836" s="42"/>
      <c r="G9836" s="42"/>
      <c r="H9836" s="42"/>
      <c r="AG9836" s="19">
        <v>9835</v>
      </c>
      <c r="AH9836" s="20">
        <v>147.63776481264745</v>
      </c>
    </row>
    <row r="9837" spans="1:34" ht="14.5" x14ac:dyDescent="0.35">
      <c r="A9837" s="34"/>
      <c r="B9837" s="35"/>
      <c r="C9837" s="36"/>
      <c r="D9837" s="37"/>
      <c r="E9837" s="36"/>
      <c r="F9837" s="42"/>
      <c r="G9837" s="42"/>
      <c r="H9837" s="42"/>
      <c r="AG9837" s="19">
        <v>9836</v>
      </c>
      <c r="AH9837" s="20">
        <v>1281.4999012749543</v>
      </c>
    </row>
    <row r="9838" spans="1:34" ht="14.5" x14ac:dyDescent="0.35">
      <c r="A9838" s="34"/>
      <c r="B9838" s="35"/>
      <c r="C9838" s="36"/>
      <c r="D9838" s="37"/>
      <c r="E9838" s="36"/>
      <c r="F9838" s="42"/>
      <c r="G9838" s="42"/>
      <c r="H9838" s="42"/>
      <c r="AG9838" s="19">
        <v>9837</v>
      </c>
      <c r="AH9838" s="20">
        <v>-142.77380241191685</v>
      </c>
    </row>
    <row r="9839" spans="1:34" ht="14.5" x14ac:dyDescent="0.35">
      <c r="A9839" s="34"/>
      <c r="B9839" s="35"/>
      <c r="C9839" s="36"/>
      <c r="D9839" s="37"/>
      <c r="E9839" s="36"/>
      <c r="F9839" s="42"/>
      <c r="G9839" s="42"/>
      <c r="H9839" s="42"/>
      <c r="AG9839" s="19">
        <v>9838</v>
      </c>
      <c r="AH9839" s="20">
        <v>2717.6203785552993</v>
      </c>
    </row>
    <row r="9840" spans="1:34" ht="14.5" x14ac:dyDescent="0.35">
      <c r="A9840" s="34"/>
      <c r="B9840" s="35"/>
      <c r="C9840" s="36"/>
      <c r="D9840" s="37"/>
      <c r="E9840" s="36"/>
      <c r="F9840" s="42"/>
      <c r="G9840" s="42"/>
      <c r="H9840" s="42"/>
      <c r="AG9840" s="19">
        <v>9839</v>
      </c>
      <c r="AH9840" s="20">
        <v>-1831.7039160622205</v>
      </c>
    </row>
    <row r="9841" spans="1:34" ht="14.5" x14ac:dyDescent="0.35">
      <c r="A9841" s="34"/>
      <c r="B9841" s="35"/>
      <c r="C9841" s="36"/>
      <c r="D9841" s="37"/>
      <c r="E9841" s="36"/>
      <c r="F9841" s="42"/>
      <c r="G9841" s="42"/>
      <c r="H9841" s="42"/>
      <c r="AG9841" s="19">
        <v>9840</v>
      </c>
      <c r="AH9841" s="20">
        <v>2202.1076241054811</v>
      </c>
    </row>
    <row r="9842" spans="1:34" ht="14.5" x14ac:dyDescent="0.35">
      <c r="A9842" s="34"/>
      <c r="B9842" s="35"/>
      <c r="C9842" s="36"/>
      <c r="D9842" s="37"/>
      <c r="E9842" s="36"/>
      <c r="F9842" s="42"/>
      <c r="G9842" s="42"/>
      <c r="H9842" s="42"/>
      <c r="AG9842" s="19">
        <v>9841</v>
      </c>
      <c r="AH9842" s="20">
        <v>691.00577096592906</v>
      </c>
    </row>
    <row r="9843" spans="1:34" ht="14.5" x14ac:dyDescent="0.35">
      <c r="A9843" s="34"/>
      <c r="B9843" s="35"/>
      <c r="C9843" s="36"/>
      <c r="D9843" s="37"/>
      <c r="E9843" s="36"/>
      <c r="F9843" s="42"/>
      <c r="G9843" s="42"/>
      <c r="H9843" s="42"/>
      <c r="AG9843" s="19">
        <v>9842</v>
      </c>
      <c r="AH9843" s="20">
        <v>1562.126175258016</v>
      </c>
    </row>
    <row r="9844" spans="1:34" ht="14.5" x14ac:dyDescent="0.35">
      <c r="A9844" s="34"/>
      <c r="B9844" s="35"/>
      <c r="C9844" s="36"/>
      <c r="D9844" s="37"/>
      <c r="E9844" s="36"/>
      <c r="F9844" s="42"/>
      <c r="G9844" s="42"/>
      <c r="H9844" s="42"/>
      <c r="AG9844" s="19">
        <v>9843</v>
      </c>
      <c r="AH9844" s="20">
        <v>-4232.9723373730367</v>
      </c>
    </row>
    <row r="9845" spans="1:34" ht="14.5" x14ac:dyDescent="0.35">
      <c r="A9845" s="34"/>
      <c r="B9845" s="35"/>
      <c r="C9845" s="36"/>
      <c r="D9845" s="37"/>
      <c r="E9845" s="36"/>
      <c r="F9845" s="42"/>
      <c r="G9845" s="42"/>
      <c r="H9845" s="42"/>
      <c r="AG9845" s="19">
        <v>9844</v>
      </c>
      <c r="AH9845" s="20">
        <v>-2852.2114772902478</v>
      </c>
    </row>
    <row r="9846" spans="1:34" ht="14.5" x14ac:dyDescent="0.35">
      <c r="A9846" s="34"/>
      <c r="B9846" s="35"/>
      <c r="C9846" s="36"/>
      <c r="D9846" s="37"/>
      <c r="E9846" s="36"/>
      <c r="F9846" s="42"/>
      <c r="G9846" s="42"/>
      <c r="H9846" s="42"/>
      <c r="AG9846" s="19">
        <v>9845</v>
      </c>
      <c r="AH9846" s="20">
        <v>-1037.3500005090398</v>
      </c>
    </row>
    <row r="9847" spans="1:34" ht="14.5" x14ac:dyDescent="0.35">
      <c r="A9847" s="34"/>
      <c r="B9847" s="35"/>
      <c r="C9847" s="36"/>
      <c r="D9847" s="37"/>
      <c r="E9847" s="36"/>
      <c r="F9847" s="42"/>
      <c r="G9847" s="42"/>
      <c r="H9847" s="42"/>
      <c r="AG9847" s="19">
        <v>9846</v>
      </c>
      <c r="AH9847" s="20">
        <v>-1512.8317749364101</v>
      </c>
    </row>
    <row r="9848" spans="1:34" ht="14.5" x14ac:dyDescent="0.35">
      <c r="A9848" s="34"/>
      <c r="B9848" s="35"/>
      <c r="C9848" s="36"/>
      <c r="D9848" s="37"/>
      <c r="E9848" s="36"/>
      <c r="F9848" s="42"/>
      <c r="G9848" s="42"/>
      <c r="H9848" s="42"/>
      <c r="AG9848" s="19">
        <v>9847</v>
      </c>
      <c r="AH9848" s="20">
        <v>-680.54730718014912</v>
      </c>
    </row>
    <row r="9849" spans="1:34" ht="14.5" x14ac:dyDescent="0.35">
      <c r="A9849" s="34"/>
      <c r="B9849" s="35"/>
      <c r="C9849" s="36"/>
      <c r="D9849" s="37"/>
      <c r="E9849" s="36"/>
      <c r="F9849" s="42"/>
      <c r="G9849" s="42"/>
      <c r="H9849" s="42"/>
      <c r="AG9849" s="19">
        <v>9848</v>
      </c>
      <c r="AH9849" s="20">
        <v>2519.5132734403655</v>
      </c>
    </row>
    <row r="9850" spans="1:34" ht="14.5" x14ac:dyDescent="0.35">
      <c r="A9850" s="34"/>
      <c r="B9850" s="35"/>
      <c r="C9850" s="36"/>
      <c r="D9850" s="37"/>
      <c r="E9850" s="36"/>
      <c r="F9850" s="42"/>
      <c r="G9850" s="42"/>
      <c r="H9850" s="42"/>
      <c r="AG9850" s="19">
        <v>9849</v>
      </c>
      <c r="AH9850" s="20">
        <v>4823.0400445075802</v>
      </c>
    </row>
    <row r="9851" spans="1:34" ht="14.5" x14ac:dyDescent="0.35">
      <c r="A9851" s="34"/>
      <c r="B9851" s="35"/>
      <c r="C9851" s="36"/>
      <c r="D9851" s="37"/>
      <c r="E9851" s="36"/>
      <c r="F9851" s="42"/>
      <c r="G9851" s="42"/>
      <c r="H9851" s="42"/>
      <c r="AG9851" s="19">
        <v>9850</v>
      </c>
      <c r="AH9851" s="20">
        <v>291.89715466291312</v>
      </c>
    </row>
    <row r="9852" spans="1:34" ht="14.5" x14ac:dyDescent="0.35">
      <c r="A9852" s="34"/>
      <c r="B9852" s="35"/>
      <c r="C9852" s="36"/>
      <c r="D9852" s="37"/>
      <c r="E9852" s="36"/>
      <c r="F9852" s="42"/>
      <c r="G9852" s="42"/>
      <c r="H9852" s="42"/>
      <c r="AG9852" s="19">
        <v>9851</v>
      </c>
      <c r="AH9852" s="20">
        <v>2978.7221193791424</v>
      </c>
    </row>
    <row r="9853" spans="1:34" ht="14.5" x14ac:dyDescent="0.35">
      <c r="A9853" s="34"/>
      <c r="B9853" s="35"/>
      <c r="C9853" s="36"/>
      <c r="D9853" s="37"/>
      <c r="E9853" s="36"/>
      <c r="F9853" s="42"/>
      <c r="G9853" s="42"/>
      <c r="H9853" s="42"/>
      <c r="AG9853" s="19">
        <v>9852</v>
      </c>
      <c r="AH9853" s="20">
        <v>3801.5990341793422</v>
      </c>
    </row>
    <row r="9854" spans="1:34" ht="14.5" x14ac:dyDescent="0.35">
      <c r="A9854" s="34"/>
      <c r="B9854" s="35"/>
      <c r="C9854" s="36"/>
      <c r="D9854" s="37"/>
      <c r="E9854" s="36"/>
      <c r="F9854" s="42"/>
      <c r="G9854" s="42"/>
      <c r="H9854" s="42"/>
      <c r="AG9854" s="19">
        <v>9853</v>
      </c>
      <c r="AH9854" s="20">
        <v>1859.4630600167518</v>
      </c>
    </row>
    <row r="9855" spans="1:34" ht="14.5" x14ac:dyDescent="0.35">
      <c r="A9855" s="34"/>
      <c r="B9855" s="35"/>
      <c r="C9855" s="36"/>
      <c r="D9855" s="37"/>
      <c r="E9855" s="36"/>
      <c r="F9855" s="42"/>
      <c r="G9855" s="42"/>
      <c r="H9855" s="42"/>
      <c r="AG9855" s="19">
        <v>9854</v>
      </c>
      <c r="AH9855" s="20">
        <v>732.46664681132347</v>
      </c>
    </row>
    <row r="9856" spans="1:34" ht="14.5" x14ac:dyDescent="0.35">
      <c r="A9856" s="34"/>
      <c r="B9856" s="35"/>
      <c r="C9856" s="36"/>
      <c r="D9856" s="37"/>
      <c r="E9856" s="36"/>
      <c r="F9856" s="42"/>
      <c r="G9856" s="42"/>
      <c r="H9856" s="42"/>
      <c r="AG9856" s="19">
        <v>9855</v>
      </c>
      <c r="AH9856" s="20">
        <v>-3521.3128872275888</v>
      </c>
    </row>
    <row r="9857" spans="1:34" ht="14.5" x14ac:dyDescent="0.35">
      <c r="A9857" s="34"/>
      <c r="B9857" s="35"/>
      <c r="C9857" s="36"/>
      <c r="D9857" s="37"/>
      <c r="E9857" s="36"/>
      <c r="F9857" s="42"/>
      <c r="G9857" s="42"/>
      <c r="H9857" s="42"/>
      <c r="AG9857" s="19">
        <v>9856</v>
      </c>
      <c r="AH9857" s="20">
        <v>427.7581686639939</v>
      </c>
    </row>
    <row r="9858" spans="1:34" ht="14.5" x14ac:dyDescent="0.35">
      <c r="A9858" s="34"/>
      <c r="B9858" s="35"/>
      <c r="C9858" s="36"/>
      <c r="D9858" s="37"/>
      <c r="E9858" s="36"/>
      <c r="F9858" s="42"/>
      <c r="G9858" s="42"/>
      <c r="H9858" s="42"/>
      <c r="AG9858" s="19">
        <v>9857</v>
      </c>
      <c r="AH9858" s="20">
        <v>2632.8436630642768</v>
      </c>
    </row>
    <row r="9859" spans="1:34" ht="14.5" x14ac:dyDescent="0.35">
      <c r="A9859" s="34"/>
      <c r="B9859" s="35"/>
      <c r="C9859" s="36"/>
      <c r="D9859" s="37"/>
      <c r="E9859" s="36"/>
      <c r="F9859" s="42"/>
      <c r="G9859" s="42"/>
      <c r="H9859" s="42"/>
      <c r="AG9859" s="19">
        <v>9858</v>
      </c>
      <c r="AH9859" s="20">
        <v>-64.299429626585095</v>
      </c>
    </row>
    <row r="9860" spans="1:34" ht="14.5" x14ac:dyDescent="0.35">
      <c r="A9860" s="34"/>
      <c r="B9860" s="35"/>
      <c r="C9860" s="36"/>
      <c r="D9860" s="37"/>
      <c r="E9860" s="36"/>
      <c r="F9860" s="42"/>
      <c r="G9860" s="42"/>
      <c r="H9860" s="42"/>
      <c r="AG9860" s="19">
        <v>9859</v>
      </c>
      <c r="AH9860" s="20">
        <v>157.91794517034697</v>
      </c>
    </row>
    <row r="9861" spans="1:34" ht="14.5" x14ac:dyDescent="0.35">
      <c r="A9861" s="34"/>
      <c r="B9861" s="35"/>
      <c r="C9861" s="36"/>
      <c r="D9861" s="37"/>
      <c r="E9861" s="36"/>
      <c r="F9861" s="42"/>
      <c r="G9861" s="42"/>
      <c r="H9861" s="42"/>
      <c r="AG9861" s="19">
        <v>9860</v>
      </c>
      <c r="AH9861" s="20">
        <v>-1875.9659816990768</v>
      </c>
    </row>
    <row r="9862" spans="1:34" ht="14.5" x14ac:dyDescent="0.35">
      <c r="A9862" s="34"/>
      <c r="B9862" s="35"/>
      <c r="C9862" s="36"/>
      <c r="D9862" s="37"/>
      <c r="E9862" s="36"/>
      <c r="F9862" s="42"/>
      <c r="G9862" s="42"/>
      <c r="H9862" s="42"/>
      <c r="AG9862" s="19">
        <v>9861</v>
      </c>
      <c r="AH9862" s="20">
        <v>2324.770010392358</v>
      </c>
    </row>
    <row r="9863" spans="1:34" ht="14.5" x14ac:dyDescent="0.35">
      <c r="A9863" s="34"/>
      <c r="B9863" s="35"/>
      <c r="C9863" s="36"/>
      <c r="D9863" s="37"/>
      <c r="E9863" s="36"/>
      <c r="F9863" s="42"/>
      <c r="G9863" s="42"/>
      <c r="H9863" s="42"/>
      <c r="AG9863" s="19">
        <v>9862</v>
      </c>
      <c r="AH9863" s="20">
        <v>-571.48141154559607</v>
      </c>
    </row>
    <row r="9864" spans="1:34" ht="14.5" x14ac:dyDescent="0.35">
      <c r="A9864" s="34"/>
      <c r="B9864" s="35"/>
      <c r="C9864" s="36"/>
      <c r="D9864" s="37"/>
      <c r="E9864" s="36"/>
      <c r="F9864" s="42"/>
      <c r="G9864" s="42"/>
      <c r="H9864" s="42"/>
      <c r="AG9864" s="19">
        <v>9863</v>
      </c>
      <c r="AH9864" s="20">
        <v>-1484.5719814094703</v>
      </c>
    </row>
    <row r="9865" spans="1:34" ht="14.5" x14ac:dyDescent="0.35">
      <c r="A9865" s="34"/>
      <c r="B9865" s="35"/>
      <c r="C9865" s="36"/>
      <c r="D9865" s="37"/>
      <c r="E9865" s="36"/>
      <c r="F9865" s="42"/>
      <c r="G9865" s="42"/>
      <c r="H9865" s="42"/>
      <c r="AG9865" s="19">
        <v>9864</v>
      </c>
      <c r="AH9865" s="20">
        <v>-340.54446814533861</v>
      </c>
    </row>
    <row r="9866" spans="1:34" ht="14.5" x14ac:dyDescent="0.35">
      <c r="A9866" s="34"/>
      <c r="B9866" s="35"/>
      <c r="C9866" s="36"/>
      <c r="D9866" s="37"/>
      <c r="E9866" s="36"/>
      <c r="F9866" s="42"/>
      <c r="G9866" s="42"/>
      <c r="H9866" s="42"/>
      <c r="AG9866" s="19">
        <v>9865</v>
      </c>
      <c r="AH9866" s="20">
        <v>-968.33805961293797</v>
      </c>
    </row>
    <row r="9867" spans="1:34" ht="14.5" x14ac:dyDescent="0.35">
      <c r="A9867" s="34"/>
      <c r="B9867" s="35"/>
      <c r="C9867" s="36"/>
      <c r="D9867" s="37"/>
      <c r="E9867" s="36"/>
      <c r="F9867" s="42"/>
      <c r="G9867" s="42"/>
      <c r="H9867" s="42"/>
      <c r="AG9867" s="19">
        <v>9866</v>
      </c>
      <c r="AH9867" s="20">
        <v>-115.21887410155028</v>
      </c>
    </row>
    <row r="9868" spans="1:34" ht="14.5" x14ac:dyDescent="0.35">
      <c r="A9868" s="34"/>
      <c r="B9868" s="35"/>
      <c r="C9868" s="36"/>
      <c r="D9868" s="37"/>
      <c r="E9868" s="36"/>
      <c r="F9868" s="42"/>
      <c r="G9868" s="42"/>
      <c r="H9868" s="42"/>
      <c r="AG9868" s="19">
        <v>9867</v>
      </c>
      <c r="AH9868" s="20">
        <v>-1474.6489002612225</v>
      </c>
    </row>
    <row r="9869" spans="1:34" ht="14.5" x14ac:dyDescent="0.35">
      <c r="A9869" s="34"/>
      <c r="B9869" s="35"/>
      <c r="C9869" s="36"/>
      <c r="D9869" s="37"/>
      <c r="E9869" s="36"/>
      <c r="F9869" s="42"/>
      <c r="G9869" s="42"/>
      <c r="H9869" s="42"/>
      <c r="AG9869" s="19">
        <v>9868</v>
      </c>
      <c r="AH9869" s="20">
        <v>645.38362311317383</v>
      </c>
    </row>
    <row r="9870" spans="1:34" ht="14.5" x14ac:dyDescent="0.35">
      <c r="A9870" s="34"/>
      <c r="B9870" s="35"/>
      <c r="C9870" s="36"/>
      <c r="D9870" s="37"/>
      <c r="E9870" s="36"/>
      <c r="F9870" s="42"/>
      <c r="G9870" s="42"/>
      <c r="H9870" s="42"/>
      <c r="AG9870" s="19">
        <v>9869</v>
      </c>
      <c r="AH9870" s="20">
        <v>-1969.1825503552107</v>
      </c>
    </row>
    <row r="9871" spans="1:34" ht="14.5" x14ac:dyDescent="0.35">
      <c r="A9871" s="34"/>
      <c r="B9871" s="35"/>
      <c r="C9871" s="36"/>
      <c r="D9871" s="37"/>
      <c r="E9871" s="36"/>
      <c r="F9871" s="42"/>
      <c r="G9871" s="42"/>
      <c r="H9871" s="42"/>
      <c r="AG9871" s="19">
        <v>9870</v>
      </c>
      <c r="AH9871" s="20">
        <v>-392.40381507198089</v>
      </c>
    </row>
    <row r="9872" spans="1:34" ht="14.5" x14ac:dyDescent="0.35">
      <c r="A9872" s="34"/>
      <c r="B9872" s="35"/>
      <c r="C9872" s="36"/>
      <c r="D9872" s="37"/>
      <c r="E9872" s="36"/>
      <c r="F9872" s="42"/>
      <c r="G9872" s="42"/>
      <c r="H9872" s="42"/>
      <c r="AG9872" s="19">
        <v>9871</v>
      </c>
      <c r="AH9872" s="20">
        <v>1837.8488042290346</v>
      </c>
    </row>
    <row r="9873" spans="1:34" ht="14.5" x14ac:dyDescent="0.35">
      <c r="A9873" s="34"/>
      <c r="B9873" s="35"/>
      <c r="C9873" s="36"/>
      <c r="D9873" s="37"/>
      <c r="E9873" s="36"/>
      <c r="F9873" s="42"/>
      <c r="G9873" s="42"/>
      <c r="H9873" s="42"/>
      <c r="AG9873" s="19">
        <v>9872</v>
      </c>
      <c r="AH9873" s="20">
        <v>-615.81381305282548</v>
      </c>
    </row>
    <row r="9874" spans="1:34" ht="14.5" x14ac:dyDescent="0.35">
      <c r="A9874" s="34"/>
      <c r="B9874" s="35"/>
      <c r="C9874" s="36"/>
      <c r="D9874" s="37"/>
      <c r="E9874" s="36"/>
      <c r="F9874" s="42"/>
      <c r="G9874" s="42"/>
      <c r="H9874" s="42"/>
      <c r="AG9874" s="19">
        <v>9873</v>
      </c>
      <c r="AH9874" s="20">
        <v>1594.8673273788413</v>
      </c>
    </row>
    <row r="9875" spans="1:34" ht="14.5" x14ac:dyDescent="0.35">
      <c r="A9875" s="34"/>
      <c r="B9875" s="35"/>
      <c r="C9875" s="36"/>
      <c r="D9875" s="37"/>
      <c r="E9875" s="36"/>
      <c r="F9875" s="42"/>
      <c r="G9875" s="42"/>
      <c r="H9875" s="42"/>
      <c r="AG9875" s="19">
        <v>9874</v>
      </c>
      <c r="AH9875" s="20">
        <v>-1609.1492673747166</v>
      </c>
    </row>
    <row r="9876" spans="1:34" ht="14.5" x14ac:dyDescent="0.35">
      <c r="A9876" s="34"/>
      <c r="B9876" s="35"/>
      <c r="C9876" s="36"/>
      <c r="D9876" s="37"/>
      <c r="E9876" s="36"/>
      <c r="F9876" s="42"/>
      <c r="G9876" s="42"/>
      <c r="H9876" s="42"/>
      <c r="AG9876" s="19">
        <v>9875</v>
      </c>
      <c r="AH9876" s="20">
        <v>-1473.8276987601816</v>
      </c>
    </row>
    <row r="9877" spans="1:34" ht="14.5" x14ac:dyDescent="0.35">
      <c r="A9877" s="34"/>
      <c r="B9877" s="35"/>
      <c r="C9877" s="36"/>
      <c r="D9877" s="37"/>
      <c r="E9877" s="36"/>
      <c r="F9877" s="42"/>
      <c r="G9877" s="42"/>
      <c r="H9877" s="42"/>
      <c r="AG9877" s="19">
        <v>9876</v>
      </c>
      <c r="AH9877" s="20">
        <v>3896.8828324926858</v>
      </c>
    </row>
    <row r="9878" spans="1:34" ht="14.5" x14ac:dyDescent="0.35">
      <c r="A9878" s="34"/>
      <c r="B9878" s="35"/>
      <c r="C9878" s="36"/>
      <c r="D9878" s="37"/>
      <c r="E9878" s="36"/>
      <c r="F9878" s="42"/>
      <c r="G9878" s="42"/>
      <c r="H9878" s="42"/>
      <c r="AG9878" s="19">
        <v>9877</v>
      </c>
      <c r="AH9878" s="20">
        <v>368.06040998203906</v>
      </c>
    </row>
    <row r="9879" spans="1:34" ht="14.5" x14ac:dyDescent="0.35">
      <c r="A9879" s="34"/>
      <c r="B9879" s="35"/>
      <c r="C9879" s="36"/>
      <c r="D9879" s="37"/>
      <c r="E9879" s="36"/>
      <c r="F9879" s="42"/>
      <c r="G9879" s="42"/>
      <c r="H9879" s="42"/>
      <c r="AG9879" s="19">
        <v>9878</v>
      </c>
      <c r="AH9879" s="20">
        <v>5796.7554824942617</v>
      </c>
    </row>
    <row r="9880" spans="1:34" ht="14.5" x14ac:dyDescent="0.35">
      <c r="A9880" s="34"/>
      <c r="B9880" s="35"/>
      <c r="C9880" s="36"/>
      <c r="D9880" s="37"/>
      <c r="E9880" s="36"/>
      <c r="F9880" s="42"/>
      <c r="G9880" s="42"/>
      <c r="H9880" s="42"/>
      <c r="AG9880" s="19">
        <v>9879</v>
      </c>
      <c r="AH9880" s="20">
        <v>-3800.4277771021862</v>
      </c>
    </row>
    <row r="9881" spans="1:34" ht="14.5" x14ac:dyDescent="0.35">
      <c r="A9881" s="34"/>
      <c r="B9881" s="35"/>
      <c r="C9881" s="36"/>
      <c r="D9881" s="37"/>
      <c r="E9881" s="36"/>
      <c r="F9881" s="42"/>
      <c r="G9881" s="42"/>
      <c r="H9881" s="42"/>
      <c r="AG9881" s="19">
        <v>9880</v>
      </c>
      <c r="AH9881" s="20">
        <v>-2074.0167217288345</v>
      </c>
    </row>
    <row r="9882" spans="1:34" ht="14.5" x14ac:dyDescent="0.35">
      <c r="A9882" s="34"/>
      <c r="B9882" s="35"/>
      <c r="C9882" s="36"/>
      <c r="D9882" s="37"/>
      <c r="E9882" s="36"/>
      <c r="F9882" s="42"/>
      <c r="G9882" s="42"/>
      <c r="H9882" s="42"/>
      <c r="AG9882" s="19">
        <v>9881</v>
      </c>
      <c r="AH9882" s="20">
        <v>1268.4310218249946</v>
      </c>
    </row>
    <row r="9883" spans="1:34" ht="14.5" x14ac:dyDescent="0.35">
      <c r="A9883" s="34"/>
      <c r="B9883" s="35"/>
      <c r="C9883" s="36"/>
      <c r="D9883" s="37"/>
      <c r="E9883" s="36"/>
      <c r="F9883" s="42"/>
      <c r="G9883" s="42"/>
      <c r="H9883" s="42"/>
      <c r="AG9883" s="19">
        <v>9882</v>
      </c>
      <c r="AH9883" s="20">
        <v>1190.4872616736168</v>
      </c>
    </row>
    <row r="9884" spans="1:34" ht="14.5" x14ac:dyDescent="0.35">
      <c r="A9884" s="34"/>
      <c r="B9884" s="35"/>
      <c r="C9884" s="36"/>
      <c r="D9884" s="37"/>
      <c r="E9884" s="36"/>
      <c r="F9884" s="42"/>
      <c r="G9884" s="42"/>
      <c r="H9884" s="42"/>
      <c r="AG9884" s="19">
        <v>9883</v>
      </c>
      <c r="AH9884" s="20">
        <v>4382.3465545691533</v>
      </c>
    </row>
    <row r="9885" spans="1:34" ht="14.5" x14ac:dyDescent="0.35">
      <c r="A9885" s="34"/>
      <c r="B9885" s="35"/>
      <c r="C9885" s="36"/>
      <c r="D9885" s="37"/>
      <c r="E9885" s="36"/>
      <c r="F9885" s="42"/>
      <c r="G9885" s="42"/>
      <c r="H9885" s="42"/>
      <c r="AG9885" s="19">
        <v>9884</v>
      </c>
      <c r="AH9885" s="20">
        <v>3798.1520330639732</v>
      </c>
    </row>
    <row r="9886" spans="1:34" ht="14.5" x14ac:dyDescent="0.35">
      <c r="A9886" s="34"/>
      <c r="B9886" s="35"/>
      <c r="C9886" s="36"/>
      <c r="D9886" s="37"/>
      <c r="E9886" s="36"/>
      <c r="F9886" s="42"/>
      <c r="G9886" s="42"/>
      <c r="H9886" s="42"/>
      <c r="AG9886" s="19">
        <v>9885</v>
      </c>
      <c r="AH9886" s="20">
        <v>1773.7493578532019</v>
      </c>
    </row>
    <row r="9887" spans="1:34" ht="14.5" x14ac:dyDescent="0.35">
      <c r="A9887" s="34"/>
      <c r="B9887" s="35"/>
      <c r="C9887" s="36"/>
      <c r="D9887" s="37"/>
      <c r="E9887" s="36"/>
      <c r="F9887" s="42"/>
      <c r="G9887" s="42"/>
      <c r="H9887" s="42"/>
      <c r="AG9887" s="19">
        <v>9886</v>
      </c>
      <c r="AH9887" s="20">
        <v>1479.6537713615344</v>
      </c>
    </row>
    <row r="9888" spans="1:34" ht="14.5" x14ac:dyDescent="0.35">
      <c r="A9888" s="34"/>
      <c r="B9888" s="35"/>
      <c r="C9888" s="36"/>
      <c r="D9888" s="37"/>
      <c r="E9888" s="36"/>
      <c r="F9888" s="42"/>
      <c r="G9888" s="42"/>
      <c r="H9888" s="42"/>
      <c r="AG9888" s="19">
        <v>9887</v>
      </c>
      <c r="AH9888" s="20">
        <v>806.14489382460738</v>
      </c>
    </row>
    <row r="9889" spans="1:34" ht="14.5" x14ac:dyDescent="0.35">
      <c r="A9889" s="34"/>
      <c r="B9889" s="35"/>
      <c r="C9889" s="36"/>
      <c r="D9889" s="37"/>
      <c r="E9889" s="36"/>
      <c r="F9889" s="42"/>
      <c r="G9889" s="42"/>
      <c r="H9889" s="42"/>
      <c r="AG9889" s="19">
        <v>9888</v>
      </c>
      <c r="AH9889" s="20">
        <v>-471.33943968396574</v>
      </c>
    </row>
    <row r="9890" spans="1:34" ht="14.5" x14ac:dyDescent="0.35">
      <c r="A9890" s="34"/>
      <c r="B9890" s="35"/>
      <c r="C9890" s="36"/>
      <c r="D9890" s="37"/>
      <c r="E9890" s="36"/>
      <c r="F9890" s="42"/>
      <c r="G9890" s="42"/>
      <c r="H9890" s="42"/>
      <c r="AG9890" s="19">
        <v>9889</v>
      </c>
      <c r="AH9890" s="20">
        <v>2455.6559846192549</v>
      </c>
    </row>
    <row r="9891" spans="1:34" ht="14.5" x14ac:dyDescent="0.35">
      <c r="A9891" s="34"/>
      <c r="B9891" s="35"/>
      <c r="C9891" s="36"/>
      <c r="D9891" s="37"/>
      <c r="E9891" s="36"/>
      <c r="F9891" s="42"/>
      <c r="G9891" s="42"/>
      <c r="H9891" s="42"/>
      <c r="AG9891" s="19">
        <v>9890</v>
      </c>
      <c r="AH9891" s="20">
        <v>-23.86870930019569</v>
      </c>
    </row>
    <row r="9892" spans="1:34" ht="14.5" x14ac:dyDescent="0.35">
      <c r="A9892" s="34"/>
      <c r="B9892" s="35"/>
      <c r="C9892" s="36"/>
      <c r="D9892" s="37"/>
      <c r="E9892" s="36"/>
      <c r="F9892" s="42"/>
      <c r="G9892" s="42"/>
      <c r="H9892" s="42"/>
      <c r="AG9892" s="19">
        <v>9891</v>
      </c>
      <c r="AH9892" s="20">
        <v>-217.66891332213976</v>
      </c>
    </row>
    <row r="9893" spans="1:34" ht="14.5" x14ac:dyDescent="0.35">
      <c r="A9893" s="34"/>
      <c r="B9893" s="35"/>
      <c r="C9893" s="36"/>
      <c r="D9893" s="37"/>
      <c r="E9893" s="36"/>
      <c r="F9893" s="42"/>
      <c r="G9893" s="42"/>
      <c r="H9893" s="42"/>
      <c r="AG9893" s="19">
        <v>9892</v>
      </c>
      <c r="AH9893" s="20">
        <v>-3641.9143789023042</v>
      </c>
    </row>
    <row r="9894" spans="1:34" ht="14.5" x14ac:dyDescent="0.35">
      <c r="A9894" s="34"/>
      <c r="B9894" s="35"/>
      <c r="C9894" s="36"/>
      <c r="D9894" s="37"/>
      <c r="E9894" s="36"/>
      <c r="F9894" s="42"/>
      <c r="G9894" s="42"/>
      <c r="H9894" s="42"/>
      <c r="AG9894" s="19">
        <v>9893</v>
      </c>
      <c r="AH9894" s="20">
        <v>-4111.3059293403367</v>
      </c>
    </row>
    <row r="9895" spans="1:34" ht="14.5" x14ac:dyDescent="0.35">
      <c r="A9895" s="34"/>
      <c r="B9895" s="35"/>
      <c r="C9895" s="36"/>
      <c r="D9895" s="37"/>
      <c r="E9895" s="36"/>
      <c r="F9895" s="42"/>
      <c r="G9895" s="42"/>
      <c r="H9895" s="42"/>
      <c r="AG9895" s="19">
        <v>9894</v>
      </c>
      <c r="AH9895" s="20">
        <v>2023.013968823657</v>
      </c>
    </row>
    <row r="9896" spans="1:34" ht="14.5" x14ac:dyDescent="0.35">
      <c r="A9896" s="34"/>
      <c r="B9896" s="35"/>
      <c r="C9896" s="36"/>
      <c r="D9896" s="37"/>
      <c r="E9896" s="36"/>
      <c r="F9896" s="42"/>
      <c r="G9896" s="42"/>
      <c r="H9896" s="42"/>
      <c r="AG9896" s="19">
        <v>9895</v>
      </c>
      <c r="AH9896" s="20">
        <v>-5494.0018855074222</v>
      </c>
    </row>
    <row r="9897" spans="1:34" ht="14.5" x14ac:dyDescent="0.35">
      <c r="A9897" s="34"/>
      <c r="B9897" s="35"/>
      <c r="C9897" s="36"/>
      <c r="D9897" s="37"/>
      <c r="E9897" s="36"/>
      <c r="F9897" s="42"/>
      <c r="G9897" s="42"/>
      <c r="H9897" s="42"/>
      <c r="AG9897" s="19">
        <v>9896</v>
      </c>
      <c r="AH9897" s="20">
        <v>-306.74383532341216</v>
      </c>
    </row>
    <row r="9898" spans="1:34" ht="14.5" x14ac:dyDescent="0.35">
      <c r="A9898" s="34"/>
      <c r="B9898" s="35"/>
      <c r="C9898" s="36"/>
      <c r="D9898" s="37"/>
      <c r="E9898" s="36"/>
      <c r="F9898" s="42"/>
      <c r="G9898" s="42"/>
      <c r="H9898" s="42"/>
      <c r="AG9898" s="19">
        <v>9897</v>
      </c>
      <c r="AH9898" s="20">
        <v>1196.4617203139119</v>
      </c>
    </row>
    <row r="9899" spans="1:34" ht="14.5" x14ac:dyDescent="0.35">
      <c r="A9899" s="34"/>
      <c r="B9899" s="35"/>
      <c r="C9899" s="36"/>
      <c r="D9899" s="37"/>
      <c r="E9899" s="36"/>
      <c r="F9899" s="42"/>
      <c r="G9899" s="42"/>
      <c r="H9899" s="42"/>
      <c r="AG9899" s="19">
        <v>9898</v>
      </c>
      <c r="AH9899" s="20">
        <v>-1412.4651278429351</v>
      </c>
    </row>
    <row r="9900" spans="1:34" ht="14.5" x14ac:dyDescent="0.35">
      <c r="A9900" s="34"/>
      <c r="B9900" s="35"/>
      <c r="C9900" s="36"/>
      <c r="D9900" s="37"/>
      <c r="E9900" s="36"/>
      <c r="F9900" s="42"/>
      <c r="G9900" s="42"/>
      <c r="H9900" s="42"/>
      <c r="AG9900" s="19">
        <v>9899</v>
      </c>
      <c r="AH9900" s="20">
        <v>-3587.6026979101616</v>
      </c>
    </row>
    <row r="9901" spans="1:34" ht="14.5" x14ac:dyDescent="0.35">
      <c r="A9901" s="34"/>
      <c r="B9901" s="35"/>
      <c r="C9901" s="36"/>
      <c r="D9901" s="37"/>
      <c r="E9901" s="36"/>
      <c r="F9901" s="42"/>
      <c r="G9901" s="42"/>
      <c r="H9901" s="42"/>
      <c r="AG9901" s="19">
        <v>9900</v>
      </c>
      <c r="AH9901" s="20">
        <v>-2287.4354780479525</v>
      </c>
    </row>
    <row r="9902" spans="1:34" ht="14.5" x14ac:dyDescent="0.35">
      <c r="A9902" s="34"/>
      <c r="B9902" s="35"/>
      <c r="C9902" s="36"/>
      <c r="D9902" s="37"/>
      <c r="E9902" s="36"/>
      <c r="F9902" s="42"/>
      <c r="G9902" s="42"/>
      <c r="H9902" s="42"/>
      <c r="AG9902" s="19">
        <v>9901</v>
      </c>
      <c r="AH9902" s="20">
        <v>-1089.5092592897461</v>
      </c>
    </row>
    <row r="9903" spans="1:34" ht="14.5" x14ac:dyDescent="0.35">
      <c r="A9903" s="34"/>
      <c r="B9903" s="35"/>
      <c r="C9903" s="36"/>
      <c r="D9903" s="37"/>
      <c r="E9903" s="36"/>
      <c r="F9903" s="42"/>
      <c r="G9903" s="42"/>
      <c r="H9903" s="42"/>
      <c r="AG9903" s="19">
        <v>9902</v>
      </c>
      <c r="AH9903" s="20">
        <v>4009.6123503193471</v>
      </c>
    </row>
    <row r="9904" spans="1:34" ht="14.5" x14ac:dyDescent="0.35">
      <c r="A9904" s="34"/>
      <c r="B9904" s="35"/>
      <c r="C9904" s="36"/>
      <c r="D9904" s="37"/>
      <c r="E9904" s="36"/>
      <c r="F9904" s="42"/>
      <c r="G9904" s="42"/>
      <c r="H9904" s="42"/>
      <c r="AG9904" s="19">
        <v>9903</v>
      </c>
      <c r="AH9904" s="20">
        <v>5395.2525692022673</v>
      </c>
    </row>
    <row r="9905" spans="1:34" ht="14.5" x14ac:dyDescent="0.35">
      <c r="A9905" s="34"/>
      <c r="B9905" s="35"/>
      <c r="C9905" s="36"/>
      <c r="D9905" s="37"/>
      <c r="E9905" s="36"/>
      <c r="F9905" s="42"/>
      <c r="G9905" s="42"/>
      <c r="H9905" s="42"/>
      <c r="AG9905" s="19">
        <v>9904</v>
      </c>
      <c r="AH9905" s="20">
        <v>-1804.0851920627754</v>
      </c>
    </row>
    <row r="9906" spans="1:34" ht="14.5" x14ac:dyDescent="0.35">
      <c r="A9906" s="34"/>
      <c r="B9906" s="35"/>
      <c r="C9906" s="36"/>
      <c r="D9906" s="37"/>
      <c r="E9906" s="36"/>
      <c r="F9906" s="42"/>
      <c r="G9906" s="42"/>
      <c r="H9906" s="42"/>
      <c r="AG9906" s="19">
        <v>9905</v>
      </c>
      <c r="AH9906" s="20">
        <v>-335.98171437712523</v>
      </c>
    </row>
    <row r="9907" spans="1:34" ht="14.5" x14ac:dyDescent="0.35">
      <c r="A9907" s="34"/>
      <c r="B9907" s="35"/>
      <c r="C9907" s="36"/>
      <c r="D9907" s="37"/>
      <c r="E9907" s="36"/>
      <c r="F9907" s="42"/>
      <c r="G9907" s="42"/>
      <c r="H9907" s="42"/>
      <c r="AG9907" s="19">
        <v>9906</v>
      </c>
      <c r="AH9907" s="20">
        <v>1816.899143731355</v>
      </c>
    </row>
    <row r="9908" spans="1:34" ht="14.5" x14ac:dyDescent="0.35">
      <c r="A9908" s="34"/>
      <c r="B9908" s="35"/>
      <c r="C9908" s="36"/>
      <c r="D9908" s="37"/>
      <c r="E9908" s="36"/>
      <c r="F9908" s="42"/>
      <c r="G9908" s="42"/>
      <c r="H9908" s="42"/>
      <c r="AG9908" s="19">
        <v>9907</v>
      </c>
      <c r="AH9908" s="20">
        <v>2596.3283954064295</v>
      </c>
    </row>
    <row r="9909" spans="1:34" ht="14.5" x14ac:dyDescent="0.35">
      <c r="A9909" s="34"/>
      <c r="B9909" s="35"/>
      <c r="C9909" s="36"/>
      <c r="D9909" s="37"/>
      <c r="E9909" s="36"/>
      <c r="F9909" s="42"/>
      <c r="G9909" s="42"/>
      <c r="H9909" s="42"/>
      <c r="AG9909" s="19">
        <v>9908</v>
      </c>
      <c r="AH9909" s="20">
        <v>-1927.5768538157533</v>
      </c>
    </row>
    <row r="9910" spans="1:34" ht="14.5" x14ac:dyDescent="0.35">
      <c r="A9910" s="34"/>
      <c r="B9910" s="35"/>
      <c r="C9910" s="36"/>
      <c r="D9910" s="37"/>
      <c r="E9910" s="36"/>
      <c r="F9910" s="42"/>
      <c r="G9910" s="42"/>
      <c r="H9910" s="42"/>
      <c r="AG9910" s="19">
        <v>9909</v>
      </c>
      <c r="AH9910" s="20">
        <v>4386.9566365321907</v>
      </c>
    </row>
    <row r="9911" spans="1:34" ht="14.5" x14ac:dyDescent="0.35">
      <c r="A9911" s="34"/>
      <c r="B9911" s="35"/>
      <c r="C9911" s="36"/>
      <c r="D9911" s="37"/>
      <c r="E9911" s="36"/>
      <c r="F9911" s="42"/>
      <c r="G9911" s="42"/>
      <c r="H9911" s="42"/>
      <c r="AG9911" s="19">
        <v>9910</v>
      </c>
      <c r="AH9911" s="20">
        <v>-1792.6646886442388</v>
      </c>
    </row>
    <row r="9912" spans="1:34" ht="14.5" x14ac:dyDescent="0.35">
      <c r="A9912" s="34"/>
      <c r="B9912" s="35"/>
      <c r="C9912" s="36"/>
      <c r="D9912" s="37"/>
      <c r="E9912" s="36"/>
      <c r="F9912" s="42"/>
      <c r="G9912" s="42"/>
      <c r="H9912" s="42"/>
      <c r="AG9912" s="19">
        <v>9911</v>
      </c>
      <c r="AH9912" s="20">
        <v>5120.8028642125028</v>
      </c>
    </row>
    <row r="9913" spans="1:34" ht="14.5" x14ac:dyDescent="0.35">
      <c r="A9913" s="34"/>
      <c r="B9913" s="35"/>
      <c r="C9913" s="36"/>
      <c r="D9913" s="37"/>
      <c r="E9913" s="36"/>
      <c r="F9913" s="42"/>
      <c r="G9913" s="42"/>
      <c r="H9913" s="42"/>
      <c r="AG9913" s="19">
        <v>9912</v>
      </c>
      <c r="AH9913" s="20">
        <v>1750.8396831387379</v>
      </c>
    </row>
    <row r="9914" spans="1:34" ht="14.5" x14ac:dyDescent="0.35">
      <c r="A9914" s="34"/>
      <c r="B9914" s="35"/>
      <c r="C9914" s="36"/>
      <c r="D9914" s="37"/>
      <c r="E9914" s="36"/>
      <c r="F9914" s="42"/>
      <c r="G9914" s="42"/>
      <c r="H9914" s="42"/>
      <c r="AG9914" s="19">
        <v>9913</v>
      </c>
      <c r="AH9914" s="20">
        <v>-967.10720431602567</v>
      </c>
    </row>
    <row r="9915" spans="1:34" ht="14.5" x14ac:dyDescent="0.35">
      <c r="A9915" s="34"/>
      <c r="B9915" s="35"/>
      <c r="C9915" s="36"/>
      <c r="D9915" s="37"/>
      <c r="E9915" s="36"/>
      <c r="F9915" s="42"/>
      <c r="G9915" s="42"/>
      <c r="H9915" s="42"/>
      <c r="AG9915" s="19">
        <v>9914</v>
      </c>
      <c r="AH9915" s="20">
        <v>-310.69305550578787</v>
      </c>
    </row>
    <row r="9916" spans="1:34" ht="14.5" x14ac:dyDescent="0.35">
      <c r="A9916" s="34"/>
      <c r="B9916" s="35"/>
      <c r="C9916" s="36"/>
      <c r="D9916" s="37"/>
      <c r="E9916" s="36"/>
      <c r="F9916" s="42"/>
      <c r="G9916" s="42"/>
      <c r="H9916" s="42"/>
      <c r="AG9916" s="19">
        <v>9915</v>
      </c>
      <c r="AH9916" s="20">
        <v>1667.7143480487541</v>
      </c>
    </row>
    <row r="9917" spans="1:34" ht="14.5" x14ac:dyDescent="0.35">
      <c r="A9917" s="34"/>
      <c r="B9917" s="35"/>
      <c r="C9917" s="36"/>
      <c r="D9917" s="37"/>
      <c r="E9917" s="36"/>
      <c r="F9917" s="42"/>
      <c r="G9917" s="42"/>
      <c r="H9917" s="42"/>
      <c r="AG9917" s="19">
        <v>9916</v>
      </c>
      <c r="AH9917" s="20">
        <v>-679.69455516077483</v>
      </c>
    </row>
    <row r="9918" spans="1:34" ht="14.5" x14ac:dyDescent="0.35">
      <c r="A9918" s="34"/>
      <c r="B9918" s="35"/>
      <c r="C9918" s="36"/>
      <c r="D9918" s="37"/>
      <c r="E9918" s="36"/>
      <c r="F9918" s="42"/>
      <c r="G9918" s="42"/>
      <c r="H9918" s="42"/>
      <c r="AG9918" s="19">
        <v>9917</v>
      </c>
      <c r="AH9918" s="20">
        <v>3458.997751611726</v>
      </c>
    </row>
    <row r="9919" spans="1:34" ht="14.5" x14ac:dyDescent="0.35">
      <c r="A9919" s="34"/>
      <c r="B9919" s="35"/>
      <c r="C9919" s="36"/>
      <c r="D9919" s="37"/>
      <c r="E9919" s="36"/>
      <c r="F9919" s="42"/>
      <c r="G9919" s="42"/>
      <c r="H9919" s="42"/>
      <c r="AG9919" s="19">
        <v>9918</v>
      </c>
      <c r="AH9919" s="20">
        <v>-1614.5692799152648</v>
      </c>
    </row>
    <row r="9920" spans="1:34" ht="14.5" x14ac:dyDescent="0.35">
      <c r="A9920" s="34"/>
      <c r="B9920" s="35"/>
      <c r="C9920" s="36"/>
      <c r="D9920" s="37"/>
      <c r="E9920" s="36"/>
      <c r="F9920" s="42"/>
      <c r="G9920" s="42"/>
      <c r="H9920" s="42"/>
      <c r="AG9920" s="19">
        <v>9919</v>
      </c>
      <c r="AH9920" s="20">
        <v>-1224.9820515135432</v>
      </c>
    </row>
    <row r="9921" spans="1:34" ht="14.5" x14ac:dyDescent="0.35">
      <c r="A9921" s="34"/>
      <c r="B9921" s="35"/>
      <c r="C9921" s="36"/>
      <c r="D9921" s="37"/>
      <c r="E9921" s="36"/>
      <c r="F9921" s="42"/>
      <c r="G9921" s="42"/>
      <c r="H9921" s="42"/>
      <c r="AG9921" s="19">
        <v>9920</v>
      </c>
      <c r="AH9921" s="20">
        <v>227.35597189802962</v>
      </c>
    </row>
    <row r="9922" spans="1:34" ht="14.5" x14ac:dyDescent="0.35">
      <c r="A9922" s="34"/>
      <c r="B9922" s="35"/>
      <c r="C9922" s="36"/>
      <c r="D9922" s="37"/>
      <c r="E9922" s="36"/>
      <c r="F9922" s="42"/>
      <c r="G9922" s="42"/>
      <c r="H9922" s="42"/>
      <c r="AG9922" s="19">
        <v>9921</v>
      </c>
      <c r="AH9922" s="20">
        <v>-2885.8911275460405</v>
      </c>
    </row>
    <row r="9923" spans="1:34" ht="14.5" x14ac:dyDescent="0.35">
      <c r="A9923" s="34"/>
      <c r="B9923" s="35"/>
      <c r="C9923" s="36"/>
      <c r="D9923" s="37"/>
      <c r="E9923" s="36"/>
      <c r="F9923" s="42"/>
      <c r="G9923" s="42"/>
      <c r="H9923" s="42"/>
      <c r="AG9923" s="19">
        <v>9922</v>
      </c>
      <c r="AH9923" s="20">
        <v>575.63275337540813</v>
      </c>
    </row>
    <row r="9924" spans="1:34" ht="14.5" x14ac:dyDescent="0.35">
      <c r="A9924" s="34"/>
      <c r="B9924" s="35"/>
      <c r="C9924" s="36"/>
      <c r="D9924" s="37"/>
      <c r="E9924" s="36"/>
      <c r="F9924" s="42"/>
      <c r="G9924" s="42"/>
      <c r="H9924" s="42"/>
      <c r="AG9924" s="19">
        <v>9923</v>
      </c>
      <c r="AH9924" s="20">
        <v>3914.8211565487768</v>
      </c>
    </row>
    <row r="9925" spans="1:34" ht="14.5" x14ac:dyDescent="0.35">
      <c r="A9925" s="34"/>
      <c r="B9925" s="35"/>
      <c r="C9925" s="36"/>
      <c r="D9925" s="37"/>
      <c r="E9925" s="36"/>
      <c r="F9925" s="42"/>
      <c r="G9925" s="42"/>
      <c r="H9925" s="42"/>
      <c r="AG9925" s="19">
        <v>9924</v>
      </c>
      <c r="AH9925" s="20">
        <v>-206.05235938904781</v>
      </c>
    </row>
    <row r="9926" spans="1:34" ht="14.5" x14ac:dyDescent="0.35">
      <c r="A9926" s="34"/>
      <c r="B9926" s="35"/>
      <c r="C9926" s="36"/>
      <c r="D9926" s="37"/>
      <c r="E9926" s="36"/>
      <c r="F9926" s="42"/>
      <c r="G9926" s="42"/>
      <c r="H9926" s="42"/>
      <c r="AG9926" s="19">
        <v>9925</v>
      </c>
      <c r="AH9926" s="20">
        <v>-1523.546586966507</v>
      </c>
    </row>
    <row r="9927" spans="1:34" ht="14.5" x14ac:dyDescent="0.35">
      <c r="A9927" s="34"/>
      <c r="B9927" s="35"/>
      <c r="C9927" s="36"/>
      <c r="D9927" s="37"/>
      <c r="E9927" s="36"/>
      <c r="F9927" s="42"/>
      <c r="G9927" s="42"/>
      <c r="H9927" s="42"/>
      <c r="AG9927" s="19">
        <v>9926</v>
      </c>
      <c r="AH9927" s="20">
        <v>2111.9077206625125</v>
      </c>
    </row>
    <row r="9928" spans="1:34" ht="14.5" x14ac:dyDescent="0.35">
      <c r="A9928" s="34"/>
      <c r="B9928" s="35"/>
      <c r="C9928" s="36"/>
      <c r="D9928" s="37"/>
      <c r="E9928" s="36"/>
      <c r="F9928" s="42"/>
      <c r="G9928" s="42"/>
      <c r="H9928" s="42"/>
      <c r="AG9928" s="19">
        <v>9927</v>
      </c>
      <c r="AH9928" s="20">
        <v>2907.9993286793083</v>
      </c>
    </row>
    <row r="9929" spans="1:34" ht="14.5" x14ac:dyDescent="0.35">
      <c r="A9929" s="34"/>
      <c r="B9929" s="35"/>
      <c r="C9929" s="36"/>
      <c r="D9929" s="37"/>
      <c r="E9929" s="36"/>
      <c r="F9929" s="42"/>
      <c r="G9929" s="42"/>
      <c r="H9929" s="42"/>
      <c r="AG9929" s="19">
        <v>9928</v>
      </c>
      <c r="AH9929" s="20">
        <v>4851.5765913948389</v>
      </c>
    </row>
    <row r="9930" spans="1:34" ht="14.5" x14ac:dyDescent="0.35">
      <c r="A9930" s="34"/>
      <c r="B9930" s="35"/>
      <c r="C9930" s="36"/>
      <c r="D9930" s="37"/>
      <c r="E9930" s="36"/>
      <c r="F9930" s="42"/>
      <c r="G9930" s="42"/>
      <c r="H9930" s="42"/>
      <c r="AG9930" s="19">
        <v>9929</v>
      </c>
      <c r="AH9930" s="20">
        <v>-2541.038885416086</v>
      </c>
    </row>
    <row r="9931" spans="1:34" ht="14.5" x14ac:dyDescent="0.35">
      <c r="A9931" s="34"/>
      <c r="B9931" s="35"/>
      <c r="C9931" s="36"/>
      <c r="D9931" s="37"/>
      <c r="E9931" s="36"/>
      <c r="F9931" s="42"/>
      <c r="G9931" s="42"/>
      <c r="H9931" s="42"/>
      <c r="AG9931" s="19">
        <v>9930</v>
      </c>
      <c r="AH9931" s="20">
        <v>2053.5096457634118</v>
      </c>
    </row>
    <row r="9932" spans="1:34" ht="14.5" x14ac:dyDescent="0.35">
      <c r="A9932" s="34"/>
      <c r="B9932" s="35"/>
      <c r="C9932" s="36"/>
      <c r="D9932" s="37"/>
      <c r="E9932" s="36"/>
      <c r="F9932" s="42"/>
      <c r="G9932" s="42"/>
      <c r="H9932" s="42"/>
      <c r="AG9932" s="19">
        <v>9931</v>
      </c>
      <c r="AH9932" s="20">
        <v>3530.5021567011131</v>
      </c>
    </row>
    <row r="9933" spans="1:34" ht="14.5" x14ac:dyDescent="0.35">
      <c r="A9933" s="34"/>
      <c r="B9933" s="35"/>
      <c r="C9933" s="36"/>
      <c r="D9933" s="37"/>
      <c r="E9933" s="36"/>
      <c r="F9933" s="42"/>
      <c r="G9933" s="42"/>
      <c r="H9933" s="42"/>
      <c r="AG9933" s="19">
        <v>9932</v>
      </c>
      <c r="AH9933" s="20">
        <v>1399.4422157665585</v>
      </c>
    </row>
    <row r="9934" spans="1:34" ht="14.5" x14ac:dyDescent="0.35">
      <c r="A9934" s="34"/>
      <c r="B9934" s="35"/>
      <c r="C9934" s="36"/>
      <c r="D9934" s="37"/>
      <c r="E9934" s="36"/>
      <c r="F9934" s="42"/>
      <c r="G9934" s="42"/>
      <c r="H9934" s="42"/>
      <c r="AG9934" s="19">
        <v>9933</v>
      </c>
      <c r="AH9934" s="20">
        <v>-176.28120807113663</v>
      </c>
    </row>
    <row r="9935" spans="1:34" ht="14.5" x14ac:dyDescent="0.35">
      <c r="A9935" s="34"/>
      <c r="B9935" s="35"/>
      <c r="C9935" s="36"/>
      <c r="D9935" s="37"/>
      <c r="E9935" s="36"/>
      <c r="F9935" s="42"/>
      <c r="G9935" s="42"/>
      <c r="H9935" s="42"/>
      <c r="AG9935" s="19">
        <v>9934</v>
      </c>
      <c r="AH9935" s="20">
        <v>2892.8451422074377</v>
      </c>
    </row>
    <row r="9936" spans="1:34" ht="14.5" x14ac:dyDescent="0.35">
      <c r="A9936" s="34"/>
      <c r="B9936" s="35"/>
      <c r="C9936" s="36"/>
      <c r="D9936" s="37"/>
      <c r="E9936" s="36"/>
      <c r="F9936" s="42"/>
      <c r="G9936" s="42"/>
      <c r="H9936" s="42"/>
      <c r="AG9936" s="19">
        <v>9935</v>
      </c>
      <c r="AH9936" s="20">
        <v>-1302.5027821597748</v>
      </c>
    </row>
    <row r="9937" spans="1:34" ht="14.5" x14ac:dyDescent="0.35">
      <c r="A9937" s="34"/>
      <c r="B9937" s="35"/>
      <c r="C9937" s="36"/>
      <c r="D9937" s="37"/>
      <c r="E9937" s="36"/>
      <c r="F9937" s="42"/>
      <c r="G9937" s="42"/>
      <c r="H9937" s="42"/>
      <c r="AG9937" s="19">
        <v>9936</v>
      </c>
      <c r="AH9937" s="20">
        <v>-1641.3773030548409</v>
      </c>
    </row>
    <row r="9938" spans="1:34" ht="14.5" x14ac:dyDescent="0.35">
      <c r="A9938" s="34"/>
      <c r="B9938" s="35"/>
      <c r="C9938" s="36"/>
      <c r="D9938" s="37"/>
      <c r="E9938" s="36"/>
      <c r="F9938" s="42"/>
      <c r="G9938" s="42"/>
      <c r="H9938" s="42"/>
      <c r="AG9938" s="19">
        <v>9937</v>
      </c>
      <c r="AH9938" s="20">
        <v>3562.781497625791</v>
      </c>
    </row>
    <row r="9939" spans="1:34" ht="14.5" x14ac:dyDescent="0.35">
      <c r="A9939" s="34"/>
      <c r="B9939" s="35"/>
      <c r="C9939" s="36"/>
      <c r="D9939" s="37"/>
      <c r="E9939" s="36"/>
      <c r="F9939" s="42"/>
      <c r="G9939" s="42"/>
      <c r="H9939" s="42"/>
      <c r="AG9939" s="19">
        <v>9938</v>
      </c>
      <c r="AH9939" s="20">
        <v>-1746.9094927949961</v>
      </c>
    </row>
    <row r="9940" spans="1:34" ht="14.5" x14ac:dyDescent="0.35">
      <c r="A9940" s="34"/>
      <c r="B9940" s="35"/>
      <c r="C9940" s="36"/>
      <c r="D9940" s="37"/>
      <c r="E9940" s="36"/>
      <c r="F9940" s="42"/>
      <c r="G9940" s="42"/>
      <c r="H9940" s="42"/>
      <c r="AG9940" s="19">
        <v>9939</v>
      </c>
      <c r="AH9940" s="20">
        <v>1189.9830926997026</v>
      </c>
    </row>
    <row r="9941" spans="1:34" ht="14.5" x14ac:dyDescent="0.35">
      <c r="A9941" s="34"/>
      <c r="B9941" s="35"/>
      <c r="C9941" s="36"/>
      <c r="D9941" s="37"/>
      <c r="E9941" s="36"/>
      <c r="F9941" s="42"/>
      <c r="G9941" s="42"/>
      <c r="H9941" s="42"/>
      <c r="AG9941" s="19">
        <v>9940</v>
      </c>
      <c r="AH9941" s="20">
        <v>1258.1322059854135</v>
      </c>
    </row>
    <row r="9942" spans="1:34" ht="14.5" x14ac:dyDescent="0.35">
      <c r="A9942" s="34"/>
      <c r="B9942" s="35"/>
      <c r="C9942" s="36"/>
      <c r="D9942" s="37"/>
      <c r="E9942" s="36"/>
      <c r="F9942" s="42"/>
      <c r="G9942" s="42"/>
      <c r="H9942" s="42"/>
      <c r="AG9942" s="19">
        <v>9941</v>
      </c>
      <c r="AH9942" s="20">
        <v>612.15305375623859</v>
      </c>
    </row>
    <row r="9943" spans="1:34" ht="14.5" x14ac:dyDescent="0.35">
      <c r="A9943" s="34"/>
      <c r="B9943" s="35"/>
      <c r="C9943" s="36"/>
      <c r="D9943" s="37"/>
      <c r="E9943" s="36"/>
      <c r="F9943" s="42"/>
      <c r="G9943" s="42"/>
      <c r="H9943" s="42"/>
      <c r="AG9943" s="19">
        <v>9942</v>
      </c>
      <c r="AH9943" s="20">
        <v>191.65135938194052</v>
      </c>
    </row>
    <row r="9944" spans="1:34" ht="14.5" x14ac:dyDescent="0.35">
      <c r="A9944" s="34"/>
      <c r="B9944" s="35"/>
      <c r="C9944" s="36"/>
      <c r="D9944" s="37"/>
      <c r="E9944" s="36"/>
      <c r="F9944" s="42"/>
      <c r="G9944" s="42"/>
      <c r="H9944" s="42"/>
      <c r="AG9944" s="19">
        <v>9943</v>
      </c>
      <c r="AH9944" s="20">
        <v>-933.76353561359201</v>
      </c>
    </row>
    <row r="9945" spans="1:34" ht="14.5" x14ac:dyDescent="0.35">
      <c r="A9945" s="34"/>
      <c r="B9945" s="35"/>
      <c r="C9945" s="36"/>
      <c r="D9945" s="37"/>
      <c r="E9945" s="36"/>
      <c r="F9945" s="42"/>
      <c r="G9945" s="42"/>
      <c r="H9945" s="42"/>
      <c r="AG9945" s="19">
        <v>9944</v>
      </c>
      <c r="AH9945" s="20">
        <v>2433.6427620603336</v>
      </c>
    </row>
    <row r="9946" spans="1:34" ht="14.5" x14ac:dyDescent="0.35">
      <c r="A9946" s="34"/>
      <c r="B9946" s="35"/>
      <c r="C9946" s="36"/>
      <c r="D9946" s="37"/>
      <c r="E9946" s="36"/>
      <c r="F9946" s="42"/>
      <c r="G9946" s="42"/>
      <c r="H9946" s="42"/>
      <c r="AG9946" s="19">
        <v>9945</v>
      </c>
      <c r="AH9946" s="20">
        <v>1303.773285059895</v>
      </c>
    </row>
    <row r="9947" spans="1:34" ht="14.5" x14ac:dyDescent="0.35">
      <c r="A9947" s="34"/>
      <c r="B9947" s="35"/>
      <c r="C9947" s="36"/>
      <c r="D9947" s="37"/>
      <c r="E9947" s="36"/>
      <c r="F9947" s="42"/>
      <c r="G9947" s="42"/>
      <c r="H9947" s="42"/>
      <c r="AG9947" s="19">
        <v>9946</v>
      </c>
      <c r="AH9947" s="20">
        <v>1874.9981271063298</v>
      </c>
    </row>
    <row r="9948" spans="1:34" ht="14.5" x14ac:dyDescent="0.35">
      <c r="A9948" s="34"/>
      <c r="B9948" s="35"/>
      <c r="C9948" s="36"/>
      <c r="D9948" s="37"/>
      <c r="E9948" s="36"/>
      <c r="F9948" s="42"/>
      <c r="G9948" s="42"/>
      <c r="H9948" s="42"/>
      <c r="AG9948" s="19">
        <v>9947</v>
      </c>
      <c r="AH9948" s="20">
        <v>-1509.8847020608735</v>
      </c>
    </row>
    <row r="9949" spans="1:34" ht="14.5" x14ac:dyDescent="0.35">
      <c r="A9949" s="34"/>
      <c r="B9949" s="35"/>
      <c r="C9949" s="36"/>
      <c r="D9949" s="37"/>
      <c r="E9949" s="36"/>
      <c r="F9949" s="42"/>
      <c r="G9949" s="42"/>
      <c r="H9949" s="42"/>
      <c r="AG9949" s="19">
        <v>9948</v>
      </c>
      <c r="AH9949" s="20">
        <v>-960.14806519584067</v>
      </c>
    </row>
    <row r="9950" spans="1:34" ht="14.5" x14ac:dyDescent="0.35">
      <c r="A9950" s="34"/>
      <c r="B9950" s="35"/>
      <c r="C9950" s="36"/>
      <c r="D9950" s="37"/>
      <c r="E9950" s="36"/>
      <c r="F9950" s="42"/>
      <c r="G9950" s="42"/>
      <c r="H9950" s="42"/>
      <c r="AG9950" s="19">
        <v>9949</v>
      </c>
      <c r="AH9950" s="20">
        <v>-1676.3368633140701</v>
      </c>
    </row>
    <row r="9951" spans="1:34" ht="14.5" x14ac:dyDescent="0.35">
      <c r="A9951" s="34"/>
      <c r="B9951" s="35"/>
      <c r="C9951" s="36"/>
      <c r="D9951" s="37"/>
      <c r="E9951" s="36"/>
      <c r="F9951" s="42"/>
      <c r="G9951" s="42"/>
      <c r="H9951" s="42"/>
      <c r="AG9951" s="19">
        <v>9950</v>
      </c>
      <c r="AH9951" s="20">
        <v>30.469963576547116</v>
      </c>
    </row>
    <row r="9952" spans="1:34" ht="14.5" x14ac:dyDescent="0.35">
      <c r="A9952" s="34"/>
      <c r="B9952" s="35"/>
      <c r="C9952" s="36"/>
      <c r="D9952" s="37"/>
      <c r="E9952" s="36"/>
      <c r="F9952" s="42"/>
      <c r="G9952" s="42"/>
      <c r="H9952" s="42"/>
      <c r="AG9952" s="19">
        <v>9951</v>
      </c>
      <c r="AH9952" s="20">
        <v>-1750.2930127865282</v>
      </c>
    </row>
    <row r="9953" spans="1:34" ht="14.5" x14ac:dyDescent="0.35">
      <c r="A9953" s="34"/>
      <c r="B9953" s="35"/>
      <c r="C9953" s="36"/>
      <c r="D9953" s="37"/>
      <c r="E9953" s="36"/>
      <c r="F9953" s="42"/>
      <c r="G9953" s="42"/>
      <c r="H9953" s="42"/>
      <c r="AG9953" s="19">
        <v>9952</v>
      </c>
      <c r="AH9953" s="20">
        <v>-1385.8883996399616</v>
      </c>
    </row>
    <row r="9954" spans="1:34" ht="14.5" x14ac:dyDescent="0.35">
      <c r="A9954" s="34"/>
      <c r="B9954" s="35"/>
      <c r="C9954" s="36"/>
      <c r="D9954" s="37"/>
      <c r="E9954" s="36"/>
      <c r="F9954" s="42"/>
      <c r="G9954" s="42"/>
      <c r="H9954" s="42"/>
      <c r="AG9954" s="19">
        <v>9953</v>
      </c>
      <c r="AH9954" s="20">
        <v>380.48279725316053</v>
      </c>
    </row>
    <row r="9955" spans="1:34" ht="14.5" x14ac:dyDescent="0.35">
      <c r="A9955" s="34"/>
      <c r="B9955" s="35"/>
      <c r="C9955" s="36"/>
      <c r="D9955" s="37"/>
      <c r="E9955" s="36"/>
      <c r="F9955" s="42"/>
      <c r="G9955" s="42"/>
      <c r="H9955" s="42"/>
      <c r="AG9955" s="19">
        <v>9954</v>
      </c>
      <c r="AH9955" s="20">
        <v>-270.22814420954927</v>
      </c>
    </row>
    <row r="9956" spans="1:34" ht="14.5" x14ac:dyDescent="0.35">
      <c r="A9956" s="34"/>
      <c r="B9956" s="35"/>
      <c r="C9956" s="36"/>
      <c r="D9956" s="37"/>
      <c r="E9956" s="36"/>
      <c r="F9956" s="42"/>
      <c r="G9956" s="42"/>
      <c r="H9956" s="42"/>
      <c r="AG9956" s="19">
        <v>9955</v>
      </c>
      <c r="AH9956" s="20">
        <v>2781.1747024910574</v>
      </c>
    </row>
    <row r="9957" spans="1:34" ht="14.5" x14ac:dyDescent="0.35">
      <c r="A9957" s="34"/>
      <c r="B9957" s="35"/>
      <c r="C9957" s="36"/>
      <c r="D9957" s="37"/>
      <c r="E9957" s="36"/>
      <c r="F9957" s="42"/>
      <c r="G9957" s="42"/>
      <c r="H9957" s="42"/>
      <c r="AG9957" s="19">
        <v>9956</v>
      </c>
      <c r="AH9957" s="20">
        <v>2624.7682635580081</v>
      </c>
    </row>
    <row r="9958" spans="1:34" ht="14.5" x14ac:dyDescent="0.35">
      <c r="A9958" s="34"/>
      <c r="B9958" s="35"/>
      <c r="C9958" s="36"/>
      <c r="D9958" s="37"/>
      <c r="E9958" s="36"/>
      <c r="F9958" s="42"/>
      <c r="G9958" s="42"/>
      <c r="H9958" s="42"/>
      <c r="AG9958" s="19">
        <v>9957</v>
      </c>
      <c r="AH9958" s="20">
        <v>-1849.3349148801756</v>
      </c>
    </row>
    <row r="9959" spans="1:34" ht="14.5" x14ac:dyDescent="0.35">
      <c r="A9959" s="34"/>
      <c r="B9959" s="35"/>
      <c r="C9959" s="36"/>
      <c r="D9959" s="37"/>
      <c r="E9959" s="36"/>
      <c r="F9959" s="42"/>
      <c r="G9959" s="42"/>
      <c r="H9959" s="42"/>
      <c r="AG9959" s="19">
        <v>9958</v>
      </c>
      <c r="AH9959" s="20">
        <v>1280.4305635148976</v>
      </c>
    </row>
    <row r="9960" spans="1:34" ht="14.5" x14ac:dyDescent="0.35">
      <c r="A9960" s="34"/>
      <c r="B9960" s="35"/>
      <c r="C9960" s="36"/>
      <c r="D9960" s="37"/>
      <c r="E9960" s="36"/>
      <c r="F9960" s="42"/>
      <c r="G9960" s="42"/>
      <c r="H9960" s="42"/>
      <c r="AG9960" s="19">
        <v>9959</v>
      </c>
      <c r="AH9960" s="20">
        <v>-694.52720902657779</v>
      </c>
    </row>
    <row r="9961" spans="1:34" ht="14.5" x14ac:dyDescent="0.35">
      <c r="A9961" s="34"/>
      <c r="B9961" s="35"/>
      <c r="C9961" s="36"/>
      <c r="D9961" s="37"/>
      <c r="E9961" s="36"/>
      <c r="F9961" s="42"/>
      <c r="G9961" s="42"/>
      <c r="H9961" s="42"/>
      <c r="AG9961" s="19">
        <v>9960</v>
      </c>
      <c r="AH9961" s="20">
        <v>1560.2655147912596</v>
      </c>
    </row>
    <row r="9962" spans="1:34" ht="14.5" x14ac:dyDescent="0.35">
      <c r="A9962" s="34"/>
      <c r="B9962" s="35"/>
      <c r="C9962" s="36"/>
      <c r="D9962" s="37"/>
      <c r="E9962" s="36"/>
      <c r="F9962" s="42"/>
      <c r="G9962" s="42"/>
      <c r="H9962" s="42"/>
      <c r="AG9962" s="19">
        <v>9961</v>
      </c>
      <c r="AH9962" s="20">
        <v>-1112.2459498165388</v>
      </c>
    </row>
    <row r="9963" spans="1:34" ht="14.5" x14ac:dyDescent="0.35">
      <c r="A9963" s="34"/>
      <c r="B9963" s="35"/>
      <c r="C9963" s="36"/>
      <c r="D9963" s="37"/>
      <c r="E9963" s="36"/>
      <c r="F9963" s="42"/>
      <c r="G9963" s="42"/>
      <c r="H9963" s="42"/>
      <c r="AG9963" s="19">
        <v>9962</v>
      </c>
      <c r="AH9963" s="20">
        <v>-13.342139739408424</v>
      </c>
    </row>
    <row r="9964" spans="1:34" ht="14.5" x14ac:dyDescent="0.35">
      <c r="A9964" s="34"/>
      <c r="B9964" s="35"/>
      <c r="C9964" s="36"/>
      <c r="D9964" s="37"/>
      <c r="E9964" s="36"/>
      <c r="F9964" s="42"/>
      <c r="G9964" s="42"/>
      <c r="H9964" s="42"/>
      <c r="AG9964" s="19">
        <v>9963</v>
      </c>
      <c r="AH9964" s="20">
        <v>-2280.1353629135047</v>
      </c>
    </row>
    <row r="9965" spans="1:34" ht="14.5" x14ac:dyDescent="0.35">
      <c r="A9965" s="34"/>
      <c r="B9965" s="35"/>
      <c r="C9965" s="36"/>
      <c r="D9965" s="37"/>
      <c r="E9965" s="36"/>
      <c r="F9965" s="42"/>
      <c r="G9965" s="42"/>
      <c r="H9965" s="42"/>
      <c r="AG9965" s="19">
        <v>9964</v>
      </c>
      <c r="AH9965" s="20">
        <v>1793.3151888590555</v>
      </c>
    </row>
    <row r="9966" spans="1:34" ht="14.5" x14ac:dyDescent="0.35">
      <c r="A9966" s="34"/>
      <c r="B9966" s="35"/>
      <c r="C9966" s="36"/>
      <c r="D9966" s="37"/>
      <c r="E9966" s="36"/>
      <c r="F9966" s="42"/>
      <c r="G9966" s="42"/>
      <c r="H9966" s="42"/>
      <c r="AG9966" s="19">
        <v>9965</v>
      </c>
      <c r="AH9966" s="20">
        <v>-1744.366862885963</v>
      </c>
    </row>
    <row r="9967" spans="1:34" ht="14.5" x14ac:dyDescent="0.35">
      <c r="A9967" s="34"/>
      <c r="B9967" s="35"/>
      <c r="C9967" s="36"/>
      <c r="D9967" s="37"/>
      <c r="E9967" s="36"/>
      <c r="F9967" s="42"/>
      <c r="G9967" s="42"/>
      <c r="H9967" s="42"/>
      <c r="AG9967" s="19">
        <v>9966</v>
      </c>
      <c r="AH9967" s="20">
        <v>1499.3460925626309</v>
      </c>
    </row>
    <row r="9968" spans="1:34" ht="14.5" x14ac:dyDescent="0.35">
      <c r="A9968" s="34"/>
      <c r="B9968" s="35"/>
      <c r="C9968" s="36"/>
      <c r="D9968" s="37"/>
      <c r="E9968" s="36"/>
      <c r="F9968" s="42"/>
      <c r="G9968" s="42"/>
      <c r="H9968" s="42"/>
      <c r="AG9968" s="19">
        <v>9967</v>
      </c>
      <c r="AH9968" s="20">
        <v>1090.1500980973738</v>
      </c>
    </row>
    <row r="9969" spans="1:34" ht="14.5" x14ac:dyDescent="0.35">
      <c r="A9969" s="34"/>
      <c r="B9969" s="35"/>
      <c r="C9969" s="36"/>
      <c r="D9969" s="37"/>
      <c r="E9969" s="36"/>
      <c r="F9969" s="42"/>
      <c r="G9969" s="42"/>
      <c r="H9969" s="42"/>
      <c r="AG9969" s="19">
        <v>9968</v>
      </c>
      <c r="AH9969" s="20">
        <v>-671.00034777953783</v>
      </c>
    </row>
    <row r="9970" spans="1:34" ht="14.5" x14ac:dyDescent="0.35">
      <c r="A9970" s="34"/>
      <c r="B9970" s="35"/>
      <c r="C9970" s="36"/>
      <c r="D9970" s="37"/>
      <c r="E9970" s="36"/>
      <c r="F9970" s="42"/>
      <c r="G9970" s="42"/>
      <c r="H9970" s="42"/>
      <c r="AG9970" s="19">
        <v>9969</v>
      </c>
      <c r="AH9970" s="20">
        <v>1414.6349859822512</v>
      </c>
    </row>
    <row r="9971" spans="1:34" ht="14.5" x14ac:dyDescent="0.35">
      <c r="A9971" s="34"/>
      <c r="B9971" s="35"/>
      <c r="C9971" s="36"/>
      <c r="D9971" s="37"/>
      <c r="E9971" s="36"/>
      <c r="F9971" s="42"/>
      <c r="G9971" s="42"/>
      <c r="H9971" s="42"/>
      <c r="AG9971" s="19">
        <v>9970</v>
      </c>
      <c r="AH9971" s="20">
        <v>2002.1706117166386</v>
      </c>
    </row>
    <row r="9972" spans="1:34" ht="14.5" x14ac:dyDescent="0.35">
      <c r="A9972" s="34"/>
      <c r="B9972" s="35"/>
      <c r="C9972" s="36"/>
      <c r="D9972" s="37"/>
      <c r="E9972" s="36"/>
      <c r="F9972" s="42"/>
      <c r="G9972" s="42"/>
      <c r="H9972" s="42"/>
      <c r="AG9972" s="19">
        <v>9971</v>
      </c>
      <c r="AH9972" s="20">
        <v>-2273.4754290217793</v>
      </c>
    </row>
    <row r="9973" spans="1:34" ht="14.5" x14ac:dyDescent="0.35">
      <c r="A9973" s="34"/>
      <c r="B9973" s="35"/>
      <c r="C9973" s="36"/>
      <c r="D9973" s="37"/>
      <c r="E9973" s="36"/>
      <c r="F9973" s="42"/>
      <c r="G9973" s="42"/>
      <c r="H9973" s="42"/>
      <c r="AG9973" s="19">
        <v>9972</v>
      </c>
      <c r="AH9973" s="20">
        <v>-3017.8477860856328</v>
      </c>
    </row>
    <row r="9974" spans="1:34" ht="14.5" x14ac:dyDescent="0.35">
      <c r="A9974" s="34"/>
      <c r="B9974" s="35"/>
      <c r="C9974" s="36"/>
      <c r="D9974" s="37"/>
      <c r="E9974" s="36"/>
      <c r="F9974" s="42"/>
      <c r="G9974" s="42"/>
      <c r="H9974" s="42"/>
      <c r="AG9974" s="19">
        <v>9973</v>
      </c>
      <c r="AH9974" s="20">
        <v>3717.6362258549075</v>
      </c>
    </row>
    <row r="9975" spans="1:34" ht="14.5" x14ac:dyDescent="0.35">
      <c r="A9975" s="34"/>
      <c r="B9975" s="35"/>
      <c r="C9975" s="36"/>
      <c r="D9975" s="37"/>
      <c r="E9975" s="36"/>
      <c r="F9975" s="42"/>
      <c r="G9975" s="42"/>
      <c r="H9975" s="42"/>
      <c r="AG9975" s="19">
        <v>9974</v>
      </c>
      <c r="AH9975" s="20">
        <v>-12.602070719641006</v>
      </c>
    </row>
    <row r="9976" spans="1:34" ht="14.5" x14ac:dyDescent="0.35">
      <c r="A9976" s="34"/>
      <c r="B9976" s="35"/>
      <c r="C9976" s="36"/>
      <c r="D9976" s="37"/>
      <c r="E9976" s="36"/>
      <c r="F9976" s="42"/>
      <c r="G9976" s="42"/>
      <c r="H9976" s="42"/>
      <c r="AG9976" s="19">
        <v>9975</v>
      </c>
      <c r="AH9976" s="20">
        <v>404.80605853982365</v>
      </c>
    </row>
    <row r="9977" spans="1:34" ht="14.5" x14ac:dyDescent="0.35">
      <c r="A9977" s="34"/>
      <c r="B9977" s="35"/>
      <c r="C9977" s="36"/>
      <c r="D9977" s="37"/>
      <c r="E9977" s="36"/>
      <c r="F9977" s="42"/>
      <c r="G9977" s="42"/>
      <c r="H9977" s="42"/>
      <c r="AG9977" s="19">
        <v>9976</v>
      </c>
      <c r="AH9977" s="20">
        <v>2554.6193150454801</v>
      </c>
    </row>
    <row r="9978" spans="1:34" ht="14.5" x14ac:dyDescent="0.35">
      <c r="A9978" s="34"/>
      <c r="B9978" s="35"/>
      <c r="C9978" s="36"/>
      <c r="D9978" s="37"/>
      <c r="E9978" s="36"/>
      <c r="F9978" s="42"/>
      <c r="G9978" s="42"/>
      <c r="H9978" s="42"/>
      <c r="AG9978" s="19">
        <v>9977</v>
      </c>
      <c r="AH9978" s="20">
        <v>-2421.319390988901</v>
      </c>
    </row>
    <row r="9979" spans="1:34" ht="14.5" x14ac:dyDescent="0.35">
      <c r="A9979" s="34"/>
      <c r="B9979" s="35"/>
      <c r="C9979" s="36"/>
      <c r="D9979" s="37"/>
      <c r="E9979" s="36"/>
      <c r="F9979" s="42"/>
      <c r="G9979" s="42"/>
      <c r="H9979" s="42"/>
      <c r="AG9979" s="19">
        <v>9978</v>
      </c>
      <c r="AH9979" s="20">
        <v>1021.4827294194847</v>
      </c>
    </row>
    <row r="9980" spans="1:34" ht="14.5" x14ac:dyDescent="0.35">
      <c r="A9980" s="34"/>
      <c r="B9980" s="35"/>
      <c r="C9980" s="36"/>
      <c r="D9980" s="37"/>
      <c r="E9980" s="36"/>
      <c r="F9980" s="42"/>
      <c r="G9980" s="42"/>
      <c r="H9980" s="42"/>
      <c r="AG9980" s="19">
        <v>9979</v>
      </c>
      <c r="AH9980" s="20">
        <v>124.40635619429787</v>
      </c>
    </row>
    <row r="9981" spans="1:34" ht="14.5" x14ac:dyDescent="0.35">
      <c r="A9981" s="34"/>
      <c r="B9981" s="35"/>
      <c r="C9981" s="36"/>
      <c r="D9981" s="37"/>
      <c r="E9981" s="36"/>
      <c r="F9981" s="42"/>
      <c r="G9981" s="42"/>
      <c r="H9981" s="42"/>
      <c r="AG9981" s="19">
        <v>9980</v>
      </c>
      <c r="AH9981" s="20">
        <v>-2202.6919813454665</v>
      </c>
    </row>
    <row r="9982" spans="1:34" ht="14.5" x14ac:dyDescent="0.35">
      <c r="A9982" s="34"/>
      <c r="B9982" s="35"/>
      <c r="C9982" s="36"/>
      <c r="D9982" s="37"/>
      <c r="E9982" s="36"/>
      <c r="F9982" s="42"/>
      <c r="G9982" s="42"/>
      <c r="H9982" s="42"/>
      <c r="AG9982" s="19">
        <v>9981</v>
      </c>
      <c r="AH9982" s="20">
        <v>3559.7228560207823</v>
      </c>
    </row>
    <row r="9983" spans="1:34" ht="14.5" x14ac:dyDescent="0.35">
      <c r="A9983" s="34"/>
      <c r="B9983" s="35"/>
      <c r="C9983" s="36"/>
      <c r="D9983" s="37"/>
      <c r="E9983" s="36"/>
      <c r="F9983" s="42"/>
      <c r="G9983" s="42"/>
      <c r="H9983" s="42"/>
      <c r="AG9983" s="19">
        <v>9982</v>
      </c>
      <c r="AH9983" s="20">
        <v>3544.6153794549136</v>
      </c>
    </row>
    <row r="9984" spans="1:34" ht="14.5" x14ac:dyDescent="0.35">
      <c r="A9984" s="34"/>
      <c r="B9984" s="35"/>
      <c r="C9984" s="36"/>
      <c r="D9984" s="37"/>
      <c r="E9984" s="36"/>
      <c r="F9984" s="42"/>
      <c r="G9984" s="42"/>
      <c r="H9984" s="42"/>
      <c r="AG9984" s="19">
        <v>9983</v>
      </c>
      <c r="AH9984" s="20">
        <v>3025.0678914022551</v>
      </c>
    </row>
    <row r="9985" spans="1:34" ht="14.5" x14ac:dyDescent="0.35">
      <c r="A9985" s="34"/>
      <c r="B9985" s="35"/>
      <c r="C9985" s="36"/>
      <c r="D9985" s="37"/>
      <c r="E9985" s="36"/>
      <c r="F9985" s="42"/>
      <c r="G9985" s="42"/>
      <c r="H9985" s="42"/>
      <c r="AG9985" s="19">
        <v>9984</v>
      </c>
      <c r="AH9985" s="20">
        <v>3355.942421061704</v>
      </c>
    </row>
    <row r="9986" spans="1:34" ht="14.5" x14ac:dyDescent="0.35">
      <c r="A9986" s="34"/>
      <c r="B9986" s="35"/>
      <c r="C9986" s="36"/>
      <c r="D9986" s="37"/>
      <c r="E9986" s="36"/>
      <c r="F9986" s="42"/>
      <c r="G9986" s="42"/>
      <c r="H9986" s="42"/>
      <c r="AG9986" s="19">
        <v>9985</v>
      </c>
      <c r="AH9986" s="20">
        <v>892.60579175240809</v>
      </c>
    </row>
    <row r="9987" spans="1:34" ht="14.5" x14ac:dyDescent="0.35">
      <c r="A9987" s="34"/>
      <c r="B9987" s="35"/>
      <c r="C9987" s="36"/>
      <c r="D9987" s="37"/>
      <c r="E9987" s="36"/>
      <c r="F9987" s="42"/>
      <c r="G9987" s="42"/>
      <c r="H9987" s="42"/>
      <c r="AG9987" s="19">
        <v>9986</v>
      </c>
      <c r="AH9987" s="20">
        <v>1320.8840625593252</v>
      </c>
    </row>
    <row r="9988" spans="1:34" ht="14.5" x14ac:dyDescent="0.35">
      <c r="A9988" s="34"/>
      <c r="B9988" s="35"/>
      <c r="C9988" s="36"/>
      <c r="D9988" s="37"/>
      <c r="E9988" s="36"/>
      <c r="F9988" s="42"/>
      <c r="G9988" s="42"/>
      <c r="H9988" s="42"/>
      <c r="AG9988" s="19">
        <v>9987</v>
      </c>
      <c r="AH9988" s="20">
        <v>1420.9732694868062</v>
      </c>
    </row>
    <row r="9989" spans="1:34" ht="14.5" x14ac:dyDescent="0.35">
      <c r="A9989" s="34"/>
      <c r="B9989" s="35"/>
      <c r="C9989" s="36"/>
      <c r="D9989" s="37"/>
      <c r="E9989" s="36"/>
      <c r="F9989" s="42"/>
      <c r="G9989" s="42"/>
      <c r="H9989" s="42"/>
      <c r="AG9989" s="19">
        <v>9988</v>
      </c>
      <c r="AH9989" s="20">
        <v>-2179.5735955161113</v>
      </c>
    </row>
    <row r="9990" spans="1:34" ht="14.5" x14ac:dyDescent="0.35">
      <c r="A9990" s="34"/>
      <c r="B9990" s="35"/>
      <c r="C9990" s="36"/>
      <c r="D9990" s="37"/>
      <c r="E9990" s="36"/>
      <c r="F9990" s="42"/>
      <c r="G9990" s="42"/>
      <c r="H9990" s="42"/>
      <c r="AG9990" s="19">
        <v>9989</v>
      </c>
      <c r="AH9990" s="20">
        <v>1494.4541473409267</v>
      </c>
    </row>
    <row r="9991" spans="1:34" ht="14.5" x14ac:dyDescent="0.35">
      <c r="A9991" s="34"/>
      <c r="B9991" s="35"/>
      <c r="C9991" s="36"/>
      <c r="D9991" s="37"/>
      <c r="E9991" s="36"/>
      <c r="F9991" s="42"/>
      <c r="G9991" s="42"/>
      <c r="H9991" s="42"/>
      <c r="AG9991" s="19">
        <v>9990</v>
      </c>
      <c r="AH9991" s="20">
        <v>2052.4104955254597</v>
      </c>
    </row>
    <row r="9992" spans="1:34" ht="14.5" x14ac:dyDescent="0.35">
      <c r="A9992" s="34"/>
      <c r="B9992" s="35"/>
      <c r="C9992" s="36"/>
      <c r="D9992" s="37"/>
      <c r="E9992" s="36"/>
      <c r="F9992" s="42"/>
      <c r="G9992" s="42"/>
      <c r="H9992" s="42"/>
      <c r="AG9992" s="19">
        <v>9991</v>
      </c>
      <c r="AH9992" s="20">
        <v>1775.645149712193</v>
      </c>
    </row>
    <row r="9993" spans="1:34" ht="14.5" x14ac:dyDescent="0.35">
      <c r="A9993" s="34"/>
      <c r="B9993" s="35"/>
      <c r="C9993" s="36"/>
      <c r="D9993" s="37"/>
      <c r="E9993" s="36"/>
      <c r="F9993" s="42"/>
      <c r="G9993" s="42"/>
      <c r="H9993" s="42"/>
      <c r="AG9993" s="19">
        <v>9992</v>
      </c>
      <c r="AH9993" s="20">
        <v>-1488.5519269163231</v>
      </c>
    </row>
    <row r="9994" spans="1:34" ht="14.5" x14ac:dyDescent="0.35">
      <c r="A9994" s="34"/>
      <c r="B9994" s="35"/>
      <c r="C9994" s="36"/>
      <c r="D9994" s="37"/>
      <c r="E9994" s="36"/>
      <c r="F9994" s="42"/>
      <c r="G9994" s="42"/>
      <c r="H9994" s="42"/>
      <c r="AG9994" s="19">
        <v>9993</v>
      </c>
      <c r="AH9994" s="20">
        <v>3858.4916261352701</v>
      </c>
    </row>
    <row r="9995" spans="1:34" ht="14.5" x14ac:dyDescent="0.35">
      <c r="A9995" s="34"/>
      <c r="B9995" s="35"/>
      <c r="C9995" s="36"/>
      <c r="D9995" s="37"/>
      <c r="E9995" s="36"/>
      <c r="F9995" s="42"/>
      <c r="G9995" s="42"/>
      <c r="H9995" s="42"/>
      <c r="AG9995" s="19">
        <v>9994</v>
      </c>
      <c r="AH9995" s="20">
        <v>59.293990630943995</v>
      </c>
    </row>
    <row r="9996" spans="1:34" ht="14.5" x14ac:dyDescent="0.35">
      <c r="A9996" s="34"/>
      <c r="B9996" s="35"/>
      <c r="C9996" s="36"/>
      <c r="D9996" s="37"/>
      <c r="E9996" s="36"/>
      <c r="F9996" s="42"/>
      <c r="G9996" s="42"/>
      <c r="H9996" s="42"/>
      <c r="AG9996" s="19">
        <v>9995</v>
      </c>
      <c r="AH9996" s="20">
        <v>-998.83199729281273</v>
      </c>
    </row>
    <row r="9997" spans="1:34" ht="14.5" x14ac:dyDescent="0.35">
      <c r="A9997" s="34"/>
      <c r="B9997" s="35"/>
      <c r="C9997" s="36"/>
      <c r="D9997" s="37"/>
      <c r="E9997" s="36"/>
      <c r="F9997" s="42"/>
      <c r="G9997" s="42"/>
      <c r="H9997" s="42"/>
      <c r="AG9997" s="19">
        <v>9996</v>
      </c>
      <c r="AH9997" s="20">
        <v>-2042.9655578012564</v>
      </c>
    </row>
    <row r="9998" spans="1:34" ht="14.5" x14ac:dyDescent="0.35">
      <c r="A9998" s="34"/>
      <c r="B9998" s="35"/>
      <c r="C9998" s="36"/>
      <c r="D9998" s="37"/>
      <c r="E9998" s="36"/>
      <c r="F9998" s="42"/>
      <c r="G9998" s="42"/>
      <c r="H9998" s="42"/>
      <c r="AG9998" s="19">
        <v>9997</v>
      </c>
      <c r="AH9998" s="20">
        <v>552.34250671554889</v>
      </c>
    </row>
    <row r="9999" spans="1:34" ht="14.5" x14ac:dyDescent="0.35">
      <c r="A9999" s="34"/>
      <c r="B9999" s="35"/>
      <c r="C9999" s="36"/>
      <c r="D9999" s="37"/>
      <c r="E9999" s="36"/>
      <c r="F9999" s="42"/>
      <c r="G9999" s="42"/>
      <c r="H9999" s="42"/>
      <c r="AG9999" s="19">
        <v>9998</v>
      </c>
      <c r="AH9999" s="20">
        <v>843.55676219596774</v>
      </c>
    </row>
    <row r="10000" spans="1:34" ht="14.5" x14ac:dyDescent="0.35">
      <c r="A10000" s="34"/>
      <c r="B10000" s="35"/>
      <c r="C10000" s="36"/>
      <c r="D10000" s="37"/>
      <c r="E10000" s="36"/>
      <c r="F10000" s="42"/>
      <c r="G10000" s="42"/>
      <c r="H10000" s="42"/>
      <c r="AG10000" s="19">
        <v>9999</v>
      </c>
      <c r="AH10000" s="20">
        <v>-719.51215532618835</v>
      </c>
    </row>
    <row r="10001" spans="1:34" ht="14.5" x14ac:dyDescent="0.35">
      <c r="A10001" s="34"/>
      <c r="B10001" s="35"/>
      <c r="C10001" s="36"/>
      <c r="D10001" s="37"/>
      <c r="E10001" s="36"/>
      <c r="F10001" s="42"/>
      <c r="G10001" s="42"/>
      <c r="H10001" s="42"/>
      <c r="AG10001" s="19">
        <v>10000</v>
      </c>
      <c r="AH10001" s="20">
        <v>-3886.8700056957287</v>
      </c>
    </row>
    <row r="10002" spans="1:34" ht="14.5" x14ac:dyDescent="0.35">
      <c r="A10002" s="34"/>
      <c r="B10002" s="35"/>
      <c r="C10002" s="36"/>
      <c r="D10002" s="37"/>
      <c r="E10002" s="36"/>
      <c r="F10002" s="42"/>
      <c r="G10002" s="42"/>
      <c r="H10002" s="42"/>
    </row>
    <row r="10003" spans="1:34" ht="14.5" x14ac:dyDescent="0.35">
      <c r="A10003" s="34"/>
      <c r="B10003" s="35"/>
      <c r="C10003" s="36"/>
      <c r="D10003" s="37"/>
      <c r="E10003" s="36"/>
      <c r="F10003" s="42"/>
      <c r="G10003" s="42"/>
      <c r="H10003" s="42"/>
      <c r="AG10003" s="19"/>
    </row>
    <row r="10004" spans="1:34" ht="14.5" x14ac:dyDescent="0.35">
      <c r="A10004" s="34"/>
      <c r="B10004" s="35"/>
      <c r="C10004" s="36"/>
      <c r="D10004" s="37"/>
      <c r="E10004" s="36"/>
      <c r="F10004" s="42"/>
      <c r="G10004" s="42"/>
      <c r="H10004" s="42"/>
      <c r="AG10004" s="19"/>
    </row>
    <row r="10005" spans="1:34" ht="14.5" x14ac:dyDescent="0.35">
      <c r="A10005" s="34"/>
      <c r="B10005" s="35"/>
      <c r="C10005" s="36"/>
      <c r="D10005" s="37"/>
      <c r="E10005" s="36"/>
      <c r="F10005" s="42"/>
      <c r="G10005" s="42"/>
      <c r="H10005" s="42"/>
      <c r="AG10005" s="19"/>
    </row>
    <row r="10006" spans="1:34" ht="14.5" x14ac:dyDescent="0.35">
      <c r="A10006" s="34"/>
      <c r="B10006" s="35"/>
      <c r="C10006" s="36"/>
      <c r="D10006" s="37"/>
      <c r="E10006" s="36"/>
      <c r="F10006" s="42"/>
      <c r="G10006" s="42"/>
      <c r="H10006" s="42"/>
      <c r="AG10006" s="19"/>
    </row>
    <row r="10007" spans="1:34" ht="14.5" x14ac:dyDescent="0.35">
      <c r="A10007" s="34"/>
      <c r="B10007" s="35"/>
      <c r="C10007" s="36"/>
      <c r="D10007" s="37"/>
      <c r="E10007" s="36"/>
      <c r="F10007" s="42"/>
      <c r="G10007" s="42"/>
      <c r="H10007" s="42"/>
      <c r="AG10007" s="19"/>
    </row>
    <row r="10008" spans="1:34" ht="14.5" x14ac:dyDescent="0.35">
      <c r="A10008" s="34"/>
      <c r="B10008" s="35"/>
      <c r="C10008" s="36"/>
      <c r="D10008" s="37"/>
      <c r="E10008" s="36"/>
      <c r="F10008" s="42"/>
      <c r="G10008" s="42"/>
      <c r="H10008" s="42"/>
      <c r="AG10008" s="19"/>
    </row>
    <row r="10009" spans="1:34" ht="14.5" x14ac:dyDescent="0.35">
      <c r="A10009" s="34"/>
      <c r="B10009" s="35"/>
      <c r="C10009" s="36"/>
      <c r="D10009" s="37"/>
      <c r="E10009" s="36"/>
      <c r="F10009" s="42"/>
      <c r="G10009" s="42"/>
      <c r="H10009" s="42"/>
      <c r="AG10009" s="19"/>
    </row>
    <row r="10010" spans="1:34" ht="14.5" x14ac:dyDescent="0.35">
      <c r="A10010" s="34"/>
      <c r="B10010" s="35"/>
      <c r="C10010" s="36"/>
      <c r="D10010" s="37"/>
      <c r="E10010" s="36"/>
      <c r="F10010" s="42"/>
      <c r="G10010" s="42"/>
      <c r="H10010" s="42"/>
      <c r="AG10010" s="19"/>
    </row>
    <row r="10011" spans="1:34" ht="14.5" x14ac:dyDescent="0.35">
      <c r="A10011" s="34"/>
      <c r="B10011" s="35"/>
      <c r="C10011" s="36"/>
      <c r="D10011" s="37"/>
      <c r="E10011" s="36"/>
      <c r="F10011" s="42"/>
      <c r="G10011" s="42"/>
      <c r="H10011" s="42"/>
      <c r="AG10011" s="19"/>
    </row>
    <row r="10012" spans="1:34" ht="14.5" x14ac:dyDescent="0.35">
      <c r="A10012" s="34"/>
      <c r="B10012" s="35"/>
      <c r="C10012" s="36"/>
      <c r="D10012" s="37"/>
      <c r="E10012" s="36"/>
      <c r="F10012" s="42"/>
      <c r="G10012" s="42"/>
      <c r="H10012" s="42"/>
      <c r="AG10012" s="19"/>
    </row>
    <row r="10013" spans="1:34" ht="14.5" x14ac:dyDescent="0.35">
      <c r="A10013" s="34"/>
      <c r="B10013" s="35"/>
      <c r="C10013" s="36"/>
      <c r="D10013" s="37"/>
      <c r="E10013" s="36"/>
      <c r="F10013" s="42"/>
      <c r="G10013" s="42"/>
      <c r="H10013" s="42"/>
      <c r="AG10013" s="19"/>
    </row>
    <row r="10014" spans="1:34" ht="14.5" x14ac:dyDescent="0.35">
      <c r="A10014" s="34"/>
      <c r="B10014" s="35"/>
      <c r="C10014" s="36"/>
      <c r="D10014" s="37"/>
      <c r="E10014" s="36"/>
      <c r="F10014" s="42"/>
      <c r="G10014" s="42"/>
      <c r="H10014" s="42"/>
      <c r="AG10014" s="19"/>
    </row>
    <row r="10015" spans="1:34" ht="14.5" x14ac:dyDescent="0.35">
      <c r="A10015" s="34"/>
      <c r="B10015" s="35"/>
      <c r="C10015" s="36"/>
      <c r="D10015" s="37"/>
      <c r="E10015" s="36"/>
      <c r="F10015" s="42"/>
      <c r="G10015" s="42"/>
      <c r="H10015" s="42"/>
      <c r="AG10015" s="19"/>
    </row>
    <row r="10016" spans="1:34" ht="14.5" x14ac:dyDescent="0.35">
      <c r="A10016" s="34"/>
      <c r="B10016" s="35"/>
      <c r="C10016" s="36"/>
      <c r="D10016" s="37"/>
      <c r="E10016" s="36"/>
      <c r="F10016" s="42"/>
      <c r="G10016" s="42"/>
      <c r="H10016" s="42"/>
      <c r="AG10016" s="19"/>
    </row>
    <row r="10017" spans="1:33" ht="14.5" x14ac:dyDescent="0.35">
      <c r="A10017" s="34"/>
      <c r="B10017" s="35"/>
      <c r="C10017" s="36"/>
      <c r="D10017" s="37"/>
      <c r="E10017" s="36"/>
      <c r="F10017" s="42"/>
      <c r="G10017" s="42"/>
      <c r="H10017" s="42"/>
      <c r="AG10017" s="19"/>
    </row>
    <row r="10018" spans="1:33" ht="14.5" x14ac:dyDescent="0.35">
      <c r="A10018" s="34"/>
      <c r="B10018" s="35"/>
      <c r="C10018" s="36"/>
      <c r="D10018" s="37"/>
      <c r="E10018" s="36"/>
      <c r="F10018" s="42"/>
      <c r="G10018" s="42"/>
      <c r="H10018" s="42"/>
      <c r="AG10018" s="19"/>
    </row>
    <row r="10019" spans="1:33" ht="14.5" x14ac:dyDescent="0.35">
      <c r="A10019" s="34"/>
      <c r="B10019" s="35"/>
      <c r="C10019" s="36"/>
      <c r="D10019" s="37"/>
      <c r="E10019" s="36"/>
      <c r="F10019" s="42"/>
      <c r="G10019" s="42"/>
      <c r="H10019" s="42"/>
      <c r="AG10019" s="19"/>
    </row>
    <row r="10020" spans="1:33" ht="14.5" x14ac:dyDescent="0.35">
      <c r="A10020" s="34"/>
      <c r="B10020" s="35"/>
      <c r="C10020" s="36"/>
      <c r="D10020" s="37"/>
      <c r="E10020" s="36"/>
      <c r="F10020" s="42"/>
      <c r="G10020" s="42"/>
      <c r="H10020" s="42"/>
      <c r="AG10020" s="19"/>
    </row>
    <row r="10021" spans="1:33" ht="14.5" x14ac:dyDescent="0.35">
      <c r="A10021" s="34"/>
      <c r="B10021" s="35"/>
      <c r="C10021" s="36"/>
      <c r="D10021" s="37"/>
      <c r="E10021" s="36"/>
      <c r="F10021" s="42"/>
      <c r="G10021" s="42"/>
      <c r="H10021" s="42"/>
      <c r="AG10021" s="19"/>
    </row>
    <row r="10022" spans="1:33" ht="14.5" x14ac:dyDescent="0.35">
      <c r="A10022" s="34"/>
      <c r="B10022" s="35"/>
      <c r="C10022" s="36"/>
      <c r="D10022" s="37"/>
      <c r="E10022" s="36"/>
      <c r="F10022" s="42"/>
      <c r="G10022" s="42"/>
      <c r="H10022" s="42"/>
      <c r="AG10022" s="19"/>
    </row>
    <row r="10023" spans="1:33" ht="14.5" x14ac:dyDescent="0.35">
      <c r="A10023" s="34"/>
      <c r="B10023" s="35"/>
      <c r="C10023" s="36"/>
      <c r="D10023" s="37"/>
      <c r="E10023" s="36"/>
      <c r="F10023" s="42"/>
      <c r="G10023" s="42"/>
      <c r="H10023" s="42"/>
      <c r="AG10023" s="19"/>
    </row>
    <row r="10024" spans="1:33" ht="14.5" x14ac:dyDescent="0.35">
      <c r="A10024" s="34"/>
      <c r="B10024" s="35"/>
      <c r="C10024" s="36"/>
      <c r="D10024" s="37"/>
      <c r="E10024" s="36"/>
      <c r="F10024" s="42"/>
      <c r="G10024" s="42"/>
      <c r="H10024" s="42"/>
      <c r="AG10024" s="19"/>
    </row>
    <row r="10025" spans="1:33" ht="14.5" x14ac:dyDescent="0.35">
      <c r="A10025" s="34"/>
      <c r="B10025" s="35"/>
      <c r="C10025" s="36"/>
      <c r="D10025" s="37"/>
      <c r="E10025" s="36"/>
      <c r="F10025" s="42"/>
      <c r="G10025" s="42"/>
      <c r="H10025" s="42"/>
      <c r="AG10025" s="19"/>
    </row>
    <row r="10026" spans="1:33" ht="14.5" x14ac:dyDescent="0.35">
      <c r="A10026" s="34"/>
      <c r="B10026" s="35"/>
      <c r="C10026" s="36"/>
      <c r="D10026" s="37"/>
      <c r="E10026" s="36"/>
      <c r="F10026" s="42"/>
      <c r="G10026" s="42"/>
      <c r="H10026" s="42"/>
      <c r="AG10026" s="19"/>
    </row>
    <row r="10027" spans="1:33" ht="14.5" x14ac:dyDescent="0.35">
      <c r="A10027" s="34"/>
      <c r="B10027" s="35"/>
      <c r="C10027" s="36"/>
      <c r="D10027" s="37"/>
      <c r="E10027" s="36"/>
      <c r="F10027" s="42"/>
      <c r="G10027" s="42"/>
      <c r="H10027" s="42"/>
      <c r="AG10027" s="19"/>
    </row>
    <row r="10028" spans="1:33" ht="14.5" x14ac:dyDescent="0.35">
      <c r="A10028" s="34"/>
      <c r="B10028" s="35"/>
      <c r="C10028" s="36"/>
      <c r="D10028" s="37"/>
      <c r="E10028" s="36"/>
      <c r="F10028" s="42"/>
      <c r="G10028" s="42"/>
      <c r="H10028" s="42"/>
      <c r="AG10028" s="19"/>
    </row>
    <row r="10029" spans="1:33" ht="14.5" x14ac:dyDescent="0.35">
      <c r="A10029" s="34"/>
      <c r="B10029" s="35"/>
      <c r="C10029" s="36"/>
      <c r="D10029" s="37"/>
      <c r="E10029" s="36"/>
      <c r="F10029" s="42"/>
      <c r="G10029" s="42"/>
      <c r="H10029" s="42"/>
      <c r="AG10029" s="19"/>
    </row>
    <row r="10030" spans="1:33" ht="14.5" x14ac:dyDescent="0.35">
      <c r="A10030" s="34"/>
      <c r="B10030" s="35"/>
      <c r="C10030" s="36"/>
      <c r="D10030" s="37"/>
      <c r="E10030" s="36"/>
      <c r="F10030" s="42"/>
      <c r="G10030" s="42"/>
      <c r="H10030" s="42"/>
      <c r="AG10030" s="19"/>
    </row>
    <row r="10031" spans="1:33" ht="14.5" x14ac:dyDescent="0.35">
      <c r="A10031" s="34"/>
      <c r="B10031" s="35"/>
      <c r="C10031" s="36"/>
      <c r="D10031" s="37"/>
      <c r="E10031" s="36"/>
      <c r="F10031" s="42"/>
      <c r="G10031" s="42"/>
      <c r="H10031" s="42"/>
      <c r="AG10031" s="19"/>
    </row>
    <row r="10032" spans="1:33" ht="14.5" x14ac:dyDescent="0.35">
      <c r="A10032" s="34"/>
      <c r="B10032" s="35"/>
      <c r="C10032" s="36"/>
      <c r="D10032" s="37"/>
      <c r="E10032" s="36"/>
      <c r="F10032" s="42"/>
      <c r="G10032" s="42"/>
      <c r="H10032" s="42"/>
      <c r="AG10032" s="19"/>
    </row>
    <row r="10033" spans="1:33" ht="14.5" x14ac:dyDescent="0.35">
      <c r="A10033" s="34"/>
      <c r="B10033" s="35"/>
      <c r="C10033" s="36"/>
      <c r="D10033" s="37"/>
      <c r="E10033" s="36"/>
      <c r="F10033" s="42"/>
      <c r="G10033" s="42"/>
      <c r="H10033" s="42"/>
      <c r="AG10033" s="19"/>
    </row>
    <row r="10034" spans="1:33" ht="14.5" x14ac:dyDescent="0.35">
      <c r="A10034" s="34"/>
      <c r="B10034" s="35"/>
      <c r="C10034" s="36"/>
      <c r="D10034" s="37"/>
      <c r="E10034" s="36"/>
      <c r="F10034" s="42"/>
      <c r="G10034" s="42"/>
      <c r="H10034" s="42"/>
      <c r="AG10034" s="19"/>
    </row>
    <row r="10035" spans="1:33" ht="14.5" x14ac:dyDescent="0.35">
      <c r="A10035" s="34"/>
      <c r="B10035" s="35"/>
      <c r="C10035" s="36"/>
      <c r="D10035" s="37"/>
      <c r="E10035" s="36"/>
      <c r="F10035" s="42"/>
      <c r="G10035" s="42"/>
      <c r="H10035" s="42"/>
      <c r="AG10035" s="19"/>
    </row>
    <row r="10036" spans="1:33" ht="14.5" x14ac:dyDescent="0.35">
      <c r="A10036" s="34"/>
      <c r="B10036" s="35"/>
      <c r="C10036" s="36"/>
      <c r="D10036" s="37"/>
      <c r="E10036" s="36"/>
      <c r="F10036" s="42"/>
      <c r="G10036" s="42"/>
      <c r="H10036" s="42"/>
      <c r="AG10036" s="19"/>
    </row>
    <row r="10037" spans="1:33" ht="14.5" x14ac:dyDescent="0.35">
      <c r="A10037" s="34"/>
      <c r="B10037" s="35"/>
      <c r="C10037" s="36"/>
      <c r="D10037" s="37"/>
      <c r="E10037" s="36"/>
      <c r="F10037" s="42"/>
      <c r="G10037" s="42"/>
      <c r="H10037" s="42"/>
      <c r="AG10037" s="19"/>
    </row>
    <row r="10038" spans="1:33" ht="14.5" x14ac:dyDescent="0.35">
      <c r="A10038" s="34"/>
      <c r="B10038" s="35"/>
      <c r="C10038" s="36"/>
      <c r="D10038" s="37"/>
      <c r="E10038" s="36"/>
      <c r="F10038" s="42"/>
      <c r="G10038" s="42"/>
      <c r="H10038" s="42"/>
      <c r="AG10038" s="19"/>
    </row>
    <row r="10039" spans="1:33" ht="14.5" x14ac:dyDescent="0.35">
      <c r="A10039" s="34"/>
      <c r="B10039" s="35"/>
      <c r="C10039" s="36"/>
      <c r="D10039" s="37"/>
      <c r="E10039" s="36"/>
      <c r="F10039" s="42"/>
      <c r="G10039" s="42"/>
      <c r="H10039" s="42"/>
      <c r="AG10039" s="19"/>
    </row>
    <row r="10040" spans="1:33" ht="14.5" x14ac:dyDescent="0.35">
      <c r="A10040" s="34"/>
      <c r="B10040" s="35"/>
      <c r="C10040" s="36"/>
      <c r="D10040" s="37"/>
      <c r="E10040" s="36"/>
      <c r="F10040" s="42"/>
      <c r="G10040" s="42"/>
      <c r="H10040" s="42"/>
      <c r="AG10040" s="19"/>
    </row>
    <row r="10041" spans="1:33" ht="14.5" x14ac:dyDescent="0.35">
      <c r="A10041" s="34"/>
      <c r="B10041" s="35"/>
      <c r="C10041" s="36"/>
      <c r="D10041" s="37"/>
      <c r="E10041" s="36"/>
      <c r="F10041" s="42"/>
      <c r="G10041" s="42"/>
      <c r="H10041" s="42"/>
      <c r="AG10041" s="19"/>
    </row>
    <row r="10042" spans="1:33" ht="14.5" x14ac:dyDescent="0.35">
      <c r="A10042" s="34"/>
      <c r="B10042" s="35"/>
      <c r="C10042" s="36"/>
      <c r="D10042" s="37"/>
      <c r="E10042" s="36"/>
      <c r="F10042" s="42"/>
      <c r="G10042" s="42"/>
      <c r="H10042" s="42"/>
      <c r="AG10042" s="19"/>
    </row>
    <row r="10043" spans="1:33" ht="14.5" x14ac:dyDescent="0.35">
      <c r="A10043" s="34"/>
      <c r="B10043" s="35"/>
      <c r="C10043" s="36"/>
      <c r="D10043" s="37"/>
      <c r="E10043" s="36"/>
      <c r="F10043" s="42"/>
      <c r="G10043" s="42"/>
      <c r="H10043" s="42"/>
      <c r="AG10043" s="19"/>
    </row>
    <row r="10044" spans="1:33" ht="14.5" x14ac:dyDescent="0.35">
      <c r="A10044" s="34"/>
      <c r="B10044" s="35"/>
      <c r="C10044" s="36"/>
      <c r="D10044" s="37"/>
      <c r="E10044" s="36"/>
      <c r="F10044" s="42"/>
      <c r="G10044" s="42"/>
      <c r="H10044" s="42"/>
      <c r="AG10044" s="19"/>
    </row>
    <row r="10045" spans="1:33" ht="14.5" x14ac:dyDescent="0.35">
      <c r="A10045" s="34"/>
      <c r="B10045" s="35"/>
      <c r="C10045" s="36"/>
      <c r="D10045" s="37"/>
      <c r="E10045" s="36"/>
      <c r="F10045" s="42"/>
      <c r="G10045" s="42"/>
      <c r="H10045" s="42"/>
      <c r="AG10045" s="19"/>
    </row>
    <row r="10046" spans="1:33" ht="14.5" x14ac:dyDescent="0.35">
      <c r="A10046" s="34"/>
      <c r="B10046" s="35"/>
      <c r="C10046" s="36"/>
      <c r="D10046" s="37"/>
      <c r="E10046" s="36"/>
      <c r="F10046" s="42"/>
      <c r="G10046" s="42"/>
      <c r="H10046" s="42"/>
      <c r="AG10046" s="19"/>
    </row>
    <row r="10047" spans="1:33" ht="14.5" x14ac:dyDescent="0.35">
      <c r="A10047" s="34"/>
      <c r="B10047" s="35"/>
      <c r="C10047" s="36"/>
      <c r="D10047" s="37"/>
      <c r="E10047" s="36"/>
      <c r="F10047" s="42"/>
      <c r="G10047" s="42"/>
      <c r="H10047" s="42"/>
      <c r="AG10047" s="19"/>
    </row>
    <row r="10048" spans="1:33" ht="14.5" x14ac:dyDescent="0.35">
      <c r="A10048" s="34"/>
      <c r="B10048" s="35"/>
      <c r="C10048" s="36"/>
      <c r="D10048" s="37"/>
      <c r="E10048" s="36"/>
      <c r="F10048" s="42"/>
      <c r="G10048" s="42"/>
      <c r="H10048" s="42"/>
      <c r="AG10048" s="19"/>
    </row>
    <row r="10049" spans="1:33" ht="14.5" x14ac:dyDescent="0.35">
      <c r="A10049" s="34"/>
      <c r="B10049" s="35"/>
      <c r="C10049" s="36"/>
      <c r="D10049" s="37"/>
      <c r="E10049" s="36"/>
      <c r="F10049" s="42"/>
      <c r="G10049" s="42"/>
      <c r="H10049" s="42"/>
      <c r="AG10049" s="19"/>
    </row>
    <row r="10050" spans="1:33" ht="14.5" x14ac:dyDescent="0.35">
      <c r="A10050" s="34"/>
      <c r="B10050" s="35"/>
      <c r="C10050" s="36"/>
      <c r="D10050" s="37"/>
      <c r="E10050" s="36"/>
      <c r="F10050" s="42"/>
      <c r="G10050" s="42"/>
      <c r="H10050" s="42"/>
      <c r="AG10050" s="19"/>
    </row>
    <row r="10051" spans="1:33" ht="14.5" x14ac:dyDescent="0.35">
      <c r="A10051" s="34"/>
      <c r="B10051" s="35"/>
      <c r="C10051" s="36"/>
      <c r="D10051" s="37"/>
      <c r="E10051" s="36"/>
      <c r="F10051" s="42"/>
      <c r="G10051" s="42"/>
      <c r="H10051" s="42"/>
      <c r="AG10051" s="19"/>
    </row>
    <row r="10052" spans="1:33" ht="14.5" x14ac:dyDescent="0.35">
      <c r="A10052" s="34"/>
      <c r="B10052" s="35"/>
      <c r="C10052" s="36"/>
      <c r="D10052" s="37"/>
      <c r="E10052" s="36"/>
      <c r="F10052" s="42"/>
      <c r="G10052" s="42"/>
      <c r="H10052" s="42"/>
      <c r="AG10052" s="19"/>
    </row>
    <row r="10053" spans="1:33" ht="14.5" x14ac:dyDescent="0.35">
      <c r="A10053" s="34"/>
      <c r="B10053" s="35"/>
      <c r="C10053" s="36"/>
      <c r="D10053" s="37"/>
      <c r="E10053" s="36"/>
      <c r="F10053" s="42"/>
      <c r="G10053" s="42"/>
      <c r="H10053" s="42"/>
      <c r="AG10053" s="19"/>
    </row>
    <row r="10054" spans="1:33" ht="14.5" x14ac:dyDescent="0.35">
      <c r="A10054" s="34"/>
      <c r="B10054" s="35"/>
      <c r="C10054" s="36"/>
      <c r="D10054" s="37"/>
      <c r="E10054" s="36"/>
      <c r="F10054" s="42"/>
      <c r="G10054" s="42"/>
      <c r="H10054" s="42"/>
      <c r="AG10054" s="19"/>
    </row>
    <row r="10055" spans="1:33" ht="14.5" x14ac:dyDescent="0.35">
      <c r="A10055" s="34"/>
      <c r="B10055" s="35"/>
      <c r="C10055" s="36"/>
      <c r="D10055" s="37"/>
      <c r="E10055" s="36"/>
      <c r="F10055" s="42"/>
      <c r="G10055" s="42"/>
      <c r="H10055" s="42"/>
      <c r="AG10055" s="19"/>
    </row>
    <row r="10056" spans="1:33" ht="14.5" x14ac:dyDescent="0.35">
      <c r="A10056" s="34"/>
      <c r="B10056" s="35"/>
      <c r="C10056" s="36"/>
      <c r="D10056" s="37"/>
      <c r="E10056" s="36"/>
      <c r="F10056" s="42"/>
      <c r="G10056" s="42"/>
      <c r="H10056" s="42"/>
      <c r="AG10056" s="19"/>
    </row>
    <row r="10057" spans="1:33" ht="14.5" x14ac:dyDescent="0.35">
      <c r="A10057" s="34"/>
      <c r="B10057" s="35"/>
      <c r="C10057" s="36"/>
      <c r="D10057" s="37"/>
      <c r="E10057" s="36"/>
      <c r="F10057" s="42"/>
      <c r="G10057" s="42"/>
      <c r="H10057" s="42"/>
      <c r="AG10057" s="19"/>
    </row>
    <row r="10058" spans="1:33" ht="14.5" x14ac:dyDescent="0.35">
      <c r="A10058" s="34"/>
      <c r="B10058" s="35"/>
      <c r="C10058" s="36"/>
      <c r="D10058" s="37"/>
      <c r="E10058" s="36"/>
      <c r="F10058" s="42"/>
      <c r="G10058" s="42"/>
      <c r="H10058" s="42"/>
      <c r="AG10058" s="19"/>
    </row>
    <row r="10059" spans="1:33" ht="14.5" x14ac:dyDescent="0.35">
      <c r="A10059" s="34"/>
      <c r="B10059" s="35"/>
      <c r="C10059" s="36"/>
      <c r="D10059" s="37"/>
      <c r="E10059" s="36"/>
      <c r="F10059" s="42"/>
      <c r="G10059" s="42"/>
      <c r="H10059" s="42"/>
      <c r="AG10059" s="19"/>
    </row>
    <row r="10060" spans="1:33" ht="14.5" x14ac:dyDescent="0.35">
      <c r="A10060" s="34"/>
      <c r="B10060" s="35"/>
      <c r="C10060" s="36"/>
      <c r="D10060" s="37"/>
      <c r="E10060" s="36"/>
      <c r="F10060" s="42"/>
      <c r="G10060" s="42"/>
      <c r="H10060" s="42"/>
      <c r="AG10060" s="19"/>
    </row>
    <row r="10061" spans="1:33" ht="14.5" x14ac:dyDescent="0.35">
      <c r="A10061" s="34"/>
      <c r="B10061" s="35"/>
      <c r="C10061" s="36"/>
      <c r="D10061" s="37"/>
      <c r="E10061" s="36"/>
      <c r="F10061" s="42"/>
      <c r="G10061" s="42"/>
      <c r="H10061" s="42"/>
      <c r="AG10061" s="19"/>
    </row>
    <row r="10062" spans="1:33" ht="14.5" x14ac:dyDescent="0.35">
      <c r="A10062" s="34"/>
      <c r="B10062" s="35"/>
      <c r="C10062" s="36"/>
      <c r="D10062" s="37"/>
      <c r="E10062" s="36"/>
      <c r="F10062" s="42"/>
      <c r="G10062" s="42"/>
      <c r="H10062" s="42"/>
      <c r="AG10062" s="19"/>
    </row>
    <row r="10063" spans="1:33" ht="14.5" x14ac:dyDescent="0.35">
      <c r="A10063" s="34"/>
      <c r="B10063" s="35"/>
      <c r="C10063" s="36"/>
      <c r="D10063" s="37"/>
      <c r="E10063" s="36"/>
      <c r="F10063" s="42"/>
      <c r="G10063" s="42"/>
      <c r="H10063" s="42"/>
      <c r="AG10063" s="19"/>
    </row>
    <row r="10064" spans="1:33" ht="14.5" x14ac:dyDescent="0.35">
      <c r="A10064" s="34"/>
      <c r="B10064" s="35"/>
      <c r="C10064" s="36"/>
      <c r="D10064" s="37"/>
      <c r="E10064" s="36"/>
      <c r="F10064" s="42"/>
      <c r="G10064" s="42"/>
      <c r="H10064" s="42"/>
      <c r="AG10064" s="19"/>
    </row>
    <row r="10065" spans="1:33" ht="14.5" x14ac:dyDescent="0.35">
      <c r="A10065" s="34"/>
      <c r="B10065" s="35"/>
      <c r="C10065" s="36"/>
      <c r="D10065" s="37"/>
      <c r="E10065" s="36"/>
      <c r="F10065" s="42"/>
      <c r="G10065" s="42"/>
      <c r="H10065" s="42"/>
      <c r="AG10065" s="19"/>
    </row>
    <row r="10066" spans="1:33" ht="14.5" x14ac:dyDescent="0.35">
      <c r="A10066" s="34"/>
      <c r="B10066" s="35"/>
      <c r="C10066" s="36"/>
      <c r="D10066" s="37"/>
      <c r="E10066" s="36"/>
      <c r="F10066" s="42"/>
      <c r="G10066" s="42"/>
      <c r="H10066" s="42"/>
      <c r="AG10066" s="19"/>
    </row>
    <row r="10067" spans="1:33" ht="14.5" x14ac:dyDescent="0.35">
      <c r="A10067" s="34"/>
      <c r="B10067" s="35"/>
      <c r="C10067" s="36"/>
      <c r="D10067" s="37"/>
      <c r="E10067" s="36"/>
      <c r="F10067" s="42"/>
      <c r="G10067" s="42"/>
      <c r="H10067" s="42"/>
      <c r="AG10067" s="19"/>
    </row>
    <row r="10068" spans="1:33" ht="14.5" x14ac:dyDescent="0.35">
      <c r="A10068" s="34"/>
      <c r="B10068" s="35"/>
      <c r="C10068" s="36"/>
      <c r="D10068" s="37"/>
      <c r="E10068" s="36"/>
      <c r="F10068" s="42"/>
      <c r="G10068" s="42"/>
      <c r="H10068" s="42"/>
      <c r="AG10068" s="19"/>
    </row>
    <row r="10069" spans="1:33" ht="14.5" x14ac:dyDescent="0.35">
      <c r="A10069" s="34"/>
      <c r="B10069" s="35"/>
      <c r="C10069" s="36"/>
      <c r="D10069" s="37"/>
      <c r="E10069" s="36"/>
      <c r="F10069" s="42"/>
      <c r="G10069" s="42"/>
      <c r="H10069" s="42"/>
      <c r="AG10069" s="19"/>
    </row>
    <row r="10070" spans="1:33" ht="14.5" x14ac:dyDescent="0.35">
      <c r="A10070" s="34"/>
      <c r="B10070" s="35"/>
      <c r="C10070" s="36"/>
      <c r="D10070" s="37"/>
      <c r="E10070" s="36"/>
      <c r="F10070" s="42"/>
      <c r="G10070" s="42"/>
      <c r="H10070" s="42"/>
      <c r="AG10070" s="19"/>
    </row>
    <row r="10071" spans="1:33" ht="14.5" x14ac:dyDescent="0.35">
      <c r="A10071" s="34"/>
      <c r="B10071" s="35"/>
      <c r="C10071" s="36"/>
      <c r="D10071" s="37"/>
      <c r="E10071" s="36"/>
      <c r="F10071" s="42"/>
      <c r="G10071" s="42"/>
      <c r="H10071" s="42"/>
      <c r="AG10071" s="19"/>
    </row>
    <row r="10072" spans="1:33" ht="14.5" x14ac:dyDescent="0.35">
      <c r="A10072" s="34"/>
      <c r="B10072" s="35"/>
      <c r="C10072" s="36"/>
      <c r="D10072" s="37"/>
      <c r="E10072" s="36"/>
      <c r="F10072" s="42"/>
      <c r="G10072" s="42"/>
      <c r="H10072" s="42"/>
      <c r="AG10072" s="19"/>
    </row>
    <row r="10073" spans="1:33" ht="14.5" x14ac:dyDescent="0.35">
      <c r="A10073" s="34"/>
      <c r="B10073" s="35"/>
      <c r="C10073" s="36"/>
      <c r="D10073" s="37"/>
      <c r="E10073" s="36"/>
      <c r="F10073" s="42"/>
      <c r="G10073" s="42"/>
      <c r="H10073" s="42"/>
      <c r="AG10073" s="19"/>
    </row>
    <row r="10074" spans="1:33" ht="14.5" x14ac:dyDescent="0.35">
      <c r="A10074" s="34"/>
      <c r="B10074" s="35"/>
      <c r="C10074" s="36"/>
      <c r="D10074" s="37"/>
      <c r="E10074" s="36"/>
      <c r="F10074" s="42"/>
      <c r="G10074" s="42"/>
      <c r="H10074" s="42"/>
      <c r="AG10074" s="19"/>
    </row>
    <row r="10075" spans="1:33" ht="14.5" x14ac:dyDescent="0.35">
      <c r="A10075" s="34"/>
      <c r="B10075" s="35"/>
      <c r="C10075" s="36"/>
      <c r="D10075" s="37"/>
      <c r="E10075" s="36"/>
      <c r="F10075" s="42"/>
      <c r="G10075" s="42"/>
      <c r="H10075" s="42"/>
      <c r="AG10075" s="19"/>
    </row>
    <row r="10076" spans="1:33" ht="14.5" x14ac:dyDescent="0.35">
      <c r="A10076" s="34"/>
      <c r="B10076" s="35"/>
      <c r="C10076" s="36"/>
      <c r="D10076" s="37"/>
      <c r="E10076" s="36"/>
      <c r="F10076" s="42"/>
      <c r="G10076" s="42"/>
      <c r="H10076" s="42"/>
      <c r="AG10076" s="19"/>
    </row>
    <row r="10077" spans="1:33" ht="14.5" x14ac:dyDescent="0.35">
      <c r="A10077" s="34"/>
      <c r="B10077" s="35"/>
      <c r="C10077" s="36"/>
      <c r="D10077" s="37"/>
      <c r="E10077" s="36"/>
      <c r="F10077" s="42"/>
      <c r="G10077" s="42"/>
      <c r="H10077" s="42"/>
      <c r="AG10077" s="19"/>
    </row>
    <row r="10078" spans="1:33" ht="14.5" x14ac:dyDescent="0.35">
      <c r="A10078" s="34"/>
      <c r="B10078" s="35"/>
      <c r="C10078" s="36"/>
      <c r="D10078" s="37"/>
      <c r="E10078" s="36"/>
      <c r="F10078" s="42"/>
      <c r="G10078" s="42"/>
      <c r="H10078" s="42"/>
      <c r="AG10078" s="19"/>
    </row>
    <row r="10079" spans="1:33" ht="14.5" x14ac:dyDescent="0.35">
      <c r="A10079" s="34"/>
      <c r="B10079" s="35"/>
      <c r="C10079" s="36"/>
      <c r="D10079" s="37"/>
      <c r="E10079" s="36"/>
      <c r="F10079" s="42"/>
      <c r="G10079" s="42"/>
      <c r="H10079" s="42"/>
      <c r="AG10079" s="19"/>
    </row>
    <row r="10080" spans="1:33" ht="14.5" x14ac:dyDescent="0.35">
      <c r="A10080" s="34"/>
      <c r="B10080" s="35"/>
      <c r="C10080" s="36"/>
      <c r="D10080" s="37"/>
      <c r="E10080" s="36"/>
      <c r="F10080" s="42"/>
      <c r="G10080" s="42"/>
      <c r="H10080" s="42"/>
      <c r="AG10080" s="19"/>
    </row>
    <row r="10081" spans="1:33" ht="14.5" x14ac:dyDescent="0.35">
      <c r="A10081" s="34"/>
      <c r="B10081" s="35"/>
      <c r="C10081" s="36"/>
      <c r="D10081" s="37"/>
      <c r="E10081" s="36"/>
      <c r="F10081" s="42"/>
      <c r="G10081" s="42"/>
      <c r="H10081" s="42"/>
      <c r="AG10081" s="19"/>
    </row>
    <row r="10082" spans="1:33" ht="14.5" x14ac:dyDescent="0.35">
      <c r="A10082" s="34"/>
      <c r="B10082" s="35"/>
      <c r="C10082" s="36"/>
      <c r="D10082" s="37"/>
      <c r="E10082" s="36"/>
      <c r="F10082" s="42"/>
      <c r="G10082" s="42"/>
      <c r="H10082" s="42"/>
      <c r="AG10082" s="19"/>
    </row>
    <row r="10083" spans="1:33" ht="14.5" x14ac:dyDescent="0.35">
      <c r="A10083" s="34"/>
      <c r="B10083" s="35"/>
      <c r="C10083" s="36"/>
      <c r="D10083" s="37"/>
      <c r="E10083" s="36"/>
      <c r="F10083" s="42"/>
      <c r="G10083" s="42"/>
      <c r="H10083" s="42"/>
      <c r="AG10083" s="19"/>
    </row>
    <row r="10084" spans="1:33" ht="14.5" x14ac:dyDescent="0.35">
      <c r="A10084" s="34"/>
      <c r="B10084" s="35"/>
      <c r="C10084" s="36"/>
      <c r="D10084" s="37"/>
      <c r="E10084" s="36"/>
      <c r="F10084" s="42"/>
      <c r="G10084" s="42"/>
      <c r="H10084" s="42"/>
      <c r="AG10084" s="19"/>
    </row>
    <row r="10085" spans="1:33" ht="14.5" x14ac:dyDescent="0.35">
      <c r="A10085" s="34"/>
      <c r="B10085" s="35"/>
      <c r="C10085" s="36"/>
      <c r="D10085" s="37"/>
      <c r="E10085" s="36"/>
      <c r="F10085" s="42"/>
      <c r="G10085" s="42"/>
      <c r="H10085" s="42"/>
      <c r="AG10085" s="19"/>
    </row>
    <row r="10086" spans="1:33" ht="14.5" x14ac:dyDescent="0.35">
      <c r="A10086" s="34"/>
      <c r="B10086" s="35"/>
      <c r="C10086" s="36"/>
      <c r="D10086" s="37"/>
      <c r="E10086" s="36"/>
      <c r="F10086" s="42"/>
      <c r="G10086" s="42"/>
      <c r="H10086" s="42"/>
      <c r="AG10086" s="19"/>
    </row>
    <row r="10087" spans="1:33" ht="14.5" x14ac:dyDescent="0.35">
      <c r="A10087" s="34"/>
      <c r="B10087" s="35"/>
      <c r="C10087" s="36"/>
      <c r="D10087" s="37"/>
      <c r="E10087" s="36"/>
      <c r="F10087" s="42"/>
      <c r="G10087" s="42"/>
      <c r="H10087" s="42"/>
      <c r="AG10087" s="19"/>
    </row>
    <row r="10088" spans="1:33" ht="14.5" x14ac:dyDescent="0.35">
      <c r="A10088" s="34"/>
      <c r="B10088" s="35"/>
      <c r="C10088" s="36"/>
      <c r="D10088" s="37"/>
      <c r="E10088" s="36"/>
      <c r="F10088" s="42"/>
      <c r="G10088" s="42"/>
      <c r="H10088" s="42"/>
      <c r="AG10088" s="19"/>
    </row>
    <row r="10089" spans="1:33" ht="14.5" x14ac:dyDescent="0.35">
      <c r="A10089" s="34"/>
      <c r="B10089" s="35"/>
      <c r="C10089" s="36"/>
      <c r="D10089" s="37"/>
      <c r="E10089" s="36"/>
      <c r="F10089" s="42"/>
      <c r="G10089" s="42"/>
      <c r="H10089" s="42"/>
      <c r="AG10089" s="19"/>
    </row>
    <row r="10090" spans="1:33" ht="14.5" x14ac:dyDescent="0.35">
      <c r="A10090" s="34"/>
      <c r="B10090" s="35"/>
      <c r="C10090" s="36"/>
      <c r="D10090" s="37"/>
      <c r="E10090" s="36"/>
      <c r="F10090" s="42"/>
      <c r="G10090" s="42"/>
      <c r="H10090" s="42"/>
      <c r="AG10090" s="19"/>
    </row>
    <row r="10091" spans="1:33" ht="14.5" x14ac:dyDescent="0.35">
      <c r="A10091" s="34"/>
      <c r="B10091" s="35"/>
      <c r="C10091" s="36"/>
      <c r="D10091" s="37"/>
      <c r="E10091" s="36"/>
      <c r="F10091" s="42"/>
      <c r="G10091" s="42"/>
      <c r="H10091" s="42"/>
      <c r="AG10091" s="19"/>
    </row>
    <row r="10092" spans="1:33" ht="14.5" x14ac:dyDescent="0.35">
      <c r="A10092" s="34"/>
      <c r="B10092" s="35"/>
      <c r="C10092" s="36"/>
      <c r="D10092" s="37"/>
      <c r="E10092" s="36"/>
      <c r="F10092" s="42"/>
      <c r="G10092" s="42"/>
      <c r="H10092" s="42"/>
      <c r="AG10092" s="19"/>
    </row>
    <row r="10093" spans="1:33" ht="14.5" x14ac:dyDescent="0.35">
      <c r="A10093" s="34"/>
      <c r="B10093" s="35"/>
      <c r="C10093" s="36"/>
      <c r="D10093" s="37"/>
      <c r="E10093" s="36"/>
      <c r="F10093" s="42"/>
      <c r="G10093" s="42"/>
      <c r="H10093" s="42"/>
      <c r="AG10093" s="19"/>
    </row>
    <row r="10094" spans="1:33" ht="14.5" x14ac:dyDescent="0.35">
      <c r="A10094" s="34"/>
      <c r="B10094" s="35"/>
      <c r="C10094" s="36"/>
      <c r="D10094" s="37"/>
      <c r="E10094" s="36"/>
      <c r="F10094" s="42"/>
      <c r="G10094" s="42"/>
      <c r="H10094" s="42"/>
      <c r="AG10094" s="19"/>
    </row>
    <row r="10095" spans="1:33" ht="14.5" x14ac:dyDescent="0.35">
      <c r="A10095" s="34"/>
      <c r="B10095" s="35"/>
      <c r="C10095" s="36"/>
      <c r="D10095" s="37"/>
      <c r="E10095" s="36"/>
      <c r="F10095" s="42"/>
      <c r="G10095" s="42"/>
      <c r="H10095" s="42"/>
      <c r="AG10095" s="19"/>
    </row>
    <row r="10096" spans="1:33" ht="14.5" x14ac:dyDescent="0.35">
      <c r="A10096" s="34"/>
      <c r="B10096" s="35"/>
      <c r="C10096" s="36"/>
      <c r="D10096" s="37"/>
      <c r="E10096" s="36"/>
      <c r="F10096" s="42"/>
      <c r="G10096" s="42"/>
      <c r="H10096" s="42"/>
      <c r="AG10096" s="19"/>
    </row>
    <row r="10097" spans="1:33" ht="14.5" x14ac:dyDescent="0.35">
      <c r="A10097" s="34"/>
      <c r="B10097" s="35"/>
      <c r="C10097" s="36"/>
      <c r="D10097" s="37"/>
      <c r="E10097" s="36"/>
      <c r="F10097" s="42"/>
      <c r="G10097" s="42"/>
      <c r="H10097" s="42"/>
      <c r="AG10097" s="19"/>
    </row>
    <row r="10098" spans="1:33" ht="14.5" x14ac:dyDescent="0.35">
      <c r="A10098" s="34"/>
      <c r="B10098" s="35"/>
      <c r="C10098" s="36"/>
      <c r="D10098" s="37"/>
      <c r="E10098" s="36"/>
      <c r="F10098" s="42"/>
      <c r="G10098" s="42"/>
      <c r="H10098" s="42"/>
      <c r="AG10098" s="19"/>
    </row>
    <row r="10099" spans="1:33" ht="14.5" x14ac:dyDescent="0.35">
      <c r="A10099" s="34"/>
      <c r="B10099" s="35"/>
      <c r="C10099" s="36"/>
      <c r="D10099" s="37"/>
      <c r="E10099" s="36"/>
      <c r="F10099" s="42"/>
      <c r="G10099" s="42"/>
      <c r="H10099" s="42"/>
      <c r="AG10099" s="19"/>
    </row>
    <row r="10100" spans="1:33" ht="14.5" x14ac:dyDescent="0.35">
      <c r="A10100" s="34"/>
      <c r="B10100" s="35"/>
      <c r="C10100" s="36"/>
      <c r="D10100" s="37"/>
      <c r="E10100" s="36"/>
      <c r="F10100" s="42"/>
      <c r="G10100" s="42"/>
      <c r="H10100" s="42"/>
      <c r="AG10100" s="19"/>
    </row>
    <row r="10101" spans="1:33" ht="14.5" x14ac:dyDescent="0.35">
      <c r="A10101" s="34"/>
      <c r="B10101" s="35"/>
      <c r="C10101" s="36"/>
      <c r="D10101" s="37"/>
      <c r="E10101" s="36"/>
      <c r="F10101" s="42"/>
      <c r="G10101" s="42"/>
      <c r="H10101" s="42"/>
      <c r="AG10101" s="19"/>
    </row>
    <row r="10102" spans="1:33" ht="14.5" x14ac:dyDescent="0.35">
      <c r="A10102" s="34"/>
      <c r="B10102" s="35"/>
      <c r="C10102" s="36"/>
      <c r="D10102" s="37"/>
      <c r="E10102" s="36"/>
      <c r="F10102" s="42"/>
      <c r="G10102" s="42"/>
      <c r="H10102" s="42"/>
      <c r="AG10102" s="19"/>
    </row>
    <row r="10103" spans="1:33" ht="14.5" x14ac:dyDescent="0.35">
      <c r="A10103" s="34"/>
      <c r="B10103" s="35"/>
      <c r="C10103" s="36"/>
      <c r="D10103" s="37"/>
      <c r="E10103" s="36"/>
      <c r="F10103" s="42"/>
      <c r="G10103" s="42"/>
      <c r="H10103" s="42"/>
      <c r="AG10103" s="19"/>
    </row>
    <row r="10104" spans="1:33" ht="14.5" x14ac:dyDescent="0.35">
      <c r="A10104" s="34"/>
      <c r="B10104" s="35"/>
      <c r="C10104" s="36"/>
      <c r="D10104" s="37"/>
      <c r="E10104" s="36"/>
      <c r="F10104" s="42"/>
      <c r="G10104" s="42"/>
      <c r="H10104" s="42"/>
      <c r="AG10104" s="19"/>
    </row>
    <row r="10105" spans="1:33" ht="14.5" x14ac:dyDescent="0.35">
      <c r="A10105" s="34"/>
      <c r="B10105" s="35"/>
      <c r="C10105" s="36"/>
      <c r="D10105" s="37"/>
      <c r="E10105" s="36"/>
      <c r="F10105" s="42"/>
      <c r="G10105" s="42"/>
      <c r="H10105" s="42"/>
      <c r="AG10105" s="19"/>
    </row>
    <row r="10106" spans="1:33" ht="14.5" x14ac:dyDescent="0.35">
      <c r="A10106" s="34"/>
      <c r="B10106" s="35"/>
      <c r="C10106" s="36"/>
      <c r="D10106" s="37"/>
      <c r="E10106" s="36"/>
      <c r="F10106" s="42"/>
      <c r="G10106" s="42"/>
      <c r="H10106" s="42"/>
      <c r="AG10106" s="19"/>
    </row>
    <row r="10107" spans="1:33" ht="14.5" x14ac:dyDescent="0.35">
      <c r="A10107" s="34"/>
      <c r="B10107" s="35"/>
      <c r="C10107" s="36"/>
      <c r="D10107" s="37"/>
      <c r="E10107" s="36"/>
      <c r="F10107" s="42"/>
      <c r="G10107" s="42"/>
      <c r="H10107" s="42"/>
      <c r="AG10107" s="19"/>
    </row>
    <row r="10108" spans="1:33" ht="14.5" x14ac:dyDescent="0.35">
      <c r="A10108" s="34"/>
      <c r="B10108" s="35"/>
      <c r="C10108" s="36"/>
      <c r="D10108" s="37"/>
      <c r="E10108" s="36"/>
      <c r="F10108" s="42"/>
      <c r="G10108" s="42"/>
      <c r="H10108" s="42"/>
      <c r="AG10108" s="19"/>
    </row>
    <row r="10109" spans="1:33" ht="14.5" x14ac:dyDescent="0.35">
      <c r="A10109" s="34"/>
      <c r="B10109" s="35"/>
      <c r="C10109" s="36"/>
      <c r="D10109" s="37"/>
      <c r="E10109" s="36"/>
      <c r="F10109" s="42"/>
      <c r="G10109" s="42"/>
      <c r="H10109" s="42"/>
      <c r="AG10109" s="19"/>
    </row>
    <row r="10110" spans="1:33" ht="14.5" x14ac:dyDescent="0.35">
      <c r="A10110" s="34"/>
      <c r="B10110" s="35"/>
      <c r="C10110" s="36"/>
      <c r="D10110" s="37"/>
      <c r="E10110" s="36"/>
      <c r="F10110" s="42"/>
      <c r="G10110" s="42"/>
      <c r="H10110" s="42"/>
      <c r="AG10110" s="19"/>
    </row>
    <row r="10111" spans="1:33" ht="14.5" x14ac:dyDescent="0.35">
      <c r="A10111" s="34"/>
      <c r="B10111" s="35"/>
      <c r="C10111" s="36"/>
      <c r="D10111" s="37"/>
      <c r="E10111" s="36"/>
      <c r="F10111" s="42"/>
      <c r="G10111" s="42"/>
      <c r="H10111" s="42"/>
      <c r="AG10111" s="19"/>
    </row>
    <row r="10112" spans="1:33" ht="14.5" x14ac:dyDescent="0.35">
      <c r="A10112" s="34"/>
      <c r="B10112" s="35"/>
      <c r="C10112" s="36"/>
      <c r="D10112" s="37"/>
      <c r="E10112" s="36"/>
      <c r="F10112" s="42"/>
      <c r="G10112" s="42"/>
      <c r="H10112" s="42"/>
      <c r="AG10112" s="19"/>
    </row>
    <row r="10113" spans="1:33" ht="14.5" x14ac:dyDescent="0.35">
      <c r="A10113" s="34"/>
      <c r="B10113" s="35"/>
      <c r="C10113" s="36"/>
      <c r="D10113" s="37"/>
      <c r="E10113" s="36"/>
      <c r="F10113" s="42"/>
      <c r="G10113" s="42"/>
      <c r="H10113" s="42"/>
      <c r="AG10113" s="19"/>
    </row>
    <row r="10114" spans="1:33" ht="14.5" x14ac:dyDescent="0.35">
      <c r="A10114" s="34"/>
      <c r="B10114" s="35"/>
      <c r="C10114" s="36"/>
      <c r="D10114" s="37"/>
      <c r="E10114" s="36"/>
      <c r="F10114" s="42"/>
      <c r="G10114" s="42"/>
      <c r="H10114" s="42"/>
      <c r="AG10114" s="19"/>
    </row>
    <row r="10115" spans="1:33" ht="14.5" x14ac:dyDescent="0.35">
      <c r="A10115" s="34"/>
      <c r="B10115" s="35"/>
      <c r="C10115" s="36"/>
      <c r="D10115" s="37"/>
      <c r="E10115" s="36"/>
      <c r="F10115" s="42"/>
      <c r="G10115" s="42"/>
      <c r="H10115" s="42"/>
      <c r="AG10115" s="19"/>
    </row>
    <row r="10116" spans="1:33" ht="14.5" x14ac:dyDescent="0.35">
      <c r="A10116" s="34"/>
      <c r="B10116" s="35"/>
      <c r="C10116" s="36"/>
      <c r="D10116" s="37"/>
      <c r="E10116" s="36"/>
      <c r="F10116" s="42"/>
      <c r="G10116" s="42"/>
      <c r="H10116" s="42"/>
      <c r="AG10116" s="19"/>
    </row>
    <row r="10117" spans="1:33" ht="14.5" x14ac:dyDescent="0.35">
      <c r="A10117" s="34"/>
      <c r="B10117" s="35"/>
      <c r="C10117" s="36"/>
      <c r="D10117" s="37"/>
      <c r="E10117" s="36"/>
      <c r="F10117" s="42"/>
      <c r="G10117" s="42"/>
      <c r="H10117" s="42"/>
      <c r="AG10117" s="19"/>
    </row>
    <row r="10118" spans="1:33" ht="14.5" x14ac:dyDescent="0.35">
      <c r="A10118" s="34"/>
      <c r="B10118" s="35"/>
      <c r="C10118" s="36"/>
      <c r="D10118" s="37"/>
      <c r="E10118" s="36"/>
      <c r="F10118" s="42"/>
      <c r="G10118" s="42"/>
      <c r="H10118" s="42"/>
      <c r="AG10118" s="19"/>
    </row>
    <row r="10119" spans="1:33" ht="14.5" x14ac:dyDescent="0.35">
      <c r="A10119" s="34"/>
      <c r="B10119" s="35"/>
      <c r="C10119" s="36"/>
      <c r="D10119" s="37"/>
      <c r="E10119" s="36"/>
      <c r="F10119" s="42"/>
      <c r="G10119" s="42"/>
      <c r="H10119" s="42"/>
      <c r="AG10119" s="19"/>
    </row>
    <row r="10120" spans="1:33" ht="14.5" x14ac:dyDescent="0.35">
      <c r="A10120" s="34"/>
      <c r="B10120" s="35"/>
      <c r="C10120" s="36"/>
      <c r="D10120" s="37"/>
      <c r="E10120" s="36"/>
      <c r="F10120" s="42"/>
      <c r="G10120" s="42"/>
      <c r="H10120" s="42"/>
      <c r="AG10120" s="19"/>
    </row>
    <row r="10121" spans="1:33" ht="14.5" x14ac:dyDescent="0.35">
      <c r="A10121" s="34"/>
      <c r="B10121" s="35"/>
      <c r="C10121" s="36"/>
      <c r="D10121" s="37"/>
      <c r="E10121" s="36"/>
      <c r="F10121" s="42"/>
      <c r="G10121" s="42"/>
      <c r="H10121" s="42"/>
      <c r="AG10121" s="19"/>
    </row>
    <row r="10122" spans="1:33" ht="14.5" x14ac:dyDescent="0.35">
      <c r="A10122" s="34"/>
      <c r="B10122" s="35"/>
      <c r="C10122" s="36"/>
      <c r="D10122" s="37"/>
      <c r="E10122" s="36"/>
      <c r="F10122" s="42"/>
      <c r="G10122" s="42"/>
      <c r="H10122" s="42"/>
      <c r="AG10122" s="19"/>
    </row>
    <row r="10123" spans="1:33" ht="14.5" x14ac:dyDescent="0.35">
      <c r="A10123" s="34"/>
      <c r="B10123" s="35"/>
      <c r="C10123" s="36"/>
      <c r="D10123" s="37"/>
      <c r="E10123" s="36"/>
      <c r="F10123" s="42"/>
      <c r="G10123" s="42"/>
      <c r="H10123" s="42"/>
      <c r="AG10123" s="19"/>
    </row>
    <row r="10124" spans="1:33" ht="14.5" x14ac:dyDescent="0.35">
      <c r="A10124" s="34"/>
      <c r="B10124" s="35"/>
      <c r="C10124" s="36"/>
      <c r="D10124" s="37"/>
      <c r="E10124" s="36"/>
      <c r="F10124" s="42"/>
      <c r="G10124" s="42"/>
      <c r="H10124" s="42"/>
      <c r="AG10124" s="19"/>
    </row>
    <row r="10125" spans="1:33" ht="14.5" x14ac:dyDescent="0.35">
      <c r="A10125" s="34"/>
      <c r="B10125" s="35"/>
      <c r="C10125" s="36"/>
      <c r="D10125" s="37"/>
      <c r="E10125" s="36"/>
      <c r="F10125" s="42"/>
      <c r="G10125" s="42"/>
      <c r="H10125" s="42"/>
      <c r="AG10125" s="19"/>
    </row>
    <row r="10126" spans="1:33" ht="14.5" x14ac:dyDescent="0.35">
      <c r="A10126" s="34"/>
      <c r="B10126" s="35"/>
      <c r="C10126" s="36"/>
      <c r="D10126" s="37"/>
      <c r="E10126" s="36"/>
      <c r="F10126" s="42"/>
      <c r="G10126" s="42"/>
      <c r="H10126" s="42"/>
      <c r="AG10126" s="19"/>
    </row>
    <row r="10127" spans="1:33" ht="14.5" x14ac:dyDescent="0.35">
      <c r="A10127" s="34"/>
      <c r="B10127" s="35"/>
      <c r="C10127" s="36"/>
      <c r="D10127" s="37"/>
      <c r="E10127" s="36"/>
      <c r="F10127" s="42"/>
      <c r="G10127" s="42"/>
      <c r="H10127" s="42"/>
      <c r="AG10127" s="19"/>
    </row>
    <row r="10128" spans="1:33" ht="14.5" x14ac:dyDescent="0.35">
      <c r="A10128" s="34"/>
      <c r="B10128" s="35"/>
      <c r="C10128" s="36"/>
      <c r="D10128" s="37"/>
      <c r="E10128" s="36"/>
      <c r="F10128" s="42"/>
      <c r="G10128" s="42"/>
      <c r="H10128" s="42"/>
      <c r="AG10128" s="19"/>
    </row>
    <row r="10129" spans="1:33" ht="14.5" x14ac:dyDescent="0.35">
      <c r="A10129" s="34"/>
      <c r="B10129" s="35"/>
      <c r="C10129" s="36"/>
      <c r="D10129" s="37"/>
      <c r="E10129" s="36"/>
      <c r="F10129" s="42"/>
      <c r="G10129" s="42"/>
      <c r="H10129" s="42"/>
      <c r="AG10129" s="19"/>
    </row>
    <row r="10130" spans="1:33" ht="14.5" x14ac:dyDescent="0.35">
      <c r="A10130" s="34"/>
      <c r="B10130" s="35"/>
      <c r="C10130" s="36"/>
      <c r="D10130" s="37"/>
      <c r="E10130" s="36"/>
      <c r="F10130" s="42"/>
      <c r="G10130" s="42"/>
      <c r="H10130" s="42"/>
      <c r="AG10130" s="19"/>
    </row>
    <row r="10131" spans="1:33" ht="14.5" x14ac:dyDescent="0.35">
      <c r="A10131" s="34"/>
      <c r="B10131" s="35"/>
      <c r="C10131" s="36"/>
      <c r="D10131" s="37"/>
      <c r="E10131" s="36"/>
      <c r="F10131" s="42"/>
      <c r="G10131" s="42"/>
      <c r="H10131" s="42"/>
      <c r="AG10131" s="19"/>
    </row>
    <row r="10132" spans="1:33" ht="14.5" x14ac:dyDescent="0.35">
      <c r="A10132" s="34"/>
      <c r="B10132" s="35"/>
      <c r="C10132" s="36"/>
      <c r="D10132" s="37"/>
      <c r="E10132" s="36"/>
      <c r="F10132" s="42"/>
      <c r="G10132" s="42"/>
      <c r="H10132" s="42"/>
      <c r="AG10132" s="19"/>
    </row>
    <row r="10133" spans="1:33" ht="14.5" x14ac:dyDescent="0.35">
      <c r="A10133" s="34"/>
      <c r="B10133" s="35"/>
      <c r="C10133" s="36"/>
      <c r="D10133" s="37"/>
      <c r="E10133" s="36"/>
      <c r="F10133" s="42"/>
      <c r="G10133" s="42"/>
      <c r="H10133" s="42"/>
      <c r="AG10133" s="19"/>
    </row>
    <row r="10134" spans="1:33" ht="14.5" x14ac:dyDescent="0.35">
      <c r="A10134" s="34"/>
      <c r="B10134" s="35"/>
      <c r="C10134" s="36"/>
      <c r="D10134" s="37"/>
      <c r="E10134" s="36"/>
      <c r="F10134" s="42"/>
      <c r="G10134" s="42"/>
      <c r="H10134" s="42"/>
      <c r="AG10134" s="19"/>
    </row>
    <row r="10135" spans="1:33" ht="14.5" x14ac:dyDescent="0.35">
      <c r="A10135" s="34"/>
      <c r="B10135" s="35"/>
      <c r="C10135" s="36"/>
      <c r="D10135" s="37"/>
      <c r="E10135" s="36"/>
      <c r="F10135" s="42"/>
      <c r="G10135" s="42"/>
      <c r="H10135" s="42"/>
      <c r="AG10135" s="19"/>
    </row>
    <row r="10136" spans="1:33" ht="14.5" x14ac:dyDescent="0.35">
      <c r="A10136" s="34"/>
      <c r="B10136" s="35"/>
      <c r="C10136" s="36"/>
      <c r="D10136" s="37"/>
      <c r="E10136" s="36"/>
      <c r="F10136" s="42"/>
      <c r="G10136" s="42"/>
      <c r="H10136" s="42"/>
      <c r="AG10136" s="19"/>
    </row>
    <row r="10137" spans="1:33" ht="14.5" x14ac:dyDescent="0.35">
      <c r="A10137" s="34"/>
      <c r="B10137" s="35"/>
      <c r="C10137" s="36"/>
      <c r="D10137" s="37"/>
      <c r="E10137" s="36"/>
      <c r="F10137" s="42"/>
      <c r="G10137" s="42"/>
      <c r="H10137" s="42"/>
      <c r="AG10137" s="19"/>
    </row>
    <row r="10138" spans="1:33" ht="14.5" x14ac:dyDescent="0.35">
      <c r="A10138" s="34"/>
      <c r="B10138" s="35"/>
      <c r="C10138" s="36"/>
      <c r="D10138" s="37"/>
      <c r="E10138" s="36"/>
      <c r="F10138" s="42"/>
      <c r="G10138" s="42"/>
      <c r="H10138" s="42"/>
      <c r="AG10138" s="19"/>
    </row>
    <row r="10139" spans="1:33" ht="14.5" x14ac:dyDescent="0.35">
      <c r="A10139" s="34"/>
      <c r="B10139" s="35"/>
      <c r="C10139" s="36"/>
      <c r="D10139" s="37"/>
      <c r="E10139" s="36"/>
      <c r="F10139" s="42"/>
      <c r="G10139" s="42"/>
      <c r="H10139" s="42"/>
      <c r="AG10139" s="19"/>
    </row>
    <row r="10140" spans="1:33" ht="14.5" x14ac:dyDescent="0.35">
      <c r="A10140" s="34"/>
      <c r="B10140" s="35"/>
      <c r="C10140" s="36"/>
      <c r="D10140" s="37"/>
      <c r="E10140" s="36"/>
      <c r="F10140" s="42"/>
      <c r="G10140" s="42"/>
      <c r="H10140" s="42"/>
      <c r="AG10140" s="19"/>
    </row>
    <row r="10141" spans="1:33" ht="14.5" x14ac:dyDescent="0.35">
      <c r="A10141" s="34"/>
      <c r="B10141" s="35"/>
      <c r="C10141" s="36"/>
      <c r="D10141" s="37"/>
      <c r="E10141" s="36"/>
      <c r="F10141" s="42"/>
      <c r="G10141" s="42"/>
      <c r="H10141" s="42"/>
      <c r="AG10141" s="19"/>
    </row>
    <row r="10142" spans="1:33" ht="14.5" x14ac:dyDescent="0.35">
      <c r="A10142" s="34"/>
      <c r="B10142" s="35"/>
      <c r="C10142" s="36"/>
      <c r="D10142" s="37"/>
      <c r="E10142" s="36"/>
      <c r="F10142" s="42"/>
      <c r="G10142" s="42"/>
      <c r="H10142" s="42"/>
      <c r="AG10142" s="19"/>
    </row>
    <row r="10143" spans="1:33" ht="14.5" x14ac:dyDescent="0.35">
      <c r="A10143" s="34"/>
      <c r="B10143" s="35"/>
      <c r="C10143" s="36"/>
      <c r="D10143" s="37"/>
      <c r="E10143" s="36"/>
      <c r="F10143" s="42"/>
      <c r="G10143" s="42"/>
      <c r="H10143" s="42"/>
      <c r="AG10143" s="19"/>
    </row>
    <row r="10144" spans="1:33" ht="14.5" x14ac:dyDescent="0.35">
      <c r="A10144" s="34"/>
      <c r="B10144" s="35"/>
      <c r="C10144" s="36"/>
      <c r="D10144" s="37"/>
      <c r="E10144" s="36"/>
      <c r="F10144" s="42"/>
      <c r="G10144" s="42"/>
      <c r="H10144" s="42"/>
      <c r="AG10144" s="19"/>
    </row>
    <row r="10145" spans="1:33" ht="14.5" x14ac:dyDescent="0.35">
      <c r="A10145" s="34"/>
      <c r="B10145" s="35"/>
      <c r="C10145" s="36"/>
      <c r="D10145" s="37"/>
      <c r="E10145" s="36"/>
      <c r="F10145" s="42"/>
      <c r="G10145" s="42"/>
      <c r="H10145" s="42"/>
      <c r="AG10145" s="19"/>
    </row>
    <row r="10146" spans="1:33" ht="14.5" x14ac:dyDescent="0.35">
      <c r="A10146" s="34"/>
      <c r="B10146" s="35"/>
      <c r="C10146" s="36"/>
      <c r="D10146" s="37"/>
      <c r="E10146" s="36"/>
      <c r="F10146" s="42"/>
      <c r="G10146" s="42"/>
      <c r="H10146" s="42"/>
      <c r="AG10146" s="19"/>
    </row>
    <row r="10147" spans="1:33" ht="14.5" x14ac:dyDescent="0.35">
      <c r="A10147" s="34"/>
      <c r="B10147" s="35"/>
      <c r="C10147" s="36"/>
      <c r="D10147" s="37"/>
      <c r="E10147" s="36"/>
      <c r="F10147" s="42"/>
      <c r="G10147" s="42"/>
      <c r="H10147" s="42"/>
      <c r="AG10147" s="19"/>
    </row>
    <row r="10148" spans="1:33" ht="14.5" x14ac:dyDescent="0.35">
      <c r="A10148" s="34"/>
      <c r="B10148" s="35"/>
      <c r="C10148" s="36"/>
      <c r="D10148" s="37"/>
      <c r="E10148" s="36"/>
      <c r="F10148" s="42"/>
      <c r="G10148" s="42"/>
      <c r="H10148" s="42"/>
      <c r="AG10148" s="19"/>
    </row>
    <row r="10149" spans="1:33" ht="14.5" x14ac:dyDescent="0.35">
      <c r="A10149" s="34"/>
      <c r="B10149" s="35"/>
      <c r="C10149" s="36"/>
      <c r="D10149" s="37"/>
      <c r="E10149" s="36"/>
      <c r="F10149" s="42"/>
      <c r="G10149" s="42"/>
      <c r="H10149" s="42"/>
      <c r="AG10149" s="19"/>
    </row>
    <row r="10150" spans="1:33" ht="14.5" x14ac:dyDescent="0.35">
      <c r="A10150" s="34"/>
      <c r="B10150" s="35"/>
      <c r="C10150" s="36"/>
      <c r="D10150" s="37"/>
      <c r="E10150" s="36"/>
      <c r="F10150" s="42"/>
      <c r="G10150" s="42"/>
      <c r="H10150" s="42"/>
      <c r="AG10150" s="19"/>
    </row>
    <row r="10151" spans="1:33" ht="14.5" x14ac:dyDescent="0.35">
      <c r="A10151" s="34"/>
      <c r="B10151" s="35"/>
      <c r="C10151" s="36"/>
      <c r="D10151" s="37"/>
      <c r="E10151" s="36"/>
      <c r="F10151" s="42"/>
      <c r="G10151" s="42"/>
      <c r="H10151" s="42"/>
      <c r="AG10151" s="19"/>
    </row>
    <row r="10152" spans="1:33" ht="14.5" x14ac:dyDescent="0.35">
      <c r="A10152" s="34"/>
      <c r="B10152" s="35"/>
      <c r="C10152" s="36"/>
      <c r="D10152" s="37"/>
      <c r="E10152" s="36"/>
      <c r="F10152" s="42"/>
      <c r="G10152" s="42"/>
      <c r="H10152" s="42"/>
      <c r="AG10152" s="19"/>
    </row>
    <row r="10153" spans="1:33" ht="14.5" x14ac:dyDescent="0.35">
      <c r="A10153" s="34"/>
      <c r="B10153" s="35"/>
      <c r="C10153" s="36"/>
      <c r="D10153" s="37"/>
      <c r="E10153" s="36"/>
      <c r="F10153" s="42"/>
      <c r="G10153" s="42"/>
      <c r="H10153" s="42"/>
      <c r="AG10153" s="19"/>
    </row>
    <row r="10154" spans="1:33" ht="14.5" x14ac:dyDescent="0.35">
      <c r="A10154" s="34"/>
      <c r="B10154" s="35"/>
      <c r="C10154" s="36"/>
      <c r="D10154" s="37"/>
      <c r="E10154" s="36"/>
      <c r="F10154" s="42"/>
      <c r="G10154" s="42"/>
      <c r="H10154" s="42"/>
      <c r="AG10154" s="19"/>
    </row>
    <row r="10155" spans="1:33" ht="14.5" x14ac:dyDescent="0.35">
      <c r="A10155" s="34"/>
      <c r="B10155" s="35"/>
      <c r="C10155" s="36"/>
      <c r="D10155" s="37"/>
      <c r="E10155" s="36"/>
      <c r="F10155" s="42"/>
      <c r="G10155" s="42"/>
      <c r="H10155" s="42"/>
      <c r="AG10155" s="19"/>
    </row>
    <row r="10156" spans="1:33" ht="14.5" x14ac:dyDescent="0.35">
      <c r="A10156" s="34"/>
      <c r="B10156" s="35"/>
      <c r="C10156" s="36"/>
      <c r="D10156" s="37"/>
      <c r="E10156" s="36"/>
      <c r="F10156" s="42"/>
      <c r="G10156" s="42"/>
      <c r="H10156" s="42"/>
      <c r="AG10156" s="19"/>
    </row>
    <row r="10157" spans="1:33" ht="14.5" x14ac:dyDescent="0.35">
      <c r="A10157" s="34"/>
      <c r="B10157" s="35"/>
      <c r="C10157" s="36"/>
      <c r="D10157" s="37"/>
      <c r="E10157" s="36"/>
      <c r="F10157" s="42"/>
      <c r="G10157" s="42"/>
      <c r="H10157" s="42"/>
      <c r="AG10157" s="19"/>
    </row>
    <row r="10158" spans="1:33" ht="14.5" x14ac:dyDescent="0.35">
      <c r="A10158" s="34"/>
      <c r="B10158" s="35"/>
      <c r="C10158" s="36"/>
      <c r="D10158" s="37"/>
      <c r="E10158" s="36"/>
      <c r="F10158" s="42"/>
      <c r="G10158" s="42"/>
      <c r="H10158" s="42"/>
      <c r="AG10158" s="19"/>
    </row>
    <row r="10159" spans="1:33" ht="14.5" x14ac:dyDescent="0.35">
      <c r="A10159" s="34"/>
      <c r="B10159" s="35"/>
      <c r="C10159" s="36"/>
      <c r="D10159" s="37"/>
      <c r="E10159" s="36"/>
      <c r="F10159" s="42"/>
      <c r="G10159" s="42"/>
      <c r="H10159" s="42"/>
      <c r="AG10159" s="19"/>
    </row>
    <row r="10160" spans="1:33" ht="14.5" x14ac:dyDescent="0.35">
      <c r="A10160" s="34"/>
      <c r="B10160" s="35"/>
      <c r="C10160" s="36"/>
      <c r="D10160" s="37"/>
      <c r="E10160" s="36"/>
      <c r="F10160" s="42"/>
      <c r="G10160" s="42"/>
      <c r="H10160" s="42"/>
      <c r="AG10160" s="19"/>
    </row>
    <row r="10161" spans="1:33" ht="14.5" x14ac:dyDescent="0.35">
      <c r="A10161" s="34"/>
      <c r="B10161" s="35"/>
      <c r="C10161" s="36"/>
      <c r="D10161" s="37"/>
      <c r="E10161" s="36"/>
      <c r="F10161" s="42"/>
      <c r="G10161" s="42"/>
      <c r="H10161" s="42"/>
      <c r="AG10161" s="19"/>
    </row>
    <row r="10162" spans="1:33" ht="14.5" x14ac:dyDescent="0.35">
      <c r="A10162" s="34"/>
      <c r="B10162" s="35"/>
      <c r="C10162" s="36"/>
      <c r="D10162" s="37"/>
      <c r="E10162" s="36"/>
      <c r="F10162" s="42"/>
      <c r="G10162" s="42"/>
      <c r="H10162" s="42"/>
      <c r="AG10162" s="19"/>
    </row>
    <row r="10163" spans="1:33" ht="14.5" x14ac:dyDescent="0.35">
      <c r="A10163" s="34"/>
      <c r="B10163" s="35"/>
      <c r="C10163" s="36"/>
      <c r="D10163" s="37"/>
      <c r="E10163" s="36"/>
      <c r="F10163" s="42"/>
      <c r="G10163" s="42"/>
      <c r="H10163" s="42"/>
      <c r="AG10163" s="19"/>
    </row>
    <row r="10164" spans="1:33" ht="14.5" x14ac:dyDescent="0.35">
      <c r="A10164" s="34"/>
      <c r="B10164" s="35"/>
      <c r="C10164" s="36"/>
      <c r="D10164" s="37"/>
      <c r="E10164" s="36"/>
      <c r="F10164" s="42"/>
      <c r="G10164" s="42"/>
      <c r="H10164" s="42"/>
      <c r="AG10164" s="19"/>
    </row>
    <row r="10165" spans="1:33" ht="14.5" x14ac:dyDescent="0.35">
      <c r="A10165" s="34"/>
      <c r="B10165" s="35"/>
      <c r="C10165" s="36"/>
      <c r="D10165" s="37"/>
      <c r="E10165" s="36"/>
      <c r="F10165" s="42"/>
      <c r="G10165" s="42"/>
      <c r="H10165" s="42"/>
      <c r="AG10165" s="19"/>
    </row>
    <row r="10166" spans="1:33" ht="14.5" x14ac:dyDescent="0.35">
      <c r="A10166" s="34"/>
      <c r="B10166" s="35"/>
      <c r="C10166" s="36"/>
      <c r="D10166" s="37"/>
      <c r="E10166" s="36"/>
      <c r="F10166" s="42"/>
      <c r="G10166" s="42"/>
      <c r="H10166" s="42"/>
      <c r="AG10166" s="19"/>
    </row>
    <row r="10167" spans="1:33" ht="14.5" x14ac:dyDescent="0.35">
      <c r="A10167" s="34"/>
      <c r="B10167" s="35"/>
      <c r="C10167" s="36"/>
      <c r="D10167" s="37"/>
      <c r="E10167" s="36"/>
      <c r="F10167" s="42"/>
      <c r="G10167" s="42"/>
      <c r="H10167" s="42"/>
      <c r="AG10167" s="19"/>
    </row>
    <row r="10168" spans="1:33" ht="14.5" x14ac:dyDescent="0.35">
      <c r="A10168" s="34"/>
      <c r="B10168" s="35"/>
      <c r="C10168" s="36"/>
      <c r="D10168" s="37"/>
      <c r="E10168" s="36"/>
      <c r="F10168" s="42"/>
      <c r="G10168" s="42"/>
      <c r="H10168" s="42"/>
      <c r="AG10168" s="19"/>
    </row>
    <row r="10169" spans="1:33" ht="14.5" x14ac:dyDescent="0.35">
      <c r="A10169" s="34"/>
      <c r="B10169" s="35"/>
      <c r="C10169" s="36"/>
      <c r="D10169" s="37"/>
      <c r="E10169" s="36"/>
      <c r="F10169" s="42"/>
      <c r="G10169" s="42"/>
      <c r="H10169" s="42"/>
      <c r="AG10169" s="19"/>
    </row>
    <row r="10170" spans="1:33" ht="14.5" x14ac:dyDescent="0.35">
      <c r="A10170" s="34"/>
      <c r="B10170" s="35"/>
      <c r="C10170" s="36"/>
      <c r="D10170" s="37"/>
      <c r="E10170" s="36"/>
      <c r="F10170" s="42"/>
      <c r="G10170" s="42"/>
      <c r="H10170" s="42"/>
      <c r="AG10170" s="19"/>
    </row>
    <row r="10171" spans="1:33" ht="14.5" x14ac:dyDescent="0.35">
      <c r="A10171" s="34"/>
      <c r="B10171" s="35"/>
      <c r="C10171" s="36"/>
      <c r="D10171" s="37"/>
      <c r="E10171" s="36"/>
      <c r="F10171" s="42"/>
      <c r="G10171" s="42"/>
      <c r="H10171" s="42"/>
      <c r="AG10171" s="19"/>
    </row>
    <row r="10172" spans="1:33" ht="14.5" x14ac:dyDescent="0.35">
      <c r="A10172" s="34"/>
      <c r="B10172" s="35"/>
      <c r="C10172" s="36"/>
      <c r="D10172" s="37"/>
      <c r="E10172" s="36"/>
      <c r="F10172" s="42"/>
      <c r="G10172" s="42"/>
      <c r="H10172" s="42"/>
      <c r="AG10172" s="19"/>
    </row>
    <row r="10173" spans="1:33" ht="14.5" x14ac:dyDescent="0.35">
      <c r="A10173" s="34"/>
      <c r="B10173" s="35"/>
      <c r="C10173" s="36"/>
      <c r="D10173" s="37"/>
      <c r="E10173" s="36"/>
      <c r="F10173" s="42"/>
      <c r="G10173" s="42"/>
      <c r="H10173" s="42"/>
      <c r="AG10173" s="19"/>
    </row>
    <row r="10174" spans="1:33" ht="14.5" x14ac:dyDescent="0.35">
      <c r="A10174" s="34"/>
      <c r="B10174" s="35"/>
      <c r="C10174" s="36"/>
      <c r="D10174" s="37"/>
      <c r="E10174" s="36"/>
      <c r="F10174" s="42"/>
      <c r="G10174" s="42"/>
      <c r="H10174" s="42"/>
      <c r="AG10174" s="19"/>
    </row>
    <row r="10175" spans="1:33" ht="14.5" x14ac:dyDescent="0.35">
      <c r="A10175" s="34"/>
      <c r="B10175" s="35"/>
      <c r="C10175" s="36"/>
      <c r="D10175" s="37"/>
      <c r="E10175" s="36"/>
      <c r="F10175" s="42"/>
      <c r="G10175" s="42"/>
      <c r="H10175" s="42"/>
      <c r="AG10175" s="19"/>
    </row>
    <row r="10176" spans="1:33" ht="14.5" x14ac:dyDescent="0.35">
      <c r="A10176" s="34"/>
      <c r="B10176" s="35"/>
      <c r="C10176" s="36"/>
      <c r="D10176" s="37"/>
      <c r="E10176" s="36"/>
      <c r="F10176" s="42"/>
      <c r="G10176" s="42"/>
      <c r="H10176" s="42"/>
      <c r="AG10176" s="19"/>
    </row>
    <row r="10177" spans="1:33" ht="14.5" x14ac:dyDescent="0.35">
      <c r="A10177" s="34"/>
      <c r="B10177" s="35"/>
      <c r="C10177" s="36"/>
      <c r="D10177" s="37"/>
      <c r="E10177" s="36"/>
      <c r="F10177" s="42"/>
      <c r="G10177" s="42"/>
      <c r="H10177" s="42"/>
      <c r="AG10177" s="19"/>
    </row>
    <row r="10178" spans="1:33" ht="14.5" x14ac:dyDescent="0.35">
      <c r="A10178" s="34"/>
      <c r="B10178" s="35"/>
      <c r="C10178" s="36"/>
      <c r="D10178" s="37"/>
      <c r="E10178" s="36"/>
      <c r="F10178" s="42"/>
      <c r="G10178" s="42"/>
      <c r="H10178" s="42"/>
      <c r="AG10178" s="19"/>
    </row>
    <row r="10179" spans="1:33" ht="14.5" x14ac:dyDescent="0.35">
      <c r="A10179" s="34"/>
      <c r="B10179" s="35"/>
      <c r="C10179" s="36"/>
      <c r="D10179" s="37"/>
      <c r="E10179" s="36"/>
      <c r="F10179" s="42"/>
      <c r="G10179" s="42"/>
      <c r="H10179" s="42"/>
      <c r="AG10179" s="19"/>
    </row>
    <row r="10180" spans="1:33" ht="14.5" x14ac:dyDescent="0.35">
      <c r="A10180" s="34"/>
      <c r="B10180" s="35"/>
      <c r="C10180" s="36"/>
      <c r="D10180" s="37"/>
      <c r="E10180" s="36"/>
      <c r="F10180" s="42"/>
      <c r="G10180" s="42"/>
      <c r="H10180" s="42"/>
      <c r="AG10180" s="19"/>
    </row>
    <row r="10181" spans="1:33" ht="14.5" x14ac:dyDescent="0.35">
      <c r="A10181" s="34"/>
      <c r="B10181" s="35"/>
      <c r="C10181" s="36"/>
      <c r="D10181" s="37"/>
      <c r="E10181" s="36"/>
      <c r="F10181" s="42"/>
      <c r="G10181" s="42"/>
      <c r="H10181" s="42"/>
      <c r="AG10181" s="19"/>
    </row>
    <row r="10182" spans="1:33" ht="14.5" x14ac:dyDescent="0.35">
      <c r="A10182" s="34"/>
      <c r="B10182" s="35"/>
      <c r="C10182" s="36"/>
      <c r="D10182" s="37"/>
      <c r="E10182" s="36"/>
      <c r="F10182" s="42"/>
      <c r="G10182" s="42"/>
      <c r="H10182" s="42"/>
      <c r="AG10182" s="19"/>
    </row>
    <row r="10183" spans="1:33" ht="14.5" x14ac:dyDescent="0.35">
      <c r="A10183" s="34"/>
      <c r="B10183" s="35"/>
      <c r="C10183" s="36"/>
      <c r="D10183" s="37"/>
      <c r="E10183" s="36"/>
      <c r="F10183" s="42"/>
      <c r="G10183" s="42"/>
      <c r="H10183" s="42"/>
      <c r="AG10183" s="19"/>
    </row>
    <row r="10184" spans="1:33" ht="14.5" x14ac:dyDescent="0.35">
      <c r="A10184" s="34"/>
      <c r="B10184" s="35"/>
      <c r="C10184" s="36"/>
      <c r="D10184" s="37"/>
      <c r="E10184" s="36"/>
      <c r="F10184" s="42"/>
      <c r="G10184" s="42"/>
      <c r="H10184" s="42"/>
      <c r="AG10184" s="19"/>
    </row>
    <row r="10185" spans="1:33" ht="14.5" x14ac:dyDescent="0.35">
      <c r="A10185" s="34"/>
      <c r="B10185" s="35"/>
      <c r="C10185" s="36"/>
      <c r="D10185" s="37"/>
      <c r="E10185" s="36"/>
      <c r="F10185" s="42"/>
      <c r="G10185" s="42"/>
      <c r="H10185" s="42"/>
      <c r="AG10185" s="19"/>
    </row>
    <row r="10186" spans="1:33" ht="14.5" x14ac:dyDescent="0.35">
      <c r="A10186" s="34"/>
      <c r="B10186" s="35"/>
      <c r="C10186" s="36"/>
      <c r="D10186" s="37"/>
      <c r="E10186" s="36"/>
      <c r="F10186" s="42"/>
      <c r="G10186" s="42"/>
      <c r="H10186" s="42"/>
      <c r="AG10186" s="19"/>
    </row>
    <row r="10187" spans="1:33" ht="14.5" x14ac:dyDescent="0.35">
      <c r="A10187" s="34"/>
      <c r="B10187" s="35"/>
      <c r="C10187" s="36"/>
      <c r="D10187" s="37"/>
      <c r="E10187" s="36"/>
      <c r="F10187" s="42"/>
      <c r="G10187" s="42"/>
      <c r="H10187" s="42"/>
      <c r="AG10187" s="19"/>
    </row>
    <row r="10188" spans="1:33" ht="14.5" x14ac:dyDescent="0.35">
      <c r="A10188" s="34"/>
      <c r="B10188" s="35"/>
      <c r="C10188" s="36"/>
      <c r="D10188" s="37"/>
      <c r="E10188" s="36"/>
      <c r="F10188" s="42"/>
      <c r="G10188" s="42"/>
      <c r="H10188" s="42"/>
      <c r="AG10188" s="19"/>
    </row>
    <row r="10189" spans="1:33" ht="14.5" x14ac:dyDescent="0.35">
      <c r="A10189" s="34"/>
      <c r="B10189" s="35"/>
      <c r="C10189" s="36"/>
      <c r="D10189" s="37"/>
      <c r="E10189" s="36"/>
      <c r="F10189" s="42"/>
      <c r="G10189" s="42"/>
      <c r="H10189" s="42"/>
      <c r="AG10189" s="19"/>
    </row>
    <row r="10190" spans="1:33" ht="14.5" x14ac:dyDescent="0.35">
      <c r="A10190" s="34"/>
      <c r="B10190" s="35"/>
      <c r="C10190" s="36"/>
      <c r="D10190" s="37"/>
      <c r="E10190" s="36"/>
      <c r="F10190" s="42"/>
      <c r="G10190" s="42"/>
      <c r="H10190" s="42"/>
      <c r="AG10190" s="19"/>
    </row>
    <row r="10191" spans="1:33" ht="14.5" x14ac:dyDescent="0.35">
      <c r="A10191" s="34"/>
      <c r="B10191" s="35"/>
      <c r="C10191" s="36"/>
      <c r="D10191" s="37"/>
      <c r="E10191" s="36"/>
      <c r="F10191" s="42"/>
      <c r="G10191" s="42"/>
      <c r="H10191" s="42"/>
      <c r="AG10191" s="19"/>
    </row>
    <row r="10192" spans="1:33" ht="14.5" x14ac:dyDescent="0.35">
      <c r="A10192" s="34"/>
      <c r="B10192" s="35"/>
      <c r="C10192" s="36"/>
      <c r="D10192" s="37"/>
      <c r="E10192" s="36"/>
      <c r="F10192" s="42"/>
      <c r="G10192" s="42"/>
      <c r="H10192" s="42"/>
      <c r="AG10192" s="19"/>
    </row>
    <row r="10193" spans="1:33" ht="14.5" x14ac:dyDescent="0.35">
      <c r="A10193" s="34"/>
      <c r="B10193" s="35"/>
      <c r="C10193" s="36"/>
      <c r="D10193" s="37"/>
      <c r="E10193" s="36"/>
      <c r="F10193" s="42"/>
      <c r="G10193" s="42"/>
      <c r="H10193" s="42"/>
      <c r="AG10193" s="19"/>
    </row>
    <row r="10194" spans="1:33" ht="14.5" x14ac:dyDescent="0.35">
      <c r="A10194" s="34"/>
      <c r="B10194" s="35"/>
      <c r="C10194" s="36"/>
      <c r="D10194" s="37"/>
      <c r="E10194" s="36"/>
      <c r="F10194" s="42"/>
      <c r="G10194" s="42"/>
      <c r="H10194" s="42"/>
      <c r="AG10194" s="19"/>
    </row>
    <row r="10195" spans="1:33" ht="14.5" x14ac:dyDescent="0.35">
      <c r="A10195" s="34"/>
      <c r="B10195" s="35"/>
      <c r="C10195" s="36"/>
      <c r="D10195" s="37"/>
      <c r="E10195" s="36"/>
      <c r="F10195" s="42"/>
      <c r="G10195" s="42"/>
      <c r="H10195" s="42"/>
      <c r="AG10195" s="19"/>
    </row>
    <row r="10196" spans="1:33" ht="14.5" x14ac:dyDescent="0.35">
      <c r="A10196" s="34"/>
      <c r="B10196" s="35"/>
      <c r="C10196" s="36"/>
      <c r="D10196" s="37"/>
      <c r="E10196" s="36"/>
      <c r="F10196" s="42"/>
      <c r="G10196" s="42"/>
      <c r="H10196" s="42"/>
      <c r="AG10196" s="19"/>
    </row>
    <row r="10197" spans="1:33" ht="14.5" x14ac:dyDescent="0.35">
      <c r="A10197" s="34"/>
      <c r="B10197" s="35"/>
      <c r="C10197" s="36"/>
      <c r="D10197" s="37"/>
      <c r="E10197" s="36"/>
      <c r="F10197" s="42"/>
      <c r="G10197" s="42"/>
      <c r="H10197" s="42"/>
      <c r="AG10197" s="19"/>
    </row>
    <row r="10198" spans="1:33" ht="14.5" x14ac:dyDescent="0.35">
      <c r="A10198" s="34"/>
      <c r="B10198" s="35"/>
      <c r="C10198" s="36"/>
      <c r="D10198" s="37"/>
      <c r="E10198" s="36"/>
      <c r="F10198" s="42"/>
      <c r="G10198" s="42"/>
      <c r="H10198" s="42"/>
      <c r="AG10198" s="19"/>
    </row>
    <row r="10199" spans="1:33" ht="14.5" x14ac:dyDescent="0.35">
      <c r="A10199" s="34"/>
      <c r="B10199" s="35"/>
      <c r="C10199" s="36"/>
      <c r="D10199" s="37"/>
      <c r="E10199" s="36"/>
      <c r="F10199" s="42"/>
      <c r="G10199" s="42"/>
      <c r="H10199" s="42"/>
      <c r="AG10199" s="19"/>
    </row>
    <row r="10200" spans="1:33" ht="14.5" x14ac:dyDescent="0.35">
      <c r="A10200" s="34"/>
      <c r="B10200" s="35"/>
      <c r="C10200" s="36"/>
      <c r="D10200" s="37"/>
      <c r="E10200" s="36"/>
      <c r="F10200" s="42"/>
      <c r="G10200" s="42"/>
      <c r="H10200" s="42"/>
      <c r="AG10200" s="19"/>
    </row>
    <row r="10201" spans="1:33" ht="14.5" x14ac:dyDescent="0.35">
      <c r="A10201" s="34"/>
      <c r="B10201" s="35"/>
      <c r="C10201" s="36"/>
      <c r="D10201" s="37"/>
      <c r="E10201" s="36"/>
      <c r="F10201" s="42"/>
      <c r="G10201" s="42"/>
      <c r="H10201" s="42"/>
      <c r="AG10201" s="19"/>
    </row>
    <row r="10202" spans="1:33" ht="14.5" x14ac:dyDescent="0.35">
      <c r="A10202" s="34"/>
      <c r="B10202" s="35"/>
      <c r="C10202" s="36"/>
      <c r="D10202" s="37"/>
      <c r="E10202" s="36"/>
      <c r="F10202" s="42"/>
      <c r="G10202" s="42"/>
      <c r="H10202" s="42"/>
      <c r="AG10202" s="19"/>
    </row>
    <row r="10203" spans="1:33" ht="14.5" x14ac:dyDescent="0.35">
      <c r="A10203" s="34"/>
      <c r="B10203" s="35"/>
      <c r="C10203" s="36"/>
      <c r="D10203" s="37"/>
      <c r="E10203" s="36"/>
      <c r="F10203" s="42"/>
      <c r="G10203" s="42"/>
      <c r="H10203" s="42"/>
      <c r="AG10203" s="19"/>
    </row>
    <row r="10204" spans="1:33" ht="14.5" x14ac:dyDescent="0.35">
      <c r="A10204" s="34"/>
      <c r="B10204" s="35"/>
      <c r="C10204" s="36"/>
      <c r="D10204" s="37"/>
      <c r="E10204" s="36"/>
      <c r="F10204" s="42"/>
      <c r="G10204" s="42"/>
      <c r="H10204" s="42"/>
      <c r="AG10204" s="19"/>
    </row>
    <row r="10205" spans="1:33" ht="14.5" x14ac:dyDescent="0.35">
      <c r="A10205" s="34"/>
      <c r="B10205" s="35"/>
      <c r="C10205" s="36"/>
      <c r="D10205" s="37"/>
      <c r="E10205" s="36"/>
      <c r="F10205" s="42"/>
      <c r="G10205" s="42"/>
      <c r="H10205" s="42"/>
      <c r="AG10205" s="19"/>
    </row>
    <row r="10206" spans="1:33" ht="14.5" x14ac:dyDescent="0.35">
      <c r="A10206" s="34"/>
      <c r="B10206" s="35"/>
      <c r="C10206" s="36"/>
      <c r="D10206" s="37"/>
      <c r="E10206" s="36"/>
      <c r="F10206" s="42"/>
      <c r="G10206" s="42"/>
      <c r="H10206" s="42"/>
      <c r="AG10206" s="19"/>
    </row>
    <row r="10207" spans="1:33" ht="14.5" x14ac:dyDescent="0.35">
      <c r="A10207" s="34"/>
      <c r="B10207" s="35"/>
      <c r="C10207" s="36"/>
      <c r="D10207" s="37"/>
      <c r="E10207" s="36"/>
      <c r="F10207" s="42"/>
      <c r="G10207" s="42"/>
      <c r="H10207" s="42"/>
      <c r="AG10207" s="19"/>
    </row>
    <row r="10208" spans="1:33" ht="14.5" x14ac:dyDescent="0.35">
      <c r="A10208" s="34"/>
      <c r="B10208" s="35"/>
      <c r="C10208" s="36"/>
      <c r="D10208" s="37"/>
      <c r="E10208" s="36"/>
      <c r="F10208" s="42"/>
      <c r="G10208" s="42"/>
      <c r="H10208" s="42"/>
      <c r="AG10208" s="19"/>
    </row>
    <row r="10209" spans="1:33" ht="14.5" x14ac:dyDescent="0.35">
      <c r="A10209" s="34"/>
      <c r="B10209" s="35"/>
      <c r="C10209" s="36"/>
      <c r="D10209" s="37"/>
      <c r="E10209" s="36"/>
      <c r="F10209" s="42"/>
      <c r="G10209" s="42"/>
      <c r="H10209" s="42"/>
      <c r="AG10209" s="19"/>
    </row>
    <row r="10210" spans="1:33" ht="14.5" x14ac:dyDescent="0.35">
      <c r="A10210" s="34"/>
      <c r="B10210" s="35"/>
      <c r="C10210" s="36"/>
      <c r="D10210" s="37"/>
      <c r="E10210" s="36"/>
      <c r="F10210" s="42"/>
      <c r="G10210" s="42"/>
      <c r="H10210" s="42"/>
      <c r="AG10210" s="19"/>
    </row>
    <row r="10211" spans="1:33" ht="14.5" x14ac:dyDescent="0.35">
      <c r="A10211" s="34"/>
      <c r="B10211" s="35"/>
      <c r="C10211" s="36"/>
      <c r="D10211" s="37"/>
      <c r="E10211" s="36"/>
      <c r="F10211" s="42"/>
      <c r="G10211" s="42"/>
      <c r="H10211" s="42"/>
      <c r="AG10211" s="19"/>
    </row>
    <row r="10212" spans="1:33" ht="14.5" x14ac:dyDescent="0.35">
      <c r="A10212" s="34"/>
      <c r="B10212" s="35"/>
      <c r="C10212" s="36"/>
      <c r="D10212" s="37"/>
      <c r="E10212" s="36"/>
      <c r="F10212" s="42"/>
      <c r="G10212" s="42"/>
      <c r="H10212" s="42"/>
      <c r="AG10212" s="19"/>
    </row>
    <row r="10213" spans="1:33" ht="14.5" x14ac:dyDescent="0.35">
      <c r="A10213" s="34"/>
      <c r="B10213" s="35"/>
      <c r="C10213" s="36"/>
      <c r="D10213" s="37"/>
      <c r="E10213" s="36"/>
      <c r="F10213" s="42"/>
      <c r="G10213" s="42"/>
      <c r="H10213" s="42"/>
      <c r="AG10213" s="19"/>
    </row>
    <row r="10214" spans="1:33" ht="14.5" x14ac:dyDescent="0.35">
      <c r="A10214" s="34"/>
      <c r="B10214" s="35"/>
      <c r="C10214" s="36"/>
      <c r="D10214" s="37"/>
      <c r="E10214" s="36"/>
      <c r="F10214" s="42"/>
      <c r="G10214" s="42"/>
      <c r="H10214" s="42"/>
      <c r="AG10214" s="19"/>
    </row>
    <row r="10215" spans="1:33" ht="14.5" x14ac:dyDescent="0.35">
      <c r="A10215" s="34"/>
      <c r="B10215" s="35"/>
      <c r="C10215" s="36"/>
      <c r="D10215" s="37"/>
      <c r="E10215" s="36"/>
      <c r="F10215" s="42"/>
      <c r="G10215" s="42"/>
      <c r="H10215" s="42"/>
      <c r="AG10215" s="19"/>
    </row>
    <row r="10216" spans="1:33" ht="14.5" x14ac:dyDescent="0.35">
      <c r="A10216" s="34"/>
      <c r="B10216" s="35"/>
      <c r="C10216" s="36"/>
      <c r="D10216" s="37"/>
      <c r="E10216" s="36"/>
      <c r="F10216" s="42"/>
      <c r="G10216" s="42"/>
      <c r="H10216" s="42"/>
      <c r="AG10216" s="19"/>
    </row>
    <row r="10217" spans="1:33" ht="14.5" x14ac:dyDescent="0.35">
      <c r="A10217" s="34"/>
      <c r="B10217" s="35"/>
      <c r="C10217" s="36"/>
      <c r="D10217" s="37"/>
      <c r="E10217" s="36"/>
      <c r="F10217" s="42"/>
      <c r="G10217" s="42"/>
      <c r="H10217" s="42"/>
      <c r="AG10217" s="19"/>
    </row>
    <row r="10218" spans="1:33" ht="14.5" x14ac:dyDescent="0.35">
      <c r="A10218" s="34"/>
      <c r="B10218" s="35"/>
      <c r="C10218" s="36"/>
      <c r="D10218" s="37"/>
      <c r="E10218" s="36"/>
      <c r="F10218" s="42"/>
      <c r="G10218" s="42"/>
      <c r="H10218" s="42"/>
      <c r="AG10218" s="19"/>
    </row>
    <row r="10219" spans="1:33" ht="14.5" x14ac:dyDescent="0.35">
      <c r="A10219" s="34"/>
      <c r="B10219" s="35"/>
      <c r="C10219" s="36"/>
      <c r="D10219" s="37"/>
      <c r="E10219" s="36"/>
      <c r="F10219" s="42"/>
      <c r="G10219" s="42"/>
      <c r="H10219" s="42"/>
      <c r="AG10219" s="19"/>
    </row>
    <row r="10220" spans="1:33" ht="14.5" x14ac:dyDescent="0.35">
      <c r="A10220" s="34"/>
      <c r="B10220" s="35"/>
      <c r="C10220" s="36"/>
      <c r="D10220" s="37"/>
      <c r="E10220" s="36"/>
      <c r="F10220" s="42"/>
      <c r="G10220" s="42"/>
      <c r="H10220" s="42"/>
      <c r="AG10220" s="19"/>
    </row>
    <row r="10221" spans="1:33" ht="14.5" x14ac:dyDescent="0.35">
      <c r="A10221" s="34"/>
      <c r="B10221" s="35"/>
      <c r="C10221" s="36"/>
      <c r="D10221" s="37"/>
      <c r="E10221" s="36"/>
      <c r="F10221" s="42"/>
      <c r="G10221" s="42"/>
      <c r="H10221" s="42"/>
      <c r="AG10221" s="19"/>
    </row>
    <row r="10222" spans="1:33" ht="14.5" x14ac:dyDescent="0.35">
      <c r="A10222" s="34"/>
      <c r="B10222" s="35"/>
      <c r="C10222" s="36"/>
      <c r="D10222" s="37"/>
      <c r="E10222" s="36"/>
      <c r="F10222" s="42"/>
      <c r="G10222" s="42"/>
      <c r="H10222" s="42"/>
      <c r="AG10222" s="19"/>
    </row>
    <row r="10223" spans="1:33" ht="14.5" x14ac:dyDescent="0.35">
      <c r="A10223" s="34"/>
      <c r="B10223" s="35"/>
      <c r="C10223" s="36"/>
      <c r="D10223" s="37"/>
      <c r="E10223" s="36"/>
      <c r="F10223" s="42"/>
      <c r="G10223" s="42"/>
      <c r="H10223" s="42"/>
      <c r="AG10223" s="19"/>
    </row>
    <row r="10224" spans="1:33" ht="14.5" x14ac:dyDescent="0.35">
      <c r="A10224" s="34"/>
      <c r="B10224" s="35"/>
      <c r="C10224" s="36"/>
      <c r="D10224" s="37"/>
      <c r="E10224" s="36"/>
      <c r="F10224" s="42"/>
      <c r="G10224" s="42"/>
      <c r="H10224" s="42"/>
      <c r="AG10224" s="19"/>
    </row>
    <row r="10225" spans="1:33" ht="14.5" x14ac:dyDescent="0.35">
      <c r="A10225" s="34"/>
      <c r="B10225" s="35"/>
      <c r="C10225" s="36"/>
      <c r="D10225" s="37"/>
      <c r="E10225" s="36"/>
      <c r="F10225" s="42"/>
      <c r="G10225" s="42"/>
      <c r="H10225" s="42"/>
      <c r="AG10225" s="19"/>
    </row>
    <row r="10226" spans="1:33" ht="14.5" x14ac:dyDescent="0.35">
      <c r="A10226" s="34"/>
      <c r="B10226" s="35"/>
      <c r="C10226" s="36"/>
      <c r="D10226" s="37"/>
      <c r="E10226" s="36"/>
      <c r="F10226" s="42"/>
      <c r="G10226" s="42"/>
      <c r="H10226" s="42"/>
      <c r="AG10226" s="19"/>
    </row>
    <row r="10227" spans="1:33" ht="14.5" x14ac:dyDescent="0.35">
      <c r="A10227" s="34"/>
      <c r="B10227" s="35"/>
      <c r="C10227" s="36"/>
      <c r="D10227" s="37"/>
      <c r="E10227" s="36"/>
      <c r="F10227" s="42"/>
      <c r="G10227" s="42"/>
      <c r="H10227" s="42"/>
      <c r="AG10227" s="19"/>
    </row>
    <row r="10228" spans="1:33" ht="14.5" x14ac:dyDescent="0.35">
      <c r="A10228" s="34"/>
      <c r="B10228" s="35"/>
      <c r="C10228" s="36"/>
      <c r="D10228" s="37"/>
      <c r="E10228" s="36"/>
      <c r="F10228" s="42"/>
      <c r="G10228" s="42"/>
      <c r="H10228" s="42"/>
      <c r="AG10228" s="19"/>
    </row>
    <row r="10229" spans="1:33" ht="14.5" x14ac:dyDescent="0.35">
      <c r="A10229" s="34"/>
      <c r="B10229" s="35"/>
      <c r="C10229" s="36"/>
      <c r="D10229" s="37"/>
      <c r="E10229" s="36"/>
      <c r="F10229" s="42"/>
      <c r="G10229" s="42"/>
      <c r="H10229" s="42"/>
      <c r="AG10229" s="19"/>
    </row>
    <row r="10230" spans="1:33" ht="14.5" x14ac:dyDescent="0.35">
      <c r="A10230" s="34"/>
      <c r="B10230" s="35"/>
      <c r="C10230" s="36"/>
      <c r="D10230" s="37"/>
      <c r="E10230" s="36"/>
      <c r="F10230" s="42"/>
      <c r="G10230" s="42"/>
      <c r="H10230" s="42"/>
      <c r="AG10230" s="19"/>
    </row>
    <row r="10231" spans="1:33" ht="14.5" x14ac:dyDescent="0.35">
      <c r="A10231" s="34"/>
      <c r="B10231" s="35"/>
      <c r="C10231" s="36"/>
      <c r="D10231" s="37"/>
      <c r="E10231" s="36"/>
      <c r="F10231" s="42"/>
      <c r="G10231" s="42"/>
      <c r="H10231" s="42"/>
      <c r="AG10231" s="19"/>
    </row>
    <row r="10232" spans="1:33" ht="14.5" x14ac:dyDescent="0.35">
      <c r="A10232" s="34"/>
      <c r="B10232" s="35"/>
      <c r="C10232" s="36"/>
      <c r="D10232" s="37"/>
      <c r="E10232" s="36"/>
      <c r="F10232" s="42"/>
      <c r="G10232" s="42"/>
      <c r="H10232" s="42"/>
      <c r="AG10232" s="19"/>
    </row>
    <row r="10233" spans="1:33" ht="14.5" x14ac:dyDescent="0.35">
      <c r="A10233" s="34"/>
      <c r="B10233" s="35"/>
      <c r="C10233" s="36"/>
      <c r="D10233" s="37"/>
      <c r="E10233" s="36"/>
      <c r="F10233" s="42"/>
      <c r="G10233" s="42"/>
      <c r="H10233" s="42"/>
      <c r="AG10233" s="19"/>
    </row>
    <row r="10234" spans="1:33" ht="14.5" x14ac:dyDescent="0.35">
      <c r="A10234" s="34"/>
      <c r="B10234" s="35"/>
      <c r="C10234" s="36"/>
      <c r="D10234" s="37"/>
      <c r="E10234" s="36"/>
      <c r="F10234" s="42"/>
      <c r="G10234" s="42"/>
      <c r="H10234" s="42"/>
      <c r="AG10234" s="19"/>
    </row>
    <row r="10235" spans="1:33" ht="14.5" x14ac:dyDescent="0.35">
      <c r="A10235" s="34"/>
      <c r="B10235" s="35"/>
      <c r="C10235" s="36"/>
      <c r="D10235" s="37"/>
      <c r="E10235" s="36"/>
      <c r="F10235" s="42"/>
      <c r="G10235" s="42"/>
      <c r="H10235" s="42"/>
      <c r="AG10235" s="19"/>
    </row>
    <row r="10236" spans="1:33" ht="14.5" x14ac:dyDescent="0.35">
      <c r="A10236" s="34"/>
      <c r="B10236" s="35"/>
      <c r="C10236" s="36"/>
      <c r="D10236" s="37"/>
      <c r="E10236" s="36"/>
      <c r="F10236" s="42"/>
      <c r="G10236" s="42"/>
      <c r="H10236" s="42"/>
      <c r="AG10236" s="19"/>
    </row>
    <row r="10237" spans="1:33" ht="14.5" x14ac:dyDescent="0.35">
      <c r="A10237" s="34"/>
      <c r="B10237" s="35"/>
      <c r="C10237" s="36"/>
      <c r="D10237" s="37"/>
      <c r="E10237" s="36"/>
      <c r="F10237" s="42"/>
      <c r="G10237" s="42"/>
      <c r="H10237" s="42"/>
      <c r="AG10237" s="19"/>
    </row>
    <row r="10238" spans="1:33" ht="14.5" x14ac:dyDescent="0.35">
      <c r="A10238" s="34"/>
      <c r="B10238" s="35"/>
      <c r="C10238" s="36"/>
      <c r="D10238" s="37"/>
      <c r="E10238" s="36"/>
      <c r="F10238" s="42"/>
      <c r="G10238" s="42"/>
      <c r="H10238" s="42"/>
      <c r="AG10238" s="19"/>
    </row>
    <row r="10239" spans="1:33" ht="14.5" x14ac:dyDescent="0.35">
      <c r="A10239" s="34"/>
      <c r="B10239" s="35"/>
      <c r="C10239" s="36"/>
      <c r="D10239" s="37"/>
      <c r="E10239" s="36"/>
      <c r="F10239" s="42"/>
      <c r="G10239" s="42"/>
      <c r="H10239" s="42"/>
      <c r="AG10239" s="19"/>
    </row>
    <row r="10240" spans="1:33" ht="14.5" x14ac:dyDescent="0.35">
      <c r="A10240" s="34"/>
      <c r="B10240" s="35"/>
      <c r="C10240" s="36"/>
      <c r="D10240" s="37"/>
      <c r="E10240" s="36"/>
      <c r="F10240" s="42"/>
      <c r="G10240" s="42"/>
      <c r="H10240" s="42"/>
      <c r="AG10240" s="19"/>
    </row>
    <row r="10241" spans="1:33" ht="14.5" x14ac:dyDescent="0.35">
      <c r="A10241" s="34"/>
      <c r="B10241" s="35"/>
      <c r="C10241" s="36"/>
      <c r="D10241" s="37"/>
      <c r="E10241" s="36"/>
      <c r="F10241" s="42"/>
      <c r="G10241" s="42"/>
      <c r="H10241" s="42"/>
      <c r="AG10241" s="19"/>
    </row>
    <row r="10242" spans="1:33" ht="14.5" x14ac:dyDescent="0.35">
      <c r="A10242" s="34"/>
      <c r="B10242" s="35"/>
      <c r="C10242" s="36"/>
      <c r="D10242" s="37"/>
      <c r="E10242" s="36"/>
      <c r="F10242" s="42"/>
      <c r="G10242" s="42"/>
      <c r="H10242" s="42"/>
      <c r="AG10242" s="19"/>
    </row>
    <row r="10243" spans="1:33" ht="14.5" x14ac:dyDescent="0.35">
      <c r="A10243" s="34"/>
      <c r="B10243" s="35"/>
      <c r="C10243" s="36"/>
      <c r="D10243" s="37"/>
      <c r="E10243" s="36"/>
      <c r="F10243" s="42"/>
      <c r="G10243" s="42"/>
      <c r="H10243" s="42"/>
      <c r="AG10243" s="19"/>
    </row>
    <row r="10244" spans="1:33" ht="14.5" x14ac:dyDescent="0.35">
      <c r="A10244" s="34"/>
      <c r="B10244" s="35"/>
      <c r="C10244" s="36"/>
      <c r="D10244" s="37"/>
      <c r="E10244" s="36"/>
      <c r="F10244" s="42"/>
      <c r="G10244" s="42"/>
      <c r="H10244" s="42"/>
      <c r="AG10244" s="19"/>
    </row>
    <row r="10245" spans="1:33" ht="14.5" x14ac:dyDescent="0.35">
      <c r="A10245" s="34"/>
      <c r="B10245" s="35"/>
      <c r="C10245" s="36"/>
      <c r="D10245" s="37"/>
      <c r="E10245" s="36"/>
      <c r="F10245" s="42"/>
      <c r="G10245" s="42"/>
      <c r="H10245" s="42"/>
      <c r="AG10245" s="19"/>
    </row>
    <row r="10246" spans="1:33" ht="14.5" x14ac:dyDescent="0.35">
      <c r="A10246" s="34"/>
      <c r="B10246" s="35"/>
      <c r="C10246" s="36"/>
      <c r="D10246" s="37"/>
      <c r="E10246" s="36"/>
      <c r="F10246" s="42"/>
      <c r="G10246" s="42"/>
      <c r="H10246" s="42"/>
      <c r="AG10246" s="19"/>
    </row>
    <row r="10247" spans="1:33" ht="14.5" x14ac:dyDescent="0.35">
      <c r="A10247" s="34"/>
      <c r="B10247" s="35"/>
      <c r="C10247" s="36"/>
      <c r="D10247" s="37"/>
      <c r="E10247" s="36"/>
      <c r="F10247" s="42"/>
      <c r="G10247" s="42"/>
      <c r="H10247" s="42"/>
      <c r="AG10247" s="19"/>
    </row>
    <row r="10248" spans="1:33" ht="14.5" x14ac:dyDescent="0.35">
      <c r="A10248" s="34"/>
      <c r="B10248" s="35"/>
      <c r="C10248" s="36"/>
      <c r="D10248" s="37"/>
      <c r="E10248" s="36"/>
      <c r="F10248" s="42"/>
      <c r="G10248" s="42"/>
      <c r="H10248" s="42"/>
      <c r="AG10248" s="19"/>
    </row>
    <row r="10249" spans="1:33" ht="14.5" x14ac:dyDescent="0.35">
      <c r="A10249" s="34"/>
      <c r="B10249" s="35"/>
      <c r="C10249" s="36"/>
      <c r="D10249" s="37"/>
      <c r="E10249" s="36"/>
      <c r="F10249" s="42"/>
      <c r="G10249" s="42"/>
      <c r="H10249" s="42"/>
      <c r="AG10249" s="19"/>
    </row>
    <row r="10250" spans="1:33" ht="14.5" x14ac:dyDescent="0.35">
      <c r="A10250" s="34"/>
      <c r="B10250" s="35"/>
      <c r="C10250" s="36"/>
      <c r="D10250" s="37"/>
      <c r="E10250" s="36"/>
      <c r="F10250" s="42"/>
      <c r="G10250" s="42"/>
      <c r="H10250" s="42"/>
      <c r="AG10250" s="19"/>
    </row>
    <row r="10251" spans="1:33" ht="14.5" x14ac:dyDescent="0.35">
      <c r="A10251" s="34"/>
      <c r="B10251" s="35"/>
      <c r="C10251" s="36"/>
      <c r="D10251" s="37"/>
      <c r="E10251" s="36"/>
      <c r="F10251" s="42"/>
      <c r="G10251" s="42"/>
      <c r="H10251" s="42"/>
      <c r="AG10251" s="19"/>
    </row>
    <row r="10252" spans="1:33" ht="14.5" x14ac:dyDescent="0.35">
      <c r="A10252" s="34"/>
      <c r="B10252" s="35"/>
      <c r="C10252" s="36"/>
      <c r="D10252" s="37"/>
      <c r="E10252" s="36"/>
      <c r="F10252" s="42"/>
      <c r="G10252" s="42"/>
      <c r="H10252" s="42"/>
      <c r="AG10252" s="19"/>
    </row>
    <row r="10253" spans="1:33" ht="14.5" x14ac:dyDescent="0.35">
      <c r="A10253" s="34"/>
      <c r="B10253" s="35"/>
      <c r="C10253" s="36"/>
      <c r="D10253" s="37"/>
      <c r="E10253" s="36"/>
      <c r="F10253" s="42"/>
      <c r="G10253" s="42"/>
      <c r="H10253" s="42"/>
      <c r="AG10253" s="19"/>
    </row>
    <row r="10254" spans="1:33" ht="14.5" x14ac:dyDescent="0.35">
      <c r="A10254" s="34"/>
      <c r="B10254" s="35"/>
      <c r="C10254" s="36"/>
      <c r="D10254" s="37"/>
      <c r="E10254" s="36"/>
      <c r="F10254" s="42"/>
      <c r="G10254" s="42"/>
      <c r="H10254" s="42"/>
      <c r="AG10254" s="19"/>
    </row>
    <row r="10255" spans="1:33" ht="14.5" x14ac:dyDescent="0.35">
      <c r="A10255" s="34"/>
      <c r="B10255" s="35"/>
      <c r="C10255" s="36"/>
      <c r="D10255" s="37"/>
      <c r="E10255" s="36"/>
      <c r="F10255" s="42"/>
      <c r="G10255" s="42"/>
      <c r="H10255" s="42"/>
      <c r="AG10255" s="19"/>
    </row>
    <row r="10256" spans="1:33" ht="14.5" x14ac:dyDescent="0.35">
      <c r="A10256" s="34"/>
      <c r="B10256" s="35"/>
      <c r="C10256" s="36"/>
      <c r="D10256" s="37"/>
      <c r="E10256" s="36"/>
      <c r="F10256" s="42"/>
      <c r="G10256" s="42"/>
      <c r="H10256" s="42"/>
      <c r="AG10256" s="19"/>
    </row>
    <row r="10257" spans="1:33" ht="14.5" x14ac:dyDescent="0.35">
      <c r="A10257" s="34"/>
      <c r="B10257" s="35"/>
      <c r="C10257" s="36"/>
      <c r="D10257" s="37"/>
      <c r="E10257" s="36"/>
      <c r="F10257" s="42"/>
      <c r="G10257" s="42"/>
      <c r="H10257" s="42"/>
      <c r="AG10257" s="19"/>
    </row>
    <row r="10258" spans="1:33" ht="14.5" x14ac:dyDescent="0.35">
      <c r="A10258" s="34"/>
      <c r="B10258" s="35"/>
      <c r="C10258" s="36"/>
      <c r="D10258" s="37"/>
      <c r="E10258" s="36"/>
      <c r="F10258" s="42"/>
      <c r="G10258" s="42"/>
      <c r="H10258" s="42"/>
      <c r="AG10258" s="19"/>
    </row>
    <row r="10259" spans="1:33" ht="14.5" x14ac:dyDescent="0.35">
      <c r="A10259" s="34"/>
      <c r="B10259" s="35"/>
      <c r="C10259" s="36"/>
      <c r="D10259" s="37"/>
      <c r="E10259" s="36"/>
      <c r="F10259" s="42"/>
      <c r="G10259" s="42"/>
      <c r="H10259" s="42"/>
      <c r="AG10259" s="19"/>
    </row>
    <row r="10260" spans="1:33" ht="14.5" x14ac:dyDescent="0.35">
      <c r="A10260" s="34"/>
      <c r="B10260" s="35"/>
      <c r="C10260" s="36"/>
      <c r="D10260" s="37"/>
      <c r="E10260" s="36"/>
      <c r="F10260" s="42"/>
      <c r="G10260" s="42"/>
      <c r="H10260" s="42"/>
      <c r="AG10260" s="19"/>
    </row>
    <row r="10261" spans="1:33" ht="14.5" x14ac:dyDescent="0.35">
      <c r="A10261" s="34"/>
      <c r="B10261" s="35"/>
      <c r="C10261" s="36"/>
      <c r="D10261" s="37"/>
      <c r="E10261" s="36"/>
      <c r="F10261" s="42"/>
      <c r="G10261" s="42"/>
      <c r="H10261" s="42"/>
      <c r="AG10261" s="19"/>
    </row>
    <row r="10262" spans="1:33" ht="14.5" x14ac:dyDescent="0.35">
      <c r="A10262" s="34"/>
      <c r="B10262" s="35"/>
      <c r="C10262" s="36"/>
      <c r="D10262" s="37"/>
      <c r="E10262" s="36"/>
      <c r="F10262" s="42"/>
      <c r="G10262" s="42"/>
      <c r="H10262" s="42"/>
      <c r="AG10262" s="19"/>
    </row>
    <row r="10263" spans="1:33" ht="14.5" x14ac:dyDescent="0.35">
      <c r="A10263" s="34"/>
      <c r="B10263" s="35"/>
      <c r="C10263" s="36"/>
      <c r="D10263" s="37"/>
      <c r="E10263" s="36"/>
      <c r="F10263" s="42"/>
      <c r="G10263" s="42"/>
      <c r="H10263" s="42"/>
      <c r="AG10263" s="19"/>
    </row>
    <row r="10264" spans="1:33" ht="14.5" x14ac:dyDescent="0.35">
      <c r="A10264" s="34"/>
      <c r="B10264" s="35"/>
      <c r="C10264" s="36"/>
      <c r="D10264" s="37"/>
      <c r="E10264" s="36"/>
      <c r="F10264" s="42"/>
      <c r="G10264" s="42"/>
      <c r="H10264" s="42"/>
      <c r="AG10264" s="19"/>
    </row>
    <row r="10265" spans="1:33" ht="14.5" x14ac:dyDescent="0.35">
      <c r="A10265" s="34"/>
      <c r="B10265" s="35"/>
      <c r="C10265" s="36"/>
      <c r="D10265" s="37"/>
      <c r="E10265" s="36"/>
      <c r="F10265" s="42"/>
      <c r="G10265" s="42"/>
      <c r="H10265" s="42"/>
      <c r="AG10265" s="19"/>
    </row>
    <row r="10266" spans="1:33" ht="14.5" x14ac:dyDescent="0.35">
      <c r="A10266" s="34"/>
      <c r="B10266" s="35"/>
      <c r="C10266" s="36"/>
      <c r="D10266" s="37"/>
      <c r="E10266" s="36"/>
      <c r="F10266" s="42"/>
      <c r="G10266" s="42"/>
      <c r="H10266" s="42"/>
      <c r="AG10266" s="19"/>
    </row>
    <row r="10267" spans="1:33" ht="14.5" x14ac:dyDescent="0.35">
      <c r="A10267" s="34"/>
      <c r="B10267" s="35"/>
      <c r="C10267" s="36"/>
      <c r="D10267" s="37"/>
      <c r="E10267" s="36"/>
      <c r="F10267" s="42"/>
      <c r="G10267" s="42"/>
      <c r="H10267" s="42"/>
      <c r="AG10267" s="19"/>
    </row>
    <row r="10268" spans="1:33" ht="14.5" x14ac:dyDescent="0.35">
      <c r="A10268" s="34"/>
      <c r="B10268" s="35"/>
      <c r="C10268" s="36"/>
      <c r="D10268" s="37"/>
      <c r="E10268" s="36"/>
      <c r="F10268" s="42"/>
      <c r="G10268" s="42"/>
      <c r="H10268" s="42"/>
      <c r="AG10268" s="19"/>
    </row>
    <row r="10269" spans="1:33" ht="14.5" x14ac:dyDescent="0.35">
      <c r="A10269" s="34"/>
      <c r="B10269" s="35"/>
      <c r="C10269" s="36"/>
      <c r="D10269" s="37"/>
      <c r="E10269" s="36"/>
      <c r="F10269" s="42"/>
      <c r="G10269" s="42"/>
      <c r="H10269" s="42"/>
      <c r="AG10269" s="19"/>
    </row>
    <row r="10270" spans="1:33" ht="14.5" x14ac:dyDescent="0.35">
      <c r="A10270" s="34"/>
      <c r="B10270" s="35"/>
      <c r="C10270" s="36"/>
      <c r="D10270" s="37"/>
      <c r="E10270" s="36"/>
      <c r="F10270" s="42"/>
      <c r="G10270" s="42"/>
      <c r="H10270" s="42"/>
      <c r="AG10270" s="19"/>
    </row>
    <row r="10271" spans="1:33" ht="14.5" x14ac:dyDescent="0.35">
      <c r="A10271" s="34"/>
      <c r="B10271" s="35"/>
      <c r="C10271" s="36"/>
      <c r="D10271" s="37"/>
      <c r="E10271" s="36"/>
      <c r="F10271" s="42"/>
      <c r="G10271" s="42"/>
      <c r="H10271" s="42"/>
      <c r="AG10271" s="19"/>
    </row>
    <row r="10272" spans="1:33" ht="14.5" x14ac:dyDescent="0.35">
      <c r="A10272" s="34"/>
      <c r="B10272" s="35"/>
      <c r="C10272" s="36"/>
      <c r="D10272" s="37"/>
      <c r="E10272" s="36"/>
      <c r="F10272" s="42"/>
      <c r="G10272" s="42"/>
      <c r="H10272" s="42"/>
      <c r="AG10272" s="19"/>
    </row>
    <row r="10273" spans="1:33" ht="14.5" x14ac:dyDescent="0.35">
      <c r="A10273" s="34"/>
      <c r="B10273" s="35"/>
      <c r="C10273" s="36"/>
      <c r="D10273" s="37"/>
      <c r="E10273" s="36"/>
      <c r="F10273" s="42"/>
      <c r="G10273" s="42"/>
      <c r="H10273" s="42"/>
      <c r="AG10273" s="19"/>
    </row>
    <row r="10274" spans="1:33" ht="14.5" x14ac:dyDescent="0.35">
      <c r="A10274" s="34"/>
      <c r="B10274" s="35"/>
      <c r="C10274" s="36"/>
      <c r="D10274" s="37"/>
      <c r="E10274" s="36"/>
      <c r="F10274" s="42"/>
      <c r="G10274" s="42"/>
      <c r="H10274" s="42"/>
      <c r="AG10274" s="19"/>
    </row>
    <row r="10275" spans="1:33" ht="14.5" x14ac:dyDescent="0.35">
      <c r="A10275" s="34"/>
      <c r="B10275" s="35"/>
      <c r="C10275" s="36"/>
      <c r="D10275" s="37"/>
      <c r="E10275" s="36"/>
      <c r="F10275" s="42"/>
      <c r="G10275" s="42"/>
      <c r="H10275" s="42"/>
      <c r="AG10275" s="19"/>
    </row>
    <row r="10276" spans="1:33" ht="14.5" x14ac:dyDescent="0.35">
      <c r="A10276" s="34"/>
      <c r="B10276" s="35"/>
      <c r="C10276" s="36"/>
      <c r="D10276" s="37"/>
      <c r="E10276" s="36"/>
      <c r="F10276" s="42"/>
      <c r="G10276" s="42"/>
      <c r="H10276" s="42"/>
      <c r="AG10276" s="19"/>
    </row>
    <row r="10277" spans="1:33" ht="14.5" x14ac:dyDescent="0.35">
      <c r="A10277" s="34"/>
      <c r="B10277" s="35"/>
      <c r="C10277" s="36"/>
      <c r="D10277" s="37"/>
      <c r="E10277" s="36"/>
      <c r="F10277" s="42"/>
      <c r="G10277" s="42"/>
      <c r="H10277" s="42"/>
      <c r="AG10277" s="19"/>
    </row>
    <row r="10278" spans="1:33" ht="14.5" x14ac:dyDescent="0.35">
      <c r="A10278" s="34"/>
      <c r="B10278" s="35"/>
      <c r="C10278" s="36"/>
      <c r="D10278" s="37"/>
      <c r="E10278" s="36"/>
      <c r="F10278" s="42"/>
      <c r="G10278" s="42"/>
      <c r="H10278" s="42"/>
      <c r="AG10278" s="19"/>
    </row>
    <row r="10279" spans="1:33" ht="14.5" x14ac:dyDescent="0.35">
      <c r="A10279" s="34"/>
      <c r="B10279" s="35"/>
      <c r="C10279" s="36"/>
      <c r="D10279" s="37"/>
      <c r="E10279" s="36"/>
      <c r="F10279" s="42"/>
      <c r="G10279" s="42"/>
      <c r="H10279" s="42"/>
      <c r="AG10279" s="19"/>
    </row>
    <row r="10280" spans="1:33" ht="14.5" x14ac:dyDescent="0.35">
      <c r="A10280" s="34"/>
      <c r="B10280" s="35"/>
      <c r="C10280" s="36"/>
      <c r="D10280" s="37"/>
      <c r="E10280" s="36"/>
      <c r="F10280" s="42"/>
      <c r="G10280" s="42"/>
      <c r="H10280" s="42"/>
      <c r="AG10280" s="19"/>
    </row>
    <row r="10281" spans="1:33" ht="14.5" x14ac:dyDescent="0.35">
      <c r="A10281" s="34"/>
      <c r="B10281" s="35"/>
      <c r="C10281" s="36"/>
      <c r="D10281" s="37"/>
      <c r="E10281" s="36"/>
      <c r="F10281" s="42"/>
      <c r="G10281" s="42"/>
      <c r="H10281" s="42"/>
      <c r="AG10281" s="19"/>
    </row>
    <row r="10282" spans="1:33" ht="14.5" x14ac:dyDescent="0.35">
      <c r="A10282" s="34"/>
      <c r="B10282" s="35"/>
      <c r="C10282" s="36"/>
      <c r="D10282" s="37"/>
      <c r="E10282" s="36"/>
      <c r="F10282" s="42"/>
      <c r="G10282" s="42"/>
      <c r="H10282" s="42"/>
      <c r="AG10282" s="19"/>
    </row>
    <row r="10283" spans="1:33" ht="14.5" x14ac:dyDescent="0.35">
      <c r="A10283" s="34"/>
      <c r="B10283" s="35"/>
      <c r="C10283" s="36"/>
      <c r="D10283" s="37"/>
      <c r="E10283" s="36"/>
      <c r="F10283" s="42"/>
      <c r="G10283" s="42"/>
      <c r="H10283" s="42"/>
      <c r="AG10283" s="19"/>
    </row>
    <row r="10284" spans="1:33" ht="14.5" x14ac:dyDescent="0.35">
      <c r="A10284" s="34"/>
      <c r="B10284" s="35"/>
      <c r="C10284" s="36"/>
      <c r="D10284" s="37"/>
      <c r="E10284" s="36"/>
      <c r="F10284" s="42"/>
      <c r="G10284" s="42"/>
      <c r="H10284" s="42"/>
      <c r="AG10284" s="19"/>
    </row>
    <row r="10285" spans="1:33" ht="14.5" x14ac:dyDescent="0.35">
      <c r="A10285" s="34"/>
      <c r="B10285" s="35"/>
      <c r="C10285" s="36"/>
      <c r="D10285" s="37"/>
      <c r="E10285" s="36"/>
      <c r="F10285" s="42"/>
      <c r="G10285" s="42"/>
      <c r="H10285" s="42"/>
      <c r="AG10285" s="19"/>
    </row>
    <row r="10286" spans="1:33" ht="14.5" x14ac:dyDescent="0.35">
      <c r="A10286" s="34"/>
      <c r="B10286" s="35"/>
      <c r="C10286" s="36"/>
      <c r="D10286" s="37"/>
      <c r="E10286" s="36"/>
      <c r="F10286" s="42"/>
      <c r="G10286" s="42"/>
      <c r="H10286" s="42"/>
      <c r="AG10286" s="19"/>
    </row>
    <row r="10287" spans="1:33" ht="14.5" x14ac:dyDescent="0.35">
      <c r="A10287" s="34"/>
      <c r="B10287" s="35"/>
      <c r="C10287" s="36"/>
      <c r="D10287" s="37"/>
      <c r="E10287" s="36"/>
      <c r="F10287" s="42"/>
      <c r="G10287" s="42"/>
      <c r="H10287" s="42"/>
      <c r="AG10287" s="19"/>
    </row>
    <row r="10288" spans="1:33" ht="14.5" x14ac:dyDescent="0.35">
      <c r="A10288" s="34"/>
      <c r="B10288" s="35"/>
      <c r="C10288" s="36"/>
      <c r="D10288" s="37"/>
      <c r="E10288" s="36"/>
      <c r="F10288" s="42"/>
      <c r="G10288" s="42"/>
      <c r="H10288" s="42"/>
      <c r="AG10288" s="19"/>
    </row>
    <row r="10289" spans="1:33" ht="14.5" x14ac:dyDescent="0.35">
      <c r="A10289" s="34"/>
      <c r="B10289" s="35"/>
      <c r="C10289" s="36"/>
      <c r="D10289" s="37"/>
      <c r="E10289" s="36"/>
      <c r="F10289" s="42"/>
      <c r="G10289" s="42"/>
      <c r="H10289" s="42"/>
      <c r="AG10289" s="19"/>
    </row>
    <row r="10290" spans="1:33" ht="14.5" x14ac:dyDescent="0.35">
      <c r="A10290" s="34"/>
      <c r="B10290" s="35"/>
      <c r="C10290" s="36"/>
      <c r="D10290" s="37"/>
      <c r="E10290" s="36"/>
      <c r="F10290" s="42"/>
      <c r="G10290" s="42"/>
      <c r="H10290" s="42"/>
      <c r="AG10290" s="19"/>
    </row>
    <row r="10291" spans="1:33" ht="14.5" x14ac:dyDescent="0.35">
      <c r="A10291" s="34"/>
      <c r="B10291" s="35"/>
      <c r="C10291" s="36"/>
      <c r="D10291" s="37"/>
      <c r="E10291" s="36"/>
      <c r="F10291" s="42"/>
      <c r="G10291" s="42"/>
      <c r="H10291" s="42"/>
      <c r="AG10291" s="19"/>
    </row>
    <row r="10292" spans="1:33" ht="14.5" x14ac:dyDescent="0.35">
      <c r="A10292" s="34"/>
      <c r="B10292" s="35"/>
      <c r="C10292" s="36"/>
      <c r="D10292" s="37"/>
      <c r="E10292" s="36"/>
      <c r="F10292" s="42"/>
      <c r="G10292" s="42"/>
      <c r="H10292" s="42"/>
      <c r="AG10292" s="19"/>
    </row>
    <row r="10293" spans="1:33" ht="14.5" x14ac:dyDescent="0.35">
      <c r="A10293" s="34"/>
      <c r="B10293" s="35"/>
      <c r="C10293" s="36"/>
      <c r="D10293" s="37"/>
      <c r="E10293" s="36"/>
      <c r="F10293" s="42"/>
      <c r="G10293" s="42"/>
      <c r="H10293" s="42"/>
      <c r="AG10293" s="19"/>
    </row>
    <row r="10294" spans="1:33" ht="14.5" x14ac:dyDescent="0.35">
      <c r="A10294" s="34"/>
      <c r="B10294" s="35"/>
      <c r="C10294" s="36"/>
      <c r="D10294" s="37"/>
      <c r="E10294" s="36"/>
      <c r="F10294" s="42"/>
      <c r="G10294" s="42"/>
      <c r="H10294" s="42"/>
      <c r="AG10294" s="19"/>
    </row>
    <row r="10295" spans="1:33" ht="14.5" x14ac:dyDescent="0.35">
      <c r="A10295" s="34"/>
      <c r="B10295" s="35"/>
      <c r="C10295" s="36"/>
      <c r="D10295" s="37"/>
      <c r="E10295" s="36"/>
      <c r="F10295" s="42"/>
      <c r="G10295" s="42"/>
      <c r="H10295" s="42"/>
      <c r="AG10295" s="19"/>
    </row>
    <row r="10296" spans="1:33" ht="14.5" x14ac:dyDescent="0.35">
      <c r="A10296" s="34"/>
      <c r="B10296" s="35"/>
      <c r="C10296" s="36"/>
      <c r="D10296" s="37"/>
      <c r="E10296" s="36"/>
      <c r="F10296" s="42"/>
      <c r="G10296" s="42"/>
      <c r="H10296" s="42"/>
      <c r="AG10296" s="19"/>
    </row>
    <row r="10297" spans="1:33" ht="14.5" x14ac:dyDescent="0.35">
      <c r="A10297" s="34"/>
      <c r="B10297" s="35"/>
      <c r="C10297" s="36"/>
      <c r="D10297" s="37"/>
      <c r="E10297" s="36"/>
      <c r="F10297" s="42"/>
      <c r="G10297" s="42"/>
      <c r="H10297" s="42"/>
      <c r="AG10297" s="19"/>
    </row>
    <row r="10298" spans="1:33" ht="14.5" x14ac:dyDescent="0.35">
      <c r="A10298" s="34"/>
      <c r="B10298" s="35"/>
      <c r="C10298" s="36"/>
      <c r="D10298" s="37"/>
      <c r="E10298" s="36"/>
      <c r="F10298" s="42"/>
      <c r="G10298" s="42"/>
      <c r="H10298" s="42"/>
      <c r="AG10298" s="19"/>
    </row>
    <row r="10299" spans="1:33" ht="14.5" x14ac:dyDescent="0.35">
      <c r="A10299" s="34"/>
      <c r="B10299" s="35"/>
      <c r="C10299" s="36"/>
      <c r="D10299" s="37"/>
      <c r="E10299" s="36"/>
      <c r="F10299" s="42"/>
      <c r="G10299" s="42"/>
      <c r="H10299" s="42"/>
      <c r="AG10299" s="19"/>
    </row>
    <row r="10300" spans="1:33" ht="14.5" x14ac:dyDescent="0.35">
      <c r="A10300" s="34"/>
      <c r="B10300" s="35"/>
      <c r="C10300" s="36"/>
      <c r="D10300" s="37"/>
      <c r="E10300" s="36"/>
      <c r="F10300" s="42"/>
      <c r="G10300" s="42"/>
      <c r="H10300" s="42"/>
      <c r="AG10300" s="19"/>
    </row>
    <row r="10301" spans="1:33" ht="14.5" x14ac:dyDescent="0.35">
      <c r="A10301" s="34"/>
      <c r="B10301" s="35"/>
      <c r="C10301" s="36"/>
      <c r="D10301" s="37"/>
      <c r="E10301" s="36"/>
      <c r="F10301" s="42"/>
      <c r="G10301" s="42"/>
      <c r="H10301" s="42"/>
      <c r="AG10301" s="19"/>
    </row>
    <row r="10302" spans="1:33" ht="14.5" x14ac:dyDescent="0.35">
      <c r="A10302" s="34"/>
      <c r="B10302" s="35"/>
      <c r="C10302" s="36"/>
      <c r="D10302" s="37"/>
      <c r="E10302" s="36"/>
      <c r="F10302" s="42"/>
      <c r="G10302" s="42"/>
      <c r="H10302" s="42"/>
      <c r="AG10302" s="19"/>
    </row>
    <row r="10303" spans="1:33" ht="14.5" x14ac:dyDescent="0.35">
      <c r="A10303" s="34"/>
      <c r="B10303" s="35"/>
      <c r="C10303" s="36"/>
      <c r="D10303" s="37"/>
      <c r="E10303" s="36"/>
      <c r="F10303" s="42"/>
      <c r="G10303" s="42"/>
      <c r="H10303" s="42"/>
      <c r="AG10303" s="19"/>
    </row>
    <row r="10304" spans="1:33" ht="14.5" x14ac:dyDescent="0.35">
      <c r="A10304" s="34"/>
      <c r="B10304" s="35"/>
      <c r="C10304" s="36"/>
      <c r="D10304" s="37"/>
      <c r="E10304" s="36"/>
      <c r="F10304" s="42"/>
      <c r="G10304" s="42"/>
      <c r="H10304" s="42"/>
      <c r="AG10304" s="19"/>
    </row>
    <row r="10305" spans="1:33" ht="14.5" x14ac:dyDescent="0.35">
      <c r="A10305" s="34"/>
      <c r="B10305" s="35"/>
      <c r="C10305" s="36"/>
      <c r="D10305" s="37"/>
      <c r="E10305" s="36"/>
      <c r="F10305" s="42"/>
      <c r="G10305" s="42"/>
      <c r="H10305" s="42"/>
      <c r="AG10305" s="19"/>
    </row>
    <row r="10306" spans="1:33" ht="14.5" x14ac:dyDescent="0.35">
      <c r="A10306" s="34"/>
      <c r="B10306" s="35"/>
      <c r="C10306" s="36"/>
      <c r="D10306" s="37"/>
      <c r="E10306" s="36"/>
      <c r="F10306" s="42"/>
      <c r="G10306" s="42"/>
      <c r="H10306" s="42"/>
      <c r="AG10306" s="19"/>
    </row>
    <row r="10307" spans="1:33" ht="14.5" x14ac:dyDescent="0.35">
      <c r="A10307" s="34"/>
      <c r="B10307" s="35"/>
      <c r="C10307" s="36"/>
      <c r="D10307" s="37"/>
      <c r="E10307" s="36"/>
      <c r="F10307" s="42"/>
      <c r="G10307" s="42"/>
      <c r="H10307" s="42"/>
      <c r="AG10307" s="19"/>
    </row>
    <row r="10308" spans="1:33" ht="14.5" x14ac:dyDescent="0.35">
      <c r="A10308" s="34"/>
      <c r="B10308" s="35"/>
      <c r="C10308" s="36"/>
      <c r="D10308" s="37"/>
      <c r="E10308" s="36"/>
      <c r="F10308" s="42"/>
      <c r="G10308" s="42"/>
      <c r="H10308" s="42"/>
      <c r="AG10308" s="19"/>
    </row>
    <row r="10309" spans="1:33" ht="14.5" x14ac:dyDescent="0.35">
      <c r="A10309" s="34"/>
      <c r="B10309" s="35"/>
      <c r="C10309" s="36"/>
      <c r="D10309" s="37"/>
      <c r="E10309" s="36"/>
      <c r="F10309" s="42"/>
      <c r="G10309" s="42"/>
      <c r="H10309" s="42"/>
      <c r="AG10309" s="19"/>
    </row>
    <row r="10310" spans="1:33" ht="14.5" x14ac:dyDescent="0.35">
      <c r="A10310" s="34"/>
      <c r="B10310" s="35"/>
      <c r="C10310" s="36"/>
      <c r="D10310" s="37"/>
      <c r="E10310" s="36"/>
      <c r="F10310" s="42"/>
      <c r="G10310" s="42"/>
      <c r="H10310" s="42"/>
      <c r="AG10310" s="19"/>
    </row>
    <row r="10311" spans="1:33" ht="14.5" x14ac:dyDescent="0.35">
      <c r="A10311" s="34"/>
      <c r="B10311" s="35"/>
      <c r="C10311" s="36"/>
      <c r="D10311" s="37"/>
      <c r="E10311" s="36"/>
      <c r="F10311" s="42"/>
      <c r="G10311" s="42"/>
      <c r="H10311" s="42"/>
      <c r="AG10311" s="19"/>
    </row>
    <row r="10312" spans="1:33" ht="14.5" x14ac:dyDescent="0.35">
      <c r="A10312" s="34"/>
      <c r="B10312" s="35"/>
      <c r="C10312" s="36"/>
      <c r="D10312" s="37"/>
      <c r="E10312" s="36"/>
      <c r="F10312" s="42"/>
      <c r="G10312" s="42"/>
      <c r="H10312" s="42"/>
      <c r="AG10312" s="19"/>
    </row>
    <row r="10313" spans="1:33" ht="14.5" x14ac:dyDescent="0.35">
      <c r="A10313" s="34"/>
      <c r="B10313" s="35"/>
      <c r="C10313" s="36"/>
      <c r="D10313" s="37"/>
      <c r="E10313" s="36"/>
      <c r="F10313" s="42"/>
      <c r="G10313" s="42"/>
      <c r="H10313" s="42"/>
      <c r="AG10313" s="19"/>
    </row>
    <row r="10314" spans="1:33" ht="14.5" x14ac:dyDescent="0.35">
      <c r="A10314" s="34"/>
      <c r="B10314" s="35"/>
      <c r="C10314" s="36"/>
      <c r="D10314" s="37"/>
      <c r="E10314" s="36"/>
      <c r="F10314" s="42"/>
      <c r="G10314" s="42"/>
      <c r="H10314" s="42"/>
      <c r="AG10314" s="19"/>
    </row>
    <row r="10315" spans="1:33" ht="14.5" x14ac:dyDescent="0.35">
      <c r="A10315" s="34"/>
      <c r="B10315" s="35"/>
      <c r="C10315" s="36"/>
      <c r="D10315" s="37"/>
      <c r="E10315" s="36"/>
      <c r="F10315" s="42"/>
      <c r="G10315" s="42"/>
      <c r="H10315" s="42"/>
      <c r="AG10315" s="19"/>
    </row>
    <row r="10316" spans="1:33" ht="14.5" x14ac:dyDescent="0.35">
      <c r="A10316" s="34"/>
      <c r="B10316" s="35"/>
      <c r="C10316" s="36"/>
      <c r="D10316" s="37"/>
      <c r="E10316" s="36"/>
      <c r="F10316" s="42"/>
      <c r="G10316" s="42"/>
      <c r="H10316" s="42"/>
      <c r="AG10316" s="19"/>
    </row>
    <row r="10317" spans="1:33" ht="14.5" x14ac:dyDescent="0.35">
      <c r="A10317" s="34"/>
      <c r="B10317" s="35"/>
      <c r="C10317" s="36"/>
      <c r="D10317" s="37"/>
      <c r="E10317" s="36"/>
      <c r="F10317" s="42"/>
      <c r="G10317" s="42"/>
      <c r="H10317" s="42"/>
      <c r="AG10317" s="19"/>
    </row>
    <row r="10318" spans="1:33" ht="14.5" x14ac:dyDescent="0.35">
      <c r="A10318" s="34"/>
      <c r="B10318" s="35"/>
      <c r="C10318" s="36"/>
      <c r="D10318" s="37"/>
      <c r="E10318" s="36"/>
      <c r="F10318" s="42"/>
      <c r="G10318" s="42"/>
      <c r="H10318" s="42"/>
      <c r="AG10318" s="19"/>
    </row>
    <row r="10319" spans="1:33" ht="14.5" x14ac:dyDescent="0.35">
      <c r="A10319" s="34"/>
      <c r="B10319" s="35"/>
      <c r="C10319" s="36"/>
      <c r="D10319" s="37"/>
      <c r="E10319" s="36"/>
      <c r="F10319" s="42"/>
      <c r="G10319" s="42"/>
      <c r="H10319" s="42"/>
      <c r="AG10319" s="19"/>
    </row>
    <row r="10320" spans="1:33" ht="14.5" x14ac:dyDescent="0.35">
      <c r="A10320" s="34"/>
      <c r="B10320" s="35"/>
      <c r="C10320" s="36"/>
      <c r="D10320" s="37"/>
      <c r="E10320" s="36"/>
      <c r="F10320" s="42"/>
      <c r="G10320" s="42"/>
      <c r="H10320" s="42"/>
      <c r="AG10320" s="19"/>
    </row>
    <row r="10321" spans="1:33" ht="14.5" x14ac:dyDescent="0.35">
      <c r="A10321" s="34"/>
      <c r="B10321" s="35"/>
      <c r="C10321" s="36"/>
      <c r="D10321" s="37"/>
      <c r="E10321" s="36"/>
      <c r="F10321" s="42"/>
      <c r="G10321" s="42"/>
      <c r="H10321" s="42"/>
      <c r="AG10321" s="19"/>
    </row>
    <row r="10322" spans="1:33" ht="14.5" x14ac:dyDescent="0.35">
      <c r="A10322" s="34"/>
      <c r="B10322" s="35"/>
      <c r="C10322" s="36"/>
      <c r="D10322" s="37"/>
      <c r="E10322" s="36"/>
      <c r="F10322" s="42"/>
      <c r="G10322" s="42"/>
      <c r="H10322" s="42"/>
      <c r="AG10322" s="19"/>
    </row>
    <row r="10323" spans="1:33" ht="14.5" x14ac:dyDescent="0.35">
      <c r="A10323" s="34"/>
      <c r="B10323" s="35"/>
      <c r="C10323" s="36"/>
      <c r="D10323" s="37"/>
      <c r="E10323" s="36"/>
      <c r="F10323" s="42"/>
      <c r="G10323" s="42"/>
      <c r="H10323" s="42"/>
      <c r="AG10323" s="19"/>
    </row>
    <row r="10324" spans="1:33" ht="14.5" x14ac:dyDescent="0.35">
      <c r="A10324" s="34"/>
      <c r="B10324" s="35"/>
      <c r="C10324" s="36"/>
      <c r="D10324" s="37"/>
      <c r="E10324" s="36"/>
      <c r="F10324" s="42"/>
      <c r="G10324" s="42"/>
      <c r="H10324" s="42"/>
      <c r="AG10324" s="19"/>
    </row>
    <row r="10325" spans="1:33" ht="14.5" x14ac:dyDescent="0.35">
      <c r="A10325" s="34"/>
      <c r="B10325" s="35"/>
      <c r="C10325" s="36"/>
      <c r="D10325" s="37"/>
      <c r="E10325" s="36"/>
      <c r="F10325" s="42"/>
      <c r="G10325" s="42"/>
      <c r="H10325" s="42"/>
      <c r="AG10325" s="19"/>
    </row>
    <row r="10326" spans="1:33" ht="14.5" x14ac:dyDescent="0.35">
      <c r="A10326" s="34"/>
      <c r="B10326" s="35"/>
      <c r="C10326" s="36"/>
      <c r="D10326" s="37"/>
      <c r="E10326" s="36"/>
      <c r="F10326" s="42"/>
      <c r="G10326" s="42"/>
      <c r="H10326" s="42"/>
      <c r="AG10326" s="19"/>
    </row>
    <row r="10327" spans="1:33" ht="14.5" x14ac:dyDescent="0.35">
      <c r="A10327" s="34"/>
      <c r="B10327" s="35"/>
      <c r="C10327" s="36"/>
      <c r="D10327" s="37"/>
      <c r="E10327" s="36"/>
      <c r="F10327" s="42"/>
      <c r="G10327" s="42"/>
      <c r="H10327" s="42"/>
      <c r="AG10327" s="19"/>
    </row>
    <row r="10328" spans="1:33" ht="14.5" x14ac:dyDescent="0.35">
      <c r="A10328" s="34"/>
      <c r="B10328" s="35"/>
      <c r="C10328" s="36"/>
      <c r="D10328" s="37"/>
      <c r="E10328" s="36"/>
      <c r="F10328" s="42"/>
      <c r="G10328" s="42"/>
      <c r="H10328" s="42"/>
      <c r="AG10328" s="19"/>
    </row>
    <row r="10329" spans="1:33" ht="14.5" x14ac:dyDescent="0.35">
      <c r="A10329" s="34"/>
      <c r="B10329" s="35"/>
      <c r="C10329" s="36"/>
      <c r="D10329" s="37"/>
      <c r="E10329" s="36"/>
      <c r="F10329" s="42"/>
      <c r="G10329" s="42"/>
      <c r="H10329" s="42"/>
      <c r="AG10329" s="19"/>
    </row>
    <row r="10330" spans="1:33" ht="14.5" x14ac:dyDescent="0.35">
      <c r="A10330" s="34"/>
      <c r="B10330" s="35"/>
      <c r="C10330" s="36"/>
      <c r="D10330" s="37"/>
      <c r="E10330" s="36"/>
      <c r="F10330" s="42"/>
      <c r="G10330" s="42"/>
      <c r="H10330" s="42"/>
      <c r="AG10330" s="19"/>
    </row>
    <row r="10331" spans="1:33" ht="14.5" x14ac:dyDescent="0.35">
      <c r="A10331" s="34"/>
      <c r="B10331" s="35"/>
      <c r="C10331" s="36"/>
      <c r="D10331" s="37"/>
      <c r="E10331" s="36"/>
      <c r="F10331" s="42"/>
      <c r="G10331" s="42"/>
      <c r="H10331" s="42"/>
      <c r="AG10331" s="19"/>
    </row>
    <row r="10332" spans="1:33" ht="14.5" x14ac:dyDescent="0.35">
      <c r="A10332" s="34"/>
      <c r="B10332" s="35"/>
      <c r="C10332" s="36"/>
      <c r="D10332" s="37"/>
      <c r="E10332" s="36"/>
      <c r="F10332" s="42"/>
      <c r="G10332" s="42"/>
      <c r="H10332" s="42"/>
      <c r="AG10332" s="19"/>
    </row>
    <row r="10333" spans="1:33" ht="14.5" x14ac:dyDescent="0.35">
      <c r="A10333" s="34"/>
      <c r="B10333" s="35"/>
      <c r="C10333" s="36"/>
      <c r="D10333" s="37"/>
      <c r="E10333" s="36"/>
      <c r="F10333" s="42"/>
      <c r="G10333" s="42"/>
      <c r="H10333" s="42"/>
      <c r="AG10333" s="19"/>
    </row>
    <row r="10334" spans="1:33" ht="14.5" x14ac:dyDescent="0.35">
      <c r="A10334" s="34"/>
      <c r="B10334" s="35"/>
      <c r="C10334" s="36"/>
      <c r="D10334" s="37"/>
      <c r="E10334" s="36"/>
      <c r="F10334" s="42"/>
      <c r="G10334" s="42"/>
      <c r="H10334" s="42"/>
      <c r="AG10334" s="19"/>
    </row>
    <row r="10335" spans="1:33" ht="14.5" x14ac:dyDescent="0.35">
      <c r="A10335" s="34"/>
      <c r="B10335" s="35"/>
      <c r="C10335" s="36"/>
      <c r="D10335" s="37"/>
      <c r="E10335" s="36"/>
      <c r="F10335" s="42"/>
      <c r="G10335" s="42"/>
      <c r="H10335" s="42"/>
      <c r="AG10335" s="19"/>
    </row>
    <row r="10336" spans="1:33" ht="14.5" x14ac:dyDescent="0.35">
      <c r="A10336" s="34"/>
      <c r="B10336" s="35"/>
      <c r="C10336" s="36"/>
      <c r="D10336" s="37"/>
      <c r="E10336" s="36"/>
      <c r="F10336" s="42"/>
      <c r="G10336" s="42"/>
      <c r="H10336" s="42"/>
      <c r="AG10336" s="19"/>
    </row>
    <row r="10337" spans="1:33" ht="14.5" x14ac:dyDescent="0.35">
      <c r="A10337" s="34"/>
      <c r="B10337" s="35"/>
      <c r="C10337" s="36"/>
      <c r="D10337" s="37"/>
      <c r="E10337" s="36"/>
      <c r="F10337" s="42"/>
      <c r="G10337" s="42"/>
      <c r="H10337" s="42"/>
      <c r="AG10337" s="19"/>
    </row>
    <row r="10338" spans="1:33" ht="14.5" x14ac:dyDescent="0.35">
      <c r="A10338" s="34"/>
      <c r="B10338" s="35"/>
      <c r="C10338" s="36"/>
      <c r="D10338" s="37"/>
      <c r="E10338" s="36"/>
      <c r="F10338" s="42"/>
      <c r="G10338" s="42"/>
      <c r="H10338" s="42"/>
      <c r="AG10338" s="19"/>
    </row>
    <row r="10339" spans="1:33" ht="14.5" x14ac:dyDescent="0.35">
      <c r="A10339" s="34"/>
      <c r="B10339" s="35"/>
      <c r="C10339" s="36"/>
      <c r="D10339" s="37"/>
      <c r="E10339" s="36"/>
      <c r="F10339" s="42"/>
      <c r="G10339" s="42"/>
      <c r="H10339" s="42"/>
      <c r="AG10339" s="19"/>
    </row>
    <row r="10340" spans="1:33" ht="14.5" x14ac:dyDescent="0.35">
      <c r="A10340" s="34"/>
      <c r="B10340" s="35"/>
      <c r="C10340" s="36"/>
      <c r="D10340" s="37"/>
      <c r="E10340" s="36"/>
      <c r="F10340" s="42"/>
      <c r="G10340" s="42"/>
      <c r="H10340" s="42"/>
      <c r="AG10340" s="19"/>
    </row>
    <row r="10341" spans="1:33" ht="14.5" x14ac:dyDescent="0.35">
      <c r="A10341" s="34"/>
      <c r="B10341" s="35"/>
      <c r="C10341" s="36"/>
      <c r="D10341" s="37"/>
      <c r="E10341" s="36"/>
      <c r="F10341" s="42"/>
      <c r="G10341" s="42"/>
      <c r="H10341" s="42"/>
      <c r="AG10341" s="19"/>
    </row>
    <row r="10342" spans="1:33" ht="14.5" x14ac:dyDescent="0.35">
      <c r="A10342" s="34"/>
      <c r="B10342" s="35"/>
      <c r="C10342" s="36"/>
      <c r="D10342" s="37"/>
      <c r="E10342" s="36"/>
      <c r="F10342" s="42"/>
      <c r="G10342" s="42"/>
      <c r="H10342" s="42"/>
      <c r="AG10342" s="19"/>
    </row>
    <row r="10343" spans="1:33" ht="14.5" x14ac:dyDescent="0.35">
      <c r="A10343" s="34"/>
      <c r="B10343" s="35"/>
      <c r="C10343" s="36"/>
      <c r="D10343" s="37"/>
      <c r="E10343" s="36"/>
      <c r="F10343" s="42"/>
      <c r="G10343" s="42"/>
      <c r="H10343" s="42"/>
      <c r="AG10343" s="19"/>
    </row>
    <row r="10344" spans="1:33" ht="14.5" x14ac:dyDescent="0.35">
      <c r="A10344" s="34"/>
      <c r="B10344" s="35"/>
      <c r="C10344" s="36"/>
      <c r="D10344" s="37"/>
      <c r="E10344" s="36"/>
      <c r="F10344" s="42"/>
      <c r="G10344" s="42"/>
      <c r="H10344" s="42"/>
      <c r="AG10344" s="19"/>
    </row>
    <row r="10345" spans="1:33" ht="14.5" x14ac:dyDescent="0.35">
      <c r="A10345" s="34"/>
      <c r="B10345" s="35"/>
      <c r="C10345" s="36"/>
      <c r="D10345" s="37"/>
      <c r="E10345" s="36"/>
      <c r="F10345" s="42"/>
      <c r="G10345" s="42"/>
      <c r="H10345" s="42"/>
      <c r="AG10345" s="19"/>
    </row>
    <row r="10346" spans="1:33" ht="14.5" x14ac:dyDescent="0.35">
      <c r="A10346" s="34"/>
      <c r="B10346" s="35"/>
      <c r="C10346" s="36"/>
      <c r="D10346" s="37"/>
      <c r="E10346" s="36"/>
      <c r="F10346" s="42"/>
      <c r="G10346" s="42"/>
      <c r="H10346" s="42"/>
      <c r="AG10346" s="19"/>
    </row>
    <row r="10347" spans="1:33" ht="14.5" x14ac:dyDescent="0.35">
      <c r="A10347" s="34"/>
      <c r="B10347" s="35"/>
      <c r="C10347" s="36"/>
      <c r="D10347" s="37"/>
      <c r="E10347" s="36"/>
      <c r="F10347" s="42"/>
      <c r="G10347" s="42"/>
      <c r="H10347" s="42"/>
      <c r="AG10347" s="19"/>
    </row>
    <row r="10348" spans="1:33" ht="14.5" x14ac:dyDescent="0.35">
      <c r="A10348" s="34"/>
      <c r="B10348" s="35"/>
      <c r="C10348" s="36"/>
      <c r="D10348" s="37"/>
      <c r="E10348" s="36"/>
      <c r="F10348" s="42"/>
      <c r="G10348" s="42"/>
      <c r="H10348" s="42"/>
      <c r="AG10348" s="19"/>
    </row>
    <row r="10349" spans="1:33" ht="14.5" x14ac:dyDescent="0.35">
      <c r="A10349" s="34"/>
      <c r="B10349" s="35"/>
      <c r="C10349" s="36"/>
      <c r="D10349" s="37"/>
      <c r="E10349" s="36"/>
      <c r="F10349" s="42"/>
      <c r="G10349" s="42"/>
      <c r="H10349" s="42"/>
      <c r="AG10349" s="19"/>
    </row>
    <row r="10350" spans="1:33" ht="14.5" x14ac:dyDescent="0.35">
      <c r="A10350" s="34"/>
      <c r="B10350" s="35"/>
      <c r="C10350" s="36"/>
      <c r="D10350" s="37"/>
      <c r="E10350" s="36"/>
      <c r="F10350" s="42"/>
      <c r="G10350" s="42"/>
      <c r="H10350" s="42"/>
      <c r="AG10350" s="19"/>
    </row>
    <row r="10351" spans="1:33" ht="14.5" x14ac:dyDescent="0.35">
      <c r="A10351" s="34"/>
      <c r="B10351" s="35"/>
      <c r="C10351" s="36"/>
      <c r="D10351" s="37"/>
      <c r="E10351" s="36"/>
      <c r="F10351" s="42"/>
      <c r="G10351" s="42"/>
      <c r="H10351" s="42"/>
      <c r="AG10351" s="19"/>
    </row>
    <row r="10352" spans="1:33" ht="14.5" x14ac:dyDescent="0.35">
      <c r="A10352" s="34"/>
      <c r="B10352" s="35"/>
      <c r="C10352" s="36"/>
      <c r="D10352" s="37"/>
      <c r="E10352" s="36"/>
      <c r="F10352" s="42"/>
      <c r="G10352" s="42"/>
      <c r="H10352" s="42"/>
      <c r="AG10352" s="19"/>
    </row>
    <row r="10353" spans="1:33" ht="14.5" x14ac:dyDescent="0.35">
      <c r="A10353" s="34"/>
      <c r="B10353" s="35"/>
      <c r="C10353" s="36"/>
      <c r="D10353" s="37"/>
      <c r="E10353" s="36"/>
      <c r="F10353" s="42"/>
      <c r="G10353" s="42"/>
      <c r="H10353" s="42"/>
      <c r="AG10353" s="19"/>
    </row>
    <row r="10354" spans="1:33" ht="14.5" x14ac:dyDescent="0.35">
      <c r="A10354" s="34"/>
      <c r="B10354" s="35"/>
      <c r="C10354" s="36"/>
      <c r="D10354" s="37"/>
      <c r="E10354" s="36"/>
      <c r="F10354" s="42"/>
      <c r="G10354" s="42"/>
      <c r="H10354" s="42"/>
      <c r="AG10354" s="19"/>
    </row>
    <row r="10355" spans="1:33" ht="14.5" x14ac:dyDescent="0.35">
      <c r="A10355" s="34"/>
      <c r="B10355" s="35"/>
      <c r="C10355" s="36"/>
      <c r="D10355" s="37"/>
      <c r="E10355" s="36"/>
      <c r="F10355" s="42"/>
      <c r="G10355" s="42"/>
      <c r="H10355" s="42"/>
      <c r="AG10355" s="19"/>
    </row>
    <row r="10356" spans="1:33" ht="14.5" x14ac:dyDescent="0.35">
      <c r="A10356" s="34"/>
      <c r="B10356" s="35"/>
      <c r="C10356" s="36"/>
      <c r="D10356" s="37"/>
      <c r="E10356" s="36"/>
      <c r="F10356" s="42"/>
      <c r="G10356" s="42"/>
      <c r="H10356" s="42"/>
      <c r="AG10356" s="19"/>
    </row>
    <row r="10357" spans="1:33" ht="14.5" x14ac:dyDescent="0.35">
      <c r="A10357" s="34"/>
      <c r="B10357" s="35"/>
      <c r="C10357" s="36"/>
      <c r="D10357" s="37"/>
      <c r="E10357" s="36"/>
      <c r="F10357" s="42"/>
      <c r="G10357" s="42"/>
      <c r="H10357" s="42"/>
      <c r="AG10357" s="19"/>
    </row>
    <row r="10358" spans="1:33" ht="14.5" x14ac:dyDescent="0.35">
      <c r="A10358" s="34"/>
      <c r="B10358" s="35"/>
      <c r="C10358" s="36"/>
      <c r="D10358" s="37"/>
      <c r="E10358" s="36"/>
      <c r="F10358" s="42"/>
      <c r="G10358" s="42"/>
      <c r="H10358" s="42"/>
      <c r="AG10358" s="19"/>
    </row>
    <row r="10359" spans="1:33" ht="14.5" x14ac:dyDescent="0.35">
      <c r="A10359" s="34"/>
      <c r="B10359" s="35"/>
      <c r="C10359" s="36"/>
      <c r="D10359" s="37"/>
      <c r="E10359" s="36"/>
      <c r="F10359" s="42"/>
      <c r="G10359" s="42"/>
      <c r="H10359" s="42"/>
      <c r="AG10359" s="19"/>
    </row>
    <row r="10360" spans="1:33" ht="14.5" x14ac:dyDescent="0.35">
      <c r="A10360" s="34"/>
      <c r="B10360" s="35"/>
      <c r="C10360" s="36"/>
      <c r="D10360" s="37"/>
      <c r="E10360" s="36"/>
      <c r="F10360" s="42"/>
      <c r="G10360" s="42"/>
      <c r="H10360" s="42"/>
      <c r="AG10360" s="19"/>
    </row>
    <row r="10361" spans="1:33" ht="14.5" x14ac:dyDescent="0.35">
      <c r="A10361" s="34"/>
      <c r="B10361" s="35"/>
      <c r="C10361" s="36"/>
      <c r="D10361" s="37"/>
      <c r="E10361" s="36"/>
      <c r="F10361" s="42"/>
      <c r="G10361" s="42"/>
      <c r="H10361" s="42"/>
      <c r="AG10361" s="19"/>
    </row>
    <row r="10362" spans="1:33" ht="14.5" x14ac:dyDescent="0.35">
      <c r="A10362" s="34"/>
      <c r="B10362" s="35"/>
      <c r="C10362" s="36"/>
      <c r="D10362" s="37"/>
      <c r="E10362" s="36"/>
      <c r="F10362" s="42"/>
      <c r="G10362" s="42"/>
      <c r="H10362" s="42"/>
      <c r="AG10362" s="19"/>
    </row>
    <row r="10363" spans="1:33" ht="14.5" x14ac:dyDescent="0.35">
      <c r="A10363" s="34"/>
      <c r="B10363" s="35"/>
      <c r="C10363" s="36"/>
      <c r="D10363" s="37"/>
      <c r="E10363" s="36"/>
      <c r="F10363" s="42"/>
      <c r="G10363" s="42"/>
      <c r="H10363" s="42"/>
      <c r="AG10363" s="19"/>
    </row>
    <row r="10364" spans="1:33" ht="14.5" x14ac:dyDescent="0.35">
      <c r="A10364" s="34"/>
      <c r="B10364" s="35"/>
      <c r="C10364" s="36"/>
      <c r="D10364" s="37"/>
      <c r="E10364" s="36"/>
      <c r="F10364" s="42"/>
      <c r="G10364" s="42"/>
      <c r="H10364" s="42"/>
      <c r="AG10364" s="19"/>
    </row>
    <row r="10365" spans="1:33" ht="14.5" x14ac:dyDescent="0.35">
      <c r="A10365" s="34"/>
      <c r="B10365" s="35"/>
      <c r="C10365" s="36"/>
      <c r="D10365" s="37"/>
      <c r="E10365" s="36"/>
      <c r="F10365" s="42"/>
      <c r="G10365" s="42"/>
      <c r="H10365" s="42"/>
      <c r="AG10365" s="19"/>
    </row>
    <row r="10366" spans="1:33" ht="14.5" x14ac:dyDescent="0.35">
      <c r="A10366" s="34"/>
      <c r="B10366" s="35"/>
      <c r="C10366" s="36"/>
      <c r="D10366" s="37"/>
      <c r="E10366" s="36"/>
      <c r="F10366" s="42"/>
      <c r="G10366" s="42"/>
      <c r="H10366" s="42"/>
      <c r="AG10366" s="19"/>
    </row>
    <row r="10367" spans="1:33" ht="14.5" x14ac:dyDescent="0.35">
      <c r="A10367" s="34"/>
      <c r="B10367" s="35"/>
      <c r="C10367" s="36"/>
      <c r="D10367" s="37"/>
      <c r="E10367" s="36"/>
      <c r="F10367" s="42"/>
      <c r="G10367" s="42"/>
      <c r="H10367" s="42"/>
      <c r="AG10367" s="19"/>
    </row>
    <row r="10368" spans="1:33" ht="14.5" x14ac:dyDescent="0.35">
      <c r="A10368" s="34"/>
      <c r="B10368" s="35"/>
      <c r="C10368" s="36"/>
      <c r="D10368" s="37"/>
      <c r="E10368" s="36"/>
      <c r="F10368" s="42"/>
      <c r="G10368" s="42"/>
      <c r="H10368" s="42"/>
      <c r="AG10368" s="19"/>
    </row>
    <row r="10369" spans="1:33" ht="14.5" x14ac:dyDescent="0.35">
      <c r="A10369" s="34"/>
      <c r="B10369" s="35"/>
      <c r="C10369" s="36"/>
      <c r="D10369" s="37"/>
      <c r="E10369" s="36"/>
      <c r="F10369" s="42"/>
      <c r="G10369" s="42"/>
      <c r="H10369" s="42"/>
      <c r="AG10369" s="19"/>
    </row>
    <row r="10370" spans="1:33" ht="14.5" x14ac:dyDescent="0.35">
      <c r="A10370" s="34"/>
      <c r="B10370" s="35"/>
      <c r="C10370" s="36"/>
      <c r="D10370" s="37"/>
      <c r="E10370" s="36"/>
      <c r="F10370" s="42"/>
      <c r="G10370" s="42"/>
      <c r="H10370" s="42"/>
      <c r="AG10370" s="19"/>
    </row>
    <row r="10371" spans="1:33" ht="14.5" x14ac:dyDescent="0.35">
      <c r="A10371" s="34"/>
      <c r="B10371" s="35"/>
      <c r="C10371" s="36"/>
      <c r="D10371" s="37"/>
      <c r="E10371" s="36"/>
      <c r="F10371" s="42"/>
      <c r="G10371" s="42"/>
      <c r="H10371" s="42"/>
      <c r="AG10371" s="19"/>
    </row>
    <row r="10372" spans="1:33" ht="14.5" x14ac:dyDescent="0.35">
      <c r="A10372" s="34"/>
      <c r="B10372" s="35"/>
      <c r="C10372" s="36"/>
      <c r="D10372" s="37"/>
      <c r="E10372" s="36"/>
      <c r="F10372" s="42"/>
      <c r="G10372" s="42"/>
      <c r="H10372" s="42"/>
      <c r="AG10372" s="19"/>
    </row>
    <row r="10373" spans="1:33" ht="14.5" x14ac:dyDescent="0.35">
      <c r="A10373" s="34"/>
      <c r="B10373" s="35"/>
      <c r="C10373" s="36"/>
      <c r="D10373" s="37"/>
      <c r="E10373" s="36"/>
      <c r="F10373" s="42"/>
      <c r="G10373" s="42"/>
      <c r="H10373" s="42"/>
      <c r="AG10373" s="19"/>
    </row>
    <row r="10374" spans="1:33" ht="14.5" x14ac:dyDescent="0.35">
      <c r="A10374" s="34"/>
      <c r="B10374" s="35"/>
      <c r="C10374" s="36"/>
      <c r="D10374" s="37"/>
      <c r="E10374" s="36"/>
      <c r="F10374" s="42"/>
      <c r="G10374" s="42"/>
      <c r="H10374" s="42"/>
      <c r="AG10374" s="19"/>
    </row>
    <row r="10375" spans="1:33" ht="14.5" x14ac:dyDescent="0.35">
      <c r="A10375" s="34"/>
      <c r="B10375" s="35"/>
      <c r="C10375" s="36"/>
      <c r="D10375" s="37"/>
      <c r="E10375" s="36"/>
      <c r="F10375" s="42"/>
      <c r="G10375" s="42"/>
      <c r="H10375" s="42"/>
      <c r="AG10375" s="19"/>
    </row>
    <row r="10376" spans="1:33" ht="14.5" x14ac:dyDescent="0.35">
      <c r="A10376" s="34"/>
      <c r="B10376" s="35"/>
      <c r="C10376" s="36"/>
      <c r="D10376" s="37"/>
      <c r="E10376" s="36"/>
      <c r="F10376" s="42"/>
      <c r="G10376" s="42"/>
      <c r="H10376" s="42"/>
      <c r="AG10376" s="19"/>
    </row>
    <row r="10377" spans="1:33" ht="14.5" x14ac:dyDescent="0.35">
      <c r="A10377" s="34"/>
      <c r="B10377" s="35"/>
      <c r="C10377" s="36"/>
      <c r="D10377" s="37"/>
      <c r="E10377" s="36"/>
      <c r="F10377" s="42"/>
      <c r="G10377" s="42"/>
      <c r="H10377" s="42"/>
      <c r="AG10377" s="19"/>
    </row>
    <row r="10378" spans="1:33" ht="14.5" x14ac:dyDescent="0.35">
      <c r="A10378" s="34"/>
      <c r="B10378" s="35"/>
      <c r="C10378" s="36"/>
      <c r="D10378" s="37"/>
      <c r="E10378" s="36"/>
      <c r="F10378" s="42"/>
      <c r="G10378" s="42"/>
      <c r="H10378" s="42"/>
      <c r="AG10378" s="19"/>
    </row>
    <row r="10379" spans="1:33" ht="14.5" x14ac:dyDescent="0.35">
      <c r="A10379" s="34"/>
      <c r="B10379" s="35"/>
      <c r="C10379" s="36"/>
      <c r="D10379" s="37"/>
      <c r="E10379" s="36"/>
      <c r="F10379" s="42"/>
      <c r="G10379" s="42"/>
      <c r="H10379" s="42"/>
      <c r="AG10379" s="19"/>
    </row>
    <row r="10380" spans="1:33" ht="14.5" x14ac:dyDescent="0.35">
      <c r="A10380" s="34"/>
      <c r="B10380" s="35"/>
      <c r="C10380" s="36"/>
      <c r="D10380" s="37"/>
      <c r="E10380" s="36"/>
      <c r="F10380" s="42"/>
      <c r="G10380" s="42"/>
      <c r="H10380" s="42"/>
      <c r="AG10380" s="19"/>
    </row>
    <row r="10381" spans="1:33" ht="14.5" x14ac:dyDescent="0.35">
      <c r="A10381" s="34"/>
      <c r="B10381" s="35"/>
      <c r="C10381" s="36"/>
      <c r="D10381" s="37"/>
      <c r="E10381" s="36"/>
      <c r="F10381" s="42"/>
      <c r="G10381" s="42"/>
      <c r="H10381" s="42"/>
      <c r="AG10381" s="19"/>
    </row>
    <row r="10382" spans="1:33" ht="14.5" x14ac:dyDescent="0.35">
      <c r="A10382" s="34"/>
      <c r="B10382" s="35"/>
      <c r="C10382" s="36"/>
      <c r="D10382" s="37"/>
      <c r="E10382" s="36"/>
      <c r="F10382" s="42"/>
      <c r="G10382" s="42"/>
      <c r="H10382" s="42"/>
      <c r="AG10382" s="19"/>
    </row>
    <row r="10383" spans="1:33" ht="14.5" x14ac:dyDescent="0.35">
      <c r="A10383" s="34"/>
      <c r="B10383" s="35"/>
      <c r="C10383" s="36"/>
      <c r="D10383" s="37"/>
      <c r="E10383" s="36"/>
      <c r="F10383" s="42"/>
      <c r="G10383" s="42"/>
      <c r="H10383" s="42"/>
      <c r="AG10383" s="19"/>
    </row>
    <row r="10384" spans="1:33" ht="14.5" x14ac:dyDescent="0.35">
      <c r="A10384" s="34"/>
      <c r="B10384" s="35"/>
      <c r="C10384" s="36"/>
      <c r="D10384" s="37"/>
      <c r="E10384" s="36"/>
      <c r="F10384" s="42"/>
      <c r="G10384" s="42"/>
      <c r="H10384" s="42"/>
      <c r="AG10384" s="19"/>
    </row>
    <row r="10385" spans="1:33" ht="14.5" x14ac:dyDescent="0.35">
      <c r="A10385" s="34"/>
      <c r="B10385" s="35"/>
      <c r="C10385" s="36"/>
      <c r="D10385" s="37"/>
      <c r="E10385" s="36"/>
      <c r="F10385" s="42"/>
      <c r="G10385" s="42"/>
      <c r="H10385" s="42"/>
      <c r="AG10385" s="19"/>
    </row>
    <row r="10386" spans="1:33" ht="14.5" x14ac:dyDescent="0.35">
      <c r="A10386" s="34"/>
      <c r="B10386" s="35"/>
      <c r="C10386" s="36"/>
      <c r="D10386" s="37"/>
      <c r="E10386" s="36"/>
      <c r="F10386" s="42"/>
      <c r="G10386" s="42"/>
      <c r="H10386" s="42"/>
      <c r="AG10386" s="19"/>
    </row>
    <row r="10387" spans="1:33" ht="14.5" x14ac:dyDescent="0.35">
      <c r="A10387" s="34"/>
      <c r="B10387" s="35"/>
      <c r="C10387" s="36"/>
      <c r="D10387" s="37"/>
      <c r="E10387" s="36"/>
      <c r="F10387" s="42"/>
      <c r="G10387" s="42"/>
      <c r="H10387" s="42"/>
      <c r="AG10387" s="19"/>
    </row>
    <row r="10388" spans="1:33" ht="14.5" x14ac:dyDescent="0.35">
      <c r="A10388" s="34"/>
      <c r="B10388" s="35"/>
      <c r="C10388" s="36"/>
      <c r="D10388" s="37"/>
      <c r="E10388" s="36"/>
      <c r="F10388" s="42"/>
      <c r="G10388" s="42"/>
      <c r="H10388" s="42"/>
      <c r="AG10388" s="19"/>
    </row>
    <row r="10389" spans="1:33" ht="14.5" x14ac:dyDescent="0.35">
      <c r="A10389" s="34"/>
      <c r="B10389" s="35"/>
      <c r="C10389" s="36"/>
      <c r="D10389" s="37"/>
      <c r="E10389" s="36"/>
      <c r="F10389" s="42"/>
      <c r="G10389" s="42"/>
      <c r="H10389" s="42"/>
      <c r="AG10389" s="19"/>
    </row>
    <row r="10390" spans="1:33" ht="14.5" x14ac:dyDescent="0.35">
      <c r="A10390" s="34"/>
      <c r="B10390" s="35"/>
      <c r="C10390" s="36"/>
      <c r="D10390" s="37"/>
      <c r="E10390" s="36"/>
      <c r="F10390" s="42"/>
      <c r="G10390" s="42"/>
      <c r="H10390" s="42"/>
      <c r="AG10390" s="19"/>
    </row>
    <row r="10391" spans="1:33" ht="14.5" x14ac:dyDescent="0.35">
      <c r="A10391" s="34"/>
      <c r="B10391" s="35"/>
      <c r="C10391" s="36"/>
      <c r="D10391" s="37"/>
      <c r="E10391" s="36"/>
      <c r="F10391" s="42"/>
      <c r="G10391" s="42"/>
      <c r="H10391" s="42"/>
      <c r="AG10391" s="19"/>
    </row>
    <row r="10392" spans="1:33" ht="14.5" x14ac:dyDescent="0.35">
      <c r="A10392" s="34"/>
      <c r="B10392" s="35"/>
      <c r="C10392" s="36"/>
      <c r="D10392" s="37"/>
      <c r="E10392" s="36"/>
      <c r="F10392" s="42"/>
      <c r="G10392" s="42"/>
      <c r="H10392" s="42"/>
      <c r="AG10392" s="19"/>
    </row>
    <row r="10393" spans="1:33" ht="14.5" x14ac:dyDescent="0.35">
      <c r="A10393" s="34"/>
      <c r="B10393" s="35"/>
      <c r="C10393" s="36"/>
      <c r="D10393" s="37"/>
      <c r="E10393" s="36"/>
      <c r="F10393" s="42"/>
      <c r="G10393" s="42"/>
      <c r="H10393" s="42"/>
      <c r="AG10393" s="19"/>
    </row>
    <row r="10394" spans="1:33" ht="14.5" x14ac:dyDescent="0.35">
      <c r="A10394" s="34"/>
      <c r="B10394" s="35"/>
      <c r="C10394" s="36"/>
      <c r="D10394" s="37"/>
      <c r="E10394" s="36"/>
      <c r="F10394" s="42"/>
      <c r="G10394" s="42"/>
      <c r="H10394" s="42"/>
      <c r="AG10394" s="19"/>
    </row>
    <row r="10395" spans="1:33" ht="14.5" x14ac:dyDescent="0.35">
      <c r="A10395" s="34"/>
      <c r="B10395" s="35"/>
      <c r="C10395" s="36"/>
      <c r="D10395" s="37"/>
      <c r="E10395" s="36"/>
      <c r="F10395" s="42"/>
      <c r="G10395" s="42"/>
      <c r="H10395" s="42"/>
      <c r="AG10395" s="19"/>
    </row>
    <row r="10396" spans="1:33" ht="14.5" x14ac:dyDescent="0.35">
      <c r="A10396" s="34"/>
      <c r="B10396" s="35"/>
      <c r="C10396" s="36"/>
      <c r="D10396" s="37"/>
      <c r="E10396" s="36"/>
      <c r="F10396" s="42"/>
      <c r="G10396" s="42"/>
      <c r="H10396" s="42"/>
      <c r="AG10396" s="19"/>
    </row>
    <row r="10397" spans="1:33" ht="14.5" x14ac:dyDescent="0.35">
      <c r="A10397" s="34"/>
      <c r="B10397" s="35"/>
      <c r="C10397" s="36"/>
      <c r="D10397" s="37"/>
      <c r="E10397" s="36"/>
      <c r="F10397" s="42"/>
      <c r="G10397" s="42"/>
      <c r="H10397" s="42"/>
      <c r="AG10397" s="19"/>
    </row>
    <row r="10398" spans="1:33" ht="14.5" x14ac:dyDescent="0.35">
      <c r="A10398" s="34"/>
      <c r="B10398" s="35"/>
      <c r="C10398" s="36"/>
      <c r="D10398" s="37"/>
      <c r="E10398" s="36"/>
      <c r="F10398" s="42"/>
      <c r="G10398" s="42"/>
      <c r="H10398" s="42"/>
      <c r="AG10398" s="19"/>
    </row>
    <row r="10399" spans="1:33" ht="14.5" x14ac:dyDescent="0.35">
      <c r="A10399" s="34"/>
      <c r="B10399" s="35"/>
      <c r="C10399" s="36"/>
      <c r="D10399" s="37"/>
      <c r="E10399" s="36"/>
      <c r="F10399" s="42"/>
      <c r="G10399" s="42"/>
      <c r="H10399" s="42"/>
      <c r="AG10399" s="19"/>
    </row>
    <row r="10400" spans="1:33" ht="14.5" x14ac:dyDescent="0.35">
      <c r="A10400" s="34"/>
      <c r="B10400" s="35"/>
      <c r="C10400" s="36"/>
      <c r="D10400" s="37"/>
      <c r="E10400" s="36"/>
      <c r="F10400" s="42"/>
      <c r="G10400" s="42"/>
      <c r="H10400" s="42"/>
      <c r="AG10400" s="19"/>
    </row>
    <row r="10401" spans="1:33" ht="14.5" x14ac:dyDescent="0.35">
      <c r="A10401" s="34"/>
      <c r="B10401" s="35"/>
      <c r="C10401" s="36"/>
      <c r="D10401" s="37"/>
      <c r="E10401" s="36"/>
      <c r="F10401" s="42"/>
      <c r="G10401" s="42"/>
      <c r="H10401" s="42"/>
      <c r="AG10401" s="19"/>
    </row>
    <row r="10402" spans="1:33" ht="14.5" x14ac:dyDescent="0.35">
      <c r="A10402" s="34"/>
      <c r="B10402" s="35"/>
      <c r="C10402" s="36"/>
      <c r="D10402" s="37"/>
      <c r="E10402" s="36"/>
      <c r="F10402" s="42"/>
      <c r="G10402" s="42"/>
      <c r="H10402" s="42"/>
      <c r="AG10402" s="19"/>
    </row>
    <row r="10403" spans="1:33" ht="14.5" x14ac:dyDescent="0.35">
      <c r="A10403" s="34"/>
      <c r="B10403" s="35"/>
      <c r="C10403" s="36"/>
      <c r="D10403" s="37"/>
      <c r="E10403" s="36"/>
      <c r="F10403" s="42"/>
      <c r="G10403" s="42"/>
      <c r="H10403" s="42"/>
      <c r="AG10403" s="19"/>
    </row>
    <row r="10404" spans="1:33" ht="14.5" x14ac:dyDescent="0.35">
      <c r="A10404" s="34"/>
      <c r="B10404" s="35"/>
      <c r="C10404" s="36"/>
      <c r="D10404" s="37"/>
      <c r="E10404" s="36"/>
      <c r="F10404" s="42"/>
      <c r="G10404" s="42"/>
      <c r="H10404" s="42"/>
      <c r="AG10404" s="19"/>
    </row>
    <row r="10405" spans="1:33" ht="14.5" x14ac:dyDescent="0.35">
      <c r="A10405" s="34"/>
      <c r="B10405" s="35"/>
      <c r="C10405" s="36"/>
      <c r="D10405" s="37"/>
      <c r="E10405" s="36"/>
      <c r="F10405" s="42"/>
      <c r="G10405" s="42"/>
      <c r="H10405" s="42"/>
      <c r="AG10405" s="19"/>
    </row>
    <row r="10406" spans="1:33" ht="14.5" x14ac:dyDescent="0.35">
      <c r="A10406" s="34"/>
      <c r="B10406" s="35"/>
      <c r="C10406" s="36"/>
      <c r="D10406" s="37"/>
      <c r="E10406" s="36"/>
      <c r="F10406" s="42"/>
      <c r="G10406" s="42"/>
      <c r="H10406" s="42"/>
      <c r="AG10406" s="19"/>
    </row>
    <row r="10407" spans="1:33" ht="14.5" x14ac:dyDescent="0.35">
      <c r="A10407" s="34"/>
      <c r="B10407" s="35"/>
      <c r="C10407" s="36"/>
      <c r="D10407" s="37"/>
      <c r="E10407" s="36"/>
      <c r="F10407" s="42"/>
      <c r="G10407" s="42"/>
      <c r="H10407" s="42"/>
      <c r="AG10407" s="19"/>
    </row>
    <row r="10408" spans="1:33" ht="14.5" x14ac:dyDescent="0.35">
      <c r="A10408" s="34"/>
      <c r="B10408" s="35"/>
      <c r="C10408" s="36"/>
      <c r="D10408" s="37"/>
      <c r="E10408" s="36"/>
      <c r="F10408" s="42"/>
      <c r="G10408" s="42"/>
      <c r="H10408" s="42"/>
      <c r="AG10408" s="19"/>
    </row>
    <row r="10409" spans="1:33" ht="14.5" x14ac:dyDescent="0.35">
      <c r="A10409" s="34"/>
      <c r="B10409" s="35"/>
      <c r="C10409" s="36"/>
      <c r="D10409" s="37"/>
      <c r="E10409" s="36"/>
      <c r="F10409" s="42"/>
      <c r="G10409" s="42"/>
      <c r="H10409" s="42"/>
      <c r="AG10409" s="19"/>
    </row>
    <row r="10410" spans="1:33" ht="14.5" x14ac:dyDescent="0.35">
      <c r="A10410" s="34"/>
      <c r="B10410" s="35"/>
      <c r="C10410" s="36"/>
      <c r="D10410" s="37"/>
      <c r="E10410" s="36"/>
      <c r="F10410" s="42"/>
      <c r="G10410" s="42"/>
      <c r="H10410" s="42"/>
      <c r="AG10410" s="19"/>
    </row>
    <row r="10411" spans="1:33" ht="14.5" x14ac:dyDescent="0.35">
      <c r="A10411" s="34"/>
      <c r="B10411" s="35"/>
      <c r="C10411" s="36"/>
      <c r="D10411" s="37"/>
      <c r="E10411" s="36"/>
      <c r="F10411" s="42"/>
      <c r="G10411" s="42"/>
      <c r="H10411" s="42"/>
      <c r="AG10411" s="19"/>
    </row>
    <row r="10412" spans="1:33" ht="14.5" x14ac:dyDescent="0.35">
      <c r="A10412" s="34"/>
      <c r="B10412" s="35"/>
      <c r="C10412" s="36"/>
      <c r="D10412" s="37"/>
      <c r="E10412" s="36"/>
      <c r="F10412" s="42"/>
      <c r="G10412" s="42"/>
      <c r="H10412" s="42"/>
      <c r="AG10412" s="19"/>
    </row>
    <row r="10413" spans="1:33" ht="14.5" x14ac:dyDescent="0.35">
      <c r="A10413" s="34"/>
      <c r="B10413" s="35"/>
      <c r="C10413" s="36"/>
      <c r="D10413" s="37"/>
      <c r="E10413" s="36"/>
      <c r="F10413" s="42"/>
      <c r="G10413" s="42"/>
      <c r="H10413" s="42"/>
      <c r="AG10413" s="19"/>
    </row>
    <row r="10414" spans="1:33" ht="14.5" x14ac:dyDescent="0.35">
      <c r="A10414" s="34"/>
      <c r="B10414" s="35"/>
      <c r="C10414" s="36"/>
      <c r="D10414" s="37"/>
      <c r="E10414" s="36"/>
      <c r="F10414" s="42"/>
      <c r="G10414" s="42"/>
      <c r="H10414" s="42"/>
      <c r="AG10414" s="19"/>
    </row>
    <row r="10415" spans="1:33" ht="14.5" x14ac:dyDescent="0.35">
      <c r="A10415" s="34"/>
      <c r="B10415" s="35"/>
      <c r="C10415" s="36"/>
      <c r="D10415" s="37"/>
      <c r="E10415" s="36"/>
      <c r="F10415" s="42"/>
      <c r="G10415" s="42"/>
      <c r="H10415" s="42"/>
      <c r="AG10415" s="19"/>
    </row>
    <row r="10416" spans="1:33" ht="14.5" x14ac:dyDescent="0.35">
      <c r="A10416" s="34"/>
      <c r="B10416" s="35"/>
      <c r="C10416" s="36"/>
      <c r="D10416" s="37"/>
      <c r="E10416" s="36"/>
      <c r="F10416" s="42"/>
      <c r="G10416" s="42"/>
      <c r="H10416" s="42"/>
      <c r="AG10416" s="19"/>
    </row>
    <row r="10417" spans="1:33" ht="14.5" x14ac:dyDescent="0.35">
      <c r="A10417" s="34"/>
      <c r="B10417" s="35"/>
      <c r="C10417" s="36"/>
      <c r="D10417" s="37"/>
      <c r="E10417" s="36"/>
      <c r="F10417" s="42"/>
      <c r="G10417" s="42"/>
      <c r="H10417" s="42"/>
      <c r="AG10417" s="19"/>
    </row>
    <row r="10418" spans="1:33" ht="14.5" x14ac:dyDescent="0.35">
      <c r="A10418" s="34"/>
      <c r="B10418" s="35"/>
      <c r="C10418" s="36"/>
      <c r="D10418" s="37"/>
      <c r="E10418" s="36"/>
      <c r="F10418" s="42"/>
      <c r="G10418" s="42"/>
      <c r="H10418" s="42"/>
      <c r="AG10418" s="19"/>
    </row>
    <row r="10419" spans="1:33" ht="14.5" x14ac:dyDescent="0.35">
      <c r="A10419" s="34"/>
      <c r="B10419" s="35"/>
      <c r="C10419" s="36"/>
      <c r="D10419" s="37"/>
      <c r="E10419" s="36"/>
      <c r="F10419" s="42"/>
      <c r="G10419" s="42"/>
      <c r="H10419" s="42"/>
      <c r="AG10419" s="19"/>
    </row>
    <row r="10420" spans="1:33" ht="14.5" x14ac:dyDescent="0.35">
      <c r="A10420" s="34"/>
      <c r="B10420" s="35"/>
      <c r="C10420" s="36"/>
      <c r="D10420" s="37"/>
      <c r="E10420" s="36"/>
      <c r="F10420" s="42"/>
      <c r="G10420" s="42"/>
      <c r="H10420" s="42"/>
      <c r="AG10420" s="19"/>
    </row>
    <row r="10421" spans="1:33" ht="14.5" x14ac:dyDescent="0.35">
      <c r="A10421" s="34"/>
      <c r="B10421" s="35"/>
      <c r="C10421" s="36"/>
      <c r="D10421" s="37"/>
      <c r="E10421" s="36"/>
      <c r="F10421" s="42"/>
      <c r="G10421" s="42"/>
      <c r="H10421" s="42"/>
      <c r="AG10421" s="19"/>
    </row>
    <row r="10422" spans="1:33" ht="14.5" x14ac:dyDescent="0.35">
      <c r="A10422" s="34"/>
      <c r="B10422" s="35"/>
      <c r="C10422" s="36"/>
      <c r="D10422" s="37"/>
      <c r="E10422" s="36"/>
      <c r="F10422" s="42"/>
      <c r="G10422" s="42"/>
      <c r="H10422" s="42"/>
      <c r="AG10422" s="19"/>
    </row>
    <row r="10423" spans="1:33" ht="14.5" x14ac:dyDescent="0.35">
      <c r="A10423" s="34"/>
      <c r="B10423" s="35"/>
      <c r="C10423" s="36"/>
      <c r="D10423" s="37"/>
      <c r="E10423" s="36"/>
      <c r="F10423" s="42"/>
      <c r="G10423" s="42"/>
      <c r="H10423" s="42"/>
      <c r="AG10423" s="19"/>
    </row>
    <row r="10424" spans="1:33" ht="14.5" x14ac:dyDescent="0.35">
      <c r="A10424" s="34"/>
      <c r="B10424" s="35"/>
      <c r="C10424" s="36"/>
      <c r="D10424" s="37"/>
      <c r="E10424" s="36"/>
      <c r="F10424" s="42"/>
      <c r="G10424" s="42"/>
      <c r="H10424" s="42"/>
      <c r="AG10424" s="19"/>
    </row>
    <row r="10425" spans="1:33" ht="14.5" x14ac:dyDescent="0.35">
      <c r="A10425" s="34"/>
      <c r="B10425" s="35"/>
      <c r="C10425" s="36"/>
      <c r="D10425" s="37"/>
      <c r="E10425" s="36"/>
      <c r="F10425" s="42"/>
      <c r="G10425" s="42"/>
      <c r="H10425" s="42"/>
      <c r="AG10425" s="19"/>
    </row>
    <row r="10426" spans="1:33" ht="14.5" x14ac:dyDescent="0.35">
      <c r="A10426" s="34"/>
      <c r="B10426" s="35"/>
      <c r="C10426" s="36"/>
      <c r="D10426" s="37"/>
      <c r="E10426" s="36"/>
      <c r="F10426" s="42"/>
      <c r="G10426" s="42"/>
      <c r="H10426" s="42"/>
      <c r="AG10426" s="19"/>
    </row>
    <row r="10427" spans="1:33" ht="14.5" x14ac:dyDescent="0.35">
      <c r="A10427" s="34"/>
      <c r="B10427" s="35"/>
      <c r="C10427" s="36"/>
      <c r="D10427" s="37"/>
      <c r="E10427" s="36"/>
      <c r="F10427" s="42"/>
      <c r="G10427" s="42"/>
      <c r="H10427" s="42"/>
      <c r="AG10427" s="19"/>
    </row>
    <row r="10428" spans="1:33" ht="14.5" x14ac:dyDescent="0.35">
      <c r="A10428" s="34"/>
      <c r="B10428" s="35"/>
      <c r="C10428" s="36"/>
      <c r="D10428" s="37"/>
      <c r="E10428" s="36"/>
      <c r="F10428" s="42"/>
      <c r="G10428" s="42"/>
      <c r="H10428" s="42"/>
      <c r="AG10428" s="19"/>
    </row>
    <row r="10429" spans="1:33" ht="14.5" x14ac:dyDescent="0.35">
      <c r="A10429" s="34"/>
      <c r="B10429" s="35"/>
      <c r="C10429" s="36"/>
      <c r="D10429" s="37"/>
      <c r="E10429" s="36"/>
      <c r="F10429" s="42"/>
      <c r="G10429" s="42"/>
      <c r="H10429" s="42"/>
      <c r="AG10429" s="19"/>
    </row>
    <row r="10430" spans="1:33" ht="14.5" x14ac:dyDescent="0.35">
      <c r="A10430" s="34"/>
      <c r="B10430" s="35"/>
      <c r="C10430" s="36"/>
      <c r="D10430" s="37"/>
      <c r="E10430" s="36"/>
      <c r="F10430" s="42"/>
      <c r="G10430" s="42"/>
      <c r="H10430" s="42"/>
      <c r="AG10430" s="19"/>
    </row>
    <row r="10431" spans="1:33" ht="14.5" x14ac:dyDescent="0.35">
      <c r="A10431" s="34"/>
      <c r="B10431" s="35"/>
      <c r="C10431" s="36"/>
      <c r="D10431" s="37"/>
      <c r="E10431" s="36"/>
      <c r="F10431" s="42"/>
      <c r="G10431" s="42"/>
      <c r="H10431" s="42"/>
      <c r="AG10431" s="19"/>
    </row>
    <row r="10432" spans="1:33" ht="14.5" x14ac:dyDescent="0.35">
      <c r="A10432" s="34"/>
      <c r="B10432" s="35"/>
      <c r="C10432" s="36"/>
      <c r="D10432" s="37"/>
      <c r="E10432" s="36"/>
      <c r="F10432" s="42"/>
      <c r="G10432" s="42"/>
      <c r="H10432" s="42"/>
      <c r="AG10432" s="19"/>
    </row>
    <row r="10433" spans="1:33" ht="14.5" x14ac:dyDescent="0.35">
      <c r="A10433" s="34"/>
      <c r="B10433" s="35"/>
      <c r="C10433" s="36"/>
      <c r="D10433" s="37"/>
      <c r="E10433" s="36"/>
      <c r="F10433" s="42"/>
      <c r="G10433" s="42"/>
      <c r="H10433" s="42"/>
      <c r="AG10433" s="19"/>
    </row>
    <row r="10434" spans="1:33" ht="14.5" x14ac:dyDescent="0.35">
      <c r="A10434" s="34"/>
      <c r="B10434" s="35"/>
      <c r="C10434" s="36"/>
      <c r="D10434" s="37"/>
      <c r="E10434" s="36"/>
      <c r="F10434" s="42"/>
      <c r="G10434" s="42"/>
      <c r="H10434" s="42"/>
      <c r="AG10434" s="19"/>
    </row>
    <row r="10435" spans="1:33" ht="14.5" x14ac:dyDescent="0.35">
      <c r="A10435" s="34"/>
      <c r="B10435" s="35"/>
      <c r="C10435" s="36"/>
      <c r="D10435" s="37"/>
      <c r="E10435" s="36"/>
      <c r="F10435" s="42"/>
      <c r="G10435" s="42"/>
      <c r="H10435" s="42"/>
      <c r="AG10435" s="19"/>
    </row>
    <row r="10436" spans="1:33" ht="14.5" x14ac:dyDescent="0.35">
      <c r="A10436" s="34"/>
      <c r="B10436" s="35"/>
      <c r="C10436" s="36"/>
      <c r="D10436" s="37"/>
      <c r="E10436" s="36"/>
      <c r="F10436" s="42"/>
      <c r="G10436" s="42"/>
      <c r="H10436" s="42"/>
      <c r="AG10436" s="19"/>
    </row>
    <row r="10437" spans="1:33" ht="14.5" x14ac:dyDescent="0.35">
      <c r="A10437" s="34"/>
      <c r="B10437" s="35"/>
      <c r="C10437" s="36"/>
      <c r="D10437" s="37"/>
      <c r="E10437" s="36"/>
      <c r="F10437" s="42"/>
      <c r="G10437" s="42"/>
      <c r="H10437" s="42"/>
      <c r="AG10437" s="19"/>
    </row>
    <row r="10438" spans="1:33" ht="14.5" x14ac:dyDescent="0.35">
      <c r="A10438" s="34"/>
      <c r="B10438" s="35"/>
      <c r="C10438" s="36"/>
      <c r="D10438" s="37"/>
      <c r="E10438" s="36"/>
      <c r="F10438" s="42"/>
      <c r="G10438" s="42"/>
      <c r="H10438" s="42"/>
      <c r="AG10438" s="19"/>
    </row>
    <row r="10439" spans="1:33" ht="14.5" x14ac:dyDescent="0.35">
      <c r="A10439" s="34"/>
      <c r="B10439" s="35"/>
      <c r="C10439" s="36"/>
      <c r="D10439" s="37"/>
      <c r="E10439" s="36"/>
      <c r="F10439" s="42"/>
      <c r="G10439" s="42"/>
      <c r="H10439" s="42"/>
      <c r="AG10439" s="19"/>
    </row>
    <row r="10440" spans="1:33" ht="14.5" x14ac:dyDescent="0.35">
      <c r="A10440" s="34"/>
      <c r="B10440" s="35"/>
      <c r="C10440" s="36"/>
      <c r="D10440" s="37"/>
      <c r="E10440" s="36"/>
      <c r="F10440" s="42"/>
      <c r="G10440" s="42"/>
      <c r="H10440" s="42"/>
      <c r="AG10440" s="19"/>
    </row>
    <row r="10441" spans="1:33" ht="14.5" x14ac:dyDescent="0.35">
      <c r="A10441" s="34"/>
      <c r="B10441" s="35"/>
      <c r="C10441" s="36"/>
      <c r="D10441" s="37"/>
      <c r="E10441" s="36"/>
      <c r="F10441" s="42"/>
      <c r="G10441" s="42"/>
      <c r="H10441" s="42"/>
      <c r="AG10441" s="19"/>
    </row>
    <row r="10442" spans="1:33" ht="14.5" x14ac:dyDescent="0.35">
      <c r="A10442" s="34"/>
      <c r="B10442" s="35"/>
      <c r="C10442" s="36"/>
      <c r="D10442" s="37"/>
      <c r="E10442" s="36"/>
      <c r="F10442" s="42"/>
      <c r="G10442" s="42"/>
      <c r="H10442" s="42"/>
      <c r="AG10442" s="19"/>
    </row>
    <row r="10443" spans="1:33" ht="14.5" x14ac:dyDescent="0.35">
      <c r="A10443" s="34"/>
      <c r="B10443" s="35"/>
      <c r="C10443" s="36"/>
      <c r="D10443" s="37"/>
      <c r="E10443" s="36"/>
      <c r="F10443" s="42"/>
      <c r="G10443" s="42"/>
      <c r="H10443" s="42"/>
      <c r="AG10443" s="19"/>
    </row>
    <row r="10444" spans="1:33" ht="14.5" x14ac:dyDescent="0.35">
      <c r="A10444" s="34"/>
      <c r="B10444" s="35"/>
      <c r="C10444" s="36"/>
      <c r="D10444" s="37"/>
      <c r="E10444" s="36"/>
      <c r="F10444" s="42"/>
      <c r="G10444" s="42"/>
      <c r="H10444" s="42"/>
      <c r="AG10444" s="19"/>
    </row>
    <row r="10445" spans="1:33" ht="14.5" x14ac:dyDescent="0.35">
      <c r="A10445" s="34"/>
      <c r="B10445" s="35"/>
      <c r="C10445" s="36"/>
      <c r="D10445" s="37"/>
      <c r="E10445" s="36"/>
      <c r="F10445" s="42"/>
      <c r="G10445" s="42"/>
      <c r="H10445" s="42"/>
      <c r="AG10445" s="19"/>
    </row>
    <row r="10446" spans="1:33" ht="14.5" x14ac:dyDescent="0.35">
      <c r="A10446" s="34"/>
      <c r="B10446" s="35"/>
      <c r="C10446" s="36"/>
      <c r="D10446" s="37"/>
      <c r="E10446" s="36"/>
      <c r="F10446" s="42"/>
      <c r="G10446" s="42"/>
      <c r="H10446" s="42"/>
      <c r="AG10446" s="19"/>
    </row>
    <row r="10447" spans="1:33" ht="14.5" x14ac:dyDescent="0.35">
      <c r="A10447" s="34"/>
      <c r="B10447" s="35"/>
      <c r="C10447" s="36"/>
      <c r="D10447" s="37"/>
      <c r="E10447" s="36"/>
      <c r="F10447" s="42"/>
      <c r="G10447" s="42"/>
      <c r="H10447" s="42"/>
      <c r="AG10447" s="19"/>
    </row>
    <row r="10448" spans="1:33" ht="14.5" x14ac:dyDescent="0.35">
      <c r="A10448" s="34"/>
      <c r="B10448" s="35"/>
      <c r="C10448" s="36"/>
      <c r="D10448" s="37"/>
      <c r="E10448" s="36"/>
      <c r="F10448" s="42"/>
      <c r="G10448" s="42"/>
      <c r="H10448" s="42"/>
      <c r="AG10448" s="19"/>
    </row>
    <row r="10449" spans="1:33" ht="14.5" x14ac:dyDescent="0.35">
      <c r="A10449" s="34"/>
      <c r="B10449" s="35"/>
      <c r="C10449" s="36"/>
      <c r="D10449" s="37"/>
      <c r="E10449" s="36"/>
      <c r="F10449" s="42"/>
      <c r="G10449" s="42"/>
      <c r="H10449" s="42"/>
      <c r="AG10449" s="19"/>
    </row>
    <row r="10450" spans="1:33" ht="14.5" x14ac:dyDescent="0.35">
      <c r="A10450" s="34"/>
      <c r="B10450" s="35"/>
      <c r="C10450" s="36"/>
      <c r="D10450" s="37"/>
      <c r="E10450" s="36"/>
      <c r="F10450" s="42"/>
      <c r="G10450" s="42"/>
      <c r="H10450" s="42"/>
      <c r="AG10450" s="19"/>
    </row>
    <row r="10451" spans="1:33" ht="14.5" x14ac:dyDescent="0.35">
      <c r="A10451" s="34"/>
      <c r="B10451" s="35"/>
      <c r="C10451" s="36"/>
      <c r="D10451" s="37"/>
      <c r="E10451" s="36"/>
      <c r="F10451" s="42"/>
      <c r="G10451" s="42"/>
      <c r="H10451" s="42"/>
      <c r="AG10451" s="19"/>
    </row>
    <row r="10452" spans="1:33" ht="14.5" x14ac:dyDescent="0.35">
      <c r="A10452" s="34"/>
      <c r="B10452" s="35"/>
      <c r="C10452" s="36"/>
      <c r="D10452" s="37"/>
      <c r="E10452" s="36"/>
      <c r="F10452" s="42"/>
      <c r="G10452" s="42"/>
      <c r="H10452" s="42"/>
      <c r="AG10452" s="19"/>
    </row>
    <row r="10453" spans="1:33" ht="14.5" x14ac:dyDescent="0.35">
      <c r="A10453" s="34"/>
      <c r="B10453" s="35"/>
      <c r="C10453" s="36"/>
      <c r="D10453" s="37"/>
      <c r="E10453" s="36"/>
      <c r="F10453" s="42"/>
      <c r="G10453" s="42"/>
      <c r="H10453" s="42"/>
      <c r="AG10453" s="19"/>
    </row>
    <row r="10454" spans="1:33" ht="14.5" x14ac:dyDescent="0.35">
      <c r="A10454" s="34"/>
      <c r="B10454" s="35"/>
      <c r="C10454" s="36"/>
      <c r="D10454" s="37"/>
      <c r="E10454" s="36"/>
      <c r="F10454" s="42"/>
      <c r="G10454" s="42"/>
      <c r="H10454" s="42"/>
      <c r="AG10454" s="19"/>
    </row>
    <row r="10455" spans="1:33" ht="14.5" x14ac:dyDescent="0.35">
      <c r="A10455" s="34"/>
      <c r="B10455" s="35"/>
      <c r="C10455" s="36"/>
      <c r="D10455" s="37"/>
      <c r="E10455" s="36"/>
      <c r="F10455" s="42"/>
      <c r="G10455" s="42"/>
      <c r="H10455" s="42"/>
      <c r="AG10455" s="19"/>
    </row>
    <row r="10456" spans="1:33" ht="14.5" x14ac:dyDescent="0.35">
      <c r="A10456" s="34"/>
      <c r="B10456" s="35"/>
      <c r="C10456" s="36"/>
      <c r="D10456" s="37"/>
      <c r="E10456" s="36"/>
      <c r="F10456" s="42"/>
      <c r="G10456" s="42"/>
      <c r="H10456" s="42"/>
      <c r="AG10456" s="19"/>
    </row>
    <row r="10457" spans="1:33" ht="14.5" x14ac:dyDescent="0.35">
      <c r="A10457" s="34"/>
      <c r="B10457" s="35"/>
      <c r="C10457" s="36"/>
      <c r="D10457" s="37"/>
      <c r="E10457" s="36"/>
      <c r="F10457" s="42"/>
      <c r="G10457" s="42"/>
      <c r="H10457" s="42"/>
      <c r="AG10457" s="19"/>
    </row>
    <row r="10458" spans="1:33" ht="14.5" x14ac:dyDescent="0.35">
      <c r="A10458" s="34"/>
      <c r="B10458" s="35"/>
      <c r="C10458" s="36"/>
      <c r="D10458" s="37"/>
      <c r="E10458" s="36"/>
      <c r="F10458" s="42"/>
      <c r="G10458" s="42"/>
      <c r="H10458" s="42"/>
      <c r="AG10458" s="19"/>
    </row>
    <row r="10459" spans="1:33" ht="14.5" x14ac:dyDescent="0.35">
      <c r="A10459" s="34"/>
      <c r="B10459" s="35"/>
      <c r="C10459" s="36"/>
      <c r="D10459" s="37"/>
      <c r="E10459" s="36"/>
      <c r="F10459" s="42"/>
      <c r="G10459" s="42"/>
      <c r="H10459" s="42"/>
      <c r="AG10459" s="19"/>
    </row>
    <row r="10460" spans="1:33" ht="14.5" x14ac:dyDescent="0.35">
      <c r="A10460" s="34"/>
      <c r="B10460" s="35"/>
      <c r="C10460" s="36"/>
      <c r="D10460" s="37"/>
      <c r="E10460" s="36"/>
      <c r="F10460" s="42"/>
      <c r="G10460" s="42"/>
      <c r="H10460" s="42"/>
      <c r="AG10460" s="19"/>
    </row>
    <row r="10461" spans="1:33" ht="14.5" x14ac:dyDescent="0.35">
      <c r="A10461" s="34"/>
      <c r="B10461" s="35"/>
      <c r="C10461" s="36"/>
      <c r="D10461" s="37"/>
      <c r="E10461" s="36"/>
      <c r="F10461" s="42"/>
      <c r="G10461" s="42"/>
      <c r="H10461" s="42"/>
      <c r="AG10461" s="19"/>
    </row>
    <row r="10462" spans="1:33" ht="14.5" x14ac:dyDescent="0.35">
      <c r="A10462" s="34"/>
      <c r="B10462" s="35"/>
      <c r="C10462" s="36"/>
      <c r="D10462" s="37"/>
      <c r="E10462" s="36"/>
      <c r="F10462" s="42"/>
      <c r="G10462" s="42"/>
      <c r="H10462" s="42"/>
      <c r="AG10462" s="19"/>
    </row>
    <row r="10463" spans="1:33" ht="14.5" x14ac:dyDescent="0.35">
      <c r="A10463" s="34"/>
      <c r="B10463" s="35"/>
      <c r="C10463" s="36"/>
      <c r="D10463" s="37"/>
      <c r="E10463" s="36"/>
      <c r="F10463" s="42"/>
      <c r="G10463" s="42"/>
      <c r="H10463" s="42"/>
      <c r="AG10463" s="19"/>
    </row>
    <row r="10464" spans="1:33" ht="14.5" x14ac:dyDescent="0.35">
      <c r="A10464" s="34"/>
      <c r="B10464" s="35"/>
      <c r="C10464" s="36"/>
      <c r="D10464" s="37"/>
      <c r="E10464" s="36"/>
      <c r="F10464" s="42"/>
      <c r="G10464" s="42"/>
      <c r="H10464" s="42"/>
      <c r="AG10464" s="19"/>
    </row>
    <row r="10465" spans="1:33" ht="14.5" x14ac:dyDescent="0.35">
      <c r="A10465" s="34"/>
      <c r="B10465" s="35"/>
      <c r="C10465" s="36"/>
      <c r="D10465" s="37"/>
      <c r="E10465" s="36"/>
      <c r="F10465" s="42"/>
      <c r="G10465" s="42"/>
      <c r="H10465" s="42"/>
      <c r="AG10465" s="19"/>
    </row>
    <row r="10466" spans="1:33" ht="14.5" x14ac:dyDescent="0.35">
      <c r="A10466" s="34"/>
      <c r="B10466" s="35"/>
      <c r="C10466" s="36"/>
      <c r="D10466" s="37"/>
      <c r="E10466" s="36"/>
      <c r="F10466" s="42"/>
      <c r="G10466" s="42"/>
      <c r="H10466" s="42"/>
      <c r="AG10466" s="19"/>
    </row>
    <row r="10467" spans="1:33" ht="14.5" x14ac:dyDescent="0.35">
      <c r="A10467" s="34"/>
      <c r="B10467" s="35"/>
      <c r="C10467" s="36"/>
      <c r="D10467" s="37"/>
      <c r="E10467" s="36"/>
      <c r="F10467" s="42"/>
      <c r="G10467" s="42"/>
      <c r="H10467" s="42"/>
      <c r="AG10467" s="19"/>
    </row>
    <row r="10468" spans="1:33" ht="14.5" x14ac:dyDescent="0.35">
      <c r="A10468" s="34"/>
      <c r="B10468" s="35"/>
      <c r="C10468" s="36"/>
      <c r="D10468" s="37"/>
      <c r="E10468" s="36"/>
      <c r="F10468" s="42"/>
      <c r="G10468" s="42"/>
      <c r="H10468" s="42"/>
      <c r="AG10468" s="19"/>
    </row>
    <row r="10469" spans="1:33" ht="14.5" x14ac:dyDescent="0.35">
      <c r="A10469" s="34"/>
      <c r="B10469" s="35"/>
      <c r="C10469" s="36"/>
      <c r="D10469" s="37"/>
      <c r="E10469" s="36"/>
      <c r="F10469" s="42"/>
      <c r="G10469" s="42"/>
      <c r="H10469" s="42"/>
      <c r="AG10469" s="19"/>
    </row>
    <row r="10470" spans="1:33" ht="14.5" x14ac:dyDescent="0.35">
      <c r="A10470" s="34"/>
      <c r="B10470" s="35"/>
      <c r="C10470" s="36"/>
      <c r="D10470" s="37"/>
      <c r="E10470" s="36"/>
      <c r="F10470" s="42"/>
      <c r="G10470" s="42"/>
      <c r="H10470" s="42"/>
      <c r="AG10470" s="19"/>
    </row>
    <row r="10471" spans="1:33" ht="14.5" x14ac:dyDescent="0.35">
      <c r="A10471" s="34"/>
      <c r="B10471" s="35"/>
      <c r="C10471" s="36"/>
      <c r="D10471" s="37"/>
      <c r="E10471" s="36"/>
      <c r="F10471" s="42"/>
      <c r="G10471" s="42"/>
      <c r="H10471" s="42"/>
      <c r="AG10471" s="19"/>
    </row>
    <row r="10472" spans="1:33" ht="14.5" x14ac:dyDescent="0.35">
      <c r="A10472" s="34"/>
      <c r="B10472" s="35"/>
      <c r="C10472" s="36"/>
      <c r="D10472" s="37"/>
      <c r="E10472" s="36"/>
      <c r="F10472" s="42"/>
      <c r="G10472" s="42"/>
      <c r="H10472" s="42"/>
      <c r="AG10472" s="19"/>
    </row>
    <row r="10473" spans="1:33" ht="14.5" x14ac:dyDescent="0.35">
      <c r="A10473" s="34"/>
      <c r="B10473" s="35"/>
      <c r="C10473" s="36"/>
      <c r="D10473" s="37"/>
      <c r="E10473" s="36"/>
      <c r="F10473" s="42"/>
      <c r="G10473" s="42"/>
      <c r="H10473" s="42"/>
      <c r="AG10473" s="19"/>
    </row>
    <row r="10474" spans="1:33" ht="14.5" x14ac:dyDescent="0.35">
      <c r="A10474" s="34"/>
      <c r="B10474" s="35"/>
      <c r="C10474" s="36"/>
      <c r="D10474" s="37"/>
      <c r="E10474" s="36"/>
      <c r="F10474" s="42"/>
      <c r="G10474" s="42"/>
      <c r="H10474" s="42"/>
      <c r="AG10474" s="19"/>
    </row>
    <row r="10475" spans="1:33" ht="14.5" x14ac:dyDescent="0.35">
      <c r="A10475" s="34"/>
      <c r="B10475" s="35"/>
      <c r="C10475" s="36"/>
      <c r="D10475" s="37"/>
      <c r="E10475" s="36"/>
      <c r="F10475" s="42"/>
      <c r="G10475" s="42"/>
      <c r="H10475" s="42"/>
      <c r="AG10475" s="19"/>
    </row>
    <row r="10476" spans="1:33" ht="14.5" x14ac:dyDescent="0.35">
      <c r="A10476" s="34"/>
      <c r="B10476" s="35"/>
      <c r="C10476" s="36"/>
      <c r="D10476" s="37"/>
      <c r="E10476" s="36"/>
      <c r="F10476" s="42"/>
      <c r="G10476" s="42"/>
      <c r="H10476" s="42"/>
      <c r="AG10476" s="19"/>
    </row>
    <row r="10477" spans="1:33" ht="14.5" x14ac:dyDescent="0.35">
      <c r="A10477" s="34"/>
      <c r="B10477" s="35"/>
      <c r="C10477" s="36"/>
      <c r="D10477" s="37"/>
      <c r="E10477" s="36"/>
      <c r="F10477" s="42"/>
      <c r="G10477" s="42"/>
      <c r="H10477" s="42"/>
      <c r="AG10477" s="19"/>
    </row>
    <row r="10478" spans="1:33" ht="14.5" x14ac:dyDescent="0.35">
      <c r="A10478" s="34"/>
      <c r="B10478" s="35"/>
      <c r="C10478" s="36"/>
      <c r="D10478" s="37"/>
      <c r="E10478" s="36"/>
      <c r="F10478" s="42"/>
      <c r="G10478" s="42"/>
      <c r="H10478" s="42"/>
      <c r="AG10478" s="19"/>
    </row>
    <row r="10479" spans="1:33" ht="14.5" x14ac:dyDescent="0.35">
      <c r="A10479" s="34"/>
      <c r="B10479" s="35"/>
      <c r="C10479" s="36"/>
      <c r="D10479" s="37"/>
      <c r="E10479" s="36"/>
      <c r="F10479" s="42"/>
      <c r="G10479" s="42"/>
      <c r="H10479" s="42"/>
      <c r="AG10479" s="19"/>
    </row>
    <row r="10480" spans="1:33" ht="14.5" x14ac:dyDescent="0.35">
      <c r="A10480" s="34"/>
      <c r="B10480" s="35"/>
      <c r="C10480" s="36"/>
      <c r="D10480" s="37"/>
      <c r="E10480" s="36"/>
      <c r="F10480" s="42"/>
      <c r="G10480" s="42"/>
      <c r="H10480" s="42"/>
      <c r="AG10480" s="19"/>
    </row>
    <row r="10481" spans="1:33" ht="14.5" x14ac:dyDescent="0.35">
      <c r="A10481" s="34"/>
      <c r="B10481" s="35"/>
      <c r="C10481" s="36"/>
      <c r="D10481" s="37"/>
      <c r="E10481" s="36"/>
      <c r="F10481" s="42"/>
      <c r="G10481" s="42"/>
      <c r="H10481" s="42"/>
      <c r="AG10481" s="19"/>
    </row>
    <row r="10482" spans="1:33" ht="14.5" x14ac:dyDescent="0.35">
      <c r="A10482" s="34"/>
      <c r="B10482" s="35"/>
      <c r="C10482" s="36"/>
      <c r="D10482" s="37"/>
      <c r="E10482" s="36"/>
      <c r="F10482" s="42"/>
      <c r="G10482" s="42"/>
      <c r="H10482" s="42"/>
      <c r="AG10482" s="19"/>
    </row>
    <row r="10483" spans="1:33" ht="14.5" x14ac:dyDescent="0.35">
      <c r="A10483" s="34"/>
      <c r="B10483" s="35"/>
      <c r="C10483" s="36"/>
      <c r="D10483" s="37"/>
      <c r="E10483" s="36"/>
      <c r="F10483" s="42"/>
      <c r="G10483" s="42"/>
      <c r="H10483" s="42"/>
      <c r="AG10483" s="19"/>
    </row>
    <row r="10484" spans="1:33" ht="14.5" x14ac:dyDescent="0.35">
      <c r="A10484" s="34"/>
      <c r="B10484" s="35"/>
      <c r="C10484" s="36"/>
      <c r="D10484" s="37"/>
      <c r="E10484" s="36"/>
      <c r="F10484" s="42"/>
      <c r="G10484" s="42"/>
      <c r="H10484" s="42"/>
      <c r="AG10484" s="19"/>
    </row>
    <row r="10485" spans="1:33" ht="14.5" x14ac:dyDescent="0.35">
      <c r="A10485" s="34"/>
      <c r="B10485" s="35"/>
      <c r="C10485" s="36"/>
      <c r="D10485" s="37"/>
      <c r="E10485" s="36"/>
      <c r="F10485" s="42"/>
      <c r="G10485" s="42"/>
      <c r="H10485" s="42"/>
      <c r="AG10485" s="19"/>
    </row>
    <row r="10486" spans="1:33" ht="14.5" x14ac:dyDescent="0.35">
      <c r="A10486" s="34"/>
      <c r="B10486" s="35"/>
      <c r="C10486" s="36"/>
      <c r="D10486" s="37"/>
      <c r="E10486" s="36"/>
      <c r="F10486" s="42"/>
      <c r="G10486" s="42"/>
      <c r="H10486" s="42"/>
      <c r="AG10486" s="19"/>
    </row>
    <row r="10487" spans="1:33" ht="14.5" x14ac:dyDescent="0.35">
      <c r="A10487" s="34"/>
      <c r="B10487" s="35"/>
      <c r="C10487" s="36"/>
      <c r="D10487" s="37"/>
      <c r="E10487" s="36"/>
      <c r="F10487" s="42"/>
      <c r="G10487" s="42"/>
      <c r="H10487" s="42"/>
      <c r="AG10487" s="19"/>
    </row>
    <row r="10488" spans="1:33" ht="14.5" x14ac:dyDescent="0.35">
      <c r="A10488" s="34"/>
      <c r="B10488" s="35"/>
      <c r="C10488" s="36"/>
      <c r="D10488" s="37"/>
      <c r="E10488" s="36"/>
      <c r="F10488" s="42"/>
      <c r="G10488" s="42"/>
      <c r="H10488" s="42"/>
      <c r="AG10488" s="19"/>
    </row>
    <row r="10489" spans="1:33" ht="14.5" x14ac:dyDescent="0.35">
      <c r="A10489" s="34"/>
      <c r="B10489" s="35"/>
      <c r="C10489" s="36"/>
      <c r="D10489" s="37"/>
      <c r="E10489" s="36"/>
      <c r="F10489" s="42"/>
      <c r="G10489" s="42"/>
      <c r="H10489" s="42"/>
      <c r="AG10489" s="19"/>
    </row>
    <row r="10490" spans="1:33" ht="14.5" x14ac:dyDescent="0.35">
      <c r="A10490" s="34"/>
      <c r="B10490" s="35"/>
      <c r="C10490" s="36"/>
      <c r="D10490" s="37"/>
      <c r="E10490" s="36"/>
      <c r="F10490" s="42"/>
      <c r="G10490" s="42"/>
      <c r="H10490" s="42"/>
      <c r="AG10490" s="19"/>
    </row>
    <row r="10491" spans="1:33" ht="14.5" x14ac:dyDescent="0.35">
      <c r="A10491" s="34"/>
      <c r="B10491" s="35"/>
      <c r="C10491" s="36"/>
      <c r="D10491" s="37"/>
      <c r="E10491" s="36"/>
      <c r="F10491" s="42"/>
      <c r="G10491" s="42"/>
      <c r="H10491" s="42"/>
      <c r="AG10491" s="19"/>
    </row>
    <row r="10492" spans="1:33" ht="14.5" x14ac:dyDescent="0.35">
      <c r="A10492" s="34"/>
      <c r="B10492" s="35"/>
      <c r="C10492" s="36"/>
      <c r="D10492" s="37"/>
      <c r="E10492" s="36"/>
      <c r="F10492" s="42"/>
      <c r="G10492" s="42"/>
      <c r="H10492" s="42"/>
      <c r="AG10492" s="19"/>
    </row>
    <row r="10493" spans="1:33" ht="14.5" x14ac:dyDescent="0.35">
      <c r="A10493" s="34"/>
      <c r="B10493" s="35"/>
      <c r="C10493" s="36"/>
      <c r="D10493" s="37"/>
      <c r="E10493" s="36"/>
      <c r="F10493" s="42"/>
      <c r="G10493" s="42"/>
      <c r="H10493" s="42"/>
      <c r="AG10493" s="19"/>
    </row>
    <row r="10494" spans="1:33" ht="14.5" x14ac:dyDescent="0.35">
      <c r="A10494" s="34"/>
      <c r="B10494" s="35"/>
      <c r="C10494" s="36"/>
      <c r="D10494" s="37"/>
      <c r="E10494" s="36"/>
      <c r="F10494" s="42"/>
      <c r="G10494" s="42"/>
      <c r="H10494" s="42"/>
      <c r="AG10494" s="19"/>
    </row>
    <row r="10495" spans="1:33" ht="14.5" x14ac:dyDescent="0.35">
      <c r="A10495" s="34"/>
      <c r="B10495" s="35"/>
      <c r="C10495" s="36"/>
      <c r="D10495" s="37"/>
      <c r="E10495" s="36"/>
      <c r="F10495" s="42"/>
      <c r="G10495" s="42"/>
      <c r="H10495" s="42"/>
      <c r="AG10495" s="19"/>
    </row>
    <row r="10496" spans="1:33" ht="14.5" x14ac:dyDescent="0.35">
      <c r="A10496" s="34"/>
      <c r="B10496" s="35"/>
      <c r="C10496" s="36"/>
      <c r="D10496" s="37"/>
      <c r="E10496" s="36"/>
      <c r="F10496" s="42"/>
      <c r="G10496" s="42"/>
      <c r="H10496" s="42"/>
      <c r="AG10496" s="19"/>
    </row>
    <row r="10497" spans="1:33" ht="14.5" x14ac:dyDescent="0.35">
      <c r="A10497" s="34"/>
      <c r="B10497" s="35"/>
      <c r="C10497" s="36"/>
      <c r="D10497" s="37"/>
      <c r="E10497" s="36"/>
      <c r="F10497" s="42"/>
      <c r="G10497" s="42"/>
      <c r="H10497" s="42"/>
      <c r="AG10497" s="19"/>
    </row>
    <row r="10498" spans="1:33" ht="14.5" x14ac:dyDescent="0.35">
      <c r="A10498" s="34"/>
      <c r="B10498" s="35"/>
      <c r="C10498" s="36"/>
      <c r="D10498" s="37"/>
      <c r="E10498" s="36"/>
      <c r="F10498" s="42"/>
      <c r="G10498" s="42"/>
      <c r="H10498" s="42"/>
      <c r="AG10498" s="19"/>
    </row>
    <row r="10499" spans="1:33" ht="14.5" x14ac:dyDescent="0.35">
      <c r="A10499" s="34"/>
      <c r="B10499" s="35"/>
      <c r="C10499" s="36"/>
      <c r="D10499" s="37"/>
      <c r="E10499" s="36"/>
      <c r="F10499" s="42"/>
      <c r="G10499" s="42"/>
      <c r="H10499" s="42"/>
      <c r="AG10499" s="19"/>
    </row>
    <row r="10500" spans="1:33" ht="14.5" x14ac:dyDescent="0.35">
      <c r="A10500" s="34"/>
      <c r="B10500" s="35"/>
      <c r="C10500" s="36"/>
      <c r="D10500" s="37"/>
      <c r="E10500" s="36"/>
      <c r="F10500" s="42"/>
      <c r="G10500" s="42"/>
      <c r="H10500" s="42"/>
      <c r="AG10500" s="19"/>
    </row>
    <row r="10501" spans="1:33" ht="14.5" x14ac:dyDescent="0.35">
      <c r="A10501" s="34"/>
      <c r="B10501" s="35"/>
      <c r="C10501" s="36"/>
      <c r="D10501" s="37"/>
      <c r="E10501" s="36"/>
      <c r="F10501" s="42"/>
      <c r="G10501" s="42"/>
      <c r="H10501" s="42"/>
      <c r="AG10501" s="19"/>
    </row>
    <row r="10502" spans="1:33" ht="14.5" x14ac:dyDescent="0.35">
      <c r="A10502" s="34"/>
      <c r="B10502" s="35"/>
      <c r="C10502" s="36"/>
      <c r="D10502" s="37"/>
      <c r="E10502" s="36"/>
      <c r="F10502" s="42"/>
      <c r="G10502" s="42"/>
      <c r="H10502" s="42"/>
      <c r="AG10502" s="19"/>
    </row>
    <row r="10503" spans="1:33" ht="14.5" x14ac:dyDescent="0.35">
      <c r="A10503" s="34"/>
      <c r="B10503" s="35"/>
      <c r="C10503" s="36"/>
      <c r="D10503" s="37"/>
      <c r="E10503" s="36"/>
      <c r="F10503" s="42"/>
      <c r="G10503" s="42"/>
      <c r="H10503" s="42"/>
      <c r="AG10503" s="19"/>
    </row>
    <row r="10504" spans="1:33" ht="14.5" x14ac:dyDescent="0.35">
      <c r="A10504" s="34"/>
      <c r="B10504" s="35"/>
      <c r="C10504" s="36"/>
      <c r="D10504" s="37"/>
      <c r="E10504" s="36"/>
      <c r="F10504" s="42"/>
      <c r="G10504" s="42"/>
      <c r="H10504" s="42"/>
      <c r="AG10504" s="19"/>
    </row>
    <row r="10505" spans="1:33" ht="14.5" x14ac:dyDescent="0.35">
      <c r="A10505" s="34"/>
      <c r="B10505" s="35"/>
      <c r="C10505" s="36"/>
      <c r="D10505" s="37"/>
      <c r="E10505" s="36"/>
      <c r="F10505" s="42"/>
      <c r="G10505" s="42"/>
      <c r="H10505" s="42"/>
      <c r="AG10505" s="19"/>
    </row>
    <row r="10506" spans="1:33" ht="14.5" x14ac:dyDescent="0.35">
      <c r="A10506" s="34"/>
      <c r="B10506" s="35"/>
      <c r="C10506" s="36"/>
      <c r="D10506" s="37"/>
      <c r="E10506" s="36"/>
      <c r="F10506" s="42"/>
      <c r="G10506" s="42"/>
      <c r="H10506" s="42"/>
      <c r="AG10506" s="19"/>
    </row>
    <row r="10507" spans="1:33" ht="14.5" x14ac:dyDescent="0.35">
      <c r="A10507" s="34"/>
      <c r="B10507" s="35"/>
      <c r="C10507" s="36"/>
      <c r="D10507" s="37"/>
      <c r="E10507" s="36"/>
      <c r="F10507" s="42"/>
      <c r="G10507" s="42"/>
      <c r="H10507" s="42"/>
      <c r="AG10507" s="19"/>
    </row>
    <row r="10508" spans="1:33" ht="14.5" x14ac:dyDescent="0.35">
      <c r="A10508" s="34"/>
      <c r="B10508" s="35"/>
      <c r="C10508" s="36"/>
      <c r="D10508" s="37"/>
      <c r="E10508" s="36"/>
      <c r="F10508" s="42"/>
      <c r="G10508" s="42"/>
      <c r="H10508" s="42"/>
      <c r="AG10508" s="19"/>
    </row>
    <row r="10509" spans="1:33" ht="14.5" x14ac:dyDescent="0.35">
      <c r="A10509" s="34"/>
      <c r="B10509" s="35"/>
      <c r="C10509" s="36"/>
      <c r="D10509" s="37"/>
      <c r="E10509" s="36"/>
      <c r="F10509" s="42"/>
      <c r="G10509" s="42"/>
      <c r="H10509" s="42"/>
      <c r="AG10509" s="19"/>
    </row>
    <row r="10510" spans="1:33" ht="14.5" x14ac:dyDescent="0.35">
      <c r="A10510" s="34"/>
      <c r="B10510" s="35"/>
      <c r="C10510" s="36"/>
      <c r="D10510" s="37"/>
      <c r="E10510" s="36"/>
      <c r="F10510" s="42"/>
      <c r="G10510" s="42"/>
      <c r="H10510" s="42"/>
      <c r="AG10510" s="19"/>
    </row>
    <row r="10511" spans="1:33" ht="14.5" x14ac:dyDescent="0.35">
      <c r="A10511" s="34"/>
      <c r="B10511" s="35"/>
      <c r="C10511" s="36"/>
      <c r="D10511" s="37"/>
      <c r="E10511" s="36"/>
      <c r="F10511" s="42"/>
      <c r="G10511" s="42"/>
      <c r="H10511" s="42"/>
      <c r="AG10511" s="19"/>
    </row>
    <row r="10512" spans="1:33" ht="14.5" x14ac:dyDescent="0.35">
      <c r="A10512" s="34"/>
      <c r="B10512" s="35"/>
      <c r="C10512" s="36"/>
      <c r="D10512" s="37"/>
      <c r="E10512" s="36"/>
      <c r="F10512" s="42"/>
      <c r="G10512" s="42"/>
      <c r="H10512" s="42"/>
      <c r="AG10512" s="19"/>
    </row>
    <row r="10513" spans="1:33" ht="14.5" x14ac:dyDescent="0.35">
      <c r="A10513" s="34"/>
      <c r="B10513" s="35"/>
      <c r="C10513" s="36"/>
      <c r="D10513" s="37"/>
      <c r="E10513" s="36"/>
      <c r="F10513" s="42"/>
      <c r="G10513" s="42"/>
      <c r="H10513" s="42"/>
      <c r="AG10513" s="19"/>
    </row>
    <row r="10514" spans="1:33" ht="14.5" x14ac:dyDescent="0.35">
      <c r="A10514" s="34"/>
      <c r="B10514" s="35"/>
      <c r="C10514" s="36"/>
      <c r="D10514" s="37"/>
      <c r="E10514" s="36"/>
      <c r="F10514" s="42"/>
      <c r="G10514" s="42"/>
      <c r="H10514" s="42"/>
      <c r="AG10514" s="19"/>
    </row>
    <row r="10515" spans="1:33" ht="14.5" x14ac:dyDescent="0.35">
      <c r="A10515" s="34"/>
      <c r="B10515" s="35"/>
      <c r="C10515" s="36"/>
      <c r="D10515" s="37"/>
      <c r="E10515" s="36"/>
      <c r="F10515" s="42"/>
      <c r="G10515" s="42"/>
      <c r="H10515" s="42"/>
      <c r="AG10515" s="19"/>
    </row>
    <row r="10516" spans="1:33" ht="14.5" x14ac:dyDescent="0.35">
      <c r="A10516" s="34"/>
      <c r="B10516" s="35"/>
      <c r="C10516" s="36"/>
      <c r="D10516" s="37"/>
      <c r="E10516" s="36"/>
      <c r="F10516" s="42"/>
      <c r="G10516" s="42"/>
      <c r="H10516" s="42"/>
      <c r="AG10516" s="19"/>
    </row>
    <row r="10517" spans="1:33" ht="14.5" x14ac:dyDescent="0.35">
      <c r="A10517" s="34"/>
      <c r="B10517" s="35"/>
      <c r="C10517" s="36"/>
      <c r="D10517" s="37"/>
      <c r="E10517" s="36"/>
      <c r="F10517" s="42"/>
      <c r="G10517" s="42"/>
      <c r="H10517" s="42"/>
      <c r="AG10517" s="19"/>
    </row>
    <row r="10518" spans="1:33" ht="14.5" x14ac:dyDescent="0.35">
      <c r="A10518" s="34"/>
      <c r="B10518" s="35"/>
      <c r="C10518" s="36"/>
      <c r="D10518" s="37"/>
      <c r="E10518" s="36"/>
      <c r="F10518" s="42"/>
      <c r="G10518" s="42"/>
      <c r="H10518" s="42"/>
      <c r="AG10518" s="19"/>
    </row>
    <row r="10519" spans="1:33" ht="14.5" x14ac:dyDescent="0.35">
      <c r="A10519" s="34"/>
      <c r="B10519" s="35"/>
      <c r="C10519" s="36"/>
      <c r="D10519" s="37"/>
      <c r="E10519" s="36"/>
      <c r="F10519" s="42"/>
      <c r="G10519" s="42"/>
      <c r="H10519" s="42"/>
      <c r="AG10519" s="19"/>
    </row>
    <row r="10520" spans="1:33" ht="14.5" x14ac:dyDescent="0.35">
      <c r="A10520" s="34"/>
      <c r="B10520" s="35"/>
      <c r="C10520" s="36"/>
      <c r="D10520" s="37"/>
      <c r="E10520" s="36"/>
      <c r="F10520" s="42"/>
      <c r="G10520" s="42"/>
      <c r="H10520" s="42"/>
      <c r="AG10520" s="19"/>
    </row>
    <row r="10521" spans="1:33" ht="14.5" x14ac:dyDescent="0.35">
      <c r="A10521" s="34"/>
      <c r="B10521" s="35"/>
      <c r="C10521" s="36"/>
      <c r="D10521" s="37"/>
      <c r="E10521" s="36"/>
      <c r="F10521" s="42"/>
      <c r="G10521" s="42"/>
      <c r="H10521" s="42"/>
      <c r="AG10521" s="19"/>
    </row>
    <row r="10522" spans="1:33" ht="14.5" x14ac:dyDescent="0.35">
      <c r="A10522" s="34"/>
      <c r="B10522" s="35"/>
      <c r="C10522" s="36"/>
      <c r="D10522" s="37"/>
      <c r="E10522" s="36"/>
      <c r="F10522" s="42"/>
      <c r="G10522" s="42"/>
      <c r="H10522" s="42"/>
      <c r="AG10522" s="19"/>
    </row>
    <row r="10523" spans="1:33" ht="14.5" x14ac:dyDescent="0.35">
      <c r="A10523" s="34"/>
      <c r="B10523" s="35"/>
      <c r="C10523" s="36"/>
      <c r="D10523" s="37"/>
      <c r="E10523" s="36"/>
      <c r="F10523" s="42"/>
      <c r="G10523" s="42"/>
      <c r="H10523" s="42"/>
      <c r="AG10523" s="19"/>
    </row>
    <row r="10524" spans="1:33" ht="14.5" x14ac:dyDescent="0.35">
      <c r="A10524" s="34"/>
      <c r="B10524" s="35"/>
      <c r="C10524" s="36"/>
      <c r="D10524" s="37"/>
      <c r="E10524" s="36"/>
      <c r="F10524" s="42"/>
      <c r="G10524" s="42"/>
      <c r="H10524" s="42"/>
      <c r="AG10524" s="19"/>
    </row>
    <row r="10525" spans="1:33" ht="14.5" x14ac:dyDescent="0.35">
      <c r="A10525" s="34"/>
      <c r="B10525" s="35"/>
      <c r="C10525" s="36"/>
      <c r="D10525" s="37"/>
      <c r="E10525" s="36"/>
      <c r="F10525" s="42"/>
      <c r="G10525" s="42"/>
      <c r="H10525" s="42"/>
      <c r="AG10525" s="19"/>
    </row>
    <row r="10526" spans="1:33" ht="14.5" x14ac:dyDescent="0.35">
      <c r="A10526" s="34"/>
      <c r="B10526" s="35"/>
      <c r="C10526" s="36"/>
      <c r="D10526" s="37"/>
      <c r="E10526" s="36"/>
      <c r="F10526" s="42"/>
      <c r="G10526" s="42"/>
      <c r="H10526" s="42"/>
      <c r="AG10526" s="19"/>
    </row>
    <row r="10527" spans="1:33" ht="14.5" x14ac:dyDescent="0.35">
      <c r="A10527" s="34"/>
      <c r="B10527" s="35"/>
      <c r="C10527" s="36"/>
      <c r="D10527" s="37"/>
      <c r="E10527" s="36"/>
      <c r="F10527" s="42"/>
      <c r="G10527" s="42"/>
      <c r="H10527" s="42"/>
      <c r="AG10527" s="19"/>
    </row>
    <row r="10528" spans="1:33" ht="14.5" x14ac:dyDescent="0.35">
      <c r="A10528" s="34"/>
      <c r="B10528" s="35"/>
      <c r="C10528" s="36"/>
      <c r="D10528" s="37"/>
      <c r="E10528" s="36"/>
      <c r="F10528" s="42"/>
      <c r="G10528" s="42"/>
      <c r="H10528" s="42"/>
      <c r="AG10528" s="19"/>
    </row>
    <row r="10529" spans="1:33" ht="14.5" x14ac:dyDescent="0.35">
      <c r="A10529" s="34"/>
      <c r="B10529" s="35"/>
      <c r="C10529" s="36"/>
      <c r="D10529" s="37"/>
      <c r="E10529" s="36"/>
      <c r="F10529" s="42"/>
      <c r="G10529" s="42"/>
      <c r="H10529" s="42"/>
      <c r="AG10529" s="19"/>
    </row>
    <row r="10530" spans="1:33" ht="14.5" x14ac:dyDescent="0.35">
      <c r="A10530" s="34"/>
      <c r="B10530" s="35"/>
      <c r="C10530" s="36"/>
      <c r="D10530" s="37"/>
      <c r="E10530" s="36"/>
      <c r="F10530" s="42"/>
      <c r="G10530" s="42"/>
      <c r="H10530" s="42"/>
      <c r="AG10530" s="19"/>
    </row>
    <row r="10531" spans="1:33" ht="14.5" x14ac:dyDescent="0.35">
      <c r="A10531" s="34"/>
      <c r="B10531" s="35"/>
      <c r="C10531" s="36"/>
      <c r="D10531" s="37"/>
      <c r="E10531" s="36"/>
      <c r="F10531" s="42"/>
      <c r="G10531" s="42"/>
      <c r="H10531" s="42"/>
      <c r="AG10531" s="19"/>
    </row>
    <row r="10532" spans="1:33" ht="14.5" x14ac:dyDescent="0.35">
      <c r="A10532" s="34"/>
      <c r="B10532" s="35"/>
      <c r="C10532" s="36"/>
      <c r="D10532" s="37"/>
      <c r="E10532" s="36"/>
      <c r="F10532" s="42"/>
      <c r="G10532" s="42"/>
      <c r="H10532" s="42"/>
      <c r="AG10532" s="19"/>
    </row>
    <row r="10533" spans="1:33" ht="14.5" x14ac:dyDescent="0.35">
      <c r="A10533" s="34"/>
      <c r="B10533" s="35"/>
      <c r="C10533" s="36"/>
      <c r="D10533" s="37"/>
      <c r="E10533" s="36"/>
      <c r="F10533" s="42"/>
      <c r="G10533" s="42"/>
      <c r="H10533" s="42"/>
      <c r="AG10533" s="19"/>
    </row>
    <row r="10534" spans="1:33" ht="14.5" x14ac:dyDescent="0.35">
      <c r="A10534" s="34"/>
      <c r="B10534" s="35"/>
      <c r="C10534" s="36"/>
      <c r="D10534" s="37"/>
      <c r="E10534" s="36"/>
      <c r="F10534" s="42"/>
      <c r="G10534" s="42"/>
      <c r="H10534" s="42"/>
      <c r="AG10534" s="19"/>
    </row>
    <row r="10535" spans="1:33" ht="14.5" x14ac:dyDescent="0.35">
      <c r="A10535" s="34"/>
      <c r="B10535" s="35"/>
      <c r="C10535" s="36"/>
      <c r="D10535" s="37"/>
      <c r="E10535" s="36"/>
      <c r="F10535" s="42"/>
      <c r="G10535" s="42"/>
      <c r="H10535" s="42"/>
      <c r="AG10535" s="19"/>
    </row>
    <row r="10536" spans="1:33" ht="14.5" x14ac:dyDescent="0.35">
      <c r="A10536" s="34"/>
      <c r="B10536" s="35"/>
      <c r="C10536" s="36"/>
      <c r="D10536" s="37"/>
      <c r="E10536" s="36"/>
      <c r="F10536" s="42"/>
      <c r="G10536" s="42"/>
      <c r="H10536" s="42"/>
      <c r="AG10536" s="19"/>
    </row>
    <row r="10537" spans="1:33" ht="14.5" x14ac:dyDescent="0.35">
      <c r="A10537" s="34"/>
      <c r="B10537" s="35"/>
      <c r="C10537" s="36"/>
      <c r="D10537" s="37"/>
      <c r="E10537" s="36"/>
      <c r="F10537" s="42"/>
      <c r="G10537" s="42"/>
      <c r="H10537" s="42"/>
      <c r="AG10537" s="19"/>
    </row>
    <row r="10538" spans="1:33" ht="14.5" x14ac:dyDescent="0.35">
      <c r="A10538" s="34"/>
      <c r="B10538" s="35"/>
      <c r="C10538" s="36"/>
      <c r="D10538" s="37"/>
      <c r="E10538" s="36"/>
      <c r="F10538" s="42"/>
      <c r="G10538" s="42"/>
      <c r="H10538" s="42"/>
      <c r="AG10538" s="19"/>
    </row>
    <row r="10539" spans="1:33" ht="14.5" x14ac:dyDescent="0.35">
      <c r="A10539" s="34"/>
      <c r="B10539" s="35"/>
      <c r="C10539" s="36"/>
      <c r="D10539" s="37"/>
      <c r="E10539" s="36"/>
      <c r="F10539" s="42"/>
      <c r="G10539" s="42"/>
      <c r="H10539" s="42"/>
      <c r="AG10539" s="19"/>
    </row>
    <row r="10540" spans="1:33" ht="14.5" x14ac:dyDescent="0.35">
      <c r="A10540" s="34"/>
      <c r="B10540" s="35"/>
      <c r="C10540" s="36"/>
      <c r="D10540" s="37"/>
      <c r="E10540" s="36"/>
      <c r="F10540" s="42"/>
      <c r="G10540" s="42"/>
      <c r="H10540" s="42"/>
      <c r="AG10540" s="19"/>
    </row>
    <row r="10541" spans="1:33" ht="14.5" x14ac:dyDescent="0.35">
      <c r="A10541" s="34"/>
      <c r="B10541" s="35"/>
      <c r="C10541" s="36"/>
      <c r="D10541" s="37"/>
      <c r="E10541" s="36"/>
      <c r="F10541" s="42"/>
      <c r="G10541" s="42"/>
      <c r="H10541" s="42"/>
      <c r="AG10541" s="19"/>
    </row>
    <row r="10542" spans="1:33" ht="14.5" x14ac:dyDescent="0.35">
      <c r="A10542" s="34"/>
      <c r="B10542" s="35"/>
      <c r="C10542" s="36"/>
      <c r="D10542" s="37"/>
      <c r="E10542" s="36"/>
      <c r="F10542" s="42"/>
      <c r="G10542" s="42"/>
      <c r="H10542" s="42"/>
      <c r="AG10542" s="19"/>
    </row>
    <row r="10543" spans="1:33" ht="14.5" x14ac:dyDescent="0.35">
      <c r="A10543" s="34"/>
      <c r="B10543" s="35"/>
      <c r="C10543" s="36"/>
      <c r="D10543" s="37"/>
      <c r="E10543" s="36"/>
      <c r="F10543" s="42"/>
      <c r="G10543" s="42"/>
      <c r="H10543" s="42"/>
      <c r="AG10543" s="19"/>
    </row>
    <row r="10544" spans="1:33" ht="14.5" x14ac:dyDescent="0.35">
      <c r="A10544" s="34"/>
      <c r="B10544" s="35"/>
      <c r="C10544" s="36"/>
      <c r="D10544" s="37"/>
      <c r="E10544" s="36"/>
      <c r="F10544" s="42"/>
      <c r="G10544" s="42"/>
      <c r="H10544" s="42"/>
      <c r="AG10544" s="19"/>
    </row>
    <row r="10545" spans="1:33" ht="14.5" x14ac:dyDescent="0.35">
      <c r="A10545" s="34"/>
      <c r="B10545" s="35"/>
      <c r="C10545" s="36"/>
      <c r="D10545" s="37"/>
      <c r="E10545" s="36"/>
      <c r="F10545" s="42"/>
      <c r="G10545" s="42"/>
      <c r="H10545" s="42"/>
      <c r="AG10545" s="19"/>
    </row>
    <row r="10546" spans="1:33" ht="14.5" x14ac:dyDescent="0.35">
      <c r="A10546" s="34"/>
      <c r="B10546" s="35"/>
      <c r="C10546" s="36"/>
      <c r="D10546" s="37"/>
      <c r="E10546" s="36"/>
      <c r="F10546" s="42"/>
      <c r="G10546" s="42"/>
      <c r="H10546" s="42"/>
      <c r="AG10546" s="19"/>
    </row>
    <row r="10547" spans="1:33" ht="14.5" x14ac:dyDescent="0.35">
      <c r="A10547" s="34"/>
      <c r="B10547" s="35"/>
      <c r="C10547" s="36"/>
      <c r="D10547" s="37"/>
      <c r="E10547" s="36"/>
      <c r="F10547" s="42"/>
      <c r="G10547" s="42"/>
      <c r="H10547" s="42"/>
      <c r="AG10547" s="19"/>
    </row>
    <row r="10548" spans="1:33" ht="14.5" x14ac:dyDescent="0.35">
      <c r="A10548" s="34"/>
      <c r="B10548" s="35"/>
      <c r="C10548" s="36"/>
      <c r="D10548" s="37"/>
      <c r="E10548" s="36"/>
      <c r="F10548" s="42"/>
      <c r="G10548" s="42"/>
      <c r="H10548" s="42"/>
      <c r="AG10548" s="19"/>
    </row>
    <row r="10549" spans="1:33" ht="14.5" x14ac:dyDescent="0.35">
      <c r="A10549" s="34"/>
      <c r="B10549" s="35"/>
      <c r="C10549" s="36"/>
      <c r="D10549" s="37"/>
      <c r="E10549" s="36"/>
      <c r="F10549" s="42"/>
      <c r="G10549" s="42"/>
      <c r="H10549" s="42"/>
      <c r="AG10549" s="19"/>
    </row>
    <row r="10550" spans="1:33" ht="14.5" x14ac:dyDescent="0.35">
      <c r="A10550" s="34"/>
      <c r="B10550" s="35"/>
      <c r="C10550" s="36"/>
      <c r="D10550" s="37"/>
      <c r="E10550" s="36"/>
      <c r="F10550" s="42"/>
      <c r="G10550" s="42"/>
      <c r="H10550" s="42"/>
      <c r="AG10550" s="19"/>
    </row>
    <row r="10551" spans="1:33" ht="14.5" x14ac:dyDescent="0.35">
      <c r="A10551" s="34"/>
      <c r="B10551" s="35"/>
      <c r="C10551" s="36"/>
      <c r="D10551" s="37"/>
      <c r="E10551" s="36"/>
      <c r="F10551" s="42"/>
      <c r="G10551" s="42"/>
      <c r="H10551" s="42"/>
      <c r="AG10551" s="19"/>
    </row>
    <row r="10552" spans="1:33" ht="14.5" x14ac:dyDescent="0.35">
      <c r="A10552" s="34"/>
      <c r="B10552" s="35"/>
      <c r="C10552" s="36"/>
      <c r="D10552" s="37"/>
      <c r="E10552" s="36"/>
      <c r="F10552" s="42"/>
      <c r="G10552" s="42"/>
      <c r="H10552" s="42"/>
      <c r="AG10552" s="19"/>
    </row>
    <row r="10553" spans="1:33" ht="14.5" x14ac:dyDescent="0.35">
      <c r="A10553" s="34"/>
      <c r="B10553" s="35"/>
      <c r="C10553" s="36"/>
      <c r="D10553" s="37"/>
      <c r="E10553" s="36"/>
      <c r="F10553" s="42"/>
      <c r="G10553" s="42"/>
      <c r="H10553" s="42"/>
      <c r="AG10553" s="19"/>
    </row>
    <row r="10554" spans="1:33" ht="14.5" x14ac:dyDescent="0.35">
      <c r="A10554" s="34"/>
      <c r="B10554" s="35"/>
      <c r="C10554" s="36"/>
      <c r="D10554" s="37"/>
      <c r="E10554" s="36"/>
      <c r="F10554" s="42"/>
      <c r="G10554" s="42"/>
      <c r="H10554" s="42"/>
      <c r="AG10554" s="19"/>
    </row>
    <row r="10555" spans="1:33" ht="14.5" x14ac:dyDescent="0.35">
      <c r="A10555" s="34"/>
      <c r="B10555" s="35"/>
      <c r="C10555" s="36"/>
      <c r="D10555" s="37"/>
      <c r="E10555" s="36"/>
      <c r="F10555" s="42"/>
      <c r="G10555" s="42"/>
      <c r="H10555" s="42"/>
      <c r="AG10555" s="19"/>
    </row>
    <row r="10556" spans="1:33" ht="14.5" x14ac:dyDescent="0.35">
      <c r="A10556" s="34"/>
      <c r="B10556" s="35"/>
      <c r="C10556" s="36"/>
      <c r="D10556" s="37"/>
      <c r="E10556" s="36"/>
      <c r="F10556" s="42"/>
      <c r="G10556" s="42"/>
      <c r="H10556" s="42"/>
      <c r="AG10556" s="19"/>
    </row>
    <row r="10557" spans="1:33" ht="14.5" x14ac:dyDescent="0.35">
      <c r="A10557" s="34"/>
      <c r="B10557" s="35"/>
      <c r="C10557" s="36"/>
      <c r="D10557" s="37"/>
      <c r="E10557" s="36"/>
      <c r="F10557" s="42"/>
      <c r="G10557" s="42"/>
      <c r="H10557" s="42"/>
      <c r="AG10557" s="19"/>
    </row>
    <row r="10558" spans="1:33" ht="14.5" x14ac:dyDescent="0.35">
      <c r="A10558" s="34"/>
      <c r="B10558" s="35"/>
      <c r="C10558" s="36"/>
      <c r="D10558" s="37"/>
      <c r="E10558" s="36"/>
      <c r="F10558" s="42"/>
      <c r="G10558" s="42"/>
      <c r="H10558" s="42"/>
      <c r="AG10558" s="19"/>
    </row>
    <row r="10559" spans="1:33" ht="14.5" x14ac:dyDescent="0.35">
      <c r="A10559" s="34"/>
      <c r="B10559" s="35"/>
      <c r="C10559" s="36"/>
      <c r="D10559" s="37"/>
      <c r="E10559" s="36"/>
      <c r="F10559" s="42"/>
      <c r="G10559" s="42"/>
      <c r="H10559" s="42"/>
      <c r="AG10559" s="19"/>
    </row>
    <row r="10560" spans="1:33" ht="14.5" x14ac:dyDescent="0.35">
      <c r="A10560" s="34"/>
      <c r="B10560" s="35"/>
      <c r="C10560" s="36"/>
      <c r="D10560" s="37"/>
      <c r="E10560" s="36"/>
      <c r="F10560" s="42"/>
      <c r="G10560" s="42"/>
      <c r="H10560" s="42"/>
      <c r="AG10560" s="19"/>
    </row>
    <row r="10561" spans="1:33" ht="14.5" x14ac:dyDescent="0.35">
      <c r="A10561" s="34"/>
      <c r="B10561" s="35"/>
      <c r="C10561" s="36"/>
      <c r="D10561" s="37"/>
      <c r="E10561" s="36"/>
      <c r="F10561" s="42"/>
      <c r="G10561" s="42"/>
      <c r="H10561" s="42"/>
      <c r="AG10561" s="19"/>
    </row>
    <row r="10562" spans="1:33" ht="14.5" x14ac:dyDescent="0.35">
      <c r="A10562" s="34"/>
      <c r="B10562" s="35"/>
      <c r="C10562" s="36"/>
      <c r="D10562" s="37"/>
      <c r="E10562" s="36"/>
      <c r="F10562" s="42"/>
      <c r="G10562" s="42"/>
      <c r="H10562" s="42"/>
      <c r="AG10562" s="19"/>
    </row>
    <row r="10563" spans="1:33" ht="14.5" x14ac:dyDescent="0.35">
      <c r="A10563" s="34"/>
      <c r="B10563" s="35"/>
      <c r="C10563" s="36"/>
      <c r="D10563" s="37"/>
      <c r="E10563" s="36"/>
      <c r="F10563" s="42"/>
      <c r="G10563" s="42"/>
      <c r="H10563" s="42"/>
      <c r="AG10563" s="19"/>
    </row>
    <row r="10564" spans="1:33" ht="14.5" x14ac:dyDescent="0.35">
      <c r="A10564" s="34"/>
      <c r="B10564" s="35"/>
      <c r="C10564" s="36"/>
      <c r="D10564" s="37"/>
      <c r="E10564" s="36"/>
      <c r="F10564" s="42"/>
      <c r="G10564" s="42"/>
      <c r="H10564" s="42"/>
      <c r="AG10564" s="19"/>
    </row>
    <row r="10565" spans="1:33" ht="14.5" x14ac:dyDescent="0.35">
      <c r="A10565" s="34"/>
      <c r="B10565" s="35"/>
      <c r="C10565" s="36"/>
      <c r="D10565" s="37"/>
      <c r="E10565" s="36"/>
      <c r="F10565" s="42"/>
      <c r="G10565" s="42"/>
      <c r="H10565" s="42"/>
      <c r="AG10565" s="19"/>
    </row>
    <row r="10566" spans="1:33" ht="14.5" x14ac:dyDescent="0.35">
      <c r="A10566" s="34"/>
      <c r="B10566" s="35"/>
      <c r="C10566" s="36"/>
      <c r="D10566" s="37"/>
      <c r="E10566" s="36"/>
      <c r="F10566" s="42"/>
      <c r="G10566" s="42"/>
      <c r="H10566" s="42"/>
      <c r="AG10566" s="19"/>
    </row>
    <row r="10567" spans="1:33" ht="14.5" x14ac:dyDescent="0.35">
      <c r="A10567" s="34"/>
      <c r="B10567" s="35"/>
      <c r="C10567" s="36"/>
      <c r="D10567" s="37"/>
      <c r="E10567" s="36"/>
      <c r="F10567" s="42"/>
      <c r="G10567" s="42"/>
      <c r="H10567" s="42"/>
      <c r="AG10567" s="19"/>
    </row>
    <row r="10568" spans="1:33" ht="14.5" x14ac:dyDescent="0.35">
      <c r="A10568" s="34"/>
      <c r="B10568" s="35"/>
      <c r="C10568" s="36"/>
      <c r="D10568" s="37"/>
      <c r="E10568" s="36"/>
      <c r="F10568" s="42"/>
      <c r="G10568" s="42"/>
      <c r="H10568" s="42"/>
      <c r="AG10568" s="19"/>
    </row>
    <row r="10569" spans="1:33" ht="14.5" x14ac:dyDescent="0.35">
      <c r="A10569" s="34"/>
      <c r="B10569" s="35"/>
      <c r="C10569" s="36"/>
      <c r="D10569" s="37"/>
      <c r="E10569" s="36"/>
      <c r="F10569" s="42"/>
      <c r="G10569" s="42"/>
      <c r="H10569" s="42"/>
      <c r="AG10569" s="19"/>
    </row>
    <row r="10570" spans="1:33" ht="14.5" x14ac:dyDescent="0.35">
      <c r="A10570" s="34"/>
      <c r="B10570" s="35"/>
      <c r="C10570" s="36"/>
      <c r="D10570" s="37"/>
      <c r="E10570" s="36"/>
      <c r="F10570" s="42"/>
      <c r="G10570" s="42"/>
      <c r="H10570" s="42"/>
      <c r="AG10570" s="19"/>
    </row>
    <row r="10571" spans="1:33" ht="14.5" x14ac:dyDescent="0.35">
      <c r="A10571" s="34"/>
      <c r="B10571" s="35"/>
      <c r="C10571" s="36"/>
      <c r="D10571" s="37"/>
      <c r="E10571" s="36"/>
      <c r="F10571" s="42"/>
      <c r="G10571" s="42"/>
      <c r="H10571" s="42"/>
      <c r="AG10571" s="19"/>
    </row>
    <row r="10572" spans="1:33" ht="14.5" x14ac:dyDescent="0.35">
      <c r="A10572" s="34"/>
      <c r="B10572" s="35"/>
      <c r="C10572" s="36"/>
      <c r="D10572" s="37"/>
      <c r="E10572" s="36"/>
      <c r="F10572" s="42"/>
      <c r="G10572" s="42"/>
      <c r="H10572" s="42"/>
      <c r="AG10572" s="19"/>
    </row>
    <row r="10573" spans="1:33" ht="14.5" x14ac:dyDescent="0.35">
      <c r="A10573" s="34"/>
      <c r="B10573" s="35"/>
      <c r="C10573" s="36"/>
      <c r="D10573" s="37"/>
      <c r="E10573" s="36"/>
      <c r="F10573" s="42"/>
      <c r="G10573" s="42"/>
      <c r="H10573" s="42"/>
      <c r="AG10573" s="19"/>
    </row>
    <row r="10574" spans="1:33" ht="14.5" x14ac:dyDescent="0.35">
      <c r="A10574" s="34"/>
      <c r="B10574" s="35"/>
      <c r="C10574" s="36"/>
      <c r="D10574" s="37"/>
      <c r="E10574" s="36"/>
      <c r="F10574" s="42"/>
      <c r="G10574" s="42"/>
      <c r="H10574" s="42"/>
      <c r="AG10574" s="19"/>
    </row>
    <row r="10575" spans="1:33" ht="14.5" x14ac:dyDescent="0.35">
      <c r="A10575" s="34"/>
      <c r="B10575" s="35"/>
      <c r="C10575" s="36"/>
      <c r="D10575" s="37"/>
      <c r="E10575" s="36"/>
      <c r="F10575" s="42"/>
      <c r="G10575" s="42"/>
      <c r="H10575" s="42"/>
      <c r="AG10575" s="19"/>
    </row>
    <row r="10576" spans="1:33" ht="14.5" x14ac:dyDescent="0.35">
      <c r="A10576" s="34"/>
      <c r="B10576" s="35"/>
      <c r="C10576" s="36"/>
      <c r="D10576" s="37"/>
      <c r="E10576" s="36"/>
      <c r="F10576" s="42"/>
      <c r="G10576" s="42"/>
      <c r="H10576" s="42"/>
      <c r="AG10576" s="19"/>
    </row>
    <row r="10577" spans="1:33" ht="14.5" x14ac:dyDescent="0.35">
      <c r="A10577" s="34"/>
      <c r="B10577" s="35"/>
      <c r="C10577" s="36"/>
      <c r="D10577" s="37"/>
      <c r="E10577" s="36"/>
      <c r="F10577" s="42"/>
      <c r="G10577" s="42"/>
      <c r="H10577" s="42"/>
      <c r="AG10577" s="19"/>
    </row>
    <row r="10578" spans="1:33" ht="14.5" x14ac:dyDescent="0.35">
      <c r="A10578" s="34"/>
      <c r="B10578" s="35"/>
      <c r="C10578" s="36"/>
      <c r="D10578" s="37"/>
      <c r="E10578" s="36"/>
      <c r="F10578" s="42"/>
      <c r="G10578" s="42"/>
      <c r="H10578" s="42"/>
      <c r="AG10578" s="19"/>
    </row>
    <row r="10579" spans="1:33" ht="14.5" x14ac:dyDescent="0.35">
      <c r="A10579" s="34"/>
      <c r="B10579" s="35"/>
      <c r="C10579" s="36"/>
      <c r="D10579" s="37"/>
      <c r="E10579" s="36"/>
      <c r="F10579" s="42"/>
      <c r="G10579" s="42"/>
      <c r="H10579" s="42"/>
      <c r="AG10579" s="19"/>
    </row>
    <row r="10580" spans="1:33" ht="14.5" x14ac:dyDescent="0.35">
      <c r="A10580" s="34"/>
      <c r="B10580" s="35"/>
      <c r="C10580" s="36"/>
      <c r="D10580" s="37"/>
      <c r="E10580" s="36"/>
      <c r="F10580" s="42"/>
      <c r="G10580" s="42"/>
      <c r="H10580" s="42"/>
      <c r="AG10580" s="19"/>
    </row>
    <row r="10581" spans="1:33" ht="14.5" x14ac:dyDescent="0.35">
      <c r="A10581" s="34"/>
      <c r="B10581" s="35"/>
      <c r="C10581" s="36"/>
      <c r="D10581" s="37"/>
      <c r="E10581" s="36"/>
      <c r="F10581" s="42"/>
      <c r="G10581" s="42"/>
      <c r="H10581" s="42"/>
      <c r="AG10581" s="19"/>
    </row>
    <row r="10582" spans="1:33" ht="14.5" x14ac:dyDescent="0.35">
      <c r="A10582" s="34"/>
      <c r="B10582" s="35"/>
      <c r="C10582" s="36"/>
      <c r="D10582" s="37"/>
      <c r="E10582" s="36"/>
      <c r="F10582" s="42"/>
      <c r="G10582" s="42"/>
      <c r="H10582" s="42"/>
      <c r="AG10582" s="19"/>
    </row>
    <row r="10583" spans="1:33" ht="14.5" x14ac:dyDescent="0.35">
      <c r="A10583" s="34"/>
      <c r="B10583" s="35"/>
      <c r="C10583" s="36"/>
      <c r="D10583" s="37"/>
      <c r="E10583" s="36"/>
      <c r="F10583" s="42"/>
      <c r="G10583" s="42"/>
      <c r="H10583" s="42"/>
      <c r="AG10583" s="19"/>
    </row>
    <row r="10584" spans="1:33" ht="14.5" x14ac:dyDescent="0.35">
      <c r="A10584" s="34"/>
      <c r="B10584" s="35"/>
      <c r="C10584" s="36"/>
      <c r="D10584" s="37"/>
      <c r="E10584" s="36"/>
      <c r="F10584" s="42"/>
      <c r="G10584" s="42"/>
      <c r="H10584" s="42"/>
      <c r="AG10584" s="19"/>
    </row>
    <row r="10585" spans="1:33" ht="14.5" x14ac:dyDescent="0.35">
      <c r="A10585" s="34"/>
      <c r="B10585" s="35"/>
      <c r="C10585" s="36"/>
      <c r="D10585" s="37"/>
      <c r="E10585" s="36"/>
      <c r="F10585" s="42"/>
      <c r="G10585" s="42"/>
      <c r="H10585" s="42"/>
      <c r="AG10585" s="19"/>
    </row>
    <row r="10586" spans="1:33" ht="14.5" x14ac:dyDescent="0.35">
      <c r="A10586" s="34"/>
      <c r="B10586" s="35"/>
      <c r="C10586" s="36"/>
      <c r="D10586" s="37"/>
      <c r="E10586" s="36"/>
      <c r="F10586" s="42"/>
      <c r="G10586" s="42"/>
      <c r="H10586" s="42"/>
      <c r="AG10586" s="19"/>
    </row>
    <row r="10587" spans="1:33" ht="14.5" x14ac:dyDescent="0.35">
      <c r="A10587" s="34"/>
      <c r="B10587" s="35"/>
      <c r="C10587" s="36"/>
      <c r="D10587" s="37"/>
      <c r="E10587" s="36"/>
      <c r="F10587" s="42"/>
      <c r="G10587" s="42"/>
      <c r="H10587" s="42"/>
      <c r="AG10587" s="19"/>
    </row>
    <row r="10588" spans="1:33" ht="14.5" x14ac:dyDescent="0.35">
      <c r="A10588" s="34"/>
      <c r="B10588" s="35"/>
      <c r="C10588" s="36"/>
      <c r="D10588" s="37"/>
      <c r="E10588" s="36"/>
      <c r="F10588" s="42"/>
      <c r="G10588" s="42"/>
      <c r="H10588" s="42"/>
      <c r="AG10588" s="19"/>
    </row>
    <row r="10589" spans="1:33" ht="14.5" x14ac:dyDescent="0.35">
      <c r="A10589" s="34"/>
      <c r="B10589" s="35"/>
      <c r="C10589" s="36"/>
      <c r="D10589" s="37"/>
      <c r="E10589" s="36"/>
      <c r="F10589" s="42"/>
      <c r="G10589" s="42"/>
      <c r="H10589" s="42"/>
      <c r="AG10589" s="19"/>
    </row>
    <row r="10590" spans="1:33" ht="14.5" x14ac:dyDescent="0.35">
      <c r="A10590" s="34"/>
      <c r="B10590" s="35"/>
      <c r="C10590" s="36"/>
      <c r="D10590" s="37"/>
      <c r="E10590" s="36"/>
      <c r="F10590" s="42"/>
      <c r="G10590" s="42"/>
      <c r="H10590" s="42"/>
      <c r="AG10590" s="19"/>
    </row>
    <row r="10591" spans="1:33" ht="14.5" x14ac:dyDescent="0.35">
      <c r="A10591" s="34"/>
      <c r="B10591" s="35"/>
      <c r="C10591" s="36"/>
      <c r="D10591" s="37"/>
      <c r="E10591" s="36"/>
      <c r="F10591" s="42"/>
      <c r="G10591" s="42"/>
      <c r="H10591" s="42"/>
      <c r="AG10591" s="19"/>
    </row>
    <row r="10592" spans="1:33" ht="14.5" x14ac:dyDescent="0.35">
      <c r="A10592" s="34"/>
      <c r="B10592" s="35"/>
      <c r="C10592" s="36"/>
      <c r="D10592" s="37"/>
      <c r="E10592" s="36"/>
      <c r="F10592" s="42"/>
      <c r="G10592" s="42"/>
      <c r="H10592" s="42"/>
      <c r="AG10592" s="19"/>
    </row>
    <row r="10593" spans="1:33" ht="14.5" x14ac:dyDescent="0.35">
      <c r="A10593" s="34"/>
      <c r="B10593" s="35"/>
      <c r="C10593" s="36"/>
      <c r="D10593" s="37"/>
      <c r="E10593" s="36"/>
      <c r="F10593" s="42"/>
      <c r="G10593" s="42"/>
      <c r="H10593" s="42"/>
      <c r="AG10593" s="19"/>
    </row>
    <row r="10594" spans="1:33" ht="14.5" x14ac:dyDescent="0.35">
      <c r="A10594" s="34"/>
      <c r="B10594" s="35"/>
      <c r="C10594" s="36"/>
      <c r="D10594" s="37"/>
      <c r="E10594" s="36"/>
      <c r="F10594" s="42"/>
      <c r="G10594" s="42"/>
      <c r="H10594" s="42"/>
      <c r="AG10594" s="19"/>
    </row>
    <row r="10595" spans="1:33" ht="14.5" x14ac:dyDescent="0.35">
      <c r="A10595" s="34"/>
      <c r="B10595" s="35"/>
      <c r="C10595" s="36"/>
      <c r="D10595" s="37"/>
      <c r="E10595" s="36"/>
      <c r="F10595" s="42"/>
      <c r="G10595" s="42"/>
      <c r="H10595" s="42"/>
      <c r="AG10595" s="19"/>
    </row>
    <row r="10596" spans="1:33" ht="14.5" x14ac:dyDescent="0.35">
      <c r="A10596" s="34"/>
      <c r="B10596" s="35"/>
      <c r="C10596" s="36"/>
      <c r="D10596" s="37"/>
      <c r="E10596" s="36"/>
      <c r="F10596" s="42"/>
      <c r="G10596" s="42"/>
      <c r="H10596" s="42"/>
      <c r="AG10596" s="19"/>
    </row>
    <row r="10597" spans="1:33" ht="14.5" x14ac:dyDescent="0.35">
      <c r="A10597" s="34"/>
      <c r="B10597" s="35"/>
      <c r="C10597" s="36"/>
      <c r="D10597" s="37"/>
      <c r="E10597" s="36"/>
      <c r="F10597" s="42"/>
      <c r="G10597" s="42"/>
      <c r="H10597" s="42"/>
      <c r="AG10597" s="19"/>
    </row>
    <row r="10598" spans="1:33" ht="14.5" x14ac:dyDescent="0.35">
      <c r="A10598" s="34"/>
      <c r="B10598" s="35"/>
      <c r="C10598" s="36"/>
      <c r="D10598" s="37"/>
      <c r="E10598" s="36"/>
      <c r="F10598" s="42"/>
      <c r="G10598" s="42"/>
      <c r="H10598" s="42"/>
      <c r="AG10598" s="19"/>
    </row>
    <row r="10599" spans="1:33" ht="14.5" x14ac:dyDescent="0.35">
      <c r="A10599" s="34"/>
      <c r="B10599" s="35"/>
      <c r="C10599" s="36"/>
      <c r="D10599" s="37"/>
      <c r="E10599" s="36"/>
      <c r="F10599" s="42"/>
      <c r="G10599" s="42"/>
      <c r="H10599" s="42"/>
      <c r="AG10599" s="19"/>
    </row>
    <row r="10600" spans="1:33" ht="14.5" x14ac:dyDescent="0.35">
      <c r="A10600" s="34"/>
      <c r="B10600" s="35"/>
      <c r="C10600" s="36"/>
      <c r="D10600" s="37"/>
      <c r="E10600" s="36"/>
      <c r="F10600" s="42"/>
      <c r="G10600" s="42"/>
      <c r="H10600" s="42"/>
      <c r="AG10600" s="19"/>
    </row>
    <row r="10601" spans="1:33" ht="14.5" x14ac:dyDescent="0.35">
      <c r="A10601" s="34"/>
      <c r="B10601" s="35"/>
      <c r="C10601" s="36"/>
      <c r="D10601" s="37"/>
      <c r="E10601" s="36"/>
      <c r="F10601" s="42"/>
      <c r="G10601" s="42"/>
      <c r="H10601" s="42"/>
      <c r="AG10601" s="19"/>
    </row>
    <row r="10602" spans="1:33" ht="14.5" x14ac:dyDescent="0.35">
      <c r="A10602" s="34"/>
      <c r="B10602" s="35"/>
      <c r="C10602" s="36"/>
      <c r="D10602" s="37"/>
      <c r="E10602" s="36"/>
      <c r="F10602" s="42"/>
      <c r="G10602" s="42"/>
      <c r="H10602" s="42"/>
      <c r="AG10602" s="19"/>
    </row>
    <row r="10603" spans="1:33" ht="14.5" x14ac:dyDescent="0.35">
      <c r="A10603" s="34"/>
      <c r="B10603" s="35"/>
      <c r="C10603" s="36"/>
      <c r="D10603" s="37"/>
      <c r="E10603" s="36"/>
      <c r="F10603" s="42"/>
      <c r="G10603" s="42"/>
      <c r="H10603" s="42"/>
      <c r="AG10603" s="19"/>
    </row>
    <row r="10604" spans="1:33" ht="14.5" x14ac:dyDescent="0.35">
      <c r="A10604" s="34"/>
      <c r="B10604" s="35"/>
      <c r="C10604" s="36"/>
      <c r="D10604" s="37"/>
      <c r="E10604" s="36"/>
      <c r="F10604" s="42"/>
      <c r="G10604" s="42"/>
      <c r="H10604" s="42"/>
      <c r="AG10604" s="19"/>
    </row>
    <row r="10605" spans="1:33" ht="14.5" x14ac:dyDescent="0.35">
      <c r="A10605" s="34"/>
      <c r="B10605" s="35"/>
      <c r="C10605" s="36"/>
      <c r="D10605" s="37"/>
      <c r="E10605" s="36"/>
      <c r="F10605" s="42"/>
      <c r="G10605" s="42"/>
      <c r="H10605" s="42"/>
      <c r="AG10605" s="19"/>
    </row>
    <row r="10606" spans="1:33" ht="14.5" x14ac:dyDescent="0.35">
      <c r="A10606" s="34"/>
      <c r="B10606" s="35"/>
      <c r="C10606" s="36"/>
      <c r="D10606" s="37"/>
      <c r="E10606" s="36"/>
      <c r="F10606" s="42"/>
      <c r="G10606" s="42"/>
      <c r="H10606" s="42"/>
      <c r="AG10606" s="19"/>
    </row>
    <row r="10607" spans="1:33" ht="14.5" x14ac:dyDescent="0.35">
      <c r="A10607" s="34"/>
      <c r="B10607" s="35"/>
      <c r="C10607" s="36"/>
      <c r="D10607" s="37"/>
      <c r="E10607" s="36"/>
      <c r="F10607" s="42"/>
      <c r="G10607" s="42"/>
      <c r="H10607" s="42"/>
      <c r="AG10607" s="19"/>
    </row>
    <row r="10608" spans="1:33" ht="14.5" x14ac:dyDescent="0.35">
      <c r="A10608" s="34"/>
      <c r="B10608" s="35"/>
      <c r="C10608" s="36"/>
      <c r="D10608" s="37"/>
      <c r="E10608" s="36"/>
      <c r="F10608" s="42"/>
      <c r="G10608" s="42"/>
      <c r="H10608" s="42"/>
      <c r="AG10608" s="19"/>
    </row>
    <row r="10609" spans="1:33" ht="14.5" x14ac:dyDescent="0.35">
      <c r="A10609" s="34"/>
      <c r="B10609" s="35"/>
      <c r="C10609" s="36"/>
      <c r="D10609" s="37"/>
      <c r="E10609" s="36"/>
      <c r="F10609" s="42"/>
      <c r="G10609" s="42"/>
      <c r="H10609" s="42"/>
      <c r="AG10609" s="19"/>
    </row>
    <row r="10610" spans="1:33" ht="14.5" x14ac:dyDescent="0.35">
      <c r="A10610" s="34"/>
      <c r="B10610" s="35"/>
      <c r="C10610" s="36"/>
      <c r="D10610" s="37"/>
      <c r="E10610" s="36"/>
      <c r="F10610" s="42"/>
      <c r="G10610" s="42"/>
      <c r="H10610" s="42"/>
      <c r="AG10610" s="19"/>
    </row>
    <row r="10611" spans="1:33" ht="14.5" x14ac:dyDescent="0.35">
      <c r="A10611" s="34"/>
      <c r="B10611" s="35"/>
      <c r="C10611" s="36"/>
      <c r="D10611" s="37"/>
      <c r="E10611" s="36"/>
      <c r="F10611" s="42"/>
      <c r="G10611" s="42"/>
      <c r="H10611" s="42"/>
      <c r="AG10611" s="19"/>
    </row>
    <row r="10612" spans="1:33" ht="14.5" x14ac:dyDescent="0.35">
      <c r="A10612" s="34"/>
      <c r="B10612" s="35"/>
      <c r="C10612" s="36"/>
      <c r="D10612" s="37"/>
      <c r="E10612" s="36"/>
      <c r="F10612" s="42"/>
      <c r="G10612" s="42"/>
      <c r="H10612" s="42"/>
      <c r="AG10612" s="19"/>
    </row>
    <row r="10613" spans="1:33" ht="14.5" x14ac:dyDescent="0.35">
      <c r="A10613" s="34"/>
      <c r="B10613" s="35"/>
      <c r="C10613" s="36"/>
      <c r="D10613" s="37"/>
      <c r="E10613" s="36"/>
      <c r="F10613" s="42"/>
      <c r="G10613" s="42"/>
      <c r="H10613" s="42"/>
      <c r="AG10613" s="19"/>
    </row>
    <row r="10614" spans="1:33" ht="14.5" x14ac:dyDescent="0.35">
      <c r="A10614" s="34"/>
      <c r="B10614" s="35"/>
      <c r="C10614" s="36"/>
      <c r="D10614" s="37"/>
      <c r="E10614" s="36"/>
      <c r="F10614" s="42"/>
      <c r="G10614" s="42"/>
      <c r="H10614" s="42"/>
      <c r="AG10614" s="19"/>
    </row>
    <row r="10615" spans="1:33" ht="14.5" x14ac:dyDescent="0.35">
      <c r="A10615" s="34"/>
      <c r="B10615" s="35"/>
      <c r="C10615" s="36"/>
      <c r="D10615" s="37"/>
      <c r="E10615" s="36"/>
      <c r="F10615" s="42"/>
      <c r="G10615" s="42"/>
      <c r="H10615" s="42"/>
      <c r="AG10615" s="19"/>
    </row>
    <row r="10616" spans="1:33" ht="14.5" x14ac:dyDescent="0.35">
      <c r="A10616" s="34"/>
      <c r="B10616" s="35"/>
      <c r="C10616" s="36"/>
      <c r="D10616" s="37"/>
      <c r="E10616" s="36"/>
      <c r="F10616" s="42"/>
      <c r="G10616" s="42"/>
      <c r="H10616" s="42"/>
      <c r="AG10616" s="19"/>
    </row>
    <row r="10617" spans="1:33" ht="14.5" x14ac:dyDescent="0.35">
      <c r="A10617" s="34"/>
      <c r="B10617" s="35"/>
      <c r="C10617" s="36"/>
      <c r="D10617" s="37"/>
      <c r="E10617" s="36"/>
      <c r="F10617" s="42"/>
      <c r="G10617" s="42"/>
      <c r="H10617" s="42"/>
      <c r="AG10617" s="19"/>
    </row>
    <row r="10618" spans="1:33" ht="14.5" x14ac:dyDescent="0.35">
      <c r="A10618" s="34"/>
      <c r="B10618" s="35"/>
      <c r="C10618" s="36"/>
      <c r="D10618" s="37"/>
      <c r="E10618" s="36"/>
      <c r="F10618" s="42"/>
      <c r="G10618" s="42"/>
      <c r="H10618" s="42"/>
      <c r="AG10618" s="19"/>
    </row>
    <row r="10619" spans="1:33" ht="14.5" x14ac:dyDescent="0.35">
      <c r="A10619" s="34"/>
      <c r="B10619" s="35"/>
      <c r="C10619" s="36"/>
      <c r="D10619" s="37"/>
      <c r="E10619" s="36"/>
      <c r="F10619" s="42"/>
      <c r="G10619" s="42"/>
      <c r="H10619" s="42"/>
      <c r="AG10619" s="19"/>
    </row>
    <row r="10620" spans="1:33" ht="14.5" x14ac:dyDescent="0.35">
      <c r="A10620" s="34"/>
      <c r="B10620" s="35"/>
      <c r="C10620" s="36"/>
      <c r="D10620" s="37"/>
      <c r="E10620" s="36"/>
      <c r="F10620" s="42"/>
      <c r="G10620" s="42"/>
      <c r="H10620" s="42"/>
      <c r="AG10620" s="19"/>
    </row>
    <row r="10621" spans="1:33" ht="14.5" x14ac:dyDescent="0.35">
      <c r="A10621" s="34"/>
      <c r="B10621" s="35"/>
      <c r="C10621" s="36"/>
      <c r="D10621" s="37"/>
      <c r="E10621" s="36"/>
      <c r="F10621" s="42"/>
      <c r="G10621" s="42"/>
      <c r="H10621" s="42"/>
      <c r="AG10621" s="19"/>
    </row>
    <row r="10622" spans="1:33" ht="14.5" x14ac:dyDescent="0.35">
      <c r="A10622" s="34"/>
      <c r="B10622" s="35"/>
      <c r="C10622" s="36"/>
      <c r="D10622" s="37"/>
      <c r="E10622" s="36"/>
      <c r="F10622" s="42"/>
      <c r="G10622" s="42"/>
      <c r="H10622" s="42"/>
      <c r="AG10622" s="19"/>
    </row>
    <row r="10623" spans="1:33" ht="14.5" x14ac:dyDescent="0.35">
      <c r="A10623" s="34"/>
      <c r="B10623" s="35"/>
      <c r="C10623" s="36"/>
      <c r="D10623" s="37"/>
      <c r="E10623" s="36"/>
      <c r="F10623" s="42"/>
      <c r="G10623" s="42"/>
      <c r="H10623" s="42"/>
      <c r="AG10623" s="19"/>
    </row>
    <row r="10624" spans="1:33" ht="14.5" x14ac:dyDescent="0.35">
      <c r="A10624" s="34"/>
      <c r="B10624" s="35"/>
      <c r="C10624" s="36"/>
      <c r="D10624" s="37"/>
      <c r="E10624" s="36"/>
      <c r="F10624" s="42"/>
      <c r="G10624" s="42"/>
      <c r="H10624" s="42"/>
      <c r="AG10624" s="19"/>
    </row>
    <row r="10625" spans="1:33" ht="14.5" x14ac:dyDescent="0.35">
      <c r="A10625" s="34"/>
      <c r="B10625" s="35"/>
      <c r="C10625" s="36"/>
      <c r="D10625" s="37"/>
      <c r="E10625" s="36"/>
      <c r="F10625" s="42"/>
      <c r="G10625" s="42"/>
      <c r="H10625" s="42"/>
      <c r="AG10625" s="19"/>
    </row>
    <row r="10626" spans="1:33" ht="14.5" x14ac:dyDescent="0.35">
      <c r="A10626" s="34"/>
      <c r="B10626" s="35"/>
      <c r="C10626" s="36"/>
      <c r="D10626" s="37"/>
      <c r="E10626" s="36"/>
      <c r="F10626" s="42"/>
      <c r="G10626" s="42"/>
      <c r="H10626" s="42"/>
      <c r="AG10626" s="19"/>
    </row>
    <row r="10627" spans="1:33" ht="14.5" x14ac:dyDescent="0.35">
      <c r="A10627" s="34"/>
      <c r="B10627" s="35"/>
      <c r="C10627" s="36"/>
      <c r="D10627" s="37"/>
      <c r="E10627" s="36"/>
      <c r="F10627" s="42"/>
      <c r="G10627" s="42"/>
      <c r="H10627" s="42"/>
      <c r="AG10627" s="19"/>
    </row>
    <row r="10628" spans="1:33" ht="14.5" x14ac:dyDescent="0.35">
      <c r="A10628" s="34"/>
      <c r="B10628" s="35"/>
      <c r="C10628" s="36"/>
      <c r="D10628" s="37"/>
      <c r="E10628" s="36"/>
      <c r="F10628" s="42"/>
      <c r="G10628" s="42"/>
      <c r="H10628" s="42"/>
      <c r="AG10628" s="19"/>
    </row>
    <row r="10629" spans="1:33" ht="14.5" x14ac:dyDescent="0.35">
      <c r="A10629" s="34"/>
      <c r="B10629" s="35"/>
      <c r="C10629" s="36"/>
      <c r="D10629" s="37"/>
      <c r="E10629" s="36"/>
      <c r="F10629" s="42"/>
      <c r="G10629" s="42"/>
      <c r="H10629" s="42"/>
      <c r="AG10629" s="19"/>
    </row>
    <row r="10630" spans="1:33" ht="14.5" x14ac:dyDescent="0.35">
      <c r="A10630" s="34"/>
      <c r="B10630" s="35"/>
      <c r="C10630" s="36"/>
      <c r="D10630" s="37"/>
      <c r="E10630" s="36"/>
      <c r="F10630" s="42"/>
      <c r="G10630" s="42"/>
      <c r="H10630" s="42"/>
      <c r="AG10630" s="19"/>
    </row>
    <row r="10631" spans="1:33" ht="14.5" x14ac:dyDescent="0.35">
      <c r="A10631" s="34"/>
      <c r="B10631" s="35"/>
      <c r="C10631" s="36"/>
      <c r="D10631" s="37"/>
      <c r="E10631" s="36"/>
      <c r="F10631" s="42"/>
      <c r="G10631" s="42"/>
      <c r="H10631" s="42"/>
      <c r="AG10631" s="19"/>
    </row>
    <row r="10632" spans="1:33" ht="14.5" x14ac:dyDescent="0.35">
      <c r="A10632" s="34"/>
      <c r="B10632" s="35"/>
      <c r="C10632" s="36"/>
      <c r="D10632" s="37"/>
      <c r="E10632" s="36"/>
      <c r="F10632" s="42"/>
      <c r="G10632" s="42"/>
      <c r="H10632" s="42"/>
      <c r="AG10632" s="19"/>
    </row>
    <row r="10633" spans="1:33" ht="14.5" x14ac:dyDescent="0.35">
      <c r="A10633" s="34"/>
      <c r="B10633" s="35"/>
      <c r="C10633" s="36"/>
      <c r="D10633" s="37"/>
      <c r="E10633" s="36"/>
      <c r="F10633" s="42"/>
      <c r="G10633" s="42"/>
      <c r="H10633" s="42"/>
      <c r="AG10633" s="19"/>
    </row>
    <row r="10634" spans="1:33" ht="14.5" x14ac:dyDescent="0.35">
      <c r="A10634" s="34"/>
      <c r="B10634" s="35"/>
      <c r="C10634" s="36"/>
      <c r="D10634" s="37"/>
      <c r="E10634" s="36"/>
      <c r="F10634" s="42"/>
      <c r="G10634" s="42"/>
      <c r="H10634" s="42"/>
      <c r="AG10634" s="19"/>
    </row>
    <row r="10635" spans="1:33" ht="14.5" x14ac:dyDescent="0.35">
      <c r="A10635" s="34"/>
      <c r="B10635" s="35"/>
      <c r="C10635" s="36"/>
      <c r="D10635" s="37"/>
      <c r="E10635" s="36"/>
      <c r="F10635" s="42"/>
      <c r="G10635" s="42"/>
      <c r="H10635" s="42"/>
      <c r="AG10635" s="19"/>
    </row>
    <row r="10636" spans="1:33" ht="14.5" x14ac:dyDescent="0.35">
      <c r="A10636" s="34"/>
      <c r="B10636" s="35"/>
      <c r="C10636" s="36"/>
      <c r="D10636" s="37"/>
      <c r="E10636" s="36"/>
      <c r="F10636" s="42"/>
      <c r="G10636" s="42"/>
      <c r="H10636" s="42"/>
      <c r="AG10636" s="19"/>
    </row>
    <row r="10637" spans="1:33" ht="14.5" x14ac:dyDescent="0.35">
      <c r="A10637" s="34"/>
      <c r="B10637" s="35"/>
      <c r="C10637" s="36"/>
      <c r="D10637" s="37"/>
      <c r="E10637" s="36"/>
      <c r="F10637" s="42"/>
      <c r="G10637" s="42"/>
      <c r="H10637" s="42"/>
      <c r="AG10637" s="19"/>
    </row>
    <row r="10638" spans="1:33" ht="14.5" x14ac:dyDescent="0.35">
      <c r="A10638" s="34"/>
      <c r="B10638" s="35"/>
      <c r="C10638" s="36"/>
      <c r="D10638" s="37"/>
      <c r="E10638" s="36"/>
      <c r="F10638" s="42"/>
      <c r="G10638" s="42"/>
      <c r="H10638" s="42"/>
      <c r="AG10638" s="19"/>
    </row>
    <row r="10639" spans="1:33" ht="14.5" x14ac:dyDescent="0.35">
      <c r="A10639" s="34"/>
      <c r="B10639" s="35"/>
      <c r="C10639" s="36"/>
      <c r="D10639" s="37"/>
      <c r="E10639" s="36"/>
      <c r="F10639" s="42"/>
      <c r="G10639" s="42"/>
      <c r="H10639" s="42"/>
      <c r="AG10639" s="19"/>
    </row>
    <row r="10640" spans="1:33" ht="14.5" x14ac:dyDescent="0.35">
      <c r="A10640" s="34"/>
      <c r="B10640" s="35"/>
      <c r="C10640" s="36"/>
      <c r="D10640" s="37"/>
      <c r="E10640" s="36"/>
      <c r="F10640" s="42"/>
      <c r="G10640" s="42"/>
      <c r="H10640" s="42"/>
      <c r="AG10640" s="19"/>
    </row>
    <row r="10641" spans="1:33" ht="14.5" x14ac:dyDescent="0.35">
      <c r="A10641" s="34"/>
      <c r="B10641" s="35"/>
      <c r="C10641" s="36"/>
      <c r="D10641" s="37"/>
      <c r="E10641" s="36"/>
      <c r="F10641" s="42"/>
      <c r="G10641" s="42"/>
      <c r="H10641" s="42"/>
      <c r="AG10641" s="19"/>
    </row>
    <row r="10642" spans="1:33" ht="14.5" x14ac:dyDescent="0.35">
      <c r="A10642" s="34"/>
      <c r="B10642" s="35"/>
      <c r="C10642" s="36"/>
      <c r="D10642" s="37"/>
      <c r="E10642" s="36"/>
      <c r="F10642" s="42"/>
      <c r="G10642" s="42"/>
      <c r="H10642" s="42"/>
      <c r="AG10642" s="19"/>
    </row>
    <row r="10643" spans="1:33" ht="14.5" x14ac:dyDescent="0.35">
      <c r="A10643" s="34"/>
      <c r="B10643" s="35"/>
      <c r="C10643" s="36"/>
      <c r="D10643" s="37"/>
      <c r="E10643" s="36"/>
      <c r="F10643" s="42"/>
      <c r="G10643" s="42"/>
      <c r="H10643" s="42"/>
      <c r="AG10643" s="19"/>
    </row>
    <row r="10644" spans="1:33" ht="14.5" x14ac:dyDescent="0.35">
      <c r="A10644" s="34"/>
      <c r="B10644" s="35"/>
      <c r="C10644" s="36"/>
      <c r="D10644" s="37"/>
      <c r="E10644" s="36"/>
      <c r="F10644" s="42"/>
      <c r="G10644" s="42"/>
      <c r="H10644" s="42"/>
      <c r="AG10644" s="19"/>
    </row>
    <row r="10645" spans="1:33" ht="14.5" x14ac:dyDescent="0.35">
      <c r="A10645" s="34"/>
      <c r="B10645" s="35"/>
      <c r="C10645" s="36"/>
      <c r="D10645" s="37"/>
      <c r="E10645" s="36"/>
      <c r="F10645" s="42"/>
      <c r="G10645" s="42"/>
      <c r="H10645" s="42"/>
      <c r="AG10645" s="19"/>
    </row>
    <row r="10646" spans="1:33" ht="14.5" x14ac:dyDescent="0.35">
      <c r="A10646" s="34"/>
      <c r="B10646" s="35"/>
      <c r="C10646" s="36"/>
      <c r="D10646" s="37"/>
      <c r="E10646" s="36"/>
      <c r="F10646" s="42"/>
      <c r="G10646" s="42"/>
      <c r="H10646" s="42"/>
      <c r="AG10646" s="19"/>
    </row>
    <row r="10647" spans="1:33" ht="14.5" x14ac:dyDescent="0.35">
      <c r="A10647" s="34"/>
      <c r="B10647" s="35"/>
      <c r="C10647" s="36"/>
      <c r="D10647" s="37"/>
      <c r="E10647" s="36"/>
      <c r="F10647" s="42"/>
      <c r="G10647" s="42"/>
      <c r="H10647" s="42"/>
      <c r="AG10647" s="19"/>
    </row>
    <row r="10648" spans="1:33" ht="14.5" x14ac:dyDescent="0.35">
      <c r="A10648" s="34"/>
      <c r="B10648" s="35"/>
      <c r="C10648" s="36"/>
      <c r="D10648" s="37"/>
      <c r="E10648" s="36"/>
      <c r="F10648" s="42"/>
      <c r="G10648" s="42"/>
      <c r="H10648" s="42"/>
      <c r="AG10648" s="19"/>
    </row>
    <row r="10649" spans="1:33" ht="14.5" x14ac:dyDescent="0.35">
      <c r="A10649" s="34"/>
      <c r="B10649" s="35"/>
      <c r="C10649" s="36"/>
      <c r="D10649" s="37"/>
      <c r="E10649" s="36"/>
      <c r="F10649" s="42"/>
      <c r="G10649" s="42"/>
      <c r="H10649" s="42"/>
      <c r="AG10649" s="19"/>
    </row>
    <row r="10650" spans="1:33" ht="14.5" x14ac:dyDescent="0.35">
      <c r="A10650" s="34"/>
      <c r="B10650" s="35"/>
      <c r="C10650" s="36"/>
      <c r="D10650" s="37"/>
      <c r="E10650" s="36"/>
      <c r="F10650" s="42"/>
      <c r="G10650" s="42"/>
      <c r="H10650" s="42"/>
      <c r="AG10650" s="19"/>
    </row>
    <row r="10651" spans="1:33" ht="14.5" x14ac:dyDescent="0.35">
      <c r="A10651" s="34"/>
      <c r="B10651" s="35"/>
      <c r="C10651" s="36"/>
      <c r="D10651" s="37"/>
      <c r="E10651" s="36"/>
      <c r="F10651" s="42"/>
      <c r="G10651" s="42"/>
      <c r="H10651" s="42"/>
      <c r="AG10651" s="19"/>
    </row>
    <row r="10652" spans="1:33" ht="14.5" x14ac:dyDescent="0.35">
      <c r="A10652" s="34"/>
      <c r="B10652" s="35"/>
      <c r="C10652" s="36"/>
      <c r="D10652" s="37"/>
      <c r="E10652" s="36"/>
      <c r="F10652" s="42"/>
      <c r="G10652" s="42"/>
      <c r="H10652" s="42"/>
      <c r="AG10652" s="19"/>
    </row>
    <row r="10653" spans="1:33" ht="14.5" x14ac:dyDescent="0.35">
      <c r="A10653" s="34"/>
      <c r="B10653" s="35"/>
      <c r="C10653" s="36"/>
      <c r="D10653" s="37"/>
      <c r="E10653" s="36"/>
      <c r="F10653" s="42"/>
      <c r="G10653" s="42"/>
      <c r="H10653" s="42"/>
      <c r="AG10653" s="19"/>
    </row>
    <row r="10654" spans="1:33" ht="14.5" x14ac:dyDescent="0.35">
      <c r="A10654" s="34"/>
      <c r="B10654" s="35"/>
      <c r="C10654" s="36"/>
      <c r="D10654" s="37"/>
      <c r="E10654" s="36"/>
      <c r="F10654" s="42"/>
      <c r="G10654" s="42"/>
      <c r="H10654" s="42"/>
      <c r="AG10654" s="19"/>
    </row>
    <row r="10655" spans="1:33" ht="14.5" x14ac:dyDescent="0.35">
      <c r="A10655" s="34"/>
      <c r="B10655" s="35"/>
      <c r="C10655" s="36"/>
      <c r="D10655" s="37"/>
      <c r="E10655" s="36"/>
      <c r="F10655" s="42"/>
      <c r="G10655" s="42"/>
      <c r="H10655" s="42"/>
      <c r="AG10655" s="19"/>
    </row>
    <row r="10656" spans="1:33" ht="14.5" x14ac:dyDescent="0.35">
      <c r="A10656" s="34"/>
      <c r="B10656" s="35"/>
      <c r="C10656" s="36"/>
      <c r="D10656" s="37"/>
      <c r="E10656" s="36"/>
      <c r="F10656" s="42"/>
      <c r="G10656" s="42"/>
      <c r="H10656" s="42"/>
      <c r="AG10656" s="19"/>
    </row>
    <row r="10657" spans="1:33" ht="14.5" x14ac:dyDescent="0.35">
      <c r="A10657" s="34"/>
      <c r="B10657" s="35"/>
      <c r="C10657" s="36"/>
      <c r="D10657" s="37"/>
      <c r="E10657" s="36"/>
      <c r="F10657" s="42"/>
      <c r="G10657" s="42"/>
      <c r="H10657" s="42"/>
      <c r="AG10657" s="19"/>
    </row>
    <row r="10658" spans="1:33" ht="14.5" x14ac:dyDescent="0.35">
      <c r="A10658" s="34"/>
      <c r="B10658" s="35"/>
      <c r="C10658" s="36"/>
      <c r="D10658" s="37"/>
      <c r="E10658" s="36"/>
      <c r="F10658" s="42"/>
      <c r="G10658" s="42"/>
      <c r="H10658" s="42"/>
      <c r="AG10658" s="19"/>
    </row>
    <row r="10659" spans="1:33" ht="14.5" x14ac:dyDescent="0.35">
      <c r="A10659" s="34"/>
      <c r="B10659" s="35"/>
      <c r="C10659" s="36"/>
      <c r="D10659" s="37"/>
      <c r="E10659" s="36"/>
      <c r="F10659" s="42"/>
      <c r="G10659" s="42"/>
      <c r="H10659" s="42"/>
      <c r="AG10659" s="19"/>
    </row>
    <row r="10660" spans="1:33" ht="14.5" x14ac:dyDescent="0.35">
      <c r="A10660" s="34"/>
      <c r="B10660" s="35"/>
      <c r="C10660" s="36"/>
      <c r="D10660" s="37"/>
      <c r="E10660" s="36"/>
      <c r="F10660" s="42"/>
      <c r="G10660" s="42"/>
      <c r="H10660" s="42"/>
      <c r="AG10660" s="19"/>
    </row>
    <row r="10661" spans="1:33" ht="14.5" x14ac:dyDescent="0.35">
      <c r="A10661" s="34"/>
      <c r="B10661" s="35"/>
      <c r="C10661" s="36"/>
      <c r="D10661" s="37"/>
      <c r="E10661" s="36"/>
      <c r="F10661" s="42"/>
      <c r="G10661" s="42"/>
      <c r="H10661" s="42"/>
      <c r="AG10661" s="19"/>
    </row>
    <row r="10662" spans="1:33" ht="14.5" x14ac:dyDescent="0.35">
      <c r="A10662" s="34"/>
      <c r="B10662" s="35"/>
      <c r="C10662" s="36"/>
      <c r="D10662" s="37"/>
      <c r="E10662" s="36"/>
      <c r="F10662" s="42"/>
      <c r="G10662" s="42"/>
      <c r="H10662" s="42"/>
      <c r="AG10662" s="19"/>
    </row>
    <row r="10663" spans="1:33" ht="14.5" x14ac:dyDescent="0.35">
      <c r="A10663" s="34"/>
      <c r="B10663" s="35"/>
      <c r="C10663" s="36"/>
      <c r="D10663" s="37"/>
      <c r="E10663" s="36"/>
      <c r="F10663" s="42"/>
      <c r="G10663" s="42"/>
      <c r="H10663" s="42"/>
      <c r="AG10663" s="19"/>
    </row>
    <row r="10664" spans="1:33" ht="14.5" x14ac:dyDescent="0.35">
      <c r="A10664" s="34"/>
      <c r="B10664" s="35"/>
      <c r="C10664" s="36"/>
      <c r="D10664" s="37"/>
      <c r="E10664" s="36"/>
      <c r="F10664" s="42"/>
      <c r="G10664" s="42"/>
      <c r="H10664" s="42"/>
      <c r="AG10664" s="19"/>
    </row>
    <row r="10665" spans="1:33" ht="14.5" x14ac:dyDescent="0.35">
      <c r="A10665" s="34"/>
      <c r="B10665" s="35"/>
      <c r="C10665" s="36"/>
      <c r="D10665" s="37"/>
      <c r="E10665" s="36"/>
      <c r="F10665" s="42"/>
      <c r="G10665" s="42"/>
      <c r="H10665" s="42"/>
      <c r="AG10665" s="19"/>
    </row>
    <row r="10666" spans="1:33" ht="14.5" x14ac:dyDescent="0.35">
      <c r="A10666" s="34"/>
      <c r="B10666" s="35"/>
      <c r="C10666" s="36"/>
      <c r="D10666" s="37"/>
      <c r="E10666" s="36"/>
      <c r="F10666" s="42"/>
      <c r="G10666" s="42"/>
      <c r="H10666" s="42"/>
      <c r="AG10666" s="19"/>
    </row>
    <row r="10667" spans="1:33" ht="14.5" x14ac:dyDescent="0.35">
      <c r="A10667" s="34"/>
      <c r="B10667" s="35"/>
      <c r="C10667" s="36"/>
      <c r="D10667" s="37"/>
      <c r="E10667" s="36"/>
      <c r="F10667" s="42"/>
      <c r="G10667" s="42"/>
      <c r="H10667" s="42"/>
      <c r="AG10667" s="19"/>
    </row>
    <row r="10668" spans="1:33" ht="14.5" x14ac:dyDescent="0.35">
      <c r="A10668" s="34"/>
      <c r="B10668" s="35"/>
      <c r="C10668" s="36"/>
      <c r="D10668" s="37"/>
      <c r="E10668" s="36"/>
      <c r="F10668" s="42"/>
      <c r="G10668" s="42"/>
      <c r="H10668" s="42"/>
      <c r="AG10668" s="19"/>
    </row>
    <row r="10669" spans="1:33" ht="14.5" x14ac:dyDescent="0.35">
      <c r="A10669" s="34"/>
      <c r="B10669" s="35"/>
      <c r="C10669" s="36"/>
      <c r="D10669" s="37"/>
      <c r="E10669" s="36"/>
      <c r="F10669" s="42"/>
      <c r="G10669" s="42"/>
      <c r="H10669" s="42"/>
      <c r="AG10669" s="19"/>
    </row>
    <row r="10670" spans="1:33" ht="14.5" x14ac:dyDescent="0.35">
      <c r="A10670" s="34"/>
      <c r="B10670" s="35"/>
      <c r="C10670" s="36"/>
      <c r="D10670" s="37"/>
      <c r="E10670" s="36"/>
      <c r="F10670" s="42"/>
      <c r="G10670" s="42"/>
      <c r="H10670" s="42"/>
      <c r="AG10670" s="19"/>
    </row>
    <row r="10671" spans="1:33" ht="14.5" x14ac:dyDescent="0.35">
      <c r="A10671" s="34"/>
      <c r="B10671" s="35"/>
      <c r="C10671" s="36"/>
      <c r="D10671" s="37"/>
      <c r="E10671" s="36"/>
      <c r="F10671" s="42"/>
      <c r="G10671" s="42"/>
      <c r="H10671" s="42"/>
      <c r="AG10671" s="19"/>
    </row>
    <row r="10672" spans="1:33" ht="14.5" x14ac:dyDescent="0.35">
      <c r="A10672" s="34"/>
      <c r="B10672" s="35"/>
      <c r="C10672" s="36"/>
      <c r="D10672" s="37"/>
      <c r="E10672" s="36"/>
      <c r="F10672" s="42"/>
      <c r="G10672" s="42"/>
      <c r="H10672" s="42"/>
      <c r="AG10672" s="19"/>
    </row>
    <row r="10673" spans="1:33" ht="14.5" x14ac:dyDescent="0.35">
      <c r="A10673" s="34"/>
      <c r="B10673" s="35"/>
      <c r="C10673" s="36"/>
      <c r="D10673" s="37"/>
      <c r="E10673" s="36"/>
      <c r="F10673" s="42"/>
      <c r="G10673" s="42"/>
      <c r="H10673" s="42"/>
      <c r="AG10673" s="19"/>
    </row>
    <row r="10674" spans="1:33" ht="14.5" x14ac:dyDescent="0.35">
      <c r="A10674" s="34"/>
      <c r="B10674" s="35"/>
      <c r="C10674" s="36"/>
      <c r="D10674" s="37"/>
      <c r="E10674" s="36"/>
      <c r="F10674" s="42"/>
      <c r="G10674" s="42"/>
      <c r="H10674" s="42"/>
      <c r="AG10674" s="19"/>
    </row>
    <row r="10675" spans="1:33" ht="14.5" x14ac:dyDescent="0.35">
      <c r="A10675" s="34"/>
      <c r="B10675" s="35"/>
      <c r="C10675" s="36"/>
      <c r="D10675" s="37"/>
      <c r="E10675" s="36"/>
      <c r="F10675" s="42"/>
      <c r="G10675" s="42"/>
      <c r="H10675" s="42"/>
      <c r="AG10675" s="19"/>
    </row>
    <row r="10676" spans="1:33" ht="14.5" x14ac:dyDescent="0.35">
      <c r="A10676" s="34"/>
      <c r="B10676" s="35"/>
      <c r="C10676" s="36"/>
      <c r="D10676" s="37"/>
      <c r="E10676" s="36"/>
      <c r="F10676" s="42"/>
      <c r="G10676" s="42"/>
      <c r="H10676" s="42"/>
      <c r="AG10676" s="19"/>
    </row>
    <row r="10677" spans="1:33" ht="14.5" x14ac:dyDescent="0.35">
      <c r="A10677" s="34"/>
      <c r="B10677" s="35"/>
      <c r="C10677" s="36"/>
      <c r="D10677" s="37"/>
      <c r="E10677" s="36"/>
      <c r="F10677" s="42"/>
      <c r="G10677" s="42"/>
      <c r="H10677" s="42"/>
      <c r="AG10677" s="19"/>
    </row>
    <row r="10678" spans="1:33" ht="14.5" x14ac:dyDescent="0.35">
      <c r="A10678" s="34"/>
      <c r="B10678" s="35"/>
      <c r="C10678" s="36"/>
      <c r="D10678" s="37"/>
      <c r="E10678" s="36"/>
      <c r="F10678" s="42"/>
      <c r="G10678" s="42"/>
      <c r="H10678" s="42"/>
      <c r="AG10678" s="19"/>
    </row>
    <row r="10679" spans="1:33" ht="14.5" x14ac:dyDescent="0.35">
      <c r="A10679" s="34"/>
      <c r="B10679" s="35"/>
      <c r="C10679" s="36"/>
      <c r="D10679" s="37"/>
      <c r="E10679" s="36"/>
      <c r="F10679" s="42"/>
      <c r="G10679" s="42"/>
      <c r="H10679" s="42"/>
      <c r="AG10679" s="19"/>
    </row>
    <row r="10680" spans="1:33" ht="14.5" x14ac:dyDescent="0.35">
      <c r="A10680" s="34"/>
      <c r="B10680" s="35"/>
      <c r="C10680" s="36"/>
      <c r="D10680" s="37"/>
      <c r="E10680" s="36"/>
      <c r="F10680" s="42"/>
      <c r="G10680" s="42"/>
      <c r="H10680" s="42"/>
      <c r="AG10680" s="19"/>
    </row>
    <row r="10681" spans="1:33" ht="14.5" x14ac:dyDescent="0.35">
      <c r="A10681" s="34"/>
      <c r="B10681" s="35"/>
      <c r="C10681" s="36"/>
      <c r="D10681" s="37"/>
      <c r="E10681" s="36"/>
      <c r="F10681" s="42"/>
      <c r="G10681" s="42"/>
      <c r="H10681" s="42"/>
      <c r="AG10681" s="19"/>
    </row>
    <row r="10682" spans="1:33" ht="14.5" x14ac:dyDescent="0.35">
      <c r="A10682" s="34"/>
      <c r="B10682" s="35"/>
      <c r="C10682" s="36"/>
      <c r="D10682" s="37"/>
      <c r="E10682" s="36"/>
      <c r="F10682" s="42"/>
      <c r="G10682" s="42"/>
      <c r="H10682" s="42"/>
      <c r="AG10682" s="19"/>
    </row>
    <row r="10683" spans="1:33" ht="14.5" x14ac:dyDescent="0.35">
      <c r="A10683" s="34"/>
      <c r="B10683" s="35"/>
      <c r="C10683" s="36"/>
      <c r="D10683" s="37"/>
      <c r="E10683" s="36"/>
      <c r="F10683" s="42"/>
      <c r="G10683" s="42"/>
      <c r="H10683" s="42"/>
      <c r="AG10683" s="19"/>
    </row>
    <row r="10684" spans="1:33" ht="14.5" x14ac:dyDescent="0.35">
      <c r="A10684" s="34"/>
      <c r="B10684" s="35"/>
      <c r="C10684" s="36"/>
      <c r="D10684" s="37"/>
      <c r="E10684" s="36"/>
      <c r="F10684" s="42"/>
      <c r="G10684" s="42"/>
      <c r="H10684" s="42"/>
      <c r="AG10684" s="19"/>
    </row>
    <row r="10685" spans="1:33" ht="14.5" x14ac:dyDescent="0.35">
      <c r="A10685" s="34"/>
      <c r="B10685" s="35"/>
      <c r="C10685" s="36"/>
      <c r="D10685" s="37"/>
      <c r="E10685" s="36"/>
      <c r="F10685" s="42"/>
      <c r="G10685" s="42"/>
      <c r="H10685" s="42"/>
      <c r="AG10685" s="19"/>
    </row>
    <row r="10686" spans="1:33" ht="14.5" x14ac:dyDescent="0.35">
      <c r="A10686" s="34"/>
      <c r="B10686" s="35"/>
      <c r="C10686" s="36"/>
      <c r="D10686" s="37"/>
      <c r="E10686" s="36"/>
      <c r="F10686" s="42"/>
      <c r="G10686" s="42"/>
      <c r="H10686" s="42"/>
      <c r="AG10686" s="19"/>
    </row>
    <row r="10687" spans="1:33" ht="14.5" x14ac:dyDescent="0.35">
      <c r="A10687" s="34"/>
      <c r="B10687" s="35"/>
      <c r="C10687" s="36"/>
      <c r="D10687" s="37"/>
      <c r="E10687" s="36"/>
      <c r="F10687" s="42"/>
      <c r="G10687" s="42"/>
      <c r="H10687" s="42"/>
      <c r="AG10687" s="19"/>
    </row>
    <row r="10688" spans="1:33" ht="14.5" x14ac:dyDescent="0.35">
      <c r="A10688" s="34"/>
      <c r="B10688" s="35"/>
      <c r="C10688" s="36"/>
      <c r="D10688" s="37"/>
      <c r="E10688" s="36"/>
      <c r="F10688" s="42"/>
      <c r="G10688" s="42"/>
      <c r="H10688" s="42"/>
      <c r="AG10688" s="19"/>
    </row>
    <row r="10689" spans="1:33" ht="14.5" x14ac:dyDescent="0.35">
      <c r="A10689" s="34"/>
      <c r="B10689" s="35"/>
      <c r="C10689" s="36"/>
      <c r="D10689" s="37"/>
      <c r="E10689" s="36"/>
      <c r="F10689" s="42"/>
      <c r="G10689" s="42"/>
      <c r="H10689" s="42"/>
      <c r="AG10689" s="19"/>
    </row>
    <row r="10690" spans="1:33" ht="14.5" x14ac:dyDescent="0.35">
      <c r="A10690" s="34"/>
      <c r="B10690" s="35"/>
      <c r="C10690" s="36"/>
      <c r="D10690" s="37"/>
      <c r="E10690" s="36"/>
      <c r="F10690" s="42"/>
      <c r="G10690" s="42"/>
      <c r="H10690" s="42"/>
      <c r="AG10690" s="19"/>
    </row>
    <row r="10691" spans="1:33" ht="14.5" x14ac:dyDescent="0.35">
      <c r="A10691" s="34"/>
      <c r="B10691" s="35"/>
      <c r="C10691" s="36"/>
      <c r="D10691" s="37"/>
      <c r="E10691" s="36"/>
      <c r="F10691" s="42"/>
      <c r="G10691" s="42"/>
      <c r="H10691" s="42"/>
      <c r="AG10691" s="19"/>
    </row>
    <row r="10692" spans="1:33" ht="14.5" x14ac:dyDescent="0.35">
      <c r="A10692" s="34"/>
      <c r="B10692" s="35"/>
      <c r="C10692" s="36"/>
      <c r="D10692" s="37"/>
      <c r="E10692" s="36"/>
      <c r="F10692" s="42"/>
      <c r="G10692" s="42"/>
      <c r="H10692" s="42"/>
      <c r="AG10692" s="19"/>
    </row>
    <row r="10693" spans="1:33" ht="14.5" x14ac:dyDescent="0.35">
      <c r="A10693" s="34"/>
      <c r="B10693" s="35"/>
      <c r="C10693" s="36"/>
      <c r="D10693" s="37"/>
      <c r="E10693" s="36"/>
      <c r="F10693" s="42"/>
      <c r="G10693" s="42"/>
      <c r="H10693" s="42"/>
      <c r="AG10693" s="19"/>
    </row>
    <row r="10694" spans="1:33" ht="14.5" x14ac:dyDescent="0.35">
      <c r="A10694" s="34"/>
      <c r="B10694" s="35"/>
      <c r="C10694" s="36"/>
      <c r="D10694" s="37"/>
      <c r="E10694" s="36"/>
      <c r="F10694" s="42"/>
      <c r="G10694" s="42"/>
      <c r="H10694" s="42"/>
      <c r="AG10694" s="19"/>
    </row>
    <row r="10695" spans="1:33" ht="14.5" x14ac:dyDescent="0.35">
      <c r="A10695" s="34"/>
      <c r="B10695" s="35"/>
      <c r="C10695" s="36"/>
      <c r="D10695" s="37"/>
      <c r="E10695" s="36"/>
      <c r="F10695" s="42"/>
      <c r="G10695" s="42"/>
      <c r="H10695" s="42"/>
      <c r="AG10695" s="19"/>
    </row>
    <row r="10696" spans="1:33" ht="14.5" x14ac:dyDescent="0.35">
      <c r="A10696" s="34"/>
      <c r="B10696" s="35"/>
      <c r="C10696" s="36"/>
      <c r="D10696" s="37"/>
      <c r="E10696" s="36"/>
      <c r="F10696" s="42"/>
      <c r="G10696" s="42"/>
      <c r="H10696" s="42"/>
      <c r="AG10696" s="19"/>
    </row>
    <row r="10697" spans="1:33" ht="14.5" x14ac:dyDescent="0.35">
      <c r="A10697" s="34"/>
      <c r="B10697" s="35"/>
      <c r="C10697" s="36"/>
      <c r="D10697" s="37"/>
      <c r="E10697" s="36"/>
      <c r="F10697" s="42"/>
      <c r="G10697" s="42"/>
      <c r="H10697" s="42"/>
      <c r="AG10697" s="19"/>
    </row>
    <row r="10698" spans="1:33" ht="14.5" x14ac:dyDescent="0.35">
      <c r="A10698" s="34"/>
      <c r="B10698" s="35"/>
      <c r="C10698" s="36"/>
      <c r="D10698" s="37"/>
      <c r="E10698" s="36"/>
      <c r="F10698" s="42"/>
      <c r="G10698" s="42"/>
      <c r="H10698" s="42"/>
      <c r="AG10698" s="19"/>
    </row>
    <row r="10699" spans="1:33" ht="14.5" x14ac:dyDescent="0.35">
      <c r="A10699" s="34"/>
      <c r="B10699" s="35"/>
      <c r="C10699" s="36"/>
      <c r="D10699" s="37"/>
      <c r="E10699" s="36"/>
      <c r="F10699" s="42"/>
      <c r="G10699" s="42"/>
      <c r="H10699" s="42"/>
      <c r="AG10699" s="19"/>
    </row>
    <row r="10700" spans="1:33" ht="14.5" x14ac:dyDescent="0.35">
      <c r="A10700" s="34"/>
      <c r="B10700" s="35"/>
      <c r="C10700" s="36"/>
      <c r="D10700" s="37"/>
      <c r="E10700" s="36"/>
      <c r="F10700" s="42"/>
      <c r="G10700" s="42"/>
      <c r="H10700" s="42"/>
      <c r="AG10700" s="19"/>
    </row>
    <row r="10701" spans="1:33" ht="14.5" x14ac:dyDescent="0.35">
      <c r="A10701" s="34"/>
      <c r="B10701" s="35"/>
      <c r="C10701" s="36"/>
      <c r="D10701" s="37"/>
      <c r="E10701" s="36"/>
      <c r="F10701" s="42"/>
      <c r="G10701" s="42"/>
      <c r="H10701" s="42"/>
      <c r="AG10701" s="19"/>
    </row>
    <row r="10702" spans="1:33" ht="14.5" x14ac:dyDescent="0.35">
      <c r="A10702" s="34"/>
      <c r="B10702" s="35"/>
      <c r="C10702" s="36"/>
      <c r="D10702" s="37"/>
      <c r="E10702" s="36"/>
      <c r="F10702" s="42"/>
      <c r="G10702" s="42"/>
      <c r="H10702" s="42"/>
      <c r="AG10702" s="19"/>
    </row>
    <row r="10703" spans="1:33" ht="14.5" x14ac:dyDescent="0.35">
      <c r="A10703" s="34"/>
      <c r="B10703" s="35"/>
      <c r="C10703" s="36"/>
      <c r="D10703" s="37"/>
      <c r="E10703" s="36"/>
      <c r="F10703" s="42"/>
      <c r="G10703" s="42"/>
      <c r="H10703" s="42"/>
      <c r="AG10703" s="19"/>
    </row>
    <row r="10704" spans="1:33" ht="14.5" x14ac:dyDescent="0.35">
      <c r="A10704" s="34"/>
      <c r="B10704" s="35"/>
      <c r="C10704" s="36"/>
      <c r="D10704" s="37"/>
      <c r="E10704" s="36"/>
      <c r="F10704" s="42"/>
      <c r="G10704" s="42"/>
      <c r="H10704" s="42"/>
      <c r="AG10704" s="19"/>
    </row>
    <row r="10705" spans="1:33" ht="14.5" x14ac:dyDescent="0.35">
      <c r="A10705" s="34"/>
      <c r="B10705" s="35"/>
      <c r="C10705" s="36"/>
      <c r="D10705" s="37"/>
      <c r="E10705" s="36"/>
      <c r="F10705" s="42"/>
      <c r="G10705" s="42"/>
      <c r="H10705" s="42"/>
      <c r="AG10705" s="19"/>
    </row>
    <row r="10706" spans="1:33" ht="14.5" x14ac:dyDescent="0.35">
      <c r="A10706" s="34"/>
      <c r="B10706" s="35"/>
      <c r="C10706" s="36"/>
      <c r="D10706" s="37"/>
      <c r="E10706" s="36"/>
      <c r="F10706" s="42"/>
      <c r="G10706" s="42"/>
      <c r="H10706" s="42"/>
      <c r="AG10706" s="19"/>
    </row>
    <row r="10707" spans="1:33" ht="14.5" x14ac:dyDescent="0.35">
      <c r="A10707" s="34"/>
      <c r="B10707" s="35"/>
      <c r="C10707" s="36"/>
      <c r="D10707" s="37"/>
      <c r="E10707" s="36"/>
      <c r="F10707" s="42"/>
      <c r="G10707" s="42"/>
      <c r="H10707" s="42"/>
      <c r="AG10707" s="19"/>
    </row>
    <row r="10708" spans="1:33" ht="14.5" x14ac:dyDescent="0.35">
      <c r="A10708" s="34"/>
      <c r="B10708" s="35"/>
      <c r="C10708" s="36"/>
      <c r="D10708" s="37"/>
      <c r="E10708" s="36"/>
      <c r="F10708" s="42"/>
      <c r="G10708" s="42"/>
      <c r="H10708" s="42"/>
      <c r="AG10708" s="19"/>
    </row>
    <row r="10709" spans="1:33" ht="14.5" x14ac:dyDescent="0.35">
      <c r="A10709" s="34"/>
      <c r="B10709" s="35"/>
      <c r="C10709" s="36"/>
      <c r="D10709" s="37"/>
      <c r="E10709" s="36"/>
      <c r="F10709" s="42"/>
      <c r="G10709" s="42"/>
      <c r="H10709" s="42"/>
      <c r="AG10709" s="19"/>
    </row>
    <row r="10710" spans="1:33" ht="14.5" x14ac:dyDescent="0.35">
      <c r="A10710" s="34"/>
      <c r="B10710" s="35"/>
      <c r="C10710" s="36"/>
      <c r="D10710" s="37"/>
      <c r="E10710" s="36"/>
      <c r="F10710" s="42"/>
      <c r="G10710" s="42"/>
      <c r="H10710" s="42"/>
      <c r="AG10710" s="19"/>
    </row>
    <row r="10711" spans="1:33" ht="14.5" x14ac:dyDescent="0.35">
      <c r="A10711" s="34"/>
      <c r="B10711" s="35"/>
      <c r="C10711" s="36"/>
      <c r="D10711" s="37"/>
      <c r="E10711" s="36"/>
      <c r="F10711" s="42"/>
      <c r="G10711" s="42"/>
      <c r="H10711" s="42"/>
      <c r="AG10711" s="19"/>
    </row>
    <row r="10712" spans="1:33" ht="14.5" x14ac:dyDescent="0.35">
      <c r="A10712" s="34"/>
      <c r="B10712" s="35"/>
      <c r="C10712" s="36"/>
      <c r="D10712" s="37"/>
      <c r="E10712" s="36"/>
      <c r="F10712" s="42"/>
      <c r="G10712" s="42"/>
      <c r="H10712" s="42"/>
      <c r="AG10712" s="19"/>
    </row>
    <row r="10713" spans="1:33" ht="14.5" x14ac:dyDescent="0.35">
      <c r="A10713" s="34"/>
      <c r="B10713" s="35"/>
      <c r="C10713" s="36"/>
      <c r="D10713" s="37"/>
      <c r="E10713" s="36"/>
      <c r="F10713" s="42"/>
      <c r="G10713" s="42"/>
      <c r="H10713" s="42"/>
      <c r="AG10713" s="19"/>
    </row>
    <row r="10714" spans="1:33" ht="14.5" x14ac:dyDescent="0.35">
      <c r="A10714" s="34"/>
      <c r="B10714" s="35"/>
      <c r="C10714" s="36"/>
      <c r="D10714" s="37"/>
      <c r="E10714" s="36"/>
      <c r="F10714" s="42"/>
      <c r="G10714" s="42"/>
      <c r="H10714" s="42"/>
      <c r="AG10714" s="19"/>
    </row>
    <row r="10715" spans="1:33" ht="14.5" x14ac:dyDescent="0.35">
      <c r="A10715" s="34"/>
      <c r="B10715" s="35"/>
      <c r="C10715" s="36"/>
      <c r="D10715" s="37"/>
      <c r="E10715" s="36"/>
      <c r="F10715" s="42"/>
      <c r="G10715" s="42"/>
      <c r="H10715" s="42"/>
      <c r="AG10715" s="19"/>
    </row>
    <row r="10716" spans="1:33" ht="14.5" x14ac:dyDescent="0.35">
      <c r="A10716" s="34"/>
      <c r="B10716" s="35"/>
      <c r="C10716" s="36"/>
      <c r="D10716" s="37"/>
      <c r="E10716" s="36"/>
      <c r="F10716" s="42"/>
      <c r="G10716" s="42"/>
      <c r="H10716" s="42"/>
      <c r="AG10716" s="19"/>
    </row>
    <row r="10717" spans="1:33" ht="14.5" x14ac:dyDescent="0.35">
      <c r="A10717" s="34"/>
      <c r="B10717" s="35"/>
      <c r="C10717" s="36"/>
      <c r="D10717" s="37"/>
      <c r="E10717" s="36"/>
      <c r="F10717" s="42"/>
      <c r="G10717" s="42"/>
      <c r="H10717" s="42"/>
      <c r="AG10717" s="19"/>
    </row>
    <row r="10718" spans="1:33" ht="14.5" x14ac:dyDescent="0.35">
      <c r="A10718" s="34"/>
      <c r="B10718" s="35"/>
      <c r="C10718" s="36"/>
      <c r="D10718" s="37"/>
      <c r="E10718" s="36"/>
      <c r="F10718" s="42"/>
      <c r="G10718" s="42"/>
      <c r="H10718" s="42"/>
      <c r="AG10718" s="19"/>
    </row>
    <row r="10719" spans="1:33" ht="14.5" x14ac:dyDescent="0.35">
      <c r="A10719" s="34"/>
      <c r="B10719" s="35"/>
      <c r="C10719" s="36"/>
      <c r="D10719" s="37"/>
      <c r="E10719" s="36"/>
      <c r="F10719" s="42"/>
      <c r="G10719" s="42"/>
      <c r="H10719" s="42"/>
      <c r="AG10719" s="19"/>
    </row>
    <row r="10720" spans="1:33" ht="14.5" x14ac:dyDescent="0.35">
      <c r="A10720" s="34"/>
      <c r="B10720" s="35"/>
      <c r="C10720" s="36"/>
      <c r="D10720" s="37"/>
      <c r="E10720" s="36"/>
      <c r="F10720" s="42"/>
      <c r="G10720" s="42"/>
      <c r="H10720" s="42"/>
      <c r="AG10720" s="19"/>
    </row>
    <row r="10721" spans="1:33" ht="14.5" x14ac:dyDescent="0.35">
      <c r="A10721" s="34"/>
      <c r="B10721" s="35"/>
      <c r="C10721" s="36"/>
      <c r="D10721" s="37"/>
      <c r="E10721" s="36"/>
      <c r="F10721" s="42"/>
      <c r="G10721" s="42"/>
      <c r="H10721" s="42"/>
      <c r="AG10721" s="19"/>
    </row>
    <row r="10722" spans="1:33" ht="14.5" x14ac:dyDescent="0.35">
      <c r="A10722" s="34"/>
      <c r="B10722" s="35"/>
      <c r="C10722" s="36"/>
      <c r="D10722" s="37"/>
      <c r="E10722" s="36"/>
      <c r="F10722" s="42"/>
      <c r="G10722" s="42"/>
      <c r="H10722" s="42"/>
      <c r="AG10722" s="19"/>
    </row>
    <row r="10723" spans="1:33" ht="14.5" x14ac:dyDescent="0.35">
      <c r="A10723" s="34"/>
      <c r="B10723" s="35"/>
      <c r="C10723" s="36"/>
      <c r="D10723" s="37"/>
      <c r="E10723" s="36"/>
      <c r="F10723" s="42"/>
      <c r="G10723" s="42"/>
      <c r="H10723" s="42"/>
      <c r="AG10723" s="19"/>
    </row>
    <row r="10724" spans="1:33" ht="14.5" x14ac:dyDescent="0.35">
      <c r="A10724" s="34"/>
      <c r="B10724" s="35"/>
      <c r="C10724" s="36"/>
      <c r="D10724" s="37"/>
      <c r="E10724" s="36"/>
      <c r="F10724" s="42"/>
      <c r="G10724" s="42"/>
      <c r="H10724" s="42"/>
      <c r="AG10724" s="19"/>
    </row>
    <row r="10725" spans="1:33" ht="14.5" x14ac:dyDescent="0.35">
      <c r="A10725" s="34"/>
      <c r="B10725" s="35"/>
      <c r="C10725" s="36"/>
      <c r="D10725" s="37"/>
      <c r="E10725" s="36"/>
      <c r="F10725" s="42"/>
      <c r="G10725" s="42"/>
      <c r="H10725" s="42"/>
      <c r="AG10725" s="19"/>
    </row>
    <row r="10726" spans="1:33" ht="14.5" x14ac:dyDescent="0.35">
      <c r="A10726" s="34"/>
      <c r="B10726" s="35"/>
      <c r="C10726" s="36"/>
      <c r="D10726" s="37"/>
      <c r="E10726" s="36"/>
      <c r="F10726" s="42"/>
      <c r="G10726" s="42"/>
      <c r="H10726" s="42"/>
      <c r="AG10726" s="19"/>
    </row>
    <row r="10727" spans="1:33" ht="14.5" x14ac:dyDescent="0.35">
      <c r="A10727" s="34"/>
      <c r="B10727" s="35"/>
      <c r="C10727" s="36"/>
      <c r="D10727" s="37"/>
      <c r="E10727" s="36"/>
      <c r="F10727" s="42"/>
      <c r="G10727" s="42"/>
      <c r="H10727" s="42"/>
      <c r="AG10727" s="19"/>
    </row>
    <row r="10728" spans="1:33" ht="14.5" x14ac:dyDescent="0.35">
      <c r="A10728" s="34"/>
      <c r="B10728" s="35"/>
      <c r="C10728" s="36"/>
      <c r="D10728" s="37"/>
      <c r="E10728" s="36"/>
      <c r="F10728" s="42"/>
      <c r="G10728" s="42"/>
      <c r="H10728" s="42"/>
      <c r="AG10728" s="19"/>
    </row>
    <row r="10729" spans="1:33" ht="14.5" x14ac:dyDescent="0.35">
      <c r="A10729" s="34"/>
      <c r="B10729" s="35"/>
      <c r="C10729" s="36"/>
      <c r="D10729" s="37"/>
      <c r="E10729" s="36"/>
      <c r="F10729" s="42"/>
      <c r="G10729" s="42"/>
      <c r="H10729" s="42"/>
      <c r="AG10729" s="19"/>
    </row>
    <row r="10730" spans="1:33" ht="14.5" x14ac:dyDescent="0.35">
      <c r="A10730" s="34"/>
      <c r="B10730" s="35"/>
      <c r="C10730" s="36"/>
      <c r="D10730" s="37"/>
      <c r="E10730" s="36"/>
      <c r="F10730" s="42"/>
      <c r="G10730" s="42"/>
      <c r="H10730" s="42"/>
      <c r="AG10730" s="19"/>
    </row>
    <row r="10731" spans="1:33" ht="14.5" x14ac:dyDescent="0.35">
      <c r="A10731" s="34"/>
      <c r="B10731" s="35"/>
      <c r="C10731" s="36"/>
      <c r="D10731" s="37"/>
      <c r="E10731" s="36"/>
      <c r="F10731" s="42"/>
      <c r="G10731" s="42"/>
      <c r="H10731" s="42"/>
      <c r="AG10731" s="19"/>
    </row>
    <row r="10732" spans="1:33" ht="14.5" x14ac:dyDescent="0.35">
      <c r="A10732" s="34"/>
      <c r="B10732" s="35"/>
      <c r="C10732" s="36"/>
      <c r="D10732" s="37"/>
      <c r="E10732" s="36"/>
      <c r="F10732" s="42"/>
      <c r="G10732" s="42"/>
      <c r="H10732" s="42"/>
      <c r="AG10732" s="19"/>
    </row>
    <row r="10733" spans="1:33" ht="14.5" x14ac:dyDescent="0.35">
      <c r="A10733" s="34"/>
      <c r="B10733" s="35"/>
      <c r="C10733" s="36"/>
      <c r="D10733" s="37"/>
      <c r="E10733" s="36"/>
      <c r="F10733" s="42"/>
      <c r="G10733" s="42"/>
      <c r="H10733" s="42"/>
      <c r="AG10733" s="19"/>
    </row>
    <row r="10734" spans="1:33" ht="14.5" x14ac:dyDescent="0.35">
      <c r="A10734" s="34"/>
      <c r="B10734" s="35"/>
      <c r="C10734" s="36"/>
      <c r="D10734" s="37"/>
      <c r="E10734" s="36"/>
      <c r="F10734" s="42"/>
      <c r="G10734" s="42"/>
      <c r="H10734" s="42"/>
      <c r="AG10734" s="19"/>
    </row>
    <row r="10735" spans="1:33" ht="14.5" x14ac:dyDescent="0.35">
      <c r="A10735" s="34"/>
      <c r="B10735" s="35"/>
      <c r="C10735" s="36"/>
      <c r="D10735" s="37"/>
      <c r="E10735" s="36"/>
      <c r="F10735" s="42"/>
      <c r="G10735" s="42"/>
      <c r="H10735" s="42"/>
      <c r="AG10735" s="19"/>
    </row>
    <row r="10736" spans="1:33" ht="14.5" x14ac:dyDescent="0.35">
      <c r="A10736" s="34"/>
      <c r="B10736" s="35"/>
      <c r="C10736" s="36"/>
      <c r="D10736" s="37"/>
      <c r="E10736" s="36"/>
      <c r="F10736" s="42"/>
      <c r="G10736" s="42"/>
      <c r="H10736" s="42"/>
      <c r="AG10736" s="19"/>
    </row>
    <row r="10737" spans="1:33" ht="14.5" x14ac:dyDescent="0.35">
      <c r="A10737" s="34"/>
      <c r="B10737" s="35"/>
      <c r="C10737" s="36"/>
      <c r="D10737" s="37"/>
      <c r="E10737" s="36"/>
      <c r="F10737" s="42"/>
      <c r="G10737" s="42"/>
      <c r="H10737" s="42"/>
      <c r="AG10737" s="19"/>
    </row>
    <row r="10738" spans="1:33" ht="14.5" x14ac:dyDescent="0.35">
      <c r="A10738" s="34"/>
      <c r="B10738" s="35"/>
      <c r="C10738" s="36"/>
      <c r="D10738" s="37"/>
      <c r="E10738" s="36"/>
      <c r="F10738" s="42"/>
      <c r="G10738" s="42"/>
      <c r="H10738" s="42"/>
      <c r="AG10738" s="19"/>
    </row>
    <row r="10739" spans="1:33" ht="14.5" x14ac:dyDescent="0.35">
      <c r="A10739" s="34"/>
      <c r="B10739" s="35"/>
      <c r="C10739" s="36"/>
      <c r="D10739" s="37"/>
      <c r="E10739" s="36"/>
      <c r="F10739" s="42"/>
      <c r="G10739" s="42"/>
      <c r="H10739" s="42"/>
      <c r="AG10739" s="19"/>
    </row>
    <row r="10740" spans="1:33" ht="14.5" x14ac:dyDescent="0.35">
      <c r="A10740" s="34"/>
      <c r="B10740" s="35"/>
      <c r="C10740" s="36"/>
      <c r="D10740" s="37"/>
      <c r="E10740" s="36"/>
      <c r="F10740" s="42"/>
      <c r="G10740" s="42"/>
      <c r="H10740" s="42"/>
      <c r="AG10740" s="19"/>
    </row>
    <row r="10741" spans="1:33" ht="14.5" x14ac:dyDescent="0.35">
      <c r="A10741" s="34"/>
      <c r="B10741" s="35"/>
      <c r="C10741" s="36"/>
      <c r="D10741" s="37"/>
      <c r="E10741" s="36"/>
      <c r="F10741" s="42"/>
      <c r="G10741" s="42"/>
      <c r="H10741" s="42"/>
      <c r="AG10741" s="19"/>
    </row>
    <row r="10742" spans="1:33" ht="14.5" x14ac:dyDescent="0.35">
      <c r="A10742" s="34"/>
      <c r="B10742" s="35"/>
      <c r="C10742" s="36"/>
      <c r="D10742" s="37"/>
      <c r="E10742" s="36"/>
      <c r="F10742" s="42"/>
      <c r="G10742" s="42"/>
      <c r="H10742" s="42"/>
      <c r="AG10742" s="19"/>
    </row>
    <row r="10743" spans="1:33" ht="14.5" x14ac:dyDescent="0.35">
      <c r="A10743" s="34"/>
      <c r="B10743" s="35"/>
      <c r="C10743" s="36"/>
      <c r="D10743" s="37"/>
      <c r="E10743" s="36"/>
      <c r="F10743" s="42"/>
      <c r="G10743" s="42"/>
      <c r="H10743" s="42"/>
      <c r="AG10743" s="19"/>
    </row>
    <row r="10744" spans="1:33" ht="14.5" x14ac:dyDescent="0.35">
      <c r="A10744" s="34"/>
      <c r="B10744" s="35"/>
      <c r="C10744" s="36"/>
      <c r="D10744" s="37"/>
      <c r="E10744" s="36"/>
      <c r="F10744" s="42"/>
      <c r="G10744" s="42"/>
      <c r="H10744" s="42"/>
      <c r="AG10744" s="19"/>
    </row>
    <row r="10745" spans="1:33" ht="14.5" x14ac:dyDescent="0.35">
      <c r="A10745" s="34"/>
      <c r="B10745" s="35"/>
      <c r="C10745" s="36"/>
      <c r="D10745" s="37"/>
      <c r="E10745" s="36"/>
      <c r="F10745" s="42"/>
      <c r="G10745" s="42"/>
      <c r="H10745" s="42"/>
      <c r="AG10745" s="19"/>
    </row>
    <row r="10746" spans="1:33" ht="14.5" x14ac:dyDescent="0.35">
      <c r="A10746" s="34"/>
      <c r="B10746" s="35"/>
      <c r="C10746" s="36"/>
      <c r="D10746" s="37"/>
      <c r="E10746" s="36"/>
      <c r="F10746" s="42"/>
      <c r="G10746" s="42"/>
      <c r="H10746" s="42"/>
      <c r="AG10746" s="19"/>
    </row>
    <row r="10747" spans="1:33" ht="14.5" x14ac:dyDescent="0.35">
      <c r="A10747" s="34"/>
      <c r="B10747" s="35"/>
      <c r="C10747" s="36"/>
      <c r="D10747" s="37"/>
      <c r="E10747" s="36"/>
      <c r="F10747" s="42"/>
      <c r="G10747" s="42"/>
      <c r="H10747" s="42"/>
      <c r="AG10747" s="19"/>
    </row>
    <row r="10748" spans="1:33" ht="14.5" x14ac:dyDescent="0.35">
      <c r="A10748" s="34"/>
      <c r="B10748" s="35"/>
      <c r="C10748" s="36"/>
      <c r="D10748" s="37"/>
      <c r="E10748" s="36"/>
      <c r="F10748" s="42"/>
      <c r="G10748" s="42"/>
      <c r="H10748" s="42"/>
      <c r="AG10748" s="19"/>
    </row>
    <row r="10749" spans="1:33" ht="14.5" x14ac:dyDescent="0.35">
      <c r="A10749" s="34"/>
      <c r="B10749" s="35"/>
      <c r="C10749" s="36"/>
      <c r="D10749" s="37"/>
      <c r="E10749" s="36"/>
      <c r="F10749" s="42"/>
      <c r="G10749" s="42"/>
      <c r="H10749" s="42"/>
      <c r="AG10749" s="19"/>
    </row>
    <row r="10750" spans="1:33" ht="14.5" x14ac:dyDescent="0.35">
      <c r="A10750" s="34"/>
      <c r="B10750" s="35"/>
      <c r="C10750" s="36"/>
      <c r="D10750" s="37"/>
      <c r="E10750" s="36"/>
      <c r="F10750" s="42"/>
      <c r="G10750" s="42"/>
      <c r="H10750" s="42"/>
      <c r="AG10750" s="19"/>
    </row>
    <row r="10751" spans="1:33" ht="14.5" x14ac:dyDescent="0.35">
      <c r="A10751" s="34"/>
      <c r="B10751" s="35"/>
      <c r="C10751" s="36"/>
      <c r="D10751" s="37"/>
      <c r="E10751" s="36"/>
      <c r="F10751" s="42"/>
      <c r="G10751" s="42"/>
      <c r="H10751" s="42"/>
      <c r="AG10751" s="19"/>
    </row>
    <row r="10752" spans="1:33" ht="14.5" x14ac:dyDescent="0.35">
      <c r="A10752" s="34"/>
      <c r="B10752" s="35"/>
      <c r="C10752" s="36"/>
      <c r="D10752" s="37"/>
      <c r="E10752" s="36"/>
      <c r="F10752" s="42"/>
      <c r="G10752" s="42"/>
      <c r="H10752" s="42"/>
      <c r="AG10752" s="19"/>
    </row>
    <row r="10753" spans="1:33" ht="14.5" x14ac:dyDescent="0.35">
      <c r="A10753" s="34"/>
      <c r="B10753" s="35"/>
      <c r="C10753" s="36"/>
      <c r="D10753" s="37"/>
      <c r="E10753" s="36"/>
      <c r="F10753" s="42"/>
      <c r="G10753" s="42"/>
      <c r="H10753" s="42"/>
      <c r="AG10753" s="19"/>
    </row>
    <row r="10754" spans="1:33" ht="14.5" x14ac:dyDescent="0.35">
      <c r="A10754" s="34"/>
      <c r="B10754" s="35"/>
      <c r="C10754" s="36"/>
      <c r="D10754" s="37"/>
      <c r="E10754" s="36"/>
      <c r="F10754" s="42"/>
      <c r="G10754" s="42"/>
      <c r="H10754" s="42"/>
      <c r="AG10754" s="19"/>
    </row>
    <row r="10755" spans="1:33" ht="14.5" x14ac:dyDescent="0.35">
      <c r="A10755" s="34"/>
      <c r="B10755" s="35"/>
      <c r="C10755" s="36"/>
      <c r="D10755" s="37"/>
      <c r="E10755" s="36"/>
      <c r="F10755" s="42"/>
      <c r="G10755" s="42"/>
      <c r="H10755" s="42"/>
      <c r="AG10755" s="19"/>
    </row>
    <row r="10756" spans="1:33" ht="14.5" x14ac:dyDescent="0.35">
      <c r="A10756" s="34"/>
      <c r="B10756" s="35"/>
      <c r="C10756" s="36"/>
      <c r="D10756" s="37"/>
      <c r="E10756" s="36"/>
      <c r="F10756" s="42"/>
      <c r="G10756" s="42"/>
      <c r="H10756" s="42"/>
      <c r="AG10756" s="19"/>
    </row>
    <row r="10757" spans="1:33" ht="14.5" x14ac:dyDescent="0.35">
      <c r="A10757" s="34"/>
      <c r="B10757" s="35"/>
      <c r="C10757" s="36"/>
      <c r="D10757" s="37"/>
      <c r="E10757" s="36"/>
      <c r="F10757" s="42"/>
      <c r="G10757" s="42"/>
      <c r="H10757" s="42"/>
      <c r="AG10757" s="19"/>
    </row>
    <row r="10758" spans="1:33" ht="14.5" x14ac:dyDescent="0.35">
      <c r="A10758" s="34"/>
      <c r="B10758" s="35"/>
      <c r="C10758" s="36"/>
      <c r="D10758" s="37"/>
      <c r="E10758" s="36"/>
      <c r="F10758" s="42"/>
      <c r="G10758" s="42"/>
      <c r="H10758" s="42"/>
      <c r="AG10758" s="19"/>
    </row>
    <row r="10759" spans="1:33" ht="14.5" x14ac:dyDescent="0.35">
      <c r="A10759" s="34"/>
      <c r="B10759" s="35"/>
      <c r="C10759" s="36"/>
      <c r="D10759" s="37"/>
      <c r="E10759" s="36"/>
      <c r="F10759" s="42"/>
      <c r="G10759" s="42"/>
      <c r="H10759" s="42"/>
      <c r="AG10759" s="19"/>
    </row>
    <row r="10760" spans="1:33" ht="14.5" x14ac:dyDescent="0.35">
      <c r="A10760" s="34"/>
      <c r="B10760" s="35"/>
      <c r="C10760" s="36"/>
      <c r="D10760" s="37"/>
      <c r="E10760" s="36"/>
      <c r="F10760" s="42"/>
      <c r="G10760" s="42"/>
      <c r="H10760" s="42"/>
      <c r="AG10760" s="19"/>
    </row>
    <row r="10761" spans="1:33" ht="14.5" x14ac:dyDescent="0.35">
      <c r="A10761" s="34"/>
      <c r="B10761" s="35"/>
      <c r="C10761" s="36"/>
      <c r="D10761" s="37"/>
      <c r="E10761" s="36"/>
      <c r="F10761" s="42"/>
      <c r="G10761" s="42"/>
      <c r="H10761" s="42"/>
      <c r="AG10761" s="19"/>
    </row>
    <row r="10762" spans="1:33" ht="14.5" x14ac:dyDescent="0.35">
      <c r="A10762" s="34"/>
      <c r="B10762" s="35"/>
      <c r="C10762" s="36"/>
      <c r="D10762" s="37"/>
      <c r="E10762" s="36"/>
      <c r="F10762" s="42"/>
      <c r="G10762" s="42"/>
      <c r="H10762" s="42"/>
      <c r="AG10762" s="19"/>
    </row>
    <row r="10763" spans="1:33" ht="14.5" x14ac:dyDescent="0.35">
      <c r="A10763" s="34"/>
      <c r="B10763" s="35"/>
      <c r="C10763" s="36"/>
      <c r="D10763" s="37"/>
      <c r="E10763" s="36"/>
      <c r="F10763" s="42"/>
      <c r="G10763" s="42"/>
      <c r="H10763" s="42"/>
      <c r="AG10763" s="19"/>
    </row>
    <row r="10764" spans="1:33" ht="14.5" x14ac:dyDescent="0.35">
      <c r="A10764" s="34"/>
      <c r="B10764" s="35"/>
      <c r="C10764" s="36"/>
      <c r="D10764" s="37"/>
      <c r="E10764" s="36"/>
      <c r="F10764" s="42"/>
      <c r="G10764" s="42"/>
      <c r="H10764" s="42"/>
      <c r="AG10764" s="19"/>
    </row>
    <row r="10765" spans="1:33" ht="14.5" x14ac:dyDescent="0.35">
      <c r="A10765" s="34"/>
      <c r="B10765" s="35"/>
      <c r="C10765" s="36"/>
      <c r="D10765" s="37"/>
      <c r="E10765" s="36"/>
      <c r="F10765" s="42"/>
      <c r="G10765" s="42"/>
      <c r="H10765" s="42"/>
      <c r="AG10765" s="19"/>
    </row>
    <row r="10766" spans="1:33" ht="14.5" x14ac:dyDescent="0.35">
      <c r="A10766" s="34"/>
      <c r="B10766" s="35"/>
      <c r="C10766" s="36"/>
      <c r="D10766" s="37"/>
      <c r="E10766" s="36"/>
      <c r="F10766" s="42"/>
      <c r="G10766" s="42"/>
      <c r="H10766" s="42"/>
      <c r="AG10766" s="19"/>
    </row>
    <row r="10767" spans="1:33" ht="14.5" x14ac:dyDescent="0.35">
      <c r="A10767" s="34"/>
      <c r="B10767" s="35"/>
      <c r="C10767" s="36"/>
      <c r="D10767" s="37"/>
      <c r="E10767" s="36"/>
      <c r="F10767" s="42"/>
      <c r="G10767" s="42"/>
      <c r="H10767" s="42"/>
      <c r="AG10767" s="19"/>
    </row>
    <row r="10768" spans="1:33" ht="14.5" x14ac:dyDescent="0.35">
      <c r="A10768" s="34"/>
      <c r="B10768" s="35"/>
      <c r="C10768" s="36"/>
      <c r="D10768" s="37"/>
      <c r="E10768" s="36"/>
      <c r="F10768" s="42"/>
      <c r="G10768" s="42"/>
      <c r="H10768" s="42"/>
      <c r="AG10768" s="19"/>
    </row>
    <row r="10769" spans="1:33" ht="14.5" x14ac:dyDescent="0.35">
      <c r="A10769" s="34"/>
      <c r="B10769" s="35"/>
      <c r="C10769" s="36"/>
      <c r="D10769" s="37"/>
      <c r="E10769" s="36"/>
      <c r="F10769" s="42"/>
      <c r="G10769" s="42"/>
      <c r="H10769" s="42"/>
      <c r="AG10769" s="19"/>
    </row>
    <row r="10770" spans="1:33" ht="14.5" x14ac:dyDescent="0.35">
      <c r="A10770" s="34"/>
      <c r="B10770" s="35"/>
      <c r="C10770" s="36"/>
      <c r="D10770" s="37"/>
      <c r="E10770" s="36"/>
      <c r="F10770" s="42"/>
      <c r="G10770" s="42"/>
      <c r="H10770" s="42"/>
      <c r="AG10770" s="19"/>
    </row>
    <row r="10771" spans="1:33" ht="14.5" x14ac:dyDescent="0.35">
      <c r="A10771" s="34"/>
      <c r="B10771" s="35"/>
      <c r="C10771" s="36"/>
      <c r="D10771" s="37"/>
      <c r="E10771" s="36"/>
      <c r="F10771" s="42"/>
      <c r="G10771" s="42"/>
      <c r="H10771" s="42"/>
      <c r="AG10771" s="19"/>
    </row>
    <row r="10772" spans="1:33" ht="14.5" x14ac:dyDescent="0.35">
      <c r="A10772" s="34"/>
      <c r="B10772" s="35"/>
      <c r="C10772" s="36"/>
      <c r="D10772" s="37"/>
      <c r="E10772" s="36"/>
      <c r="F10772" s="42"/>
      <c r="G10772" s="42"/>
      <c r="H10772" s="42"/>
      <c r="AG10772" s="19"/>
    </row>
    <row r="10773" spans="1:33" ht="14.5" x14ac:dyDescent="0.35">
      <c r="A10773" s="34"/>
      <c r="B10773" s="35"/>
      <c r="C10773" s="36"/>
      <c r="D10773" s="37"/>
      <c r="E10773" s="36"/>
      <c r="F10773" s="42"/>
      <c r="G10773" s="42"/>
      <c r="H10773" s="42"/>
      <c r="AG10773" s="19"/>
    </row>
    <row r="10774" spans="1:33" ht="14.5" x14ac:dyDescent="0.35">
      <c r="A10774" s="34"/>
      <c r="B10774" s="35"/>
      <c r="C10774" s="36"/>
      <c r="D10774" s="37"/>
      <c r="E10774" s="36"/>
      <c r="F10774" s="42"/>
      <c r="G10774" s="42"/>
      <c r="H10774" s="42"/>
      <c r="AG10774" s="19"/>
    </row>
    <row r="10775" spans="1:33" ht="14.5" x14ac:dyDescent="0.35">
      <c r="A10775" s="34"/>
      <c r="B10775" s="35"/>
      <c r="C10775" s="36"/>
      <c r="D10775" s="37"/>
      <c r="E10775" s="36"/>
      <c r="F10775" s="42"/>
      <c r="G10775" s="42"/>
      <c r="H10775" s="42"/>
      <c r="AG10775" s="19"/>
    </row>
    <row r="10776" spans="1:33" ht="14.5" x14ac:dyDescent="0.35">
      <c r="A10776" s="34"/>
      <c r="B10776" s="35"/>
      <c r="C10776" s="36"/>
      <c r="D10776" s="37"/>
      <c r="E10776" s="36"/>
      <c r="F10776" s="42"/>
      <c r="G10776" s="42"/>
      <c r="H10776" s="42"/>
      <c r="AG10776" s="19"/>
    </row>
    <row r="10777" spans="1:33" ht="14.5" x14ac:dyDescent="0.35">
      <c r="A10777" s="34"/>
      <c r="B10777" s="35"/>
      <c r="C10777" s="36"/>
      <c r="D10777" s="37"/>
      <c r="E10777" s="36"/>
      <c r="F10777" s="42"/>
      <c r="G10777" s="42"/>
      <c r="H10777" s="42"/>
      <c r="AG10777" s="19"/>
    </row>
    <row r="10778" spans="1:33" ht="14.5" x14ac:dyDescent="0.35">
      <c r="A10778" s="34"/>
      <c r="B10778" s="35"/>
      <c r="C10778" s="36"/>
      <c r="D10778" s="37"/>
      <c r="E10778" s="36"/>
      <c r="F10778" s="42"/>
      <c r="G10778" s="42"/>
      <c r="H10778" s="42"/>
      <c r="AG10778" s="19"/>
    </row>
    <row r="10779" spans="1:33" ht="14.5" x14ac:dyDescent="0.35">
      <c r="A10779" s="34"/>
      <c r="B10779" s="35"/>
      <c r="C10779" s="36"/>
      <c r="D10779" s="37"/>
      <c r="E10779" s="36"/>
      <c r="F10779" s="42"/>
      <c r="G10779" s="42"/>
      <c r="H10779" s="42"/>
      <c r="AG10779" s="19"/>
    </row>
    <row r="10780" spans="1:33" ht="14.5" x14ac:dyDescent="0.35">
      <c r="A10780" s="34"/>
      <c r="B10780" s="35"/>
      <c r="C10780" s="36"/>
      <c r="D10780" s="37"/>
      <c r="E10780" s="36"/>
      <c r="F10780" s="42"/>
      <c r="G10780" s="42"/>
      <c r="H10780" s="42"/>
      <c r="AG10780" s="19"/>
    </row>
    <row r="10781" spans="1:33" ht="14.5" x14ac:dyDescent="0.35">
      <c r="A10781" s="34"/>
      <c r="B10781" s="35"/>
      <c r="C10781" s="36"/>
      <c r="D10781" s="37"/>
      <c r="E10781" s="36"/>
      <c r="F10781" s="42"/>
      <c r="G10781" s="42"/>
      <c r="H10781" s="42"/>
      <c r="AG10781" s="19"/>
    </row>
    <row r="10782" spans="1:33" ht="14.5" x14ac:dyDescent="0.35">
      <c r="A10782" s="34"/>
      <c r="B10782" s="35"/>
      <c r="C10782" s="36"/>
      <c r="D10782" s="37"/>
      <c r="E10782" s="36"/>
      <c r="F10782" s="42"/>
      <c r="G10782" s="42"/>
      <c r="H10782" s="42"/>
      <c r="AG10782" s="19"/>
    </row>
    <row r="10783" spans="1:33" ht="14.5" x14ac:dyDescent="0.35">
      <c r="A10783" s="34"/>
      <c r="B10783" s="35"/>
      <c r="C10783" s="36"/>
      <c r="D10783" s="37"/>
      <c r="E10783" s="36"/>
      <c r="F10783" s="42"/>
      <c r="G10783" s="42"/>
      <c r="H10783" s="42"/>
      <c r="AG10783" s="19"/>
    </row>
    <row r="10784" spans="1:33" ht="14.5" x14ac:dyDescent="0.35">
      <c r="A10784" s="34"/>
      <c r="B10784" s="35"/>
      <c r="C10784" s="36"/>
      <c r="D10784" s="37"/>
      <c r="E10784" s="36"/>
      <c r="F10784" s="42"/>
      <c r="G10784" s="42"/>
      <c r="H10784" s="42"/>
      <c r="AG10784" s="19"/>
    </row>
    <row r="10785" spans="1:33" ht="14.5" x14ac:dyDescent="0.35">
      <c r="A10785" s="34"/>
      <c r="B10785" s="35"/>
      <c r="C10785" s="36"/>
      <c r="D10785" s="37"/>
      <c r="E10785" s="36"/>
      <c r="F10785" s="42"/>
      <c r="G10785" s="42"/>
      <c r="H10785" s="42"/>
      <c r="AG10785" s="19"/>
    </row>
    <row r="10786" spans="1:33" ht="14.5" x14ac:dyDescent="0.35">
      <c r="A10786" s="34"/>
      <c r="B10786" s="35"/>
      <c r="C10786" s="36"/>
      <c r="D10786" s="37"/>
      <c r="E10786" s="36"/>
      <c r="F10786" s="42"/>
      <c r="G10786" s="42"/>
      <c r="H10786" s="42"/>
      <c r="AG10786" s="19"/>
    </row>
    <row r="10787" spans="1:33" ht="14.5" x14ac:dyDescent="0.35">
      <c r="A10787" s="34"/>
      <c r="B10787" s="35"/>
      <c r="C10787" s="36"/>
      <c r="D10787" s="37"/>
      <c r="E10787" s="36"/>
      <c r="F10787" s="42"/>
      <c r="G10787" s="42"/>
      <c r="H10787" s="42"/>
      <c r="AG10787" s="19"/>
    </row>
    <row r="10788" spans="1:33" ht="14.5" x14ac:dyDescent="0.35">
      <c r="A10788" s="34"/>
      <c r="B10788" s="35"/>
      <c r="C10788" s="36"/>
      <c r="D10788" s="37"/>
      <c r="E10788" s="36"/>
      <c r="F10788" s="42"/>
      <c r="G10788" s="42"/>
      <c r="H10788" s="42"/>
      <c r="AG10788" s="19"/>
    </row>
    <row r="10789" spans="1:33" ht="14.5" x14ac:dyDescent="0.35">
      <c r="A10789" s="34"/>
      <c r="B10789" s="35"/>
      <c r="C10789" s="36"/>
      <c r="D10789" s="37"/>
      <c r="E10789" s="36"/>
      <c r="F10789" s="42"/>
      <c r="G10789" s="42"/>
      <c r="H10789" s="42"/>
      <c r="AG10789" s="19"/>
    </row>
    <row r="10790" spans="1:33" ht="14.5" x14ac:dyDescent="0.35">
      <c r="A10790" s="34"/>
      <c r="B10790" s="35"/>
      <c r="C10790" s="36"/>
      <c r="D10790" s="37"/>
      <c r="E10790" s="36"/>
      <c r="F10790" s="42"/>
      <c r="G10790" s="42"/>
      <c r="H10790" s="42"/>
      <c r="AG10790" s="19"/>
    </row>
    <row r="10791" spans="1:33" ht="14.5" x14ac:dyDescent="0.35">
      <c r="A10791" s="34"/>
      <c r="B10791" s="35"/>
      <c r="C10791" s="36"/>
      <c r="D10791" s="37"/>
      <c r="E10791" s="36"/>
      <c r="F10791" s="42"/>
      <c r="G10791" s="42"/>
      <c r="H10791" s="42"/>
      <c r="AG10791" s="19"/>
    </row>
    <row r="10792" spans="1:33" ht="14.5" x14ac:dyDescent="0.35">
      <c r="A10792" s="34"/>
      <c r="B10792" s="35"/>
      <c r="C10792" s="36"/>
      <c r="D10792" s="37"/>
      <c r="E10792" s="36"/>
      <c r="F10792" s="42"/>
      <c r="G10792" s="42"/>
      <c r="H10792" s="42"/>
      <c r="AG10792" s="19"/>
    </row>
    <row r="10793" spans="1:33" ht="14.5" x14ac:dyDescent="0.35">
      <c r="A10793" s="34"/>
      <c r="B10793" s="35"/>
      <c r="C10793" s="36"/>
      <c r="D10793" s="37"/>
      <c r="E10793" s="36"/>
      <c r="F10793" s="42"/>
      <c r="G10793" s="42"/>
      <c r="H10793" s="42"/>
      <c r="AG10793" s="19"/>
    </row>
    <row r="10794" spans="1:33" ht="14.5" x14ac:dyDescent="0.35">
      <c r="A10794" s="34"/>
      <c r="B10794" s="35"/>
      <c r="C10794" s="36"/>
      <c r="D10794" s="37"/>
      <c r="E10794" s="36"/>
      <c r="F10794" s="42"/>
      <c r="G10794" s="42"/>
      <c r="H10794" s="42"/>
      <c r="AG10794" s="19"/>
    </row>
    <row r="10795" spans="1:33" ht="14.5" x14ac:dyDescent="0.35">
      <c r="A10795" s="34"/>
      <c r="B10795" s="35"/>
      <c r="C10795" s="36"/>
      <c r="D10795" s="37"/>
      <c r="E10795" s="36"/>
      <c r="F10795" s="42"/>
      <c r="G10795" s="42"/>
      <c r="H10795" s="42"/>
      <c r="AG10795" s="19"/>
    </row>
    <row r="10796" spans="1:33" ht="14.5" x14ac:dyDescent="0.35">
      <c r="A10796" s="34"/>
      <c r="B10796" s="35"/>
      <c r="C10796" s="36"/>
      <c r="D10796" s="37"/>
      <c r="E10796" s="36"/>
      <c r="F10796" s="42"/>
      <c r="G10796" s="42"/>
      <c r="H10796" s="42"/>
      <c r="AG10796" s="19"/>
    </row>
    <row r="10797" spans="1:33" ht="14.5" x14ac:dyDescent="0.35">
      <c r="A10797" s="34"/>
      <c r="B10797" s="35"/>
      <c r="C10797" s="36"/>
      <c r="D10797" s="37"/>
      <c r="E10797" s="36"/>
      <c r="F10797" s="42"/>
      <c r="G10797" s="42"/>
      <c r="H10797" s="42"/>
      <c r="AG10797" s="19"/>
    </row>
    <row r="10798" spans="1:33" ht="14.5" x14ac:dyDescent="0.35">
      <c r="A10798" s="34"/>
      <c r="B10798" s="35"/>
      <c r="C10798" s="36"/>
      <c r="D10798" s="37"/>
      <c r="E10798" s="36"/>
      <c r="F10798" s="42"/>
      <c r="G10798" s="42"/>
      <c r="H10798" s="42"/>
      <c r="AG10798" s="19"/>
    </row>
    <row r="10799" spans="1:33" ht="14.5" x14ac:dyDescent="0.35">
      <c r="A10799" s="34"/>
      <c r="B10799" s="35"/>
      <c r="C10799" s="36"/>
      <c r="D10799" s="37"/>
      <c r="E10799" s="36"/>
      <c r="F10799" s="42"/>
      <c r="G10799" s="42"/>
      <c r="H10799" s="42"/>
      <c r="AG10799" s="19"/>
    </row>
    <row r="10800" spans="1:33" ht="14.5" x14ac:dyDescent="0.35">
      <c r="A10800" s="34"/>
      <c r="B10800" s="35"/>
      <c r="C10800" s="36"/>
      <c r="D10800" s="37"/>
      <c r="E10800" s="36"/>
      <c r="F10800" s="42"/>
      <c r="G10800" s="42"/>
      <c r="H10800" s="42"/>
      <c r="AG10800" s="19"/>
    </row>
    <row r="10801" spans="1:33" ht="14.5" x14ac:dyDescent="0.35">
      <c r="A10801" s="34"/>
      <c r="B10801" s="35"/>
      <c r="C10801" s="36"/>
      <c r="D10801" s="37"/>
      <c r="E10801" s="36"/>
      <c r="F10801" s="42"/>
      <c r="G10801" s="42"/>
      <c r="H10801" s="42"/>
      <c r="AG10801" s="19"/>
    </row>
    <row r="10802" spans="1:33" ht="14.5" x14ac:dyDescent="0.35">
      <c r="A10802" s="34"/>
      <c r="B10802" s="35"/>
      <c r="C10802" s="36"/>
      <c r="D10802" s="37"/>
      <c r="E10802" s="36"/>
      <c r="F10802" s="42"/>
      <c r="G10802" s="42"/>
      <c r="H10802" s="42"/>
      <c r="AG10802" s="19"/>
    </row>
    <row r="10803" spans="1:33" ht="14.5" x14ac:dyDescent="0.35">
      <c r="A10803" s="34"/>
      <c r="B10803" s="35"/>
      <c r="C10803" s="36"/>
      <c r="D10803" s="37"/>
      <c r="E10803" s="36"/>
      <c r="F10803" s="42"/>
      <c r="G10803" s="42"/>
      <c r="H10803" s="42"/>
      <c r="AG10803" s="19"/>
    </row>
    <row r="10804" spans="1:33" ht="14.5" x14ac:dyDescent="0.35">
      <c r="A10804" s="34"/>
      <c r="B10804" s="35"/>
      <c r="C10804" s="36"/>
      <c r="D10804" s="37"/>
      <c r="E10804" s="36"/>
      <c r="F10804" s="42"/>
      <c r="G10804" s="42"/>
      <c r="H10804" s="42"/>
      <c r="AG10804" s="19"/>
    </row>
    <row r="10805" spans="1:33" ht="14.5" x14ac:dyDescent="0.35">
      <c r="A10805" s="34"/>
      <c r="B10805" s="35"/>
      <c r="C10805" s="36"/>
      <c r="D10805" s="37"/>
      <c r="E10805" s="36"/>
      <c r="F10805" s="42"/>
      <c r="G10805" s="42"/>
      <c r="H10805" s="42"/>
      <c r="AG10805" s="19"/>
    </row>
    <row r="10806" spans="1:33" ht="14.5" x14ac:dyDescent="0.35">
      <c r="A10806" s="34"/>
      <c r="B10806" s="35"/>
      <c r="C10806" s="36"/>
      <c r="D10806" s="37"/>
      <c r="E10806" s="36"/>
      <c r="F10806" s="42"/>
      <c r="G10806" s="42"/>
      <c r="H10806" s="42"/>
      <c r="AG10806" s="19"/>
    </row>
    <row r="10807" spans="1:33" ht="14.5" x14ac:dyDescent="0.35">
      <c r="A10807" s="34"/>
      <c r="B10807" s="35"/>
      <c r="C10807" s="36"/>
      <c r="D10807" s="37"/>
      <c r="E10807" s="36"/>
      <c r="F10807" s="42"/>
      <c r="G10807" s="42"/>
      <c r="H10807" s="42"/>
      <c r="AG10807" s="19"/>
    </row>
    <row r="10808" spans="1:33" ht="14.5" x14ac:dyDescent="0.35">
      <c r="A10808" s="34"/>
      <c r="B10808" s="35"/>
      <c r="C10808" s="36"/>
      <c r="D10808" s="37"/>
      <c r="E10808" s="36"/>
      <c r="F10808" s="42"/>
      <c r="G10808" s="42"/>
      <c r="H10808" s="42"/>
      <c r="AG10808" s="19"/>
    </row>
    <row r="10809" spans="1:33" ht="14.5" x14ac:dyDescent="0.35">
      <c r="A10809" s="34"/>
      <c r="B10809" s="35"/>
      <c r="C10809" s="36"/>
      <c r="D10809" s="37"/>
      <c r="E10809" s="36"/>
      <c r="F10809" s="42"/>
      <c r="G10809" s="42"/>
      <c r="H10809" s="42"/>
      <c r="AG10809" s="19"/>
    </row>
    <row r="10810" spans="1:33" ht="14.5" x14ac:dyDescent="0.35">
      <c r="A10810" s="34"/>
      <c r="B10810" s="35"/>
      <c r="C10810" s="36"/>
      <c r="D10810" s="37"/>
      <c r="E10810" s="36"/>
      <c r="F10810" s="42"/>
      <c r="G10810" s="42"/>
      <c r="H10810" s="42"/>
      <c r="AG10810" s="19"/>
    </row>
    <row r="10811" spans="1:33" ht="14.5" x14ac:dyDescent="0.35">
      <c r="A10811" s="34"/>
      <c r="B10811" s="35"/>
      <c r="C10811" s="36"/>
      <c r="D10811" s="37"/>
      <c r="E10811" s="36"/>
      <c r="F10811" s="42"/>
      <c r="G10811" s="42"/>
      <c r="H10811" s="42"/>
      <c r="AG10811" s="19"/>
    </row>
    <row r="10812" spans="1:33" ht="14.5" x14ac:dyDescent="0.35">
      <c r="A10812" s="34"/>
      <c r="B10812" s="35"/>
      <c r="C10812" s="36"/>
      <c r="D10812" s="37"/>
      <c r="E10812" s="36"/>
      <c r="F10812" s="42"/>
      <c r="G10812" s="42"/>
      <c r="H10812" s="42"/>
      <c r="AG10812" s="19"/>
    </row>
    <row r="10813" spans="1:33" ht="14.5" x14ac:dyDescent="0.35">
      <c r="A10813" s="34"/>
      <c r="B10813" s="35"/>
      <c r="C10813" s="36"/>
      <c r="D10813" s="37"/>
      <c r="E10813" s="36"/>
      <c r="F10813" s="42"/>
      <c r="G10813" s="42"/>
      <c r="H10813" s="42"/>
      <c r="AG10813" s="19"/>
    </row>
    <row r="10814" spans="1:33" ht="14.5" x14ac:dyDescent="0.35">
      <c r="A10814" s="34"/>
      <c r="B10814" s="35"/>
      <c r="C10814" s="36"/>
      <c r="D10814" s="37"/>
      <c r="E10814" s="36"/>
      <c r="F10814" s="42"/>
      <c r="G10814" s="42"/>
      <c r="H10814" s="42"/>
      <c r="AG10814" s="19"/>
    </row>
    <row r="10815" spans="1:33" ht="14.5" x14ac:dyDescent="0.35">
      <c r="A10815" s="34"/>
      <c r="B10815" s="35"/>
      <c r="C10815" s="36"/>
      <c r="D10815" s="37"/>
      <c r="E10815" s="36"/>
      <c r="F10815" s="42"/>
      <c r="G10815" s="42"/>
      <c r="H10815" s="42"/>
      <c r="AG10815" s="19"/>
    </row>
    <row r="10816" spans="1:33" ht="14.5" x14ac:dyDescent="0.35">
      <c r="A10816" s="34"/>
      <c r="B10816" s="35"/>
      <c r="C10816" s="36"/>
      <c r="D10816" s="37"/>
      <c r="E10816" s="36"/>
      <c r="F10816" s="42"/>
      <c r="G10816" s="42"/>
      <c r="H10816" s="42"/>
      <c r="AG10816" s="19"/>
    </row>
    <row r="10817" spans="1:33" ht="14.5" x14ac:dyDescent="0.35">
      <c r="A10817" s="34"/>
      <c r="B10817" s="35"/>
      <c r="C10817" s="36"/>
      <c r="D10817" s="37"/>
      <c r="E10817" s="36"/>
      <c r="F10817" s="42"/>
      <c r="G10817" s="42"/>
      <c r="H10817" s="42"/>
      <c r="AG10817" s="19"/>
    </row>
    <row r="10818" spans="1:33" ht="14.5" x14ac:dyDescent="0.35">
      <c r="A10818" s="34"/>
      <c r="B10818" s="35"/>
      <c r="C10818" s="36"/>
      <c r="D10818" s="37"/>
      <c r="E10818" s="36"/>
      <c r="F10818" s="42"/>
      <c r="G10818" s="42"/>
      <c r="H10818" s="42"/>
      <c r="AG10818" s="19"/>
    </row>
    <row r="10819" spans="1:33" ht="14.5" x14ac:dyDescent="0.35">
      <c r="A10819" s="34"/>
      <c r="B10819" s="35"/>
      <c r="C10819" s="36"/>
      <c r="D10819" s="37"/>
      <c r="E10819" s="36"/>
      <c r="F10819" s="42"/>
      <c r="G10819" s="42"/>
      <c r="H10819" s="42"/>
      <c r="AG10819" s="19"/>
    </row>
    <row r="10820" spans="1:33" ht="14.5" x14ac:dyDescent="0.35">
      <c r="A10820" s="34"/>
      <c r="B10820" s="35"/>
      <c r="C10820" s="36"/>
      <c r="D10820" s="37"/>
      <c r="E10820" s="36"/>
      <c r="F10820" s="42"/>
      <c r="G10820" s="42"/>
      <c r="H10820" s="42"/>
      <c r="AG10820" s="19"/>
    </row>
    <row r="10821" spans="1:33" ht="14.5" x14ac:dyDescent="0.35">
      <c r="A10821" s="34"/>
      <c r="B10821" s="35"/>
      <c r="C10821" s="36"/>
      <c r="D10821" s="37"/>
      <c r="E10821" s="36"/>
      <c r="F10821" s="42"/>
      <c r="G10821" s="42"/>
      <c r="H10821" s="42"/>
      <c r="AG10821" s="19"/>
    </row>
    <row r="10822" spans="1:33" ht="14.5" x14ac:dyDescent="0.35">
      <c r="A10822" s="34"/>
      <c r="B10822" s="35"/>
      <c r="C10822" s="36"/>
      <c r="D10822" s="37"/>
      <c r="E10822" s="36"/>
      <c r="F10822" s="42"/>
      <c r="G10822" s="42"/>
      <c r="H10822" s="42"/>
      <c r="AG10822" s="19"/>
    </row>
    <row r="10823" spans="1:33" ht="14.5" x14ac:dyDescent="0.35">
      <c r="A10823" s="34"/>
      <c r="B10823" s="35"/>
      <c r="C10823" s="36"/>
      <c r="D10823" s="37"/>
      <c r="E10823" s="36"/>
      <c r="F10823" s="42"/>
      <c r="G10823" s="42"/>
      <c r="H10823" s="42"/>
      <c r="AG10823" s="19"/>
    </row>
    <row r="10824" spans="1:33" ht="14.5" x14ac:dyDescent="0.35">
      <c r="A10824" s="34"/>
      <c r="B10824" s="35"/>
      <c r="C10824" s="36"/>
      <c r="D10824" s="37"/>
      <c r="E10824" s="36"/>
      <c r="F10824" s="42"/>
      <c r="G10824" s="42"/>
      <c r="H10824" s="42"/>
      <c r="AG10824" s="19"/>
    </row>
    <row r="10825" spans="1:33" ht="14.5" x14ac:dyDescent="0.35">
      <c r="A10825" s="34"/>
      <c r="B10825" s="35"/>
      <c r="C10825" s="36"/>
      <c r="D10825" s="37"/>
      <c r="E10825" s="36"/>
      <c r="F10825" s="42"/>
      <c r="G10825" s="42"/>
      <c r="H10825" s="42"/>
      <c r="AG10825" s="19"/>
    </row>
    <row r="10826" spans="1:33" ht="14.5" x14ac:dyDescent="0.35">
      <c r="A10826" s="34"/>
      <c r="B10826" s="35"/>
      <c r="C10826" s="36"/>
      <c r="D10826" s="37"/>
      <c r="E10826" s="36"/>
      <c r="F10826" s="42"/>
      <c r="G10826" s="42"/>
      <c r="H10826" s="42"/>
      <c r="AG10826" s="19"/>
    </row>
    <row r="10827" spans="1:33" ht="14.5" x14ac:dyDescent="0.35">
      <c r="A10827" s="34"/>
      <c r="B10827" s="35"/>
      <c r="C10827" s="36"/>
      <c r="D10827" s="37"/>
      <c r="E10827" s="36"/>
      <c r="F10827" s="42"/>
      <c r="G10827" s="42"/>
      <c r="H10827" s="42"/>
      <c r="AG10827" s="19"/>
    </row>
    <row r="10828" spans="1:33" ht="14.5" x14ac:dyDescent="0.35">
      <c r="A10828" s="34"/>
      <c r="B10828" s="35"/>
      <c r="C10828" s="36"/>
      <c r="D10828" s="37"/>
      <c r="E10828" s="36"/>
      <c r="F10828" s="42"/>
      <c r="G10828" s="42"/>
      <c r="H10828" s="42"/>
      <c r="AG10828" s="19"/>
    </row>
    <row r="10829" spans="1:33" ht="14.5" x14ac:dyDescent="0.35">
      <c r="A10829" s="34"/>
      <c r="B10829" s="35"/>
      <c r="C10829" s="36"/>
      <c r="D10829" s="37"/>
      <c r="E10829" s="36"/>
      <c r="F10829" s="42"/>
      <c r="G10829" s="42"/>
      <c r="H10829" s="42"/>
      <c r="AG10829" s="19"/>
    </row>
    <row r="10830" spans="1:33" ht="14.5" x14ac:dyDescent="0.35">
      <c r="A10830" s="34"/>
      <c r="B10830" s="35"/>
      <c r="C10830" s="36"/>
      <c r="D10830" s="37"/>
      <c r="E10830" s="36"/>
      <c r="F10830" s="42"/>
      <c r="G10830" s="42"/>
      <c r="H10830" s="42"/>
      <c r="AG10830" s="19"/>
    </row>
    <row r="10831" spans="1:33" ht="14.5" x14ac:dyDescent="0.35">
      <c r="A10831" s="34"/>
      <c r="B10831" s="35"/>
      <c r="C10831" s="36"/>
      <c r="D10831" s="37"/>
      <c r="E10831" s="36"/>
      <c r="F10831" s="42"/>
      <c r="G10831" s="42"/>
      <c r="H10831" s="42"/>
      <c r="AG10831" s="19"/>
    </row>
    <row r="10832" spans="1:33" ht="14.5" x14ac:dyDescent="0.35">
      <c r="A10832" s="34"/>
      <c r="B10832" s="35"/>
      <c r="C10832" s="36"/>
      <c r="D10832" s="37"/>
      <c r="E10832" s="36"/>
      <c r="F10832" s="42"/>
      <c r="G10832" s="42"/>
      <c r="H10832" s="42"/>
      <c r="AG10832" s="19"/>
    </row>
    <row r="10833" spans="1:33" ht="14.5" x14ac:dyDescent="0.35">
      <c r="A10833" s="34"/>
      <c r="B10833" s="35"/>
      <c r="C10833" s="36"/>
      <c r="D10833" s="37"/>
      <c r="E10833" s="36"/>
      <c r="F10833" s="42"/>
      <c r="G10833" s="42"/>
      <c r="H10833" s="42"/>
      <c r="AG10833" s="19"/>
    </row>
    <row r="10834" spans="1:33" ht="14.5" x14ac:dyDescent="0.35">
      <c r="A10834" s="34"/>
      <c r="B10834" s="35"/>
      <c r="C10834" s="36"/>
      <c r="D10834" s="37"/>
      <c r="E10834" s="36"/>
      <c r="F10834" s="42"/>
      <c r="G10834" s="42"/>
      <c r="H10834" s="42"/>
      <c r="AG10834" s="19"/>
    </row>
    <row r="10835" spans="1:33" ht="14.5" x14ac:dyDescent="0.35">
      <c r="A10835" s="34"/>
      <c r="B10835" s="35"/>
      <c r="C10835" s="36"/>
      <c r="D10835" s="37"/>
      <c r="E10835" s="36"/>
      <c r="F10835" s="42"/>
      <c r="G10835" s="42"/>
      <c r="H10835" s="42"/>
      <c r="AG10835" s="19"/>
    </row>
    <row r="10836" spans="1:33" ht="14.5" x14ac:dyDescent="0.35">
      <c r="A10836" s="34"/>
      <c r="B10836" s="35"/>
      <c r="C10836" s="36"/>
      <c r="D10836" s="37"/>
      <c r="E10836" s="36"/>
      <c r="F10836" s="42"/>
      <c r="G10836" s="42"/>
      <c r="H10836" s="42"/>
      <c r="AG10836" s="19"/>
    </row>
    <row r="10837" spans="1:33" ht="14.5" x14ac:dyDescent="0.35">
      <c r="A10837" s="34"/>
      <c r="B10837" s="35"/>
      <c r="C10837" s="36"/>
      <c r="D10837" s="37"/>
      <c r="E10837" s="36"/>
      <c r="F10837" s="42"/>
      <c r="G10837" s="42"/>
      <c r="H10837" s="42"/>
      <c r="AG10837" s="19"/>
    </row>
    <row r="10838" spans="1:33" ht="14.5" x14ac:dyDescent="0.35">
      <c r="A10838" s="34"/>
      <c r="B10838" s="35"/>
      <c r="C10838" s="36"/>
      <c r="D10838" s="37"/>
      <c r="E10838" s="36"/>
      <c r="F10838" s="42"/>
      <c r="G10838" s="42"/>
      <c r="H10838" s="42"/>
      <c r="AG10838" s="19"/>
    </row>
    <row r="10839" spans="1:33" ht="14.5" x14ac:dyDescent="0.35">
      <c r="A10839" s="34"/>
      <c r="B10839" s="35"/>
      <c r="C10839" s="36"/>
      <c r="D10839" s="37"/>
      <c r="E10839" s="36"/>
      <c r="F10839" s="42"/>
      <c r="G10839" s="42"/>
      <c r="H10839" s="42"/>
      <c r="AG10839" s="19"/>
    </row>
    <row r="10840" spans="1:33" ht="14.5" x14ac:dyDescent="0.35">
      <c r="A10840" s="34"/>
      <c r="B10840" s="35"/>
      <c r="C10840" s="36"/>
      <c r="D10840" s="37"/>
      <c r="E10840" s="36"/>
      <c r="F10840" s="42"/>
      <c r="G10840" s="42"/>
      <c r="H10840" s="42"/>
      <c r="AG10840" s="19"/>
    </row>
    <row r="10841" spans="1:33" ht="14.5" x14ac:dyDescent="0.35">
      <c r="A10841" s="34"/>
      <c r="B10841" s="35"/>
      <c r="C10841" s="36"/>
      <c r="D10841" s="37"/>
      <c r="E10841" s="36"/>
      <c r="F10841" s="42"/>
      <c r="G10841" s="42"/>
      <c r="H10841" s="42"/>
      <c r="AG10841" s="19"/>
    </row>
    <row r="10842" spans="1:33" ht="14.5" x14ac:dyDescent="0.35">
      <c r="A10842" s="34"/>
      <c r="B10842" s="35"/>
      <c r="C10842" s="36"/>
      <c r="D10842" s="37"/>
      <c r="E10842" s="36"/>
      <c r="F10842" s="42"/>
      <c r="G10842" s="42"/>
      <c r="H10842" s="42"/>
      <c r="AG10842" s="19"/>
    </row>
    <row r="10843" spans="1:33" ht="14.5" x14ac:dyDescent="0.35">
      <c r="A10843" s="34"/>
      <c r="B10843" s="35"/>
      <c r="C10843" s="36"/>
      <c r="D10843" s="37"/>
      <c r="E10843" s="36"/>
      <c r="F10843" s="42"/>
      <c r="G10843" s="42"/>
      <c r="H10843" s="42"/>
      <c r="AG10843" s="19"/>
    </row>
    <row r="10844" spans="1:33" ht="14.5" x14ac:dyDescent="0.35">
      <c r="A10844" s="34"/>
      <c r="B10844" s="35"/>
      <c r="C10844" s="36"/>
      <c r="D10844" s="37"/>
      <c r="E10844" s="36"/>
      <c r="F10844" s="42"/>
      <c r="G10844" s="42"/>
      <c r="H10844" s="42"/>
      <c r="AG10844" s="19"/>
    </row>
    <row r="10845" spans="1:33" ht="14.5" x14ac:dyDescent="0.35">
      <c r="A10845" s="34"/>
      <c r="B10845" s="35"/>
      <c r="C10845" s="36"/>
      <c r="D10845" s="37"/>
      <c r="E10845" s="36"/>
      <c r="F10845" s="42"/>
      <c r="G10845" s="42"/>
      <c r="H10845" s="42"/>
      <c r="AG10845" s="19"/>
    </row>
    <row r="10846" spans="1:33" ht="14.5" x14ac:dyDescent="0.35">
      <c r="A10846" s="34"/>
      <c r="B10846" s="35"/>
      <c r="C10846" s="36"/>
      <c r="D10846" s="37"/>
      <c r="E10846" s="36"/>
      <c r="F10846" s="42"/>
      <c r="G10846" s="42"/>
      <c r="H10846" s="42"/>
      <c r="AG10846" s="19"/>
    </row>
    <row r="10847" spans="1:33" ht="14.5" x14ac:dyDescent="0.35">
      <c r="A10847" s="34"/>
      <c r="B10847" s="35"/>
      <c r="C10847" s="36"/>
      <c r="D10847" s="37"/>
      <c r="E10847" s="36"/>
      <c r="F10847" s="42"/>
      <c r="G10847" s="42"/>
      <c r="H10847" s="42"/>
      <c r="AG10847" s="19"/>
    </row>
    <row r="10848" spans="1:33" ht="14.5" x14ac:dyDescent="0.35">
      <c r="A10848" s="34"/>
      <c r="B10848" s="35"/>
      <c r="C10848" s="36"/>
      <c r="D10848" s="37"/>
      <c r="E10848" s="36"/>
      <c r="F10848" s="42"/>
      <c r="G10848" s="42"/>
      <c r="H10848" s="42"/>
      <c r="AG10848" s="19"/>
    </row>
    <row r="10849" spans="1:33" ht="14.5" x14ac:dyDescent="0.35">
      <c r="A10849" s="34"/>
      <c r="B10849" s="35"/>
      <c r="C10849" s="36"/>
      <c r="D10849" s="37"/>
      <c r="E10849" s="36"/>
      <c r="F10849" s="42"/>
      <c r="G10849" s="42"/>
      <c r="H10849" s="42"/>
      <c r="AG10849" s="19"/>
    </row>
    <row r="10850" spans="1:33" ht="14.5" x14ac:dyDescent="0.35">
      <c r="A10850" s="34"/>
      <c r="B10850" s="35"/>
      <c r="C10850" s="36"/>
      <c r="D10850" s="37"/>
      <c r="E10850" s="36"/>
      <c r="F10850" s="42"/>
      <c r="G10850" s="42"/>
      <c r="H10850" s="42"/>
      <c r="AG10850" s="19"/>
    </row>
    <row r="10851" spans="1:33" ht="14.5" x14ac:dyDescent="0.35">
      <c r="A10851" s="34"/>
      <c r="B10851" s="35"/>
      <c r="C10851" s="36"/>
      <c r="D10851" s="37"/>
      <c r="E10851" s="36"/>
      <c r="F10851" s="42"/>
      <c r="G10851" s="42"/>
      <c r="H10851" s="42"/>
      <c r="AG10851" s="19"/>
    </row>
    <row r="10852" spans="1:33" ht="14.5" x14ac:dyDescent="0.35">
      <c r="A10852" s="34"/>
      <c r="B10852" s="35"/>
      <c r="C10852" s="36"/>
      <c r="D10852" s="37"/>
      <c r="E10852" s="36"/>
      <c r="F10852" s="42"/>
      <c r="G10852" s="42"/>
      <c r="H10852" s="42"/>
      <c r="AG10852" s="19"/>
    </row>
    <row r="10853" spans="1:33" ht="14.5" x14ac:dyDescent="0.35">
      <c r="A10853" s="34"/>
      <c r="B10853" s="35"/>
      <c r="C10853" s="36"/>
      <c r="D10853" s="37"/>
      <c r="E10853" s="36"/>
      <c r="F10853" s="42"/>
      <c r="G10853" s="42"/>
      <c r="H10853" s="42"/>
      <c r="AG10853" s="19"/>
    </row>
    <row r="10854" spans="1:33" ht="14.5" x14ac:dyDescent="0.35">
      <c r="A10854" s="34"/>
      <c r="B10854" s="35"/>
      <c r="C10854" s="36"/>
      <c r="D10854" s="37"/>
      <c r="E10854" s="36"/>
      <c r="F10854" s="42"/>
      <c r="G10854" s="42"/>
      <c r="H10854" s="42"/>
      <c r="AG10854" s="19"/>
    </row>
    <row r="10855" spans="1:33" ht="14.5" x14ac:dyDescent="0.35">
      <c r="A10855" s="34"/>
      <c r="B10855" s="35"/>
      <c r="C10855" s="36"/>
      <c r="D10855" s="37"/>
      <c r="E10855" s="36"/>
      <c r="F10855" s="42"/>
      <c r="G10855" s="42"/>
      <c r="H10855" s="42"/>
      <c r="AG10855" s="19"/>
    </row>
    <row r="10856" spans="1:33" ht="14.5" x14ac:dyDescent="0.35">
      <c r="A10856" s="34"/>
      <c r="B10856" s="35"/>
      <c r="C10856" s="36"/>
      <c r="D10856" s="37"/>
      <c r="E10856" s="36"/>
      <c r="F10856" s="42"/>
      <c r="G10856" s="42"/>
      <c r="H10856" s="42"/>
      <c r="AG10856" s="19"/>
    </row>
    <row r="10857" spans="1:33" ht="14.5" x14ac:dyDescent="0.35">
      <c r="A10857" s="34"/>
      <c r="B10857" s="35"/>
      <c r="C10857" s="36"/>
      <c r="D10857" s="37"/>
      <c r="E10857" s="36"/>
      <c r="F10857" s="42"/>
      <c r="G10857" s="42"/>
      <c r="H10857" s="42"/>
      <c r="AG10857" s="19"/>
    </row>
    <row r="10858" spans="1:33" ht="14.5" x14ac:dyDescent="0.35">
      <c r="A10858" s="34"/>
      <c r="B10858" s="35"/>
      <c r="C10858" s="36"/>
      <c r="D10858" s="37"/>
      <c r="E10858" s="36"/>
      <c r="F10858" s="42"/>
      <c r="G10858" s="42"/>
      <c r="H10858" s="42"/>
      <c r="AG10858" s="19"/>
    </row>
    <row r="10859" spans="1:33" ht="14.5" x14ac:dyDescent="0.35">
      <c r="A10859" s="34"/>
      <c r="B10859" s="35"/>
      <c r="C10859" s="36"/>
      <c r="D10859" s="37"/>
      <c r="E10859" s="36"/>
      <c r="F10859" s="42"/>
      <c r="G10859" s="42"/>
      <c r="H10859" s="42"/>
      <c r="AG10859" s="19"/>
    </row>
    <row r="10860" spans="1:33" ht="14.5" x14ac:dyDescent="0.35">
      <c r="A10860" s="34"/>
      <c r="B10860" s="35"/>
      <c r="C10860" s="36"/>
      <c r="D10860" s="37"/>
      <c r="E10860" s="36"/>
      <c r="F10860" s="42"/>
      <c r="G10860" s="42"/>
      <c r="H10860" s="42"/>
      <c r="AG10860" s="19"/>
    </row>
    <row r="10861" spans="1:33" ht="14.5" x14ac:dyDescent="0.35">
      <c r="A10861" s="34"/>
      <c r="B10861" s="35"/>
      <c r="C10861" s="36"/>
      <c r="D10861" s="37"/>
      <c r="E10861" s="36"/>
      <c r="F10861" s="42"/>
      <c r="G10861" s="42"/>
      <c r="H10861" s="42"/>
      <c r="AG10861" s="19"/>
    </row>
    <row r="10862" spans="1:33" ht="14.5" x14ac:dyDescent="0.35">
      <c r="A10862" s="34"/>
      <c r="B10862" s="35"/>
      <c r="C10862" s="36"/>
      <c r="D10862" s="37"/>
      <c r="E10862" s="36"/>
      <c r="F10862" s="42"/>
      <c r="G10862" s="42"/>
      <c r="H10862" s="42"/>
      <c r="AG10862" s="19"/>
    </row>
    <row r="10863" spans="1:33" ht="14.5" x14ac:dyDescent="0.35">
      <c r="A10863" s="34"/>
      <c r="B10863" s="35"/>
      <c r="C10863" s="36"/>
      <c r="D10863" s="37"/>
      <c r="E10863" s="36"/>
      <c r="F10863" s="42"/>
      <c r="G10863" s="42"/>
      <c r="H10863" s="42"/>
      <c r="AG10863" s="19"/>
    </row>
    <row r="10864" spans="1:33" ht="14.5" x14ac:dyDescent="0.35">
      <c r="A10864" s="34"/>
      <c r="B10864" s="35"/>
      <c r="C10864" s="36"/>
      <c r="D10864" s="37"/>
      <c r="E10864" s="36"/>
      <c r="F10864" s="42"/>
      <c r="G10864" s="42"/>
      <c r="H10864" s="42"/>
      <c r="AG10864" s="19"/>
    </row>
    <row r="10865" spans="1:33" ht="14.5" x14ac:dyDescent="0.35">
      <c r="A10865" s="34"/>
      <c r="B10865" s="35"/>
      <c r="C10865" s="36"/>
      <c r="D10865" s="37"/>
      <c r="E10865" s="36"/>
      <c r="F10865" s="42"/>
      <c r="G10865" s="42"/>
      <c r="H10865" s="42"/>
      <c r="AG10865" s="19"/>
    </row>
    <row r="10866" spans="1:33" ht="14.5" x14ac:dyDescent="0.35">
      <c r="A10866" s="34"/>
      <c r="B10866" s="35"/>
      <c r="C10866" s="36"/>
      <c r="D10866" s="37"/>
      <c r="E10866" s="36"/>
      <c r="F10866" s="42"/>
      <c r="G10866" s="42"/>
      <c r="H10866" s="42"/>
      <c r="AG10866" s="19"/>
    </row>
    <row r="10867" spans="1:33" ht="14.5" x14ac:dyDescent="0.35">
      <c r="A10867" s="34"/>
      <c r="B10867" s="35"/>
      <c r="C10867" s="36"/>
      <c r="D10867" s="37"/>
      <c r="E10867" s="36"/>
      <c r="F10867" s="42"/>
      <c r="G10867" s="42"/>
      <c r="H10867" s="42"/>
      <c r="AG10867" s="19"/>
    </row>
    <row r="10868" spans="1:33" ht="14.5" x14ac:dyDescent="0.35">
      <c r="A10868" s="34"/>
      <c r="B10868" s="35"/>
      <c r="C10868" s="36"/>
      <c r="D10868" s="37"/>
      <c r="E10868" s="36"/>
      <c r="F10868" s="42"/>
      <c r="G10868" s="42"/>
      <c r="H10868" s="42"/>
      <c r="AG10868" s="19"/>
    </row>
    <row r="10869" spans="1:33" ht="14.5" x14ac:dyDescent="0.35">
      <c r="A10869" s="34"/>
      <c r="B10869" s="35"/>
      <c r="C10869" s="36"/>
      <c r="D10869" s="37"/>
      <c r="E10869" s="36"/>
      <c r="F10869" s="42"/>
      <c r="G10869" s="42"/>
      <c r="H10869" s="42"/>
      <c r="AG10869" s="19"/>
    </row>
    <row r="10870" spans="1:33" ht="14.5" x14ac:dyDescent="0.35">
      <c r="A10870" s="34"/>
      <c r="B10870" s="35"/>
      <c r="C10870" s="36"/>
      <c r="D10870" s="37"/>
      <c r="E10870" s="36"/>
      <c r="F10870" s="42"/>
      <c r="G10870" s="42"/>
      <c r="H10870" s="42"/>
      <c r="AG10870" s="19"/>
    </row>
    <row r="10871" spans="1:33" ht="14.5" x14ac:dyDescent="0.35">
      <c r="A10871" s="34"/>
      <c r="B10871" s="35"/>
      <c r="C10871" s="36"/>
      <c r="D10871" s="37"/>
      <c r="E10871" s="36"/>
      <c r="F10871" s="42"/>
      <c r="G10871" s="42"/>
      <c r="H10871" s="42"/>
      <c r="AG10871" s="19"/>
    </row>
    <row r="10872" spans="1:33" ht="14.5" x14ac:dyDescent="0.35">
      <c r="A10872" s="34"/>
      <c r="B10872" s="35"/>
      <c r="C10872" s="36"/>
      <c r="D10872" s="37"/>
      <c r="E10872" s="36"/>
      <c r="F10872" s="42"/>
      <c r="G10872" s="42"/>
      <c r="H10872" s="42"/>
      <c r="AG10872" s="19"/>
    </row>
    <row r="10873" spans="1:33" ht="14.5" x14ac:dyDescent="0.35">
      <c r="A10873" s="34"/>
      <c r="B10873" s="35"/>
      <c r="C10873" s="36"/>
      <c r="D10873" s="37"/>
      <c r="E10873" s="36"/>
      <c r="F10873" s="42"/>
      <c r="G10873" s="42"/>
      <c r="H10873" s="42"/>
      <c r="AG10873" s="19"/>
    </row>
    <row r="10874" spans="1:33" ht="14.5" x14ac:dyDescent="0.35">
      <c r="A10874" s="34"/>
      <c r="B10874" s="35"/>
      <c r="C10874" s="36"/>
      <c r="D10874" s="37"/>
      <c r="E10874" s="36"/>
      <c r="F10874" s="42"/>
      <c r="G10874" s="42"/>
      <c r="H10874" s="42"/>
      <c r="AG10874" s="19"/>
    </row>
    <row r="10875" spans="1:33" ht="14.5" x14ac:dyDescent="0.35">
      <c r="A10875" s="34"/>
      <c r="B10875" s="35"/>
      <c r="C10875" s="36"/>
      <c r="D10875" s="37"/>
      <c r="E10875" s="36"/>
      <c r="F10875" s="42"/>
      <c r="G10875" s="42"/>
      <c r="H10875" s="42"/>
      <c r="AG10875" s="19"/>
    </row>
    <row r="10876" spans="1:33" ht="14.5" x14ac:dyDescent="0.35">
      <c r="A10876" s="34"/>
      <c r="B10876" s="35"/>
      <c r="C10876" s="36"/>
      <c r="D10876" s="37"/>
      <c r="E10876" s="36"/>
      <c r="F10876" s="42"/>
      <c r="G10876" s="42"/>
      <c r="H10876" s="42"/>
      <c r="AG10876" s="19"/>
    </row>
    <row r="10877" spans="1:33" ht="14.5" x14ac:dyDescent="0.35">
      <c r="A10877" s="34"/>
      <c r="B10877" s="35"/>
      <c r="C10877" s="36"/>
      <c r="D10877" s="37"/>
      <c r="E10877" s="36"/>
      <c r="F10877" s="42"/>
      <c r="G10877" s="42"/>
      <c r="H10877" s="42"/>
      <c r="AG10877" s="19"/>
    </row>
    <row r="10878" spans="1:33" ht="14.5" x14ac:dyDescent="0.35">
      <c r="A10878" s="34"/>
      <c r="B10878" s="35"/>
      <c r="C10878" s="36"/>
      <c r="D10878" s="37"/>
      <c r="E10878" s="36"/>
      <c r="F10878" s="42"/>
      <c r="G10878" s="42"/>
      <c r="H10878" s="42"/>
      <c r="AG10878" s="19"/>
    </row>
    <row r="10879" spans="1:33" ht="14.5" x14ac:dyDescent="0.35">
      <c r="A10879" s="34"/>
      <c r="B10879" s="35"/>
      <c r="C10879" s="36"/>
      <c r="D10879" s="37"/>
      <c r="E10879" s="36"/>
      <c r="F10879" s="42"/>
      <c r="G10879" s="42"/>
      <c r="H10879" s="42"/>
      <c r="AG10879" s="19"/>
    </row>
    <row r="10880" spans="1:33" ht="14.5" x14ac:dyDescent="0.35">
      <c r="A10880" s="34"/>
      <c r="B10880" s="35"/>
      <c r="C10880" s="36"/>
      <c r="D10880" s="37"/>
      <c r="E10880" s="36"/>
      <c r="F10880" s="42"/>
      <c r="G10880" s="42"/>
      <c r="H10880" s="42"/>
      <c r="AG10880" s="19"/>
    </row>
    <row r="10881" spans="1:33" ht="14.5" x14ac:dyDescent="0.35">
      <c r="A10881" s="34"/>
      <c r="B10881" s="35"/>
      <c r="C10881" s="36"/>
      <c r="D10881" s="37"/>
      <c r="E10881" s="36"/>
      <c r="F10881" s="42"/>
      <c r="G10881" s="42"/>
      <c r="H10881" s="42"/>
      <c r="AG10881" s="19"/>
    </row>
    <row r="10882" spans="1:33" ht="14.5" x14ac:dyDescent="0.35">
      <c r="A10882" s="34"/>
      <c r="B10882" s="35"/>
      <c r="C10882" s="36"/>
      <c r="D10882" s="37"/>
      <c r="E10882" s="36"/>
      <c r="F10882" s="42"/>
      <c r="G10882" s="42"/>
      <c r="H10882" s="42"/>
      <c r="AG10882" s="19"/>
    </row>
    <row r="10883" spans="1:33" ht="14.5" x14ac:dyDescent="0.35">
      <c r="A10883" s="34"/>
      <c r="B10883" s="35"/>
      <c r="C10883" s="36"/>
      <c r="D10883" s="37"/>
      <c r="E10883" s="36"/>
      <c r="F10883" s="42"/>
      <c r="G10883" s="42"/>
      <c r="H10883" s="42"/>
      <c r="AG10883" s="19"/>
    </row>
    <row r="10884" spans="1:33" ht="14.5" x14ac:dyDescent="0.35">
      <c r="A10884" s="34"/>
      <c r="B10884" s="35"/>
      <c r="C10884" s="36"/>
      <c r="D10884" s="37"/>
      <c r="E10884" s="36"/>
      <c r="F10884" s="42"/>
      <c r="G10884" s="42"/>
      <c r="H10884" s="42"/>
      <c r="AG10884" s="19"/>
    </row>
    <row r="10885" spans="1:33" ht="14.5" x14ac:dyDescent="0.35">
      <c r="A10885" s="34"/>
      <c r="B10885" s="35"/>
      <c r="C10885" s="36"/>
      <c r="D10885" s="37"/>
      <c r="E10885" s="36"/>
      <c r="F10885" s="42"/>
      <c r="G10885" s="42"/>
      <c r="H10885" s="42"/>
      <c r="AG10885" s="19"/>
    </row>
    <row r="10886" spans="1:33" ht="14.5" x14ac:dyDescent="0.35">
      <c r="A10886" s="34"/>
      <c r="B10886" s="35"/>
      <c r="C10886" s="36"/>
      <c r="D10886" s="37"/>
      <c r="E10886" s="36"/>
      <c r="F10886" s="42"/>
      <c r="G10886" s="42"/>
      <c r="H10886" s="42"/>
      <c r="AG10886" s="19"/>
    </row>
    <row r="10887" spans="1:33" ht="14.5" x14ac:dyDescent="0.35">
      <c r="A10887" s="34"/>
      <c r="B10887" s="35"/>
      <c r="C10887" s="36"/>
      <c r="D10887" s="37"/>
      <c r="E10887" s="36"/>
      <c r="F10887" s="42"/>
      <c r="G10887" s="42"/>
      <c r="H10887" s="42"/>
      <c r="AG10887" s="19"/>
    </row>
    <row r="10888" spans="1:33" ht="14.5" x14ac:dyDescent="0.35">
      <c r="A10888" s="34"/>
      <c r="B10888" s="35"/>
      <c r="C10888" s="36"/>
      <c r="D10888" s="37"/>
      <c r="E10888" s="36"/>
      <c r="F10888" s="42"/>
      <c r="G10888" s="42"/>
      <c r="H10888" s="42"/>
      <c r="AG10888" s="19"/>
    </row>
    <row r="10889" spans="1:33" ht="14.5" x14ac:dyDescent="0.35">
      <c r="A10889" s="34"/>
      <c r="B10889" s="35"/>
      <c r="C10889" s="36"/>
      <c r="D10889" s="37"/>
      <c r="E10889" s="36"/>
      <c r="F10889" s="42"/>
      <c r="G10889" s="42"/>
      <c r="H10889" s="42"/>
      <c r="AG10889" s="19"/>
    </row>
    <row r="10890" spans="1:33" ht="14.5" x14ac:dyDescent="0.35">
      <c r="A10890" s="34"/>
      <c r="B10890" s="35"/>
      <c r="C10890" s="36"/>
      <c r="D10890" s="37"/>
      <c r="E10890" s="36"/>
      <c r="F10890" s="42"/>
      <c r="G10890" s="42"/>
      <c r="H10890" s="42"/>
      <c r="AG10890" s="19"/>
    </row>
    <row r="10891" spans="1:33" ht="14.5" x14ac:dyDescent="0.35">
      <c r="A10891" s="34"/>
      <c r="B10891" s="35"/>
      <c r="C10891" s="36"/>
      <c r="D10891" s="37"/>
      <c r="E10891" s="36"/>
      <c r="F10891" s="42"/>
      <c r="G10891" s="42"/>
      <c r="H10891" s="42"/>
      <c r="AG10891" s="19"/>
    </row>
    <row r="10892" spans="1:33" ht="14.5" x14ac:dyDescent="0.35">
      <c r="A10892" s="34"/>
      <c r="B10892" s="35"/>
      <c r="C10892" s="36"/>
      <c r="D10892" s="37"/>
      <c r="E10892" s="36"/>
      <c r="F10892" s="42"/>
      <c r="G10892" s="42"/>
      <c r="H10892" s="42"/>
      <c r="AG10892" s="19"/>
    </row>
    <row r="10893" spans="1:33" ht="14.5" x14ac:dyDescent="0.35">
      <c r="A10893" s="34"/>
      <c r="B10893" s="35"/>
      <c r="C10893" s="36"/>
      <c r="D10893" s="37"/>
      <c r="E10893" s="36"/>
      <c r="F10893" s="42"/>
      <c r="G10893" s="42"/>
      <c r="H10893" s="42"/>
      <c r="AG10893" s="19"/>
    </row>
    <row r="10894" spans="1:33" ht="14.5" x14ac:dyDescent="0.35">
      <c r="A10894" s="34"/>
      <c r="B10894" s="35"/>
      <c r="C10894" s="36"/>
      <c r="D10894" s="37"/>
      <c r="E10894" s="36"/>
      <c r="F10894" s="42"/>
      <c r="G10894" s="42"/>
      <c r="H10894" s="42"/>
      <c r="AG10894" s="19"/>
    </row>
    <row r="10895" spans="1:33" ht="14.5" x14ac:dyDescent="0.35">
      <c r="A10895" s="34"/>
      <c r="B10895" s="35"/>
      <c r="C10895" s="36"/>
      <c r="D10895" s="37"/>
      <c r="E10895" s="36"/>
      <c r="F10895" s="42"/>
      <c r="G10895" s="42"/>
      <c r="H10895" s="42"/>
      <c r="AG10895" s="19"/>
    </row>
    <row r="10896" spans="1:33" ht="14.5" x14ac:dyDescent="0.35">
      <c r="A10896" s="34"/>
      <c r="B10896" s="35"/>
      <c r="C10896" s="36"/>
      <c r="D10896" s="37"/>
      <c r="E10896" s="36"/>
      <c r="F10896" s="42"/>
      <c r="G10896" s="42"/>
      <c r="H10896" s="42"/>
      <c r="AG10896" s="19"/>
    </row>
    <row r="10897" spans="1:33" ht="14.5" x14ac:dyDescent="0.35">
      <c r="A10897" s="34"/>
      <c r="B10897" s="35"/>
      <c r="C10897" s="36"/>
      <c r="D10897" s="37"/>
      <c r="E10897" s="36"/>
      <c r="F10897" s="42"/>
      <c r="G10897" s="42"/>
      <c r="H10897" s="42"/>
      <c r="AG10897" s="19"/>
    </row>
    <row r="10898" spans="1:33" ht="14.5" x14ac:dyDescent="0.35">
      <c r="A10898" s="34"/>
      <c r="B10898" s="35"/>
      <c r="C10898" s="36"/>
      <c r="D10898" s="37"/>
      <c r="E10898" s="36"/>
      <c r="F10898" s="42"/>
      <c r="G10898" s="42"/>
      <c r="H10898" s="42"/>
      <c r="AG10898" s="19"/>
    </row>
    <row r="10899" spans="1:33" ht="14.5" x14ac:dyDescent="0.35">
      <c r="A10899" s="34"/>
      <c r="B10899" s="35"/>
      <c r="C10899" s="36"/>
      <c r="D10899" s="37"/>
      <c r="E10899" s="36"/>
      <c r="F10899" s="42"/>
      <c r="G10899" s="42"/>
      <c r="H10899" s="42"/>
      <c r="AG10899" s="19"/>
    </row>
    <row r="10900" spans="1:33" ht="14.5" x14ac:dyDescent="0.35">
      <c r="A10900" s="34"/>
      <c r="B10900" s="35"/>
      <c r="C10900" s="36"/>
      <c r="D10900" s="37"/>
      <c r="E10900" s="36"/>
      <c r="F10900" s="42"/>
      <c r="G10900" s="42"/>
      <c r="H10900" s="42"/>
      <c r="AG10900" s="19"/>
    </row>
    <row r="10901" spans="1:33" ht="14.5" x14ac:dyDescent="0.35">
      <c r="A10901" s="34"/>
      <c r="B10901" s="35"/>
      <c r="C10901" s="36"/>
      <c r="D10901" s="37"/>
      <c r="E10901" s="36"/>
      <c r="F10901" s="42"/>
      <c r="G10901" s="42"/>
      <c r="H10901" s="42"/>
      <c r="AG10901" s="19"/>
    </row>
    <row r="10902" spans="1:33" ht="14.5" x14ac:dyDescent="0.35">
      <c r="A10902" s="34"/>
      <c r="B10902" s="35"/>
      <c r="C10902" s="36"/>
      <c r="D10902" s="37"/>
      <c r="E10902" s="36"/>
      <c r="F10902" s="42"/>
      <c r="G10902" s="42"/>
      <c r="H10902" s="42"/>
      <c r="AG10902" s="19"/>
    </row>
    <row r="10903" spans="1:33" ht="14.5" x14ac:dyDescent="0.35">
      <c r="A10903" s="34"/>
      <c r="B10903" s="35"/>
      <c r="C10903" s="36"/>
      <c r="D10903" s="37"/>
      <c r="E10903" s="36"/>
      <c r="F10903" s="42"/>
      <c r="G10903" s="42"/>
      <c r="H10903" s="42"/>
      <c r="AG10903" s="19"/>
    </row>
    <row r="10904" spans="1:33" ht="14.5" x14ac:dyDescent="0.35">
      <c r="A10904" s="34"/>
      <c r="B10904" s="35"/>
      <c r="C10904" s="36"/>
      <c r="D10904" s="37"/>
      <c r="E10904" s="36"/>
      <c r="F10904" s="42"/>
      <c r="G10904" s="42"/>
      <c r="H10904" s="42"/>
      <c r="AG10904" s="19"/>
    </row>
    <row r="10905" spans="1:33" ht="14.5" x14ac:dyDescent="0.35">
      <c r="A10905" s="34"/>
      <c r="B10905" s="35"/>
      <c r="C10905" s="36"/>
      <c r="D10905" s="37"/>
      <c r="E10905" s="36"/>
      <c r="F10905" s="42"/>
      <c r="G10905" s="42"/>
      <c r="H10905" s="42"/>
      <c r="AG10905" s="19"/>
    </row>
    <row r="10906" spans="1:33" ht="14.5" x14ac:dyDescent="0.35">
      <c r="A10906" s="34"/>
      <c r="B10906" s="35"/>
      <c r="C10906" s="36"/>
      <c r="D10906" s="37"/>
      <c r="E10906" s="36"/>
      <c r="F10906" s="42"/>
      <c r="G10906" s="42"/>
      <c r="H10906" s="42"/>
      <c r="AG10906" s="19"/>
    </row>
    <row r="10907" spans="1:33" ht="14.5" x14ac:dyDescent="0.35">
      <c r="A10907" s="34"/>
      <c r="B10907" s="35"/>
      <c r="C10907" s="36"/>
      <c r="D10907" s="37"/>
      <c r="E10907" s="36"/>
      <c r="F10907" s="42"/>
      <c r="G10907" s="42"/>
      <c r="H10907" s="42"/>
      <c r="AG10907" s="19"/>
    </row>
    <row r="10908" spans="1:33" ht="14.5" x14ac:dyDescent="0.35">
      <c r="A10908" s="34"/>
      <c r="B10908" s="35"/>
      <c r="C10908" s="36"/>
      <c r="D10908" s="37"/>
      <c r="E10908" s="36"/>
      <c r="F10908" s="42"/>
      <c r="G10908" s="42"/>
      <c r="H10908" s="42"/>
      <c r="AG10908" s="19"/>
    </row>
    <row r="10909" spans="1:33" ht="14.5" x14ac:dyDescent="0.35">
      <c r="A10909" s="34"/>
      <c r="B10909" s="35"/>
      <c r="C10909" s="36"/>
      <c r="D10909" s="37"/>
      <c r="E10909" s="36"/>
      <c r="F10909" s="42"/>
      <c r="G10909" s="42"/>
      <c r="H10909" s="42"/>
      <c r="AG10909" s="19"/>
    </row>
    <row r="10910" spans="1:33" ht="14.5" x14ac:dyDescent="0.35">
      <c r="A10910" s="34"/>
      <c r="B10910" s="35"/>
      <c r="C10910" s="36"/>
      <c r="D10910" s="37"/>
      <c r="E10910" s="36"/>
      <c r="F10910" s="42"/>
      <c r="G10910" s="42"/>
      <c r="H10910" s="42"/>
      <c r="AG10910" s="19"/>
    </row>
    <row r="10911" spans="1:33" ht="14.5" x14ac:dyDescent="0.35">
      <c r="A10911" s="34"/>
      <c r="B10911" s="35"/>
      <c r="C10911" s="36"/>
      <c r="D10911" s="37"/>
      <c r="E10911" s="36"/>
      <c r="F10911" s="42"/>
      <c r="G10911" s="42"/>
      <c r="H10911" s="42"/>
      <c r="AG10911" s="19"/>
    </row>
    <row r="10912" spans="1:33" ht="14.5" x14ac:dyDescent="0.35">
      <c r="A10912" s="34"/>
      <c r="B10912" s="35"/>
      <c r="C10912" s="36"/>
      <c r="D10912" s="37"/>
      <c r="E10912" s="36"/>
      <c r="F10912" s="42"/>
      <c r="G10912" s="42"/>
      <c r="H10912" s="42"/>
      <c r="AG10912" s="19"/>
    </row>
    <row r="10913" spans="1:33" ht="14.5" x14ac:dyDescent="0.35">
      <c r="A10913" s="34"/>
      <c r="B10913" s="35"/>
      <c r="C10913" s="36"/>
      <c r="D10913" s="37"/>
      <c r="E10913" s="36"/>
      <c r="F10913" s="42"/>
      <c r="G10913" s="42"/>
      <c r="H10913" s="42"/>
      <c r="AG10913" s="19"/>
    </row>
    <row r="10914" spans="1:33" ht="14.5" x14ac:dyDescent="0.35">
      <c r="A10914" s="34"/>
      <c r="B10914" s="35"/>
      <c r="C10914" s="36"/>
      <c r="D10914" s="37"/>
      <c r="E10914" s="36"/>
      <c r="F10914" s="42"/>
      <c r="G10914" s="42"/>
      <c r="H10914" s="42"/>
      <c r="AG10914" s="19"/>
    </row>
    <row r="10915" spans="1:33" ht="14.5" x14ac:dyDescent="0.35">
      <c r="A10915" s="34"/>
      <c r="B10915" s="35"/>
      <c r="C10915" s="36"/>
      <c r="D10915" s="37"/>
      <c r="E10915" s="36"/>
      <c r="F10915" s="42"/>
      <c r="G10915" s="42"/>
      <c r="H10915" s="42"/>
      <c r="AG10915" s="19"/>
    </row>
    <row r="10916" spans="1:33" ht="14.5" x14ac:dyDescent="0.35">
      <c r="A10916" s="34"/>
      <c r="B10916" s="35"/>
      <c r="C10916" s="36"/>
      <c r="D10916" s="37"/>
      <c r="E10916" s="36"/>
      <c r="F10916" s="42"/>
      <c r="G10916" s="42"/>
      <c r="H10916" s="42"/>
      <c r="AG10916" s="19"/>
    </row>
    <row r="10917" spans="1:33" ht="14.5" x14ac:dyDescent="0.35">
      <c r="A10917" s="34"/>
      <c r="B10917" s="35"/>
      <c r="C10917" s="36"/>
      <c r="D10917" s="37"/>
      <c r="E10917" s="36"/>
      <c r="F10917" s="42"/>
      <c r="G10917" s="42"/>
      <c r="H10917" s="42"/>
      <c r="AG10917" s="19"/>
    </row>
    <row r="10918" spans="1:33" ht="14.5" x14ac:dyDescent="0.35">
      <c r="A10918" s="34"/>
      <c r="B10918" s="35"/>
      <c r="C10918" s="36"/>
      <c r="D10918" s="37"/>
      <c r="E10918" s="36"/>
      <c r="F10918" s="42"/>
      <c r="G10918" s="42"/>
      <c r="H10918" s="42"/>
      <c r="AG10918" s="19"/>
    </row>
    <row r="10919" spans="1:33" ht="14.5" x14ac:dyDescent="0.35">
      <c r="A10919" s="34"/>
      <c r="B10919" s="35"/>
      <c r="C10919" s="36"/>
      <c r="D10919" s="37"/>
      <c r="E10919" s="36"/>
      <c r="F10919" s="42"/>
      <c r="G10919" s="42"/>
      <c r="H10919" s="42"/>
      <c r="AG10919" s="19"/>
    </row>
    <row r="10920" spans="1:33" ht="14.5" x14ac:dyDescent="0.35">
      <c r="A10920" s="34"/>
      <c r="B10920" s="35"/>
      <c r="C10920" s="36"/>
      <c r="D10920" s="37"/>
      <c r="E10920" s="36"/>
      <c r="F10920" s="42"/>
      <c r="G10920" s="42"/>
      <c r="H10920" s="42"/>
      <c r="AG10920" s="19"/>
    </row>
    <row r="10921" spans="1:33" ht="14.5" x14ac:dyDescent="0.35">
      <c r="A10921" s="34"/>
      <c r="B10921" s="35"/>
      <c r="C10921" s="36"/>
      <c r="D10921" s="37"/>
      <c r="E10921" s="36"/>
      <c r="F10921" s="42"/>
      <c r="G10921" s="42"/>
      <c r="H10921" s="42"/>
      <c r="AG10921" s="19"/>
    </row>
    <row r="10922" spans="1:33" ht="14.5" x14ac:dyDescent="0.35">
      <c r="A10922" s="34"/>
      <c r="B10922" s="35"/>
      <c r="C10922" s="36"/>
      <c r="D10922" s="37"/>
      <c r="E10922" s="36"/>
      <c r="F10922" s="42"/>
      <c r="G10922" s="42"/>
      <c r="H10922" s="42"/>
      <c r="AG10922" s="19"/>
    </row>
    <row r="10923" spans="1:33" ht="14.5" x14ac:dyDescent="0.35">
      <c r="A10923" s="34"/>
      <c r="B10923" s="35"/>
      <c r="C10923" s="36"/>
      <c r="D10923" s="37"/>
      <c r="E10923" s="36"/>
      <c r="F10923" s="42"/>
      <c r="G10923" s="42"/>
      <c r="H10923" s="42"/>
      <c r="AG10923" s="19"/>
    </row>
    <row r="10924" spans="1:33" ht="14.5" x14ac:dyDescent="0.35">
      <c r="A10924" s="34"/>
      <c r="B10924" s="35"/>
      <c r="C10924" s="36"/>
      <c r="D10924" s="37"/>
      <c r="E10924" s="36"/>
      <c r="F10924" s="42"/>
      <c r="G10924" s="42"/>
      <c r="H10924" s="42"/>
      <c r="AG10924" s="19"/>
    </row>
    <row r="10925" spans="1:33" ht="14.5" x14ac:dyDescent="0.35">
      <c r="A10925" s="34"/>
      <c r="B10925" s="35"/>
      <c r="C10925" s="36"/>
      <c r="D10925" s="37"/>
      <c r="E10925" s="36"/>
      <c r="F10925" s="42"/>
      <c r="G10925" s="42"/>
      <c r="H10925" s="42"/>
      <c r="AG10925" s="19"/>
    </row>
    <row r="10926" spans="1:33" ht="14.5" x14ac:dyDescent="0.35">
      <c r="A10926" s="34"/>
      <c r="B10926" s="35"/>
      <c r="C10926" s="36"/>
      <c r="D10926" s="37"/>
      <c r="E10926" s="36"/>
      <c r="F10926" s="42"/>
      <c r="G10926" s="42"/>
      <c r="H10926" s="42"/>
      <c r="AG10926" s="19"/>
    </row>
    <row r="10927" spans="1:33" ht="14.5" x14ac:dyDescent="0.35">
      <c r="A10927" s="34"/>
      <c r="B10927" s="35"/>
      <c r="C10927" s="36"/>
      <c r="D10927" s="37"/>
      <c r="E10927" s="36"/>
      <c r="F10927" s="42"/>
      <c r="G10927" s="42"/>
      <c r="H10927" s="42"/>
      <c r="AG10927" s="19"/>
    </row>
    <row r="10928" spans="1:33" ht="14.5" x14ac:dyDescent="0.35">
      <c r="A10928" s="34"/>
      <c r="B10928" s="35"/>
      <c r="C10928" s="36"/>
      <c r="D10928" s="37"/>
      <c r="E10928" s="36"/>
      <c r="F10928" s="42"/>
      <c r="G10928" s="42"/>
      <c r="H10928" s="42"/>
      <c r="AG10928" s="19"/>
    </row>
    <row r="10929" spans="1:33" ht="14.5" x14ac:dyDescent="0.35">
      <c r="A10929" s="34"/>
      <c r="B10929" s="35"/>
      <c r="C10929" s="36"/>
      <c r="D10929" s="37"/>
      <c r="E10929" s="36"/>
      <c r="F10929" s="42"/>
      <c r="G10929" s="42"/>
      <c r="H10929" s="42"/>
      <c r="AG10929" s="19"/>
    </row>
    <row r="10930" spans="1:33" ht="14.5" x14ac:dyDescent="0.35">
      <c r="A10930" s="34"/>
      <c r="B10930" s="35"/>
      <c r="C10930" s="36"/>
      <c r="D10930" s="37"/>
      <c r="E10930" s="36"/>
      <c r="F10930" s="42"/>
      <c r="G10930" s="42"/>
      <c r="H10930" s="42"/>
      <c r="AG10930" s="19"/>
    </row>
    <row r="10931" spans="1:33" ht="14.5" x14ac:dyDescent="0.35">
      <c r="A10931" s="34"/>
      <c r="B10931" s="35"/>
      <c r="C10931" s="36"/>
      <c r="D10931" s="37"/>
      <c r="E10931" s="36"/>
      <c r="F10931" s="42"/>
      <c r="G10931" s="42"/>
      <c r="H10931" s="42"/>
      <c r="AG10931" s="19"/>
    </row>
    <row r="10932" spans="1:33" ht="14.5" x14ac:dyDescent="0.35">
      <c r="A10932" s="34"/>
      <c r="B10932" s="35"/>
      <c r="C10932" s="36"/>
      <c r="D10932" s="37"/>
      <c r="E10932" s="36"/>
      <c r="F10932" s="42"/>
      <c r="G10932" s="42"/>
      <c r="H10932" s="42"/>
      <c r="AG10932" s="19"/>
    </row>
    <row r="10933" spans="1:33" ht="14.5" x14ac:dyDescent="0.35">
      <c r="A10933" s="34"/>
      <c r="B10933" s="35"/>
      <c r="C10933" s="36"/>
      <c r="D10933" s="37"/>
      <c r="E10933" s="36"/>
      <c r="F10933" s="42"/>
      <c r="G10933" s="42"/>
      <c r="H10933" s="42"/>
      <c r="AG10933" s="19"/>
    </row>
    <row r="10934" spans="1:33" ht="14.5" x14ac:dyDescent="0.35">
      <c r="A10934" s="34"/>
      <c r="B10934" s="35"/>
      <c r="C10934" s="36"/>
      <c r="D10934" s="37"/>
      <c r="E10934" s="36"/>
      <c r="F10934" s="42"/>
      <c r="G10934" s="42"/>
      <c r="H10934" s="42"/>
      <c r="AG10934" s="19"/>
    </row>
    <row r="10935" spans="1:33" ht="14.5" x14ac:dyDescent="0.35">
      <c r="A10935" s="34"/>
      <c r="B10935" s="35"/>
      <c r="C10935" s="36"/>
      <c r="D10935" s="37"/>
      <c r="E10935" s="36"/>
      <c r="F10935" s="42"/>
      <c r="G10935" s="42"/>
      <c r="H10935" s="42"/>
      <c r="AG10935" s="19"/>
    </row>
    <row r="10936" spans="1:33" ht="14.5" x14ac:dyDescent="0.35">
      <c r="A10936" s="34"/>
      <c r="B10936" s="35"/>
      <c r="C10936" s="36"/>
      <c r="D10936" s="37"/>
      <c r="E10936" s="36"/>
      <c r="F10936" s="42"/>
      <c r="G10936" s="42"/>
      <c r="H10936" s="42"/>
      <c r="AG10936" s="19"/>
    </row>
    <row r="10937" spans="1:33" ht="14.5" x14ac:dyDescent="0.35">
      <c r="A10937" s="34"/>
      <c r="B10937" s="35"/>
      <c r="C10937" s="36"/>
      <c r="D10937" s="37"/>
      <c r="E10937" s="36"/>
      <c r="F10937" s="42"/>
      <c r="G10937" s="42"/>
      <c r="H10937" s="42"/>
      <c r="AG10937" s="19"/>
    </row>
    <row r="10938" spans="1:33" ht="14.5" x14ac:dyDescent="0.35">
      <c r="A10938" s="34"/>
      <c r="B10938" s="35"/>
      <c r="C10938" s="36"/>
      <c r="D10938" s="37"/>
      <c r="E10938" s="36"/>
      <c r="F10938" s="42"/>
      <c r="G10938" s="42"/>
      <c r="H10938" s="42"/>
      <c r="AG10938" s="19"/>
    </row>
    <row r="10939" spans="1:33" ht="14.5" x14ac:dyDescent="0.35">
      <c r="A10939" s="34"/>
      <c r="B10939" s="35"/>
      <c r="C10939" s="36"/>
      <c r="D10939" s="37"/>
      <c r="E10939" s="36"/>
      <c r="F10939" s="42"/>
      <c r="G10939" s="42"/>
      <c r="H10939" s="42"/>
      <c r="AG10939" s="19"/>
    </row>
    <row r="10940" spans="1:33" ht="14.5" x14ac:dyDescent="0.35">
      <c r="A10940" s="34"/>
      <c r="B10940" s="35"/>
      <c r="C10940" s="36"/>
      <c r="D10940" s="37"/>
      <c r="E10940" s="36"/>
      <c r="F10940" s="42"/>
      <c r="G10940" s="42"/>
      <c r="H10940" s="42"/>
      <c r="AG10940" s="19"/>
    </row>
    <row r="10941" spans="1:33" ht="14.5" x14ac:dyDescent="0.35">
      <c r="A10941" s="34"/>
      <c r="B10941" s="35"/>
      <c r="C10941" s="36"/>
      <c r="D10941" s="37"/>
      <c r="E10941" s="36"/>
      <c r="F10941" s="42"/>
      <c r="G10941" s="42"/>
      <c r="H10941" s="42"/>
      <c r="AG10941" s="19"/>
    </row>
    <row r="10942" spans="1:33" ht="14.5" x14ac:dyDescent="0.35">
      <c r="A10942" s="34"/>
      <c r="B10942" s="35"/>
      <c r="C10942" s="36"/>
      <c r="D10942" s="37"/>
      <c r="E10942" s="36"/>
      <c r="F10942" s="42"/>
      <c r="G10942" s="42"/>
      <c r="H10942" s="42"/>
      <c r="AG10942" s="19"/>
    </row>
    <row r="10943" spans="1:33" ht="14.5" x14ac:dyDescent="0.35">
      <c r="A10943" s="34"/>
      <c r="B10943" s="35"/>
      <c r="C10943" s="36"/>
      <c r="D10943" s="37"/>
      <c r="E10943" s="36"/>
      <c r="F10943" s="42"/>
      <c r="G10943" s="42"/>
      <c r="H10943" s="42"/>
      <c r="AG10943" s="19"/>
    </row>
    <row r="10944" spans="1:33" ht="14.5" x14ac:dyDescent="0.35">
      <c r="A10944" s="34"/>
      <c r="B10944" s="35"/>
      <c r="C10944" s="36"/>
      <c r="D10944" s="37"/>
      <c r="E10944" s="36"/>
      <c r="F10944" s="42"/>
      <c r="G10944" s="42"/>
      <c r="H10944" s="42"/>
      <c r="AG10944" s="19"/>
    </row>
    <row r="10945" spans="1:33" ht="14.5" x14ac:dyDescent="0.35">
      <c r="A10945" s="34"/>
      <c r="B10945" s="35"/>
      <c r="C10945" s="36"/>
      <c r="D10945" s="37"/>
      <c r="E10945" s="36"/>
      <c r="F10945" s="42"/>
      <c r="G10945" s="42"/>
      <c r="H10945" s="42"/>
      <c r="AG10945" s="19"/>
    </row>
    <row r="10946" spans="1:33" ht="14.5" x14ac:dyDescent="0.35">
      <c r="A10946" s="34"/>
      <c r="B10946" s="35"/>
      <c r="C10946" s="36"/>
      <c r="D10946" s="37"/>
      <c r="E10946" s="36"/>
      <c r="F10946" s="42"/>
      <c r="G10946" s="42"/>
      <c r="H10946" s="42"/>
      <c r="AG10946" s="19"/>
    </row>
    <row r="10947" spans="1:33" ht="14.5" x14ac:dyDescent="0.35">
      <c r="A10947" s="34"/>
      <c r="B10947" s="35"/>
      <c r="C10947" s="36"/>
      <c r="D10947" s="37"/>
      <c r="E10947" s="36"/>
      <c r="F10947" s="42"/>
      <c r="G10947" s="42"/>
      <c r="H10947" s="42"/>
      <c r="AG10947" s="19"/>
    </row>
    <row r="10948" spans="1:33" ht="14.5" x14ac:dyDescent="0.35">
      <c r="A10948" s="34"/>
      <c r="B10948" s="35"/>
      <c r="C10948" s="36"/>
      <c r="D10948" s="37"/>
      <c r="E10948" s="36"/>
      <c r="F10948" s="42"/>
      <c r="G10948" s="42"/>
      <c r="H10948" s="42"/>
      <c r="AG10948" s="19"/>
    </row>
    <row r="10949" spans="1:33" ht="14.5" x14ac:dyDescent="0.35">
      <c r="A10949" s="34"/>
      <c r="B10949" s="35"/>
      <c r="C10949" s="36"/>
      <c r="D10949" s="37"/>
      <c r="E10949" s="36"/>
      <c r="F10949" s="42"/>
      <c r="G10949" s="42"/>
      <c r="H10949" s="42"/>
      <c r="AG10949" s="19"/>
    </row>
    <row r="10950" spans="1:33" ht="14.5" x14ac:dyDescent="0.35">
      <c r="A10950" s="34"/>
      <c r="B10950" s="35"/>
      <c r="C10950" s="36"/>
      <c r="D10950" s="37"/>
      <c r="E10950" s="36"/>
      <c r="F10950" s="42"/>
      <c r="G10950" s="42"/>
      <c r="H10950" s="42"/>
      <c r="AG10950" s="19"/>
    </row>
    <row r="10951" spans="1:33" ht="14.5" x14ac:dyDescent="0.35">
      <c r="A10951" s="34"/>
      <c r="B10951" s="35"/>
      <c r="C10951" s="36"/>
      <c r="D10951" s="37"/>
      <c r="E10951" s="36"/>
      <c r="F10951" s="42"/>
      <c r="G10951" s="42"/>
      <c r="H10951" s="42"/>
      <c r="AG10951" s="19"/>
    </row>
    <row r="10952" spans="1:33" ht="14.5" x14ac:dyDescent="0.35">
      <c r="A10952" s="34"/>
      <c r="B10952" s="35"/>
      <c r="C10952" s="36"/>
      <c r="D10952" s="37"/>
      <c r="E10952" s="36"/>
      <c r="F10952" s="42"/>
      <c r="G10952" s="42"/>
      <c r="H10952" s="42"/>
      <c r="AG10952" s="19"/>
    </row>
    <row r="10953" spans="1:33" ht="14.5" x14ac:dyDescent="0.35">
      <c r="A10953" s="34"/>
      <c r="B10953" s="35"/>
      <c r="C10953" s="36"/>
      <c r="D10953" s="37"/>
      <c r="E10953" s="36"/>
      <c r="F10953" s="42"/>
      <c r="G10953" s="42"/>
      <c r="H10953" s="42"/>
      <c r="AG10953" s="19"/>
    </row>
    <row r="10954" spans="1:33" ht="14.5" x14ac:dyDescent="0.35">
      <c r="A10954" s="34"/>
      <c r="B10954" s="35"/>
      <c r="C10954" s="36"/>
      <c r="D10954" s="37"/>
      <c r="E10954" s="36"/>
      <c r="F10954" s="42"/>
      <c r="G10954" s="42"/>
      <c r="H10954" s="42"/>
      <c r="AG10954" s="19"/>
    </row>
    <row r="10955" spans="1:33" ht="14.5" x14ac:dyDescent="0.35">
      <c r="A10955" s="34"/>
      <c r="B10955" s="35"/>
      <c r="C10955" s="36"/>
      <c r="D10955" s="37"/>
      <c r="E10955" s="36"/>
      <c r="F10955" s="42"/>
      <c r="G10955" s="42"/>
      <c r="H10955" s="42"/>
      <c r="AG10955" s="19"/>
    </row>
    <row r="10956" spans="1:33" ht="14.5" x14ac:dyDescent="0.35">
      <c r="A10956" s="34"/>
      <c r="B10956" s="35"/>
      <c r="C10956" s="36"/>
      <c r="D10956" s="37"/>
      <c r="E10956" s="36"/>
      <c r="F10956" s="42"/>
      <c r="G10956" s="42"/>
      <c r="H10956" s="42"/>
      <c r="AG10956" s="19"/>
    </row>
    <row r="10957" spans="1:33" ht="14.5" x14ac:dyDescent="0.35">
      <c r="A10957" s="34"/>
      <c r="B10957" s="35"/>
      <c r="C10957" s="36"/>
      <c r="D10957" s="37"/>
      <c r="E10957" s="36"/>
      <c r="F10957" s="42"/>
      <c r="G10957" s="42"/>
      <c r="H10957" s="42"/>
      <c r="AG10957" s="19"/>
    </row>
    <row r="10958" spans="1:33" ht="14.5" x14ac:dyDescent="0.35">
      <c r="A10958" s="34"/>
      <c r="B10958" s="35"/>
      <c r="C10958" s="36"/>
      <c r="D10958" s="37"/>
      <c r="E10958" s="36"/>
      <c r="F10958" s="42"/>
      <c r="G10958" s="42"/>
      <c r="H10958" s="42"/>
      <c r="AG10958" s="19"/>
    </row>
    <row r="10959" spans="1:33" ht="14.5" x14ac:dyDescent="0.35">
      <c r="A10959" s="34"/>
      <c r="B10959" s="35"/>
      <c r="C10959" s="36"/>
      <c r="D10959" s="37"/>
      <c r="E10959" s="36"/>
      <c r="F10959" s="42"/>
      <c r="G10959" s="42"/>
      <c r="H10959" s="42"/>
      <c r="AG10959" s="19"/>
    </row>
    <row r="10960" spans="1:33" ht="14.5" x14ac:dyDescent="0.35">
      <c r="A10960" s="34"/>
      <c r="B10960" s="35"/>
      <c r="C10960" s="36"/>
      <c r="D10960" s="37"/>
      <c r="E10960" s="36"/>
      <c r="F10960" s="42"/>
      <c r="G10960" s="42"/>
      <c r="H10960" s="42"/>
      <c r="AG10960" s="19"/>
    </row>
    <row r="10961" spans="1:33" ht="14.5" x14ac:dyDescent="0.35">
      <c r="A10961" s="34"/>
      <c r="B10961" s="35"/>
      <c r="C10961" s="36"/>
      <c r="D10961" s="37"/>
      <c r="E10961" s="36"/>
      <c r="F10961" s="42"/>
      <c r="G10961" s="42"/>
      <c r="H10961" s="42"/>
      <c r="AG10961" s="19"/>
    </row>
    <row r="10962" spans="1:33" ht="14.5" x14ac:dyDescent="0.35">
      <c r="A10962" s="34"/>
      <c r="B10962" s="35"/>
      <c r="C10962" s="36"/>
      <c r="D10962" s="37"/>
      <c r="E10962" s="36"/>
      <c r="F10962" s="42"/>
      <c r="G10962" s="42"/>
      <c r="H10962" s="42"/>
      <c r="AG10962" s="19"/>
    </row>
    <row r="10963" spans="1:33" ht="14.5" x14ac:dyDescent="0.35">
      <c r="A10963" s="34"/>
      <c r="B10963" s="35"/>
      <c r="C10963" s="36"/>
      <c r="D10963" s="37"/>
      <c r="E10963" s="36"/>
      <c r="F10963" s="42"/>
      <c r="G10963" s="42"/>
      <c r="H10963" s="42"/>
      <c r="AG10963" s="19"/>
    </row>
    <row r="10964" spans="1:33" ht="14.5" x14ac:dyDescent="0.35">
      <c r="A10964" s="34"/>
      <c r="B10964" s="35"/>
      <c r="C10964" s="36"/>
      <c r="D10964" s="37"/>
      <c r="E10964" s="36"/>
      <c r="F10964" s="42"/>
      <c r="G10964" s="42"/>
      <c r="H10964" s="42"/>
      <c r="AG10964" s="19"/>
    </row>
    <row r="10965" spans="1:33" ht="14.5" x14ac:dyDescent="0.35">
      <c r="A10965" s="34"/>
      <c r="B10965" s="35"/>
      <c r="C10965" s="36"/>
      <c r="D10965" s="37"/>
      <c r="E10965" s="36"/>
      <c r="F10965" s="42"/>
      <c r="G10965" s="42"/>
      <c r="H10965" s="42"/>
      <c r="AG10965" s="19"/>
    </row>
    <row r="10966" spans="1:33" ht="14.5" x14ac:dyDescent="0.35">
      <c r="A10966" s="34"/>
      <c r="B10966" s="35"/>
      <c r="C10966" s="36"/>
      <c r="D10966" s="37"/>
      <c r="E10966" s="36"/>
      <c r="F10966" s="42"/>
      <c r="G10966" s="42"/>
      <c r="H10966" s="42"/>
      <c r="AG10966" s="19"/>
    </row>
    <row r="10967" spans="1:33" ht="14.5" x14ac:dyDescent="0.35">
      <c r="A10967" s="34"/>
      <c r="B10967" s="35"/>
      <c r="C10967" s="36"/>
      <c r="D10967" s="37"/>
      <c r="E10967" s="36"/>
      <c r="F10967" s="42"/>
      <c r="G10967" s="42"/>
      <c r="H10967" s="42"/>
      <c r="AG10967" s="19"/>
    </row>
    <row r="10968" spans="1:33" ht="14.5" x14ac:dyDescent="0.35">
      <c r="A10968" s="34"/>
      <c r="B10968" s="35"/>
      <c r="C10968" s="36"/>
      <c r="D10968" s="37"/>
      <c r="E10968" s="36"/>
      <c r="F10968" s="42"/>
      <c r="G10968" s="42"/>
      <c r="H10968" s="42"/>
      <c r="AG10968" s="19"/>
    </row>
    <row r="10969" spans="1:33" ht="14.5" x14ac:dyDescent="0.35">
      <c r="A10969" s="34"/>
      <c r="B10969" s="35"/>
      <c r="C10969" s="36"/>
      <c r="D10969" s="37"/>
      <c r="E10969" s="36"/>
      <c r="F10969" s="42"/>
      <c r="G10969" s="42"/>
      <c r="H10969" s="42"/>
      <c r="AG10969" s="19"/>
    </row>
    <row r="10970" spans="1:33" ht="14.5" x14ac:dyDescent="0.35">
      <c r="A10970" s="34"/>
      <c r="B10970" s="35"/>
      <c r="C10970" s="36"/>
      <c r="D10970" s="37"/>
      <c r="E10970" s="36"/>
      <c r="F10970" s="42"/>
      <c r="G10970" s="42"/>
      <c r="H10970" s="42"/>
      <c r="AG10970" s="19"/>
    </row>
    <row r="10971" spans="1:33" ht="14.5" x14ac:dyDescent="0.35">
      <c r="A10971" s="34"/>
      <c r="B10971" s="35"/>
      <c r="C10971" s="36"/>
      <c r="D10971" s="37"/>
      <c r="E10971" s="36"/>
      <c r="F10971" s="42"/>
      <c r="G10971" s="42"/>
      <c r="H10971" s="42"/>
      <c r="AG10971" s="19"/>
    </row>
    <row r="10972" spans="1:33" ht="14.5" x14ac:dyDescent="0.35">
      <c r="A10972" s="34"/>
      <c r="B10972" s="35"/>
      <c r="C10972" s="36"/>
      <c r="D10972" s="37"/>
      <c r="E10972" s="36"/>
      <c r="F10972" s="42"/>
      <c r="G10972" s="42"/>
      <c r="H10972" s="42"/>
      <c r="AG10972" s="19"/>
    </row>
    <row r="10973" spans="1:33" ht="14.5" x14ac:dyDescent="0.35">
      <c r="A10973" s="34"/>
      <c r="B10973" s="35"/>
      <c r="C10973" s="36"/>
      <c r="D10973" s="37"/>
      <c r="E10973" s="36"/>
      <c r="F10973" s="42"/>
      <c r="G10973" s="42"/>
      <c r="H10973" s="42"/>
      <c r="AG10973" s="19"/>
    </row>
    <row r="10974" spans="1:33" ht="14.5" x14ac:dyDescent="0.35">
      <c r="A10974" s="34"/>
      <c r="B10974" s="35"/>
      <c r="C10974" s="36"/>
      <c r="D10974" s="37"/>
      <c r="E10974" s="36"/>
      <c r="F10974" s="42"/>
      <c r="G10974" s="42"/>
      <c r="H10974" s="42"/>
      <c r="AG10974" s="19"/>
    </row>
    <row r="10975" spans="1:33" ht="14.5" x14ac:dyDescent="0.35">
      <c r="A10975" s="34"/>
      <c r="B10975" s="35"/>
      <c r="C10975" s="36"/>
      <c r="D10975" s="37"/>
      <c r="E10975" s="36"/>
      <c r="F10975" s="42"/>
      <c r="G10975" s="42"/>
      <c r="H10975" s="42"/>
      <c r="AG10975" s="19"/>
    </row>
    <row r="10976" spans="1:33" ht="14.5" x14ac:dyDescent="0.35">
      <c r="A10976" s="34"/>
      <c r="B10976" s="35"/>
      <c r="C10976" s="36"/>
      <c r="D10976" s="37"/>
      <c r="E10976" s="36"/>
      <c r="F10976" s="42"/>
      <c r="G10976" s="42"/>
      <c r="H10976" s="42"/>
      <c r="AG10976" s="19"/>
    </row>
    <row r="10977" spans="1:33" ht="14.5" x14ac:dyDescent="0.35">
      <c r="A10977" s="34"/>
      <c r="B10977" s="35"/>
      <c r="C10977" s="36"/>
      <c r="D10977" s="37"/>
      <c r="E10977" s="36"/>
      <c r="F10977" s="42"/>
      <c r="G10977" s="42"/>
      <c r="H10977" s="42"/>
      <c r="AG10977" s="19"/>
    </row>
    <row r="10978" spans="1:33" ht="14.5" x14ac:dyDescent="0.35">
      <c r="A10978" s="34"/>
      <c r="B10978" s="35"/>
      <c r="C10978" s="36"/>
      <c r="D10978" s="37"/>
      <c r="E10978" s="36"/>
      <c r="F10978" s="42"/>
      <c r="G10978" s="42"/>
      <c r="H10978" s="42"/>
      <c r="AG10978" s="19"/>
    </row>
    <row r="10979" spans="1:33" ht="14.5" x14ac:dyDescent="0.35">
      <c r="A10979" s="34"/>
      <c r="B10979" s="35"/>
      <c r="C10979" s="36"/>
      <c r="D10979" s="37"/>
      <c r="E10979" s="36"/>
      <c r="F10979" s="42"/>
      <c r="G10979" s="42"/>
      <c r="H10979" s="42"/>
      <c r="AG10979" s="19"/>
    </row>
    <row r="10980" spans="1:33" ht="14.5" x14ac:dyDescent="0.35">
      <c r="A10980" s="34"/>
      <c r="B10980" s="35"/>
      <c r="C10980" s="36"/>
      <c r="D10980" s="37"/>
      <c r="E10980" s="36"/>
      <c r="F10980" s="42"/>
      <c r="G10980" s="42"/>
      <c r="H10980" s="42"/>
      <c r="AG10980" s="19"/>
    </row>
    <row r="10981" spans="1:33" ht="14.5" x14ac:dyDescent="0.35">
      <c r="A10981" s="34"/>
      <c r="B10981" s="35"/>
      <c r="C10981" s="36"/>
      <c r="D10981" s="37"/>
      <c r="E10981" s="36"/>
      <c r="F10981" s="42"/>
      <c r="G10981" s="42"/>
      <c r="H10981" s="42"/>
      <c r="AG10981" s="19"/>
    </row>
    <row r="10982" spans="1:33" ht="14.5" x14ac:dyDescent="0.35">
      <c r="A10982" s="34"/>
      <c r="B10982" s="35"/>
      <c r="C10982" s="36"/>
      <c r="D10982" s="37"/>
      <c r="E10982" s="36"/>
      <c r="F10982" s="42"/>
      <c r="G10982" s="42"/>
      <c r="H10982" s="42"/>
      <c r="AG10982" s="19"/>
    </row>
    <row r="10983" spans="1:33" ht="14.5" x14ac:dyDescent="0.35">
      <c r="A10983" s="34"/>
      <c r="B10983" s="35"/>
      <c r="C10983" s="36"/>
      <c r="D10983" s="37"/>
      <c r="E10983" s="36"/>
      <c r="F10983" s="42"/>
      <c r="G10983" s="42"/>
      <c r="H10983" s="42"/>
      <c r="AG10983" s="19"/>
    </row>
    <row r="10984" spans="1:33" ht="14.5" x14ac:dyDescent="0.35">
      <c r="A10984" s="34"/>
      <c r="B10984" s="35"/>
      <c r="C10984" s="36"/>
      <c r="D10984" s="37"/>
      <c r="E10984" s="36"/>
      <c r="F10984" s="42"/>
      <c r="G10984" s="42"/>
      <c r="H10984" s="42"/>
      <c r="AG10984" s="19"/>
    </row>
    <row r="10985" spans="1:33" ht="14.5" x14ac:dyDescent="0.35">
      <c r="A10985" s="34"/>
      <c r="B10985" s="35"/>
      <c r="C10985" s="36"/>
      <c r="D10985" s="37"/>
      <c r="E10985" s="36"/>
      <c r="F10985" s="42"/>
      <c r="G10985" s="42"/>
      <c r="H10985" s="42"/>
      <c r="AG10985" s="19"/>
    </row>
    <row r="10986" spans="1:33" ht="14.5" x14ac:dyDescent="0.35">
      <c r="A10986" s="34"/>
      <c r="B10986" s="35"/>
      <c r="C10986" s="36"/>
      <c r="D10986" s="37"/>
      <c r="E10986" s="36"/>
      <c r="F10986" s="42"/>
      <c r="G10986" s="42"/>
      <c r="H10986" s="42"/>
      <c r="AG10986" s="19"/>
    </row>
    <row r="10987" spans="1:33" ht="14.5" x14ac:dyDescent="0.35">
      <c r="A10987" s="34"/>
      <c r="B10987" s="35"/>
      <c r="C10987" s="36"/>
      <c r="D10987" s="37"/>
      <c r="E10987" s="36"/>
      <c r="F10987" s="42"/>
      <c r="G10987" s="42"/>
      <c r="H10987" s="42"/>
      <c r="AG10987" s="19"/>
    </row>
    <row r="10988" spans="1:33" ht="14.5" x14ac:dyDescent="0.35">
      <c r="A10988" s="34"/>
      <c r="B10988" s="35"/>
      <c r="C10988" s="36"/>
      <c r="D10988" s="37"/>
      <c r="E10988" s="36"/>
      <c r="F10988" s="42"/>
      <c r="G10988" s="42"/>
      <c r="H10988" s="42"/>
      <c r="AG10988" s="19"/>
    </row>
    <row r="10989" spans="1:33" ht="14.5" x14ac:dyDescent="0.35">
      <c r="A10989" s="34"/>
      <c r="B10989" s="35"/>
      <c r="C10989" s="36"/>
      <c r="D10989" s="37"/>
      <c r="E10989" s="36"/>
      <c r="F10989" s="42"/>
      <c r="G10989" s="42"/>
      <c r="H10989" s="42"/>
      <c r="AG10989" s="19"/>
    </row>
    <row r="10990" spans="1:33" ht="14.5" x14ac:dyDescent="0.35">
      <c r="A10990" s="34"/>
      <c r="B10990" s="35"/>
      <c r="C10990" s="36"/>
      <c r="D10990" s="37"/>
      <c r="E10990" s="36"/>
      <c r="F10990" s="42"/>
      <c r="G10990" s="42"/>
      <c r="H10990" s="42"/>
      <c r="AG10990" s="19"/>
    </row>
    <row r="10991" spans="1:33" ht="14.5" x14ac:dyDescent="0.35">
      <c r="A10991" s="34"/>
      <c r="B10991" s="35"/>
      <c r="C10991" s="36"/>
      <c r="D10991" s="37"/>
      <c r="E10991" s="36"/>
      <c r="F10991" s="42"/>
      <c r="G10991" s="42"/>
      <c r="H10991" s="42"/>
      <c r="AG10991" s="19"/>
    </row>
    <row r="10992" spans="1:33" ht="14.5" x14ac:dyDescent="0.35">
      <c r="A10992" s="34"/>
      <c r="B10992" s="35"/>
      <c r="C10992" s="36"/>
      <c r="D10992" s="37"/>
      <c r="E10992" s="36"/>
      <c r="F10992" s="42"/>
      <c r="G10992" s="42"/>
      <c r="H10992" s="42"/>
      <c r="AG10992" s="19"/>
    </row>
    <row r="10993" spans="1:33" ht="14.5" x14ac:dyDescent="0.35">
      <c r="A10993" s="34"/>
      <c r="B10993" s="35"/>
      <c r="C10993" s="36"/>
      <c r="D10993" s="37"/>
      <c r="E10993" s="36"/>
      <c r="F10993" s="42"/>
      <c r="G10993" s="42"/>
      <c r="H10993" s="42"/>
      <c r="AG10993" s="19"/>
    </row>
    <row r="10994" spans="1:33" ht="14.5" x14ac:dyDescent="0.35">
      <c r="A10994" s="34"/>
      <c r="B10994" s="35"/>
      <c r="C10994" s="36"/>
      <c r="D10994" s="37"/>
      <c r="E10994" s="36"/>
      <c r="F10994" s="42"/>
      <c r="G10994" s="42"/>
      <c r="H10994" s="42"/>
      <c r="AG10994" s="19"/>
    </row>
    <row r="10995" spans="1:33" ht="14.5" x14ac:dyDescent="0.35">
      <c r="A10995" s="34"/>
      <c r="B10995" s="35"/>
      <c r="C10995" s="36"/>
      <c r="D10995" s="37"/>
      <c r="E10995" s="36"/>
      <c r="F10995" s="42"/>
      <c r="G10995" s="42"/>
      <c r="H10995" s="42"/>
      <c r="AG10995" s="19"/>
    </row>
    <row r="10996" spans="1:33" ht="14.5" x14ac:dyDescent="0.35">
      <c r="A10996" s="34"/>
      <c r="B10996" s="35"/>
      <c r="C10996" s="36"/>
      <c r="D10996" s="37"/>
      <c r="E10996" s="36"/>
      <c r="F10996" s="42"/>
      <c r="G10996" s="42"/>
      <c r="H10996" s="42"/>
      <c r="AG10996" s="19"/>
    </row>
    <row r="10997" spans="1:33" ht="14.5" x14ac:dyDescent="0.35">
      <c r="A10997" s="34"/>
      <c r="B10997" s="35"/>
      <c r="C10997" s="36"/>
      <c r="D10997" s="37"/>
      <c r="E10997" s="36"/>
      <c r="F10997" s="42"/>
      <c r="G10997" s="42"/>
      <c r="H10997" s="42"/>
      <c r="AG10997" s="19"/>
    </row>
    <row r="10998" spans="1:33" ht="14.5" x14ac:dyDescent="0.35">
      <c r="A10998" s="34"/>
      <c r="B10998" s="35"/>
      <c r="C10998" s="36"/>
      <c r="D10998" s="37"/>
      <c r="E10998" s="36"/>
      <c r="F10998" s="42"/>
      <c r="G10998" s="42"/>
      <c r="H10998" s="42"/>
      <c r="AG10998" s="19"/>
    </row>
    <row r="10999" spans="1:33" ht="14.5" x14ac:dyDescent="0.35">
      <c r="A10999" s="34"/>
      <c r="B10999" s="35"/>
      <c r="C10999" s="36"/>
      <c r="D10999" s="37"/>
      <c r="E10999" s="36"/>
      <c r="F10999" s="42"/>
      <c r="G10999" s="42"/>
      <c r="H10999" s="42"/>
      <c r="AG10999" s="19"/>
    </row>
    <row r="11000" spans="1:33" ht="14.5" x14ac:dyDescent="0.35">
      <c r="A11000" s="34"/>
      <c r="B11000" s="35"/>
      <c r="C11000" s="36"/>
      <c r="D11000" s="37"/>
      <c r="E11000" s="36"/>
      <c r="F11000" s="42"/>
      <c r="G11000" s="42"/>
      <c r="H11000" s="42"/>
      <c r="AG11000" s="19"/>
    </row>
    <row r="11001" spans="1:33" ht="14.5" x14ac:dyDescent="0.35">
      <c r="A11001" s="34"/>
      <c r="B11001" s="35"/>
      <c r="C11001" s="36"/>
      <c r="D11001" s="37"/>
      <c r="E11001" s="36"/>
      <c r="F11001" s="42"/>
      <c r="G11001" s="42"/>
      <c r="H11001" s="42"/>
      <c r="AG11001" s="19"/>
    </row>
    <row r="11002" spans="1:33" ht="14.5" x14ac:dyDescent="0.35">
      <c r="A11002" s="34"/>
      <c r="B11002" s="35"/>
      <c r="C11002" s="36"/>
      <c r="D11002" s="37"/>
      <c r="E11002" s="36"/>
      <c r="F11002" s="42"/>
      <c r="G11002" s="42"/>
      <c r="H11002" s="42"/>
      <c r="AG11002" s="19"/>
    </row>
    <row r="11003" spans="1:33" ht="14.5" x14ac:dyDescent="0.35">
      <c r="A11003" s="34"/>
      <c r="B11003" s="35"/>
      <c r="C11003" s="36"/>
      <c r="D11003" s="37"/>
      <c r="E11003" s="36"/>
      <c r="F11003" s="42"/>
      <c r="G11003" s="42"/>
      <c r="H11003" s="42"/>
      <c r="AG11003" s="19"/>
    </row>
    <row r="11004" spans="1:33" ht="14.5" x14ac:dyDescent="0.35">
      <c r="A11004" s="34"/>
      <c r="B11004" s="35"/>
      <c r="C11004" s="36"/>
      <c r="D11004" s="37"/>
      <c r="E11004" s="36"/>
      <c r="F11004" s="42"/>
      <c r="G11004" s="42"/>
      <c r="H11004" s="42"/>
      <c r="AG11004" s="19"/>
    </row>
    <row r="11005" spans="1:33" ht="14.5" x14ac:dyDescent="0.35">
      <c r="A11005" s="34"/>
      <c r="B11005" s="35"/>
      <c r="C11005" s="36"/>
      <c r="D11005" s="37"/>
      <c r="E11005" s="36"/>
      <c r="F11005" s="42"/>
      <c r="G11005" s="42"/>
      <c r="H11005" s="42"/>
      <c r="AG11005" s="19"/>
    </row>
    <row r="11006" spans="1:33" ht="14.5" x14ac:dyDescent="0.35">
      <c r="A11006" s="34"/>
      <c r="B11006" s="35"/>
      <c r="C11006" s="36"/>
      <c r="D11006" s="37"/>
      <c r="E11006" s="36"/>
      <c r="F11006" s="42"/>
      <c r="G11006" s="42"/>
      <c r="H11006" s="42"/>
      <c r="AG11006" s="19"/>
    </row>
    <row r="11007" spans="1:33" ht="14.5" x14ac:dyDescent="0.35">
      <c r="A11007" s="34"/>
      <c r="B11007" s="35"/>
      <c r="C11007" s="36"/>
      <c r="D11007" s="37"/>
      <c r="E11007" s="36"/>
      <c r="F11007" s="42"/>
      <c r="G11007" s="42"/>
      <c r="H11007" s="42"/>
      <c r="AG11007" s="19"/>
    </row>
    <row r="11008" spans="1:33" ht="14.5" x14ac:dyDescent="0.35">
      <c r="A11008" s="34"/>
      <c r="B11008" s="35"/>
      <c r="C11008" s="36"/>
      <c r="D11008" s="37"/>
      <c r="E11008" s="36"/>
      <c r="F11008" s="42"/>
      <c r="G11008" s="42"/>
      <c r="H11008" s="42"/>
      <c r="AG11008" s="19"/>
    </row>
    <row r="11009" spans="1:33" ht="14.5" x14ac:dyDescent="0.35">
      <c r="A11009" s="34"/>
      <c r="B11009" s="35"/>
      <c r="C11009" s="36"/>
      <c r="D11009" s="37"/>
      <c r="E11009" s="36"/>
      <c r="F11009" s="42"/>
      <c r="G11009" s="42"/>
      <c r="H11009" s="42"/>
      <c r="AG11009" s="19"/>
    </row>
    <row r="11010" spans="1:33" ht="14.5" x14ac:dyDescent="0.35">
      <c r="A11010" s="34"/>
      <c r="B11010" s="35"/>
      <c r="C11010" s="36"/>
      <c r="D11010" s="37"/>
      <c r="E11010" s="36"/>
      <c r="F11010" s="42"/>
      <c r="G11010" s="42"/>
      <c r="H11010" s="42"/>
      <c r="AG11010" s="19"/>
    </row>
    <row r="11011" spans="1:33" ht="14.5" x14ac:dyDescent="0.35">
      <c r="A11011" s="34"/>
      <c r="B11011" s="35"/>
      <c r="C11011" s="36"/>
      <c r="D11011" s="37"/>
      <c r="E11011" s="36"/>
      <c r="F11011" s="42"/>
      <c r="G11011" s="42"/>
      <c r="H11011" s="42"/>
      <c r="AG11011" s="19"/>
    </row>
    <row r="11012" spans="1:33" ht="14.5" x14ac:dyDescent="0.35">
      <c r="A11012" s="34"/>
      <c r="B11012" s="35"/>
      <c r="C11012" s="36"/>
      <c r="D11012" s="37"/>
      <c r="E11012" s="36"/>
      <c r="F11012" s="42"/>
      <c r="G11012" s="42"/>
      <c r="H11012" s="42"/>
      <c r="AG11012" s="19"/>
    </row>
    <row r="11013" spans="1:33" ht="14.5" x14ac:dyDescent="0.35">
      <c r="A11013" s="34"/>
      <c r="B11013" s="35"/>
      <c r="C11013" s="36"/>
      <c r="D11013" s="37"/>
      <c r="E11013" s="36"/>
      <c r="F11013" s="42"/>
      <c r="G11013" s="42"/>
      <c r="H11013" s="42"/>
      <c r="AG11013" s="19"/>
    </row>
    <row r="11014" spans="1:33" ht="14.5" x14ac:dyDescent="0.35">
      <c r="A11014" s="34"/>
      <c r="B11014" s="35"/>
      <c r="C11014" s="36"/>
      <c r="D11014" s="37"/>
      <c r="E11014" s="36"/>
      <c r="F11014" s="42"/>
      <c r="G11014" s="42"/>
      <c r="H11014" s="42"/>
      <c r="AG11014" s="19"/>
    </row>
    <row r="11015" spans="1:33" ht="14.5" x14ac:dyDescent="0.35">
      <c r="A11015" s="34"/>
      <c r="B11015" s="35"/>
      <c r="C11015" s="36"/>
      <c r="D11015" s="37"/>
      <c r="E11015" s="36"/>
      <c r="F11015" s="42"/>
      <c r="G11015" s="42"/>
      <c r="H11015" s="42"/>
      <c r="AG11015" s="19"/>
    </row>
    <row r="11016" spans="1:33" ht="14.5" x14ac:dyDescent="0.35">
      <c r="A11016" s="34"/>
      <c r="B11016" s="35"/>
      <c r="C11016" s="36"/>
      <c r="D11016" s="37"/>
      <c r="E11016" s="36"/>
      <c r="F11016" s="42"/>
      <c r="G11016" s="42"/>
      <c r="H11016" s="42"/>
      <c r="AG11016" s="19"/>
    </row>
    <row r="11017" spans="1:33" ht="14.5" x14ac:dyDescent="0.35">
      <c r="A11017" s="34"/>
      <c r="B11017" s="35"/>
      <c r="C11017" s="36"/>
      <c r="D11017" s="37"/>
      <c r="E11017" s="36"/>
      <c r="F11017" s="42"/>
      <c r="G11017" s="42"/>
      <c r="H11017" s="42"/>
      <c r="AG11017" s="19"/>
    </row>
    <row r="11018" spans="1:33" ht="14.5" x14ac:dyDescent="0.35">
      <c r="A11018" s="34"/>
      <c r="B11018" s="35"/>
      <c r="C11018" s="36"/>
      <c r="D11018" s="37"/>
      <c r="E11018" s="36"/>
      <c r="F11018" s="42"/>
      <c r="G11018" s="42"/>
      <c r="H11018" s="42"/>
      <c r="AG11018" s="19"/>
    </row>
    <row r="11019" spans="1:33" ht="14.5" x14ac:dyDescent="0.35">
      <c r="A11019" s="34"/>
      <c r="B11019" s="35"/>
      <c r="C11019" s="36"/>
      <c r="D11019" s="37"/>
      <c r="E11019" s="36"/>
      <c r="F11019" s="42"/>
      <c r="G11019" s="42"/>
      <c r="H11019" s="42"/>
      <c r="AG11019" s="19"/>
    </row>
    <row r="11020" spans="1:33" ht="14.5" x14ac:dyDescent="0.35">
      <c r="A11020" s="34"/>
      <c r="B11020" s="35"/>
      <c r="C11020" s="36"/>
      <c r="D11020" s="37"/>
      <c r="E11020" s="36"/>
      <c r="F11020" s="42"/>
      <c r="G11020" s="42"/>
      <c r="H11020" s="42"/>
      <c r="AG11020" s="19"/>
    </row>
    <row r="11021" spans="1:33" ht="14.5" x14ac:dyDescent="0.35">
      <c r="A11021" s="34"/>
      <c r="B11021" s="35"/>
      <c r="C11021" s="36"/>
      <c r="D11021" s="37"/>
      <c r="E11021" s="36"/>
      <c r="F11021" s="42"/>
      <c r="G11021" s="42"/>
      <c r="H11021" s="42"/>
      <c r="AG11021" s="19"/>
    </row>
    <row r="11022" spans="1:33" ht="14.5" x14ac:dyDescent="0.35">
      <c r="A11022" s="34"/>
      <c r="B11022" s="35"/>
      <c r="C11022" s="36"/>
      <c r="D11022" s="37"/>
      <c r="E11022" s="36"/>
      <c r="F11022" s="42"/>
      <c r="G11022" s="42"/>
      <c r="H11022" s="42"/>
      <c r="AG11022" s="19"/>
    </row>
    <row r="11023" spans="1:33" ht="14.5" x14ac:dyDescent="0.35">
      <c r="A11023" s="34"/>
      <c r="B11023" s="35"/>
      <c r="C11023" s="36"/>
      <c r="D11023" s="37"/>
      <c r="E11023" s="36"/>
      <c r="F11023" s="42"/>
      <c r="G11023" s="42"/>
      <c r="H11023" s="42"/>
      <c r="AG11023" s="19"/>
    </row>
    <row r="11024" spans="1:33" ht="14.5" x14ac:dyDescent="0.35">
      <c r="A11024" s="34"/>
      <c r="B11024" s="35"/>
      <c r="C11024" s="36"/>
      <c r="D11024" s="37"/>
      <c r="E11024" s="36"/>
      <c r="F11024" s="42"/>
      <c r="G11024" s="42"/>
      <c r="H11024" s="42"/>
      <c r="AG11024" s="19"/>
    </row>
    <row r="11025" spans="1:33" ht="14.5" x14ac:dyDescent="0.35">
      <c r="A11025" s="34"/>
      <c r="B11025" s="35"/>
      <c r="C11025" s="36"/>
      <c r="D11025" s="37"/>
      <c r="E11025" s="36"/>
      <c r="F11025" s="42"/>
      <c r="G11025" s="42"/>
      <c r="H11025" s="42"/>
      <c r="AG11025" s="19"/>
    </row>
    <row r="11026" spans="1:33" ht="14.5" x14ac:dyDescent="0.35">
      <c r="A11026" s="34"/>
      <c r="B11026" s="35"/>
      <c r="C11026" s="36"/>
      <c r="D11026" s="37"/>
      <c r="E11026" s="36"/>
      <c r="F11026" s="42"/>
      <c r="G11026" s="42"/>
      <c r="H11026" s="42"/>
      <c r="AG11026" s="19"/>
    </row>
    <row r="11027" spans="1:33" ht="14.5" x14ac:dyDescent="0.35">
      <c r="A11027" s="34"/>
      <c r="B11027" s="35"/>
      <c r="C11027" s="36"/>
      <c r="D11027" s="37"/>
      <c r="E11027" s="36"/>
      <c r="F11027" s="42"/>
      <c r="G11027" s="42"/>
      <c r="H11027" s="42"/>
      <c r="AG11027" s="19"/>
    </row>
    <row r="11028" spans="1:33" ht="14.5" x14ac:dyDescent="0.35">
      <c r="A11028" s="34"/>
      <c r="B11028" s="35"/>
      <c r="C11028" s="36"/>
      <c r="D11028" s="37"/>
      <c r="E11028" s="36"/>
      <c r="F11028" s="42"/>
      <c r="G11028" s="42"/>
      <c r="H11028" s="42"/>
      <c r="AG11028" s="19"/>
    </row>
    <row r="11029" spans="1:33" ht="14.5" x14ac:dyDescent="0.35">
      <c r="A11029" s="34"/>
      <c r="B11029" s="35"/>
      <c r="C11029" s="36"/>
      <c r="D11029" s="37"/>
      <c r="E11029" s="36"/>
      <c r="F11029" s="42"/>
      <c r="G11029" s="42"/>
      <c r="H11029" s="42"/>
      <c r="AG11029" s="19"/>
    </row>
    <row r="11030" spans="1:33" ht="14.5" x14ac:dyDescent="0.35">
      <c r="A11030" s="34"/>
      <c r="B11030" s="35"/>
      <c r="C11030" s="36"/>
      <c r="D11030" s="37"/>
      <c r="E11030" s="36"/>
      <c r="F11030" s="42"/>
      <c r="G11030" s="42"/>
      <c r="H11030" s="42"/>
      <c r="AG11030" s="19"/>
    </row>
    <row r="11031" spans="1:33" ht="14.5" x14ac:dyDescent="0.35">
      <c r="A11031" s="34"/>
      <c r="B11031" s="35"/>
      <c r="C11031" s="36"/>
      <c r="D11031" s="37"/>
      <c r="E11031" s="36"/>
      <c r="F11031" s="42"/>
      <c r="G11031" s="42"/>
      <c r="H11031" s="42"/>
      <c r="AG11031" s="19"/>
    </row>
    <row r="11032" spans="1:33" ht="14.5" x14ac:dyDescent="0.35">
      <c r="A11032" s="34"/>
      <c r="B11032" s="35"/>
      <c r="C11032" s="36"/>
      <c r="D11032" s="37"/>
      <c r="E11032" s="36"/>
      <c r="F11032" s="42"/>
      <c r="G11032" s="42"/>
      <c r="H11032" s="42"/>
      <c r="AG11032" s="19"/>
    </row>
    <row r="11033" spans="1:33" ht="14.5" x14ac:dyDescent="0.35">
      <c r="A11033" s="34"/>
      <c r="B11033" s="35"/>
      <c r="C11033" s="36"/>
      <c r="D11033" s="37"/>
      <c r="E11033" s="36"/>
      <c r="F11033" s="42"/>
      <c r="G11033" s="42"/>
      <c r="H11033" s="42"/>
      <c r="AG11033" s="19"/>
    </row>
    <row r="11034" spans="1:33" ht="14.5" x14ac:dyDescent="0.35">
      <c r="A11034" s="34"/>
      <c r="B11034" s="35"/>
      <c r="C11034" s="36"/>
      <c r="D11034" s="37"/>
      <c r="E11034" s="36"/>
      <c r="F11034" s="42"/>
      <c r="G11034" s="42"/>
      <c r="H11034" s="42"/>
      <c r="AG11034" s="19"/>
    </row>
    <row r="11035" spans="1:33" ht="14.5" x14ac:dyDescent="0.35">
      <c r="A11035" s="34"/>
      <c r="B11035" s="35"/>
      <c r="C11035" s="36"/>
      <c r="D11035" s="37"/>
      <c r="E11035" s="36"/>
      <c r="F11035" s="42"/>
      <c r="G11035" s="42"/>
      <c r="H11035" s="42"/>
      <c r="AG11035" s="19"/>
    </row>
    <row r="11036" spans="1:33" ht="14.5" x14ac:dyDescent="0.35">
      <c r="A11036" s="34"/>
      <c r="B11036" s="35"/>
      <c r="C11036" s="36"/>
      <c r="D11036" s="37"/>
      <c r="E11036" s="36"/>
      <c r="F11036" s="42"/>
      <c r="G11036" s="42"/>
      <c r="H11036" s="42"/>
      <c r="AG11036" s="19"/>
    </row>
    <row r="11037" spans="1:33" ht="14.5" x14ac:dyDescent="0.35">
      <c r="A11037" s="34"/>
      <c r="B11037" s="35"/>
      <c r="C11037" s="36"/>
      <c r="D11037" s="37"/>
      <c r="E11037" s="36"/>
      <c r="F11037" s="42"/>
      <c r="G11037" s="42"/>
      <c r="H11037" s="42"/>
      <c r="AG11037" s="19"/>
    </row>
    <row r="11038" spans="1:33" ht="14.5" x14ac:dyDescent="0.35">
      <c r="A11038" s="34"/>
      <c r="B11038" s="35"/>
      <c r="C11038" s="36"/>
      <c r="D11038" s="37"/>
      <c r="E11038" s="36"/>
      <c r="F11038" s="42"/>
      <c r="G11038" s="42"/>
      <c r="H11038" s="42"/>
      <c r="AG11038" s="19"/>
    </row>
    <row r="11039" spans="1:33" ht="14.5" x14ac:dyDescent="0.35">
      <c r="A11039" s="34"/>
      <c r="B11039" s="35"/>
      <c r="C11039" s="36"/>
      <c r="D11039" s="37"/>
      <c r="E11039" s="36"/>
      <c r="F11039" s="42"/>
      <c r="G11039" s="42"/>
      <c r="H11039" s="42"/>
      <c r="AG11039" s="19"/>
    </row>
    <row r="11040" spans="1:33" ht="14.5" x14ac:dyDescent="0.35">
      <c r="A11040" s="34"/>
      <c r="B11040" s="35"/>
      <c r="C11040" s="36"/>
      <c r="D11040" s="37"/>
      <c r="E11040" s="36"/>
      <c r="F11040" s="42"/>
      <c r="G11040" s="42"/>
      <c r="H11040" s="42"/>
      <c r="AG11040" s="19"/>
    </row>
    <row r="11041" spans="1:33" ht="14.5" x14ac:dyDescent="0.35">
      <c r="A11041" s="34"/>
      <c r="B11041" s="35"/>
      <c r="C11041" s="36"/>
      <c r="D11041" s="37"/>
      <c r="E11041" s="36"/>
      <c r="F11041" s="42"/>
      <c r="G11041" s="42"/>
      <c r="H11041" s="42"/>
      <c r="AG11041" s="19"/>
    </row>
    <row r="11042" spans="1:33" ht="14.5" x14ac:dyDescent="0.35">
      <c r="A11042" s="34"/>
      <c r="B11042" s="35"/>
      <c r="C11042" s="36"/>
      <c r="D11042" s="37"/>
      <c r="E11042" s="36"/>
      <c r="F11042" s="42"/>
      <c r="G11042" s="42"/>
      <c r="H11042" s="42"/>
      <c r="AG11042" s="19"/>
    </row>
    <row r="11043" spans="1:33" ht="14.5" x14ac:dyDescent="0.35">
      <c r="A11043" s="34"/>
      <c r="B11043" s="35"/>
      <c r="C11043" s="36"/>
      <c r="D11043" s="37"/>
      <c r="E11043" s="36"/>
      <c r="F11043" s="42"/>
      <c r="G11043" s="42"/>
      <c r="H11043" s="42"/>
      <c r="AG11043" s="19"/>
    </row>
    <row r="11044" spans="1:33" ht="14.5" x14ac:dyDescent="0.35">
      <c r="A11044" s="34"/>
      <c r="B11044" s="35"/>
      <c r="C11044" s="36"/>
      <c r="D11044" s="37"/>
      <c r="E11044" s="36"/>
      <c r="F11044" s="42"/>
      <c r="G11044" s="42"/>
      <c r="H11044" s="42"/>
      <c r="AG11044" s="19"/>
    </row>
    <row r="11045" spans="1:33" ht="14.5" x14ac:dyDescent="0.35">
      <c r="A11045" s="34"/>
      <c r="B11045" s="35"/>
      <c r="C11045" s="36"/>
      <c r="D11045" s="37"/>
      <c r="E11045" s="36"/>
      <c r="F11045" s="42"/>
      <c r="G11045" s="42"/>
      <c r="H11045" s="42"/>
      <c r="AG11045" s="19"/>
    </row>
    <row r="11046" spans="1:33" ht="14.5" x14ac:dyDescent="0.35">
      <c r="A11046" s="34"/>
      <c r="B11046" s="35"/>
      <c r="C11046" s="36"/>
      <c r="D11046" s="37"/>
      <c r="E11046" s="36"/>
      <c r="F11046" s="42"/>
      <c r="G11046" s="42"/>
      <c r="H11046" s="42"/>
      <c r="AG11046" s="19"/>
    </row>
    <row r="11047" spans="1:33" ht="14.5" x14ac:dyDescent="0.35">
      <c r="A11047" s="34"/>
      <c r="B11047" s="35"/>
      <c r="C11047" s="36"/>
      <c r="D11047" s="37"/>
      <c r="E11047" s="36"/>
      <c r="F11047" s="42"/>
      <c r="G11047" s="42"/>
      <c r="H11047" s="42"/>
      <c r="AG11047" s="19"/>
    </row>
    <row r="11048" spans="1:33" ht="14.5" x14ac:dyDescent="0.35">
      <c r="A11048" s="34"/>
      <c r="B11048" s="35"/>
      <c r="C11048" s="36"/>
      <c r="D11048" s="37"/>
      <c r="E11048" s="36"/>
      <c r="F11048" s="42"/>
      <c r="G11048" s="42"/>
      <c r="H11048" s="42"/>
      <c r="AG11048" s="19"/>
    </row>
    <row r="11049" spans="1:33" ht="14.5" x14ac:dyDescent="0.35">
      <c r="A11049" s="34"/>
      <c r="B11049" s="35"/>
      <c r="C11049" s="36"/>
      <c r="D11049" s="37"/>
      <c r="E11049" s="36"/>
      <c r="F11049" s="42"/>
      <c r="G11049" s="42"/>
      <c r="H11049" s="42"/>
      <c r="AG11049" s="19"/>
    </row>
    <row r="11050" spans="1:33" ht="14.5" x14ac:dyDescent="0.35">
      <c r="A11050" s="34"/>
      <c r="B11050" s="35"/>
      <c r="C11050" s="36"/>
      <c r="D11050" s="37"/>
      <c r="E11050" s="36"/>
      <c r="F11050" s="42"/>
      <c r="G11050" s="42"/>
      <c r="H11050" s="42"/>
      <c r="AG11050" s="19"/>
    </row>
    <row r="11051" spans="1:33" ht="14.5" x14ac:dyDescent="0.35">
      <c r="A11051" s="34"/>
      <c r="B11051" s="35"/>
      <c r="C11051" s="36"/>
      <c r="D11051" s="37"/>
      <c r="E11051" s="36"/>
      <c r="F11051" s="42"/>
      <c r="G11051" s="42"/>
      <c r="H11051" s="42"/>
      <c r="AG11051" s="19"/>
    </row>
    <row r="11052" spans="1:33" ht="14.5" x14ac:dyDescent="0.35">
      <c r="A11052" s="34"/>
      <c r="B11052" s="35"/>
      <c r="C11052" s="36"/>
      <c r="D11052" s="37"/>
      <c r="E11052" s="36"/>
      <c r="F11052" s="42"/>
      <c r="G11052" s="42"/>
      <c r="H11052" s="42"/>
      <c r="AG11052" s="19"/>
    </row>
    <row r="11053" spans="1:33" ht="14.5" x14ac:dyDescent="0.35">
      <c r="A11053" s="34"/>
      <c r="B11053" s="35"/>
      <c r="C11053" s="36"/>
      <c r="D11053" s="37"/>
      <c r="E11053" s="36"/>
      <c r="F11053" s="42"/>
      <c r="G11053" s="42"/>
      <c r="H11053" s="42"/>
      <c r="AG11053" s="19"/>
    </row>
    <row r="11054" spans="1:33" ht="14.5" x14ac:dyDescent="0.35">
      <c r="A11054" s="34"/>
      <c r="B11054" s="35"/>
      <c r="C11054" s="36"/>
      <c r="D11054" s="37"/>
      <c r="E11054" s="36"/>
      <c r="F11054" s="42"/>
      <c r="G11054" s="42"/>
      <c r="H11054" s="42"/>
      <c r="AG11054" s="19"/>
    </row>
    <row r="11055" spans="1:33" ht="14.5" x14ac:dyDescent="0.35">
      <c r="A11055" s="34"/>
      <c r="B11055" s="35"/>
      <c r="C11055" s="36"/>
      <c r="D11055" s="37"/>
      <c r="E11055" s="36"/>
      <c r="F11055" s="42"/>
      <c r="G11055" s="42"/>
      <c r="H11055" s="42"/>
      <c r="AG11055" s="19"/>
    </row>
    <row r="11056" spans="1:33" ht="14.5" x14ac:dyDescent="0.35">
      <c r="A11056" s="34"/>
      <c r="B11056" s="35"/>
      <c r="C11056" s="36"/>
      <c r="D11056" s="37"/>
      <c r="E11056" s="36"/>
      <c r="F11056" s="42"/>
      <c r="G11056" s="42"/>
      <c r="H11056" s="42"/>
      <c r="AG11056" s="19"/>
    </row>
    <row r="11057" spans="1:33" ht="14.5" x14ac:dyDescent="0.35">
      <c r="A11057" s="34"/>
      <c r="B11057" s="35"/>
      <c r="C11057" s="36"/>
      <c r="D11057" s="37"/>
      <c r="E11057" s="36"/>
      <c r="F11057" s="42"/>
      <c r="G11057" s="42"/>
      <c r="H11057" s="42"/>
      <c r="AG11057" s="19"/>
    </row>
    <row r="11058" spans="1:33" ht="14.5" x14ac:dyDescent="0.35">
      <c r="A11058" s="34"/>
      <c r="B11058" s="35"/>
      <c r="C11058" s="36"/>
      <c r="D11058" s="37"/>
      <c r="E11058" s="36"/>
      <c r="F11058" s="42"/>
      <c r="G11058" s="42"/>
      <c r="H11058" s="42"/>
      <c r="AG11058" s="19"/>
    </row>
    <row r="11059" spans="1:33" ht="14.5" x14ac:dyDescent="0.35">
      <c r="A11059" s="34"/>
      <c r="B11059" s="35"/>
      <c r="C11059" s="36"/>
      <c r="D11059" s="37"/>
      <c r="E11059" s="36"/>
      <c r="F11059" s="42"/>
      <c r="G11059" s="42"/>
      <c r="H11059" s="42"/>
      <c r="AG11059" s="19"/>
    </row>
    <row r="11060" spans="1:33" ht="14.5" x14ac:dyDescent="0.35">
      <c r="A11060" s="34"/>
      <c r="B11060" s="35"/>
      <c r="C11060" s="36"/>
      <c r="D11060" s="37"/>
      <c r="E11060" s="36"/>
      <c r="F11060" s="42"/>
      <c r="G11060" s="42"/>
      <c r="H11060" s="42"/>
      <c r="AG11060" s="19"/>
    </row>
    <row r="11061" spans="1:33" ht="14.5" x14ac:dyDescent="0.35">
      <c r="A11061" s="34"/>
      <c r="B11061" s="35"/>
      <c r="C11061" s="36"/>
      <c r="D11061" s="37"/>
      <c r="E11061" s="36"/>
      <c r="F11061" s="42"/>
      <c r="G11061" s="42"/>
      <c r="H11061" s="42"/>
      <c r="AG11061" s="19"/>
    </row>
    <row r="11062" spans="1:33" ht="14.5" x14ac:dyDescent="0.35">
      <c r="A11062" s="34"/>
      <c r="B11062" s="35"/>
      <c r="C11062" s="36"/>
      <c r="D11062" s="37"/>
      <c r="E11062" s="36"/>
      <c r="F11062" s="42"/>
      <c r="G11062" s="42"/>
      <c r="H11062" s="42"/>
      <c r="AG11062" s="19"/>
    </row>
    <row r="11063" spans="1:33" ht="14.5" x14ac:dyDescent="0.35">
      <c r="A11063" s="34"/>
      <c r="B11063" s="35"/>
      <c r="C11063" s="36"/>
      <c r="D11063" s="37"/>
      <c r="E11063" s="36"/>
      <c r="F11063" s="42"/>
      <c r="G11063" s="42"/>
      <c r="H11063" s="42"/>
      <c r="AG11063" s="19"/>
    </row>
    <row r="11064" spans="1:33" ht="14.5" x14ac:dyDescent="0.35">
      <c r="A11064" s="34"/>
      <c r="B11064" s="35"/>
      <c r="C11064" s="36"/>
      <c r="D11064" s="37"/>
      <c r="E11064" s="36"/>
      <c r="F11064" s="42"/>
      <c r="G11064" s="42"/>
      <c r="H11064" s="42"/>
      <c r="AG11064" s="19"/>
    </row>
    <row r="11065" spans="1:33" ht="14.5" x14ac:dyDescent="0.35">
      <c r="A11065" s="34"/>
      <c r="B11065" s="35"/>
      <c r="C11065" s="36"/>
      <c r="D11065" s="37"/>
      <c r="E11065" s="36"/>
      <c r="F11065" s="42"/>
      <c r="G11065" s="42"/>
      <c r="H11065" s="42"/>
      <c r="AG11065" s="19"/>
    </row>
    <row r="11066" spans="1:33" ht="14.5" x14ac:dyDescent="0.35">
      <c r="A11066" s="34"/>
      <c r="B11066" s="35"/>
      <c r="C11066" s="36"/>
      <c r="D11066" s="37"/>
      <c r="E11066" s="36"/>
      <c r="F11066" s="42"/>
      <c r="G11066" s="42"/>
      <c r="H11066" s="42"/>
      <c r="AG11066" s="19"/>
    </row>
    <row r="11067" spans="1:33" ht="14.5" x14ac:dyDescent="0.35">
      <c r="A11067" s="34"/>
      <c r="B11067" s="35"/>
      <c r="C11067" s="36"/>
      <c r="D11067" s="37"/>
      <c r="E11067" s="36"/>
      <c r="F11067" s="42"/>
      <c r="G11067" s="42"/>
      <c r="H11067" s="42"/>
      <c r="AG11067" s="19"/>
    </row>
    <row r="11068" spans="1:33" ht="14.5" x14ac:dyDescent="0.35">
      <c r="A11068" s="34"/>
      <c r="B11068" s="35"/>
      <c r="C11068" s="36"/>
      <c r="D11068" s="37"/>
      <c r="E11068" s="36"/>
      <c r="F11068" s="42"/>
      <c r="G11068" s="42"/>
      <c r="H11068" s="42"/>
      <c r="AG11068" s="19"/>
    </row>
    <row r="11069" spans="1:33" ht="14.5" x14ac:dyDescent="0.35">
      <c r="A11069" s="34"/>
      <c r="B11069" s="35"/>
      <c r="C11069" s="36"/>
      <c r="D11069" s="37"/>
      <c r="E11069" s="36"/>
      <c r="F11069" s="42"/>
      <c r="G11069" s="42"/>
      <c r="H11069" s="42"/>
      <c r="AG11069" s="19"/>
    </row>
    <row r="11070" spans="1:33" ht="14.5" x14ac:dyDescent="0.35">
      <c r="A11070" s="34"/>
      <c r="B11070" s="35"/>
      <c r="C11070" s="36"/>
      <c r="D11070" s="37"/>
      <c r="E11070" s="36"/>
      <c r="F11070" s="42"/>
      <c r="G11070" s="42"/>
      <c r="H11070" s="42"/>
      <c r="AG11070" s="19"/>
    </row>
    <row r="11071" spans="1:33" ht="14.5" x14ac:dyDescent="0.35">
      <c r="A11071" s="34"/>
      <c r="B11071" s="35"/>
      <c r="C11071" s="36"/>
      <c r="D11071" s="37"/>
      <c r="E11071" s="36"/>
      <c r="F11071" s="42"/>
      <c r="G11071" s="42"/>
      <c r="H11071" s="42"/>
      <c r="AG11071" s="19"/>
    </row>
    <row r="11072" spans="1:33" ht="14.5" x14ac:dyDescent="0.35">
      <c r="A11072" s="34"/>
      <c r="B11072" s="35"/>
      <c r="C11072" s="36"/>
      <c r="D11072" s="37"/>
      <c r="E11072" s="36"/>
      <c r="F11072" s="42"/>
      <c r="G11072" s="42"/>
      <c r="H11072" s="42"/>
      <c r="AG11072" s="19"/>
    </row>
    <row r="11073" spans="1:33" ht="14.5" x14ac:dyDescent="0.35">
      <c r="A11073" s="34"/>
      <c r="B11073" s="35"/>
      <c r="C11073" s="36"/>
      <c r="D11073" s="37"/>
      <c r="E11073" s="36"/>
      <c r="F11073" s="42"/>
      <c r="G11073" s="42"/>
      <c r="H11073" s="42"/>
      <c r="AG11073" s="19"/>
    </row>
    <row r="11074" spans="1:33" ht="14.5" x14ac:dyDescent="0.35">
      <c r="A11074" s="34"/>
      <c r="B11074" s="35"/>
      <c r="C11074" s="36"/>
      <c r="D11074" s="37"/>
      <c r="E11074" s="36"/>
      <c r="F11074" s="42"/>
      <c r="G11074" s="42"/>
      <c r="H11074" s="42"/>
      <c r="AG11074" s="19"/>
    </row>
    <row r="11075" spans="1:33" ht="14.5" x14ac:dyDescent="0.35">
      <c r="A11075" s="34"/>
      <c r="B11075" s="35"/>
      <c r="C11075" s="36"/>
      <c r="D11075" s="37"/>
      <c r="E11075" s="36"/>
      <c r="F11075" s="42"/>
      <c r="G11075" s="42"/>
      <c r="H11075" s="42"/>
      <c r="AG11075" s="19"/>
    </row>
    <row r="11076" spans="1:33" ht="14.5" x14ac:dyDescent="0.35">
      <c r="A11076" s="34"/>
      <c r="B11076" s="35"/>
      <c r="C11076" s="36"/>
      <c r="D11076" s="37"/>
      <c r="E11076" s="36"/>
      <c r="F11076" s="42"/>
      <c r="G11076" s="42"/>
      <c r="H11076" s="42"/>
      <c r="AG11076" s="19"/>
    </row>
    <row r="11077" spans="1:33" ht="14.5" x14ac:dyDescent="0.35">
      <c r="A11077" s="34"/>
      <c r="B11077" s="35"/>
      <c r="C11077" s="36"/>
      <c r="D11077" s="37"/>
      <c r="E11077" s="36"/>
      <c r="F11077" s="42"/>
      <c r="G11077" s="42"/>
      <c r="H11077" s="42"/>
      <c r="AG11077" s="19"/>
    </row>
    <row r="11078" spans="1:33" ht="14.5" x14ac:dyDescent="0.35">
      <c r="A11078" s="34"/>
      <c r="B11078" s="35"/>
      <c r="C11078" s="36"/>
      <c r="D11078" s="37"/>
      <c r="E11078" s="36"/>
      <c r="F11078" s="42"/>
      <c r="G11078" s="42"/>
      <c r="H11078" s="42"/>
      <c r="AG11078" s="19"/>
    </row>
    <row r="11079" spans="1:33" ht="14.5" x14ac:dyDescent="0.35">
      <c r="A11079" s="34"/>
      <c r="B11079" s="35"/>
      <c r="C11079" s="36"/>
      <c r="D11079" s="37"/>
      <c r="E11079" s="36"/>
      <c r="F11079" s="42"/>
      <c r="G11079" s="42"/>
      <c r="H11079" s="42"/>
      <c r="AG11079" s="19"/>
    </row>
    <row r="11080" spans="1:33" ht="14.5" x14ac:dyDescent="0.35">
      <c r="A11080" s="34"/>
      <c r="B11080" s="35"/>
      <c r="C11080" s="36"/>
      <c r="D11080" s="37"/>
      <c r="E11080" s="36"/>
      <c r="F11080" s="42"/>
      <c r="G11080" s="42"/>
      <c r="H11080" s="42"/>
      <c r="AG11080" s="19"/>
    </row>
    <row r="11081" spans="1:33" ht="14.5" x14ac:dyDescent="0.35">
      <c r="A11081" s="34"/>
      <c r="B11081" s="35"/>
      <c r="C11081" s="36"/>
      <c r="D11081" s="37"/>
      <c r="E11081" s="36"/>
      <c r="F11081" s="42"/>
      <c r="G11081" s="42"/>
      <c r="H11081" s="42"/>
      <c r="AG11081" s="19"/>
    </row>
    <row r="11082" spans="1:33" ht="14.5" x14ac:dyDescent="0.35">
      <c r="A11082" s="34"/>
      <c r="B11082" s="35"/>
      <c r="C11082" s="36"/>
      <c r="D11082" s="37"/>
      <c r="E11082" s="36"/>
      <c r="F11082" s="42"/>
      <c r="G11082" s="42"/>
      <c r="H11082" s="42"/>
      <c r="AG11082" s="19"/>
    </row>
    <row r="11083" spans="1:33" ht="14.5" x14ac:dyDescent="0.35">
      <c r="A11083" s="34"/>
      <c r="B11083" s="35"/>
      <c r="C11083" s="36"/>
      <c r="D11083" s="37"/>
      <c r="E11083" s="36"/>
      <c r="F11083" s="42"/>
      <c r="G11083" s="42"/>
      <c r="H11083" s="42"/>
      <c r="AG11083" s="19"/>
    </row>
    <row r="11084" spans="1:33" ht="14.5" x14ac:dyDescent="0.35">
      <c r="A11084" s="34"/>
      <c r="B11084" s="35"/>
      <c r="C11084" s="36"/>
      <c r="D11084" s="37"/>
      <c r="E11084" s="36"/>
      <c r="F11084" s="42"/>
      <c r="G11084" s="42"/>
      <c r="H11084" s="42"/>
      <c r="AG11084" s="19"/>
    </row>
    <row r="11085" spans="1:33" ht="14.5" x14ac:dyDescent="0.35">
      <c r="A11085" s="34"/>
      <c r="B11085" s="35"/>
      <c r="C11085" s="36"/>
      <c r="D11085" s="37"/>
      <c r="E11085" s="36"/>
      <c r="F11085" s="42"/>
      <c r="G11085" s="42"/>
      <c r="H11085" s="42"/>
      <c r="AG11085" s="19"/>
    </row>
    <row r="11086" spans="1:33" ht="14.5" x14ac:dyDescent="0.35">
      <c r="A11086" s="34"/>
      <c r="B11086" s="35"/>
      <c r="C11086" s="36"/>
      <c r="D11086" s="37"/>
      <c r="E11086" s="36"/>
      <c r="F11086" s="42"/>
      <c r="G11086" s="42"/>
      <c r="H11086" s="42"/>
      <c r="AG11086" s="19"/>
    </row>
    <row r="11087" spans="1:33" ht="14.5" x14ac:dyDescent="0.35">
      <c r="A11087" s="34"/>
      <c r="B11087" s="35"/>
      <c r="C11087" s="36"/>
      <c r="D11087" s="37"/>
      <c r="E11087" s="36"/>
      <c r="F11087" s="42"/>
      <c r="G11087" s="42"/>
      <c r="H11087" s="42"/>
      <c r="AG11087" s="19"/>
    </row>
    <row r="11088" spans="1:33" ht="14.5" x14ac:dyDescent="0.35">
      <c r="A11088" s="34"/>
      <c r="B11088" s="35"/>
      <c r="C11088" s="36"/>
      <c r="D11088" s="37"/>
      <c r="E11088" s="36"/>
      <c r="F11088" s="42"/>
      <c r="G11088" s="42"/>
      <c r="H11088" s="42"/>
      <c r="AG11088" s="19"/>
    </row>
    <row r="11089" spans="1:33" ht="14.5" x14ac:dyDescent="0.35">
      <c r="A11089" s="34"/>
      <c r="B11089" s="35"/>
      <c r="C11089" s="36"/>
      <c r="D11089" s="37"/>
      <c r="E11089" s="36"/>
      <c r="F11089" s="42"/>
      <c r="G11089" s="42"/>
      <c r="H11089" s="42"/>
      <c r="AG11089" s="19"/>
    </row>
    <row r="11090" spans="1:33" ht="14.5" x14ac:dyDescent="0.35">
      <c r="A11090" s="34"/>
      <c r="B11090" s="35"/>
      <c r="C11090" s="36"/>
      <c r="D11090" s="37"/>
      <c r="E11090" s="36"/>
      <c r="F11090" s="42"/>
      <c r="G11090" s="42"/>
      <c r="H11090" s="42"/>
      <c r="AG11090" s="19"/>
    </row>
    <row r="11091" spans="1:33" ht="14.5" x14ac:dyDescent="0.35">
      <c r="A11091" s="34"/>
      <c r="B11091" s="35"/>
      <c r="C11091" s="36"/>
      <c r="D11091" s="37"/>
      <c r="E11091" s="36"/>
      <c r="F11091" s="42"/>
      <c r="G11091" s="42"/>
      <c r="H11091" s="42"/>
      <c r="AG11091" s="19"/>
    </row>
    <row r="11092" spans="1:33" ht="14.5" x14ac:dyDescent="0.35">
      <c r="A11092" s="34"/>
      <c r="B11092" s="35"/>
      <c r="C11092" s="36"/>
      <c r="D11092" s="37"/>
      <c r="E11092" s="36"/>
      <c r="F11092" s="42"/>
      <c r="G11092" s="42"/>
      <c r="H11092" s="42"/>
      <c r="AG11092" s="19"/>
    </row>
    <row r="11093" spans="1:33" ht="14.5" x14ac:dyDescent="0.35">
      <c r="A11093" s="34"/>
      <c r="B11093" s="35"/>
      <c r="C11093" s="36"/>
      <c r="D11093" s="37"/>
      <c r="E11093" s="36"/>
      <c r="F11093" s="42"/>
      <c r="G11093" s="42"/>
      <c r="H11093" s="42"/>
      <c r="AG11093" s="19"/>
    </row>
    <row r="11094" spans="1:33" ht="14.5" x14ac:dyDescent="0.35">
      <c r="A11094" s="34"/>
      <c r="B11094" s="35"/>
      <c r="C11094" s="36"/>
      <c r="D11094" s="37"/>
      <c r="E11094" s="36"/>
      <c r="F11094" s="42"/>
      <c r="G11094" s="42"/>
      <c r="H11094" s="42"/>
      <c r="AG11094" s="19"/>
    </row>
    <row r="11095" spans="1:33" ht="14.5" x14ac:dyDescent="0.35">
      <c r="A11095" s="34"/>
      <c r="B11095" s="35"/>
      <c r="C11095" s="36"/>
      <c r="D11095" s="37"/>
      <c r="E11095" s="36"/>
      <c r="F11095" s="42"/>
      <c r="G11095" s="42"/>
      <c r="H11095" s="42"/>
      <c r="AG11095" s="19"/>
    </row>
    <row r="11096" spans="1:33" ht="14.5" x14ac:dyDescent="0.35">
      <c r="A11096" s="34"/>
      <c r="B11096" s="35"/>
      <c r="C11096" s="36"/>
      <c r="D11096" s="37"/>
      <c r="E11096" s="36"/>
      <c r="F11096" s="42"/>
      <c r="G11096" s="42"/>
      <c r="H11096" s="42"/>
      <c r="AG11096" s="19"/>
    </row>
    <row r="11097" spans="1:33" ht="14.5" x14ac:dyDescent="0.35">
      <c r="A11097" s="34"/>
      <c r="B11097" s="35"/>
      <c r="C11097" s="36"/>
      <c r="D11097" s="37"/>
      <c r="E11097" s="36"/>
      <c r="F11097" s="42"/>
      <c r="G11097" s="42"/>
      <c r="H11097" s="42"/>
      <c r="AG11097" s="19"/>
    </row>
    <row r="11098" spans="1:33" ht="14.5" x14ac:dyDescent="0.35">
      <c r="A11098" s="34"/>
      <c r="B11098" s="35"/>
      <c r="C11098" s="36"/>
      <c r="D11098" s="37"/>
      <c r="E11098" s="36"/>
      <c r="F11098" s="42"/>
      <c r="G11098" s="42"/>
      <c r="H11098" s="42"/>
      <c r="AG11098" s="19"/>
    </row>
    <row r="11099" spans="1:33" ht="14.5" x14ac:dyDescent="0.35">
      <c r="A11099" s="34"/>
      <c r="B11099" s="35"/>
      <c r="C11099" s="36"/>
      <c r="D11099" s="37"/>
      <c r="E11099" s="36"/>
      <c r="F11099" s="42"/>
      <c r="G11099" s="42"/>
      <c r="H11099" s="42"/>
      <c r="AG11099" s="19"/>
    </row>
    <row r="11100" spans="1:33" ht="14.5" x14ac:dyDescent="0.35">
      <c r="A11100" s="34"/>
      <c r="B11100" s="35"/>
      <c r="C11100" s="36"/>
      <c r="D11100" s="37"/>
      <c r="E11100" s="36"/>
      <c r="F11100" s="42"/>
      <c r="G11100" s="42"/>
      <c r="H11100" s="42"/>
      <c r="AG11100" s="19"/>
    </row>
    <row r="11101" spans="1:33" ht="14.5" x14ac:dyDescent="0.35">
      <c r="A11101" s="34"/>
      <c r="B11101" s="35"/>
      <c r="C11101" s="36"/>
      <c r="D11101" s="37"/>
      <c r="E11101" s="36"/>
      <c r="F11101" s="42"/>
      <c r="G11101" s="42"/>
      <c r="H11101" s="42"/>
      <c r="AG11101" s="19"/>
    </row>
    <row r="11102" spans="1:33" ht="14.5" x14ac:dyDescent="0.35">
      <c r="A11102" s="34"/>
      <c r="B11102" s="35"/>
      <c r="C11102" s="36"/>
      <c r="D11102" s="37"/>
      <c r="E11102" s="36"/>
      <c r="F11102" s="42"/>
      <c r="G11102" s="42"/>
      <c r="H11102" s="42"/>
      <c r="AG11102" s="19"/>
    </row>
    <row r="11103" spans="1:33" ht="14.5" x14ac:dyDescent="0.35">
      <c r="A11103" s="34"/>
      <c r="B11103" s="35"/>
      <c r="C11103" s="36"/>
      <c r="D11103" s="37"/>
      <c r="E11103" s="36"/>
      <c r="F11103" s="42"/>
      <c r="G11103" s="42"/>
      <c r="H11103" s="42"/>
      <c r="AG11103" s="19"/>
    </row>
    <row r="11104" spans="1:33" ht="14.5" x14ac:dyDescent="0.35">
      <c r="A11104" s="34"/>
      <c r="B11104" s="35"/>
      <c r="C11104" s="36"/>
      <c r="D11104" s="37"/>
      <c r="E11104" s="36"/>
      <c r="F11104" s="42"/>
      <c r="G11104" s="42"/>
      <c r="H11104" s="42"/>
      <c r="AG11104" s="19"/>
    </row>
    <row r="11105" spans="1:33" ht="14.5" x14ac:dyDescent="0.35">
      <c r="A11105" s="34"/>
      <c r="B11105" s="35"/>
      <c r="C11105" s="36"/>
      <c r="D11105" s="37"/>
      <c r="E11105" s="36"/>
      <c r="F11105" s="42"/>
      <c r="G11105" s="42"/>
      <c r="H11105" s="42"/>
      <c r="AG11105" s="19"/>
    </row>
    <row r="11106" spans="1:33" ht="14.5" x14ac:dyDescent="0.35">
      <c r="A11106" s="34"/>
      <c r="B11106" s="35"/>
      <c r="C11106" s="36"/>
      <c r="D11106" s="37"/>
      <c r="E11106" s="36"/>
      <c r="F11106" s="42"/>
      <c r="G11106" s="42"/>
      <c r="H11106" s="42"/>
      <c r="AG11106" s="19"/>
    </row>
    <row r="11107" spans="1:33" ht="14.5" x14ac:dyDescent="0.35">
      <c r="A11107" s="34"/>
      <c r="B11107" s="35"/>
      <c r="C11107" s="36"/>
      <c r="D11107" s="37"/>
      <c r="E11107" s="36"/>
      <c r="F11107" s="42"/>
      <c r="G11107" s="42"/>
      <c r="H11107" s="42"/>
      <c r="AG11107" s="19"/>
    </row>
    <row r="11108" spans="1:33" ht="14.5" x14ac:dyDescent="0.35">
      <c r="A11108" s="34"/>
      <c r="B11108" s="35"/>
      <c r="C11108" s="36"/>
      <c r="D11108" s="37"/>
      <c r="E11108" s="36"/>
      <c r="F11108" s="42"/>
      <c r="G11108" s="42"/>
      <c r="H11108" s="42"/>
      <c r="AG11108" s="19"/>
    </row>
    <row r="11109" spans="1:33" ht="14.5" x14ac:dyDescent="0.35">
      <c r="A11109" s="34"/>
      <c r="B11109" s="35"/>
      <c r="C11109" s="36"/>
      <c r="D11109" s="37"/>
      <c r="E11109" s="36"/>
      <c r="F11109" s="42"/>
      <c r="G11109" s="42"/>
      <c r="H11109" s="42"/>
      <c r="AG11109" s="19"/>
    </row>
    <row r="11110" spans="1:33" ht="14.5" x14ac:dyDescent="0.35">
      <c r="A11110" s="34"/>
      <c r="B11110" s="35"/>
      <c r="C11110" s="36"/>
      <c r="D11110" s="37"/>
      <c r="E11110" s="36"/>
      <c r="F11110" s="42"/>
      <c r="G11110" s="42"/>
      <c r="H11110" s="42"/>
      <c r="AG11110" s="19"/>
    </row>
    <row r="11111" spans="1:33" ht="14.5" x14ac:dyDescent="0.35">
      <c r="A11111" s="34"/>
      <c r="B11111" s="35"/>
      <c r="C11111" s="36"/>
      <c r="D11111" s="37"/>
      <c r="E11111" s="36"/>
      <c r="F11111" s="42"/>
      <c r="G11111" s="42"/>
      <c r="H11111" s="42"/>
      <c r="AG11111" s="19"/>
    </row>
    <row r="11112" spans="1:33" ht="14.5" x14ac:dyDescent="0.35">
      <c r="A11112" s="34"/>
      <c r="B11112" s="35"/>
      <c r="C11112" s="36"/>
      <c r="D11112" s="37"/>
      <c r="E11112" s="36"/>
      <c r="F11112" s="42"/>
      <c r="G11112" s="42"/>
      <c r="H11112" s="42"/>
      <c r="AG11112" s="19"/>
    </row>
    <row r="11113" spans="1:33" ht="14.5" x14ac:dyDescent="0.35">
      <c r="A11113" s="34"/>
      <c r="B11113" s="35"/>
      <c r="C11113" s="36"/>
      <c r="D11113" s="37"/>
      <c r="E11113" s="36"/>
      <c r="F11113" s="42"/>
      <c r="G11113" s="42"/>
      <c r="H11113" s="42"/>
      <c r="AG11113" s="19"/>
    </row>
    <row r="11114" spans="1:33" ht="14.5" x14ac:dyDescent="0.35">
      <c r="A11114" s="34"/>
      <c r="B11114" s="35"/>
      <c r="C11114" s="36"/>
      <c r="D11114" s="37"/>
      <c r="E11114" s="36"/>
      <c r="F11114" s="42"/>
      <c r="G11114" s="42"/>
      <c r="H11114" s="42"/>
      <c r="AG11114" s="19"/>
    </row>
    <row r="11115" spans="1:33" ht="14.5" x14ac:dyDescent="0.35">
      <c r="A11115" s="34"/>
      <c r="B11115" s="35"/>
      <c r="C11115" s="36"/>
      <c r="D11115" s="37"/>
      <c r="E11115" s="36"/>
      <c r="F11115" s="42"/>
      <c r="G11115" s="42"/>
      <c r="H11115" s="42"/>
      <c r="AG11115" s="19"/>
    </row>
    <row r="11116" spans="1:33" ht="14.5" x14ac:dyDescent="0.35">
      <c r="A11116" s="34"/>
      <c r="B11116" s="35"/>
      <c r="C11116" s="36"/>
      <c r="D11116" s="37"/>
      <c r="E11116" s="36"/>
      <c r="F11116" s="42"/>
      <c r="G11116" s="42"/>
      <c r="H11116" s="42"/>
      <c r="AG11116" s="19"/>
    </row>
    <row r="11117" spans="1:33" ht="14.5" x14ac:dyDescent="0.35">
      <c r="A11117" s="34"/>
      <c r="B11117" s="35"/>
      <c r="C11117" s="36"/>
      <c r="D11117" s="37"/>
      <c r="E11117" s="36"/>
      <c r="F11117" s="42"/>
      <c r="G11117" s="42"/>
      <c r="H11117" s="42"/>
      <c r="AG11117" s="19"/>
    </row>
    <row r="11118" spans="1:33" ht="14.5" x14ac:dyDescent="0.35">
      <c r="A11118" s="34"/>
      <c r="B11118" s="35"/>
      <c r="C11118" s="36"/>
      <c r="D11118" s="37"/>
      <c r="E11118" s="36"/>
      <c r="F11118" s="42"/>
      <c r="G11118" s="42"/>
      <c r="H11118" s="42"/>
      <c r="AG11118" s="19"/>
    </row>
    <row r="11119" spans="1:33" ht="14.5" x14ac:dyDescent="0.35">
      <c r="A11119" s="34"/>
      <c r="B11119" s="35"/>
      <c r="C11119" s="36"/>
      <c r="D11119" s="37"/>
      <c r="E11119" s="36"/>
      <c r="F11119" s="42"/>
      <c r="G11119" s="42"/>
      <c r="H11119" s="42"/>
      <c r="AG11119" s="19"/>
    </row>
    <row r="11120" spans="1:33" ht="14.5" x14ac:dyDescent="0.35">
      <c r="A11120" s="34"/>
      <c r="B11120" s="35"/>
      <c r="C11120" s="36"/>
      <c r="D11120" s="37"/>
      <c r="E11120" s="36"/>
      <c r="F11120" s="42"/>
      <c r="G11120" s="42"/>
      <c r="H11120" s="42"/>
      <c r="AG11120" s="19"/>
    </row>
    <row r="11121" spans="1:33" ht="14.5" x14ac:dyDescent="0.35">
      <c r="A11121" s="34"/>
      <c r="B11121" s="35"/>
      <c r="C11121" s="36"/>
      <c r="D11121" s="37"/>
      <c r="E11121" s="36"/>
      <c r="F11121" s="42"/>
      <c r="G11121" s="42"/>
      <c r="H11121" s="42"/>
      <c r="AG11121" s="19"/>
    </row>
    <row r="11122" spans="1:33" ht="14.5" x14ac:dyDescent="0.35">
      <c r="A11122" s="34"/>
      <c r="B11122" s="35"/>
      <c r="C11122" s="36"/>
      <c r="D11122" s="37"/>
      <c r="E11122" s="36"/>
      <c r="F11122" s="42"/>
      <c r="G11122" s="42"/>
      <c r="H11122" s="42"/>
      <c r="AG11122" s="19"/>
    </row>
    <row r="11123" spans="1:33" ht="14.5" x14ac:dyDescent="0.35">
      <c r="A11123" s="34"/>
      <c r="B11123" s="35"/>
      <c r="C11123" s="36"/>
      <c r="D11123" s="37"/>
      <c r="E11123" s="36"/>
      <c r="F11123" s="42"/>
      <c r="G11123" s="42"/>
      <c r="H11123" s="42"/>
      <c r="AG11123" s="19"/>
    </row>
    <row r="11124" spans="1:33" ht="14.5" x14ac:dyDescent="0.35">
      <c r="A11124" s="34"/>
      <c r="B11124" s="35"/>
      <c r="C11124" s="36"/>
      <c r="D11124" s="37"/>
      <c r="E11124" s="36"/>
      <c r="F11124" s="42"/>
      <c r="G11124" s="42"/>
      <c r="H11124" s="42"/>
      <c r="AG11124" s="19"/>
    </row>
    <row r="11125" spans="1:33" ht="14.5" x14ac:dyDescent="0.35">
      <c r="A11125" s="34"/>
      <c r="B11125" s="35"/>
      <c r="C11125" s="36"/>
      <c r="D11125" s="37"/>
      <c r="E11125" s="36"/>
      <c r="F11125" s="42"/>
      <c r="G11125" s="42"/>
      <c r="H11125" s="42"/>
      <c r="AG11125" s="19"/>
    </row>
    <row r="11126" spans="1:33" ht="14.5" x14ac:dyDescent="0.35">
      <c r="A11126" s="34"/>
      <c r="B11126" s="35"/>
      <c r="C11126" s="36"/>
      <c r="D11126" s="37"/>
      <c r="E11126" s="36"/>
      <c r="F11126" s="42"/>
      <c r="G11126" s="42"/>
      <c r="H11126" s="42"/>
      <c r="AG11126" s="19"/>
    </row>
    <row r="11127" spans="1:33" ht="14.5" x14ac:dyDescent="0.35">
      <c r="A11127" s="34"/>
      <c r="B11127" s="35"/>
      <c r="C11127" s="36"/>
      <c r="D11127" s="37"/>
      <c r="E11127" s="36"/>
      <c r="F11127" s="42"/>
      <c r="G11127" s="42"/>
      <c r="H11127" s="42"/>
      <c r="AG11127" s="19"/>
    </row>
    <row r="11128" spans="1:33" ht="14.5" x14ac:dyDescent="0.35">
      <c r="A11128" s="34"/>
      <c r="B11128" s="35"/>
      <c r="C11128" s="36"/>
      <c r="D11128" s="37"/>
      <c r="E11128" s="36"/>
      <c r="F11128" s="42"/>
      <c r="G11128" s="42"/>
      <c r="H11128" s="42"/>
      <c r="AG11128" s="19"/>
    </row>
    <row r="11129" spans="1:33" ht="14.5" x14ac:dyDescent="0.35">
      <c r="A11129" s="34"/>
      <c r="B11129" s="35"/>
      <c r="C11129" s="36"/>
      <c r="D11129" s="37"/>
      <c r="E11129" s="36"/>
      <c r="F11129" s="42"/>
      <c r="G11129" s="42"/>
      <c r="H11129" s="42"/>
      <c r="AG11129" s="19"/>
    </row>
    <row r="11130" spans="1:33" ht="14.5" x14ac:dyDescent="0.35">
      <c r="A11130" s="34"/>
      <c r="B11130" s="35"/>
      <c r="C11130" s="36"/>
      <c r="D11130" s="37"/>
      <c r="E11130" s="36"/>
      <c r="F11130" s="42"/>
      <c r="G11130" s="42"/>
      <c r="H11130" s="42"/>
      <c r="AG11130" s="19"/>
    </row>
    <row r="11131" spans="1:33" ht="14.5" x14ac:dyDescent="0.35">
      <c r="A11131" s="34"/>
      <c r="B11131" s="35"/>
      <c r="C11131" s="36"/>
      <c r="D11131" s="37"/>
      <c r="E11131" s="36"/>
      <c r="F11131" s="42"/>
      <c r="G11131" s="42"/>
      <c r="H11131" s="42"/>
      <c r="AG11131" s="19"/>
    </row>
    <row r="11132" spans="1:33" ht="14.5" x14ac:dyDescent="0.35">
      <c r="A11132" s="34"/>
      <c r="B11132" s="35"/>
      <c r="C11132" s="36"/>
      <c r="D11132" s="37"/>
      <c r="E11132" s="36"/>
      <c r="F11132" s="42"/>
      <c r="G11132" s="42"/>
      <c r="H11132" s="42"/>
      <c r="AG11132" s="19"/>
    </row>
    <row r="11133" spans="1:33" ht="14.5" x14ac:dyDescent="0.35">
      <c r="A11133" s="34"/>
      <c r="B11133" s="35"/>
      <c r="C11133" s="36"/>
      <c r="D11133" s="37"/>
      <c r="E11133" s="36"/>
      <c r="F11133" s="42"/>
      <c r="G11133" s="42"/>
      <c r="H11133" s="42"/>
      <c r="AG11133" s="19"/>
    </row>
    <row r="11134" spans="1:33" ht="14.5" x14ac:dyDescent="0.35">
      <c r="A11134" s="34"/>
      <c r="B11134" s="35"/>
      <c r="C11134" s="36"/>
      <c r="D11134" s="37"/>
      <c r="E11134" s="36"/>
      <c r="F11134" s="42"/>
      <c r="G11134" s="42"/>
      <c r="H11134" s="42"/>
      <c r="AG11134" s="19"/>
    </row>
    <row r="11135" spans="1:33" ht="14.5" x14ac:dyDescent="0.35">
      <c r="A11135" s="34"/>
      <c r="B11135" s="35"/>
      <c r="C11135" s="36"/>
      <c r="D11135" s="37"/>
      <c r="E11135" s="36"/>
      <c r="F11135" s="42"/>
      <c r="G11135" s="42"/>
      <c r="H11135" s="42"/>
      <c r="AG11135" s="19"/>
    </row>
    <row r="11136" spans="1:33" ht="14.5" x14ac:dyDescent="0.35">
      <c r="A11136" s="34"/>
      <c r="B11136" s="35"/>
      <c r="C11136" s="36"/>
      <c r="D11136" s="37"/>
      <c r="E11136" s="36"/>
      <c r="F11136" s="42"/>
      <c r="G11136" s="42"/>
      <c r="H11136" s="42"/>
      <c r="AG11136" s="19"/>
    </row>
    <row r="11137" spans="1:33" ht="14.5" x14ac:dyDescent="0.35">
      <c r="A11137" s="34"/>
      <c r="B11137" s="35"/>
      <c r="C11137" s="36"/>
      <c r="D11137" s="37"/>
      <c r="E11137" s="36"/>
      <c r="F11137" s="42"/>
      <c r="G11137" s="42"/>
      <c r="H11137" s="42"/>
      <c r="AG11137" s="19"/>
    </row>
    <row r="11138" spans="1:33" ht="14.5" x14ac:dyDescent="0.35">
      <c r="A11138" s="34"/>
      <c r="B11138" s="35"/>
      <c r="C11138" s="36"/>
      <c r="D11138" s="37"/>
      <c r="E11138" s="36"/>
      <c r="F11138" s="42"/>
      <c r="G11138" s="42"/>
      <c r="H11138" s="42"/>
      <c r="AG11138" s="19"/>
    </row>
    <row r="11139" spans="1:33" ht="14.5" x14ac:dyDescent="0.35">
      <c r="A11139" s="34"/>
      <c r="B11139" s="35"/>
      <c r="C11139" s="36"/>
      <c r="D11139" s="37"/>
      <c r="E11139" s="36"/>
      <c r="F11139" s="42"/>
      <c r="G11139" s="42"/>
      <c r="H11139" s="42"/>
      <c r="AG11139" s="19"/>
    </row>
    <row r="11140" spans="1:33" ht="14.5" x14ac:dyDescent="0.35">
      <c r="A11140" s="34"/>
      <c r="B11140" s="35"/>
      <c r="C11140" s="36"/>
      <c r="D11140" s="37"/>
      <c r="E11140" s="36"/>
      <c r="F11140" s="42"/>
      <c r="G11140" s="42"/>
      <c r="H11140" s="42"/>
      <c r="AG11140" s="19"/>
    </row>
    <row r="11141" spans="1:33" ht="14.5" x14ac:dyDescent="0.35">
      <c r="A11141" s="34"/>
      <c r="B11141" s="35"/>
      <c r="C11141" s="36"/>
      <c r="D11141" s="37"/>
      <c r="E11141" s="36"/>
      <c r="F11141" s="42"/>
      <c r="G11141" s="42"/>
      <c r="H11141" s="42"/>
      <c r="AG11141" s="19"/>
    </row>
    <row r="11142" spans="1:33" ht="14.5" x14ac:dyDescent="0.35">
      <c r="A11142" s="34"/>
      <c r="B11142" s="35"/>
      <c r="C11142" s="36"/>
      <c r="D11142" s="37"/>
      <c r="E11142" s="36"/>
      <c r="F11142" s="42"/>
      <c r="G11142" s="42"/>
      <c r="H11142" s="42"/>
      <c r="AG11142" s="19"/>
    </row>
    <row r="11143" spans="1:33" ht="14.5" x14ac:dyDescent="0.35">
      <c r="A11143" s="34"/>
      <c r="B11143" s="35"/>
      <c r="C11143" s="36"/>
      <c r="D11143" s="37"/>
      <c r="E11143" s="36"/>
      <c r="F11143" s="42"/>
      <c r="G11143" s="42"/>
      <c r="H11143" s="42"/>
      <c r="AG11143" s="19"/>
    </row>
    <row r="11144" spans="1:33" ht="14.5" x14ac:dyDescent="0.35">
      <c r="A11144" s="34"/>
      <c r="B11144" s="35"/>
      <c r="C11144" s="36"/>
      <c r="D11144" s="37"/>
      <c r="E11144" s="36"/>
      <c r="F11144" s="42"/>
      <c r="G11144" s="42"/>
      <c r="H11144" s="42"/>
      <c r="AG11144" s="19"/>
    </row>
    <row r="11145" spans="1:33" ht="14.5" x14ac:dyDescent="0.35">
      <c r="A11145" s="34"/>
      <c r="B11145" s="35"/>
      <c r="C11145" s="36"/>
      <c r="D11145" s="37"/>
      <c r="E11145" s="36"/>
      <c r="F11145" s="42"/>
      <c r="G11145" s="42"/>
      <c r="H11145" s="42"/>
      <c r="AG11145" s="19"/>
    </row>
    <row r="11146" spans="1:33" ht="14.5" x14ac:dyDescent="0.35">
      <c r="A11146" s="34"/>
      <c r="B11146" s="35"/>
      <c r="C11146" s="36"/>
      <c r="D11146" s="37"/>
      <c r="E11146" s="36"/>
      <c r="F11146" s="42"/>
      <c r="G11146" s="42"/>
      <c r="H11146" s="42"/>
      <c r="AG11146" s="19"/>
    </row>
    <row r="11147" spans="1:33" ht="14.5" x14ac:dyDescent="0.35">
      <c r="A11147" s="34"/>
      <c r="B11147" s="35"/>
      <c r="C11147" s="36"/>
      <c r="D11147" s="37"/>
      <c r="E11147" s="36"/>
      <c r="F11147" s="42"/>
      <c r="G11147" s="42"/>
      <c r="H11147" s="42"/>
      <c r="AG11147" s="19"/>
    </row>
    <row r="11148" spans="1:33" ht="14.5" x14ac:dyDescent="0.35">
      <c r="A11148" s="34"/>
      <c r="B11148" s="35"/>
      <c r="C11148" s="36"/>
      <c r="D11148" s="37"/>
      <c r="E11148" s="36"/>
      <c r="F11148" s="42"/>
      <c r="G11148" s="42"/>
      <c r="H11148" s="42"/>
      <c r="AG11148" s="19"/>
    </row>
    <row r="11149" spans="1:33" ht="14.5" x14ac:dyDescent="0.35">
      <c r="A11149" s="34"/>
      <c r="B11149" s="35"/>
      <c r="C11149" s="36"/>
      <c r="D11149" s="37"/>
      <c r="E11149" s="36"/>
      <c r="F11149" s="42"/>
      <c r="G11149" s="42"/>
      <c r="H11149" s="42"/>
      <c r="AG11149" s="19"/>
    </row>
    <row r="11150" spans="1:33" ht="14.5" x14ac:dyDescent="0.35">
      <c r="A11150" s="34"/>
      <c r="B11150" s="35"/>
      <c r="C11150" s="36"/>
      <c r="D11150" s="37"/>
      <c r="E11150" s="36"/>
      <c r="F11150" s="42"/>
      <c r="G11150" s="42"/>
      <c r="H11150" s="42"/>
      <c r="AG11150" s="19"/>
    </row>
    <row r="11151" spans="1:33" ht="14.5" x14ac:dyDescent="0.35">
      <c r="A11151" s="34"/>
      <c r="B11151" s="35"/>
      <c r="C11151" s="36"/>
      <c r="D11151" s="37"/>
      <c r="E11151" s="36"/>
      <c r="F11151" s="42"/>
      <c r="G11151" s="42"/>
      <c r="H11151" s="42"/>
      <c r="AG11151" s="19"/>
    </row>
    <row r="11152" spans="1:33" ht="14.5" x14ac:dyDescent="0.35">
      <c r="A11152" s="34"/>
      <c r="B11152" s="35"/>
      <c r="C11152" s="36"/>
      <c r="D11152" s="37"/>
      <c r="E11152" s="36"/>
      <c r="F11152" s="42"/>
      <c r="G11152" s="42"/>
      <c r="H11152" s="42"/>
      <c r="AG11152" s="19"/>
    </row>
    <row r="11153" spans="1:33" ht="14.5" x14ac:dyDescent="0.35">
      <c r="A11153" s="34"/>
      <c r="B11153" s="35"/>
      <c r="C11153" s="36"/>
      <c r="D11153" s="37"/>
      <c r="E11153" s="36"/>
      <c r="F11153" s="42"/>
      <c r="G11153" s="42"/>
      <c r="H11153" s="42"/>
      <c r="AG11153" s="19"/>
    </row>
    <row r="11154" spans="1:33" ht="14.5" x14ac:dyDescent="0.35">
      <c r="A11154" s="34"/>
      <c r="B11154" s="35"/>
      <c r="C11154" s="36"/>
      <c r="D11154" s="37"/>
      <c r="E11154" s="36"/>
      <c r="F11154" s="42"/>
      <c r="G11154" s="42"/>
      <c r="H11154" s="42"/>
      <c r="AG11154" s="19"/>
    </row>
    <row r="11155" spans="1:33" ht="14.5" x14ac:dyDescent="0.35">
      <c r="A11155" s="34"/>
      <c r="B11155" s="35"/>
      <c r="C11155" s="36"/>
      <c r="D11155" s="37"/>
      <c r="E11155" s="36"/>
      <c r="F11155" s="42"/>
      <c r="G11155" s="42"/>
      <c r="H11155" s="42"/>
      <c r="AG11155" s="19"/>
    </row>
    <row r="11156" spans="1:33" ht="14.5" x14ac:dyDescent="0.35">
      <c r="A11156" s="34"/>
      <c r="B11156" s="35"/>
      <c r="C11156" s="36"/>
      <c r="D11156" s="37"/>
      <c r="E11156" s="36"/>
      <c r="F11156" s="42"/>
      <c r="G11156" s="42"/>
      <c r="H11156" s="42"/>
      <c r="AG11156" s="19"/>
    </row>
    <row r="11157" spans="1:33" ht="14.5" x14ac:dyDescent="0.35">
      <c r="A11157" s="34"/>
      <c r="B11157" s="35"/>
      <c r="C11157" s="36"/>
      <c r="D11157" s="37"/>
      <c r="E11157" s="36"/>
      <c r="F11157" s="42"/>
      <c r="G11157" s="42"/>
      <c r="H11157" s="42"/>
      <c r="AG11157" s="19"/>
    </row>
    <row r="11158" spans="1:33" ht="14.5" x14ac:dyDescent="0.35">
      <c r="A11158" s="34"/>
      <c r="B11158" s="35"/>
      <c r="C11158" s="36"/>
      <c r="D11158" s="37"/>
      <c r="E11158" s="36"/>
      <c r="F11158" s="42"/>
      <c r="G11158" s="42"/>
      <c r="H11158" s="42"/>
      <c r="AG11158" s="19"/>
    </row>
    <row r="11159" spans="1:33" ht="14.5" x14ac:dyDescent="0.35">
      <c r="A11159" s="34"/>
      <c r="B11159" s="35"/>
      <c r="C11159" s="36"/>
      <c r="D11159" s="37"/>
      <c r="E11159" s="36"/>
      <c r="F11159" s="42"/>
      <c r="G11159" s="42"/>
      <c r="H11159" s="42"/>
      <c r="AG11159" s="19"/>
    </row>
    <row r="11160" spans="1:33" ht="14.5" x14ac:dyDescent="0.35">
      <c r="A11160" s="34"/>
      <c r="B11160" s="35"/>
      <c r="C11160" s="36"/>
      <c r="D11160" s="37"/>
      <c r="E11160" s="36"/>
      <c r="F11160" s="42"/>
      <c r="G11160" s="42"/>
      <c r="H11160" s="42"/>
      <c r="AG11160" s="19"/>
    </row>
    <row r="11161" spans="1:33" ht="14.5" x14ac:dyDescent="0.35">
      <c r="A11161" s="34"/>
      <c r="B11161" s="35"/>
      <c r="C11161" s="36"/>
      <c r="D11161" s="37"/>
      <c r="E11161" s="36"/>
      <c r="F11161" s="42"/>
      <c r="G11161" s="42"/>
      <c r="H11161" s="42"/>
      <c r="AG11161" s="19"/>
    </row>
    <row r="11162" spans="1:33" ht="14.5" x14ac:dyDescent="0.35">
      <c r="A11162" s="34"/>
      <c r="B11162" s="35"/>
      <c r="C11162" s="36"/>
      <c r="D11162" s="37"/>
      <c r="E11162" s="36"/>
      <c r="F11162" s="42"/>
      <c r="G11162" s="42"/>
      <c r="H11162" s="42"/>
      <c r="AG11162" s="19"/>
    </row>
    <row r="11163" spans="1:33" ht="14.5" x14ac:dyDescent="0.35">
      <c r="A11163" s="34"/>
      <c r="B11163" s="35"/>
      <c r="C11163" s="36"/>
      <c r="D11163" s="37"/>
      <c r="E11163" s="36"/>
      <c r="F11163" s="42"/>
      <c r="G11163" s="42"/>
      <c r="H11163" s="42"/>
      <c r="AG11163" s="19"/>
    </row>
    <row r="11164" spans="1:33" ht="14.5" x14ac:dyDescent="0.35">
      <c r="A11164" s="34"/>
      <c r="B11164" s="35"/>
      <c r="C11164" s="36"/>
      <c r="D11164" s="37"/>
      <c r="E11164" s="36"/>
      <c r="F11164" s="42"/>
      <c r="G11164" s="42"/>
      <c r="H11164" s="42"/>
      <c r="AG11164" s="19"/>
    </row>
    <row r="11165" spans="1:33" ht="14.5" x14ac:dyDescent="0.35">
      <c r="A11165" s="34"/>
      <c r="B11165" s="35"/>
      <c r="C11165" s="36"/>
      <c r="D11165" s="37"/>
      <c r="E11165" s="36"/>
      <c r="F11165" s="42"/>
      <c r="G11165" s="42"/>
      <c r="H11165" s="42"/>
      <c r="AG11165" s="19"/>
    </row>
    <row r="11166" spans="1:33" ht="14.5" x14ac:dyDescent="0.35">
      <c r="A11166" s="34"/>
      <c r="B11166" s="35"/>
      <c r="C11166" s="36"/>
      <c r="D11166" s="37"/>
      <c r="E11166" s="36"/>
      <c r="F11166" s="42"/>
      <c r="G11166" s="42"/>
      <c r="H11166" s="42"/>
      <c r="AG11166" s="19"/>
    </row>
    <row r="11167" spans="1:33" ht="14.5" x14ac:dyDescent="0.35">
      <c r="A11167" s="34"/>
      <c r="B11167" s="35"/>
      <c r="C11167" s="36"/>
      <c r="D11167" s="37"/>
      <c r="E11167" s="36"/>
      <c r="F11167" s="42"/>
      <c r="G11167" s="42"/>
      <c r="H11167" s="42"/>
      <c r="AG11167" s="19"/>
    </row>
    <row r="11168" spans="1:33" ht="14.5" x14ac:dyDescent="0.35">
      <c r="A11168" s="34"/>
      <c r="B11168" s="35"/>
      <c r="C11168" s="36"/>
      <c r="D11168" s="37"/>
      <c r="E11168" s="36"/>
      <c r="F11168" s="42"/>
      <c r="G11168" s="42"/>
      <c r="H11168" s="42"/>
      <c r="AG11168" s="19"/>
    </row>
    <row r="11169" spans="1:33" ht="14.5" x14ac:dyDescent="0.35">
      <c r="A11169" s="34"/>
      <c r="B11169" s="35"/>
      <c r="C11169" s="36"/>
      <c r="D11169" s="37"/>
      <c r="E11169" s="36"/>
      <c r="F11169" s="42"/>
      <c r="G11169" s="42"/>
      <c r="H11169" s="42"/>
      <c r="AG11169" s="19"/>
    </row>
    <row r="11170" spans="1:33" ht="14.5" x14ac:dyDescent="0.35">
      <c r="A11170" s="34"/>
      <c r="B11170" s="35"/>
      <c r="C11170" s="36"/>
      <c r="D11170" s="37"/>
      <c r="E11170" s="36"/>
      <c r="F11170" s="42"/>
      <c r="G11170" s="42"/>
      <c r="H11170" s="42"/>
      <c r="AG11170" s="19"/>
    </row>
    <row r="11171" spans="1:33" ht="14.5" x14ac:dyDescent="0.35">
      <c r="A11171" s="34"/>
      <c r="B11171" s="35"/>
      <c r="C11171" s="36"/>
      <c r="D11171" s="37"/>
      <c r="E11171" s="36"/>
      <c r="F11171" s="42"/>
      <c r="G11171" s="42"/>
      <c r="H11171" s="42"/>
      <c r="AG11171" s="19"/>
    </row>
    <row r="11172" spans="1:33" ht="14.5" x14ac:dyDescent="0.35">
      <c r="A11172" s="34"/>
      <c r="B11172" s="35"/>
      <c r="C11172" s="36"/>
      <c r="D11172" s="37"/>
      <c r="E11172" s="36"/>
      <c r="F11172" s="42"/>
      <c r="G11172" s="42"/>
      <c r="H11172" s="42"/>
      <c r="AG11172" s="19"/>
    </row>
    <row r="11173" spans="1:33" ht="14.5" x14ac:dyDescent="0.35">
      <c r="A11173" s="34"/>
      <c r="B11173" s="35"/>
      <c r="C11173" s="36"/>
      <c r="D11173" s="37"/>
      <c r="E11173" s="36"/>
      <c r="F11173" s="42"/>
      <c r="G11173" s="42"/>
      <c r="H11173" s="42"/>
      <c r="AG11173" s="19"/>
    </row>
    <row r="11174" spans="1:33" ht="14.5" x14ac:dyDescent="0.35">
      <c r="A11174" s="34"/>
      <c r="B11174" s="35"/>
      <c r="C11174" s="36"/>
      <c r="D11174" s="37"/>
      <c r="E11174" s="36"/>
      <c r="F11174" s="42"/>
      <c r="G11174" s="42"/>
      <c r="H11174" s="42"/>
      <c r="AG11174" s="19"/>
    </row>
    <row r="11175" spans="1:33" ht="14.5" x14ac:dyDescent="0.35">
      <c r="A11175" s="34"/>
      <c r="B11175" s="35"/>
      <c r="C11175" s="36"/>
      <c r="D11175" s="37"/>
      <c r="E11175" s="36"/>
      <c r="F11175" s="42"/>
      <c r="G11175" s="42"/>
      <c r="H11175" s="42"/>
      <c r="AG11175" s="19"/>
    </row>
    <row r="11176" spans="1:33" ht="14.5" x14ac:dyDescent="0.35">
      <c r="A11176" s="34"/>
      <c r="B11176" s="35"/>
      <c r="C11176" s="36"/>
      <c r="D11176" s="37"/>
      <c r="E11176" s="36"/>
      <c r="F11176" s="42"/>
      <c r="G11176" s="42"/>
      <c r="H11176" s="42"/>
      <c r="AG11176" s="19"/>
    </row>
    <row r="11177" spans="1:33" ht="14.5" x14ac:dyDescent="0.35">
      <c r="A11177" s="34"/>
      <c r="B11177" s="35"/>
      <c r="C11177" s="36"/>
      <c r="D11177" s="37"/>
      <c r="E11177" s="36"/>
      <c r="F11177" s="42"/>
      <c r="G11177" s="42"/>
      <c r="H11177" s="42"/>
      <c r="AG11177" s="19"/>
    </row>
    <row r="11178" spans="1:33" ht="14.5" x14ac:dyDescent="0.35">
      <c r="A11178" s="34"/>
      <c r="B11178" s="35"/>
      <c r="C11178" s="36"/>
      <c r="D11178" s="37"/>
      <c r="E11178" s="36"/>
      <c r="F11178" s="42"/>
      <c r="G11178" s="42"/>
      <c r="H11178" s="42"/>
      <c r="AG11178" s="19"/>
    </row>
    <row r="11179" spans="1:33" ht="14.5" x14ac:dyDescent="0.35">
      <c r="A11179" s="34"/>
      <c r="B11179" s="35"/>
      <c r="C11179" s="36"/>
      <c r="D11179" s="37"/>
      <c r="E11179" s="36"/>
      <c r="F11179" s="42"/>
      <c r="G11179" s="42"/>
      <c r="H11179" s="42"/>
      <c r="AG11179" s="19"/>
    </row>
    <row r="11180" spans="1:33" ht="14.5" x14ac:dyDescent="0.35">
      <c r="A11180" s="34"/>
      <c r="B11180" s="35"/>
      <c r="C11180" s="36"/>
      <c r="D11180" s="37"/>
      <c r="E11180" s="36"/>
      <c r="F11180" s="42"/>
      <c r="G11180" s="42"/>
      <c r="H11180" s="42"/>
      <c r="AG11180" s="19"/>
    </row>
    <row r="11181" spans="1:33" ht="14.5" x14ac:dyDescent="0.35">
      <c r="A11181" s="34"/>
      <c r="B11181" s="35"/>
      <c r="C11181" s="36"/>
      <c r="D11181" s="37"/>
      <c r="E11181" s="36"/>
      <c r="F11181" s="42"/>
      <c r="G11181" s="42"/>
      <c r="H11181" s="42"/>
      <c r="AG11181" s="19"/>
    </row>
    <row r="11182" spans="1:33" ht="14.5" x14ac:dyDescent="0.35">
      <c r="A11182" s="34"/>
      <c r="B11182" s="35"/>
      <c r="C11182" s="36"/>
      <c r="D11182" s="37"/>
      <c r="E11182" s="36"/>
      <c r="F11182" s="42"/>
      <c r="G11182" s="42"/>
      <c r="H11182" s="42"/>
      <c r="AG11182" s="19"/>
    </row>
    <row r="11183" spans="1:33" ht="14.5" x14ac:dyDescent="0.35">
      <c r="A11183" s="34"/>
      <c r="B11183" s="35"/>
      <c r="C11183" s="36"/>
      <c r="D11183" s="37"/>
      <c r="E11183" s="36"/>
      <c r="F11183" s="42"/>
      <c r="G11183" s="42"/>
      <c r="H11183" s="42"/>
      <c r="AG11183" s="19"/>
    </row>
    <row r="11184" spans="1:33" ht="14.5" x14ac:dyDescent="0.35">
      <c r="A11184" s="34"/>
      <c r="B11184" s="35"/>
      <c r="C11184" s="36"/>
      <c r="D11184" s="37"/>
      <c r="E11184" s="36"/>
      <c r="F11184" s="42"/>
      <c r="G11184" s="42"/>
      <c r="H11184" s="42"/>
      <c r="AG11184" s="19"/>
    </row>
    <row r="11185" spans="1:33" ht="14.5" x14ac:dyDescent="0.35">
      <c r="A11185" s="34"/>
      <c r="B11185" s="35"/>
      <c r="C11185" s="36"/>
      <c r="D11185" s="37"/>
      <c r="E11185" s="36"/>
      <c r="F11185" s="42"/>
      <c r="G11185" s="42"/>
      <c r="H11185" s="42"/>
      <c r="AG11185" s="19"/>
    </row>
    <row r="11186" spans="1:33" ht="14.5" x14ac:dyDescent="0.35">
      <c r="A11186" s="34"/>
      <c r="B11186" s="35"/>
      <c r="C11186" s="36"/>
      <c r="D11186" s="37"/>
      <c r="E11186" s="36"/>
      <c r="F11186" s="42"/>
      <c r="G11186" s="42"/>
      <c r="H11186" s="42"/>
      <c r="AG11186" s="19"/>
    </row>
    <row r="11187" spans="1:33" ht="14.5" x14ac:dyDescent="0.35">
      <c r="A11187" s="34"/>
      <c r="B11187" s="35"/>
      <c r="C11187" s="36"/>
      <c r="D11187" s="37"/>
      <c r="E11187" s="36"/>
      <c r="F11187" s="42"/>
      <c r="G11187" s="42"/>
      <c r="H11187" s="42"/>
      <c r="AG11187" s="19"/>
    </row>
    <row r="11188" spans="1:33" ht="14.5" x14ac:dyDescent="0.35">
      <c r="A11188" s="34"/>
      <c r="B11188" s="35"/>
      <c r="C11188" s="36"/>
      <c r="D11188" s="37"/>
      <c r="E11188" s="36"/>
      <c r="F11188" s="42"/>
      <c r="G11188" s="42"/>
      <c r="H11188" s="42"/>
      <c r="AG11188" s="19"/>
    </row>
    <row r="11189" spans="1:33" ht="14.5" x14ac:dyDescent="0.35">
      <c r="A11189" s="34"/>
      <c r="B11189" s="35"/>
      <c r="C11189" s="36"/>
      <c r="D11189" s="37"/>
      <c r="E11189" s="36"/>
      <c r="F11189" s="42"/>
      <c r="G11189" s="42"/>
      <c r="H11189" s="42"/>
      <c r="AG11189" s="19"/>
    </row>
    <row r="11190" spans="1:33" ht="14.5" x14ac:dyDescent="0.35">
      <c r="A11190" s="34"/>
      <c r="B11190" s="35"/>
      <c r="C11190" s="36"/>
      <c r="D11190" s="37"/>
      <c r="E11190" s="36"/>
      <c r="F11190" s="42"/>
      <c r="G11190" s="42"/>
      <c r="H11190" s="42"/>
      <c r="AG11190" s="19"/>
    </row>
    <row r="11191" spans="1:33" ht="14.5" x14ac:dyDescent="0.35">
      <c r="A11191" s="34"/>
      <c r="B11191" s="35"/>
      <c r="C11191" s="36"/>
      <c r="D11191" s="37"/>
      <c r="E11191" s="36"/>
      <c r="F11191" s="42"/>
      <c r="G11191" s="42"/>
      <c r="H11191" s="42"/>
      <c r="AG11191" s="19"/>
    </row>
    <row r="11192" spans="1:33" ht="14.5" x14ac:dyDescent="0.35">
      <c r="A11192" s="34"/>
      <c r="B11192" s="35"/>
      <c r="C11192" s="36"/>
      <c r="D11192" s="37"/>
      <c r="E11192" s="36"/>
      <c r="F11192" s="42"/>
      <c r="G11192" s="42"/>
      <c r="H11192" s="42"/>
      <c r="AG11192" s="19"/>
    </row>
    <row r="11193" spans="1:33" ht="14.5" x14ac:dyDescent="0.35">
      <c r="A11193" s="34"/>
      <c r="B11193" s="35"/>
      <c r="C11193" s="36"/>
      <c r="D11193" s="37"/>
      <c r="E11193" s="36"/>
      <c r="F11193" s="42"/>
      <c r="G11193" s="42"/>
      <c r="H11193" s="42"/>
      <c r="AG11193" s="19"/>
    </row>
    <row r="11194" spans="1:33" ht="14.5" x14ac:dyDescent="0.35">
      <c r="A11194" s="34"/>
      <c r="B11194" s="35"/>
      <c r="C11194" s="36"/>
      <c r="D11194" s="37"/>
      <c r="E11194" s="36"/>
      <c r="F11194" s="42"/>
      <c r="G11194" s="42"/>
      <c r="H11194" s="42"/>
      <c r="AG11194" s="19"/>
    </row>
    <row r="11195" spans="1:33" ht="14.5" x14ac:dyDescent="0.35">
      <c r="A11195" s="34"/>
      <c r="B11195" s="35"/>
      <c r="C11195" s="36"/>
      <c r="D11195" s="37"/>
      <c r="E11195" s="36"/>
      <c r="F11195" s="42"/>
      <c r="G11195" s="42"/>
      <c r="H11195" s="42"/>
      <c r="AG11195" s="19"/>
    </row>
    <row r="11196" spans="1:33" ht="14.5" x14ac:dyDescent="0.35">
      <c r="A11196" s="34"/>
      <c r="B11196" s="35"/>
      <c r="C11196" s="36"/>
      <c r="D11196" s="37"/>
      <c r="E11196" s="36"/>
      <c r="F11196" s="42"/>
      <c r="G11196" s="42"/>
      <c r="H11196" s="42"/>
      <c r="AG11196" s="19"/>
    </row>
    <row r="11197" spans="1:33" ht="14.5" x14ac:dyDescent="0.35">
      <c r="A11197" s="34"/>
      <c r="B11197" s="35"/>
      <c r="C11197" s="36"/>
      <c r="D11197" s="37"/>
      <c r="E11197" s="36"/>
      <c r="F11197" s="42"/>
      <c r="G11197" s="42"/>
      <c r="H11197" s="42"/>
      <c r="AG11197" s="19"/>
    </row>
    <row r="11198" spans="1:33" ht="14.5" x14ac:dyDescent="0.35">
      <c r="A11198" s="34"/>
      <c r="B11198" s="35"/>
      <c r="C11198" s="36"/>
      <c r="D11198" s="37"/>
      <c r="E11198" s="36"/>
      <c r="F11198" s="42"/>
      <c r="G11198" s="42"/>
      <c r="H11198" s="42"/>
      <c r="AG11198" s="19"/>
    </row>
    <row r="11199" spans="1:33" ht="14.5" x14ac:dyDescent="0.35">
      <c r="A11199" s="34"/>
      <c r="B11199" s="35"/>
      <c r="C11199" s="36"/>
      <c r="D11199" s="37"/>
      <c r="E11199" s="36"/>
      <c r="F11199" s="42"/>
      <c r="G11199" s="42"/>
      <c r="H11199" s="42"/>
      <c r="AG11199" s="19"/>
    </row>
    <row r="11200" spans="1:33" ht="14.5" x14ac:dyDescent="0.35">
      <c r="A11200" s="34"/>
      <c r="B11200" s="35"/>
      <c r="C11200" s="36"/>
      <c r="D11200" s="37"/>
      <c r="E11200" s="36"/>
      <c r="F11200" s="42"/>
      <c r="G11200" s="42"/>
      <c r="H11200" s="42"/>
      <c r="AG11200" s="19"/>
    </row>
    <row r="11201" spans="1:33" ht="14.5" x14ac:dyDescent="0.35">
      <c r="A11201" s="34"/>
      <c r="B11201" s="35"/>
      <c r="C11201" s="36"/>
      <c r="D11201" s="37"/>
      <c r="E11201" s="36"/>
      <c r="F11201" s="42"/>
      <c r="G11201" s="42"/>
      <c r="H11201" s="42"/>
      <c r="AG11201" s="19"/>
    </row>
    <row r="11202" spans="1:33" ht="14.5" x14ac:dyDescent="0.35">
      <c r="A11202" s="34"/>
      <c r="B11202" s="35"/>
      <c r="C11202" s="36"/>
      <c r="D11202" s="37"/>
      <c r="E11202" s="36"/>
      <c r="F11202" s="42"/>
      <c r="G11202" s="42"/>
      <c r="H11202" s="42"/>
      <c r="AG11202" s="19"/>
    </row>
    <row r="11203" spans="1:33" ht="14.5" x14ac:dyDescent="0.35">
      <c r="A11203" s="34"/>
      <c r="B11203" s="35"/>
      <c r="C11203" s="36"/>
      <c r="D11203" s="37"/>
      <c r="E11203" s="36"/>
      <c r="F11203" s="42"/>
      <c r="G11203" s="42"/>
      <c r="H11203" s="42"/>
      <c r="AG11203" s="19"/>
    </row>
    <row r="11204" spans="1:33" ht="14.5" x14ac:dyDescent="0.35">
      <c r="A11204" s="34"/>
      <c r="B11204" s="35"/>
      <c r="C11204" s="36"/>
      <c r="D11204" s="37"/>
      <c r="E11204" s="36"/>
      <c r="F11204" s="42"/>
      <c r="G11204" s="42"/>
      <c r="H11204" s="42"/>
      <c r="AG11204" s="19"/>
    </row>
    <row r="11205" spans="1:33" ht="14.5" x14ac:dyDescent="0.35">
      <c r="A11205" s="34"/>
      <c r="B11205" s="35"/>
      <c r="C11205" s="36"/>
      <c r="D11205" s="37"/>
      <c r="E11205" s="36"/>
      <c r="F11205" s="42"/>
      <c r="G11205" s="42"/>
      <c r="H11205" s="42"/>
      <c r="AG11205" s="19"/>
    </row>
    <row r="11206" spans="1:33" ht="14.5" x14ac:dyDescent="0.35">
      <c r="A11206" s="34"/>
      <c r="B11206" s="35"/>
      <c r="C11206" s="36"/>
      <c r="D11206" s="37"/>
      <c r="E11206" s="36"/>
      <c r="F11206" s="42"/>
      <c r="G11206" s="42"/>
      <c r="H11206" s="42"/>
      <c r="AG11206" s="19"/>
    </row>
    <row r="11207" spans="1:33" ht="14.5" x14ac:dyDescent="0.35">
      <c r="A11207" s="34"/>
      <c r="B11207" s="35"/>
      <c r="C11207" s="36"/>
      <c r="D11207" s="37"/>
      <c r="E11207" s="36"/>
      <c r="F11207" s="42"/>
      <c r="G11207" s="42"/>
      <c r="H11207" s="42"/>
      <c r="AG11207" s="19"/>
    </row>
    <row r="11208" spans="1:33" ht="14.5" x14ac:dyDescent="0.35">
      <c r="A11208" s="34"/>
      <c r="B11208" s="35"/>
      <c r="C11208" s="36"/>
      <c r="D11208" s="37"/>
      <c r="E11208" s="36"/>
      <c r="F11208" s="42"/>
      <c r="G11208" s="42"/>
      <c r="H11208" s="42"/>
      <c r="AG11208" s="19"/>
    </row>
    <row r="11209" spans="1:33" ht="14.5" x14ac:dyDescent="0.35">
      <c r="A11209" s="34"/>
      <c r="B11209" s="35"/>
      <c r="C11209" s="36"/>
      <c r="D11209" s="37"/>
      <c r="E11209" s="36"/>
      <c r="F11209" s="42"/>
      <c r="G11209" s="42"/>
      <c r="H11209" s="42"/>
      <c r="AG11209" s="19"/>
    </row>
    <row r="11210" spans="1:33" ht="14.5" x14ac:dyDescent="0.35">
      <c r="A11210" s="34"/>
      <c r="B11210" s="35"/>
      <c r="C11210" s="36"/>
      <c r="D11210" s="37"/>
      <c r="E11210" s="36"/>
      <c r="F11210" s="42"/>
      <c r="G11210" s="42"/>
      <c r="H11210" s="42"/>
      <c r="AG11210" s="19"/>
    </row>
    <row r="11211" spans="1:33" ht="14.5" x14ac:dyDescent="0.35">
      <c r="A11211" s="34"/>
      <c r="B11211" s="35"/>
      <c r="C11211" s="36"/>
      <c r="D11211" s="37"/>
      <c r="E11211" s="36"/>
      <c r="F11211" s="42"/>
      <c r="G11211" s="42"/>
      <c r="H11211" s="42"/>
      <c r="AG11211" s="19"/>
    </row>
    <row r="11212" spans="1:33" ht="14.5" x14ac:dyDescent="0.35">
      <c r="A11212" s="34"/>
      <c r="B11212" s="35"/>
      <c r="C11212" s="36"/>
      <c r="D11212" s="37"/>
      <c r="E11212" s="36"/>
      <c r="F11212" s="42"/>
      <c r="G11212" s="42"/>
      <c r="H11212" s="42"/>
      <c r="AG11212" s="19"/>
    </row>
    <row r="11213" spans="1:33" ht="14.5" x14ac:dyDescent="0.35">
      <c r="A11213" s="34"/>
      <c r="B11213" s="35"/>
      <c r="C11213" s="36"/>
      <c r="D11213" s="37"/>
      <c r="E11213" s="36"/>
      <c r="F11213" s="42"/>
      <c r="G11213" s="42"/>
      <c r="H11213" s="42"/>
      <c r="AG11213" s="19"/>
    </row>
    <row r="11214" spans="1:33" ht="14.5" x14ac:dyDescent="0.35">
      <c r="A11214" s="34"/>
      <c r="B11214" s="35"/>
      <c r="C11214" s="36"/>
      <c r="D11214" s="37"/>
      <c r="E11214" s="36"/>
      <c r="F11214" s="42"/>
      <c r="G11214" s="42"/>
      <c r="H11214" s="42"/>
      <c r="AG11214" s="19"/>
    </row>
    <row r="11215" spans="1:33" ht="14.5" x14ac:dyDescent="0.35">
      <c r="A11215" s="34"/>
      <c r="B11215" s="35"/>
      <c r="C11215" s="36"/>
      <c r="D11215" s="37"/>
      <c r="E11215" s="36"/>
      <c r="F11215" s="42"/>
      <c r="G11215" s="42"/>
      <c r="H11215" s="42"/>
      <c r="AG11215" s="19"/>
    </row>
    <row r="11216" spans="1:33" ht="14.5" x14ac:dyDescent="0.35">
      <c r="A11216" s="34"/>
      <c r="B11216" s="35"/>
      <c r="C11216" s="36"/>
      <c r="D11216" s="37"/>
      <c r="E11216" s="36"/>
      <c r="F11216" s="42"/>
      <c r="G11216" s="42"/>
      <c r="H11216" s="42"/>
      <c r="AG11216" s="19"/>
    </row>
    <row r="11217" spans="1:33" ht="14.5" x14ac:dyDescent="0.35">
      <c r="A11217" s="34"/>
      <c r="B11217" s="35"/>
      <c r="C11217" s="36"/>
      <c r="D11217" s="37"/>
      <c r="E11217" s="36"/>
      <c r="F11217" s="42"/>
      <c r="G11217" s="42"/>
      <c r="H11217" s="42"/>
      <c r="AG11217" s="19"/>
    </row>
    <row r="11218" spans="1:33" ht="14.5" x14ac:dyDescent="0.35">
      <c r="A11218" s="34"/>
      <c r="B11218" s="35"/>
      <c r="C11218" s="36"/>
      <c r="D11218" s="37"/>
      <c r="E11218" s="36"/>
      <c r="F11218" s="42"/>
      <c r="G11218" s="42"/>
      <c r="H11218" s="42"/>
      <c r="AG11218" s="19"/>
    </row>
    <row r="11219" spans="1:33" ht="14.5" x14ac:dyDescent="0.35">
      <c r="A11219" s="34"/>
      <c r="B11219" s="35"/>
      <c r="C11219" s="36"/>
      <c r="D11219" s="37"/>
      <c r="E11219" s="36"/>
      <c r="F11219" s="42"/>
      <c r="G11219" s="42"/>
      <c r="H11219" s="42"/>
      <c r="AG11219" s="19"/>
    </row>
    <row r="11220" spans="1:33" ht="14.5" x14ac:dyDescent="0.35">
      <c r="A11220" s="34"/>
      <c r="B11220" s="35"/>
      <c r="C11220" s="36"/>
      <c r="D11220" s="37"/>
      <c r="E11220" s="36"/>
      <c r="F11220" s="42"/>
      <c r="G11220" s="42"/>
      <c r="H11220" s="42"/>
      <c r="AG11220" s="19"/>
    </row>
    <row r="11221" spans="1:33" ht="14.5" x14ac:dyDescent="0.35">
      <c r="A11221" s="34"/>
      <c r="B11221" s="35"/>
      <c r="C11221" s="36"/>
      <c r="D11221" s="37"/>
      <c r="E11221" s="36"/>
      <c r="F11221" s="42"/>
      <c r="G11221" s="42"/>
      <c r="H11221" s="42"/>
      <c r="AG11221" s="19"/>
    </row>
    <row r="11222" spans="1:33" ht="14.5" x14ac:dyDescent="0.35">
      <c r="A11222" s="34"/>
      <c r="B11222" s="35"/>
      <c r="C11222" s="36"/>
      <c r="D11222" s="37"/>
      <c r="E11222" s="36"/>
      <c r="F11222" s="42"/>
      <c r="G11222" s="42"/>
      <c r="H11222" s="42"/>
      <c r="AG11222" s="19"/>
    </row>
    <row r="11223" spans="1:33" ht="14.5" x14ac:dyDescent="0.35">
      <c r="A11223" s="34"/>
      <c r="B11223" s="35"/>
      <c r="C11223" s="36"/>
      <c r="D11223" s="37"/>
      <c r="E11223" s="36"/>
      <c r="F11223" s="42"/>
      <c r="G11223" s="42"/>
      <c r="H11223" s="42"/>
      <c r="AG11223" s="19"/>
    </row>
    <row r="11224" spans="1:33" ht="14.5" x14ac:dyDescent="0.35">
      <c r="A11224" s="34"/>
      <c r="B11224" s="35"/>
      <c r="C11224" s="36"/>
      <c r="D11224" s="37"/>
      <c r="E11224" s="36"/>
      <c r="F11224" s="42"/>
      <c r="G11224" s="42"/>
      <c r="H11224" s="42"/>
      <c r="AG11224" s="19"/>
    </row>
    <row r="11225" spans="1:33" ht="14.5" x14ac:dyDescent="0.35">
      <c r="A11225" s="34"/>
      <c r="B11225" s="35"/>
      <c r="C11225" s="36"/>
      <c r="D11225" s="37"/>
      <c r="E11225" s="36"/>
      <c r="F11225" s="42"/>
      <c r="G11225" s="42"/>
      <c r="H11225" s="42"/>
      <c r="AG11225" s="19"/>
    </row>
    <row r="11226" spans="1:33" ht="14.5" x14ac:dyDescent="0.35">
      <c r="A11226" s="34"/>
      <c r="B11226" s="35"/>
      <c r="C11226" s="36"/>
      <c r="D11226" s="37"/>
      <c r="E11226" s="36"/>
      <c r="F11226" s="42"/>
      <c r="G11226" s="42"/>
      <c r="H11226" s="42"/>
      <c r="AG11226" s="19"/>
    </row>
    <row r="11227" spans="1:33" ht="14.5" x14ac:dyDescent="0.35">
      <c r="A11227" s="34"/>
      <c r="B11227" s="35"/>
      <c r="C11227" s="36"/>
      <c r="D11227" s="37"/>
      <c r="E11227" s="36"/>
      <c r="F11227" s="42"/>
      <c r="G11227" s="42"/>
      <c r="H11227" s="42"/>
      <c r="AG11227" s="19"/>
    </row>
    <row r="11228" spans="1:33" ht="14.5" x14ac:dyDescent="0.35">
      <c r="A11228" s="34"/>
      <c r="B11228" s="35"/>
      <c r="C11228" s="36"/>
      <c r="D11228" s="37"/>
      <c r="E11228" s="36"/>
      <c r="F11228" s="42"/>
      <c r="G11228" s="42"/>
      <c r="H11228" s="42"/>
      <c r="AG11228" s="19"/>
    </row>
    <row r="11229" spans="1:33" ht="14.5" x14ac:dyDescent="0.35">
      <c r="A11229" s="34"/>
      <c r="B11229" s="35"/>
      <c r="C11229" s="36"/>
      <c r="D11229" s="37"/>
      <c r="E11229" s="36"/>
      <c r="F11229" s="42"/>
      <c r="G11229" s="42"/>
      <c r="H11229" s="42"/>
      <c r="AG11229" s="19"/>
    </row>
    <row r="11230" spans="1:33" ht="14.5" x14ac:dyDescent="0.35">
      <c r="A11230" s="34"/>
      <c r="B11230" s="35"/>
      <c r="C11230" s="36"/>
      <c r="D11230" s="37"/>
      <c r="E11230" s="36"/>
      <c r="F11230" s="42"/>
      <c r="G11230" s="42"/>
      <c r="H11230" s="42"/>
      <c r="AG11230" s="19"/>
    </row>
    <row r="11231" spans="1:33" ht="14.5" x14ac:dyDescent="0.35">
      <c r="A11231" s="34"/>
      <c r="B11231" s="35"/>
      <c r="C11231" s="36"/>
      <c r="D11231" s="37"/>
      <c r="E11231" s="36"/>
      <c r="F11231" s="42"/>
      <c r="G11231" s="42"/>
      <c r="H11231" s="42"/>
      <c r="AG11231" s="19"/>
    </row>
    <row r="11232" spans="1:33" ht="14.5" x14ac:dyDescent="0.35">
      <c r="A11232" s="34"/>
      <c r="B11232" s="35"/>
      <c r="C11232" s="36"/>
      <c r="D11232" s="37"/>
      <c r="E11232" s="36"/>
      <c r="F11232" s="42"/>
      <c r="G11232" s="42"/>
      <c r="H11232" s="42"/>
      <c r="AG11232" s="19"/>
    </row>
    <row r="11233" spans="1:33" ht="14.5" x14ac:dyDescent="0.35">
      <c r="A11233" s="34"/>
      <c r="B11233" s="35"/>
      <c r="C11233" s="36"/>
      <c r="D11233" s="37"/>
      <c r="E11233" s="36"/>
      <c r="F11233" s="42"/>
      <c r="G11233" s="42"/>
      <c r="H11233" s="42"/>
      <c r="AG11233" s="19"/>
    </row>
    <row r="11234" spans="1:33" ht="14.5" x14ac:dyDescent="0.35">
      <c r="A11234" s="34"/>
      <c r="B11234" s="35"/>
      <c r="C11234" s="36"/>
      <c r="D11234" s="37"/>
      <c r="E11234" s="36"/>
      <c r="F11234" s="42"/>
      <c r="G11234" s="42"/>
      <c r="H11234" s="42"/>
      <c r="AG11234" s="19"/>
    </row>
    <row r="11235" spans="1:33" ht="14.5" x14ac:dyDescent="0.35">
      <c r="A11235" s="34"/>
      <c r="B11235" s="35"/>
      <c r="C11235" s="36"/>
      <c r="D11235" s="37"/>
      <c r="E11235" s="36"/>
      <c r="F11235" s="42"/>
      <c r="G11235" s="42"/>
      <c r="H11235" s="42"/>
      <c r="AG11235" s="19"/>
    </row>
    <row r="11236" spans="1:33" ht="14.5" x14ac:dyDescent="0.35">
      <c r="A11236" s="34"/>
      <c r="B11236" s="35"/>
      <c r="C11236" s="36"/>
      <c r="D11236" s="37"/>
      <c r="E11236" s="36"/>
      <c r="F11236" s="42"/>
      <c r="G11236" s="42"/>
      <c r="H11236" s="42"/>
      <c r="AG11236" s="19"/>
    </row>
    <row r="11237" spans="1:33" ht="14.5" x14ac:dyDescent="0.35">
      <c r="A11237" s="34"/>
      <c r="B11237" s="35"/>
      <c r="C11237" s="36"/>
      <c r="D11237" s="37"/>
      <c r="E11237" s="36"/>
      <c r="F11237" s="42"/>
      <c r="G11237" s="42"/>
      <c r="H11237" s="42"/>
      <c r="AG11237" s="19"/>
    </row>
    <row r="11238" spans="1:33" ht="14.5" x14ac:dyDescent="0.35">
      <c r="A11238" s="34"/>
      <c r="B11238" s="35"/>
      <c r="C11238" s="36"/>
      <c r="D11238" s="37"/>
      <c r="E11238" s="36"/>
      <c r="F11238" s="42"/>
      <c r="G11238" s="42"/>
      <c r="H11238" s="42"/>
      <c r="AG11238" s="19"/>
    </row>
    <row r="11239" spans="1:33" ht="14.5" x14ac:dyDescent="0.35">
      <c r="A11239" s="34"/>
      <c r="B11239" s="35"/>
      <c r="C11239" s="36"/>
      <c r="D11239" s="37"/>
      <c r="E11239" s="36"/>
      <c r="F11239" s="42"/>
      <c r="G11239" s="42"/>
      <c r="H11239" s="42"/>
      <c r="AG11239" s="19"/>
    </row>
    <row r="11240" spans="1:33" ht="14.5" x14ac:dyDescent="0.35">
      <c r="A11240" s="34"/>
      <c r="B11240" s="35"/>
      <c r="C11240" s="36"/>
      <c r="D11240" s="37"/>
      <c r="E11240" s="36"/>
      <c r="F11240" s="42"/>
      <c r="G11240" s="42"/>
      <c r="H11240" s="42"/>
      <c r="AG11240" s="19"/>
    </row>
    <row r="11241" spans="1:33" ht="14.5" x14ac:dyDescent="0.35">
      <c r="A11241" s="34"/>
      <c r="B11241" s="35"/>
      <c r="C11241" s="36"/>
      <c r="D11241" s="37"/>
      <c r="E11241" s="36"/>
      <c r="F11241" s="42"/>
      <c r="G11241" s="42"/>
      <c r="H11241" s="42"/>
      <c r="AG11241" s="19"/>
    </row>
    <row r="11242" spans="1:33" ht="14.5" x14ac:dyDescent="0.35">
      <c r="A11242" s="34"/>
      <c r="B11242" s="35"/>
      <c r="C11242" s="36"/>
      <c r="D11242" s="37"/>
      <c r="E11242" s="36"/>
      <c r="F11242" s="42"/>
      <c r="G11242" s="42"/>
      <c r="H11242" s="42"/>
      <c r="AG11242" s="19"/>
    </row>
    <row r="11243" spans="1:33" ht="14.5" x14ac:dyDescent="0.35">
      <c r="A11243" s="34"/>
      <c r="B11243" s="35"/>
      <c r="C11243" s="36"/>
      <c r="D11243" s="37"/>
      <c r="E11243" s="36"/>
      <c r="F11243" s="42"/>
      <c r="G11243" s="42"/>
      <c r="H11243" s="42"/>
      <c r="AG11243" s="19"/>
    </row>
    <row r="11244" spans="1:33" ht="14.5" x14ac:dyDescent="0.35">
      <c r="A11244" s="34"/>
      <c r="B11244" s="35"/>
      <c r="C11244" s="36"/>
      <c r="D11244" s="37"/>
      <c r="E11244" s="36"/>
      <c r="F11244" s="42"/>
      <c r="G11244" s="42"/>
      <c r="H11244" s="42"/>
      <c r="AG11244" s="19"/>
    </row>
    <row r="11245" spans="1:33" ht="14.5" x14ac:dyDescent="0.35">
      <c r="A11245" s="34"/>
      <c r="B11245" s="35"/>
      <c r="C11245" s="36"/>
      <c r="D11245" s="37"/>
      <c r="E11245" s="36"/>
      <c r="F11245" s="42"/>
      <c r="G11245" s="42"/>
      <c r="H11245" s="42"/>
      <c r="AG11245" s="19"/>
    </row>
    <row r="11246" spans="1:33" ht="14.5" x14ac:dyDescent="0.35">
      <c r="A11246" s="34"/>
      <c r="B11246" s="35"/>
      <c r="C11246" s="36"/>
      <c r="D11246" s="37"/>
      <c r="E11246" s="36"/>
      <c r="F11246" s="42"/>
      <c r="G11246" s="42"/>
      <c r="H11246" s="42"/>
      <c r="AG11246" s="19"/>
    </row>
    <row r="11247" spans="1:33" ht="14.5" x14ac:dyDescent="0.35">
      <c r="A11247" s="34"/>
      <c r="B11247" s="35"/>
      <c r="C11247" s="36"/>
      <c r="D11247" s="37"/>
      <c r="E11247" s="36"/>
      <c r="F11247" s="42"/>
      <c r="G11247" s="42"/>
      <c r="H11247" s="42"/>
      <c r="AG11247" s="19"/>
    </row>
    <row r="11248" spans="1:33" ht="14.5" x14ac:dyDescent="0.35">
      <c r="A11248" s="34"/>
      <c r="B11248" s="35"/>
      <c r="C11248" s="36"/>
      <c r="D11248" s="37"/>
      <c r="E11248" s="36"/>
      <c r="F11248" s="42"/>
      <c r="G11248" s="42"/>
      <c r="H11248" s="42"/>
      <c r="AG11248" s="19"/>
    </row>
    <row r="11249" spans="1:33" ht="14.5" x14ac:dyDescent="0.35">
      <c r="A11249" s="34"/>
      <c r="B11249" s="35"/>
      <c r="C11249" s="36"/>
      <c r="D11249" s="37"/>
      <c r="E11249" s="36"/>
      <c r="F11249" s="42"/>
      <c r="G11249" s="42"/>
      <c r="H11249" s="42"/>
      <c r="AG11249" s="19"/>
    </row>
    <row r="11250" spans="1:33" ht="14.5" x14ac:dyDescent="0.35">
      <c r="A11250" s="34"/>
      <c r="B11250" s="35"/>
      <c r="C11250" s="36"/>
      <c r="D11250" s="37"/>
      <c r="E11250" s="36"/>
      <c r="F11250" s="42"/>
      <c r="G11250" s="42"/>
      <c r="H11250" s="42"/>
      <c r="AG11250" s="19"/>
    </row>
    <row r="11251" spans="1:33" ht="14.5" x14ac:dyDescent="0.35">
      <c r="A11251" s="34"/>
      <c r="B11251" s="35"/>
      <c r="C11251" s="36"/>
      <c r="D11251" s="37"/>
      <c r="E11251" s="36"/>
      <c r="F11251" s="42"/>
      <c r="G11251" s="42"/>
      <c r="H11251" s="42"/>
      <c r="AG11251" s="19"/>
    </row>
    <row r="11252" spans="1:33" ht="14.5" x14ac:dyDescent="0.35">
      <c r="A11252" s="34"/>
      <c r="B11252" s="35"/>
      <c r="C11252" s="36"/>
      <c r="D11252" s="37"/>
      <c r="E11252" s="36"/>
      <c r="F11252" s="42"/>
      <c r="G11252" s="42"/>
      <c r="H11252" s="42"/>
      <c r="AG11252" s="19"/>
    </row>
    <row r="11253" spans="1:33" ht="14.5" x14ac:dyDescent="0.35">
      <c r="A11253" s="34"/>
      <c r="B11253" s="35"/>
      <c r="C11253" s="36"/>
      <c r="D11253" s="37"/>
      <c r="E11253" s="36"/>
      <c r="F11253" s="42"/>
      <c r="G11253" s="42"/>
      <c r="H11253" s="42"/>
      <c r="AG11253" s="19"/>
    </row>
    <row r="11254" spans="1:33" ht="14.5" x14ac:dyDescent="0.35">
      <c r="A11254" s="34"/>
      <c r="B11254" s="35"/>
      <c r="C11254" s="36"/>
      <c r="D11254" s="37"/>
      <c r="E11254" s="36"/>
      <c r="F11254" s="42"/>
      <c r="G11254" s="42"/>
      <c r="H11254" s="42"/>
      <c r="AG11254" s="19"/>
    </row>
    <row r="11255" spans="1:33" ht="14.5" x14ac:dyDescent="0.35">
      <c r="A11255" s="34"/>
      <c r="B11255" s="35"/>
      <c r="C11255" s="36"/>
      <c r="D11255" s="37"/>
      <c r="E11255" s="36"/>
      <c r="F11255" s="42"/>
      <c r="G11255" s="42"/>
      <c r="H11255" s="42"/>
      <c r="AG11255" s="19"/>
    </row>
    <row r="11256" spans="1:33" ht="14.5" x14ac:dyDescent="0.35">
      <c r="A11256" s="34"/>
      <c r="B11256" s="35"/>
      <c r="C11256" s="36"/>
      <c r="D11256" s="37"/>
      <c r="E11256" s="36"/>
      <c r="F11256" s="42"/>
      <c r="G11256" s="42"/>
      <c r="H11256" s="42"/>
      <c r="AG11256" s="19"/>
    </row>
    <row r="11257" spans="1:33" ht="14.5" x14ac:dyDescent="0.35">
      <c r="A11257" s="34"/>
      <c r="B11257" s="35"/>
      <c r="C11257" s="36"/>
      <c r="D11257" s="37"/>
      <c r="E11257" s="36"/>
      <c r="F11257" s="42"/>
      <c r="G11257" s="42"/>
      <c r="H11257" s="42"/>
      <c r="AG11257" s="19"/>
    </row>
    <row r="11258" spans="1:33" ht="14.5" x14ac:dyDescent="0.35">
      <c r="A11258" s="34"/>
      <c r="B11258" s="35"/>
      <c r="C11258" s="36"/>
      <c r="D11258" s="37"/>
      <c r="E11258" s="36"/>
      <c r="F11258" s="42"/>
      <c r="G11258" s="42"/>
      <c r="H11258" s="42"/>
      <c r="AG11258" s="19"/>
    </row>
    <row r="11259" spans="1:33" ht="14.5" x14ac:dyDescent="0.35">
      <c r="A11259" s="34"/>
      <c r="B11259" s="35"/>
      <c r="C11259" s="36"/>
      <c r="D11259" s="37"/>
      <c r="E11259" s="36"/>
      <c r="F11259" s="42"/>
      <c r="G11259" s="42"/>
      <c r="H11259" s="42"/>
      <c r="AG11259" s="19"/>
    </row>
    <row r="11260" spans="1:33" ht="14.5" x14ac:dyDescent="0.35">
      <c r="A11260" s="34"/>
      <c r="B11260" s="35"/>
      <c r="C11260" s="36"/>
      <c r="D11260" s="37"/>
      <c r="E11260" s="36"/>
      <c r="F11260" s="42"/>
      <c r="G11260" s="42"/>
      <c r="H11260" s="42"/>
      <c r="AG11260" s="19"/>
    </row>
    <row r="11261" spans="1:33" ht="14.5" x14ac:dyDescent="0.35">
      <c r="A11261" s="34"/>
      <c r="B11261" s="35"/>
      <c r="C11261" s="36"/>
      <c r="D11261" s="37"/>
      <c r="E11261" s="36"/>
      <c r="F11261" s="42"/>
      <c r="G11261" s="42"/>
      <c r="H11261" s="42"/>
      <c r="AG11261" s="19"/>
    </row>
    <row r="11262" spans="1:33" ht="14.5" x14ac:dyDescent="0.35">
      <c r="A11262" s="34"/>
      <c r="B11262" s="35"/>
      <c r="C11262" s="36"/>
      <c r="D11262" s="37"/>
      <c r="E11262" s="36"/>
      <c r="F11262" s="42"/>
      <c r="G11262" s="42"/>
      <c r="H11262" s="42"/>
      <c r="AG11262" s="19"/>
    </row>
    <row r="11263" spans="1:33" ht="14.5" x14ac:dyDescent="0.35">
      <c r="A11263" s="34"/>
      <c r="B11263" s="35"/>
      <c r="C11263" s="36"/>
      <c r="D11263" s="37"/>
      <c r="E11263" s="36"/>
      <c r="F11263" s="42"/>
      <c r="G11263" s="42"/>
      <c r="H11263" s="42"/>
      <c r="AG11263" s="19"/>
    </row>
    <row r="11264" spans="1:33" ht="14.5" x14ac:dyDescent="0.35">
      <c r="A11264" s="34"/>
      <c r="B11264" s="35"/>
      <c r="C11264" s="36"/>
      <c r="D11264" s="37"/>
      <c r="E11264" s="36"/>
      <c r="F11264" s="42"/>
      <c r="G11264" s="42"/>
      <c r="H11264" s="42"/>
      <c r="AG11264" s="19"/>
    </row>
    <row r="11265" spans="1:33" ht="14.5" x14ac:dyDescent="0.35">
      <c r="A11265" s="34"/>
      <c r="B11265" s="35"/>
      <c r="C11265" s="36"/>
      <c r="D11265" s="37"/>
      <c r="E11265" s="36"/>
      <c r="F11265" s="42"/>
      <c r="G11265" s="42"/>
      <c r="H11265" s="42"/>
      <c r="AG11265" s="19"/>
    </row>
    <row r="11266" spans="1:33" ht="14.5" x14ac:dyDescent="0.35">
      <c r="A11266" s="34"/>
      <c r="B11266" s="35"/>
      <c r="C11266" s="36"/>
      <c r="D11266" s="37"/>
      <c r="E11266" s="36"/>
      <c r="F11266" s="42"/>
      <c r="G11266" s="42"/>
      <c r="H11266" s="42"/>
      <c r="AG11266" s="19"/>
    </row>
    <row r="11267" spans="1:33" ht="14.5" x14ac:dyDescent="0.35">
      <c r="A11267" s="34"/>
      <c r="B11267" s="35"/>
      <c r="C11267" s="36"/>
      <c r="D11267" s="37"/>
      <c r="E11267" s="36"/>
      <c r="F11267" s="42"/>
      <c r="G11267" s="42"/>
      <c r="H11267" s="42"/>
      <c r="AG11267" s="19"/>
    </row>
    <row r="11268" spans="1:33" ht="14.5" x14ac:dyDescent="0.35">
      <c r="A11268" s="34"/>
      <c r="B11268" s="35"/>
      <c r="C11268" s="36"/>
      <c r="D11268" s="37"/>
      <c r="E11268" s="36"/>
      <c r="F11268" s="42"/>
      <c r="G11268" s="42"/>
      <c r="H11268" s="42"/>
      <c r="AG11268" s="19"/>
    </row>
    <row r="11269" spans="1:33" ht="14.5" x14ac:dyDescent="0.35">
      <c r="A11269" s="34"/>
      <c r="B11269" s="35"/>
      <c r="C11269" s="36"/>
      <c r="D11269" s="37"/>
      <c r="E11269" s="36"/>
      <c r="F11269" s="42"/>
      <c r="G11269" s="42"/>
      <c r="H11269" s="42"/>
      <c r="AG11269" s="19"/>
    </row>
    <row r="11270" spans="1:33" ht="14.5" x14ac:dyDescent="0.35">
      <c r="A11270" s="34"/>
      <c r="B11270" s="35"/>
      <c r="C11270" s="36"/>
      <c r="D11270" s="37"/>
      <c r="E11270" s="36"/>
      <c r="F11270" s="42"/>
      <c r="G11270" s="42"/>
      <c r="H11270" s="42"/>
      <c r="AG11270" s="19"/>
    </row>
    <row r="11271" spans="1:33" ht="14.5" x14ac:dyDescent="0.35">
      <c r="A11271" s="34"/>
      <c r="B11271" s="35"/>
      <c r="C11271" s="36"/>
      <c r="D11271" s="37"/>
      <c r="E11271" s="36"/>
      <c r="F11271" s="42"/>
      <c r="G11271" s="42"/>
      <c r="H11271" s="42"/>
      <c r="AG11271" s="19"/>
    </row>
    <row r="11272" spans="1:33" ht="14.5" x14ac:dyDescent="0.35">
      <c r="A11272" s="34"/>
      <c r="B11272" s="35"/>
      <c r="C11272" s="36"/>
      <c r="D11272" s="37"/>
      <c r="E11272" s="36"/>
      <c r="F11272" s="42"/>
      <c r="G11272" s="42"/>
      <c r="H11272" s="42"/>
      <c r="AG11272" s="19"/>
    </row>
    <row r="11273" spans="1:33" ht="14.5" x14ac:dyDescent="0.35">
      <c r="A11273" s="34"/>
      <c r="B11273" s="35"/>
      <c r="C11273" s="36"/>
      <c r="D11273" s="37"/>
      <c r="E11273" s="36"/>
      <c r="F11273" s="42"/>
      <c r="G11273" s="42"/>
      <c r="H11273" s="42"/>
      <c r="AG11273" s="19"/>
    </row>
    <row r="11274" spans="1:33" ht="14.5" x14ac:dyDescent="0.35">
      <c r="A11274" s="34"/>
      <c r="B11274" s="35"/>
      <c r="C11274" s="36"/>
      <c r="D11274" s="37"/>
      <c r="E11274" s="36"/>
      <c r="F11274" s="42"/>
      <c r="G11274" s="42"/>
      <c r="H11274" s="42"/>
      <c r="AG11274" s="19"/>
    </row>
    <row r="11275" spans="1:33" ht="14.5" x14ac:dyDescent="0.35">
      <c r="A11275" s="34"/>
      <c r="B11275" s="35"/>
      <c r="C11275" s="36"/>
      <c r="D11275" s="37"/>
      <c r="E11275" s="36"/>
      <c r="F11275" s="42"/>
      <c r="G11275" s="42"/>
      <c r="H11275" s="42"/>
      <c r="AG11275" s="19"/>
    </row>
    <row r="11276" spans="1:33" ht="14.5" x14ac:dyDescent="0.35">
      <c r="A11276" s="34"/>
      <c r="B11276" s="35"/>
      <c r="C11276" s="36"/>
      <c r="D11276" s="37"/>
      <c r="E11276" s="36"/>
      <c r="F11276" s="42"/>
      <c r="G11276" s="42"/>
      <c r="H11276" s="42"/>
      <c r="AG11276" s="19"/>
    </row>
    <row r="11277" spans="1:33" ht="14.5" x14ac:dyDescent="0.35">
      <c r="A11277" s="34"/>
      <c r="B11277" s="35"/>
      <c r="C11277" s="36"/>
      <c r="D11277" s="37"/>
      <c r="E11277" s="36"/>
      <c r="F11277" s="42"/>
      <c r="G11277" s="42"/>
      <c r="H11277" s="42"/>
      <c r="AG11277" s="19"/>
    </row>
    <row r="11278" spans="1:33" ht="14.5" x14ac:dyDescent="0.35">
      <c r="A11278" s="34"/>
      <c r="B11278" s="35"/>
      <c r="C11278" s="36"/>
      <c r="D11278" s="37"/>
      <c r="E11278" s="36"/>
      <c r="F11278" s="42"/>
      <c r="G11278" s="42"/>
      <c r="H11278" s="42"/>
      <c r="AG11278" s="19"/>
    </row>
    <row r="11279" spans="1:33" ht="14.5" x14ac:dyDescent="0.35">
      <c r="A11279" s="34"/>
      <c r="B11279" s="35"/>
      <c r="C11279" s="36"/>
      <c r="D11279" s="37"/>
      <c r="E11279" s="36"/>
      <c r="F11279" s="42"/>
      <c r="G11279" s="42"/>
      <c r="H11279" s="42"/>
      <c r="AG11279" s="19"/>
    </row>
    <row r="11280" spans="1:33" ht="14.5" x14ac:dyDescent="0.35">
      <c r="A11280" s="34"/>
      <c r="B11280" s="35"/>
      <c r="C11280" s="36"/>
      <c r="D11280" s="37"/>
      <c r="E11280" s="36"/>
      <c r="F11280" s="42"/>
      <c r="G11280" s="42"/>
      <c r="H11280" s="42"/>
      <c r="AG11280" s="19"/>
    </row>
    <row r="11281" spans="1:33" ht="14.5" x14ac:dyDescent="0.35">
      <c r="A11281" s="34"/>
      <c r="B11281" s="35"/>
      <c r="C11281" s="36"/>
      <c r="D11281" s="37"/>
      <c r="E11281" s="36"/>
      <c r="F11281" s="42"/>
      <c r="G11281" s="42"/>
      <c r="H11281" s="42"/>
      <c r="AG11281" s="19"/>
    </row>
    <row r="11282" spans="1:33" ht="14.5" x14ac:dyDescent="0.35">
      <c r="A11282" s="34"/>
      <c r="B11282" s="35"/>
      <c r="C11282" s="36"/>
      <c r="D11282" s="37"/>
      <c r="E11282" s="36"/>
      <c r="F11282" s="42"/>
      <c r="G11282" s="42"/>
      <c r="H11282" s="42"/>
      <c r="AG11282" s="19"/>
    </row>
    <row r="11283" spans="1:33" ht="14.5" x14ac:dyDescent="0.35">
      <c r="A11283" s="34"/>
      <c r="B11283" s="35"/>
      <c r="C11283" s="36"/>
      <c r="D11283" s="37"/>
      <c r="E11283" s="36"/>
      <c r="F11283" s="42"/>
      <c r="G11283" s="42"/>
      <c r="H11283" s="42"/>
      <c r="AG11283" s="19"/>
    </row>
    <row r="11284" spans="1:33" ht="14.5" x14ac:dyDescent="0.35">
      <c r="A11284" s="34"/>
      <c r="B11284" s="35"/>
      <c r="C11284" s="36"/>
      <c r="D11284" s="37"/>
      <c r="E11284" s="36"/>
      <c r="F11284" s="42"/>
      <c r="G11284" s="42"/>
      <c r="H11284" s="42"/>
      <c r="AG11284" s="19"/>
    </row>
    <row r="11285" spans="1:33" ht="14.5" x14ac:dyDescent="0.35">
      <c r="A11285" s="34"/>
      <c r="B11285" s="35"/>
      <c r="C11285" s="36"/>
      <c r="D11285" s="37"/>
      <c r="E11285" s="36"/>
      <c r="F11285" s="42"/>
      <c r="G11285" s="42"/>
      <c r="H11285" s="42"/>
      <c r="AG11285" s="19"/>
    </row>
    <row r="11286" spans="1:33" ht="14.5" x14ac:dyDescent="0.35">
      <c r="A11286" s="34"/>
      <c r="B11286" s="35"/>
      <c r="C11286" s="36"/>
      <c r="D11286" s="37"/>
      <c r="E11286" s="36"/>
      <c r="F11286" s="42"/>
      <c r="G11286" s="42"/>
      <c r="H11286" s="42"/>
      <c r="AG11286" s="19"/>
    </row>
    <row r="11287" spans="1:33" ht="14.5" x14ac:dyDescent="0.35">
      <c r="A11287" s="34"/>
      <c r="B11287" s="35"/>
      <c r="C11287" s="36"/>
      <c r="D11287" s="37"/>
      <c r="E11287" s="36"/>
      <c r="F11287" s="42"/>
      <c r="G11287" s="42"/>
      <c r="H11287" s="42"/>
      <c r="AG11287" s="19"/>
    </row>
    <row r="11288" spans="1:33" ht="14.5" x14ac:dyDescent="0.35">
      <c r="A11288" s="34"/>
      <c r="B11288" s="35"/>
      <c r="C11288" s="36"/>
      <c r="D11288" s="37"/>
      <c r="E11288" s="36"/>
      <c r="F11288" s="42"/>
      <c r="G11288" s="42"/>
      <c r="H11288" s="42"/>
      <c r="AG11288" s="19"/>
    </row>
    <row r="11289" spans="1:33" ht="14.5" x14ac:dyDescent="0.35">
      <c r="A11289" s="34"/>
      <c r="B11289" s="35"/>
      <c r="C11289" s="36"/>
      <c r="D11289" s="37"/>
      <c r="E11289" s="36"/>
      <c r="F11289" s="42"/>
      <c r="G11289" s="42"/>
      <c r="H11289" s="42"/>
      <c r="AG11289" s="19"/>
    </row>
    <row r="11290" spans="1:33" ht="14.5" x14ac:dyDescent="0.35">
      <c r="A11290" s="34"/>
      <c r="B11290" s="35"/>
      <c r="C11290" s="36"/>
      <c r="D11290" s="37"/>
      <c r="E11290" s="36"/>
      <c r="F11290" s="42"/>
      <c r="G11290" s="42"/>
      <c r="H11290" s="42"/>
      <c r="AG11290" s="19"/>
    </row>
    <row r="11291" spans="1:33" ht="14.5" x14ac:dyDescent="0.35">
      <c r="A11291" s="34"/>
      <c r="B11291" s="35"/>
      <c r="C11291" s="36"/>
      <c r="D11291" s="37"/>
      <c r="E11291" s="36"/>
      <c r="F11291" s="42"/>
      <c r="G11291" s="42"/>
      <c r="H11291" s="42"/>
      <c r="AG11291" s="19"/>
    </row>
    <row r="11292" spans="1:33" ht="14.5" x14ac:dyDescent="0.35">
      <c r="A11292" s="34"/>
      <c r="B11292" s="35"/>
      <c r="C11292" s="36"/>
      <c r="D11292" s="37"/>
      <c r="E11292" s="36"/>
      <c r="F11292" s="42"/>
      <c r="G11292" s="42"/>
      <c r="H11292" s="42"/>
      <c r="AG11292" s="19"/>
    </row>
    <row r="11293" spans="1:33" ht="14.5" x14ac:dyDescent="0.35">
      <c r="A11293" s="34"/>
      <c r="B11293" s="35"/>
      <c r="C11293" s="36"/>
      <c r="D11293" s="37"/>
      <c r="E11293" s="36"/>
      <c r="F11293" s="42"/>
      <c r="G11293" s="42"/>
      <c r="H11293" s="42"/>
      <c r="AG11293" s="19"/>
    </row>
    <row r="11294" spans="1:33" ht="14.5" x14ac:dyDescent="0.35">
      <c r="A11294" s="34"/>
      <c r="B11294" s="35"/>
      <c r="C11294" s="36"/>
      <c r="D11294" s="37"/>
      <c r="E11294" s="36"/>
      <c r="F11294" s="42"/>
      <c r="G11294" s="42"/>
      <c r="H11294" s="42"/>
      <c r="AG11294" s="19"/>
    </row>
    <row r="11295" spans="1:33" ht="14.5" x14ac:dyDescent="0.35">
      <c r="A11295" s="34"/>
      <c r="B11295" s="35"/>
      <c r="C11295" s="36"/>
      <c r="D11295" s="37"/>
      <c r="E11295" s="36"/>
      <c r="F11295" s="42"/>
      <c r="G11295" s="42"/>
      <c r="H11295" s="42"/>
      <c r="AG11295" s="19"/>
    </row>
    <row r="11296" spans="1:33" ht="14.5" x14ac:dyDescent="0.35">
      <c r="A11296" s="34"/>
      <c r="B11296" s="35"/>
      <c r="C11296" s="36"/>
      <c r="D11296" s="37"/>
      <c r="E11296" s="36"/>
      <c r="F11296" s="42"/>
      <c r="G11296" s="42"/>
      <c r="H11296" s="42"/>
      <c r="AG11296" s="19"/>
    </row>
    <row r="11297" spans="1:33" ht="14.5" x14ac:dyDescent="0.35">
      <c r="A11297" s="34"/>
      <c r="B11297" s="35"/>
      <c r="C11297" s="36"/>
      <c r="D11297" s="37"/>
      <c r="E11297" s="36"/>
      <c r="F11297" s="42"/>
      <c r="G11297" s="42"/>
      <c r="H11297" s="42"/>
      <c r="AG11297" s="19"/>
    </row>
    <row r="11298" spans="1:33" ht="14.5" x14ac:dyDescent="0.35">
      <c r="A11298" s="34"/>
      <c r="B11298" s="35"/>
      <c r="C11298" s="36"/>
      <c r="D11298" s="37"/>
      <c r="E11298" s="36"/>
      <c r="F11298" s="42"/>
      <c r="G11298" s="42"/>
      <c r="H11298" s="42"/>
      <c r="AG11298" s="19"/>
    </row>
    <row r="11299" spans="1:33" ht="14.5" x14ac:dyDescent="0.35">
      <c r="A11299" s="34"/>
      <c r="B11299" s="35"/>
      <c r="C11299" s="36"/>
      <c r="D11299" s="37"/>
      <c r="E11299" s="36"/>
      <c r="F11299" s="42"/>
      <c r="G11299" s="42"/>
      <c r="H11299" s="42"/>
      <c r="AG11299" s="19"/>
    </row>
    <row r="11300" spans="1:33" ht="14.5" x14ac:dyDescent="0.35">
      <c r="A11300" s="34"/>
      <c r="B11300" s="35"/>
      <c r="C11300" s="36"/>
      <c r="D11300" s="37"/>
      <c r="E11300" s="36"/>
      <c r="F11300" s="42"/>
      <c r="G11300" s="42"/>
      <c r="H11300" s="42"/>
      <c r="AG11300" s="19"/>
    </row>
    <row r="11301" spans="1:33" ht="14.5" x14ac:dyDescent="0.35">
      <c r="A11301" s="34"/>
      <c r="B11301" s="35"/>
      <c r="C11301" s="36"/>
      <c r="D11301" s="37"/>
      <c r="E11301" s="36"/>
      <c r="F11301" s="42"/>
      <c r="G11301" s="42"/>
      <c r="H11301" s="42"/>
      <c r="AG11301" s="19"/>
    </row>
    <row r="11302" spans="1:33" ht="14.5" x14ac:dyDescent="0.35">
      <c r="A11302" s="34"/>
      <c r="B11302" s="35"/>
      <c r="C11302" s="36"/>
      <c r="D11302" s="37"/>
      <c r="E11302" s="36"/>
      <c r="F11302" s="42"/>
      <c r="G11302" s="42"/>
      <c r="H11302" s="42"/>
      <c r="AG11302" s="19"/>
    </row>
    <row r="11303" spans="1:33" ht="14.5" x14ac:dyDescent="0.35">
      <c r="A11303" s="34"/>
      <c r="B11303" s="35"/>
      <c r="C11303" s="36"/>
      <c r="D11303" s="37"/>
      <c r="E11303" s="36"/>
      <c r="F11303" s="42"/>
      <c r="G11303" s="42"/>
      <c r="H11303" s="42"/>
      <c r="AG11303" s="19"/>
    </row>
    <row r="11304" spans="1:33" ht="14.5" x14ac:dyDescent="0.35">
      <c r="A11304" s="34"/>
      <c r="B11304" s="35"/>
      <c r="C11304" s="36"/>
      <c r="D11304" s="37"/>
      <c r="E11304" s="36"/>
      <c r="F11304" s="42"/>
      <c r="G11304" s="42"/>
      <c r="H11304" s="42"/>
      <c r="AG11304" s="19"/>
    </row>
    <row r="11305" spans="1:33" ht="14.5" x14ac:dyDescent="0.35">
      <c r="A11305" s="34"/>
      <c r="B11305" s="35"/>
      <c r="C11305" s="36"/>
      <c r="D11305" s="37"/>
      <c r="E11305" s="36"/>
      <c r="F11305" s="42"/>
      <c r="G11305" s="42"/>
      <c r="H11305" s="42"/>
      <c r="AG11305" s="19"/>
    </row>
    <row r="11306" spans="1:33" ht="14.5" x14ac:dyDescent="0.35">
      <c r="A11306" s="34"/>
      <c r="B11306" s="35"/>
      <c r="C11306" s="36"/>
      <c r="D11306" s="37"/>
      <c r="E11306" s="36"/>
      <c r="F11306" s="42"/>
      <c r="G11306" s="42"/>
      <c r="H11306" s="42"/>
      <c r="AG11306" s="19"/>
    </row>
    <row r="11307" spans="1:33" ht="14.5" x14ac:dyDescent="0.35">
      <c r="A11307" s="34"/>
      <c r="B11307" s="35"/>
      <c r="C11307" s="36"/>
      <c r="D11307" s="37"/>
      <c r="E11307" s="36"/>
      <c r="F11307" s="42"/>
      <c r="G11307" s="42"/>
      <c r="H11307" s="42"/>
      <c r="AG11307" s="19"/>
    </row>
    <row r="11308" spans="1:33" ht="14.5" x14ac:dyDescent="0.35">
      <c r="A11308" s="34"/>
      <c r="B11308" s="35"/>
      <c r="C11308" s="36"/>
      <c r="D11308" s="37"/>
      <c r="E11308" s="36"/>
      <c r="F11308" s="42"/>
      <c r="G11308" s="42"/>
      <c r="H11308" s="42"/>
      <c r="AG11308" s="19"/>
    </row>
    <row r="11309" spans="1:33" ht="14.5" x14ac:dyDescent="0.35">
      <c r="A11309" s="34"/>
      <c r="B11309" s="35"/>
      <c r="C11309" s="36"/>
      <c r="D11309" s="37"/>
      <c r="E11309" s="36"/>
      <c r="F11309" s="42"/>
      <c r="G11309" s="42"/>
      <c r="H11309" s="42"/>
      <c r="AG11309" s="19"/>
    </row>
    <row r="11310" spans="1:33" ht="14.5" x14ac:dyDescent="0.35">
      <c r="A11310" s="34"/>
      <c r="B11310" s="35"/>
      <c r="C11310" s="36"/>
      <c r="D11310" s="37"/>
      <c r="E11310" s="36"/>
      <c r="F11310" s="42"/>
      <c r="G11310" s="42"/>
      <c r="H11310" s="42"/>
      <c r="AG11310" s="19"/>
    </row>
    <row r="11311" spans="1:33" ht="14.5" x14ac:dyDescent="0.35">
      <c r="A11311" s="34"/>
      <c r="B11311" s="35"/>
      <c r="C11311" s="36"/>
      <c r="D11311" s="37"/>
      <c r="E11311" s="36"/>
      <c r="F11311" s="42"/>
      <c r="G11311" s="42"/>
      <c r="H11311" s="42"/>
      <c r="AG11311" s="19"/>
    </row>
    <row r="11312" spans="1:33" ht="14.5" x14ac:dyDescent="0.35">
      <c r="A11312" s="34"/>
      <c r="B11312" s="35"/>
      <c r="C11312" s="36"/>
      <c r="D11312" s="37"/>
      <c r="E11312" s="36"/>
      <c r="F11312" s="42"/>
      <c r="G11312" s="42"/>
      <c r="H11312" s="42"/>
      <c r="AG11312" s="19"/>
    </row>
    <row r="11313" spans="1:33" ht="14.5" x14ac:dyDescent="0.35">
      <c r="A11313" s="34"/>
      <c r="B11313" s="35"/>
      <c r="C11313" s="36"/>
      <c r="D11313" s="37"/>
      <c r="E11313" s="36"/>
      <c r="F11313" s="42"/>
      <c r="G11313" s="42"/>
      <c r="H11313" s="42"/>
      <c r="AG11313" s="19"/>
    </row>
    <row r="11314" spans="1:33" ht="14.5" x14ac:dyDescent="0.35">
      <c r="A11314" s="34"/>
      <c r="B11314" s="35"/>
      <c r="C11314" s="36"/>
      <c r="D11314" s="37"/>
      <c r="E11314" s="36"/>
      <c r="F11314" s="42"/>
      <c r="G11314" s="42"/>
      <c r="H11314" s="42"/>
      <c r="AG11314" s="19"/>
    </row>
    <row r="11315" spans="1:33" ht="14.5" x14ac:dyDescent="0.35">
      <c r="A11315" s="34"/>
      <c r="B11315" s="35"/>
      <c r="C11315" s="36"/>
      <c r="D11315" s="37"/>
      <c r="E11315" s="36"/>
      <c r="F11315" s="42"/>
      <c r="G11315" s="42"/>
      <c r="H11315" s="42"/>
      <c r="AG11315" s="19"/>
    </row>
    <row r="11316" spans="1:33" ht="14.5" x14ac:dyDescent="0.35">
      <c r="A11316" s="34"/>
      <c r="B11316" s="35"/>
      <c r="C11316" s="36"/>
      <c r="D11316" s="37"/>
      <c r="E11316" s="36"/>
      <c r="F11316" s="42"/>
      <c r="G11316" s="42"/>
      <c r="H11316" s="42"/>
      <c r="AG11316" s="19"/>
    </row>
    <row r="11317" spans="1:33" ht="14.5" x14ac:dyDescent="0.35">
      <c r="A11317" s="34"/>
      <c r="B11317" s="35"/>
      <c r="C11317" s="36"/>
      <c r="D11317" s="37"/>
      <c r="E11317" s="36"/>
      <c r="F11317" s="42"/>
      <c r="G11317" s="42"/>
      <c r="H11317" s="42"/>
      <c r="AG11317" s="19"/>
    </row>
    <row r="11318" spans="1:33" ht="14.5" x14ac:dyDescent="0.35">
      <c r="A11318" s="34"/>
      <c r="B11318" s="35"/>
      <c r="C11318" s="36"/>
      <c r="D11318" s="37"/>
      <c r="E11318" s="36"/>
      <c r="F11318" s="42"/>
      <c r="G11318" s="42"/>
      <c r="H11318" s="42"/>
      <c r="AG11318" s="19"/>
    </row>
    <row r="11319" spans="1:33" ht="14.5" x14ac:dyDescent="0.35">
      <c r="A11319" s="34"/>
      <c r="B11319" s="35"/>
      <c r="C11319" s="36"/>
      <c r="D11319" s="37"/>
      <c r="E11319" s="36"/>
      <c r="F11319" s="42"/>
      <c r="G11319" s="42"/>
      <c r="H11319" s="42"/>
      <c r="AG11319" s="19"/>
    </row>
    <row r="11320" spans="1:33" ht="14.5" x14ac:dyDescent="0.35">
      <c r="A11320" s="34"/>
      <c r="B11320" s="35"/>
      <c r="C11320" s="36"/>
      <c r="D11320" s="37"/>
      <c r="E11320" s="36"/>
      <c r="F11320" s="42"/>
      <c r="G11320" s="42"/>
      <c r="H11320" s="42"/>
      <c r="AG11320" s="19"/>
    </row>
    <row r="11321" spans="1:33" ht="14.5" x14ac:dyDescent="0.35">
      <c r="A11321" s="34"/>
      <c r="B11321" s="35"/>
      <c r="C11321" s="36"/>
      <c r="D11321" s="37"/>
      <c r="E11321" s="36"/>
      <c r="F11321" s="42"/>
      <c r="G11321" s="42"/>
      <c r="H11321" s="42"/>
      <c r="AG11321" s="19"/>
    </row>
    <row r="11322" spans="1:33" ht="14.5" x14ac:dyDescent="0.35">
      <c r="A11322" s="34"/>
      <c r="B11322" s="35"/>
      <c r="C11322" s="36"/>
      <c r="D11322" s="37"/>
      <c r="E11322" s="36"/>
      <c r="F11322" s="42"/>
      <c r="G11322" s="42"/>
      <c r="H11322" s="42"/>
      <c r="AG11322" s="19"/>
    </row>
    <row r="11323" spans="1:33" ht="14.5" x14ac:dyDescent="0.35">
      <c r="A11323" s="34"/>
      <c r="B11323" s="35"/>
      <c r="C11323" s="36"/>
      <c r="D11323" s="37"/>
      <c r="E11323" s="36"/>
      <c r="F11323" s="42"/>
      <c r="G11323" s="42"/>
      <c r="H11323" s="42"/>
      <c r="AG11323" s="19"/>
    </row>
    <row r="11324" spans="1:33" ht="14.5" x14ac:dyDescent="0.35">
      <c r="A11324" s="34"/>
      <c r="B11324" s="35"/>
      <c r="C11324" s="36"/>
      <c r="D11324" s="37"/>
      <c r="E11324" s="36"/>
      <c r="F11324" s="42"/>
      <c r="G11324" s="42"/>
      <c r="H11324" s="42"/>
      <c r="AG11324" s="19"/>
    </row>
    <row r="11325" spans="1:33" ht="14.5" x14ac:dyDescent="0.35">
      <c r="A11325" s="34"/>
      <c r="B11325" s="35"/>
      <c r="C11325" s="36"/>
      <c r="D11325" s="37"/>
      <c r="E11325" s="36"/>
      <c r="F11325" s="42"/>
      <c r="G11325" s="42"/>
      <c r="H11325" s="42"/>
      <c r="AG11325" s="19"/>
    </row>
    <row r="11326" spans="1:33" ht="14.5" x14ac:dyDescent="0.35">
      <c r="A11326" s="34"/>
      <c r="B11326" s="35"/>
      <c r="C11326" s="36"/>
      <c r="D11326" s="37"/>
      <c r="E11326" s="36"/>
      <c r="F11326" s="42"/>
      <c r="G11326" s="42"/>
      <c r="H11326" s="42"/>
      <c r="AG11326" s="19"/>
    </row>
    <row r="11327" spans="1:33" ht="14.5" x14ac:dyDescent="0.35">
      <c r="A11327" s="34"/>
      <c r="B11327" s="35"/>
      <c r="C11327" s="36"/>
      <c r="D11327" s="37"/>
      <c r="E11327" s="36"/>
      <c r="F11327" s="42"/>
      <c r="G11327" s="42"/>
      <c r="H11327" s="42"/>
      <c r="AG11327" s="19"/>
    </row>
    <row r="11328" spans="1:33" ht="14.5" x14ac:dyDescent="0.35">
      <c r="A11328" s="34"/>
      <c r="B11328" s="35"/>
      <c r="C11328" s="36"/>
      <c r="D11328" s="37"/>
      <c r="E11328" s="36"/>
      <c r="F11328" s="42"/>
      <c r="G11328" s="42"/>
      <c r="H11328" s="42"/>
      <c r="AG11328" s="19"/>
    </row>
    <row r="11329" spans="1:33" ht="14.5" x14ac:dyDescent="0.35">
      <c r="A11329" s="34"/>
      <c r="B11329" s="35"/>
      <c r="C11329" s="36"/>
      <c r="D11329" s="37"/>
      <c r="E11329" s="36"/>
      <c r="F11329" s="42"/>
      <c r="G11329" s="42"/>
      <c r="H11329" s="42"/>
      <c r="AG11329" s="19"/>
    </row>
    <row r="11330" spans="1:33" ht="14.5" x14ac:dyDescent="0.35">
      <c r="A11330" s="34"/>
      <c r="B11330" s="35"/>
      <c r="C11330" s="36"/>
      <c r="D11330" s="37"/>
      <c r="E11330" s="36"/>
      <c r="F11330" s="42"/>
      <c r="G11330" s="42"/>
      <c r="H11330" s="42"/>
      <c r="AG11330" s="19"/>
    </row>
    <row r="11331" spans="1:33" ht="14.5" x14ac:dyDescent="0.35">
      <c r="A11331" s="34"/>
      <c r="B11331" s="35"/>
      <c r="C11331" s="36"/>
      <c r="D11331" s="37"/>
      <c r="E11331" s="36"/>
      <c r="F11331" s="42"/>
      <c r="G11331" s="42"/>
      <c r="H11331" s="42"/>
      <c r="AG11331" s="19"/>
    </row>
    <row r="11332" spans="1:33" ht="14.5" x14ac:dyDescent="0.35">
      <c r="A11332" s="34"/>
      <c r="B11332" s="35"/>
      <c r="C11332" s="36"/>
      <c r="D11332" s="37"/>
      <c r="E11332" s="36"/>
      <c r="F11332" s="42"/>
      <c r="G11332" s="42"/>
      <c r="H11332" s="42"/>
      <c r="AG11332" s="19"/>
    </row>
    <row r="11333" spans="1:33" ht="14.5" x14ac:dyDescent="0.35">
      <c r="A11333" s="34"/>
      <c r="B11333" s="35"/>
      <c r="C11333" s="36"/>
      <c r="D11333" s="37"/>
      <c r="E11333" s="36"/>
      <c r="F11333" s="42"/>
      <c r="G11333" s="42"/>
      <c r="H11333" s="42"/>
      <c r="AG11333" s="19"/>
    </row>
    <row r="11334" spans="1:33" ht="14.5" x14ac:dyDescent="0.35">
      <c r="A11334" s="34"/>
      <c r="B11334" s="35"/>
      <c r="C11334" s="36"/>
      <c r="D11334" s="37"/>
      <c r="E11334" s="36"/>
      <c r="F11334" s="42"/>
      <c r="G11334" s="42"/>
      <c r="H11334" s="42"/>
      <c r="AG11334" s="19"/>
    </row>
    <row r="11335" spans="1:33" ht="14.5" x14ac:dyDescent="0.35">
      <c r="A11335" s="34"/>
      <c r="B11335" s="35"/>
      <c r="C11335" s="36"/>
      <c r="D11335" s="37"/>
      <c r="E11335" s="36"/>
      <c r="F11335" s="42"/>
      <c r="G11335" s="42"/>
      <c r="H11335" s="42"/>
      <c r="AG11335" s="19"/>
    </row>
    <row r="11336" spans="1:33" ht="14.5" x14ac:dyDescent="0.35">
      <c r="A11336" s="34"/>
      <c r="B11336" s="35"/>
      <c r="C11336" s="36"/>
      <c r="D11336" s="37"/>
      <c r="E11336" s="36"/>
      <c r="F11336" s="42"/>
      <c r="G11336" s="42"/>
      <c r="H11336" s="42"/>
      <c r="AG11336" s="19"/>
    </row>
    <row r="11337" spans="1:33" ht="14.5" x14ac:dyDescent="0.35">
      <c r="A11337" s="34"/>
      <c r="B11337" s="35"/>
      <c r="C11337" s="36"/>
      <c r="D11337" s="37"/>
      <c r="E11337" s="36"/>
      <c r="F11337" s="42"/>
      <c r="G11337" s="42"/>
      <c r="H11337" s="42"/>
      <c r="AG11337" s="19"/>
    </row>
    <row r="11338" spans="1:33" ht="14.5" x14ac:dyDescent="0.35">
      <c r="A11338" s="34"/>
      <c r="B11338" s="35"/>
      <c r="C11338" s="36"/>
      <c r="D11338" s="37"/>
      <c r="E11338" s="36"/>
      <c r="F11338" s="42"/>
      <c r="G11338" s="42"/>
      <c r="H11338" s="42"/>
      <c r="AG11338" s="19"/>
    </row>
    <row r="11339" spans="1:33" ht="14.5" x14ac:dyDescent="0.35">
      <c r="A11339" s="34"/>
      <c r="B11339" s="35"/>
      <c r="C11339" s="36"/>
      <c r="D11339" s="37"/>
      <c r="E11339" s="36"/>
      <c r="F11339" s="42"/>
      <c r="G11339" s="42"/>
      <c r="H11339" s="42"/>
      <c r="AG11339" s="19"/>
    </row>
    <row r="11340" spans="1:33" ht="14.5" x14ac:dyDescent="0.35">
      <c r="A11340" s="34"/>
      <c r="B11340" s="35"/>
      <c r="C11340" s="36"/>
      <c r="D11340" s="37"/>
      <c r="E11340" s="36"/>
      <c r="F11340" s="42"/>
      <c r="G11340" s="42"/>
      <c r="H11340" s="42"/>
      <c r="AG11340" s="19"/>
    </row>
    <row r="11341" spans="1:33" ht="14.5" x14ac:dyDescent="0.35">
      <c r="A11341" s="34"/>
      <c r="B11341" s="35"/>
      <c r="C11341" s="36"/>
      <c r="D11341" s="37"/>
      <c r="E11341" s="36"/>
      <c r="F11341" s="42"/>
      <c r="G11341" s="42"/>
      <c r="H11341" s="42"/>
      <c r="AG11341" s="19"/>
    </row>
    <row r="11342" spans="1:33" ht="14.5" x14ac:dyDescent="0.35">
      <c r="A11342" s="34"/>
      <c r="B11342" s="35"/>
      <c r="C11342" s="36"/>
      <c r="D11342" s="37"/>
      <c r="E11342" s="36"/>
      <c r="F11342" s="42"/>
      <c r="G11342" s="42"/>
      <c r="H11342" s="42"/>
      <c r="AG11342" s="19"/>
    </row>
    <row r="11343" spans="1:33" ht="14.5" x14ac:dyDescent="0.35">
      <c r="A11343" s="34"/>
      <c r="B11343" s="35"/>
      <c r="C11343" s="36"/>
      <c r="D11343" s="37"/>
      <c r="E11343" s="36"/>
      <c r="F11343" s="42"/>
      <c r="G11343" s="42"/>
      <c r="H11343" s="42"/>
      <c r="AG11343" s="19"/>
    </row>
    <row r="11344" spans="1:33" ht="14.5" x14ac:dyDescent="0.35">
      <c r="A11344" s="34"/>
      <c r="B11344" s="35"/>
      <c r="C11344" s="36"/>
      <c r="D11344" s="37"/>
      <c r="E11344" s="36"/>
      <c r="F11344" s="42"/>
      <c r="G11344" s="42"/>
      <c r="H11344" s="42"/>
      <c r="AG11344" s="19"/>
    </row>
    <row r="11345" spans="1:33" ht="14.5" x14ac:dyDescent="0.35">
      <c r="A11345" s="34"/>
      <c r="B11345" s="35"/>
      <c r="C11345" s="36"/>
      <c r="D11345" s="37"/>
      <c r="E11345" s="36"/>
      <c r="F11345" s="42"/>
      <c r="G11345" s="42"/>
      <c r="H11345" s="42"/>
      <c r="AG11345" s="19"/>
    </row>
    <row r="11346" spans="1:33" ht="14.5" x14ac:dyDescent="0.35">
      <c r="A11346" s="34"/>
      <c r="B11346" s="35"/>
      <c r="C11346" s="36"/>
      <c r="D11346" s="37"/>
      <c r="E11346" s="36"/>
      <c r="F11346" s="42"/>
      <c r="G11346" s="42"/>
      <c r="H11346" s="42"/>
      <c r="AG11346" s="19"/>
    </row>
    <row r="11347" spans="1:33" ht="14.5" x14ac:dyDescent="0.35">
      <c r="A11347" s="34"/>
      <c r="B11347" s="35"/>
      <c r="C11347" s="36"/>
      <c r="D11347" s="37"/>
      <c r="E11347" s="36"/>
      <c r="F11347" s="42"/>
      <c r="G11347" s="42"/>
      <c r="H11347" s="42"/>
      <c r="AG11347" s="19"/>
    </row>
    <row r="11348" spans="1:33" ht="14.5" x14ac:dyDescent="0.35">
      <c r="A11348" s="34"/>
      <c r="B11348" s="35"/>
      <c r="C11348" s="36"/>
      <c r="D11348" s="37"/>
      <c r="E11348" s="36"/>
      <c r="F11348" s="42"/>
      <c r="G11348" s="42"/>
      <c r="H11348" s="42"/>
      <c r="AG11348" s="19"/>
    </row>
    <row r="11349" spans="1:33" ht="14.5" x14ac:dyDescent="0.35">
      <c r="A11349" s="34"/>
      <c r="B11349" s="35"/>
      <c r="C11349" s="36"/>
      <c r="D11349" s="37"/>
      <c r="E11349" s="36"/>
      <c r="F11349" s="42"/>
      <c r="G11349" s="42"/>
      <c r="H11349" s="42"/>
      <c r="AG11349" s="19"/>
    </row>
    <row r="11350" spans="1:33" ht="14.5" x14ac:dyDescent="0.35">
      <c r="A11350" s="34"/>
      <c r="B11350" s="35"/>
      <c r="C11350" s="36"/>
      <c r="D11350" s="37"/>
      <c r="E11350" s="36"/>
      <c r="F11350" s="42"/>
      <c r="G11350" s="42"/>
      <c r="H11350" s="42"/>
      <c r="AG11350" s="19"/>
    </row>
    <row r="11351" spans="1:33" ht="14.5" x14ac:dyDescent="0.35">
      <c r="A11351" s="34"/>
      <c r="B11351" s="35"/>
      <c r="C11351" s="36"/>
      <c r="D11351" s="37"/>
      <c r="E11351" s="36"/>
      <c r="F11351" s="42"/>
      <c r="G11351" s="42"/>
      <c r="H11351" s="42"/>
      <c r="AG11351" s="19"/>
    </row>
    <row r="11352" spans="1:33" ht="14.5" x14ac:dyDescent="0.35">
      <c r="A11352" s="34"/>
      <c r="B11352" s="35"/>
      <c r="C11352" s="36"/>
      <c r="D11352" s="37"/>
      <c r="E11352" s="36"/>
      <c r="F11352" s="42"/>
      <c r="G11352" s="42"/>
      <c r="H11352" s="42"/>
      <c r="AG11352" s="19"/>
    </row>
    <row r="11353" spans="1:33" ht="14.5" x14ac:dyDescent="0.35">
      <c r="A11353" s="34"/>
      <c r="B11353" s="35"/>
      <c r="C11353" s="36"/>
      <c r="D11353" s="37"/>
      <c r="E11353" s="36"/>
      <c r="F11353" s="42"/>
      <c r="G11353" s="42"/>
      <c r="H11353" s="42"/>
      <c r="AG11353" s="19"/>
    </row>
    <row r="11354" spans="1:33" ht="14.5" x14ac:dyDescent="0.35">
      <c r="A11354" s="34"/>
      <c r="B11354" s="35"/>
      <c r="C11354" s="36"/>
      <c r="D11354" s="37"/>
      <c r="E11354" s="36"/>
      <c r="F11354" s="42"/>
      <c r="G11354" s="42"/>
      <c r="H11354" s="42"/>
      <c r="AG11354" s="19"/>
    </row>
    <row r="11355" spans="1:33" ht="14.5" x14ac:dyDescent="0.35">
      <c r="A11355" s="34"/>
      <c r="B11355" s="35"/>
      <c r="C11355" s="36"/>
      <c r="D11355" s="37"/>
      <c r="E11355" s="36"/>
      <c r="F11355" s="42"/>
      <c r="G11355" s="42"/>
      <c r="H11355" s="42"/>
      <c r="AG11355" s="19"/>
    </row>
    <row r="11356" spans="1:33" ht="14.5" x14ac:dyDescent="0.35">
      <c r="A11356" s="34"/>
      <c r="B11356" s="35"/>
      <c r="C11356" s="36"/>
      <c r="D11356" s="37"/>
      <c r="E11356" s="36"/>
      <c r="F11356" s="42"/>
      <c r="G11356" s="42"/>
      <c r="H11356" s="42"/>
      <c r="AG11356" s="19"/>
    </row>
    <row r="11357" spans="1:33" ht="14.5" x14ac:dyDescent="0.35">
      <c r="A11357" s="34"/>
      <c r="B11357" s="35"/>
      <c r="C11357" s="36"/>
      <c r="D11357" s="37"/>
      <c r="E11357" s="36"/>
      <c r="F11357" s="42"/>
      <c r="G11357" s="42"/>
      <c r="H11357" s="42"/>
      <c r="AG11357" s="19"/>
    </row>
    <row r="11358" spans="1:33" ht="14.5" x14ac:dyDescent="0.35">
      <c r="A11358" s="34"/>
      <c r="B11358" s="35"/>
      <c r="C11358" s="36"/>
      <c r="D11358" s="37"/>
      <c r="E11358" s="36"/>
      <c r="F11358" s="42"/>
      <c r="G11358" s="42"/>
      <c r="H11358" s="42"/>
      <c r="AG11358" s="19"/>
    </row>
    <row r="11359" spans="1:33" ht="14.5" x14ac:dyDescent="0.35">
      <c r="A11359" s="34"/>
      <c r="B11359" s="35"/>
      <c r="C11359" s="36"/>
      <c r="D11359" s="37"/>
      <c r="E11359" s="36"/>
      <c r="F11359" s="42"/>
      <c r="G11359" s="42"/>
      <c r="H11359" s="42"/>
      <c r="AG11359" s="19"/>
    </row>
    <row r="11360" spans="1:33" ht="14.5" x14ac:dyDescent="0.35">
      <c r="A11360" s="34"/>
      <c r="B11360" s="35"/>
      <c r="C11360" s="36"/>
      <c r="D11360" s="37"/>
      <c r="E11360" s="36"/>
      <c r="F11360" s="42"/>
      <c r="G11360" s="42"/>
      <c r="H11360" s="42"/>
      <c r="AG11360" s="19"/>
    </row>
    <row r="11361" spans="1:33" ht="14.5" x14ac:dyDescent="0.35">
      <c r="A11361" s="34"/>
      <c r="B11361" s="35"/>
      <c r="C11361" s="36"/>
      <c r="D11361" s="37"/>
      <c r="E11361" s="36"/>
      <c r="F11361" s="42"/>
      <c r="G11361" s="42"/>
      <c r="H11361" s="42"/>
      <c r="AG11361" s="19"/>
    </row>
    <row r="11362" spans="1:33" ht="14.5" x14ac:dyDescent="0.35">
      <c r="A11362" s="34"/>
      <c r="B11362" s="35"/>
      <c r="C11362" s="36"/>
      <c r="D11362" s="37"/>
      <c r="E11362" s="36"/>
      <c r="F11362" s="42"/>
      <c r="G11362" s="42"/>
      <c r="H11362" s="42"/>
      <c r="AG11362" s="19"/>
    </row>
    <row r="11363" spans="1:33" ht="14.5" x14ac:dyDescent="0.35">
      <c r="A11363" s="34"/>
      <c r="B11363" s="35"/>
      <c r="C11363" s="36"/>
      <c r="D11363" s="37"/>
      <c r="E11363" s="36"/>
      <c r="F11363" s="42"/>
      <c r="G11363" s="42"/>
      <c r="H11363" s="42"/>
      <c r="AG11363" s="19"/>
    </row>
    <row r="11364" spans="1:33" ht="14.5" x14ac:dyDescent="0.35">
      <c r="A11364" s="34"/>
      <c r="B11364" s="35"/>
      <c r="C11364" s="36"/>
      <c r="D11364" s="37"/>
      <c r="E11364" s="36"/>
      <c r="F11364" s="42"/>
      <c r="G11364" s="42"/>
      <c r="H11364" s="42"/>
      <c r="AG11364" s="19"/>
    </row>
    <row r="11365" spans="1:33" ht="14.5" x14ac:dyDescent="0.35">
      <c r="A11365" s="34"/>
      <c r="B11365" s="35"/>
      <c r="C11365" s="36"/>
      <c r="D11365" s="37"/>
      <c r="E11365" s="36"/>
      <c r="F11365" s="42"/>
      <c r="G11365" s="42"/>
      <c r="H11365" s="42"/>
      <c r="AG11365" s="19"/>
    </row>
    <row r="11366" spans="1:33" ht="14.5" x14ac:dyDescent="0.35">
      <c r="A11366" s="34"/>
      <c r="B11366" s="35"/>
      <c r="C11366" s="36"/>
      <c r="D11366" s="37"/>
      <c r="E11366" s="36"/>
      <c r="F11366" s="42"/>
      <c r="G11366" s="42"/>
      <c r="H11366" s="42"/>
      <c r="AG11366" s="19"/>
    </row>
    <row r="11367" spans="1:33" ht="14.5" x14ac:dyDescent="0.35">
      <c r="A11367" s="34"/>
      <c r="B11367" s="35"/>
      <c r="C11367" s="36"/>
      <c r="D11367" s="37"/>
      <c r="E11367" s="36"/>
      <c r="F11367" s="42"/>
      <c r="G11367" s="42"/>
      <c r="H11367" s="42"/>
      <c r="AG11367" s="19"/>
    </row>
    <row r="11368" spans="1:33" ht="14.5" x14ac:dyDescent="0.35">
      <c r="A11368" s="34"/>
      <c r="B11368" s="35"/>
      <c r="C11368" s="36"/>
      <c r="D11368" s="37"/>
      <c r="E11368" s="36"/>
      <c r="F11368" s="42"/>
      <c r="G11368" s="42"/>
      <c r="H11368" s="42"/>
      <c r="AG11368" s="19"/>
    </row>
    <row r="11369" spans="1:33" ht="14.5" x14ac:dyDescent="0.35">
      <c r="A11369" s="34"/>
      <c r="B11369" s="35"/>
      <c r="C11369" s="36"/>
      <c r="D11369" s="37"/>
      <c r="E11369" s="36"/>
      <c r="F11369" s="42"/>
      <c r="G11369" s="42"/>
      <c r="H11369" s="42"/>
      <c r="AG11369" s="19"/>
    </row>
    <row r="11370" spans="1:33" ht="14.5" x14ac:dyDescent="0.35">
      <c r="A11370" s="34"/>
      <c r="B11370" s="35"/>
      <c r="C11370" s="36"/>
      <c r="D11370" s="37"/>
      <c r="E11370" s="36"/>
      <c r="F11370" s="42"/>
      <c r="G11370" s="42"/>
      <c r="H11370" s="42"/>
      <c r="AG11370" s="19"/>
    </row>
    <row r="11371" spans="1:33" ht="14.5" x14ac:dyDescent="0.35">
      <c r="A11371" s="34"/>
      <c r="B11371" s="35"/>
      <c r="C11371" s="36"/>
      <c r="D11371" s="37"/>
      <c r="E11371" s="36"/>
      <c r="F11371" s="42"/>
      <c r="G11371" s="42"/>
      <c r="H11371" s="42"/>
      <c r="AG11371" s="19"/>
    </row>
    <row r="11372" spans="1:33" ht="14.5" x14ac:dyDescent="0.35">
      <c r="A11372" s="34"/>
      <c r="B11372" s="35"/>
      <c r="C11372" s="36"/>
      <c r="D11372" s="37"/>
      <c r="E11372" s="36"/>
      <c r="F11372" s="42"/>
      <c r="G11372" s="42"/>
      <c r="H11372" s="42"/>
      <c r="AG11372" s="19"/>
    </row>
    <row r="11373" spans="1:33" ht="14.5" x14ac:dyDescent="0.35">
      <c r="A11373" s="34"/>
      <c r="B11373" s="35"/>
      <c r="C11373" s="36"/>
      <c r="D11373" s="37"/>
      <c r="E11373" s="36"/>
      <c r="F11373" s="42"/>
      <c r="G11373" s="42"/>
      <c r="H11373" s="42"/>
      <c r="AG11373" s="19"/>
    </row>
    <row r="11374" spans="1:33" ht="14.5" x14ac:dyDescent="0.35">
      <c r="A11374" s="34"/>
      <c r="B11374" s="35"/>
      <c r="C11374" s="36"/>
      <c r="D11374" s="37"/>
      <c r="E11374" s="36"/>
      <c r="F11374" s="42"/>
      <c r="G11374" s="42"/>
      <c r="H11374" s="42"/>
      <c r="AG11374" s="19"/>
    </row>
    <row r="11375" spans="1:33" ht="14.5" x14ac:dyDescent="0.35">
      <c r="A11375" s="34"/>
      <c r="B11375" s="35"/>
      <c r="C11375" s="36"/>
      <c r="D11375" s="37"/>
      <c r="E11375" s="36"/>
      <c r="F11375" s="42"/>
      <c r="G11375" s="42"/>
      <c r="H11375" s="42"/>
      <c r="AG11375" s="19"/>
    </row>
    <row r="11376" spans="1:33" ht="14.5" x14ac:dyDescent="0.35">
      <c r="A11376" s="34"/>
      <c r="B11376" s="35"/>
      <c r="C11376" s="36"/>
      <c r="D11376" s="37"/>
      <c r="E11376" s="36"/>
      <c r="F11376" s="42"/>
      <c r="G11376" s="42"/>
      <c r="H11376" s="42"/>
      <c r="AG11376" s="19"/>
    </row>
    <row r="11377" spans="1:33" ht="14.5" x14ac:dyDescent="0.35">
      <c r="A11377" s="34"/>
      <c r="B11377" s="35"/>
      <c r="C11377" s="36"/>
      <c r="D11377" s="37"/>
      <c r="E11377" s="36"/>
      <c r="F11377" s="42"/>
      <c r="G11377" s="42"/>
      <c r="H11377" s="42"/>
      <c r="AG11377" s="19"/>
    </row>
    <row r="11378" spans="1:33" ht="14.5" x14ac:dyDescent="0.35">
      <c r="A11378" s="34"/>
      <c r="B11378" s="35"/>
      <c r="C11378" s="36"/>
      <c r="D11378" s="37"/>
      <c r="E11378" s="36"/>
      <c r="F11378" s="42"/>
      <c r="G11378" s="42"/>
      <c r="H11378" s="42"/>
      <c r="AG11378" s="19"/>
    </row>
    <row r="11379" spans="1:33" ht="14.5" x14ac:dyDescent="0.35">
      <c r="A11379" s="34"/>
      <c r="B11379" s="35"/>
      <c r="C11379" s="36"/>
      <c r="D11379" s="37"/>
      <c r="E11379" s="36"/>
      <c r="F11379" s="42"/>
      <c r="G11379" s="42"/>
      <c r="H11379" s="42"/>
      <c r="AG11379" s="19"/>
    </row>
    <row r="11380" spans="1:33" ht="14.5" x14ac:dyDescent="0.35">
      <c r="A11380" s="34"/>
      <c r="B11380" s="35"/>
      <c r="C11380" s="36"/>
      <c r="D11380" s="37"/>
      <c r="E11380" s="36"/>
      <c r="F11380" s="42"/>
      <c r="G11380" s="42"/>
      <c r="H11380" s="42"/>
      <c r="AG11380" s="19"/>
    </row>
    <row r="11381" spans="1:33" ht="14.5" x14ac:dyDescent="0.35">
      <c r="A11381" s="34"/>
      <c r="B11381" s="35"/>
      <c r="C11381" s="36"/>
      <c r="D11381" s="37"/>
      <c r="E11381" s="36"/>
      <c r="F11381" s="42"/>
      <c r="G11381" s="42"/>
      <c r="H11381" s="42"/>
      <c r="AG11381" s="19"/>
    </row>
    <row r="11382" spans="1:33" ht="14.5" x14ac:dyDescent="0.35">
      <c r="A11382" s="34"/>
      <c r="B11382" s="35"/>
      <c r="C11382" s="36"/>
      <c r="D11382" s="37"/>
      <c r="E11382" s="36"/>
      <c r="F11382" s="42"/>
      <c r="G11382" s="42"/>
      <c r="H11382" s="42"/>
      <c r="AG11382" s="19"/>
    </row>
    <row r="11383" spans="1:33" ht="14.5" x14ac:dyDescent="0.35">
      <c r="A11383" s="34"/>
      <c r="B11383" s="35"/>
      <c r="C11383" s="36"/>
      <c r="D11383" s="37"/>
      <c r="E11383" s="36"/>
      <c r="F11383" s="42"/>
      <c r="G11383" s="42"/>
      <c r="H11383" s="42"/>
      <c r="AG11383" s="19"/>
    </row>
    <row r="11384" spans="1:33" ht="14.5" x14ac:dyDescent="0.35">
      <c r="A11384" s="34"/>
      <c r="B11384" s="35"/>
      <c r="C11384" s="36"/>
      <c r="D11384" s="37"/>
      <c r="E11384" s="36"/>
      <c r="F11384" s="42"/>
      <c r="G11384" s="42"/>
      <c r="H11384" s="42"/>
      <c r="AG11384" s="19"/>
    </row>
    <row r="11385" spans="1:33" ht="14.5" x14ac:dyDescent="0.35">
      <c r="A11385" s="34"/>
      <c r="B11385" s="35"/>
      <c r="C11385" s="36"/>
      <c r="D11385" s="37"/>
      <c r="E11385" s="36"/>
      <c r="F11385" s="42"/>
      <c r="G11385" s="42"/>
      <c r="H11385" s="42"/>
      <c r="AG11385" s="19"/>
    </row>
    <row r="11386" spans="1:33" ht="14.5" x14ac:dyDescent="0.35">
      <c r="A11386" s="34"/>
      <c r="B11386" s="35"/>
      <c r="C11386" s="36"/>
      <c r="D11386" s="37"/>
      <c r="E11386" s="36"/>
      <c r="F11386" s="42"/>
      <c r="G11386" s="42"/>
      <c r="H11386" s="42"/>
      <c r="AG11386" s="19"/>
    </row>
    <row r="11387" spans="1:33" ht="14.5" x14ac:dyDescent="0.35">
      <c r="A11387" s="34"/>
      <c r="B11387" s="35"/>
      <c r="C11387" s="36"/>
      <c r="D11387" s="37"/>
      <c r="E11387" s="36"/>
      <c r="F11387" s="42"/>
      <c r="G11387" s="42"/>
      <c r="H11387" s="42"/>
      <c r="AG11387" s="19"/>
    </row>
    <row r="11388" spans="1:33" ht="14.5" x14ac:dyDescent="0.35">
      <c r="A11388" s="34"/>
      <c r="B11388" s="35"/>
      <c r="C11388" s="36"/>
      <c r="D11388" s="37"/>
      <c r="E11388" s="36"/>
      <c r="F11388" s="42"/>
      <c r="G11388" s="42"/>
      <c r="H11388" s="42"/>
      <c r="AG11388" s="19"/>
    </row>
    <row r="11389" spans="1:33" ht="14.5" x14ac:dyDescent="0.35">
      <c r="A11389" s="34"/>
      <c r="B11389" s="35"/>
      <c r="C11389" s="36"/>
      <c r="D11389" s="37"/>
      <c r="E11389" s="36"/>
      <c r="F11389" s="42"/>
      <c r="G11389" s="42"/>
      <c r="H11389" s="42"/>
      <c r="AG11389" s="19"/>
    </row>
    <row r="11390" spans="1:33" ht="14.5" x14ac:dyDescent="0.35">
      <c r="A11390" s="34"/>
      <c r="B11390" s="35"/>
      <c r="C11390" s="36"/>
      <c r="D11390" s="37"/>
      <c r="E11390" s="36"/>
      <c r="F11390" s="42"/>
      <c r="G11390" s="42"/>
      <c r="H11390" s="42"/>
      <c r="AG11390" s="19"/>
    </row>
    <row r="11391" spans="1:33" ht="14.5" x14ac:dyDescent="0.35">
      <c r="A11391" s="34"/>
      <c r="B11391" s="35"/>
      <c r="C11391" s="36"/>
      <c r="D11391" s="37"/>
      <c r="E11391" s="36"/>
      <c r="F11391" s="42"/>
      <c r="G11391" s="42"/>
      <c r="H11391" s="42"/>
      <c r="AG11391" s="19"/>
    </row>
    <row r="11392" spans="1:33" ht="14.5" x14ac:dyDescent="0.35">
      <c r="A11392" s="34"/>
      <c r="B11392" s="35"/>
      <c r="C11392" s="36"/>
      <c r="D11392" s="37"/>
      <c r="E11392" s="36"/>
      <c r="F11392" s="42"/>
      <c r="G11392" s="42"/>
      <c r="H11392" s="42"/>
      <c r="AG11392" s="19"/>
    </row>
    <row r="11393" spans="1:33" ht="14.5" x14ac:dyDescent="0.35">
      <c r="A11393" s="34"/>
      <c r="B11393" s="35"/>
      <c r="C11393" s="36"/>
      <c r="D11393" s="37"/>
      <c r="E11393" s="36"/>
      <c r="F11393" s="42"/>
      <c r="G11393" s="42"/>
      <c r="H11393" s="42"/>
      <c r="AG11393" s="19"/>
    </row>
    <row r="11394" spans="1:33" ht="14.5" x14ac:dyDescent="0.35">
      <c r="A11394" s="34"/>
      <c r="B11394" s="35"/>
      <c r="C11394" s="36"/>
      <c r="D11394" s="37"/>
      <c r="E11394" s="36"/>
      <c r="F11394" s="42"/>
      <c r="G11394" s="42"/>
      <c r="H11394" s="42"/>
      <c r="AG11394" s="19"/>
    </row>
    <row r="11395" spans="1:33" ht="14.5" x14ac:dyDescent="0.35">
      <c r="A11395" s="34"/>
      <c r="B11395" s="35"/>
      <c r="C11395" s="36"/>
      <c r="D11395" s="37"/>
      <c r="E11395" s="36"/>
      <c r="F11395" s="42"/>
      <c r="G11395" s="42"/>
      <c r="H11395" s="42"/>
      <c r="AG11395" s="19"/>
    </row>
    <row r="11396" spans="1:33" ht="14.5" x14ac:dyDescent="0.35">
      <c r="A11396" s="34"/>
      <c r="B11396" s="35"/>
      <c r="C11396" s="36"/>
      <c r="D11396" s="37"/>
      <c r="E11396" s="36"/>
      <c r="F11396" s="42"/>
      <c r="G11396" s="42"/>
      <c r="H11396" s="42"/>
      <c r="AG11396" s="19"/>
    </row>
    <row r="11397" spans="1:33" ht="14.5" x14ac:dyDescent="0.35">
      <c r="A11397" s="34"/>
      <c r="B11397" s="35"/>
      <c r="C11397" s="36"/>
      <c r="D11397" s="37"/>
      <c r="E11397" s="36"/>
      <c r="F11397" s="42"/>
      <c r="G11397" s="42"/>
      <c r="H11397" s="42"/>
      <c r="AG11397" s="19"/>
    </row>
    <row r="11398" spans="1:33" ht="14.5" x14ac:dyDescent="0.35">
      <c r="A11398" s="34"/>
      <c r="B11398" s="35"/>
      <c r="C11398" s="36"/>
      <c r="D11398" s="37"/>
      <c r="E11398" s="36"/>
      <c r="F11398" s="42"/>
      <c r="G11398" s="42"/>
      <c r="H11398" s="42"/>
      <c r="AG11398" s="19"/>
    </row>
    <row r="11399" spans="1:33" ht="14.5" x14ac:dyDescent="0.35">
      <c r="A11399" s="34"/>
      <c r="B11399" s="35"/>
      <c r="C11399" s="36"/>
      <c r="D11399" s="37"/>
      <c r="E11399" s="36"/>
      <c r="F11399" s="42"/>
      <c r="G11399" s="42"/>
      <c r="H11399" s="42"/>
      <c r="AG11399" s="19"/>
    </row>
    <row r="11400" spans="1:33" ht="14.5" x14ac:dyDescent="0.35">
      <c r="A11400" s="34"/>
      <c r="B11400" s="35"/>
      <c r="C11400" s="36"/>
      <c r="D11400" s="37"/>
      <c r="E11400" s="36"/>
      <c r="F11400" s="42"/>
      <c r="G11400" s="42"/>
      <c r="H11400" s="42"/>
      <c r="AG11400" s="19"/>
    </row>
    <row r="11401" spans="1:33" ht="14.5" x14ac:dyDescent="0.35">
      <c r="A11401" s="34"/>
      <c r="B11401" s="35"/>
      <c r="C11401" s="36"/>
      <c r="D11401" s="37"/>
      <c r="E11401" s="36"/>
      <c r="F11401" s="42"/>
      <c r="G11401" s="42"/>
      <c r="H11401" s="42"/>
      <c r="AG11401" s="19"/>
    </row>
    <row r="11402" spans="1:33" ht="14.5" x14ac:dyDescent="0.35">
      <c r="A11402" s="34"/>
      <c r="B11402" s="35"/>
      <c r="C11402" s="36"/>
      <c r="D11402" s="37"/>
      <c r="E11402" s="36"/>
      <c r="F11402" s="42"/>
      <c r="G11402" s="42"/>
      <c r="H11402" s="42"/>
      <c r="AG11402" s="19"/>
    </row>
    <row r="11403" spans="1:33" ht="14.5" x14ac:dyDescent="0.35">
      <c r="A11403" s="34"/>
      <c r="B11403" s="35"/>
      <c r="C11403" s="36"/>
      <c r="D11403" s="37"/>
      <c r="E11403" s="36"/>
      <c r="F11403" s="42"/>
      <c r="G11403" s="42"/>
      <c r="H11403" s="42"/>
      <c r="AG11403" s="19"/>
    </row>
    <row r="11404" spans="1:33" ht="14.5" x14ac:dyDescent="0.35">
      <c r="A11404" s="34"/>
      <c r="B11404" s="35"/>
      <c r="C11404" s="36"/>
      <c r="D11404" s="37"/>
      <c r="E11404" s="36"/>
      <c r="F11404" s="42"/>
      <c r="G11404" s="42"/>
      <c r="H11404" s="42"/>
      <c r="AG11404" s="19"/>
    </row>
    <row r="11405" spans="1:33" ht="14.5" x14ac:dyDescent="0.35">
      <c r="A11405" s="34"/>
      <c r="B11405" s="35"/>
      <c r="C11405" s="36"/>
      <c r="D11405" s="37"/>
      <c r="E11405" s="36"/>
      <c r="F11405" s="42"/>
      <c r="G11405" s="42"/>
      <c r="H11405" s="42"/>
      <c r="AG11405" s="19"/>
    </row>
    <row r="11406" spans="1:33" ht="14.5" x14ac:dyDescent="0.35">
      <c r="A11406" s="34"/>
      <c r="B11406" s="35"/>
      <c r="C11406" s="36"/>
      <c r="D11406" s="37"/>
      <c r="E11406" s="36"/>
      <c r="F11406" s="42"/>
      <c r="G11406" s="42"/>
      <c r="H11406" s="42"/>
      <c r="AG11406" s="19"/>
    </row>
    <row r="11407" spans="1:33" ht="14.5" x14ac:dyDescent="0.35">
      <c r="A11407" s="34"/>
      <c r="B11407" s="35"/>
      <c r="C11407" s="36"/>
      <c r="D11407" s="37"/>
      <c r="E11407" s="36"/>
      <c r="F11407" s="42"/>
      <c r="G11407" s="42"/>
      <c r="H11407" s="42"/>
      <c r="AG11407" s="19"/>
    </row>
    <row r="11408" spans="1:33" ht="14.5" x14ac:dyDescent="0.35">
      <c r="A11408" s="34"/>
      <c r="B11408" s="35"/>
      <c r="C11408" s="36"/>
      <c r="D11408" s="37"/>
      <c r="E11408" s="36"/>
      <c r="F11408" s="42"/>
      <c r="G11408" s="42"/>
      <c r="H11408" s="42"/>
      <c r="AG11408" s="19"/>
    </row>
    <row r="11409" spans="1:33" ht="14.5" x14ac:dyDescent="0.35">
      <c r="A11409" s="34"/>
      <c r="B11409" s="35"/>
      <c r="C11409" s="36"/>
      <c r="D11409" s="37"/>
      <c r="E11409" s="36"/>
      <c r="F11409" s="42"/>
      <c r="G11409" s="42"/>
      <c r="H11409" s="42"/>
      <c r="AG11409" s="19"/>
    </row>
    <row r="11410" spans="1:33" ht="14.5" x14ac:dyDescent="0.35">
      <c r="A11410" s="34"/>
      <c r="B11410" s="35"/>
      <c r="C11410" s="36"/>
      <c r="D11410" s="37"/>
      <c r="E11410" s="36"/>
      <c r="F11410" s="42"/>
      <c r="G11410" s="42"/>
      <c r="H11410" s="42"/>
      <c r="AG11410" s="19"/>
    </row>
    <row r="11411" spans="1:33" ht="14.5" x14ac:dyDescent="0.35">
      <c r="A11411" s="34"/>
      <c r="B11411" s="35"/>
      <c r="C11411" s="36"/>
      <c r="D11411" s="37"/>
      <c r="E11411" s="36"/>
      <c r="F11411" s="42"/>
      <c r="G11411" s="42"/>
      <c r="H11411" s="42"/>
      <c r="AG11411" s="19"/>
    </row>
    <row r="11412" spans="1:33" ht="14.5" x14ac:dyDescent="0.35">
      <c r="A11412" s="34"/>
      <c r="B11412" s="35"/>
      <c r="C11412" s="36"/>
      <c r="D11412" s="37"/>
      <c r="E11412" s="36"/>
      <c r="F11412" s="42"/>
      <c r="G11412" s="42"/>
      <c r="H11412" s="42"/>
      <c r="AG11412" s="19"/>
    </row>
    <row r="11413" spans="1:33" ht="14.5" x14ac:dyDescent="0.35">
      <c r="A11413" s="34"/>
      <c r="B11413" s="35"/>
      <c r="C11413" s="36"/>
      <c r="D11413" s="37"/>
      <c r="E11413" s="36"/>
      <c r="F11413" s="42"/>
      <c r="G11413" s="42"/>
      <c r="H11413" s="42"/>
      <c r="AG11413" s="19"/>
    </row>
    <row r="11414" spans="1:33" ht="14.5" x14ac:dyDescent="0.35">
      <c r="A11414" s="34"/>
      <c r="B11414" s="35"/>
      <c r="C11414" s="36"/>
      <c r="D11414" s="37"/>
      <c r="E11414" s="36"/>
      <c r="F11414" s="42"/>
      <c r="G11414" s="42"/>
      <c r="H11414" s="42"/>
      <c r="AG11414" s="19"/>
    </row>
    <row r="11415" spans="1:33" ht="14.5" x14ac:dyDescent="0.35">
      <c r="A11415" s="34"/>
      <c r="B11415" s="35"/>
      <c r="C11415" s="36"/>
      <c r="D11415" s="37"/>
      <c r="E11415" s="36"/>
      <c r="F11415" s="42"/>
      <c r="G11415" s="42"/>
      <c r="H11415" s="42"/>
      <c r="AG11415" s="19"/>
    </row>
    <row r="11416" spans="1:33" ht="14.5" x14ac:dyDescent="0.35">
      <c r="A11416" s="34"/>
      <c r="B11416" s="35"/>
      <c r="C11416" s="36"/>
      <c r="D11416" s="37"/>
      <c r="E11416" s="36"/>
      <c r="F11416" s="42"/>
      <c r="G11416" s="42"/>
      <c r="H11416" s="42"/>
      <c r="AG11416" s="19"/>
    </row>
    <row r="11417" spans="1:33" ht="14.5" x14ac:dyDescent="0.35">
      <c r="A11417" s="34"/>
      <c r="B11417" s="35"/>
      <c r="C11417" s="36"/>
      <c r="D11417" s="37"/>
      <c r="E11417" s="36"/>
      <c r="F11417" s="42"/>
      <c r="G11417" s="42"/>
      <c r="H11417" s="42"/>
      <c r="AG11417" s="19"/>
    </row>
    <row r="11418" spans="1:33" ht="14.5" x14ac:dyDescent="0.35">
      <c r="A11418" s="34"/>
      <c r="B11418" s="35"/>
      <c r="C11418" s="36"/>
      <c r="D11418" s="37"/>
      <c r="E11418" s="36"/>
      <c r="F11418" s="42"/>
      <c r="G11418" s="42"/>
      <c r="H11418" s="42"/>
      <c r="AG11418" s="19"/>
    </row>
    <row r="11419" spans="1:33" ht="14.5" x14ac:dyDescent="0.35">
      <c r="A11419" s="34"/>
      <c r="B11419" s="35"/>
      <c r="C11419" s="36"/>
      <c r="D11419" s="37"/>
      <c r="E11419" s="36"/>
      <c r="F11419" s="42"/>
      <c r="G11419" s="42"/>
      <c r="H11419" s="42"/>
      <c r="AG11419" s="19"/>
    </row>
    <row r="11420" spans="1:33" ht="14.5" x14ac:dyDescent="0.35">
      <c r="A11420" s="34"/>
      <c r="B11420" s="35"/>
      <c r="C11420" s="36"/>
      <c r="D11420" s="37"/>
      <c r="E11420" s="36"/>
      <c r="F11420" s="42"/>
      <c r="G11420" s="42"/>
      <c r="H11420" s="42"/>
      <c r="AG11420" s="19"/>
    </row>
    <row r="11421" spans="1:33" ht="14.5" x14ac:dyDescent="0.35">
      <c r="A11421" s="34"/>
      <c r="B11421" s="35"/>
      <c r="C11421" s="36"/>
      <c r="D11421" s="37"/>
      <c r="E11421" s="36"/>
      <c r="F11421" s="42"/>
      <c r="G11421" s="42"/>
      <c r="H11421" s="42"/>
      <c r="AG11421" s="19"/>
    </row>
    <row r="11422" spans="1:33" ht="14.5" x14ac:dyDescent="0.35">
      <c r="A11422" s="34"/>
      <c r="B11422" s="35"/>
      <c r="C11422" s="36"/>
      <c r="D11422" s="37"/>
      <c r="E11422" s="36"/>
      <c r="F11422" s="42"/>
      <c r="G11422" s="42"/>
      <c r="H11422" s="42"/>
      <c r="AG11422" s="19"/>
    </row>
    <row r="11423" spans="1:33" ht="14.5" x14ac:dyDescent="0.35">
      <c r="A11423" s="34"/>
      <c r="B11423" s="35"/>
      <c r="C11423" s="36"/>
      <c r="D11423" s="37"/>
      <c r="E11423" s="36"/>
      <c r="F11423" s="42"/>
      <c r="G11423" s="42"/>
      <c r="H11423" s="42"/>
      <c r="AG11423" s="19"/>
    </row>
    <row r="11424" spans="1:33" ht="14.5" x14ac:dyDescent="0.35">
      <c r="A11424" s="34"/>
      <c r="B11424" s="35"/>
      <c r="C11424" s="36"/>
      <c r="D11424" s="37"/>
      <c r="E11424" s="36"/>
      <c r="F11424" s="42"/>
      <c r="G11424" s="42"/>
      <c r="H11424" s="42"/>
      <c r="AG11424" s="19"/>
    </row>
    <row r="11425" spans="1:33" ht="14.5" x14ac:dyDescent="0.35">
      <c r="A11425" s="34"/>
      <c r="B11425" s="35"/>
      <c r="C11425" s="36"/>
      <c r="D11425" s="37"/>
      <c r="E11425" s="36"/>
      <c r="F11425" s="42"/>
      <c r="G11425" s="42"/>
      <c r="H11425" s="42"/>
      <c r="AG11425" s="19"/>
    </row>
    <row r="11426" spans="1:33" ht="14.5" x14ac:dyDescent="0.35">
      <c r="A11426" s="34"/>
      <c r="B11426" s="35"/>
      <c r="C11426" s="36"/>
      <c r="D11426" s="37"/>
      <c r="E11426" s="36"/>
      <c r="F11426" s="42"/>
      <c r="G11426" s="42"/>
      <c r="H11426" s="42"/>
      <c r="AG11426" s="19"/>
    </row>
    <row r="11427" spans="1:33" ht="14.5" x14ac:dyDescent="0.35">
      <c r="A11427" s="34"/>
      <c r="B11427" s="35"/>
      <c r="C11427" s="36"/>
      <c r="D11427" s="37"/>
      <c r="E11427" s="36"/>
      <c r="F11427" s="42"/>
      <c r="G11427" s="42"/>
      <c r="H11427" s="42"/>
      <c r="AG11427" s="19"/>
    </row>
    <row r="11428" spans="1:33" ht="14.5" x14ac:dyDescent="0.35">
      <c r="A11428" s="34"/>
      <c r="B11428" s="35"/>
      <c r="C11428" s="36"/>
      <c r="D11428" s="37"/>
      <c r="E11428" s="36"/>
      <c r="F11428" s="42"/>
      <c r="G11428" s="42"/>
      <c r="H11428" s="42"/>
      <c r="AG11428" s="19"/>
    </row>
    <row r="11429" spans="1:33" ht="14.5" x14ac:dyDescent="0.35">
      <c r="A11429" s="34"/>
      <c r="B11429" s="35"/>
      <c r="C11429" s="36"/>
      <c r="D11429" s="37"/>
      <c r="E11429" s="36"/>
      <c r="F11429" s="42"/>
      <c r="G11429" s="42"/>
      <c r="H11429" s="42"/>
      <c r="AG11429" s="19"/>
    </row>
    <row r="11430" spans="1:33" ht="14.5" x14ac:dyDescent="0.35">
      <c r="A11430" s="34"/>
      <c r="B11430" s="35"/>
      <c r="C11430" s="36"/>
      <c r="D11430" s="37"/>
      <c r="E11430" s="36"/>
      <c r="F11430" s="42"/>
      <c r="G11430" s="42"/>
      <c r="H11430" s="42"/>
      <c r="AG11430" s="19"/>
    </row>
    <row r="11431" spans="1:33" ht="14.5" x14ac:dyDescent="0.35">
      <c r="A11431" s="34"/>
      <c r="B11431" s="35"/>
      <c r="C11431" s="36"/>
      <c r="D11431" s="37"/>
      <c r="E11431" s="36"/>
      <c r="F11431" s="42"/>
      <c r="G11431" s="42"/>
      <c r="H11431" s="42"/>
      <c r="AG11431" s="19"/>
    </row>
    <row r="11432" spans="1:33" ht="14.5" x14ac:dyDescent="0.35">
      <c r="A11432" s="34"/>
      <c r="B11432" s="35"/>
      <c r="C11432" s="36"/>
      <c r="D11432" s="37"/>
      <c r="E11432" s="36"/>
      <c r="F11432" s="42"/>
      <c r="G11432" s="42"/>
      <c r="H11432" s="42"/>
      <c r="AG11432" s="19"/>
    </row>
    <row r="11433" spans="1:33" ht="14.5" x14ac:dyDescent="0.35">
      <c r="A11433" s="34"/>
      <c r="B11433" s="35"/>
      <c r="C11433" s="36"/>
      <c r="D11433" s="37"/>
      <c r="E11433" s="36"/>
      <c r="F11433" s="42"/>
      <c r="G11433" s="42"/>
      <c r="H11433" s="42"/>
      <c r="AG11433" s="19"/>
    </row>
    <row r="11434" spans="1:33" ht="14.5" x14ac:dyDescent="0.35">
      <c r="A11434" s="34"/>
      <c r="B11434" s="35"/>
      <c r="C11434" s="36"/>
      <c r="D11434" s="37"/>
      <c r="E11434" s="36"/>
      <c r="F11434" s="42"/>
      <c r="G11434" s="42"/>
      <c r="H11434" s="42"/>
      <c r="AG11434" s="19"/>
    </row>
    <row r="11435" spans="1:33" ht="14.5" x14ac:dyDescent="0.35">
      <c r="A11435" s="34"/>
      <c r="B11435" s="35"/>
      <c r="C11435" s="36"/>
      <c r="D11435" s="37"/>
      <c r="E11435" s="36"/>
      <c r="F11435" s="42"/>
      <c r="G11435" s="42"/>
      <c r="H11435" s="42"/>
      <c r="AG11435" s="19"/>
    </row>
    <row r="11436" spans="1:33" ht="14.5" x14ac:dyDescent="0.35">
      <c r="A11436" s="34"/>
      <c r="B11436" s="35"/>
      <c r="C11436" s="36"/>
      <c r="D11436" s="37"/>
      <c r="E11436" s="36"/>
      <c r="F11436" s="42"/>
      <c r="G11436" s="42"/>
      <c r="H11436" s="42"/>
      <c r="AG11436" s="19"/>
    </row>
    <row r="11437" spans="1:33" ht="14.5" x14ac:dyDescent="0.35">
      <c r="A11437" s="34"/>
      <c r="B11437" s="35"/>
      <c r="C11437" s="36"/>
      <c r="D11437" s="37"/>
      <c r="E11437" s="36"/>
      <c r="F11437" s="42"/>
      <c r="G11437" s="42"/>
      <c r="H11437" s="42"/>
      <c r="AG11437" s="19"/>
    </row>
    <row r="11438" spans="1:33" ht="14.5" x14ac:dyDescent="0.35">
      <c r="A11438" s="34"/>
      <c r="B11438" s="35"/>
      <c r="C11438" s="36"/>
      <c r="D11438" s="37"/>
      <c r="E11438" s="36"/>
      <c r="F11438" s="42"/>
      <c r="G11438" s="42"/>
      <c r="H11438" s="42"/>
      <c r="AG11438" s="19"/>
    </row>
    <row r="11439" spans="1:33" ht="14.5" x14ac:dyDescent="0.35">
      <c r="A11439" s="34"/>
      <c r="B11439" s="35"/>
      <c r="C11439" s="36"/>
      <c r="D11439" s="37"/>
      <c r="E11439" s="36"/>
      <c r="F11439" s="42"/>
      <c r="G11439" s="42"/>
      <c r="H11439" s="42"/>
      <c r="AG11439" s="19"/>
    </row>
    <row r="11440" spans="1:33" ht="14.5" x14ac:dyDescent="0.35">
      <c r="A11440" s="34"/>
      <c r="B11440" s="35"/>
      <c r="C11440" s="36"/>
      <c r="D11440" s="37"/>
      <c r="E11440" s="36"/>
      <c r="F11440" s="42"/>
      <c r="G11440" s="42"/>
      <c r="H11440" s="42"/>
      <c r="AG11440" s="19"/>
    </row>
    <row r="11441" spans="1:33" ht="14.5" x14ac:dyDescent="0.35">
      <c r="A11441" s="34"/>
      <c r="B11441" s="35"/>
      <c r="C11441" s="36"/>
      <c r="D11441" s="37"/>
      <c r="E11441" s="36"/>
      <c r="F11441" s="42"/>
      <c r="G11441" s="42"/>
      <c r="H11441" s="42"/>
      <c r="AG11441" s="19"/>
    </row>
    <row r="11442" spans="1:33" ht="14.5" x14ac:dyDescent="0.35">
      <c r="A11442" s="34"/>
      <c r="B11442" s="35"/>
      <c r="C11442" s="36"/>
      <c r="D11442" s="37"/>
      <c r="E11442" s="36"/>
      <c r="F11442" s="42"/>
      <c r="G11442" s="42"/>
      <c r="H11442" s="42"/>
      <c r="AG11442" s="19"/>
    </row>
    <row r="11443" spans="1:33" ht="14.5" x14ac:dyDescent="0.35">
      <c r="A11443" s="34"/>
      <c r="B11443" s="35"/>
      <c r="C11443" s="36"/>
      <c r="D11443" s="37"/>
      <c r="E11443" s="36"/>
      <c r="F11443" s="42"/>
      <c r="G11443" s="42"/>
      <c r="H11443" s="42"/>
      <c r="AG11443" s="19"/>
    </row>
    <row r="11444" spans="1:33" ht="14.5" x14ac:dyDescent="0.35">
      <c r="A11444" s="34"/>
      <c r="B11444" s="35"/>
      <c r="C11444" s="36"/>
      <c r="D11444" s="37"/>
      <c r="E11444" s="36"/>
      <c r="F11444" s="42"/>
      <c r="G11444" s="42"/>
      <c r="H11444" s="42"/>
      <c r="AG11444" s="19"/>
    </row>
    <row r="11445" spans="1:33" ht="14.5" x14ac:dyDescent="0.35">
      <c r="A11445" s="34"/>
      <c r="B11445" s="35"/>
      <c r="C11445" s="36"/>
      <c r="D11445" s="37"/>
      <c r="E11445" s="36"/>
      <c r="F11445" s="42"/>
      <c r="G11445" s="42"/>
      <c r="H11445" s="42"/>
      <c r="AG11445" s="19"/>
    </row>
    <row r="11446" spans="1:33" ht="14.5" x14ac:dyDescent="0.35">
      <c r="A11446" s="34"/>
      <c r="B11446" s="35"/>
      <c r="C11446" s="36"/>
      <c r="D11446" s="37"/>
      <c r="E11446" s="36"/>
      <c r="F11446" s="42"/>
      <c r="G11446" s="42"/>
      <c r="H11446" s="42"/>
      <c r="AG11446" s="19"/>
    </row>
    <row r="11447" spans="1:33" ht="14.5" x14ac:dyDescent="0.35">
      <c r="A11447" s="34"/>
      <c r="B11447" s="35"/>
      <c r="C11447" s="36"/>
      <c r="D11447" s="37"/>
      <c r="E11447" s="36"/>
      <c r="F11447" s="42"/>
      <c r="G11447" s="42"/>
      <c r="H11447" s="42"/>
      <c r="AG11447" s="19"/>
    </row>
    <row r="11448" spans="1:33" ht="14.5" x14ac:dyDescent="0.35">
      <c r="A11448" s="34"/>
      <c r="B11448" s="35"/>
      <c r="C11448" s="36"/>
      <c r="D11448" s="37"/>
      <c r="E11448" s="36"/>
      <c r="F11448" s="42"/>
      <c r="G11448" s="42"/>
      <c r="H11448" s="42"/>
      <c r="AG11448" s="19"/>
    </row>
    <row r="11449" spans="1:33" ht="14.5" x14ac:dyDescent="0.35">
      <c r="A11449" s="34"/>
      <c r="B11449" s="35"/>
      <c r="C11449" s="36"/>
      <c r="D11449" s="37"/>
      <c r="E11449" s="36"/>
      <c r="F11449" s="42"/>
      <c r="G11449" s="42"/>
      <c r="H11449" s="42"/>
      <c r="AG11449" s="19"/>
    </row>
    <row r="11450" spans="1:33" ht="14.5" x14ac:dyDescent="0.35">
      <c r="A11450" s="34"/>
      <c r="B11450" s="35"/>
      <c r="C11450" s="36"/>
      <c r="D11450" s="37"/>
      <c r="E11450" s="36"/>
      <c r="F11450" s="42"/>
      <c r="G11450" s="42"/>
      <c r="H11450" s="42"/>
      <c r="AG11450" s="19"/>
    </row>
    <row r="11451" spans="1:33" ht="14.5" x14ac:dyDescent="0.35">
      <c r="A11451" s="34"/>
      <c r="B11451" s="35"/>
      <c r="C11451" s="36"/>
      <c r="D11451" s="37"/>
      <c r="E11451" s="36"/>
      <c r="F11451" s="42"/>
      <c r="G11451" s="42"/>
      <c r="H11451" s="42"/>
      <c r="AG11451" s="19"/>
    </row>
    <row r="11452" spans="1:33" ht="14.5" x14ac:dyDescent="0.35">
      <c r="A11452" s="34"/>
      <c r="B11452" s="35"/>
      <c r="C11452" s="36"/>
      <c r="D11452" s="37"/>
      <c r="E11452" s="36"/>
      <c r="F11452" s="42"/>
      <c r="G11452" s="42"/>
      <c r="H11452" s="42"/>
      <c r="AG11452" s="19"/>
    </row>
    <row r="11453" spans="1:33" ht="14.5" x14ac:dyDescent="0.35">
      <c r="A11453" s="34"/>
      <c r="B11453" s="35"/>
      <c r="C11453" s="36"/>
      <c r="D11453" s="37"/>
      <c r="E11453" s="36"/>
      <c r="F11453" s="42"/>
      <c r="G11453" s="42"/>
      <c r="H11453" s="42"/>
      <c r="AG11453" s="19"/>
    </row>
    <row r="11454" spans="1:33" ht="14.5" x14ac:dyDescent="0.35">
      <c r="A11454" s="34"/>
      <c r="B11454" s="35"/>
      <c r="C11454" s="36"/>
      <c r="D11454" s="37"/>
      <c r="E11454" s="36"/>
      <c r="F11454" s="42"/>
      <c r="G11454" s="42"/>
      <c r="H11454" s="42"/>
      <c r="AG11454" s="19"/>
    </row>
    <row r="11455" spans="1:33" ht="14.5" x14ac:dyDescent="0.35">
      <c r="A11455" s="34"/>
      <c r="B11455" s="35"/>
      <c r="C11455" s="36"/>
      <c r="D11455" s="37"/>
      <c r="E11455" s="36"/>
      <c r="F11455" s="42"/>
      <c r="G11455" s="42"/>
      <c r="H11455" s="42"/>
      <c r="AG11455" s="19"/>
    </row>
    <row r="11456" spans="1:33" ht="14.5" x14ac:dyDescent="0.35">
      <c r="A11456" s="34"/>
      <c r="B11456" s="35"/>
      <c r="C11456" s="36"/>
      <c r="D11456" s="37"/>
      <c r="E11456" s="36"/>
      <c r="F11456" s="42"/>
      <c r="G11456" s="42"/>
      <c r="H11456" s="42"/>
      <c r="AG11456" s="19"/>
    </row>
    <row r="11457" spans="1:33" ht="14.5" x14ac:dyDescent="0.35">
      <c r="A11457" s="34"/>
      <c r="B11457" s="35"/>
      <c r="C11457" s="36"/>
      <c r="D11457" s="37"/>
      <c r="E11457" s="36"/>
      <c r="F11457" s="42"/>
      <c r="G11457" s="42"/>
      <c r="H11457" s="42"/>
      <c r="AG11457" s="19"/>
    </row>
    <row r="11458" spans="1:33" ht="14.5" x14ac:dyDescent="0.35">
      <c r="A11458" s="34"/>
      <c r="B11458" s="35"/>
      <c r="C11458" s="36"/>
      <c r="D11458" s="37"/>
      <c r="E11458" s="36"/>
      <c r="F11458" s="42"/>
      <c r="G11458" s="42"/>
      <c r="H11458" s="42"/>
      <c r="AG11458" s="19"/>
    </row>
    <row r="11459" spans="1:33" ht="14.5" x14ac:dyDescent="0.35">
      <c r="A11459" s="34"/>
      <c r="B11459" s="35"/>
      <c r="C11459" s="36"/>
      <c r="D11459" s="37"/>
      <c r="E11459" s="36"/>
      <c r="F11459" s="42"/>
      <c r="G11459" s="42"/>
      <c r="H11459" s="42"/>
      <c r="AG11459" s="19"/>
    </row>
    <row r="11460" spans="1:33" ht="14.5" x14ac:dyDescent="0.35">
      <c r="A11460" s="34"/>
      <c r="B11460" s="35"/>
      <c r="C11460" s="36"/>
      <c r="D11460" s="37"/>
      <c r="E11460" s="36"/>
      <c r="F11460" s="42"/>
      <c r="G11460" s="42"/>
      <c r="H11460" s="42"/>
      <c r="AG11460" s="19"/>
    </row>
    <row r="11461" spans="1:33" ht="14.5" x14ac:dyDescent="0.35">
      <c r="A11461" s="34"/>
      <c r="B11461" s="35"/>
      <c r="C11461" s="36"/>
      <c r="D11461" s="37"/>
      <c r="E11461" s="36"/>
      <c r="F11461" s="42"/>
      <c r="G11461" s="42"/>
      <c r="H11461" s="42"/>
      <c r="AG11461" s="19"/>
    </row>
    <row r="11462" spans="1:33" ht="14.5" x14ac:dyDescent="0.35">
      <c r="A11462" s="34"/>
      <c r="B11462" s="35"/>
      <c r="C11462" s="36"/>
      <c r="D11462" s="37"/>
      <c r="E11462" s="36"/>
      <c r="F11462" s="42"/>
      <c r="G11462" s="42"/>
      <c r="H11462" s="42"/>
      <c r="AG11462" s="19"/>
    </row>
    <row r="11463" spans="1:33" ht="14.5" x14ac:dyDescent="0.35">
      <c r="A11463" s="34"/>
      <c r="B11463" s="35"/>
      <c r="C11463" s="36"/>
      <c r="D11463" s="37"/>
      <c r="E11463" s="36"/>
      <c r="F11463" s="42"/>
      <c r="G11463" s="42"/>
      <c r="H11463" s="42"/>
      <c r="AG11463" s="19"/>
    </row>
    <row r="11464" spans="1:33" ht="14.5" x14ac:dyDescent="0.35">
      <c r="A11464" s="34"/>
      <c r="B11464" s="35"/>
      <c r="C11464" s="36"/>
      <c r="D11464" s="37"/>
      <c r="E11464" s="36"/>
      <c r="F11464" s="42"/>
      <c r="G11464" s="42"/>
      <c r="H11464" s="42"/>
      <c r="AG11464" s="19"/>
    </row>
    <row r="11465" spans="1:33" ht="14.5" x14ac:dyDescent="0.35">
      <c r="A11465" s="34"/>
      <c r="B11465" s="35"/>
      <c r="C11465" s="36"/>
      <c r="D11465" s="37"/>
      <c r="E11465" s="36"/>
      <c r="F11465" s="42"/>
      <c r="G11465" s="42"/>
      <c r="H11465" s="42"/>
      <c r="AG11465" s="19"/>
    </row>
    <row r="11466" spans="1:33" ht="14.5" x14ac:dyDescent="0.35">
      <c r="A11466" s="34"/>
      <c r="B11466" s="35"/>
      <c r="C11466" s="36"/>
      <c r="D11466" s="37"/>
      <c r="E11466" s="36"/>
      <c r="F11466" s="42"/>
      <c r="G11466" s="42"/>
      <c r="H11466" s="42"/>
      <c r="AG11466" s="19"/>
    </row>
    <row r="11467" spans="1:33" ht="14.5" x14ac:dyDescent="0.35">
      <c r="A11467" s="34"/>
      <c r="B11467" s="35"/>
      <c r="C11467" s="36"/>
      <c r="D11467" s="37"/>
      <c r="E11467" s="36"/>
      <c r="F11467" s="42"/>
      <c r="G11467" s="42"/>
      <c r="H11467" s="42"/>
      <c r="AG11467" s="19"/>
    </row>
    <row r="11468" spans="1:33" ht="14.5" x14ac:dyDescent="0.35">
      <c r="A11468" s="34"/>
      <c r="B11468" s="35"/>
      <c r="C11468" s="36"/>
      <c r="D11468" s="37"/>
      <c r="E11468" s="36"/>
      <c r="F11468" s="42"/>
      <c r="G11468" s="42"/>
      <c r="H11468" s="42"/>
      <c r="AG11468" s="19"/>
    </row>
    <row r="11469" spans="1:33" ht="14.5" x14ac:dyDescent="0.35">
      <c r="A11469" s="34"/>
      <c r="B11469" s="35"/>
      <c r="C11469" s="36"/>
      <c r="D11469" s="37"/>
      <c r="E11469" s="36"/>
      <c r="F11469" s="42"/>
      <c r="G11469" s="42"/>
      <c r="H11469" s="42"/>
      <c r="AG11469" s="19"/>
    </row>
    <row r="11470" spans="1:33" ht="14.5" x14ac:dyDescent="0.35">
      <c r="A11470" s="34"/>
      <c r="B11470" s="35"/>
      <c r="C11470" s="36"/>
      <c r="D11470" s="37"/>
      <c r="E11470" s="36"/>
      <c r="F11470" s="42"/>
      <c r="G11470" s="42"/>
      <c r="H11470" s="42"/>
      <c r="AG11470" s="19"/>
    </row>
    <row r="11471" spans="1:33" ht="14.5" x14ac:dyDescent="0.35">
      <c r="A11471" s="34"/>
      <c r="B11471" s="35"/>
      <c r="C11471" s="36"/>
      <c r="D11471" s="37"/>
      <c r="E11471" s="36"/>
      <c r="F11471" s="42"/>
      <c r="G11471" s="42"/>
      <c r="H11471" s="42"/>
      <c r="AG11471" s="19"/>
    </row>
    <row r="11472" spans="1:33" ht="14.5" x14ac:dyDescent="0.35">
      <c r="A11472" s="34"/>
      <c r="B11472" s="35"/>
      <c r="C11472" s="36"/>
      <c r="D11472" s="37"/>
      <c r="E11472" s="36"/>
      <c r="F11472" s="42"/>
      <c r="G11472" s="42"/>
      <c r="H11472" s="42"/>
      <c r="AG11472" s="19"/>
    </row>
    <row r="11473" spans="1:33" ht="14.5" x14ac:dyDescent="0.35">
      <c r="A11473" s="34"/>
      <c r="B11473" s="35"/>
      <c r="C11473" s="36"/>
      <c r="D11473" s="37"/>
      <c r="E11473" s="36"/>
      <c r="F11473" s="42"/>
      <c r="G11473" s="42"/>
      <c r="H11473" s="42"/>
      <c r="AG11473" s="19"/>
    </row>
    <row r="11474" spans="1:33" ht="14.5" x14ac:dyDescent="0.35">
      <c r="A11474" s="34"/>
      <c r="B11474" s="35"/>
      <c r="C11474" s="36"/>
      <c r="D11474" s="37"/>
      <c r="E11474" s="36"/>
      <c r="F11474" s="42"/>
      <c r="G11474" s="42"/>
      <c r="H11474" s="42"/>
      <c r="AG11474" s="19"/>
    </row>
    <row r="11475" spans="1:33" ht="14.5" x14ac:dyDescent="0.35">
      <c r="A11475" s="34"/>
      <c r="B11475" s="35"/>
      <c r="C11475" s="36"/>
      <c r="D11475" s="37"/>
      <c r="E11475" s="36"/>
      <c r="F11475" s="42"/>
      <c r="G11475" s="42"/>
      <c r="H11475" s="42"/>
      <c r="AG11475" s="19"/>
    </row>
    <row r="11476" spans="1:33" ht="14.5" x14ac:dyDescent="0.35">
      <c r="A11476" s="34"/>
      <c r="B11476" s="35"/>
      <c r="C11476" s="36"/>
      <c r="D11476" s="37"/>
      <c r="E11476" s="36"/>
      <c r="F11476" s="42"/>
      <c r="G11476" s="42"/>
      <c r="H11476" s="42"/>
      <c r="AG11476" s="19"/>
    </row>
    <row r="11477" spans="1:33" ht="14.5" x14ac:dyDescent="0.35">
      <c r="A11477" s="34"/>
      <c r="B11477" s="35"/>
      <c r="C11477" s="36"/>
      <c r="D11477" s="37"/>
      <c r="E11477" s="36"/>
      <c r="F11477" s="42"/>
      <c r="G11477" s="42"/>
      <c r="H11477" s="42"/>
      <c r="AG11477" s="19"/>
    </row>
    <row r="11478" spans="1:33" ht="14.5" x14ac:dyDescent="0.35">
      <c r="A11478" s="34"/>
      <c r="B11478" s="35"/>
      <c r="C11478" s="36"/>
      <c r="D11478" s="37"/>
      <c r="E11478" s="36"/>
      <c r="F11478" s="42"/>
      <c r="G11478" s="42"/>
      <c r="H11478" s="42"/>
      <c r="AG11478" s="19"/>
    </row>
    <row r="11479" spans="1:33" ht="14.5" x14ac:dyDescent="0.35">
      <c r="A11479" s="34"/>
      <c r="B11479" s="35"/>
      <c r="C11479" s="36"/>
      <c r="D11479" s="37"/>
      <c r="E11479" s="36"/>
      <c r="F11479" s="42"/>
      <c r="G11479" s="42"/>
      <c r="H11479" s="42"/>
      <c r="AG11479" s="19"/>
    </row>
    <row r="11480" spans="1:33" ht="14.5" x14ac:dyDescent="0.35">
      <c r="A11480" s="34"/>
      <c r="B11480" s="35"/>
      <c r="C11480" s="36"/>
      <c r="D11480" s="37"/>
      <c r="E11480" s="36"/>
      <c r="F11480" s="42"/>
      <c r="G11480" s="42"/>
      <c r="H11480" s="42"/>
      <c r="AG11480" s="19"/>
    </row>
    <row r="11481" spans="1:33" ht="14.5" x14ac:dyDescent="0.35">
      <c r="A11481" s="34"/>
      <c r="B11481" s="35"/>
      <c r="C11481" s="36"/>
      <c r="D11481" s="37"/>
      <c r="E11481" s="36"/>
      <c r="F11481" s="42"/>
      <c r="G11481" s="42"/>
      <c r="H11481" s="42"/>
      <c r="AG11481" s="19"/>
    </row>
    <row r="11482" spans="1:33" ht="14.5" x14ac:dyDescent="0.35">
      <c r="A11482" s="34"/>
      <c r="B11482" s="35"/>
      <c r="C11482" s="36"/>
      <c r="D11482" s="37"/>
      <c r="E11482" s="36"/>
      <c r="F11482" s="42"/>
      <c r="G11482" s="42"/>
      <c r="H11482" s="42"/>
      <c r="AG11482" s="19"/>
    </row>
    <row r="11483" spans="1:33" ht="14.5" x14ac:dyDescent="0.35">
      <c r="A11483" s="34"/>
      <c r="B11483" s="35"/>
      <c r="C11483" s="36"/>
      <c r="D11483" s="37"/>
      <c r="E11483" s="36"/>
      <c r="F11483" s="42"/>
      <c r="G11483" s="42"/>
      <c r="H11483" s="42"/>
      <c r="AG11483" s="19"/>
    </row>
    <row r="11484" spans="1:33" ht="14.5" x14ac:dyDescent="0.35">
      <c r="A11484" s="34"/>
      <c r="B11484" s="35"/>
      <c r="C11484" s="36"/>
      <c r="D11484" s="37"/>
      <c r="E11484" s="36"/>
      <c r="F11484" s="42"/>
      <c r="G11484" s="42"/>
      <c r="H11484" s="42"/>
      <c r="AG11484" s="19"/>
    </row>
    <row r="11485" spans="1:33" ht="14.5" x14ac:dyDescent="0.35">
      <c r="A11485" s="34"/>
      <c r="B11485" s="35"/>
      <c r="C11485" s="36"/>
      <c r="D11485" s="37"/>
      <c r="E11485" s="36"/>
      <c r="F11485" s="42"/>
      <c r="G11485" s="42"/>
      <c r="H11485" s="42"/>
      <c r="AG11485" s="19"/>
    </row>
    <row r="11486" spans="1:33" ht="14.5" x14ac:dyDescent="0.35">
      <c r="A11486" s="34"/>
      <c r="B11486" s="35"/>
      <c r="C11486" s="36"/>
      <c r="D11486" s="37"/>
      <c r="E11486" s="36"/>
      <c r="F11486" s="42"/>
      <c r="G11486" s="42"/>
      <c r="H11486" s="42"/>
      <c r="AG11486" s="19"/>
    </row>
    <row r="11487" spans="1:33" ht="14.5" x14ac:dyDescent="0.35">
      <c r="A11487" s="34"/>
      <c r="B11487" s="35"/>
      <c r="C11487" s="36"/>
      <c r="D11487" s="37"/>
      <c r="E11487" s="36"/>
      <c r="F11487" s="42"/>
      <c r="G11487" s="42"/>
      <c r="H11487" s="42"/>
      <c r="AG11487" s="19"/>
    </row>
    <row r="11488" spans="1:33" ht="14.5" x14ac:dyDescent="0.35">
      <c r="A11488" s="34"/>
      <c r="B11488" s="35"/>
      <c r="C11488" s="36"/>
      <c r="D11488" s="37"/>
      <c r="E11488" s="36"/>
      <c r="F11488" s="42"/>
      <c r="G11488" s="42"/>
      <c r="H11488" s="42"/>
      <c r="AG11488" s="19"/>
    </row>
    <row r="11489" spans="1:33" ht="14.5" x14ac:dyDescent="0.35">
      <c r="A11489" s="34"/>
      <c r="B11489" s="35"/>
      <c r="C11489" s="36"/>
      <c r="D11489" s="37"/>
      <c r="E11489" s="36"/>
      <c r="F11489" s="42"/>
      <c r="G11489" s="42"/>
      <c r="H11489" s="42"/>
      <c r="AG11489" s="19"/>
    </row>
    <row r="11490" spans="1:33" ht="14.5" x14ac:dyDescent="0.35">
      <c r="A11490" s="34"/>
      <c r="B11490" s="35"/>
      <c r="C11490" s="36"/>
      <c r="D11490" s="37"/>
      <c r="E11490" s="36"/>
      <c r="F11490" s="42"/>
      <c r="G11490" s="42"/>
      <c r="H11490" s="42"/>
      <c r="AG11490" s="19"/>
    </row>
    <row r="11491" spans="1:33" ht="14.5" x14ac:dyDescent="0.35">
      <c r="A11491" s="34"/>
      <c r="B11491" s="35"/>
      <c r="C11491" s="36"/>
      <c r="D11491" s="37"/>
      <c r="E11491" s="36"/>
      <c r="F11491" s="42"/>
      <c r="G11491" s="42"/>
      <c r="H11491" s="42"/>
      <c r="AG11491" s="19"/>
    </row>
    <row r="11492" spans="1:33" ht="14.5" x14ac:dyDescent="0.35">
      <c r="A11492" s="34"/>
      <c r="B11492" s="35"/>
      <c r="C11492" s="36"/>
      <c r="D11492" s="37"/>
      <c r="E11492" s="36"/>
      <c r="F11492" s="42"/>
      <c r="G11492" s="42"/>
      <c r="H11492" s="42"/>
      <c r="AG11492" s="19"/>
    </row>
    <row r="11493" spans="1:33" ht="14.5" x14ac:dyDescent="0.35">
      <c r="A11493" s="34"/>
      <c r="B11493" s="35"/>
      <c r="C11493" s="36"/>
      <c r="D11493" s="37"/>
      <c r="E11493" s="36"/>
      <c r="F11493" s="42"/>
      <c r="G11493" s="42"/>
      <c r="H11493" s="42"/>
      <c r="AG11493" s="19"/>
    </row>
    <row r="11494" spans="1:33" ht="14.5" x14ac:dyDescent="0.35">
      <c r="A11494" s="34"/>
      <c r="B11494" s="35"/>
      <c r="C11494" s="36"/>
      <c r="D11494" s="37"/>
      <c r="E11494" s="36"/>
      <c r="F11494" s="42"/>
      <c r="G11494" s="42"/>
      <c r="H11494" s="42"/>
      <c r="AG11494" s="19"/>
    </row>
    <row r="11495" spans="1:33" ht="14.5" x14ac:dyDescent="0.35">
      <c r="A11495" s="34"/>
      <c r="B11495" s="35"/>
      <c r="C11495" s="36"/>
      <c r="D11495" s="37"/>
      <c r="E11495" s="36"/>
      <c r="F11495" s="42"/>
      <c r="G11495" s="42"/>
      <c r="H11495" s="42"/>
      <c r="AG11495" s="19"/>
    </row>
    <row r="11496" spans="1:33" ht="14.5" x14ac:dyDescent="0.35">
      <c r="A11496" s="34"/>
      <c r="B11496" s="35"/>
      <c r="C11496" s="36"/>
      <c r="D11496" s="37"/>
      <c r="E11496" s="36"/>
      <c r="F11496" s="42"/>
      <c r="G11496" s="42"/>
      <c r="H11496" s="42"/>
      <c r="AG11496" s="19"/>
    </row>
    <row r="11497" spans="1:33" ht="14.5" x14ac:dyDescent="0.35">
      <c r="A11497" s="34"/>
      <c r="B11497" s="35"/>
      <c r="C11497" s="36"/>
      <c r="D11497" s="37"/>
      <c r="E11497" s="36"/>
      <c r="F11497" s="42"/>
      <c r="G11497" s="42"/>
      <c r="H11497" s="42"/>
      <c r="AG11497" s="19"/>
    </row>
    <row r="11498" spans="1:33" ht="14.5" x14ac:dyDescent="0.35">
      <c r="A11498" s="34"/>
      <c r="B11498" s="35"/>
      <c r="C11498" s="36"/>
      <c r="D11498" s="37"/>
      <c r="E11498" s="36"/>
      <c r="F11498" s="42"/>
      <c r="G11498" s="42"/>
      <c r="H11498" s="42"/>
      <c r="AG11498" s="19"/>
    </row>
    <row r="11499" spans="1:33" ht="14.5" x14ac:dyDescent="0.35">
      <c r="A11499" s="34"/>
      <c r="B11499" s="35"/>
      <c r="C11499" s="36"/>
      <c r="D11499" s="37"/>
      <c r="E11499" s="36"/>
      <c r="F11499" s="42"/>
      <c r="G11499" s="42"/>
      <c r="H11499" s="42"/>
      <c r="AG11499" s="19"/>
    </row>
    <row r="11500" spans="1:33" ht="14.5" x14ac:dyDescent="0.35">
      <c r="A11500" s="34"/>
      <c r="B11500" s="35"/>
      <c r="C11500" s="36"/>
      <c r="D11500" s="37"/>
      <c r="E11500" s="36"/>
      <c r="F11500" s="42"/>
      <c r="G11500" s="42"/>
      <c r="H11500" s="42"/>
      <c r="AG11500" s="19"/>
    </row>
    <row r="11501" spans="1:33" ht="14.5" x14ac:dyDescent="0.35">
      <c r="A11501" s="34"/>
      <c r="B11501" s="35"/>
      <c r="C11501" s="36"/>
      <c r="D11501" s="37"/>
      <c r="E11501" s="36"/>
      <c r="F11501" s="42"/>
      <c r="G11501" s="42"/>
      <c r="H11501" s="42"/>
      <c r="AG11501" s="19"/>
    </row>
    <row r="11502" spans="1:33" ht="14.5" x14ac:dyDescent="0.35">
      <c r="A11502" s="34"/>
      <c r="B11502" s="35"/>
      <c r="C11502" s="36"/>
      <c r="D11502" s="37"/>
      <c r="E11502" s="36"/>
      <c r="F11502" s="42"/>
      <c r="G11502" s="42"/>
      <c r="H11502" s="42"/>
      <c r="AG11502" s="19"/>
    </row>
    <row r="11503" spans="1:33" ht="14.5" x14ac:dyDescent="0.35">
      <c r="A11503" s="34"/>
      <c r="B11503" s="35"/>
      <c r="C11503" s="36"/>
      <c r="D11503" s="37"/>
      <c r="E11503" s="36"/>
      <c r="F11503" s="42"/>
      <c r="G11503" s="42"/>
      <c r="H11503" s="42"/>
      <c r="AG11503" s="19"/>
    </row>
    <row r="11504" spans="1:33" ht="14.5" x14ac:dyDescent="0.35">
      <c r="A11504" s="34"/>
      <c r="B11504" s="35"/>
      <c r="C11504" s="36"/>
      <c r="D11504" s="37"/>
      <c r="E11504" s="36"/>
      <c r="F11504" s="42"/>
      <c r="G11504" s="42"/>
      <c r="H11504" s="42"/>
      <c r="AG11504" s="19"/>
    </row>
    <row r="11505" spans="1:33" ht="14.5" x14ac:dyDescent="0.35">
      <c r="A11505" s="34"/>
      <c r="B11505" s="35"/>
      <c r="C11505" s="36"/>
      <c r="D11505" s="37"/>
      <c r="E11505" s="36"/>
      <c r="F11505" s="42"/>
      <c r="G11505" s="42"/>
      <c r="H11505" s="42"/>
      <c r="AG11505" s="19"/>
    </row>
    <row r="11506" spans="1:33" ht="14.5" x14ac:dyDescent="0.35">
      <c r="A11506" s="34"/>
      <c r="B11506" s="35"/>
      <c r="C11506" s="36"/>
      <c r="D11506" s="37"/>
      <c r="E11506" s="36"/>
      <c r="F11506" s="42"/>
      <c r="G11506" s="42"/>
      <c r="H11506" s="42"/>
      <c r="AG11506" s="19"/>
    </row>
    <row r="11507" spans="1:33" ht="14.5" x14ac:dyDescent="0.35">
      <c r="A11507" s="34"/>
      <c r="B11507" s="35"/>
      <c r="C11507" s="36"/>
      <c r="D11507" s="37"/>
      <c r="E11507" s="36"/>
      <c r="F11507" s="42"/>
      <c r="G11507" s="42"/>
      <c r="H11507" s="42"/>
      <c r="AG11507" s="19"/>
    </row>
    <row r="11508" spans="1:33" ht="14.5" x14ac:dyDescent="0.35">
      <c r="A11508" s="34"/>
      <c r="B11508" s="35"/>
      <c r="C11508" s="36"/>
      <c r="D11508" s="37"/>
      <c r="E11508" s="36"/>
      <c r="F11508" s="42"/>
      <c r="G11508" s="42"/>
      <c r="H11508" s="42"/>
      <c r="AG11508" s="19"/>
    </row>
    <row r="11509" spans="1:33" ht="14.5" x14ac:dyDescent="0.35">
      <c r="A11509" s="34"/>
      <c r="B11509" s="35"/>
      <c r="C11509" s="36"/>
      <c r="D11509" s="37"/>
      <c r="E11509" s="36"/>
      <c r="F11509" s="42"/>
      <c r="G11509" s="42"/>
      <c r="H11509" s="42"/>
      <c r="AG11509" s="19"/>
    </row>
    <row r="11510" spans="1:33" ht="14.5" x14ac:dyDescent="0.35">
      <c r="A11510" s="34"/>
      <c r="B11510" s="35"/>
      <c r="C11510" s="36"/>
      <c r="D11510" s="37"/>
      <c r="E11510" s="36"/>
      <c r="F11510" s="42"/>
      <c r="G11510" s="42"/>
      <c r="H11510" s="42"/>
      <c r="AG11510" s="19"/>
    </row>
    <row r="11511" spans="1:33" ht="14.5" x14ac:dyDescent="0.35">
      <c r="A11511" s="34"/>
      <c r="B11511" s="35"/>
      <c r="C11511" s="36"/>
      <c r="D11511" s="37"/>
      <c r="E11511" s="36"/>
      <c r="F11511" s="42"/>
      <c r="G11511" s="42"/>
      <c r="H11511" s="42"/>
      <c r="AG11511" s="19"/>
    </row>
    <row r="11512" spans="1:33" ht="14.5" x14ac:dyDescent="0.35">
      <c r="A11512" s="34"/>
      <c r="B11512" s="35"/>
      <c r="C11512" s="36"/>
      <c r="D11512" s="37"/>
      <c r="E11512" s="36"/>
      <c r="F11512" s="42"/>
      <c r="G11512" s="42"/>
      <c r="H11512" s="42"/>
      <c r="AG11512" s="19"/>
    </row>
    <row r="11513" spans="1:33" ht="14.5" x14ac:dyDescent="0.35">
      <c r="A11513" s="34"/>
      <c r="B11513" s="35"/>
      <c r="C11513" s="36"/>
      <c r="D11513" s="37"/>
      <c r="E11513" s="36"/>
      <c r="F11513" s="42"/>
      <c r="G11513" s="42"/>
      <c r="H11513" s="42"/>
      <c r="AG11513" s="19"/>
    </row>
    <row r="11514" spans="1:33" ht="14.5" x14ac:dyDescent="0.35">
      <c r="A11514" s="34"/>
      <c r="B11514" s="35"/>
      <c r="C11514" s="36"/>
      <c r="D11514" s="37"/>
      <c r="E11514" s="36"/>
      <c r="F11514" s="42"/>
      <c r="G11514" s="42"/>
      <c r="H11514" s="42"/>
      <c r="AG11514" s="19"/>
    </row>
    <row r="11515" spans="1:33" ht="14.5" x14ac:dyDescent="0.35">
      <c r="A11515" s="34"/>
      <c r="B11515" s="35"/>
      <c r="C11515" s="36"/>
      <c r="D11515" s="37"/>
      <c r="E11515" s="36"/>
      <c r="F11515" s="42"/>
      <c r="G11515" s="42"/>
      <c r="H11515" s="42"/>
      <c r="AG11515" s="19"/>
    </row>
    <row r="11516" spans="1:33" ht="14.5" x14ac:dyDescent="0.35">
      <c r="A11516" s="34"/>
      <c r="B11516" s="35"/>
      <c r="C11516" s="36"/>
      <c r="D11516" s="37"/>
      <c r="E11516" s="36"/>
      <c r="F11516" s="42"/>
      <c r="G11516" s="42"/>
      <c r="H11516" s="42"/>
      <c r="AG11516" s="19"/>
    </row>
    <row r="11517" spans="1:33" ht="14.5" x14ac:dyDescent="0.35">
      <c r="A11517" s="34"/>
      <c r="B11517" s="35"/>
      <c r="C11517" s="36"/>
      <c r="D11517" s="37"/>
      <c r="E11517" s="36"/>
      <c r="F11517" s="42"/>
      <c r="G11517" s="42"/>
      <c r="H11517" s="42"/>
      <c r="AG11517" s="19"/>
    </row>
    <row r="11518" spans="1:33" ht="14.5" x14ac:dyDescent="0.35">
      <c r="A11518" s="34"/>
      <c r="B11518" s="35"/>
      <c r="C11518" s="36"/>
      <c r="D11518" s="37"/>
      <c r="E11518" s="36"/>
      <c r="F11518" s="42"/>
      <c r="G11518" s="42"/>
      <c r="H11518" s="42"/>
      <c r="AG11518" s="19"/>
    </row>
    <row r="11519" spans="1:33" ht="14.5" x14ac:dyDescent="0.35">
      <c r="A11519" s="34"/>
      <c r="B11519" s="35"/>
      <c r="C11519" s="36"/>
      <c r="D11519" s="37"/>
      <c r="E11519" s="36"/>
      <c r="F11519" s="42"/>
      <c r="G11519" s="42"/>
      <c r="H11519" s="42"/>
      <c r="AG11519" s="19"/>
    </row>
    <row r="11520" spans="1:33" ht="14.5" x14ac:dyDescent="0.35">
      <c r="A11520" s="34"/>
      <c r="B11520" s="35"/>
      <c r="C11520" s="36"/>
      <c r="D11520" s="37"/>
      <c r="E11520" s="36"/>
      <c r="F11520" s="42"/>
      <c r="G11520" s="42"/>
      <c r="H11520" s="42"/>
      <c r="AG11520" s="19"/>
    </row>
    <row r="11521" spans="1:33" ht="14.5" x14ac:dyDescent="0.35">
      <c r="A11521" s="34"/>
      <c r="B11521" s="35"/>
      <c r="C11521" s="36"/>
      <c r="D11521" s="37"/>
      <c r="E11521" s="36"/>
      <c r="F11521" s="42"/>
      <c r="G11521" s="42"/>
      <c r="H11521" s="42"/>
      <c r="AG11521" s="19"/>
    </row>
    <row r="11522" spans="1:33" ht="14.5" x14ac:dyDescent="0.35">
      <c r="A11522" s="34"/>
      <c r="B11522" s="35"/>
      <c r="C11522" s="36"/>
      <c r="D11522" s="37"/>
      <c r="E11522" s="36"/>
      <c r="F11522" s="42"/>
      <c r="G11522" s="42"/>
      <c r="H11522" s="42"/>
      <c r="AG11522" s="19"/>
    </row>
    <row r="11523" spans="1:33" ht="14.5" x14ac:dyDescent="0.35">
      <c r="A11523" s="34"/>
      <c r="B11523" s="35"/>
      <c r="C11523" s="36"/>
      <c r="D11523" s="37"/>
      <c r="E11523" s="36"/>
      <c r="F11523" s="42"/>
      <c r="G11523" s="42"/>
      <c r="H11523" s="42"/>
      <c r="AG11523" s="19"/>
    </row>
    <row r="11524" spans="1:33" ht="14.5" x14ac:dyDescent="0.35">
      <c r="A11524" s="34"/>
      <c r="B11524" s="35"/>
      <c r="C11524" s="36"/>
      <c r="D11524" s="37"/>
      <c r="E11524" s="36"/>
      <c r="F11524" s="42"/>
      <c r="G11524" s="42"/>
      <c r="H11524" s="42"/>
      <c r="AG11524" s="19"/>
    </row>
    <row r="11525" spans="1:33" ht="14.5" x14ac:dyDescent="0.35">
      <c r="A11525" s="34"/>
      <c r="B11525" s="35"/>
      <c r="C11525" s="36"/>
      <c r="D11525" s="37"/>
      <c r="E11525" s="36"/>
      <c r="F11525" s="42"/>
      <c r="G11525" s="42"/>
      <c r="H11525" s="42"/>
      <c r="AG11525" s="19"/>
    </row>
    <row r="11526" spans="1:33" ht="14.5" x14ac:dyDescent="0.35">
      <c r="A11526" s="34"/>
      <c r="B11526" s="35"/>
      <c r="C11526" s="36"/>
      <c r="D11526" s="37"/>
      <c r="E11526" s="36"/>
      <c r="F11526" s="42"/>
      <c r="G11526" s="42"/>
      <c r="H11526" s="42"/>
      <c r="AG11526" s="19"/>
    </row>
    <row r="11527" spans="1:33" ht="14.5" x14ac:dyDescent="0.35">
      <c r="A11527" s="34"/>
      <c r="B11527" s="35"/>
      <c r="C11527" s="36"/>
      <c r="D11527" s="37"/>
      <c r="E11527" s="36"/>
      <c r="F11527" s="42"/>
      <c r="G11527" s="42"/>
      <c r="H11527" s="42"/>
      <c r="AG11527" s="19"/>
    </row>
    <row r="11528" spans="1:33" ht="14.5" x14ac:dyDescent="0.35">
      <c r="A11528" s="34"/>
      <c r="B11528" s="35"/>
      <c r="C11528" s="36"/>
      <c r="D11528" s="37"/>
      <c r="E11528" s="36"/>
      <c r="F11528" s="42"/>
      <c r="G11528" s="42"/>
      <c r="H11528" s="42"/>
      <c r="AG11528" s="19"/>
    </row>
    <row r="11529" spans="1:33" ht="14.5" x14ac:dyDescent="0.35">
      <c r="A11529" s="34"/>
      <c r="B11529" s="35"/>
      <c r="C11529" s="36"/>
      <c r="D11529" s="37"/>
      <c r="E11529" s="36"/>
      <c r="F11529" s="42"/>
      <c r="G11529" s="42"/>
      <c r="H11529" s="42"/>
      <c r="AG11529" s="19"/>
    </row>
    <row r="11530" spans="1:33" ht="14.5" x14ac:dyDescent="0.35">
      <c r="A11530" s="34"/>
      <c r="B11530" s="35"/>
      <c r="C11530" s="36"/>
      <c r="D11530" s="37"/>
      <c r="E11530" s="36"/>
      <c r="F11530" s="42"/>
      <c r="G11530" s="42"/>
      <c r="H11530" s="42"/>
      <c r="AG11530" s="19"/>
    </row>
    <row r="11531" spans="1:33" ht="14.5" x14ac:dyDescent="0.35">
      <c r="A11531" s="34"/>
      <c r="B11531" s="35"/>
      <c r="C11531" s="36"/>
      <c r="D11531" s="37"/>
      <c r="E11531" s="36"/>
      <c r="F11531" s="42"/>
      <c r="G11531" s="42"/>
      <c r="H11531" s="42"/>
      <c r="AG11531" s="19"/>
    </row>
    <row r="11532" spans="1:33" ht="14.5" x14ac:dyDescent="0.35">
      <c r="A11532" s="34"/>
      <c r="B11532" s="35"/>
      <c r="C11532" s="36"/>
      <c r="D11532" s="37"/>
      <c r="E11532" s="36"/>
      <c r="F11532" s="42"/>
      <c r="G11532" s="42"/>
      <c r="H11532" s="42"/>
      <c r="AG11532" s="19"/>
    </row>
    <row r="11533" spans="1:33" ht="14.5" x14ac:dyDescent="0.35">
      <c r="A11533" s="34"/>
      <c r="B11533" s="35"/>
      <c r="C11533" s="36"/>
      <c r="D11533" s="37"/>
      <c r="E11533" s="36"/>
      <c r="F11533" s="42"/>
      <c r="G11533" s="42"/>
      <c r="H11533" s="42"/>
      <c r="AG11533" s="19"/>
    </row>
    <row r="11534" spans="1:33" ht="14.5" x14ac:dyDescent="0.35">
      <c r="A11534" s="34"/>
      <c r="B11534" s="35"/>
      <c r="C11534" s="36"/>
      <c r="D11534" s="37"/>
      <c r="E11534" s="36"/>
      <c r="F11534" s="42"/>
      <c r="G11534" s="42"/>
      <c r="H11534" s="42"/>
      <c r="AG11534" s="19"/>
    </row>
    <row r="11535" spans="1:33" ht="14.5" x14ac:dyDescent="0.35">
      <c r="A11535" s="34"/>
      <c r="B11535" s="35"/>
      <c r="C11535" s="36"/>
      <c r="D11535" s="37"/>
      <c r="E11535" s="36"/>
      <c r="F11535" s="42"/>
      <c r="G11535" s="42"/>
      <c r="H11535" s="42"/>
      <c r="AG11535" s="19"/>
    </row>
    <row r="11536" spans="1:33" ht="14.5" x14ac:dyDescent="0.35">
      <c r="A11536" s="34"/>
      <c r="B11536" s="35"/>
      <c r="C11536" s="36"/>
      <c r="D11536" s="37"/>
      <c r="E11536" s="36"/>
      <c r="F11536" s="42"/>
      <c r="G11536" s="42"/>
      <c r="H11536" s="42"/>
      <c r="AG11536" s="19"/>
    </row>
    <row r="11537" spans="1:33" ht="14.5" x14ac:dyDescent="0.35">
      <c r="A11537" s="34"/>
      <c r="B11537" s="35"/>
      <c r="C11537" s="36"/>
      <c r="D11537" s="37"/>
      <c r="E11537" s="36"/>
      <c r="F11537" s="42"/>
      <c r="G11537" s="42"/>
      <c r="H11537" s="42"/>
      <c r="AG11537" s="19"/>
    </row>
    <row r="11538" spans="1:33" ht="14.5" x14ac:dyDescent="0.35">
      <c r="A11538" s="34"/>
      <c r="B11538" s="35"/>
      <c r="C11538" s="36"/>
      <c r="D11538" s="37"/>
      <c r="E11538" s="36"/>
      <c r="F11538" s="42"/>
      <c r="G11538" s="42"/>
      <c r="H11538" s="42"/>
      <c r="AG11538" s="19"/>
    </row>
    <row r="11539" spans="1:33" ht="14.5" x14ac:dyDescent="0.35">
      <c r="A11539" s="34"/>
      <c r="B11539" s="35"/>
      <c r="C11539" s="36"/>
      <c r="D11539" s="37"/>
      <c r="E11539" s="36"/>
      <c r="F11539" s="42"/>
      <c r="G11539" s="42"/>
      <c r="H11539" s="42"/>
      <c r="AG11539" s="19"/>
    </row>
    <row r="11540" spans="1:33" ht="14.5" x14ac:dyDescent="0.35">
      <c r="A11540" s="34"/>
      <c r="B11540" s="35"/>
      <c r="C11540" s="36"/>
      <c r="D11540" s="37"/>
      <c r="E11540" s="36"/>
      <c r="F11540" s="42"/>
      <c r="G11540" s="42"/>
      <c r="H11540" s="42"/>
      <c r="AG11540" s="19"/>
    </row>
    <row r="11541" spans="1:33" ht="14.5" x14ac:dyDescent="0.35">
      <c r="A11541" s="34"/>
      <c r="B11541" s="35"/>
      <c r="C11541" s="36"/>
      <c r="D11541" s="37"/>
      <c r="E11541" s="36"/>
      <c r="F11541" s="42"/>
      <c r="G11541" s="42"/>
      <c r="H11541" s="42"/>
      <c r="AG11541" s="19"/>
    </row>
    <row r="11542" spans="1:33" ht="14.5" x14ac:dyDescent="0.35">
      <c r="A11542" s="34"/>
      <c r="B11542" s="35"/>
      <c r="C11542" s="36"/>
      <c r="D11542" s="37"/>
      <c r="E11542" s="36"/>
      <c r="F11542" s="42"/>
      <c r="G11542" s="42"/>
      <c r="H11542" s="42"/>
      <c r="AG11542" s="19"/>
    </row>
    <row r="11543" spans="1:33" ht="14.5" x14ac:dyDescent="0.35">
      <c r="A11543" s="34"/>
      <c r="B11543" s="35"/>
      <c r="C11543" s="36"/>
      <c r="D11543" s="37"/>
      <c r="E11543" s="36"/>
      <c r="F11543" s="42"/>
      <c r="G11543" s="42"/>
      <c r="H11543" s="42"/>
      <c r="AG11543" s="19"/>
    </row>
    <row r="11544" spans="1:33" ht="14.5" x14ac:dyDescent="0.35">
      <c r="A11544" s="34"/>
      <c r="B11544" s="35"/>
      <c r="C11544" s="36"/>
      <c r="D11544" s="37"/>
      <c r="E11544" s="36"/>
      <c r="F11544" s="42"/>
      <c r="G11544" s="42"/>
      <c r="H11544" s="42"/>
      <c r="AG11544" s="19"/>
    </row>
    <row r="11545" spans="1:33" ht="14.5" x14ac:dyDescent="0.35">
      <c r="A11545" s="34"/>
      <c r="B11545" s="35"/>
      <c r="C11545" s="36"/>
      <c r="D11545" s="37"/>
      <c r="E11545" s="36"/>
      <c r="F11545" s="42"/>
      <c r="G11545" s="42"/>
      <c r="H11545" s="42"/>
      <c r="AG11545" s="19"/>
    </row>
    <row r="11546" spans="1:33" ht="14.5" x14ac:dyDescent="0.35">
      <c r="A11546" s="34"/>
      <c r="B11546" s="35"/>
      <c r="C11546" s="36"/>
      <c r="D11546" s="37"/>
      <c r="E11546" s="36"/>
      <c r="F11546" s="42"/>
      <c r="G11546" s="42"/>
      <c r="H11546" s="42"/>
      <c r="AG11546" s="19"/>
    </row>
    <row r="11547" spans="1:33" ht="14.5" x14ac:dyDescent="0.35">
      <c r="A11547" s="34"/>
      <c r="B11547" s="35"/>
      <c r="C11547" s="36"/>
      <c r="D11547" s="37"/>
      <c r="E11547" s="36"/>
      <c r="F11547" s="42"/>
      <c r="G11547" s="42"/>
      <c r="H11547" s="42"/>
      <c r="AG11547" s="19"/>
    </row>
    <row r="11548" spans="1:33" ht="14.5" x14ac:dyDescent="0.35">
      <c r="A11548" s="34"/>
      <c r="B11548" s="35"/>
      <c r="C11548" s="36"/>
      <c r="D11548" s="37"/>
      <c r="E11548" s="36"/>
      <c r="F11548" s="42"/>
      <c r="G11548" s="42"/>
      <c r="H11548" s="42"/>
      <c r="AG11548" s="19"/>
    </row>
    <row r="11549" spans="1:33" ht="14.5" x14ac:dyDescent="0.35">
      <c r="A11549" s="34"/>
      <c r="B11549" s="35"/>
      <c r="C11549" s="36"/>
      <c r="D11549" s="37"/>
      <c r="E11549" s="36"/>
      <c r="F11549" s="42"/>
      <c r="G11549" s="42"/>
      <c r="H11549" s="42"/>
      <c r="AG11549" s="19"/>
    </row>
    <row r="11550" spans="1:33" ht="14.5" x14ac:dyDescent="0.35">
      <c r="A11550" s="34"/>
      <c r="B11550" s="35"/>
      <c r="C11550" s="36"/>
      <c r="D11550" s="37"/>
      <c r="E11550" s="36"/>
      <c r="F11550" s="42"/>
      <c r="G11550" s="42"/>
      <c r="H11550" s="42"/>
      <c r="AG11550" s="19"/>
    </row>
    <row r="11551" spans="1:33" ht="14.5" x14ac:dyDescent="0.35">
      <c r="A11551" s="34"/>
      <c r="B11551" s="35"/>
      <c r="C11551" s="36"/>
      <c r="D11551" s="37"/>
      <c r="E11551" s="36"/>
      <c r="F11551" s="42"/>
      <c r="G11551" s="42"/>
      <c r="H11551" s="42"/>
      <c r="AG11551" s="19"/>
    </row>
    <row r="11552" spans="1:33" ht="14.5" x14ac:dyDescent="0.35">
      <c r="A11552" s="34"/>
      <c r="B11552" s="35"/>
      <c r="C11552" s="36"/>
      <c r="D11552" s="37"/>
      <c r="E11552" s="36"/>
      <c r="F11552" s="42"/>
      <c r="G11552" s="42"/>
      <c r="H11552" s="42"/>
      <c r="AG11552" s="19"/>
    </row>
    <row r="11553" spans="1:33" ht="14.5" x14ac:dyDescent="0.35">
      <c r="A11553" s="34"/>
      <c r="B11553" s="35"/>
      <c r="C11553" s="36"/>
      <c r="D11553" s="37"/>
      <c r="E11553" s="36"/>
      <c r="F11553" s="42"/>
      <c r="G11553" s="42"/>
      <c r="H11553" s="42"/>
      <c r="AG11553" s="19"/>
    </row>
    <row r="11554" spans="1:33" ht="14.5" x14ac:dyDescent="0.35">
      <c r="A11554" s="34"/>
      <c r="B11554" s="35"/>
      <c r="C11554" s="36"/>
      <c r="D11554" s="37"/>
      <c r="E11554" s="36"/>
      <c r="F11554" s="42"/>
      <c r="G11554" s="42"/>
      <c r="H11554" s="42"/>
      <c r="AG11554" s="19"/>
    </row>
    <row r="11555" spans="1:33" ht="14.5" x14ac:dyDescent="0.35">
      <c r="A11555" s="34"/>
      <c r="B11555" s="35"/>
      <c r="C11555" s="36"/>
      <c r="D11555" s="37"/>
      <c r="E11555" s="36"/>
      <c r="F11555" s="42"/>
      <c r="G11555" s="42"/>
      <c r="H11555" s="42"/>
      <c r="AG11555" s="19"/>
    </row>
    <row r="11556" spans="1:33" ht="14.5" x14ac:dyDescent="0.35">
      <c r="A11556" s="34"/>
      <c r="B11556" s="35"/>
      <c r="C11556" s="36"/>
      <c r="D11556" s="37"/>
      <c r="E11556" s="36"/>
      <c r="F11556" s="42"/>
      <c r="G11556" s="42"/>
      <c r="H11556" s="42"/>
      <c r="AG11556" s="19"/>
    </row>
    <row r="11557" spans="1:33" ht="14.5" x14ac:dyDescent="0.35">
      <c r="A11557" s="34"/>
      <c r="B11557" s="35"/>
      <c r="C11557" s="36"/>
      <c r="D11557" s="37"/>
      <c r="E11557" s="36"/>
      <c r="F11557" s="42"/>
      <c r="G11557" s="42"/>
      <c r="H11557" s="42"/>
      <c r="AG11557" s="19"/>
    </row>
    <row r="11558" spans="1:33" ht="14.5" x14ac:dyDescent="0.35">
      <c r="A11558" s="34"/>
      <c r="B11558" s="35"/>
      <c r="C11558" s="36"/>
      <c r="D11558" s="37"/>
      <c r="E11558" s="36"/>
      <c r="F11558" s="42"/>
      <c r="G11558" s="42"/>
      <c r="H11558" s="42"/>
      <c r="AG11558" s="19"/>
    </row>
    <row r="11559" spans="1:33" ht="14.5" x14ac:dyDescent="0.35">
      <c r="A11559" s="34"/>
      <c r="B11559" s="35"/>
      <c r="C11559" s="36"/>
      <c r="D11559" s="37"/>
      <c r="E11559" s="36"/>
      <c r="F11559" s="42"/>
      <c r="G11559" s="42"/>
      <c r="H11559" s="42"/>
      <c r="AG11559" s="19"/>
    </row>
    <row r="11560" spans="1:33" ht="14.5" x14ac:dyDescent="0.35">
      <c r="A11560" s="34"/>
      <c r="B11560" s="35"/>
      <c r="C11560" s="36"/>
      <c r="D11560" s="37"/>
      <c r="E11560" s="36"/>
      <c r="F11560" s="42"/>
      <c r="G11560" s="42"/>
      <c r="H11560" s="42"/>
      <c r="AG11560" s="19"/>
    </row>
    <row r="11561" spans="1:33" ht="14.5" x14ac:dyDescent="0.35">
      <c r="A11561" s="34"/>
      <c r="B11561" s="35"/>
      <c r="C11561" s="36"/>
      <c r="D11561" s="37"/>
      <c r="E11561" s="36"/>
      <c r="F11561" s="42"/>
      <c r="G11561" s="42"/>
      <c r="H11561" s="42"/>
      <c r="AG11561" s="19"/>
    </row>
    <row r="11562" spans="1:33" ht="14.5" x14ac:dyDescent="0.35">
      <c r="A11562" s="34"/>
      <c r="B11562" s="35"/>
      <c r="C11562" s="36"/>
      <c r="D11562" s="37"/>
      <c r="E11562" s="36"/>
      <c r="F11562" s="42"/>
      <c r="G11562" s="42"/>
      <c r="H11562" s="42"/>
      <c r="AG11562" s="19"/>
    </row>
    <row r="11563" spans="1:33" ht="14.5" x14ac:dyDescent="0.35">
      <c r="A11563" s="34"/>
      <c r="B11563" s="35"/>
      <c r="C11563" s="36"/>
      <c r="D11563" s="37"/>
      <c r="E11563" s="36"/>
      <c r="F11563" s="42"/>
      <c r="G11563" s="42"/>
      <c r="H11563" s="42"/>
      <c r="AG11563" s="19"/>
    </row>
    <row r="11564" spans="1:33" ht="14.5" x14ac:dyDescent="0.35">
      <c r="A11564" s="34"/>
      <c r="B11564" s="35"/>
      <c r="C11564" s="36"/>
      <c r="D11564" s="37"/>
      <c r="E11564" s="36"/>
      <c r="F11564" s="42"/>
      <c r="G11564" s="42"/>
      <c r="H11564" s="42"/>
      <c r="AG11564" s="19"/>
    </row>
    <row r="11565" spans="1:33" ht="14.5" x14ac:dyDescent="0.35">
      <c r="A11565" s="34"/>
      <c r="B11565" s="35"/>
      <c r="C11565" s="36"/>
      <c r="D11565" s="37"/>
      <c r="E11565" s="36"/>
      <c r="F11565" s="42"/>
      <c r="G11565" s="42"/>
      <c r="H11565" s="42"/>
      <c r="AG11565" s="19"/>
    </row>
    <row r="11566" spans="1:33" ht="14.5" x14ac:dyDescent="0.35">
      <c r="A11566" s="34"/>
      <c r="B11566" s="35"/>
      <c r="C11566" s="36"/>
      <c r="D11566" s="37"/>
      <c r="E11566" s="36"/>
      <c r="F11566" s="42"/>
      <c r="G11566" s="42"/>
      <c r="H11566" s="42"/>
      <c r="AG11566" s="19"/>
    </row>
    <row r="11567" spans="1:33" ht="14.5" x14ac:dyDescent="0.35">
      <c r="A11567" s="34"/>
      <c r="B11567" s="35"/>
      <c r="C11567" s="36"/>
      <c r="D11567" s="37"/>
      <c r="E11567" s="36"/>
      <c r="F11567" s="42"/>
      <c r="G11567" s="42"/>
      <c r="H11567" s="42"/>
      <c r="AG11567" s="19"/>
    </row>
    <row r="11568" spans="1:33" ht="14.5" x14ac:dyDescent="0.35">
      <c r="A11568" s="34"/>
      <c r="B11568" s="35"/>
      <c r="C11568" s="36"/>
      <c r="D11568" s="37"/>
      <c r="E11568" s="36"/>
      <c r="F11568" s="42"/>
      <c r="G11568" s="42"/>
      <c r="H11568" s="42"/>
      <c r="AG11568" s="19"/>
    </row>
    <row r="11569" spans="1:33" ht="14.5" x14ac:dyDescent="0.35">
      <c r="A11569" s="34"/>
      <c r="B11569" s="35"/>
      <c r="C11569" s="36"/>
      <c r="D11569" s="37"/>
      <c r="E11569" s="36"/>
      <c r="F11569" s="42"/>
      <c r="G11569" s="42"/>
      <c r="H11569" s="42"/>
      <c r="AG11569" s="19"/>
    </row>
    <row r="11570" spans="1:33" ht="14.5" x14ac:dyDescent="0.35">
      <c r="A11570" s="34"/>
      <c r="B11570" s="35"/>
      <c r="C11570" s="36"/>
      <c r="D11570" s="37"/>
      <c r="E11570" s="36"/>
      <c r="F11570" s="42"/>
      <c r="G11570" s="42"/>
      <c r="H11570" s="42"/>
      <c r="AG11570" s="19"/>
    </row>
    <row r="11571" spans="1:33" ht="14.5" x14ac:dyDescent="0.35">
      <c r="A11571" s="34"/>
      <c r="B11571" s="35"/>
      <c r="C11571" s="36"/>
      <c r="D11571" s="37"/>
      <c r="E11571" s="36"/>
      <c r="F11571" s="42"/>
      <c r="G11571" s="42"/>
      <c r="H11571" s="42"/>
      <c r="AG11571" s="19"/>
    </row>
    <row r="11572" spans="1:33" ht="14.5" x14ac:dyDescent="0.35">
      <c r="A11572" s="34"/>
      <c r="B11572" s="35"/>
      <c r="C11572" s="36"/>
      <c r="D11572" s="37"/>
      <c r="E11572" s="36"/>
      <c r="F11572" s="42"/>
      <c r="G11572" s="42"/>
      <c r="H11572" s="42"/>
      <c r="AG11572" s="19"/>
    </row>
    <row r="11573" spans="1:33" ht="14.5" x14ac:dyDescent="0.35">
      <c r="A11573" s="34"/>
      <c r="B11573" s="35"/>
      <c r="C11573" s="36"/>
      <c r="D11573" s="37"/>
      <c r="E11573" s="36"/>
      <c r="F11573" s="42"/>
      <c r="G11573" s="42"/>
      <c r="H11573" s="42"/>
      <c r="AG11573" s="19"/>
    </row>
    <row r="11574" spans="1:33" ht="14.5" x14ac:dyDescent="0.35">
      <c r="A11574" s="34"/>
      <c r="B11574" s="35"/>
      <c r="C11574" s="36"/>
      <c r="D11574" s="37"/>
      <c r="E11574" s="36"/>
      <c r="F11574" s="42"/>
      <c r="G11574" s="42"/>
      <c r="H11574" s="42"/>
      <c r="AG11574" s="19"/>
    </row>
    <row r="11575" spans="1:33" ht="14.5" x14ac:dyDescent="0.35">
      <c r="A11575" s="34"/>
      <c r="B11575" s="35"/>
      <c r="C11575" s="36"/>
      <c r="D11575" s="37"/>
      <c r="E11575" s="36"/>
      <c r="F11575" s="42"/>
      <c r="G11575" s="42"/>
      <c r="H11575" s="42"/>
      <c r="AG11575" s="19"/>
    </row>
    <row r="11576" spans="1:33" ht="14.5" x14ac:dyDescent="0.35">
      <c r="A11576" s="34"/>
      <c r="B11576" s="35"/>
      <c r="C11576" s="36"/>
      <c r="D11576" s="37"/>
      <c r="E11576" s="36"/>
      <c r="F11576" s="42"/>
      <c r="G11576" s="42"/>
      <c r="H11576" s="42"/>
      <c r="AG11576" s="19"/>
    </row>
    <row r="11577" spans="1:33" ht="14.5" x14ac:dyDescent="0.35">
      <c r="A11577" s="34"/>
      <c r="B11577" s="35"/>
      <c r="C11577" s="36"/>
      <c r="D11577" s="37"/>
      <c r="E11577" s="36"/>
      <c r="F11577" s="42"/>
      <c r="G11577" s="42"/>
      <c r="H11577" s="42"/>
      <c r="AG11577" s="19"/>
    </row>
    <row r="11578" spans="1:33" ht="14.5" x14ac:dyDescent="0.35">
      <c r="A11578" s="34"/>
      <c r="B11578" s="35"/>
      <c r="C11578" s="36"/>
      <c r="D11578" s="37"/>
      <c r="E11578" s="36"/>
      <c r="F11578" s="42"/>
      <c r="G11578" s="42"/>
      <c r="H11578" s="42"/>
      <c r="AG11578" s="19"/>
    </row>
    <row r="11579" spans="1:33" ht="14.5" x14ac:dyDescent="0.35">
      <c r="A11579" s="34"/>
      <c r="B11579" s="35"/>
      <c r="C11579" s="36"/>
      <c r="D11579" s="37"/>
      <c r="E11579" s="36"/>
      <c r="F11579" s="42"/>
      <c r="G11579" s="42"/>
      <c r="H11579" s="42"/>
      <c r="AG11579" s="19"/>
    </row>
    <row r="11580" spans="1:33" ht="14.5" x14ac:dyDescent="0.35">
      <c r="A11580" s="34"/>
      <c r="B11580" s="35"/>
      <c r="C11580" s="36"/>
      <c r="D11580" s="37"/>
      <c r="E11580" s="36"/>
      <c r="F11580" s="42"/>
      <c r="G11580" s="42"/>
      <c r="H11580" s="42"/>
      <c r="AG11580" s="19"/>
    </row>
    <row r="11581" spans="1:33" ht="14.5" x14ac:dyDescent="0.35">
      <c r="A11581" s="34"/>
      <c r="B11581" s="35"/>
      <c r="C11581" s="36"/>
      <c r="D11581" s="37"/>
      <c r="E11581" s="36"/>
      <c r="F11581" s="42"/>
      <c r="G11581" s="42"/>
      <c r="H11581" s="42"/>
      <c r="AG11581" s="19"/>
    </row>
    <row r="11582" spans="1:33" ht="14.5" x14ac:dyDescent="0.35">
      <c r="A11582" s="34"/>
      <c r="B11582" s="35"/>
      <c r="C11582" s="36"/>
      <c r="D11582" s="37"/>
      <c r="E11582" s="36"/>
      <c r="F11582" s="42"/>
      <c r="G11582" s="42"/>
      <c r="H11582" s="42"/>
      <c r="AG11582" s="19"/>
    </row>
    <row r="11583" spans="1:33" ht="14.5" x14ac:dyDescent="0.35">
      <c r="A11583" s="34"/>
      <c r="B11583" s="35"/>
      <c r="C11583" s="36"/>
      <c r="D11583" s="37"/>
      <c r="E11583" s="36"/>
      <c r="F11583" s="42"/>
      <c r="G11583" s="42"/>
      <c r="H11583" s="42"/>
      <c r="AG11583" s="19"/>
    </row>
    <row r="11584" spans="1:33" ht="14.5" x14ac:dyDescent="0.35">
      <c r="A11584" s="34"/>
      <c r="B11584" s="35"/>
      <c r="C11584" s="36"/>
      <c r="D11584" s="37"/>
      <c r="E11584" s="36"/>
      <c r="F11584" s="42"/>
      <c r="G11584" s="42"/>
      <c r="H11584" s="42"/>
      <c r="AG11584" s="19"/>
    </row>
    <row r="11585" spans="1:33" ht="14.5" x14ac:dyDescent="0.35">
      <c r="A11585" s="34"/>
      <c r="B11585" s="35"/>
      <c r="C11585" s="36"/>
      <c r="D11585" s="37"/>
      <c r="E11585" s="36"/>
      <c r="F11585" s="42"/>
      <c r="G11585" s="42"/>
      <c r="H11585" s="42"/>
      <c r="AG11585" s="19"/>
    </row>
    <row r="11586" spans="1:33" ht="14.5" x14ac:dyDescent="0.35">
      <c r="A11586" s="34"/>
      <c r="B11586" s="35"/>
      <c r="C11586" s="36"/>
      <c r="D11586" s="37"/>
      <c r="E11586" s="36"/>
      <c r="F11586" s="42"/>
      <c r="G11586" s="42"/>
      <c r="H11586" s="42"/>
      <c r="AG11586" s="19"/>
    </row>
    <row r="11587" spans="1:33" ht="14.5" x14ac:dyDescent="0.35">
      <c r="A11587" s="34"/>
      <c r="B11587" s="35"/>
      <c r="C11587" s="36"/>
      <c r="D11587" s="37"/>
      <c r="E11587" s="36"/>
      <c r="F11587" s="42"/>
      <c r="G11587" s="42"/>
      <c r="H11587" s="42"/>
      <c r="AG11587" s="19"/>
    </row>
    <row r="11588" spans="1:33" ht="14.5" x14ac:dyDescent="0.35">
      <c r="A11588" s="34"/>
      <c r="B11588" s="35"/>
      <c r="C11588" s="36"/>
      <c r="D11588" s="37"/>
      <c r="E11588" s="36"/>
      <c r="F11588" s="42"/>
      <c r="G11588" s="42"/>
      <c r="H11588" s="42"/>
      <c r="AG11588" s="19"/>
    </row>
    <row r="11589" spans="1:33" ht="14.5" x14ac:dyDescent="0.35">
      <c r="A11589" s="34"/>
      <c r="B11589" s="35"/>
      <c r="C11589" s="36"/>
      <c r="D11589" s="37"/>
      <c r="E11589" s="36"/>
      <c r="F11589" s="42"/>
      <c r="G11589" s="42"/>
      <c r="H11589" s="42"/>
      <c r="AG11589" s="19"/>
    </row>
    <row r="11590" spans="1:33" ht="14.5" x14ac:dyDescent="0.35">
      <c r="A11590" s="34"/>
      <c r="B11590" s="35"/>
      <c r="C11590" s="36"/>
      <c r="D11590" s="37"/>
      <c r="E11590" s="36"/>
      <c r="F11590" s="42"/>
      <c r="G11590" s="42"/>
      <c r="H11590" s="42"/>
      <c r="AG11590" s="19"/>
    </row>
    <row r="11591" spans="1:33" ht="14.5" x14ac:dyDescent="0.35">
      <c r="A11591" s="34"/>
      <c r="B11591" s="35"/>
      <c r="C11591" s="36"/>
      <c r="D11591" s="37"/>
      <c r="E11591" s="36"/>
      <c r="F11591" s="42"/>
      <c r="G11591" s="42"/>
      <c r="H11591" s="42"/>
      <c r="AG11591" s="19"/>
    </row>
    <row r="11592" spans="1:33" ht="14.5" x14ac:dyDescent="0.35">
      <c r="A11592" s="34"/>
      <c r="B11592" s="35"/>
      <c r="C11592" s="36"/>
      <c r="D11592" s="37"/>
      <c r="E11592" s="36"/>
      <c r="F11592" s="42"/>
      <c r="G11592" s="42"/>
      <c r="H11592" s="42"/>
      <c r="AG11592" s="19"/>
    </row>
    <row r="11593" spans="1:33" ht="14.5" x14ac:dyDescent="0.35">
      <c r="A11593" s="34"/>
      <c r="B11593" s="35"/>
      <c r="C11593" s="36"/>
      <c r="D11593" s="37"/>
      <c r="E11593" s="36"/>
      <c r="F11593" s="42"/>
      <c r="G11593" s="42"/>
      <c r="H11593" s="42"/>
      <c r="AG11593" s="19"/>
    </row>
    <row r="11594" spans="1:33" ht="14.5" x14ac:dyDescent="0.35">
      <c r="A11594" s="34"/>
      <c r="B11594" s="35"/>
      <c r="C11594" s="36"/>
      <c r="D11594" s="37"/>
      <c r="E11594" s="36"/>
      <c r="F11594" s="42"/>
      <c r="G11594" s="42"/>
      <c r="H11594" s="42"/>
      <c r="AG11594" s="19"/>
    </row>
    <row r="11595" spans="1:33" ht="14.5" x14ac:dyDescent="0.35">
      <c r="A11595" s="34"/>
      <c r="B11595" s="35"/>
      <c r="C11595" s="36"/>
      <c r="D11595" s="37"/>
      <c r="E11595" s="36"/>
      <c r="F11595" s="42"/>
      <c r="G11595" s="42"/>
      <c r="H11595" s="42"/>
      <c r="AG11595" s="19"/>
    </row>
    <row r="11596" spans="1:33" ht="14.5" x14ac:dyDescent="0.35">
      <c r="A11596" s="34"/>
      <c r="B11596" s="35"/>
      <c r="C11596" s="36"/>
      <c r="D11596" s="37"/>
      <c r="E11596" s="36"/>
      <c r="F11596" s="42"/>
      <c r="G11596" s="42"/>
      <c r="H11596" s="42"/>
      <c r="AG11596" s="19"/>
    </row>
    <row r="11597" spans="1:33" ht="14.5" x14ac:dyDescent="0.35">
      <c r="A11597" s="34"/>
      <c r="B11597" s="35"/>
      <c r="C11597" s="36"/>
      <c r="D11597" s="37"/>
      <c r="E11597" s="36"/>
      <c r="F11597" s="42"/>
      <c r="G11597" s="42"/>
      <c r="H11597" s="42"/>
      <c r="AG11597" s="19"/>
    </row>
    <row r="11598" spans="1:33" ht="14.5" x14ac:dyDescent="0.35">
      <c r="A11598" s="34"/>
      <c r="B11598" s="35"/>
      <c r="C11598" s="36"/>
      <c r="D11598" s="37"/>
      <c r="E11598" s="36"/>
      <c r="F11598" s="42"/>
      <c r="G11598" s="42"/>
      <c r="H11598" s="42"/>
      <c r="AG11598" s="19"/>
    </row>
    <row r="11599" spans="1:33" ht="14.5" x14ac:dyDescent="0.35">
      <c r="A11599" s="34"/>
      <c r="B11599" s="35"/>
      <c r="C11599" s="36"/>
      <c r="D11599" s="37"/>
      <c r="E11599" s="36"/>
      <c r="F11599" s="42"/>
      <c r="G11599" s="42"/>
      <c r="H11599" s="42"/>
      <c r="AG11599" s="19"/>
    </row>
    <row r="11600" spans="1:33" ht="14.5" x14ac:dyDescent="0.35">
      <c r="A11600" s="34"/>
      <c r="B11600" s="35"/>
      <c r="C11600" s="36"/>
      <c r="D11600" s="37"/>
      <c r="E11600" s="36"/>
      <c r="F11600" s="42"/>
      <c r="G11600" s="42"/>
      <c r="H11600" s="42"/>
      <c r="AG11600" s="19"/>
    </row>
    <row r="11601" spans="1:33" ht="14.5" x14ac:dyDescent="0.35">
      <c r="A11601" s="34"/>
      <c r="B11601" s="35"/>
      <c r="C11601" s="36"/>
      <c r="D11601" s="37"/>
      <c r="E11601" s="36"/>
      <c r="F11601" s="42"/>
      <c r="G11601" s="42"/>
      <c r="H11601" s="42"/>
      <c r="AG11601" s="19"/>
    </row>
    <row r="11602" spans="1:33" ht="14.5" x14ac:dyDescent="0.35">
      <c r="A11602" s="34"/>
      <c r="B11602" s="35"/>
      <c r="C11602" s="36"/>
      <c r="D11602" s="37"/>
      <c r="E11602" s="36"/>
      <c r="F11602" s="42"/>
      <c r="G11602" s="42"/>
      <c r="H11602" s="42"/>
      <c r="AG11602" s="19"/>
    </row>
    <row r="11603" spans="1:33" ht="14.5" x14ac:dyDescent="0.35">
      <c r="A11603" s="34"/>
      <c r="B11603" s="35"/>
      <c r="C11603" s="36"/>
      <c r="D11603" s="37"/>
      <c r="E11603" s="36"/>
      <c r="F11603" s="42"/>
      <c r="G11603" s="42"/>
      <c r="H11603" s="42"/>
      <c r="AG11603" s="19"/>
    </row>
    <row r="11604" spans="1:33" ht="14.5" x14ac:dyDescent="0.35">
      <c r="A11604" s="34"/>
      <c r="B11604" s="35"/>
      <c r="C11604" s="36"/>
      <c r="D11604" s="37"/>
      <c r="E11604" s="36"/>
      <c r="F11604" s="42"/>
      <c r="G11604" s="42"/>
      <c r="H11604" s="42"/>
      <c r="AG11604" s="19"/>
    </row>
    <row r="11605" spans="1:33" ht="14.5" x14ac:dyDescent="0.35">
      <c r="A11605" s="34"/>
      <c r="B11605" s="35"/>
      <c r="C11605" s="36"/>
      <c r="D11605" s="37"/>
      <c r="E11605" s="36"/>
      <c r="F11605" s="42"/>
      <c r="G11605" s="42"/>
      <c r="H11605" s="42"/>
      <c r="AG11605" s="19"/>
    </row>
    <row r="11606" spans="1:33" ht="14.5" x14ac:dyDescent="0.35">
      <c r="A11606" s="34"/>
      <c r="B11606" s="35"/>
      <c r="C11606" s="36"/>
      <c r="D11606" s="37"/>
      <c r="E11606" s="36"/>
      <c r="F11606" s="42"/>
      <c r="G11606" s="42"/>
      <c r="H11606" s="42"/>
      <c r="AG11606" s="19"/>
    </row>
    <row r="11607" spans="1:33" ht="14.5" x14ac:dyDescent="0.35">
      <c r="A11607" s="34"/>
      <c r="B11607" s="35"/>
      <c r="C11607" s="36"/>
      <c r="D11607" s="37"/>
      <c r="E11607" s="36"/>
      <c r="F11607" s="42"/>
      <c r="G11607" s="42"/>
      <c r="H11607" s="42"/>
      <c r="AG11607" s="19"/>
    </row>
    <row r="11608" spans="1:33" ht="14.5" x14ac:dyDescent="0.35">
      <c r="A11608" s="34"/>
      <c r="B11608" s="35"/>
      <c r="C11608" s="36"/>
      <c r="D11608" s="37"/>
      <c r="E11608" s="36"/>
      <c r="F11608" s="42"/>
      <c r="G11608" s="42"/>
      <c r="H11608" s="42"/>
      <c r="AG11608" s="19"/>
    </row>
    <row r="11609" spans="1:33" ht="14.5" x14ac:dyDescent="0.35">
      <c r="A11609" s="34"/>
      <c r="B11609" s="35"/>
      <c r="C11609" s="36"/>
      <c r="D11609" s="37"/>
      <c r="E11609" s="36"/>
      <c r="F11609" s="42"/>
      <c r="G11609" s="42"/>
      <c r="H11609" s="42"/>
      <c r="AG11609" s="19"/>
    </row>
    <row r="11610" spans="1:33" ht="14.5" x14ac:dyDescent="0.35">
      <c r="A11610" s="34"/>
      <c r="B11610" s="35"/>
      <c r="C11610" s="36"/>
      <c r="D11610" s="37"/>
      <c r="E11610" s="36"/>
      <c r="F11610" s="42"/>
      <c r="G11610" s="42"/>
      <c r="H11610" s="42"/>
      <c r="AG11610" s="19"/>
    </row>
    <row r="11611" spans="1:33" ht="14.5" x14ac:dyDescent="0.35">
      <c r="A11611" s="34"/>
      <c r="B11611" s="35"/>
      <c r="C11611" s="36"/>
      <c r="D11611" s="37"/>
      <c r="E11611" s="36"/>
      <c r="F11611" s="42"/>
      <c r="G11611" s="42"/>
      <c r="H11611" s="42"/>
      <c r="AG11611" s="19"/>
    </row>
    <row r="11612" spans="1:33" ht="14.5" x14ac:dyDescent="0.35">
      <c r="A11612" s="34"/>
      <c r="B11612" s="35"/>
      <c r="C11612" s="36"/>
      <c r="D11612" s="37"/>
      <c r="E11612" s="36"/>
      <c r="F11612" s="42"/>
      <c r="G11612" s="42"/>
      <c r="H11612" s="42"/>
      <c r="AG11612" s="19"/>
    </row>
    <row r="11613" spans="1:33" ht="14.5" x14ac:dyDescent="0.35">
      <c r="A11613" s="34"/>
      <c r="B11613" s="35"/>
      <c r="C11613" s="36"/>
      <c r="D11613" s="37"/>
      <c r="E11613" s="36"/>
      <c r="F11613" s="42"/>
      <c r="G11613" s="42"/>
      <c r="H11613" s="42"/>
      <c r="AG11613" s="19"/>
    </row>
    <row r="11614" spans="1:33" ht="14.5" x14ac:dyDescent="0.35">
      <c r="A11614" s="34"/>
      <c r="B11614" s="35"/>
      <c r="C11614" s="36"/>
      <c r="D11614" s="37"/>
      <c r="E11614" s="36"/>
      <c r="F11614" s="42"/>
      <c r="G11614" s="42"/>
      <c r="H11614" s="42"/>
      <c r="AG11614" s="19"/>
    </row>
    <row r="11615" spans="1:33" ht="14.5" x14ac:dyDescent="0.35">
      <c r="A11615" s="34"/>
      <c r="B11615" s="35"/>
      <c r="C11615" s="36"/>
      <c r="D11615" s="37"/>
      <c r="E11615" s="36"/>
      <c r="F11615" s="42"/>
      <c r="G11615" s="42"/>
      <c r="H11615" s="42"/>
      <c r="AG11615" s="19"/>
    </row>
    <row r="11616" spans="1:33" ht="14.5" x14ac:dyDescent="0.35">
      <c r="A11616" s="34"/>
      <c r="B11616" s="35"/>
      <c r="C11616" s="36"/>
      <c r="D11616" s="37"/>
      <c r="E11616" s="36"/>
      <c r="F11616" s="42"/>
      <c r="G11616" s="42"/>
      <c r="H11616" s="42"/>
      <c r="AG11616" s="19"/>
    </row>
    <row r="11617" spans="1:33" ht="14.5" x14ac:dyDescent="0.35">
      <c r="A11617" s="34"/>
      <c r="B11617" s="35"/>
      <c r="C11617" s="36"/>
      <c r="D11617" s="37"/>
      <c r="E11617" s="36"/>
      <c r="F11617" s="42"/>
      <c r="G11617" s="42"/>
      <c r="H11617" s="42"/>
      <c r="AG11617" s="19"/>
    </row>
    <row r="11618" spans="1:33" ht="14.5" x14ac:dyDescent="0.35">
      <c r="A11618" s="34"/>
      <c r="B11618" s="35"/>
      <c r="C11618" s="36"/>
      <c r="D11618" s="37"/>
      <c r="E11618" s="36"/>
      <c r="F11618" s="42"/>
      <c r="G11618" s="42"/>
      <c r="H11618" s="42"/>
      <c r="AG11618" s="19"/>
    </row>
    <row r="11619" spans="1:33" ht="14.5" x14ac:dyDescent="0.35">
      <c r="A11619" s="34"/>
      <c r="B11619" s="35"/>
      <c r="C11619" s="36"/>
      <c r="D11619" s="37"/>
      <c r="E11619" s="36"/>
      <c r="F11619" s="42"/>
      <c r="G11619" s="42"/>
      <c r="H11619" s="42"/>
      <c r="AG11619" s="19"/>
    </row>
    <row r="11620" spans="1:33" ht="14.5" x14ac:dyDescent="0.35">
      <c r="A11620" s="34"/>
      <c r="B11620" s="35"/>
      <c r="C11620" s="36"/>
      <c r="D11620" s="37"/>
      <c r="E11620" s="36"/>
      <c r="F11620" s="42"/>
      <c r="G11620" s="42"/>
      <c r="H11620" s="42"/>
      <c r="AG11620" s="19"/>
    </row>
    <row r="11621" spans="1:33" ht="14.5" x14ac:dyDescent="0.35">
      <c r="A11621" s="34"/>
      <c r="B11621" s="35"/>
      <c r="C11621" s="36"/>
      <c r="D11621" s="37"/>
      <c r="E11621" s="36"/>
      <c r="F11621" s="42"/>
      <c r="G11621" s="42"/>
      <c r="H11621" s="42"/>
      <c r="AG11621" s="19"/>
    </row>
    <row r="11622" spans="1:33" ht="14.5" x14ac:dyDescent="0.35">
      <c r="A11622" s="34"/>
      <c r="B11622" s="35"/>
      <c r="C11622" s="36"/>
      <c r="D11622" s="37"/>
      <c r="E11622" s="36"/>
      <c r="F11622" s="42"/>
      <c r="G11622" s="42"/>
      <c r="H11622" s="42"/>
      <c r="AG11622" s="19"/>
    </row>
    <row r="11623" spans="1:33" ht="14.5" x14ac:dyDescent="0.35">
      <c r="A11623" s="34"/>
      <c r="B11623" s="35"/>
      <c r="C11623" s="36"/>
      <c r="D11623" s="37"/>
      <c r="E11623" s="36"/>
      <c r="F11623" s="42"/>
      <c r="G11623" s="42"/>
      <c r="H11623" s="42"/>
      <c r="AG11623" s="19"/>
    </row>
    <row r="11624" spans="1:33" ht="14.5" x14ac:dyDescent="0.35">
      <c r="A11624" s="34"/>
      <c r="B11624" s="35"/>
      <c r="C11624" s="36"/>
      <c r="D11624" s="37"/>
      <c r="E11624" s="36"/>
      <c r="F11624" s="42"/>
      <c r="G11624" s="42"/>
      <c r="H11624" s="42"/>
      <c r="AG11624" s="19"/>
    </row>
    <row r="11625" spans="1:33" ht="14.5" x14ac:dyDescent="0.35">
      <c r="A11625" s="34"/>
      <c r="B11625" s="35"/>
      <c r="C11625" s="36"/>
      <c r="D11625" s="37"/>
      <c r="E11625" s="36"/>
      <c r="F11625" s="42"/>
      <c r="G11625" s="42"/>
      <c r="H11625" s="42"/>
      <c r="AG11625" s="19"/>
    </row>
    <row r="11626" spans="1:33" ht="14.5" x14ac:dyDescent="0.35">
      <c r="A11626" s="34"/>
      <c r="B11626" s="35"/>
      <c r="C11626" s="36"/>
      <c r="D11626" s="37"/>
      <c r="E11626" s="36"/>
      <c r="F11626" s="42"/>
      <c r="G11626" s="42"/>
      <c r="H11626" s="42"/>
      <c r="AG11626" s="19"/>
    </row>
    <row r="11627" spans="1:33" ht="14.5" x14ac:dyDescent="0.35">
      <c r="A11627" s="34"/>
      <c r="B11627" s="35"/>
      <c r="C11627" s="36"/>
      <c r="D11627" s="37"/>
      <c r="E11627" s="36"/>
      <c r="F11627" s="42"/>
      <c r="G11627" s="42"/>
      <c r="H11627" s="42"/>
      <c r="AG11627" s="19"/>
    </row>
    <row r="11628" spans="1:33" ht="14.5" x14ac:dyDescent="0.35">
      <c r="A11628" s="34"/>
      <c r="B11628" s="35"/>
      <c r="C11628" s="36"/>
      <c r="D11628" s="37"/>
      <c r="E11628" s="36"/>
      <c r="F11628" s="42"/>
      <c r="G11628" s="42"/>
      <c r="H11628" s="42"/>
      <c r="AG11628" s="19"/>
    </row>
    <row r="11629" spans="1:33" ht="14.5" x14ac:dyDescent="0.35">
      <c r="A11629" s="34"/>
      <c r="B11629" s="35"/>
      <c r="C11629" s="36"/>
      <c r="D11629" s="37"/>
      <c r="E11629" s="36"/>
      <c r="F11629" s="42"/>
      <c r="G11629" s="42"/>
      <c r="H11629" s="42"/>
      <c r="AG11629" s="19"/>
    </row>
    <row r="11630" spans="1:33" ht="14.5" x14ac:dyDescent="0.35">
      <c r="A11630" s="34"/>
      <c r="B11630" s="35"/>
      <c r="C11630" s="36"/>
      <c r="D11630" s="37"/>
      <c r="E11630" s="36"/>
      <c r="F11630" s="42"/>
      <c r="G11630" s="42"/>
      <c r="H11630" s="42"/>
      <c r="AG11630" s="19"/>
    </row>
    <row r="11631" spans="1:33" ht="14.5" x14ac:dyDescent="0.35">
      <c r="A11631" s="34"/>
      <c r="B11631" s="35"/>
      <c r="C11631" s="36"/>
      <c r="D11631" s="37"/>
      <c r="E11631" s="36"/>
      <c r="F11631" s="42"/>
      <c r="G11631" s="42"/>
      <c r="H11631" s="42"/>
      <c r="AG11631" s="19"/>
    </row>
    <row r="11632" spans="1:33" ht="14.5" x14ac:dyDescent="0.35">
      <c r="A11632" s="34"/>
      <c r="B11632" s="35"/>
      <c r="C11632" s="36"/>
      <c r="D11632" s="37"/>
      <c r="E11632" s="36"/>
      <c r="F11632" s="42"/>
      <c r="G11632" s="42"/>
      <c r="H11632" s="42"/>
      <c r="AG11632" s="19"/>
    </row>
    <row r="11633" spans="1:33" ht="14.5" x14ac:dyDescent="0.35">
      <c r="A11633" s="34"/>
      <c r="B11633" s="35"/>
      <c r="C11633" s="36"/>
      <c r="D11633" s="37"/>
      <c r="E11633" s="36"/>
      <c r="F11633" s="42"/>
      <c r="G11633" s="42"/>
      <c r="H11633" s="42"/>
      <c r="AG11633" s="19"/>
    </row>
    <row r="11634" spans="1:33" ht="14.5" x14ac:dyDescent="0.35">
      <c r="A11634" s="34"/>
      <c r="B11634" s="35"/>
      <c r="C11634" s="36"/>
      <c r="D11634" s="37"/>
      <c r="E11634" s="36"/>
      <c r="F11634" s="42"/>
      <c r="G11634" s="42"/>
      <c r="H11634" s="42"/>
      <c r="AG11634" s="19"/>
    </row>
    <row r="11635" spans="1:33" ht="14.5" x14ac:dyDescent="0.35">
      <c r="A11635" s="34"/>
      <c r="B11635" s="35"/>
      <c r="C11635" s="36"/>
      <c r="D11635" s="37"/>
      <c r="E11635" s="36"/>
      <c r="F11635" s="42"/>
      <c r="G11635" s="42"/>
      <c r="H11635" s="42"/>
      <c r="AG11635" s="19"/>
    </row>
    <row r="11636" spans="1:33" ht="14.5" x14ac:dyDescent="0.35">
      <c r="A11636" s="34"/>
      <c r="B11636" s="35"/>
      <c r="C11636" s="36"/>
      <c r="D11636" s="37"/>
      <c r="E11636" s="36"/>
      <c r="F11636" s="42"/>
      <c r="G11636" s="42"/>
      <c r="H11636" s="42"/>
      <c r="AG11636" s="19"/>
    </row>
    <row r="11637" spans="1:33" ht="14.5" x14ac:dyDescent="0.35">
      <c r="A11637" s="34"/>
      <c r="B11637" s="35"/>
      <c r="C11637" s="36"/>
      <c r="D11637" s="37"/>
      <c r="E11637" s="36"/>
      <c r="F11637" s="42"/>
      <c r="G11637" s="42"/>
      <c r="H11637" s="42"/>
      <c r="AG11637" s="19"/>
    </row>
    <row r="11638" spans="1:33" ht="14.5" x14ac:dyDescent="0.35">
      <c r="A11638" s="34"/>
      <c r="B11638" s="35"/>
      <c r="C11638" s="36"/>
      <c r="D11638" s="37"/>
      <c r="E11638" s="36"/>
      <c r="F11638" s="42"/>
      <c r="G11638" s="42"/>
      <c r="H11638" s="42"/>
      <c r="AG11638" s="19"/>
    </row>
    <row r="11639" spans="1:33" ht="14.5" x14ac:dyDescent="0.35">
      <c r="A11639" s="34"/>
      <c r="B11639" s="35"/>
      <c r="C11639" s="36"/>
      <c r="D11639" s="37"/>
      <c r="E11639" s="36"/>
      <c r="F11639" s="42"/>
      <c r="G11639" s="42"/>
      <c r="H11639" s="42"/>
      <c r="AG11639" s="19"/>
    </row>
    <row r="11640" spans="1:33" ht="14.5" x14ac:dyDescent="0.35">
      <c r="A11640" s="34"/>
      <c r="B11640" s="35"/>
      <c r="C11640" s="36"/>
      <c r="D11640" s="37"/>
      <c r="E11640" s="36"/>
      <c r="F11640" s="42"/>
      <c r="G11640" s="42"/>
      <c r="H11640" s="42"/>
      <c r="AG11640" s="19"/>
    </row>
    <row r="11641" spans="1:33" ht="14.5" x14ac:dyDescent="0.35">
      <c r="A11641" s="34"/>
      <c r="B11641" s="35"/>
      <c r="C11641" s="36"/>
      <c r="D11641" s="37"/>
      <c r="E11641" s="36"/>
      <c r="F11641" s="42"/>
      <c r="G11641" s="42"/>
      <c r="H11641" s="42"/>
      <c r="AG11641" s="19"/>
    </row>
    <row r="11642" spans="1:33" ht="14.5" x14ac:dyDescent="0.35">
      <c r="A11642" s="34"/>
      <c r="B11642" s="35"/>
      <c r="C11642" s="36"/>
      <c r="D11642" s="37"/>
      <c r="E11642" s="36"/>
      <c r="F11642" s="42"/>
      <c r="G11642" s="42"/>
      <c r="H11642" s="42"/>
      <c r="AG11642" s="19"/>
    </row>
    <row r="11643" spans="1:33" ht="14.5" x14ac:dyDescent="0.35">
      <c r="A11643" s="34"/>
      <c r="B11643" s="35"/>
      <c r="C11643" s="36"/>
      <c r="D11643" s="37"/>
      <c r="E11643" s="36"/>
      <c r="F11643" s="42"/>
      <c r="G11643" s="42"/>
      <c r="H11643" s="42"/>
      <c r="AG11643" s="19"/>
    </row>
    <row r="11644" spans="1:33" ht="14.5" x14ac:dyDescent="0.35">
      <c r="A11644" s="34"/>
      <c r="B11644" s="35"/>
      <c r="C11644" s="36"/>
      <c r="D11644" s="37"/>
      <c r="E11644" s="36"/>
      <c r="F11644" s="42"/>
      <c r="G11644" s="42"/>
      <c r="H11644" s="42"/>
      <c r="AG11644" s="19"/>
    </row>
    <row r="11645" spans="1:33" ht="14.5" x14ac:dyDescent="0.35">
      <c r="A11645" s="34"/>
      <c r="B11645" s="35"/>
      <c r="C11645" s="36"/>
      <c r="D11645" s="37"/>
      <c r="E11645" s="36"/>
      <c r="F11645" s="42"/>
      <c r="G11645" s="42"/>
      <c r="H11645" s="42"/>
      <c r="AG11645" s="19"/>
    </row>
    <row r="11646" spans="1:33" ht="14.5" x14ac:dyDescent="0.35">
      <c r="A11646" s="34"/>
      <c r="B11646" s="35"/>
      <c r="C11646" s="36"/>
      <c r="D11646" s="37"/>
      <c r="E11646" s="36"/>
      <c r="F11646" s="42"/>
      <c r="G11646" s="42"/>
      <c r="H11646" s="42"/>
      <c r="AG11646" s="19"/>
    </row>
    <row r="11647" spans="1:33" ht="14.5" x14ac:dyDescent="0.35">
      <c r="A11647" s="34"/>
      <c r="B11647" s="35"/>
      <c r="C11647" s="36"/>
      <c r="D11647" s="37"/>
      <c r="E11647" s="36"/>
      <c r="F11647" s="42"/>
      <c r="G11647" s="42"/>
      <c r="H11647" s="42"/>
      <c r="AG11647" s="19"/>
    </row>
    <row r="11648" spans="1:33" ht="14.5" x14ac:dyDescent="0.35">
      <c r="A11648" s="34"/>
      <c r="B11648" s="35"/>
      <c r="C11648" s="36"/>
      <c r="D11648" s="37"/>
      <c r="E11648" s="36"/>
      <c r="F11648" s="42"/>
      <c r="G11648" s="42"/>
      <c r="H11648" s="42"/>
      <c r="AG11648" s="19"/>
    </row>
    <row r="11649" spans="1:33" ht="14.5" x14ac:dyDescent="0.35">
      <c r="A11649" s="34"/>
      <c r="B11649" s="35"/>
      <c r="C11649" s="36"/>
      <c r="D11649" s="37"/>
      <c r="E11649" s="36"/>
      <c r="F11649" s="42"/>
      <c r="G11649" s="42"/>
      <c r="H11649" s="42"/>
      <c r="AG11649" s="19"/>
    </row>
    <row r="11650" spans="1:33" ht="14.5" x14ac:dyDescent="0.35">
      <c r="A11650" s="34"/>
      <c r="B11650" s="35"/>
      <c r="C11650" s="36"/>
      <c r="D11650" s="37"/>
      <c r="E11650" s="36"/>
      <c r="F11650" s="42"/>
      <c r="G11650" s="42"/>
      <c r="H11650" s="42"/>
      <c r="AG11650" s="19"/>
    </row>
    <row r="11651" spans="1:33" ht="14.5" x14ac:dyDescent="0.35">
      <c r="A11651" s="34"/>
      <c r="B11651" s="35"/>
      <c r="C11651" s="36"/>
      <c r="D11651" s="37"/>
      <c r="E11651" s="36"/>
      <c r="F11651" s="42"/>
      <c r="G11651" s="42"/>
      <c r="H11651" s="42"/>
      <c r="AG11651" s="19"/>
    </row>
    <row r="11652" spans="1:33" ht="14.5" x14ac:dyDescent="0.35">
      <c r="A11652" s="34"/>
      <c r="B11652" s="35"/>
      <c r="C11652" s="36"/>
      <c r="D11652" s="37"/>
      <c r="E11652" s="36"/>
      <c r="F11652" s="42"/>
      <c r="G11652" s="42"/>
      <c r="H11652" s="42"/>
      <c r="AG11652" s="19"/>
    </row>
    <row r="11653" spans="1:33" ht="14.5" x14ac:dyDescent="0.35">
      <c r="A11653" s="34"/>
      <c r="B11653" s="35"/>
      <c r="C11653" s="36"/>
      <c r="D11653" s="37"/>
      <c r="E11653" s="36"/>
      <c r="F11653" s="42"/>
      <c r="G11653" s="42"/>
      <c r="H11653" s="42"/>
      <c r="AG11653" s="19"/>
    </row>
    <row r="11654" spans="1:33" ht="14.5" x14ac:dyDescent="0.35">
      <c r="A11654" s="34"/>
      <c r="B11654" s="35"/>
      <c r="C11654" s="36"/>
      <c r="D11654" s="37"/>
      <c r="E11654" s="36"/>
      <c r="F11654" s="42"/>
      <c r="G11654" s="42"/>
      <c r="H11654" s="42"/>
      <c r="AG11654" s="19"/>
    </row>
    <row r="11655" spans="1:33" ht="14.5" x14ac:dyDescent="0.35">
      <c r="A11655" s="34"/>
      <c r="B11655" s="35"/>
      <c r="C11655" s="36"/>
      <c r="D11655" s="37"/>
      <c r="E11655" s="36"/>
      <c r="F11655" s="42"/>
      <c r="G11655" s="42"/>
      <c r="H11655" s="42"/>
      <c r="AG11655" s="19"/>
    </row>
    <row r="11656" spans="1:33" ht="14.5" x14ac:dyDescent="0.35">
      <c r="A11656" s="34"/>
      <c r="B11656" s="35"/>
      <c r="C11656" s="36"/>
      <c r="D11656" s="37"/>
      <c r="E11656" s="36"/>
      <c r="F11656" s="42"/>
      <c r="G11656" s="42"/>
      <c r="H11656" s="42"/>
      <c r="AG11656" s="19"/>
    </row>
    <row r="11657" spans="1:33" ht="14.5" x14ac:dyDescent="0.35">
      <c r="A11657" s="34"/>
      <c r="B11657" s="35"/>
      <c r="C11657" s="36"/>
      <c r="D11657" s="37"/>
      <c r="E11657" s="36"/>
      <c r="F11657" s="42"/>
      <c r="G11657" s="42"/>
      <c r="H11657" s="42"/>
      <c r="AG11657" s="19"/>
    </row>
    <row r="11658" spans="1:33" ht="14.5" x14ac:dyDescent="0.35">
      <c r="A11658" s="34"/>
      <c r="B11658" s="35"/>
      <c r="C11658" s="36"/>
      <c r="D11658" s="37"/>
      <c r="E11658" s="36"/>
      <c r="F11658" s="42"/>
      <c r="G11658" s="42"/>
      <c r="H11658" s="42"/>
      <c r="AG11658" s="19"/>
    </row>
    <row r="11659" spans="1:33" ht="14.5" x14ac:dyDescent="0.35">
      <c r="A11659" s="34"/>
      <c r="B11659" s="35"/>
      <c r="C11659" s="36"/>
      <c r="D11659" s="37"/>
      <c r="E11659" s="36"/>
      <c r="F11659" s="42"/>
      <c r="G11659" s="42"/>
      <c r="H11659" s="42"/>
      <c r="AG11659" s="19"/>
    </row>
    <row r="11660" spans="1:33" ht="14.5" x14ac:dyDescent="0.35">
      <c r="A11660" s="34"/>
      <c r="B11660" s="35"/>
      <c r="C11660" s="36"/>
      <c r="D11660" s="37"/>
      <c r="E11660" s="36"/>
      <c r="F11660" s="42"/>
      <c r="G11660" s="42"/>
      <c r="H11660" s="42"/>
      <c r="AG11660" s="19"/>
    </row>
    <row r="11661" spans="1:33" ht="14.5" x14ac:dyDescent="0.35">
      <c r="A11661" s="34"/>
      <c r="B11661" s="35"/>
      <c r="C11661" s="36"/>
      <c r="D11661" s="37"/>
      <c r="E11661" s="36"/>
      <c r="F11661" s="42"/>
      <c r="G11661" s="42"/>
      <c r="H11661" s="42"/>
      <c r="AG11661" s="19"/>
    </row>
    <row r="11662" spans="1:33" ht="14.5" x14ac:dyDescent="0.35">
      <c r="A11662" s="34"/>
      <c r="B11662" s="35"/>
      <c r="C11662" s="36"/>
      <c r="D11662" s="37"/>
      <c r="E11662" s="36"/>
      <c r="F11662" s="42"/>
      <c r="G11662" s="42"/>
      <c r="H11662" s="42"/>
      <c r="AG11662" s="19"/>
    </row>
    <row r="11663" spans="1:33" ht="14.5" x14ac:dyDescent="0.35">
      <c r="A11663" s="34"/>
      <c r="B11663" s="35"/>
      <c r="C11663" s="36"/>
      <c r="D11663" s="37"/>
      <c r="E11663" s="36"/>
      <c r="F11663" s="42"/>
      <c r="G11663" s="42"/>
      <c r="H11663" s="42"/>
      <c r="AG11663" s="19"/>
    </row>
    <row r="11664" spans="1:33" ht="14.5" x14ac:dyDescent="0.35">
      <c r="A11664" s="34"/>
      <c r="B11664" s="35"/>
      <c r="C11664" s="36"/>
      <c r="D11664" s="37"/>
      <c r="E11664" s="36"/>
      <c r="F11664" s="42"/>
      <c r="G11664" s="42"/>
      <c r="H11664" s="42"/>
      <c r="AG11664" s="19"/>
    </row>
    <row r="11665" spans="1:33" ht="14.5" x14ac:dyDescent="0.35">
      <c r="A11665" s="34"/>
      <c r="B11665" s="35"/>
      <c r="C11665" s="36"/>
      <c r="D11665" s="37"/>
      <c r="E11665" s="36"/>
      <c r="F11665" s="42"/>
      <c r="G11665" s="42"/>
      <c r="H11665" s="42"/>
      <c r="AG11665" s="19"/>
    </row>
    <row r="11666" spans="1:33" ht="14.5" x14ac:dyDescent="0.35">
      <c r="A11666" s="34"/>
      <c r="B11666" s="35"/>
      <c r="C11666" s="36"/>
      <c r="D11666" s="37"/>
      <c r="E11666" s="36"/>
      <c r="F11666" s="42"/>
      <c r="G11666" s="42"/>
      <c r="H11666" s="42"/>
      <c r="AG11666" s="19"/>
    </row>
    <row r="11667" spans="1:33" ht="14.5" x14ac:dyDescent="0.35">
      <c r="A11667" s="34"/>
      <c r="B11667" s="35"/>
      <c r="C11667" s="36"/>
      <c r="D11667" s="37"/>
      <c r="E11667" s="36"/>
      <c r="F11667" s="42"/>
      <c r="G11667" s="42"/>
      <c r="H11667" s="42"/>
      <c r="AG11667" s="19"/>
    </row>
    <row r="11668" spans="1:33" ht="14.5" x14ac:dyDescent="0.35">
      <c r="A11668" s="34"/>
      <c r="B11668" s="35"/>
      <c r="C11668" s="36"/>
      <c r="D11668" s="37"/>
      <c r="E11668" s="36"/>
      <c r="F11668" s="42"/>
      <c r="G11668" s="42"/>
      <c r="H11668" s="42"/>
      <c r="AG11668" s="19"/>
    </row>
    <row r="11669" spans="1:33" ht="14.5" x14ac:dyDescent="0.35">
      <c r="A11669" s="34"/>
      <c r="B11669" s="35"/>
      <c r="C11669" s="36"/>
      <c r="D11669" s="37"/>
      <c r="E11669" s="36"/>
      <c r="F11669" s="42"/>
      <c r="G11669" s="42"/>
      <c r="H11669" s="42"/>
      <c r="AG11669" s="19"/>
    </row>
    <row r="11670" spans="1:33" ht="14.5" x14ac:dyDescent="0.35">
      <c r="A11670" s="34"/>
      <c r="B11670" s="35"/>
      <c r="C11670" s="36"/>
      <c r="D11670" s="37"/>
      <c r="E11670" s="36"/>
      <c r="F11670" s="42"/>
      <c r="G11670" s="42"/>
      <c r="H11670" s="42"/>
      <c r="AG11670" s="19"/>
    </row>
    <row r="11671" spans="1:33" ht="14.5" x14ac:dyDescent="0.35">
      <c r="A11671" s="34"/>
      <c r="B11671" s="35"/>
      <c r="C11671" s="36"/>
      <c r="D11671" s="37"/>
      <c r="E11671" s="36"/>
      <c r="F11671" s="42"/>
      <c r="G11671" s="42"/>
      <c r="H11671" s="42"/>
      <c r="AG11671" s="19"/>
    </row>
    <row r="11672" spans="1:33" ht="14.5" x14ac:dyDescent="0.35">
      <c r="A11672" s="34"/>
      <c r="B11672" s="35"/>
      <c r="C11672" s="36"/>
      <c r="D11672" s="37"/>
      <c r="E11672" s="36"/>
      <c r="F11672" s="42"/>
      <c r="G11672" s="42"/>
      <c r="H11672" s="42"/>
      <c r="AG11672" s="19"/>
    </row>
    <row r="11673" spans="1:33" ht="14.5" x14ac:dyDescent="0.35">
      <c r="A11673" s="34"/>
      <c r="B11673" s="35"/>
      <c r="C11673" s="36"/>
      <c r="D11673" s="37"/>
      <c r="E11673" s="36"/>
      <c r="F11673" s="42"/>
      <c r="G11673" s="42"/>
      <c r="H11673" s="42"/>
      <c r="AG11673" s="19"/>
    </row>
    <row r="11674" spans="1:33" ht="14.5" x14ac:dyDescent="0.35">
      <c r="A11674" s="34"/>
      <c r="B11674" s="35"/>
      <c r="C11674" s="36"/>
      <c r="D11674" s="37"/>
      <c r="E11674" s="36"/>
      <c r="F11674" s="42"/>
      <c r="G11674" s="42"/>
      <c r="H11674" s="42"/>
      <c r="AG11674" s="19"/>
    </row>
    <row r="11675" spans="1:33" ht="14.5" x14ac:dyDescent="0.35">
      <c r="A11675" s="34"/>
      <c r="B11675" s="35"/>
      <c r="C11675" s="36"/>
      <c r="D11675" s="37"/>
      <c r="E11675" s="36"/>
      <c r="F11675" s="42"/>
      <c r="G11675" s="42"/>
      <c r="H11675" s="42"/>
      <c r="AG11675" s="19"/>
    </row>
    <row r="11676" spans="1:33" ht="14.5" x14ac:dyDescent="0.35">
      <c r="A11676" s="34"/>
      <c r="B11676" s="35"/>
      <c r="C11676" s="36"/>
      <c r="D11676" s="37"/>
      <c r="E11676" s="36"/>
      <c r="F11676" s="42"/>
      <c r="G11676" s="42"/>
      <c r="H11676" s="42"/>
      <c r="AG11676" s="19"/>
    </row>
    <row r="11677" spans="1:33" ht="14.5" x14ac:dyDescent="0.35">
      <c r="A11677" s="34"/>
      <c r="B11677" s="35"/>
      <c r="C11677" s="36"/>
      <c r="D11677" s="37"/>
      <c r="E11677" s="36"/>
      <c r="F11677" s="42"/>
      <c r="G11677" s="42"/>
      <c r="H11677" s="42"/>
      <c r="AG11677" s="19"/>
    </row>
    <row r="11678" spans="1:33" ht="14.5" x14ac:dyDescent="0.35">
      <c r="A11678" s="34"/>
      <c r="B11678" s="35"/>
      <c r="C11678" s="36"/>
      <c r="D11678" s="37"/>
      <c r="E11678" s="36"/>
      <c r="F11678" s="42"/>
      <c r="G11678" s="42"/>
      <c r="H11678" s="42"/>
      <c r="AG11678" s="19"/>
    </row>
    <row r="11679" spans="1:33" ht="14.5" x14ac:dyDescent="0.35">
      <c r="A11679" s="34"/>
      <c r="B11679" s="35"/>
      <c r="C11679" s="36"/>
      <c r="D11679" s="37"/>
      <c r="E11679" s="36"/>
      <c r="F11679" s="42"/>
      <c r="G11679" s="42"/>
      <c r="H11679" s="42"/>
      <c r="AG11679" s="19"/>
    </row>
    <row r="11680" spans="1:33" ht="14.5" x14ac:dyDescent="0.35">
      <c r="A11680" s="34"/>
      <c r="B11680" s="35"/>
      <c r="C11680" s="36"/>
      <c r="D11680" s="37"/>
      <c r="E11680" s="36"/>
      <c r="F11680" s="42"/>
      <c r="G11680" s="42"/>
      <c r="H11680" s="42"/>
      <c r="AG11680" s="19"/>
    </row>
    <row r="11681" spans="1:33" ht="14.5" x14ac:dyDescent="0.35">
      <c r="A11681" s="34"/>
      <c r="B11681" s="35"/>
      <c r="C11681" s="36"/>
      <c r="D11681" s="37"/>
      <c r="E11681" s="36"/>
      <c r="F11681" s="42"/>
      <c r="G11681" s="42"/>
      <c r="H11681" s="42"/>
      <c r="AG11681" s="19"/>
    </row>
    <row r="11682" spans="1:33" ht="14.5" x14ac:dyDescent="0.35">
      <c r="A11682" s="34"/>
      <c r="B11682" s="35"/>
      <c r="C11682" s="36"/>
      <c r="D11682" s="37"/>
      <c r="E11682" s="36"/>
      <c r="F11682" s="42"/>
      <c r="G11682" s="42"/>
      <c r="H11682" s="42"/>
      <c r="AG11682" s="19"/>
    </row>
    <row r="11683" spans="1:33" ht="14.5" x14ac:dyDescent="0.35">
      <c r="A11683" s="34"/>
      <c r="B11683" s="35"/>
      <c r="C11683" s="36"/>
      <c r="D11683" s="37"/>
      <c r="E11683" s="36"/>
      <c r="F11683" s="42"/>
      <c r="G11683" s="42"/>
      <c r="H11683" s="42"/>
      <c r="AG11683" s="19"/>
    </row>
    <row r="11684" spans="1:33" ht="14.5" x14ac:dyDescent="0.35">
      <c r="A11684" s="34"/>
      <c r="B11684" s="35"/>
      <c r="C11684" s="36"/>
      <c r="D11684" s="37"/>
      <c r="E11684" s="36"/>
      <c r="F11684" s="42"/>
      <c r="G11684" s="42"/>
      <c r="H11684" s="42"/>
      <c r="AG11684" s="19"/>
    </row>
    <row r="11685" spans="1:33" ht="14.5" x14ac:dyDescent="0.35">
      <c r="A11685" s="34"/>
      <c r="B11685" s="35"/>
      <c r="C11685" s="36"/>
      <c r="D11685" s="37"/>
      <c r="E11685" s="36"/>
      <c r="F11685" s="42"/>
      <c r="G11685" s="42"/>
      <c r="H11685" s="42"/>
      <c r="AG11685" s="19"/>
    </row>
    <row r="11686" spans="1:33" ht="14.5" x14ac:dyDescent="0.35">
      <c r="A11686" s="34"/>
      <c r="B11686" s="35"/>
      <c r="C11686" s="36"/>
      <c r="D11686" s="37"/>
      <c r="E11686" s="36"/>
      <c r="F11686" s="42"/>
      <c r="G11686" s="42"/>
      <c r="H11686" s="42"/>
      <c r="AG11686" s="19"/>
    </row>
    <row r="11687" spans="1:33" ht="14.5" x14ac:dyDescent="0.35">
      <c r="A11687" s="34"/>
      <c r="B11687" s="35"/>
      <c r="C11687" s="36"/>
      <c r="D11687" s="37"/>
      <c r="E11687" s="36"/>
      <c r="F11687" s="42"/>
      <c r="G11687" s="42"/>
      <c r="H11687" s="42"/>
      <c r="AG11687" s="19"/>
    </row>
    <row r="11688" spans="1:33" ht="14.5" x14ac:dyDescent="0.35">
      <c r="A11688" s="34"/>
      <c r="B11688" s="35"/>
      <c r="C11688" s="36"/>
      <c r="D11688" s="37"/>
      <c r="E11688" s="36"/>
      <c r="F11688" s="42"/>
      <c r="G11688" s="42"/>
      <c r="H11688" s="42"/>
      <c r="AG11688" s="19"/>
    </row>
    <row r="11689" spans="1:33" ht="14.5" x14ac:dyDescent="0.35">
      <c r="A11689" s="34"/>
      <c r="B11689" s="35"/>
      <c r="C11689" s="36"/>
      <c r="D11689" s="37"/>
      <c r="E11689" s="36"/>
      <c r="F11689" s="42"/>
      <c r="G11689" s="42"/>
      <c r="H11689" s="42"/>
      <c r="AG11689" s="19"/>
    </row>
    <row r="11690" spans="1:33" ht="14.5" x14ac:dyDescent="0.35">
      <c r="A11690" s="34"/>
      <c r="B11690" s="35"/>
      <c r="C11690" s="36"/>
      <c r="D11690" s="37"/>
      <c r="E11690" s="36"/>
      <c r="F11690" s="42"/>
      <c r="G11690" s="42"/>
      <c r="H11690" s="42"/>
      <c r="AG11690" s="19"/>
    </row>
    <row r="11691" spans="1:33" ht="14.5" x14ac:dyDescent="0.35">
      <c r="A11691" s="34"/>
      <c r="B11691" s="35"/>
      <c r="C11691" s="36"/>
      <c r="D11691" s="37"/>
      <c r="E11691" s="36"/>
      <c r="F11691" s="42"/>
      <c r="G11691" s="42"/>
      <c r="H11691" s="42"/>
      <c r="AG11691" s="19"/>
    </row>
    <row r="11692" spans="1:33" ht="14.5" x14ac:dyDescent="0.35">
      <c r="A11692" s="34"/>
      <c r="B11692" s="35"/>
      <c r="C11692" s="36"/>
      <c r="D11692" s="37"/>
      <c r="E11692" s="36"/>
      <c r="F11692" s="42"/>
      <c r="G11692" s="42"/>
      <c r="H11692" s="42"/>
      <c r="AG11692" s="19"/>
    </row>
    <row r="11693" spans="1:33" ht="14.5" x14ac:dyDescent="0.35">
      <c r="A11693" s="34"/>
      <c r="B11693" s="35"/>
      <c r="C11693" s="36"/>
      <c r="D11693" s="37"/>
      <c r="E11693" s="36"/>
      <c r="F11693" s="42"/>
      <c r="G11693" s="42"/>
      <c r="H11693" s="42"/>
      <c r="AG11693" s="19"/>
    </row>
    <row r="11694" spans="1:33" ht="14.5" x14ac:dyDescent="0.35">
      <c r="A11694" s="34"/>
      <c r="B11694" s="35"/>
      <c r="C11694" s="36"/>
      <c r="D11694" s="37"/>
      <c r="E11694" s="36"/>
      <c r="F11694" s="42"/>
      <c r="G11694" s="42"/>
      <c r="H11694" s="42"/>
      <c r="AG11694" s="19"/>
    </row>
    <row r="11695" spans="1:33" ht="14.5" x14ac:dyDescent="0.35">
      <c r="A11695" s="34"/>
      <c r="B11695" s="35"/>
      <c r="C11695" s="36"/>
      <c r="D11695" s="37"/>
      <c r="E11695" s="36"/>
      <c r="F11695" s="42"/>
      <c r="G11695" s="42"/>
      <c r="H11695" s="42"/>
      <c r="AG11695" s="19"/>
    </row>
    <row r="11696" spans="1:33" ht="14.5" x14ac:dyDescent="0.35">
      <c r="A11696" s="34"/>
      <c r="B11696" s="35"/>
      <c r="C11696" s="36"/>
      <c r="D11696" s="37"/>
      <c r="E11696" s="36"/>
      <c r="F11696" s="42"/>
      <c r="G11696" s="42"/>
      <c r="H11696" s="42"/>
      <c r="AG11696" s="19"/>
    </row>
    <row r="11697" spans="1:33" ht="14.5" x14ac:dyDescent="0.35">
      <c r="A11697" s="34"/>
      <c r="B11697" s="35"/>
      <c r="C11697" s="36"/>
      <c r="D11697" s="37"/>
      <c r="E11697" s="36"/>
      <c r="F11697" s="42"/>
      <c r="G11697" s="42"/>
      <c r="H11697" s="42"/>
      <c r="AG11697" s="19"/>
    </row>
    <row r="11698" spans="1:33" ht="14.5" x14ac:dyDescent="0.35">
      <c r="A11698" s="34"/>
      <c r="B11698" s="35"/>
      <c r="C11698" s="36"/>
      <c r="D11698" s="37"/>
      <c r="E11698" s="36"/>
      <c r="F11698" s="42"/>
      <c r="G11698" s="42"/>
      <c r="H11698" s="42"/>
      <c r="AG11698" s="19"/>
    </row>
    <row r="11699" spans="1:33" ht="14.5" x14ac:dyDescent="0.35">
      <c r="A11699" s="34"/>
      <c r="B11699" s="35"/>
      <c r="C11699" s="36"/>
      <c r="D11699" s="37"/>
      <c r="E11699" s="36"/>
      <c r="F11699" s="42"/>
      <c r="G11699" s="42"/>
      <c r="H11699" s="42"/>
      <c r="AG11699" s="19"/>
    </row>
    <row r="11700" spans="1:33" ht="14.5" x14ac:dyDescent="0.35">
      <c r="A11700" s="34"/>
      <c r="B11700" s="35"/>
      <c r="C11700" s="36"/>
      <c r="D11700" s="37"/>
      <c r="E11700" s="36"/>
      <c r="F11700" s="42"/>
      <c r="G11700" s="42"/>
      <c r="H11700" s="42"/>
      <c r="AG11700" s="19"/>
    </row>
    <row r="11701" spans="1:33" ht="14.5" x14ac:dyDescent="0.35">
      <c r="A11701" s="34"/>
      <c r="B11701" s="35"/>
      <c r="C11701" s="36"/>
      <c r="D11701" s="37"/>
      <c r="E11701" s="36"/>
      <c r="F11701" s="42"/>
      <c r="G11701" s="42"/>
      <c r="H11701" s="42"/>
      <c r="AG11701" s="19"/>
    </row>
    <row r="11702" spans="1:33" ht="14.5" x14ac:dyDescent="0.35">
      <c r="A11702" s="34"/>
      <c r="B11702" s="35"/>
      <c r="C11702" s="36"/>
      <c r="D11702" s="37"/>
      <c r="E11702" s="36"/>
      <c r="F11702" s="42"/>
      <c r="G11702" s="42"/>
      <c r="H11702" s="42"/>
      <c r="AG11702" s="19"/>
    </row>
    <row r="11703" spans="1:33" ht="14.5" x14ac:dyDescent="0.35">
      <c r="A11703" s="34"/>
      <c r="B11703" s="35"/>
      <c r="C11703" s="36"/>
      <c r="D11703" s="37"/>
      <c r="E11703" s="36"/>
      <c r="F11703" s="42"/>
      <c r="G11703" s="42"/>
      <c r="H11703" s="42"/>
      <c r="AG11703" s="19"/>
    </row>
    <row r="11704" spans="1:33" ht="14.5" x14ac:dyDescent="0.35">
      <c r="A11704" s="34"/>
      <c r="B11704" s="35"/>
      <c r="C11704" s="36"/>
      <c r="D11704" s="37"/>
      <c r="E11704" s="36"/>
      <c r="F11704" s="42"/>
      <c r="G11704" s="42"/>
      <c r="H11704" s="42"/>
      <c r="AG11704" s="19"/>
    </row>
    <row r="11705" spans="1:33" ht="14.5" x14ac:dyDescent="0.35">
      <c r="A11705" s="34"/>
      <c r="B11705" s="35"/>
      <c r="C11705" s="36"/>
      <c r="D11705" s="37"/>
      <c r="E11705" s="36"/>
      <c r="F11705" s="42"/>
      <c r="G11705" s="42"/>
      <c r="H11705" s="42"/>
      <c r="AG11705" s="19"/>
    </row>
    <row r="11706" spans="1:33" ht="14.5" x14ac:dyDescent="0.35">
      <c r="A11706" s="34"/>
      <c r="B11706" s="35"/>
      <c r="C11706" s="36"/>
      <c r="D11706" s="37"/>
      <c r="E11706" s="36"/>
      <c r="F11706" s="42"/>
      <c r="G11706" s="42"/>
      <c r="H11706" s="42"/>
      <c r="AG11706" s="19"/>
    </row>
    <row r="11707" spans="1:33" ht="14.5" x14ac:dyDescent="0.35">
      <c r="A11707" s="34"/>
      <c r="B11707" s="35"/>
      <c r="C11707" s="36"/>
      <c r="D11707" s="37"/>
      <c r="E11707" s="36"/>
      <c r="F11707" s="42"/>
      <c r="G11707" s="42"/>
      <c r="H11707" s="42"/>
      <c r="AG11707" s="19"/>
    </row>
    <row r="11708" spans="1:33" ht="14.5" x14ac:dyDescent="0.35">
      <c r="A11708" s="34"/>
      <c r="B11708" s="35"/>
      <c r="C11708" s="36"/>
      <c r="D11708" s="37"/>
      <c r="E11708" s="36"/>
      <c r="F11708" s="42"/>
      <c r="G11708" s="42"/>
      <c r="H11708" s="42"/>
      <c r="AG11708" s="19"/>
    </row>
    <row r="11709" spans="1:33" ht="14.5" x14ac:dyDescent="0.35">
      <c r="A11709" s="34"/>
      <c r="B11709" s="35"/>
      <c r="C11709" s="36"/>
      <c r="D11709" s="37"/>
      <c r="E11709" s="36"/>
      <c r="F11709" s="42"/>
      <c r="G11709" s="42"/>
      <c r="H11709" s="42"/>
      <c r="AG11709" s="19"/>
    </row>
    <row r="11710" spans="1:33" ht="14.5" x14ac:dyDescent="0.35">
      <c r="A11710" s="34"/>
      <c r="B11710" s="35"/>
      <c r="C11710" s="36"/>
      <c r="D11710" s="37"/>
      <c r="E11710" s="36"/>
      <c r="F11710" s="42"/>
      <c r="G11710" s="42"/>
      <c r="H11710" s="42"/>
      <c r="AG11710" s="19"/>
    </row>
    <row r="11711" spans="1:33" ht="14.5" x14ac:dyDescent="0.35">
      <c r="A11711" s="34"/>
      <c r="B11711" s="35"/>
      <c r="C11711" s="36"/>
      <c r="D11711" s="37"/>
      <c r="E11711" s="36"/>
      <c r="F11711" s="42"/>
      <c r="G11711" s="42"/>
      <c r="H11711" s="42"/>
      <c r="AG11711" s="19"/>
    </row>
    <row r="11712" spans="1:33" ht="14.5" x14ac:dyDescent="0.35">
      <c r="A11712" s="34"/>
      <c r="B11712" s="35"/>
      <c r="C11712" s="36"/>
      <c r="D11712" s="37"/>
      <c r="E11712" s="36"/>
      <c r="F11712" s="42"/>
      <c r="G11712" s="42"/>
      <c r="H11712" s="42"/>
      <c r="AG11712" s="19"/>
    </row>
    <row r="11713" spans="1:33" ht="14.5" x14ac:dyDescent="0.35">
      <c r="A11713" s="34"/>
      <c r="B11713" s="35"/>
      <c r="C11713" s="36"/>
      <c r="D11713" s="37"/>
      <c r="E11713" s="36"/>
      <c r="F11713" s="42"/>
      <c r="G11713" s="42"/>
      <c r="H11713" s="42"/>
      <c r="AG11713" s="19"/>
    </row>
    <row r="11714" spans="1:33" ht="14.5" x14ac:dyDescent="0.35">
      <c r="A11714" s="34"/>
      <c r="B11714" s="35"/>
      <c r="C11714" s="36"/>
      <c r="D11714" s="37"/>
      <c r="E11714" s="36"/>
      <c r="F11714" s="42"/>
      <c r="G11714" s="42"/>
      <c r="H11714" s="42"/>
      <c r="AG11714" s="19"/>
    </row>
    <row r="11715" spans="1:33" ht="14.5" x14ac:dyDescent="0.35">
      <c r="A11715" s="34"/>
      <c r="B11715" s="35"/>
      <c r="C11715" s="36"/>
      <c r="D11715" s="37"/>
      <c r="E11715" s="36"/>
      <c r="F11715" s="42"/>
      <c r="G11715" s="42"/>
      <c r="H11715" s="42"/>
      <c r="AG11715" s="19"/>
    </row>
    <row r="11716" spans="1:33" ht="14.5" x14ac:dyDescent="0.35">
      <c r="A11716" s="34"/>
      <c r="B11716" s="35"/>
      <c r="C11716" s="36"/>
      <c r="D11716" s="37"/>
      <c r="E11716" s="36"/>
      <c r="F11716" s="42"/>
      <c r="G11716" s="42"/>
      <c r="H11716" s="42"/>
      <c r="AG11716" s="19"/>
    </row>
    <row r="11717" spans="1:33" ht="14.5" x14ac:dyDescent="0.35">
      <c r="A11717" s="34"/>
      <c r="B11717" s="35"/>
      <c r="C11717" s="36"/>
      <c r="D11717" s="37"/>
      <c r="E11717" s="36"/>
      <c r="F11717" s="42"/>
      <c r="G11717" s="42"/>
      <c r="H11717" s="42"/>
      <c r="AG11717" s="19"/>
    </row>
    <row r="11718" spans="1:33" ht="14.5" x14ac:dyDescent="0.35">
      <c r="A11718" s="34"/>
      <c r="B11718" s="35"/>
      <c r="C11718" s="36"/>
      <c r="D11718" s="37"/>
      <c r="E11718" s="36"/>
      <c r="F11718" s="42"/>
      <c r="G11718" s="42"/>
      <c r="H11718" s="42"/>
      <c r="AG11718" s="19"/>
    </row>
    <row r="11719" spans="1:33" ht="14.5" x14ac:dyDescent="0.35">
      <c r="A11719" s="34"/>
      <c r="B11719" s="35"/>
      <c r="C11719" s="36"/>
      <c r="D11719" s="37"/>
      <c r="E11719" s="36"/>
      <c r="F11719" s="42"/>
      <c r="G11719" s="42"/>
      <c r="H11719" s="42"/>
      <c r="AG11719" s="19"/>
    </row>
    <row r="11720" spans="1:33" ht="14.5" x14ac:dyDescent="0.35">
      <c r="A11720" s="34"/>
      <c r="B11720" s="35"/>
      <c r="C11720" s="36"/>
      <c r="D11720" s="37"/>
      <c r="E11720" s="36"/>
      <c r="F11720" s="42"/>
      <c r="G11720" s="42"/>
      <c r="H11720" s="42"/>
      <c r="AG11720" s="19"/>
    </row>
    <row r="11721" spans="1:33" ht="14.5" x14ac:dyDescent="0.35">
      <c r="A11721" s="34"/>
      <c r="B11721" s="35"/>
      <c r="C11721" s="36"/>
      <c r="D11721" s="37"/>
      <c r="E11721" s="36"/>
      <c r="F11721" s="42"/>
      <c r="G11721" s="42"/>
      <c r="H11721" s="42"/>
      <c r="AG11721" s="19"/>
    </row>
    <row r="11722" spans="1:33" ht="14.5" x14ac:dyDescent="0.35">
      <c r="A11722" s="34"/>
      <c r="B11722" s="35"/>
      <c r="C11722" s="36"/>
      <c r="D11722" s="37"/>
      <c r="E11722" s="36"/>
      <c r="F11722" s="42"/>
      <c r="G11722" s="42"/>
      <c r="H11722" s="42"/>
      <c r="AG11722" s="19"/>
    </row>
    <row r="11723" spans="1:33" ht="14.5" x14ac:dyDescent="0.35">
      <c r="A11723" s="34"/>
      <c r="B11723" s="35"/>
      <c r="C11723" s="36"/>
      <c r="D11723" s="37"/>
      <c r="E11723" s="36"/>
      <c r="F11723" s="42"/>
      <c r="G11723" s="42"/>
      <c r="H11723" s="42"/>
      <c r="AG11723" s="19"/>
    </row>
    <row r="11724" spans="1:33" ht="14.5" x14ac:dyDescent="0.35">
      <c r="A11724" s="34"/>
      <c r="B11724" s="35"/>
      <c r="C11724" s="36"/>
      <c r="D11724" s="37"/>
      <c r="E11724" s="36"/>
      <c r="F11724" s="42"/>
      <c r="G11724" s="42"/>
      <c r="H11724" s="42"/>
      <c r="AG11724" s="19"/>
    </row>
    <row r="11725" spans="1:33" ht="14.5" x14ac:dyDescent="0.35">
      <c r="A11725" s="34"/>
      <c r="B11725" s="35"/>
      <c r="C11725" s="36"/>
      <c r="D11725" s="37"/>
      <c r="E11725" s="36"/>
      <c r="F11725" s="42"/>
      <c r="G11725" s="42"/>
      <c r="H11725" s="42"/>
      <c r="AG11725" s="19"/>
    </row>
    <row r="11726" spans="1:33" ht="14.5" x14ac:dyDescent="0.35">
      <c r="A11726" s="34"/>
      <c r="B11726" s="35"/>
      <c r="C11726" s="36"/>
      <c r="D11726" s="37"/>
      <c r="E11726" s="36"/>
      <c r="F11726" s="42"/>
      <c r="G11726" s="42"/>
      <c r="H11726" s="42"/>
      <c r="AG11726" s="19"/>
    </row>
    <row r="11727" spans="1:33" ht="14.5" x14ac:dyDescent="0.35">
      <c r="A11727" s="34"/>
      <c r="B11727" s="35"/>
      <c r="C11727" s="36"/>
      <c r="D11727" s="37"/>
      <c r="E11727" s="36"/>
      <c r="F11727" s="42"/>
      <c r="G11727" s="42"/>
      <c r="H11727" s="42"/>
      <c r="AG11727" s="19"/>
    </row>
    <row r="11728" spans="1:33" ht="14.5" x14ac:dyDescent="0.35">
      <c r="A11728" s="34"/>
      <c r="B11728" s="35"/>
      <c r="C11728" s="36"/>
      <c r="D11728" s="37"/>
      <c r="E11728" s="36"/>
      <c r="F11728" s="42"/>
      <c r="G11728" s="42"/>
      <c r="H11728" s="42"/>
      <c r="AG11728" s="19"/>
    </row>
    <row r="11729" spans="1:33" ht="14.5" x14ac:dyDescent="0.35">
      <c r="A11729" s="34"/>
      <c r="B11729" s="35"/>
      <c r="C11729" s="36"/>
      <c r="D11729" s="37"/>
      <c r="E11729" s="36"/>
      <c r="F11729" s="42"/>
      <c r="G11729" s="42"/>
      <c r="H11729" s="42"/>
      <c r="AG11729" s="19"/>
    </row>
    <row r="11730" spans="1:33" ht="14.5" x14ac:dyDescent="0.35">
      <c r="A11730" s="34"/>
      <c r="B11730" s="35"/>
      <c r="C11730" s="36"/>
      <c r="D11730" s="37"/>
      <c r="E11730" s="36"/>
      <c r="F11730" s="42"/>
      <c r="G11730" s="42"/>
      <c r="H11730" s="42"/>
      <c r="AG11730" s="19"/>
    </row>
    <row r="11731" spans="1:33" ht="14.5" x14ac:dyDescent="0.35">
      <c r="A11731" s="34"/>
      <c r="B11731" s="35"/>
      <c r="C11731" s="36"/>
      <c r="D11731" s="37"/>
      <c r="E11731" s="36"/>
      <c r="F11731" s="42"/>
      <c r="G11731" s="42"/>
      <c r="H11731" s="42"/>
      <c r="AG11731" s="19"/>
    </row>
    <row r="11732" spans="1:33" ht="14.5" x14ac:dyDescent="0.35">
      <c r="A11732" s="34"/>
      <c r="B11732" s="35"/>
      <c r="C11732" s="36"/>
      <c r="D11732" s="37"/>
      <c r="E11732" s="36"/>
      <c r="F11732" s="42"/>
      <c r="G11732" s="42"/>
      <c r="H11732" s="42"/>
      <c r="AG11732" s="19"/>
    </row>
    <row r="11733" spans="1:33" ht="14.5" x14ac:dyDescent="0.35">
      <c r="A11733" s="34"/>
      <c r="B11733" s="35"/>
      <c r="C11733" s="36"/>
      <c r="D11733" s="37"/>
      <c r="E11733" s="36"/>
      <c r="F11733" s="42"/>
      <c r="G11733" s="42"/>
      <c r="H11733" s="42"/>
      <c r="AG11733" s="19"/>
    </row>
    <row r="11734" spans="1:33" ht="14.5" x14ac:dyDescent="0.35">
      <c r="A11734" s="34"/>
      <c r="B11734" s="35"/>
      <c r="C11734" s="36"/>
      <c r="D11734" s="37"/>
      <c r="E11734" s="36"/>
      <c r="F11734" s="42"/>
      <c r="G11734" s="42"/>
      <c r="H11734" s="42"/>
      <c r="AG11734" s="19"/>
    </row>
    <row r="11735" spans="1:33" ht="14.5" x14ac:dyDescent="0.35">
      <c r="A11735" s="34"/>
      <c r="B11735" s="35"/>
      <c r="C11735" s="36"/>
      <c r="D11735" s="37"/>
      <c r="E11735" s="36"/>
      <c r="F11735" s="42"/>
      <c r="G11735" s="42"/>
      <c r="H11735" s="42"/>
      <c r="AG11735" s="19"/>
    </row>
    <row r="11736" spans="1:33" ht="14.5" x14ac:dyDescent="0.35">
      <c r="A11736" s="34"/>
      <c r="B11736" s="35"/>
      <c r="C11736" s="36"/>
      <c r="D11736" s="37"/>
      <c r="E11736" s="36"/>
      <c r="F11736" s="42"/>
      <c r="G11736" s="42"/>
      <c r="H11736" s="42"/>
      <c r="AG11736" s="19"/>
    </row>
    <row r="11737" spans="1:33" ht="14.5" x14ac:dyDescent="0.35">
      <c r="A11737" s="34"/>
      <c r="B11737" s="35"/>
      <c r="C11737" s="36"/>
      <c r="D11737" s="37"/>
      <c r="E11737" s="36"/>
      <c r="F11737" s="42"/>
      <c r="G11737" s="42"/>
      <c r="H11737" s="42"/>
      <c r="AG11737" s="19"/>
    </row>
    <row r="11738" spans="1:33" ht="14.5" x14ac:dyDescent="0.35">
      <c r="A11738" s="34"/>
      <c r="B11738" s="35"/>
      <c r="C11738" s="36"/>
      <c r="D11738" s="37"/>
      <c r="E11738" s="36"/>
      <c r="F11738" s="42"/>
      <c r="G11738" s="42"/>
      <c r="H11738" s="42"/>
      <c r="AG11738" s="19"/>
    </row>
    <row r="11739" spans="1:33" ht="14.5" x14ac:dyDescent="0.35">
      <c r="A11739" s="34"/>
      <c r="B11739" s="35"/>
      <c r="C11739" s="36"/>
      <c r="D11739" s="37"/>
      <c r="E11739" s="36"/>
      <c r="F11739" s="42"/>
      <c r="G11739" s="42"/>
      <c r="H11739" s="42"/>
      <c r="AG11739" s="19"/>
    </row>
    <row r="11740" spans="1:33" ht="14.5" x14ac:dyDescent="0.35">
      <c r="A11740" s="34"/>
      <c r="B11740" s="35"/>
      <c r="C11740" s="36"/>
      <c r="D11740" s="37"/>
      <c r="E11740" s="36"/>
      <c r="F11740" s="42"/>
      <c r="G11740" s="42"/>
      <c r="H11740" s="42"/>
      <c r="AG11740" s="19"/>
    </row>
    <row r="11741" spans="1:33" ht="14.5" x14ac:dyDescent="0.35">
      <c r="A11741" s="34"/>
      <c r="B11741" s="35"/>
      <c r="C11741" s="36"/>
      <c r="D11741" s="37"/>
      <c r="E11741" s="36"/>
      <c r="F11741" s="42"/>
      <c r="G11741" s="42"/>
      <c r="H11741" s="42"/>
      <c r="AG11741" s="19"/>
    </row>
    <row r="11742" spans="1:33" ht="14.5" x14ac:dyDescent="0.35">
      <c r="A11742" s="34"/>
      <c r="B11742" s="35"/>
      <c r="C11742" s="36"/>
      <c r="D11742" s="37"/>
      <c r="E11742" s="36"/>
      <c r="F11742" s="42"/>
      <c r="G11742" s="42"/>
      <c r="H11742" s="42"/>
      <c r="AG11742" s="19"/>
    </row>
    <row r="11743" spans="1:33" ht="14.5" x14ac:dyDescent="0.35">
      <c r="A11743" s="34"/>
      <c r="B11743" s="35"/>
      <c r="C11743" s="36"/>
      <c r="D11743" s="37"/>
      <c r="E11743" s="36"/>
      <c r="F11743" s="42"/>
      <c r="G11743" s="42"/>
      <c r="H11743" s="42"/>
      <c r="AG11743" s="19"/>
    </row>
    <row r="11744" spans="1:33" ht="14.5" x14ac:dyDescent="0.35">
      <c r="A11744" s="34"/>
      <c r="B11744" s="35"/>
      <c r="C11744" s="36"/>
      <c r="D11744" s="37"/>
      <c r="E11744" s="36"/>
      <c r="F11744" s="42"/>
      <c r="G11744" s="42"/>
      <c r="H11744" s="42"/>
      <c r="AG11744" s="19"/>
    </row>
    <row r="11745" spans="1:33" ht="14.5" x14ac:dyDescent="0.35">
      <c r="A11745" s="34"/>
      <c r="B11745" s="35"/>
      <c r="C11745" s="36"/>
      <c r="D11745" s="37"/>
      <c r="E11745" s="36"/>
      <c r="F11745" s="42"/>
      <c r="G11745" s="42"/>
      <c r="H11745" s="42"/>
      <c r="AG11745" s="19"/>
    </row>
    <row r="11746" spans="1:33" ht="14.5" x14ac:dyDescent="0.35">
      <c r="A11746" s="34"/>
      <c r="B11746" s="35"/>
      <c r="C11746" s="36"/>
      <c r="D11746" s="37"/>
      <c r="E11746" s="36"/>
      <c r="F11746" s="42"/>
      <c r="G11746" s="42"/>
      <c r="H11746" s="42"/>
      <c r="AG11746" s="19"/>
    </row>
    <row r="11747" spans="1:33" ht="14.5" x14ac:dyDescent="0.35">
      <c r="A11747" s="34"/>
      <c r="B11747" s="35"/>
      <c r="C11747" s="36"/>
      <c r="D11747" s="37"/>
      <c r="E11747" s="36"/>
      <c r="F11747" s="42"/>
      <c r="G11747" s="42"/>
      <c r="H11747" s="42"/>
      <c r="AG11747" s="19"/>
    </row>
    <row r="11748" spans="1:33" ht="14.5" x14ac:dyDescent="0.35">
      <c r="A11748" s="34"/>
      <c r="B11748" s="35"/>
      <c r="C11748" s="36"/>
      <c r="D11748" s="37"/>
      <c r="E11748" s="36"/>
      <c r="F11748" s="42"/>
      <c r="G11748" s="42"/>
      <c r="H11748" s="42"/>
      <c r="AG11748" s="19"/>
    </row>
    <row r="11749" spans="1:33" ht="14.5" x14ac:dyDescent="0.35">
      <c r="A11749" s="34"/>
      <c r="B11749" s="35"/>
      <c r="C11749" s="36"/>
      <c r="D11749" s="37"/>
      <c r="E11749" s="36"/>
      <c r="F11749" s="42"/>
      <c r="G11749" s="42"/>
      <c r="H11749" s="42"/>
      <c r="AG11749" s="19"/>
    </row>
    <row r="11750" spans="1:33" ht="14.5" x14ac:dyDescent="0.35">
      <c r="A11750" s="34"/>
      <c r="B11750" s="35"/>
      <c r="C11750" s="36"/>
      <c r="D11750" s="37"/>
      <c r="E11750" s="36"/>
      <c r="F11750" s="42"/>
      <c r="G11750" s="42"/>
      <c r="H11750" s="42"/>
      <c r="AG11750" s="19"/>
    </row>
    <row r="11751" spans="1:33" ht="14.5" x14ac:dyDescent="0.35">
      <c r="A11751" s="34"/>
      <c r="B11751" s="35"/>
      <c r="C11751" s="36"/>
      <c r="D11751" s="37"/>
      <c r="E11751" s="36"/>
      <c r="F11751" s="42"/>
      <c r="G11751" s="42"/>
      <c r="H11751" s="42"/>
      <c r="AG11751" s="19"/>
    </row>
    <row r="11752" spans="1:33" ht="14.5" x14ac:dyDescent="0.35">
      <c r="A11752" s="34"/>
      <c r="B11752" s="35"/>
      <c r="C11752" s="36"/>
      <c r="D11752" s="37"/>
      <c r="E11752" s="36"/>
      <c r="F11752" s="42"/>
      <c r="G11752" s="42"/>
      <c r="H11752" s="42"/>
      <c r="AG11752" s="19"/>
    </row>
    <row r="11753" spans="1:33" ht="14.5" x14ac:dyDescent="0.35">
      <c r="A11753" s="34"/>
      <c r="B11753" s="35"/>
      <c r="C11753" s="36"/>
      <c r="D11753" s="37"/>
      <c r="E11753" s="36"/>
      <c r="F11753" s="42"/>
      <c r="G11753" s="42"/>
      <c r="H11753" s="42"/>
      <c r="AG11753" s="19"/>
    </row>
    <row r="11754" spans="1:33" ht="14.5" x14ac:dyDescent="0.35">
      <c r="A11754" s="34"/>
      <c r="B11754" s="35"/>
      <c r="C11754" s="36"/>
      <c r="D11754" s="37"/>
      <c r="E11754" s="36"/>
      <c r="F11754" s="42"/>
      <c r="G11754" s="42"/>
      <c r="H11754" s="42"/>
      <c r="AG11754" s="19"/>
    </row>
    <row r="11755" spans="1:33" ht="14.5" x14ac:dyDescent="0.35">
      <c r="A11755" s="34"/>
      <c r="B11755" s="35"/>
      <c r="C11755" s="36"/>
      <c r="D11755" s="37"/>
      <c r="E11755" s="36"/>
      <c r="F11755" s="42"/>
      <c r="G11755" s="42"/>
      <c r="H11755" s="42"/>
      <c r="AG11755" s="19"/>
    </row>
    <row r="11756" spans="1:33" ht="14.5" x14ac:dyDescent="0.35">
      <c r="A11756" s="34"/>
      <c r="B11756" s="35"/>
      <c r="C11756" s="36"/>
      <c r="D11756" s="37"/>
      <c r="E11756" s="36"/>
      <c r="F11756" s="42"/>
      <c r="G11756" s="42"/>
      <c r="H11756" s="42"/>
      <c r="AG11756" s="19"/>
    </row>
    <row r="11757" spans="1:33" ht="14.5" x14ac:dyDescent="0.35">
      <c r="A11757" s="34"/>
      <c r="B11757" s="35"/>
      <c r="C11757" s="36"/>
      <c r="D11757" s="37"/>
      <c r="E11757" s="36"/>
      <c r="F11757" s="42"/>
      <c r="G11757" s="42"/>
      <c r="H11757" s="42"/>
      <c r="AG11757" s="19"/>
    </row>
    <row r="11758" spans="1:33" ht="14.5" x14ac:dyDescent="0.35">
      <c r="A11758" s="34"/>
      <c r="B11758" s="35"/>
      <c r="C11758" s="36"/>
      <c r="D11758" s="37"/>
      <c r="E11758" s="36"/>
      <c r="F11758" s="42"/>
      <c r="G11758" s="42"/>
      <c r="H11758" s="42"/>
      <c r="AG11758" s="19"/>
    </row>
    <row r="11759" spans="1:33" ht="14.5" x14ac:dyDescent="0.35">
      <c r="A11759" s="34"/>
      <c r="B11759" s="35"/>
      <c r="C11759" s="36"/>
      <c r="D11759" s="37"/>
      <c r="E11759" s="36"/>
      <c r="F11759" s="42"/>
      <c r="G11759" s="42"/>
      <c r="H11759" s="42"/>
      <c r="AG11759" s="19"/>
    </row>
    <row r="11760" spans="1:33" ht="14.5" x14ac:dyDescent="0.35">
      <c r="A11760" s="34"/>
      <c r="B11760" s="35"/>
      <c r="C11760" s="36"/>
      <c r="D11760" s="37"/>
      <c r="E11760" s="36"/>
      <c r="F11760" s="42"/>
      <c r="G11760" s="42"/>
      <c r="H11760" s="42"/>
      <c r="AG11760" s="19"/>
    </row>
    <row r="11761" spans="1:33" ht="14.5" x14ac:dyDescent="0.35">
      <c r="A11761" s="34"/>
      <c r="B11761" s="35"/>
      <c r="C11761" s="36"/>
      <c r="D11761" s="37"/>
      <c r="E11761" s="36"/>
      <c r="F11761" s="42"/>
      <c r="G11761" s="42"/>
      <c r="H11761" s="42"/>
      <c r="AG11761" s="19"/>
    </row>
    <row r="11762" spans="1:33" ht="14.5" x14ac:dyDescent="0.35">
      <c r="A11762" s="34"/>
      <c r="B11762" s="35"/>
      <c r="C11762" s="36"/>
      <c r="D11762" s="37"/>
      <c r="E11762" s="36"/>
      <c r="F11762" s="42"/>
      <c r="G11762" s="42"/>
      <c r="H11762" s="42"/>
      <c r="AG11762" s="19"/>
    </row>
    <row r="11763" spans="1:33" ht="14.5" x14ac:dyDescent="0.35">
      <c r="A11763" s="34"/>
      <c r="B11763" s="35"/>
      <c r="C11763" s="36"/>
      <c r="D11763" s="37"/>
      <c r="E11763" s="36"/>
      <c r="F11763" s="42"/>
      <c r="G11763" s="42"/>
      <c r="H11763" s="42"/>
      <c r="AG11763" s="19"/>
    </row>
    <row r="11764" spans="1:33" ht="14.5" x14ac:dyDescent="0.35">
      <c r="A11764" s="34"/>
      <c r="B11764" s="35"/>
      <c r="C11764" s="36"/>
      <c r="D11764" s="37"/>
      <c r="E11764" s="36"/>
      <c r="F11764" s="42"/>
      <c r="G11764" s="42"/>
      <c r="H11764" s="42"/>
      <c r="AG11764" s="19"/>
    </row>
    <row r="11765" spans="1:33" ht="14.5" x14ac:dyDescent="0.35">
      <c r="A11765" s="34"/>
      <c r="B11765" s="35"/>
      <c r="C11765" s="36"/>
      <c r="D11765" s="37"/>
      <c r="E11765" s="36"/>
      <c r="F11765" s="42"/>
      <c r="G11765" s="42"/>
      <c r="H11765" s="42"/>
      <c r="AG11765" s="19"/>
    </row>
    <row r="11766" spans="1:33" ht="14.5" x14ac:dyDescent="0.35">
      <c r="A11766" s="34"/>
      <c r="B11766" s="35"/>
      <c r="C11766" s="36"/>
      <c r="D11766" s="37"/>
      <c r="E11766" s="36"/>
      <c r="F11766" s="42"/>
      <c r="G11766" s="42"/>
      <c r="H11766" s="42"/>
      <c r="AG11766" s="19"/>
    </row>
    <row r="11767" spans="1:33" ht="14.5" x14ac:dyDescent="0.35">
      <c r="A11767" s="34"/>
      <c r="B11767" s="35"/>
      <c r="C11767" s="36"/>
      <c r="D11767" s="37"/>
      <c r="E11767" s="36"/>
      <c r="F11767" s="42"/>
      <c r="G11767" s="42"/>
      <c r="H11767" s="42"/>
      <c r="AG11767" s="19"/>
    </row>
    <row r="11768" spans="1:33" ht="14.5" x14ac:dyDescent="0.35">
      <c r="A11768" s="34"/>
      <c r="B11768" s="35"/>
      <c r="C11768" s="36"/>
      <c r="D11768" s="37"/>
      <c r="E11768" s="36"/>
      <c r="F11768" s="42"/>
      <c r="G11768" s="42"/>
      <c r="H11768" s="42"/>
      <c r="AG11768" s="19"/>
    </row>
    <row r="11769" spans="1:33" ht="14.5" x14ac:dyDescent="0.35">
      <c r="A11769" s="34"/>
      <c r="B11769" s="35"/>
      <c r="C11769" s="36"/>
      <c r="D11769" s="37"/>
      <c r="E11769" s="36"/>
      <c r="F11769" s="42"/>
      <c r="G11769" s="42"/>
      <c r="H11769" s="42"/>
      <c r="AG11769" s="19"/>
    </row>
    <row r="11770" spans="1:33" ht="14.5" x14ac:dyDescent="0.35">
      <c r="A11770" s="34"/>
      <c r="B11770" s="35"/>
      <c r="C11770" s="36"/>
      <c r="D11770" s="37"/>
      <c r="E11770" s="36"/>
      <c r="F11770" s="42"/>
      <c r="G11770" s="42"/>
      <c r="H11770" s="42"/>
      <c r="AG11770" s="19"/>
    </row>
    <row r="11771" spans="1:33" ht="14.5" x14ac:dyDescent="0.35">
      <c r="A11771" s="34"/>
      <c r="B11771" s="35"/>
      <c r="C11771" s="36"/>
      <c r="D11771" s="37"/>
      <c r="E11771" s="36"/>
      <c r="F11771" s="42"/>
      <c r="G11771" s="42"/>
      <c r="H11771" s="42"/>
      <c r="AG11771" s="19"/>
    </row>
    <row r="11772" spans="1:33" ht="14.5" x14ac:dyDescent="0.35">
      <c r="A11772" s="34"/>
      <c r="B11772" s="35"/>
      <c r="C11772" s="36"/>
      <c r="D11772" s="37"/>
      <c r="E11772" s="36"/>
      <c r="F11772" s="42"/>
      <c r="G11772" s="42"/>
      <c r="H11772" s="42"/>
      <c r="AG11772" s="19"/>
    </row>
    <row r="11773" spans="1:33" ht="14.5" x14ac:dyDescent="0.35">
      <c r="A11773" s="34"/>
      <c r="B11773" s="35"/>
      <c r="C11773" s="36"/>
      <c r="D11773" s="37"/>
      <c r="E11773" s="36"/>
      <c r="F11773" s="42"/>
      <c r="G11773" s="42"/>
      <c r="H11773" s="42"/>
      <c r="AG11773" s="19"/>
    </row>
    <row r="11774" spans="1:33" ht="14.5" x14ac:dyDescent="0.35">
      <c r="A11774" s="34"/>
      <c r="B11774" s="35"/>
      <c r="C11774" s="36"/>
      <c r="D11774" s="37"/>
      <c r="E11774" s="36"/>
      <c r="F11774" s="42"/>
      <c r="G11774" s="42"/>
      <c r="H11774" s="42"/>
      <c r="AG11774" s="19"/>
    </row>
    <row r="11775" spans="1:33" ht="14.5" x14ac:dyDescent="0.35">
      <c r="A11775" s="34"/>
      <c r="B11775" s="35"/>
      <c r="C11775" s="36"/>
      <c r="D11775" s="37"/>
      <c r="E11775" s="36"/>
      <c r="F11775" s="42"/>
      <c r="G11775" s="42"/>
      <c r="H11775" s="42"/>
      <c r="AG11775" s="19"/>
    </row>
    <row r="11776" spans="1:33" ht="14.5" x14ac:dyDescent="0.35">
      <c r="A11776" s="34"/>
      <c r="B11776" s="35"/>
      <c r="C11776" s="36"/>
      <c r="D11776" s="37"/>
      <c r="E11776" s="36"/>
      <c r="F11776" s="42"/>
      <c r="G11776" s="42"/>
      <c r="H11776" s="42"/>
      <c r="AG11776" s="19"/>
    </row>
    <row r="11777" spans="1:33" ht="14.5" x14ac:dyDescent="0.35">
      <c r="A11777" s="34"/>
      <c r="B11777" s="35"/>
      <c r="C11777" s="36"/>
      <c r="D11777" s="37"/>
      <c r="E11777" s="36"/>
      <c r="F11777" s="42"/>
      <c r="G11777" s="42"/>
      <c r="H11777" s="42"/>
      <c r="AG11777" s="19"/>
    </row>
    <row r="11778" spans="1:33" ht="14.5" x14ac:dyDescent="0.35">
      <c r="A11778" s="34"/>
      <c r="B11778" s="35"/>
      <c r="C11778" s="36"/>
      <c r="D11778" s="37"/>
      <c r="E11778" s="36"/>
      <c r="F11778" s="42"/>
      <c r="G11778" s="42"/>
      <c r="H11778" s="42"/>
      <c r="AG11778" s="19"/>
    </row>
    <row r="11779" spans="1:33" ht="14.5" x14ac:dyDescent="0.35">
      <c r="A11779" s="34"/>
      <c r="B11779" s="35"/>
      <c r="C11779" s="36"/>
      <c r="D11779" s="37"/>
      <c r="E11779" s="36"/>
      <c r="F11779" s="42"/>
      <c r="G11779" s="42"/>
      <c r="H11779" s="42"/>
      <c r="AG11779" s="19"/>
    </row>
    <row r="11780" spans="1:33" ht="14.5" x14ac:dyDescent="0.35">
      <c r="A11780" s="34"/>
      <c r="B11780" s="35"/>
      <c r="C11780" s="36"/>
      <c r="D11780" s="37"/>
      <c r="E11780" s="36"/>
      <c r="F11780" s="42"/>
      <c r="G11780" s="42"/>
      <c r="H11780" s="42"/>
      <c r="AG11780" s="19"/>
    </row>
    <row r="11781" spans="1:33" ht="14.5" x14ac:dyDescent="0.35">
      <c r="A11781" s="34"/>
      <c r="B11781" s="35"/>
      <c r="C11781" s="36"/>
      <c r="D11781" s="37"/>
      <c r="E11781" s="36"/>
      <c r="F11781" s="42"/>
      <c r="G11781" s="42"/>
      <c r="H11781" s="42"/>
      <c r="AG11781" s="19"/>
    </row>
    <row r="11782" spans="1:33" ht="14.5" x14ac:dyDescent="0.35">
      <c r="A11782" s="34"/>
      <c r="B11782" s="35"/>
      <c r="C11782" s="36"/>
      <c r="D11782" s="37"/>
      <c r="E11782" s="36"/>
      <c r="F11782" s="42"/>
      <c r="G11782" s="42"/>
      <c r="H11782" s="42"/>
      <c r="AG11782" s="19"/>
    </row>
    <row r="11783" spans="1:33" ht="14.5" x14ac:dyDescent="0.35">
      <c r="A11783" s="34"/>
      <c r="B11783" s="35"/>
      <c r="C11783" s="36"/>
      <c r="D11783" s="37"/>
      <c r="E11783" s="36"/>
      <c r="F11783" s="42"/>
      <c r="G11783" s="42"/>
      <c r="H11783" s="42"/>
      <c r="AG11783" s="19"/>
    </row>
    <row r="11784" spans="1:33" ht="14.5" x14ac:dyDescent="0.35">
      <c r="A11784" s="34"/>
      <c r="B11784" s="35"/>
      <c r="C11784" s="36"/>
      <c r="D11784" s="37"/>
      <c r="E11784" s="36"/>
      <c r="F11784" s="42"/>
      <c r="G11784" s="42"/>
      <c r="H11784" s="42"/>
      <c r="AG11784" s="19"/>
    </row>
    <row r="11785" spans="1:33" ht="14.5" x14ac:dyDescent="0.35">
      <c r="A11785" s="34"/>
      <c r="B11785" s="35"/>
      <c r="C11785" s="36"/>
      <c r="D11785" s="37"/>
      <c r="E11785" s="36"/>
      <c r="F11785" s="42"/>
      <c r="G11785" s="42"/>
      <c r="H11785" s="42"/>
      <c r="AG11785" s="19"/>
    </row>
    <row r="11786" spans="1:33" ht="14.5" x14ac:dyDescent="0.35">
      <c r="A11786" s="34"/>
      <c r="B11786" s="35"/>
      <c r="C11786" s="36"/>
      <c r="D11786" s="37"/>
      <c r="E11786" s="36"/>
      <c r="F11786" s="42"/>
      <c r="G11786" s="42"/>
      <c r="H11786" s="42"/>
      <c r="AG11786" s="19"/>
    </row>
    <row r="11787" spans="1:33" ht="14.5" x14ac:dyDescent="0.35">
      <c r="A11787" s="34"/>
      <c r="B11787" s="35"/>
      <c r="C11787" s="36"/>
      <c r="D11787" s="37"/>
      <c r="E11787" s="36"/>
      <c r="F11787" s="42"/>
      <c r="G11787" s="42"/>
      <c r="H11787" s="42"/>
      <c r="AG11787" s="19"/>
    </row>
    <row r="11788" spans="1:33" ht="14.5" x14ac:dyDescent="0.35">
      <c r="A11788" s="34"/>
      <c r="B11788" s="35"/>
      <c r="C11788" s="36"/>
      <c r="D11788" s="37"/>
      <c r="E11788" s="36"/>
      <c r="F11788" s="42"/>
      <c r="G11788" s="42"/>
      <c r="H11788" s="42"/>
      <c r="AG11788" s="19"/>
    </row>
    <row r="11789" spans="1:33" ht="14.5" x14ac:dyDescent="0.35">
      <c r="A11789" s="34"/>
      <c r="B11789" s="35"/>
      <c r="C11789" s="36"/>
      <c r="D11789" s="37"/>
      <c r="E11789" s="36"/>
      <c r="F11789" s="42"/>
      <c r="G11789" s="42"/>
      <c r="H11789" s="42"/>
      <c r="AG11789" s="19"/>
    </row>
    <row r="11790" spans="1:33" ht="14.5" x14ac:dyDescent="0.35">
      <c r="A11790" s="34"/>
      <c r="B11790" s="35"/>
      <c r="C11790" s="36"/>
      <c r="D11790" s="37"/>
      <c r="E11790" s="36"/>
      <c r="F11790" s="42"/>
      <c r="G11790" s="42"/>
      <c r="H11790" s="42"/>
      <c r="AG11790" s="19"/>
    </row>
    <row r="11791" spans="1:33" ht="14.5" x14ac:dyDescent="0.35">
      <c r="A11791" s="34"/>
      <c r="B11791" s="35"/>
      <c r="C11791" s="36"/>
      <c r="D11791" s="37"/>
      <c r="E11791" s="36"/>
      <c r="F11791" s="42"/>
      <c r="G11791" s="42"/>
      <c r="H11791" s="42"/>
      <c r="AG11791" s="19"/>
    </row>
    <row r="11792" spans="1:33" ht="14.5" x14ac:dyDescent="0.35">
      <c r="A11792" s="34"/>
      <c r="B11792" s="35"/>
      <c r="C11792" s="36"/>
      <c r="D11792" s="37"/>
      <c r="E11792" s="36"/>
      <c r="F11792" s="42"/>
      <c r="G11792" s="42"/>
      <c r="H11792" s="42"/>
      <c r="AG11792" s="19"/>
    </row>
    <row r="11793" spans="1:33" ht="14.5" x14ac:dyDescent="0.35">
      <c r="A11793" s="34"/>
      <c r="B11793" s="35"/>
      <c r="C11793" s="36"/>
      <c r="D11793" s="37"/>
      <c r="E11793" s="36"/>
      <c r="F11793" s="42"/>
      <c r="G11793" s="42"/>
      <c r="H11793" s="42"/>
      <c r="AG11793" s="19"/>
    </row>
    <row r="11794" spans="1:33" ht="14.5" x14ac:dyDescent="0.35">
      <c r="A11794" s="34"/>
      <c r="B11794" s="35"/>
      <c r="C11794" s="36"/>
      <c r="D11794" s="37"/>
      <c r="E11794" s="36"/>
      <c r="F11794" s="42"/>
      <c r="G11794" s="42"/>
      <c r="H11794" s="42"/>
      <c r="AG11794" s="19"/>
    </row>
    <row r="11795" spans="1:33" ht="14.5" x14ac:dyDescent="0.35">
      <c r="A11795" s="34"/>
      <c r="B11795" s="35"/>
      <c r="C11795" s="36"/>
      <c r="D11795" s="37"/>
      <c r="E11795" s="36"/>
      <c r="F11795" s="42"/>
      <c r="G11795" s="42"/>
      <c r="H11795" s="42"/>
      <c r="AG11795" s="19"/>
    </row>
    <row r="11796" spans="1:33" ht="14.5" x14ac:dyDescent="0.35">
      <c r="A11796" s="34"/>
      <c r="B11796" s="35"/>
      <c r="C11796" s="36"/>
      <c r="D11796" s="37"/>
      <c r="E11796" s="36"/>
      <c r="F11796" s="42"/>
      <c r="G11796" s="42"/>
      <c r="H11796" s="42"/>
      <c r="AG11796" s="19"/>
    </row>
    <row r="11797" spans="1:33" ht="14.5" x14ac:dyDescent="0.35">
      <c r="A11797" s="34"/>
      <c r="B11797" s="35"/>
      <c r="C11797" s="36"/>
      <c r="D11797" s="37"/>
      <c r="E11797" s="36"/>
      <c r="F11797" s="42"/>
      <c r="G11797" s="42"/>
      <c r="H11797" s="42"/>
      <c r="AG11797" s="19"/>
    </row>
    <row r="11798" spans="1:33" ht="14.5" x14ac:dyDescent="0.35">
      <c r="A11798" s="34"/>
      <c r="B11798" s="35"/>
      <c r="C11798" s="36"/>
      <c r="D11798" s="37"/>
      <c r="E11798" s="36"/>
      <c r="F11798" s="42"/>
      <c r="G11798" s="42"/>
      <c r="H11798" s="42"/>
      <c r="AG11798" s="19"/>
    </row>
    <row r="11799" spans="1:33" ht="14.5" x14ac:dyDescent="0.35">
      <c r="A11799" s="34"/>
      <c r="B11799" s="35"/>
      <c r="C11799" s="36"/>
      <c r="D11799" s="37"/>
      <c r="E11799" s="36"/>
      <c r="F11799" s="42"/>
      <c r="G11799" s="42"/>
      <c r="H11799" s="42"/>
      <c r="AG11799" s="19"/>
    </row>
    <row r="11800" spans="1:33" ht="14.5" x14ac:dyDescent="0.35">
      <c r="A11800" s="34"/>
      <c r="B11800" s="35"/>
      <c r="C11800" s="36"/>
      <c r="D11800" s="37"/>
      <c r="E11800" s="36"/>
      <c r="F11800" s="42"/>
      <c r="G11800" s="42"/>
      <c r="H11800" s="42"/>
      <c r="AG11800" s="19"/>
    </row>
    <row r="11801" spans="1:33" ht="14.5" x14ac:dyDescent="0.35">
      <c r="A11801" s="34"/>
      <c r="B11801" s="35"/>
      <c r="C11801" s="36"/>
      <c r="D11801" s="37"/>
      <c r="E11801" s="36"/>
      <c r="F11801" s="42"/>
      <c r="G11801" s="42"/>
      <c r="H11801" s="42"/>
      <c r="AG11801" s="19"/>
    </row>
    <row r="11802" spans="1:33" ht="14.5" x14ac:dyDescent="0.35">
      <c r="A11802" s="34"/>
      <c r="B11802" s="35"/>
      <c r="C11802" s="36"/>
      <c r="D11802" s="37"/>
      <c r="E11802" s="36"/>
      <c r="F11802" s="42"/>
      <c r="G11802" s="42"/>
      <c r="H11802" s="42"/>
      <c r="AG11802" s="19"/>
    </row>
    <row r="11803" spans="1:33" ht="14.5" x14ac:dyDescent="0.35">
      <c r="A11803" s="34"/>
      <c r="B11803" s="35"/>
      <c r="C11803" s="36"/>
      <c r="D11803" s="37"/>
      <c r="E11803" s="36"/>
      <c r="F11803" s="42"/>
      <c r="G11803" s="42"/>
      <c r="H11803" s="42"/>
      <c r="AG11803" s="19"/>
    </row>
    <row r="11804" spans="1:33" ht="14.5" x14ac:dyDescent="0.35">
      <c r="A11804" s="34"/>
      <c r="B11804" s="35"/>
      <c r="C11804" s="36"/>
      <c r="D11804" s="37"/>
      <c r="E11804" s="36"/>
      <c r="F11804" s="42"/>
      <c r="G11804" s="42"/>
      <c r="H11804" s="42"/>
      <c r="AG11804" s="19"/>
    </row>
    <row r="11805" spans="1:33" ht="14.5" x14ac:dyDescent="0.35">
      <c r="A11805" s="34"/>
      <c r="B11805" s="35"/>
      <c r="C11805" s="36"/>
      <c r="D11805" s="37"/>
      <c r="E11805" s="36"/>
      <c r="F11805" s="42"/>
      <c r="G11805" s="42"/>
      <c r="H11805" s="42"/>
      <c r="AG11805" s="19"/>
    </row>
    <row r="11806" spans="1:33" ht="14.5" x14ac:dyDescent="0.35">
      <c r="A11806" s="34"/>
      <c r="B11806" s="35"/>
      <c r="C11806" s="36"/>
      <c r="D11806" s="37"/>
      <c r="E11806" s="36"/>
      <c r="F11806" s="42"/>
      <c r="G11806" s="42"/>
      <c r="H11806" s="42"/>
      <c r="AG11806" s="19"/>
    </row>
    <row r="11807" spans="1:33" ht="14.5" x14ac:dyDescent="0.35">
      <c r="A11807" s="34"/>
      <c r="B11807" s="35"/>
      <c r="C11807" s="36"/>
      <c r="D11807" s="37"/>
      <c r="E11807" s="36"/>
      <c r="F11807" s="42"/>
      <c r="G11807" s="42"/>
      <c r="H11807" s="42"/>
      <c r="AG11807" s="19"/>
    </row>
    <row r="11808" spans="1:33" ht="14.5" x14ac:dyDescent="0.35">
      <c r="A11808" s="34"/>
      <c r="B11808" s="35"/>
      <c r="C11808" s="36"/>
      <c r="D11808" s="37"/>
      <c r="E11808" s="36"/>
      <c r="F11808" s="42"/>
      <c r="G11808" s="42"/>
      <c r="H11808" s="42"/>
      <c r="AG11808" s="19"/>
    </row>
    <row r="11809" spans="1:33" ht="14.5" x14ac:dyDescent="0.35">
      <c r="A11809" s="34"/>
      <c r="B11809" s="35"/>
      <c r="C11809" s="36"/>
      <c r="D11809" s="37"/>
      <c r="E11809" s="36"/>
      <c r="F11809" s="42"/>
      <c r="G11809" s="42"/>
      <c r="H11809" s="42"/>
      <c r="AG11809" s="19"/>
    </row>
    <row r="11810" spans="1:33" ht="14.5" x14ac:dyDescent="0.35">
      <c r="A11810" s="34"/>
      <c r="B11810" s="35"/>
      <c r="C11810" s="36"/>
      <c r="D11810" s="37"/>
      <c r="E11810" s="36"/>
      <c r="F11810" s="42"/>
      <c r="G11810" s="42"/>
      <c r="H11810" s="42"/>
      <c r="AG11810" s="19"/>
    </row>
    <row r="11811" spans="1:33" ht="14.5" x14ac:dyDescent="0.35">
      <c r="A11811" s="34"/>
      <c r="B11811" s="35"/>
      <c r="C11811" s="36"/>
      <c r="D11811" s="37"/>
      <c r="E11811" s="36"/>
      <c r="F11811" s="42"/>
      <c r="G11811" s="42"/>
      <c r="H11811" s="42"/>
      <c r="AG11811" s="19"/>
    </row>
    <row r="11812" spans="1:33" ht="14.5" x14ac:dyDescent="0.35">
      <c r="A11812" s="34"/>
      <c r="B11812" s="35"/>
      <c r="C11812" s="36"/>
      <c r="D11812" s="37"/>
      <c r="E11812" s="36"/>
      <c r="F11812" s="42"/>
      <c r="G11812" s="42"/>
      <c r="H11812" s="42"/>
      <c r="AG11812" s="19"/>
    </row>
    <row r="11813" spans="1:33" ht="14.5" x14ac:dyDescent="0.35">
      <c r="A11813" s="34"/>
      <c r="B11813" s="35"/>
      <c r="C11813" s="36"/>
      <c r="D11813" s="37"/>
      <c r="E11813" s="36"/>
      <c r="F11813" s="42"/>
      <c r="G11813" s="42"/>
      <c r="H11813" s="42"/>
      <c r="AG11813" s="19"/>
    </row>
    <row r="11814" spans="1:33" ht="14.5" x14ac:dyDescent="0.35">
      <c r="A11814" s="34"/>
      <c r="B11814" s="35"/>
      <c r="C11814" s="36"/>
      <c r="D11814" s="37"/>
      <c r="E11814" s="36"/>
      <c r="F11814" s="42"/>
      <c r="G11814" s="42"/>
      <c r="H11814" s="42"/>
      <c r="AG11814" s="19"/>
    </row>
    <row r="11815" spans="1:33" ht="14.5" x14ac:dyDescent="0.35">
      <c r="A11815" s="34"/>
      <c r="B11815" s="35"/>
      <c r="C11815" s="36"/>
      <c r="D11815" s="37"/>
      <c r="E11815" s="36"/>
      <c r="F11815" s="42"/>
      <c r="G11815" s="42"/>
      <c r="H11815" s="42"/>
      <c r="AG11815" s="19"/>
    </row>
    <row r="11816" spans="1:33" ht="14.5" x14ac:dyDescent="0.35">
      <c r="A11816" s="34"/>
      <c r="B11816" s="35"/>
      <c r="C11816" s="36"/>
      <c r="D11816" s="37"/>
      <c r="E11816" s="36"/>
      <c r="F11816" s="42"/>
      <c r="G11816" s="42"/>
      <c r="H11816" s="42"/>
      <c r="AG11816" s="19"/>
    </row>
    <row r="11817" spans="1:33" ht="14.5" x14ac:dyDescent="0.35">
      <c r="A11817" s="34"/>
      <c r="B11817" s="35"/>
      <c r="C11817" s="36"/>
      <c r="D11817" s="37"/>
      <c r="E11817" s="36"/>
      <c r="F11817" s="42"/>
      <c r="G11817" s="42"/>
      <c r="H11817" s="42"/>
      <c r="AG11817" s="19"/>
    </row>
    <row r="11818" spans="1:33" ht="14.5" x14ac:dyDescent="0.35">
      <c r="A11818" s="34"/>
      <c r="B11818" s="35"/>
      <c r="C11818" s="36"/>
      <c r="D11818" s="37"/>
      <c r="E11818" s="36"/>
      <c r="F11818" s="42"/>
      <c r="G11818" s="42"/>
      <c r="H11818" s="42"/>
      <c r="AG11818" s="19"/>
    </row>
    <row r="11819" spans="1:33" ht="14.5" x14ac:dyDescent="0.35">
      <c r="A11819" s="34"/>
      <c r="B11819" s="35"/>
      <c r="C11819" s="36"/>
      <c r="D11819" s="37"/>
      <c r="E11819" s="36"/>
      <c r="F11819" s="42"/>
      <c r="G11819" s="42"/>
      <c r="H11819" s="42"/>
      <c r="AG11819" s="19"/>
    </row>
    <row r="11820" spans="1:33" ht="14.5" x14ac:dyDescent="0.35">
      <c r="A11820" s="34"/>
      <c r="B11820" s="35"/>
      <c r="C11820" s="36"/>
      <c r="D11820" s="37"/>
      <c r="E11820" s="36"/>
      <c r="F11820" s="42"/>
      <c r="G11820" s="42"/>
      <c r="H11820" s="42"/>
      <c r="AG11820" s="19"/>
    </row>
    <row r="11821" spans="1:33" ht="14.5" x14ac:dyDescent="0.35">
      <c r="A11821" s="34"/>
      <c r="B11821" s="35"/>
      <c r="C11821" s="36"/>
      <c r="D11821" s="37"/>
      <c r="E11821" s="36"/>
      <c r="F11821" s="42"/>
      <c r="G11821" s="42"/>
      <c r="H11821" s="42"/>
      <c r="AG11821" s="19"/>
    </row>
    <row r="11822" spans="1:33" ht="14.5" x14ac:dyDescent="0.35">
      <c r="A11822" s="34"/>
      <c r="B11822" s="35"/>
      <c r="C11822" s="36"/>
      <c r="D11822" s="37"/>
      <c r="E11822" s="36"/>
      <c r="F11822" s="42"/>
      <c r="G11822" s="42"/>
      <c r="H11822" s="42"/>
      <c r="AG11822" s="19"/>
    </row>
    <row r="11823" spans="1:33" ht="14.5" x14ac:dyDescent="0.35">
      <c r="A11823" s="34"/>
      <c r="B11823" s="35"/>
      <c r="C11823" s="36"/>
      <c r="D11823" s="37"/>
      <c r="E11823" s="36"/>
      <c r="F11823" s="42"/>
      <c r="G11823" s="42"/>
      <c r="H11823" s="42"/>
      <c r="AG11823" s="19"/>
    </row>
    <row r="11824" spans="1:33" ht="14.5" x14ac:dyDescent="0.35">
      <c r="A11824" s="34"/>
      <c r="B11824" s="35"/>
      <c r="C11824" s="36"/>
      <c r="D11824" s="37"/>
      <c r="E11824" s="36"/>
      <c r="F11824" s="42"/>
      <c r="G11824" s="42"/>
      <c r="H11824" s="42"/>
      <c r="AG11824" s="19"/>
    </row>
    <row r="11825" spans="1:33" ht="14.5" x14ac:dyDescent="0.35">
      <c r="A11825" s="34"/>
      <c r="B11825" s="35"/>
      <c r="C11825" s="36"/>
      <c r="D11825" s="37"/>
      <c r="E11825" s="36"/>
      <c r="F11825" s="42"/>
      <c r="G11825" s="42"/>
      <c r="H11825" s="42"/>
      <c r="AG11825" s="19"/>
    </row>
    <row r="11826" spans="1:33" ht="14.5" x14ac:dyDescent="0.35">
      <c r="A11826" s="34"/>
      <c r="B11826" s="35"/>
      <c r="C11826" s="36"/>
      <c r="D11826" s="37"/>
      <c r="E11826" s="36"/>
      <c r="F11826" s="42"/>
      <c r="G11826" s="42"/>
      <c r="H11826" s="42"/>
      <c r="AG11826" s="19"/>
    </row>
    <row r="11827" spans="1:33" ht="14.5" x14ac:dyDescent="0.35">
      <c r="A11827" s="34"/>
      <c r="B11827" s="35"/>
      <c r="C11827" s="36"/>
      <c r="D11827" s="37"/>
      <c r="E11827" s="36"/>
      <c r="F11827" s="42"/>
      <c r="G11827" s="42"/>
      <c r="H11827" s="42"/>
      <c r="AG11827" s="19"/>
    </row>
    <row r="11828" spans="1:33" ht="14.5" x14ac:dyDescent="0.35">
      <c r="A11828" s="34"/>
      <c r="B11828" s="35"/>
      <c r="C11828" s="36"/>
      <c r="D11828" s="37"/>
      <c r="E11828" s="36"/>
      <c r="F11828" s="42"/>
      <c r="G11828" s="42"/>
      <c r="H11828" s="42"/>
      <c r="AG11828" s="19"/>
    </row>
    <row r="11829" spans="1:33" ht="14.5" x14ac:dyDescent="0.35">
      <c r="A11829" s="34"/>
      <c r="B11829" s="35"/>
      <c r="C11829" s="36"/>
      <c r="D11829" s="37"/>
      <c r="E11829" s="36"/>
      <c r="F11829" s="42"/>
      <c r="G11829" s="42"/>
      <c r="H11829" s="42"/>
      <c r="AG11829" s="19"/>
    </row>
    <row r="11830" spans="1:33" ht="14.5" x14ac:dyDescent="0.35">
      <c r="A11830" s="34"/>
      <c r="B11830" s="35"/>
      <c r="C11830" s="36"/>
      <c r="D11830" s="37"/>
      <c r="E11830" s="36"/>
      <c r="F11830" s="42"/>
      <c r="G11830" s="42"/>
      <c r="H11830" s="42"/>
      <c r="AG11830" s="19"/>
    </row>
    <row r="11831" spans="1:33" ht="14.5" x14ac:dyDescent="0.35">
      <c r="A11831" s="34"/>
      <c r="B11831" s="35"/>
      <c r="C11831" s="36"/>
      <c r="D11831" s="37"/>
      <c r="E11831" s="36"/>
      <c r="F11831" s="42"/>
      <c r="G11831" s="42"/>
      <c r="H11831" s="42"/>
      <c r="AG11831" s="19"/>
    </row>
    <row r="11832" spans="1:33" ht="14.5" x14ac:dyDescent="0.35">
      <c r="A11832" s="34"/>
      <c r="B11832" s="35"/>
      <c r="C11832" s="36"/>
      <c r="D11832" s="37"/>
      <c r="E11832" s="36"/>
      <c r="F11832" s="42"/>
      <c r="G11832" s="42"/>
      <c r="H11832" s="42"/>
      <c r="AG11832" s="19"/>
    </row>
    <row r="11833" spans="1:33" ht="14.5" x14ac:dyDescent="0.35">
      <c r="A11833" s="34"/>
      <c r="B11833" s="35"/>
      <c r="C11833" s="36"/>
      <c r="D11833" s="37"/>
      <c r="E11833" s="36"/>
      <c r="F11833" s="42"/>
      <c r="G11833" s="42"/>
      <c r="H11833" s="42"/>
      <c r="AG11833" s="19"/>
    </row>
    <row r="11834" spans="1:33" ht="14.5" x14ac:dyDescent="0.35">
      <c r="A11834" s="34"/>
      <c r="B11834" s="35"/>
      <c r="C11834" s="36"/>
      <c r="D11834" s="37"/>
      <c r="E11834" s="36"/>
      <c r="F11834" s="42"/>
      <c r="G11834" s="42"/>
      <c r="H11834" s="42"/>
      <c r="AG11834" s="19"/>
    </row>
    <row r="11835" spans="1:33" ht="14.5" x14ac:dyDescent="0.35">
      <c r="A11835" s="34"/>
      <c r="B11835" s="35"/>
      <c r="C11835" s="36"/>
      <c r="D11835" s="37"/>
      <c r="E11835" s="36"/>
      <c r="F11835" s="42"/>
      <c r="G11835" s="42"/>
      <c r="H11835" s="42"/>
      <c r="AG11835" s="19"/>
    </row>
    <row r="11836" spans="1:33" ht="14.5" x14ac:dyDescent="0.35">
      <c r="A11836" s="34"/>
      <c r="B11836" s="35"/>
      <c r="C11836" s="36"/>
      <c r="D11836" s="37"/>
      <c r="E11836" s="36"/>
      <c r="F11836" s="42"/>
      <c r="G11836" s="42"/>
      <c r="H11836" s="42"/>
      <c r="AG11836" s="19"/>
    </row>
    <row r="11837" spans="1:33" ht="14.5" x14ac:dyDescent="0.35">
      <c r="A11837" s="34"/>
      <c r="B11837" s="35"/>
      <c r="C11837" s="36"/>
      <c r="D11837" s="37"/>
      <c r="E11837" s="36"/>
      <c r="F11837" s="42"/>
      <c r="G11837" s="42"/>
      <c r="H11837" s="42"/>
      <c r="AG11837" s="19"/>
    </row>
    <row r="11838" spans="1:33" ht="14.5" x14ac:dyDescent="0.35">
      <c r="A11838" s="34"/>
      <c r="B11838" s="35"/>
      <c r="C11838" s="36"/>
      <c r="D11838" s="37"/>
      <c r="E11838" s="36"/>
      <c r="F11838" s="42"/>
      <c r="G11838" s="42"/>
      <c r="H11838" s="42"/>
      <c r="AG11838" s="19"/>
    </row>
    <row r="11839" spans="1:33" ht="14.5" x14ac:dyDescent="0.35">
      <c r="A11839" s="34"/>
      <c r="B11839" s="35"/>
      <c r="C11839" s="36"/>
      <c r="D11839" s="37"/>
      <c r="E11839" s="36"/>
      <c r="F11839" s="42"/>
      <c r="G11839" s="42"/>
      <c r="H11839" s="42"/>
      <c r="AG11839" s="19"/>
    </row>
    <row r="11840" spans="1:33" ht="14.5" x14ac:dyDescent="0.35">
      <c r="A11840" s="34"/>
      <c r="B11840" s="35"/>
      <c r="C11840" s="36"/>
      <c r="D11840" s="37"/>
      <c r="E11840" s="36"/>
      <c r="F11840" s="42"/>
      <c r="G11840" s="42"/>
      <c r="H11840" s="42"/>
      <c r="AG11840" s="19"/>
    </row>
    <row r="11841" spans="1:33" ht="14.5" x14ac:dyDescent="0.35">
      <c r="A11841" s="34"/>
      <c r="B11841" s="35"/>
      <c r="C11841" s="36"/>
      <c r="D11841" s="37"/>
      <c r="E11841" s="36"/>
      <c r="F11841" s="42"/>
      <c r="G11841" s="42"/>
      <c r="H11841" s="42"/>
      <c r="AG11841" s="19"/>
    </row>
    <row r="11842" spans="1:33" ht="14.5" x14ac:dyDescent="0.35">
      <c r="A11842" s="34"/>
      <c r="B11842" s="35"/>
      <c r="C11842" s="36"/>
      <c r="D11842" s="37"/>
      <c r="E11842" s="36"/>
      <c r="F11842" s="42"/>
      <c r="G11842" s="42"/>
      <c r="H11842" s="42"/>
      <c r="AG11842" s="19"/>
    </row>
    <row r="11843" spans="1:33" ht="14.5" x14ac:dyDescent="0.35">
      <c r="A11843" s="34"/>
      <c r="B11843" s="35"/>
      <c r="C11843" s="36"/>
      <c r="D11843" s="37"/>
      <c r="E11843" s="36"/>
      <c r="F11843" s="42"/>
      <c r="G11843" s="42"/>
      <c r="H11843" s="42"/>
      <c r="AG11843" s="19"/>
    </row>
    <row r="11844" spans="1:33" ht="14.5" x14ac:dyDescent="0.35">
      <c r="A11844" s="34"/>
      <c r="B11844" s="35"/>
      <c r="C11844" s="36"/>
      <c r="D11844" s="37"/>
      <c r="E11844" s="36"/>
      <c r="F11844" s="42"/>
      <c r="G11844" s="42"/>
      <c r="H11844" s="42"/>
      <c r="AG11844" s="19"/>
    </row>
    <row r="11845" spans="1:33" ht="14.5" x14ac:dyDescent="0.35">
      <c r="A11845" s="34"/>
      <c r="B11845" s="35"/>
      <c r="C11845" s="36"/>
      <c r="D11845" s="37"/>
      <c r="E11845" s="36"/>
      <c r="F11845" s="42"/>
      <c r="G11845" s="42"/>
      <c r="H11845" s="42"/>
      <c r="AG11845" s="19"/>
    </row>
    <row r="11846" spans="1:33" ht="14.5" x14ac:dyDescent="0.35">
      <c r="A11846" s="34"/>
      <c r="B11846" s="35"/>
      <c r="C11846" s="36"/>
      <c r="D11846" s="37"/>
      <c r="E11846" s="36"/>
      <c r="F11846" s="42"/>
      <c r="G11846" s="42"/>
      <c r="H11846" s="42"/>
      <c r="AG11846" s="19"/>
    </row>
    <row r="11847" spans="1:33" ht="14.5" x14ac:dyDescent="0.35">
      <c r="A11847" s="34"/>
      <c r="B11847" s="35"/>
      <c r="C11847" s="36"/>
      <c r="D11847" s="37"/>
      <c r="E11847" s="36"/>
      <c r="F11847" s="42"/>
      <c r="G11847" s="42"/>
      <c r="H11847" s="42"/>
      <c r="AG11847" s="19"/>
    </row>
    <row r="11848" spans="1:33" ht="14.5" x14ac:dyDescent="0.35">
      <c r="A11848" s="34"/>
      <c r="B11848" s="35"/>
      <c r="C11848" s="36"/>
      <c r="D11848" s="37"/>
      <c r="E11848" s="36"/>
      <c r="F11848" s="42"/>
      <c r="G11848" s="42"/>
      <c r="H11848" s="42"/>
      <c r="AG11848" s="19"/>
    </row>
    <row r="11849" spans="1:33" ht="14.5" x14ac:dyDescent="0.35">
      <c r="A11849" s="34"/>
      <c r="B11849" s="35"/>
      <c r="C11849" s="36"/>
      <c r="D11849" s="37"/>
      <c r="E11849" s="36"/>
      <c r="F11849" s="42"/>
      <c r="G11849" s="42"/>
      <c r="H11849" s="42"/>
      <c r="AG11849" s="19"/>
    </row>
    <row r="11850" spans="1:33" ht="14.5" x14ac:dyDescent="0.35">
      <c r="A11850" s="34"/>
      <c r="B11850" s="35"/>
      <c r="C11850" s="36"/>
      <c r="D11850" s="37"/>
      <c r="E11850" s="36"/>
      <c r="F11850" s="42"/>
      <c r="G11850" s="42"/>
      <c r="H11850" s="42"/>
      <c r="AG11850" s="19"/>
    </row>
    <row r="11851" spans="1:33" ht="14.5" x14ac:dyDescent="0.35">
      <c r="A11851" s="34"/>
      <c r="B11851" s="35"/>
      <c r="C11851" s="36"/>
      <c r="D11851" s="37"/>
      <c r="E11851" s="36"/>
      <c r="F11851" s="42"/>
      <c r="G11851" s="42"/>
      <c r="H11851" s="42"/>
      <c r="AG11851" s="19"/>
    </row>
    <row r="11852" spans="1:33" ht="14.5" x14ac:dyDescent="0.35">
      <c r="A11852" s="34"/>
      <c r="B11852" s="35"/>
      <c r="C11852" s="36"/>
      <c r="D11852" s="37"/>
      <c r="E11852" s="36"/>
      <c r="F11852" s="42"/>
      <c r="G11852" s="42"/>
      <c r="H11852" s="42"/>
      <c r="AG11852" s="19"/>
    </row>
    <row r="11853" spans="1:33" ht="14.5" x14ac:dyDescent="0.35">
      <c r="A11853" s="34"/>
      <c r="B11853" s="35"/>
      <c r="C11853" s="36"/>
      <c r="D11853" s="37"/>
      <c r="E11853" s="36"/>
      <c r="F11853" s="42"/>
      <c r="G11853" s="42"/>
      <c r="H11853" s="42"/>
      <c r="AG11853" s="19"/>
    </row>
    <row r="11854" spans="1:33" ht="14.5" x14ac:dyDescent="0.35">
      <c r="A11854" s="34"/>
      <c r="B11854" s="35"/>
      <c r="C11854" s="36"/>
      <c r="D11854" s="37"/>
      <c r="E11854" s="36"/>
      <c r="F11854" s="42"/>
      <c r="G11854" s="42"/>
      <c r="H11854" s="42"/>
      <c r="AG11854" s="19"/>
    </row>
    <row r="11855" spans="1:33" ht="14.5" x14ac:dyDescent="0.35">
      <c r="A11855" s="34"/>
      <c r="B11855" s="35"/>
      <c r="C11855" s="36"/>
      <c r="D11855" s="37"/>
      <c r="E11855" s="36"/>
      <c r="F11855" s="42"/>
      <c r="G11855" s="42"/>
      <c r="H11855" s="42"/>
      <c r="AG11855" s="19"/>
    </row>
    <row r="11856" spans="1:33" ht="14.5" x14ac:dyDescent="0.35">
      <c r="A11856" s="34"/>
      <c r="B11856" s="35"/>
      <c r="C11856" s="36"/>
      <c r="D11856" s="37"/>
      <c r="E11856" s="36"/>
      <c r="F11856" s="42"/>
      <c r="G11856" s="42"/>
      <c r="H11856" s="42"/>
      <c r="AG11856" s="19"/>
    </row>
    <row r="11857" spans="1:33" ht="14.5" x14ac:dyDescent="0.35">
      <c r="A11857" s="34"/>
      <c r="B11857" s="35"/>
      <c r="C11857" s="36"/>
      <c r="D11857" s="37"/>
      <c r="E11857" s="36"/>
      <c r="F11857" s="42"/>
      <c r="G11857" s="42"/>
      <c r="H11857" s="42"/>
      <c r="AG11857" s="19"/>
    </row>
    <row r="11858" spans="1:33" ht="14.5" x14ac:dyDescent="0.35">
      <c r="A11858" s="34"/>
      <c r="B11858" s="35"/>
      <c r="C11858" s="36"/>
      <c r="D11858" s="37"/>
      <c r="E11858" s="36"/>
      <c r="F11858" s="42"/>
      <c r="G11858" s="42"/>
      <c r="H11858" s="42"/>
      <c r="AG11858" s="19"/>
    </row>
    <row r="11859" spans="1:33" ht="14.5" x14ac:dyDescent="0.35">
      <c r="A11859" s="34"/>
      <c r="B11859" s="35"/>
      <c r="C11859" s="36"/>
      <c r="D11859" s="37"/>
      <c r="E11859" s="36"/>
      <c r="F11859" s="42"/>
      <c r="G11859" s="42"/>
      <c r="H11859" s="42"/>
      <c r="AG11859" s="19"/>
    </row>
    <row r="11860" spans="1:33" ht="14.5" x14ac:dyDescent="0.35">
      <c r="A11860" s="34"/>
      <c r="B11860" s="35"/>
      <c r="C11860" s="36"/>
      <c r="D11860" s="37"/>
      <c r="E11860" s="36"/>
      <c r="F11860" s="42"/>
      <c r="G11860" s="42"/>
      <c r="H11860" s="42"/>
      <c r="AG11860" s="19"/>
    </row>
    <row r="11861" spans="1:33" ht="14.5" x14ac:dyDescent="0.35">
      <c r="A11861" s="34"/>
      <c r="B11861" s="35"/>
      <c r="C11861" s="36"/>
      <c r="D11861" s="37"/>
      <c r="E11861" s="36"/>
      <c r="F11861" s="42"/>
      <c r="G11861" s="42"/>
      <c r="H11861" s="42"/>
      <c r="AG11861" s="19"/>
    </row>
    <row r="11862" spans="1:33" ht="14.5" x14ac:dyDescent="0.35">
      <c r="A11862" s="34"/>
      <c r="B11862" s="35"/>
      <c r="C11862" s="36"/>
      <c r="D11862" s="37"/>
      <c r="E11862" s="36"/>
      <c r="F11862" s="42"/>
      <c r="G11862" s="42"/>
      <c r="H11862" s="42"/>
      <c r="AG11862" s="19"/>
    </row>
    <row r="11863" spans="1:33" ht="14.5" x14ac:dyDescent="0.35">
      <c r="A11863" s="34"/>
      <c r="B11863" s="35"/>
      <c r="C11863" s="36"/>
      <c r="D11863" s="37"/>
      <c r="E11863" s="36"/>
      <c r="F11863" s="42"/>
      <c r="G11863" s="42"/>
      <c r="H11863" s="42"/>
      <c r="AG11863" s="19"/>
    </row>
    <row r="11864" spans="1:33" ht="14.5" x14ac:dyDescent="0.35">
      <c r="A11864" s="34"/>
      <c r="B11864" s="35"/>
      <c r="C11864" s="36"/>
      <c r="D11864" s="37"/>
      <c r="E11864" s="36"/>
      <c r="F11864" s="42"/>
      <c r="G11864" s="42"/>
      <c r="H11864" s="42"/>
      <c r="AG11864" s="19"/>
    </row>
    <row r="11865" spans="1:33" ht="14.5" x14ac:dyDescent="0.35">
      <c r="A11865" s="34"/>
      <c r="B11865" s="35"/>
      <c r="C11865" s="36"/>
      <c r="D11865" s="37"/>
      <c r="E11865" s="36"/>
      <c r="F11865" s="42"/>
      <c r="G11865" s="42"/>
      <c r="H11865" s="42"/>
      <c r="AG11865" s="19"/>
    </row>
    <row r="11866" spans="1:33" ht="14.5" x14ac:dyDescent="0.35">
      <c r="A11866" s="34"/>
      <c r="B11866" s="35"/>
      <c r="C11866" s="36"/>
      <c r="D11866" s="37"/>
      <c r="E11866" s="36"/>
      <c r="F11866" s="42"/>
      <c r="G11866" s="42"/>
      <c r="H11866" s="42"/>
      <c r="AG11866" s="19"/>
    </row>
    <row r="11867" spans="1:33" ht="14.5" x14ac:dyDescent="0.35">
      <c r="A11867" s="34"/>
      <c r="B11867" s="35"/>
      <c r="C11867" s="36"/>
      <c r="D11867" s="37"/>
      <c r="E11867" s="36"/>
      <c r="F11867" s="42"/>
      <c r="G11867" s="42"/>
      <c r="H11867" s="42"/>
      <c r="AG11867" s="19"/>
    </row>
    <row r="11868" spans="1:33" ht="14.5" x14ac:dyDescent="0.35">
      <c r="A11868" s="34"/>
      <c r="B11868" s="35"/>
      <c r="C11868" s="36"/>
      <c r="D11868" s="37"/>
      <c r="E11868" s="36"/>
      <c r="F11868" s="42"/>
      <c r="G11868" s="42"/>
      <c r="H11868" s="42"/>
      <c r="AG11868" s="19"/>
    </row>
    <row r="11869" spans="1:33" ht="14.5" x14ac:dyDescent="0.35">
      <c r="A11869" s="34"/>
      <c r="B11869" s="35"/>
      <c r="C11869" s="36"/>
      <c r="D11869" s="37"/>
      <c r="E11869" s="36"/>
      <c r="F11869" s="42"/>
      <c r="G11869" s="42"/>
      <c r="H11869" s="42"/>
      <c r="AG11869" s="19"/>
    </row>
    <row r="11870" spans="1:33" ht="14.5" x14ac:dyDescent="0.35">
      <c r="A11870" s="34"/>
      <c r="B11870" s="35"/>
      <c r="C11870" s="36"/>
      <c r="D11870" s="37"/>
      <c r="E11870" s="36"/>
      <c r="F11870" s="42"/>
      <c r="G11870" s="42"/>
      <c r="H11870" s="42"/>
      <c r="AG11870" s="19"/>
    </row>
    <row r="11871" spans="1:33" ht="14.5" x14ac:dyDescent="0.35">
      <c r="A11871" s="34"/>
      <c r="B11871" s="35"/>
      <c r="C11871" s="36"/>
      <c r="D11871" s="37"/>
      <c r="E11871" s="36"/>
      <c r="F11871" s="42"/>
      <c r="G11871" s="42"/>
      <c r="H11871" s="42"/>
      <c r="AG11871" s="19"/>
    </row>
    <row r="11872" spans="1:33" ht="14.5" x14ac:dyDescent="0.35">
      <c r="A11872" s="34"/>
      <c r="B11872" s="35"/>
      <c r="C11872" s="36"/>
      <c r="D11872" s="37"/>
      <c r="E11872" s="36"/>
      <c r="F11872" s="42"/>
      <c r="G11872" s="42"/>
      <c r="H11872" s="42"/>
      <c r="AG11872" s="19"/>
    </row>
    <row r="11873" spans="1:33" ht="14.5" x14ac:dyDescent="0.35">
      <c r="A11873" s="34"/>
      <c r="B11873" s="35"/>
      <c r="C11873" s="36"/>
      <c r="D11873" s="37"/>
      <c r="E11873" s="36"/>
      <c r="F11873" s="42"/>
      <c r="G11873" s="42"/>
      <c r="H11873" s="42"/>
      <c r="AG11873" s="19"/>
    </row>
    <row r="11874" spans="1:33" ht="14.5" x14ac:dyDescent="0.35">
      <c r="A11874" s="34"/>
      <c r="B11874" s="35"/>
      <c r="C11874" s="36"/>
      <c r="D11874" s="37"/>
      <c r="E11874" s="36"/>
      <c r="F11874" s="42"/>
      <c r="G11874" s="42"/>
      <c r="H11874" s="42"/>
      <c r="AG11874" s="19"/>
    </row>
    <row r="11875" spans="1:33" ht="14.5" x14ac:dyDescent="0.35">
      <c r="A11875" s="34"/>
      <c r="B11875" s="35"/>
      <c r="C11875" s="36"/>
      <c r="D11875" s="37"/>
      <c r="E11875" s="36"/>
      <c r="F11875" s="42"/>
      <c r="G11875" s="42"/>
      <c r="H11875" s="42"/>
      <c r="AG11875" s="19"/>
    </row>
    <row r="11876" spans="1:33" ht="14.5" x14ac:dyDescent="0.35">
      <c r="A11876" s="34"/>
      <c r="B11876" s="35"/>
      <c r="C11876" s="36"/>
      <c r="D11876" s="37"/>
      <c r="E11876" s="36"/>
      <c r="F11876" s="42"/>
      <c r="G11876" s="42"/>
      <c r="H11876" s="42"/>
      <c r="AG11876" s="19"/>
    </row>
    <row r="11877" spans="1:33" ht="14.5" x14ac:dyDescent="0.35">
      <c r="A11877" s="34"/>
      <c r="B11877" s="35"/>
      <c r="C11877" s="36"/>
      <c r="D11877" s="37"/>
      <c r="E11877" s="36"/>
      <c r="F11877" s="42"/>
      <c r="G11877" s="42"/>
      <c r="H11877" s="42"/>
      <c r="AG11877" s="19"/>
    </row>
    <row r="11878" spans="1:33" ht="14.5" x14ac:dyDescent="0.35">
      <c r="A11878" s="34"/>
      <c r="B11878" s="35"/>
      <c r="C11878" s="36"/>
      <c r="D11878" s="37"/>
      <c r="E11878" s="36"/>
      <c r="F11878" s="42"/>
      <c r="G11878" s="42"/>
      <c r="H11878" s="42"/>
      <c r="AG11878" s="19"/>
    </row>
    <row r="11879" spans="1:33" ht="14.5" x14ac:dyDescent="0.35">
      <c r="A11879" s="34"/>
      <c r="B11879" s="35"/>
      <c r="C11879" s="36"/>
      <c r="D11879" s="37"/>
      <c r="E11879" s="36"/>
      <c r="F11879" s="42"/>
      <c r="G11879" s="42"/>
      <c r="H11879" s="42"/>
      <c r="AG11879" s="19"/>
    </row>
    <row r="11880" spans="1:33" ht="14.5" x14ac:dyDescent="0.35">
      <c r="A11880" s="34"/>
      <c r="B11880" s="35"/>
      <c r="C11880" s="36"/>
      <c r="D11880" s="37"/>
      <c r="E11880" s="36"/>
      <c r="F11880" s="42"/>
      <c r="G11880" s="42"/>
      <c r="H11880" s="42"/>
      <c r="AG11880" s="19"/>
    </row>
    <row r="11881" spans="1:33" ht="14.5" x14ac:dyDescent="0.35">
      <c r="A11881" s="34"/>
      <c r="B11881" s="35"/>
      <c r="C11881" s="36"/>
      <c r="D11881" s="37"/>
      <c r="E11881" s="36"/>
      <c r="F11881" s="42"/>
      <c r="G11881" s="42"/>
      <c r="H11881" s="42"/>
      <c r="AG11881" s="19"/>
    </row>
    <row r="11882" spans="1:33" ht="14.5" x14ac:dyDescent="0.35">
      <c r="A11882" s="34"/>
      <c r="B11882" s="35"/>
      <c r="C11882" s="36"/>
      <c r="D11882" s="37"/>
      <c r="E11882" s="36"/>
      <c r="F11882" s="42"/>
      <c r="G11882" s="42"/>
      <c r="H11882" s="42"/>
      <c r="AG11882" s="19"/>
    </row>
    <row r="11883" spans="1:33" ht="14.5" x14ac:dyDescent="0.35">
      <c r="A11883" s="34"/>
      <c r="B11883" s="35"/>
      <c r="C11883" s="36"/>
      <c r="D11883" s="37"/>
      <c r="E11883" s="36"/>
      <c r="F11883" s="42"/>
      <c r="G11883" s="42"/>
      <c r="H11883" s="42"/>
      <c r="AG11883" s="19"/>
    </row>
    <row r="11884" spans="1:33" ht="14.5" x14ac:dyDescent="0.35">
      <c r="A11884" s="34"/>
      <c r="B11884" s="35"/>
      <c r="C11884" s="36"/>
      <c r="D11884" s="37"/>
      <c r="E11884" s="36"/>
      <c r="F11884" s="42"/>
      <c r="G11884" s="42"/>
      <c r="H11884" s="42"/>
      <c r="AG11884" s="19"/>
    </row>
    <row r="11885" spans="1:33" ht="14.5" x14ac:dyDescent="0.35">
      <c r="A11885" s="34"/>
      <c r="B11885" s="35"/>
      <c r="C11885" s="36"/>
      <c r="D11885" s="37"/>
      <c r="E11885" s="36"/>
      <c r="F11885" s="42"/>
      <c r="G11885" s="42"/>
      <c r="H11885" s="42"/>
      <c r="AG11885" s="19"/>
    </row>
    <row r="11886" spans="1:33" ht="14.5" x14ac:dyDescent="0.35">
      <c r="A11886" s="34"/>
      <c r="B11886" s="35"/>
      <c r="C11886" s="36"/>
      <c r="D11886" s="37"/>
      <c r="E11886" s="36"/>
      <c r="F11886" s="42"/>
      <c r="G11886" s="42"/>
      <c r="H11886" s="42"/>
      <c r="AG11886" s="19"/>
    </row>
    <row r="11887" spans="1:33" ht="14.5" x14ac:dyDescent="0.35">
      <c r="A11887" s="34"/>
      <c r="B11887" s="35"/>
      <c r="C11887" s="36"/>
      <c r="D11887" s="37"/>
      <c r="E11887" s="36"/>
      <c r="F11887" s="42"/>
      <c r="G11887" s="42"/>
      <c r="H11887" s="42"/>
      <c r="AG11887" s="19"/>
    </row>
    <row r="11888" spans="1:33" ht="14.5" x14ac:dyDescent="0.35">
      <c r="A11888" s="34"/>
      <c r="B11888" s="35"/>
      <c r="C11888" s="36"/>
      <c r="D11888" s="37"/>
      <c r="E11888" s="36"/>
      <c r="F11888" s="42"/>
      <c r="G11888" s="42"/>
      <c r="H11888" s="42"/>
      <c r="AG11888" s="19"/>
    </row>
    <row r="11889" spans="1:33" ht="14.5" x14ac:dyDescent="0.35">
      <c r="A11889" s="34"/>
      <c r="B11889" s="35"/>
      <c r="C11889" s="36"/>
      <c r="D11889" s="37"/>
      <c r="E11889" s="36"/>
      <c r="F11889" s="42"/>
      <c r="G11889" s="42"/>
      <c r="H11889" s="42"/>
      <c r="AG11889" s="19"/>
    </row>
    <row r="11890" spans="1:33" ht="14.5" x14ac:dyDescent="0.35">
      <c r="A11890" s="34"/>
      <c r="B11890" s="35"/>
      <c r="C11890" s="36"/>
      <c r="D11890" s="37"/>
      <c r="E11890" s="36"/>
      <c r="F11890" s="42"/>
      <c r="G11890" s="42"/>
      <c r="H11890" s="42"/>
      <c r="AG11890" s="19"/>
    </row>
    <row r="11891" spans="1:33" ht="14.5" x14ac:dyDescent="0.35">
      <c r="A11891" s="34"/>
      <c r="B11891" s="35"/>
      <c r="C11891" s="36"/>
      <c r="D11891" s="37"/>
      <c r="E11891" s="36"/>
      <c r="F11891" s="42"/>
      <c r="G11891" s="42"/>
      <c r="H11891" s="42"/>
      <c r="AG11891" s="19"/>
    </row>
    <row r="11892" spans="1:33" ht="14.5" x14ac:dyDescent="0.35">
      <c r="A11892" s="34"/>
      <c r="B11892" s="35"/>
      <c r="C11892" s="36"/>
      <c r="D11892" s="37"/>
      <c r="E11892" s="36"/>
      <c r="F11892" s="42"/>
      <c r="G11892" s="42"/>
      <c r="H11892" s="42"/>
      <c r="AG11892" s="19"/>
    </row>
    <row r="11893" spans="1:33" ht="14.5" x14ac:dyDescent="0.35">
      <c r="A11893" s="34"/>
      <c r="B11893" s="35"/>
      <c r="C11893" s="36"/>
      <c r="D11893" s="37"/>
      <c r="E11893" s="36"/>
      <c r="F11893" s="42"/>
      <c r="G11893" s="42"/>
      <c r="H11893" s="42"/>
      <c r="AG11893" s="19"/>
    </row>
    <row r="11894" spans="1:33" ht="14.5" x14ac:dyDescent="0.35">
      <c r="A11894" s="34"/>
      <c r="B11894" s="35"/>
      <c r="C11894" s="36"/>
      <c r="D11894" s="37"/>
      <c r="E11894" s="36"/>
      <c r="F11894" s="42"/>
      <c r="G11894" s="42"/>
      <c r="H11894" s="42"/>
      <c r="AG11894" s="19"/>
    </row>
    <row r="11895" spans="1:33" ht="14.5" x14ac:dyDescent="0.35">
      <c r="A11895" s="34"/>
      <c r="B11895" s="35"/>
      <c r="C11895" s="36"/>
      <c r="D11895" s="37"/>
      <c r="E11895" s="36"/>
      <c r="F11895" s="42"/>
      <c r="G11895" s="42"/>
      <c r="H11895" s="42"/>
      <c r="AG11895" s="19"/>
    </row>
    <row r="11896" spans="1:33" ht="14.5" x14ac:dyDescent="0.35">
      <c r="A11896" s="34"/>
      <c r="B11896" s="35"/>
      <c r="C11896" s="36"/>
      <c r="D11896" s="37"/>
      <c r="E11896" s="36"/>
      <c r="F11896" s="42"/>
      <c r="G11896" s="42"/>
      <c r="H11896" s="42"/>
      <c r="AG11896" s="19"/>
    </row>
    <row r="11897" spans="1:33" ht="14.5" x14ac:dyDescent="0.35">
      <c r="A11897" s="34"/>
      <c r="B11897" s="35"/>
      <c r="C11897" s="36"/>
      <c r="D11897" s="37"/>
      <c r="E11897" s="36"/>
      <c r="F11897" s="42"/>
      <c r="G11897" s="42"/>
      <c r="H11897" s="42"/>
      <c r="AG11897" s="19"/>
    </row>
    <row r="11898" spans="1:33" ht="14.5" x14ac:dyDescent="0.35">
      <c r="A11898" s="34"/>
      <c r="B11898" s="35"/>
      <c r="C11898" s="36"/>
      <c r="D11898" s="37"/>
      <c r="E11898" s="36"/>
      <c r="F11898" s="42"/>
      <c r="G11898" s="42"/>
      <c r="H11898" s="42"/>
      <c r="AG11898" s="19"/>
    </row>
    <row r="11899" spans="1:33" ht="14.5" x14ac:dyDescent="0.35">
      <c r="A11899" s="34"/>
      <c r="B11899" s="35"/>
      <c r="C11899" s="36"/>
      <c r="D11899" s="37"/>
      <c r="E11899" s="36"/>
      <c r="F11899" s="42"/>
      <c r="G11899" s="42"/>
      <c r="H11899" s="42"/>
      <c r="AG11899" s="19"/>
    </row>
    <row r="11900" spans="1:33" ht="14.5" x14ac:dyDescent="0.35">
      <c r="A11900" s="34"/>
      <c r="B11900" s="35"/>
      <c r="C11900" s="36"/>
      <c r="D11900" s="37"/>
      <c r="E11900" s="36"/>
      <c r="F11900" s="42"/>
      <c r="G11900" s="42"/>
      <c r="H11900" s="42"/>
      <c r="AG11900" s="19"/>
    </row>
    <row r="11901" spans="1:33" ht="14.5" x14ac:dyDescent="0.35">
      <c r="A11901" s="34"/>
      <c r="B11901" s="35"/>
      <c r="C11901" s="36"/>
      <c r="D11901" s="37"/>
      <c r="E11901" s="36"/>
      <c r="F11901" s="42"/>
      <c r="G11901" s="42"/>
      <c r="H11901" s="42"/>
      <c r="AG11901" s="19"/>
    </row>
    <row r="11902" spans="1:33" ht="14.5" x14ac:dyDescent="0.35">
      <c r="A11902" s="34"/>
      <c r="B11902" s="35"/>
      <c r="C11902" s="36"/>
      <c r="D11902" s="37"/>
      <c r="E11902" s="36"/>
      <c r="F11902" s="42"/>
      <c r="G11902" s="42"/>
      <c r="H11902" s="42"/>
      <c r="AG11902" s="19"/>
    </row>
    <row r="11903" spans="1:33" ht="14.5" x14ac:dyDescent="0.35">
      <c r="A11903" s="34"/>
      <c r="B11903" s="35"/>
      <c r="C11903" s="36"/>
      <c r="D11903" s="37"/>
      <c r="E11903" s="36"/>
      <c r="F11903" s="42"/>
      <c r="G11903" s="42"/>
      <c r="H11903" s="42"/>
      <c r="AG11903" s="19"/>
    </row>
    <row r="11904" spans="1:33" ht="14.5" x14ac:dyDescent="0.35">
      <c r="A11904" s="34"/>
      <c r="B11904" s="35"/>
      <c r="C11904" s="36"/>
      <c r="D11904" s="37"/>
      <c r="E11904" s="36"/>
      <c r="F11904" s="42"/>
      <c r="G11904" s="42"/>
      <c r="H11904" s="42"/>
      <c r="AG11904" s="19"/>
    </row>
    <row r="11905" spans="1:33" ht="14.5" x14ac:dyDescent="0.35">
      <c r="A11905" s="34"/>
      <c r="B11905" s="35"/>
      <c r="C11905" s="36"/>
      <c r="D11905" s="37"/>
      <c r="E11905" s="36"/>
      <c r="F11905" s="42"/>
      <c r="G11905" s="42"/>
      <c r="H11905" s="42"/>
      <c r="AG11905" s="19"/>
    </row>
    <row r="11906" spans="1:33" ht="14.5" x14ac:dyDescent="0.35">
      <c r="A11906" s="34"/>
      <c r="B11906" s="35"/>
      <c r="C11906" s="36"/>
      <c r="D11906" s="37"/>
      <c r="E11906" s="36"/>
      <c r="F11906" s="42"/>
      <c r="G11906" s="42"/>
      <c r="H11906" s="42"/>
      <c r="AG11906" s="19"/>
    </row>
    <row r="11907" spans="1:33" ht="14.5" x14ac:dyDescent="0.35">
      <c r="A11907" s="34"/>
      <c r="B11907" s="35"/>
      <c r="C11907" s="36"/>
      <c r="D11907" s="37"/>
      <c r="E11907" s="36"/>
      <c r="F11907" s="42"/>
      <c r="G11907" s="42"/>
      <c r="H11907" s="42"/>
      <c r="AG11907" s="19"/>
    </row>
    <row r="11908" spans="1:33" ht="14.5" x14ac:dyDescent="0.35">
      <c r="A11908" s="34"/>
      <c r="B11908" s="35"/>
      <c r="C11908" s="36"/>
      <c r="D11908" s="37"/>
      <c r="E11908" s="36"/>
      <c r="F11908" s="42"/>
      <c r="G11908" s="42"/>
      <c r="H11908" s="42"/>
      <c r="AG11908" s="19"/>
    </row>
    <row r="11909" spans="1:33" ht="14.5" x14ac:dyDescent="0.35">
      <c r="A11909" s="34"/>
      <c r="B11909" s="35"/>
      <c r="C11909" s="36"/>
      <c r="D11909" s="37"/>
      <c r="E11909" s="36"/>
      <c r="F11909" s="42"/>
      <c r="G11909" s="42"/>
      <c r="H11909" s="42"/>
      <c r="AG11909" s="19"/>
    </row>
    <row r="11910" spans="1:33" ht="14.5" x14ac:dyDescent="0.35">
      <c r="A11910" s="34"/>
      <c r="B11910" s="35"/>
      <c r="C11910" s="36"/>
      <c r="D11910" s="37"/>
      <c r="E11910" s="36"/>
      <c r="F11910" s="42"/>
      <c r="G11910" s="42"/>
      <c r="H11910" s="42"/>
      <c r="AG11910" s="19"/>
    </row>
    <row r="11911" spans="1:33" ht="14.5" x14ac:dyDescent="0.35">
      <c r="A11911" s="34"/>
      <c r="B11911" s="35"/>
      <c r="C11911" s="36"/>
      <c r="D11911" s="37"/>
      <c r="E11911" s="36"/>
      <c r="F11911" s="42"/>
      <c r="G11911" s="42"/>
      <c r="H11911" s="42"/>
      <c r="AG11911" s="19"/>
    </row>
    <row r="11912" spans="1:33" ht="14.5" x14ac:dyDescent="0.35">
      <c r="A11912" s="34"/>
      <c r="B11912" s="35"/>
      <c r="C11912" s="36"/>
      <c r="D11912" s="37"/>
      <c r="E11912" s="36"/>
      <c r="F11912" s="42"/>
      <c r="G11912" s="42"/>
      <c r="H11912" s="42"/>
      <c r="AG11912" s="19"/>
    </row>
    <row r="11913" spans="1:33" ht="14.5" x14ac:dyDescent="0.35">
      <c r="A11913" s="34"/>
      <c r="B11913" s="35"/>
      <c r="C11913" s="36"/>
      <c r="D11913" s="37"/>
      <c r="E11913" s="36"/>
      <c r="F11913" s="42"/>
      <c r="G11913" s="42"/>
      <c r="H11913" s="42"/>
      <c r="AG11913" s="19"/>
    </row>
    <row r="11914" spans="1:33" ht="14.5" x14ac:dyDescent="0.35">
      <c r="A11914" s="34"/>
      <c r="B11914" s="35"/>
      <c r="C11914" s="36"/>
      <c r="D11914" s="37"/>
      <c r="E11914" s="36"/>
      <c r="F11914" s="42"/>
      <c r="G11914" s="42"/>
      <c r="H11914" s="42"/>
      <c r="AG11914" s="19"/>
    </row>
    <row r="11915" spans="1:33" ht="14.5" x14ac:dyDescent="0.35">
      <c r="A11915" s="34"/>
      <c r="B11915" s="35"/>
      <c r="C11915" s="36"/>
      <c r="D11915" s="37"/>
      <c r="E11915" s="36"/>
      <c r="F11915" s="42"/>
      <c r="G11915" s="42"/>
      <c r="H11915" s="42"/>
      <c r="AG11915" s="19"/>
    </row>
    <row r="11916" spans="1:33" ht="14.5" x14ac:dyDescent="0.35">
      <c r="A11916" s="34"/>
      <c r="B11916" s="35"/>
      <c r="C11916" s="36"/>
      <c r="D11916" s="37"/>
      <c r="E11916" s="36"/>
      <c r="F11916" s="42"/>
      <c r="G11916" s="42"/>
      <c r="H11916" s="42"/>
      <c r="AG11916" s="19"/>
    </row>
    <row r="11917" spans="1:33" ht="14.5" x14ac:dyDescent="0.35">
      <c r="A11917" s="34"/>
      <c r="B11917" s="35"/>
      <c r="C11917" s="36"/>
      <c r="D11917" s="37"/>
      <c r="E11917" s="36"/>
      <c r="F11917" s="42"/>
      <c r="G11917" s="42"/>
      <c r="H11917" s="42"/>
      <c r="AG11917" s="19"/>
    </row>
    <row r="11918" spans="1:33" ht="14.5" x14ac:dyDescent="0.35">
      <c r="A11918" s="34"/>
      <c r="B11918" s="35"/>
      <c r="C11918" s="36"/>
      <c r="D11918" s="37"/>
      <c r="E11918" s="36"/>
      <c r="F11918" s="42"/>
      <c r="G11918" s="42"/>
      <c r="H11918" s="42"/>
      <c r="AG11918" s="19"/>
    </row>
    <row r="11919" spans="1:33" ht="14.5" x14ac:dyDescent="0.35">
      <c r="A11919" s="34"/>
      <c r="B11919" s="35"/>
      <c r="C11919" s="36"/>
      <c r="D11919" s="37"/>
      <c r="E11919" s="36"/>
      <c r="F11919" s="42"/>
      <c r="G11919" s="42"/>
      <c r="H11919" s="42"/>
      <c r="AG11919" s="19"/>
    </row>
    <row r="11920" spans="1:33" ht="14.5" x14ac:dyDescent="0.35">
      <c r="A11920" s="34"/>
      <c r="B11920" s="35"/>
      <c r="C11920" s="36"/>
      <c r="D11920" s="37"/>
      <c r="E11920" s="36"/>
      <c r="F11920" s="42"/>
      <c r="G11920" s="42"/>
      <c r="H11920" s="42"/>
      <c r="AG11920" s="19"/>
    </row>
    <row r="11921" spans="1:33" ht="14.5" x14ac:dyDescent="0.35">
      <c r="A11921" s="34"/>
      <c r="B11921" s="35"/>
      <c r="C11921" s="36"/>
      <c r="D11921" s="37"/>
      <c r="E11921" s="36"/>
      <c r="F11921" s="42"/>
      <c r="G11921" s="42"/>
      <c r="H11921" s="42"/>
      <c r="AG11921" s="19"/>
    </row>
    <row r="11922" spans="1:33" ht="14.5" x14ac:dyDescent="0.35">
      <c r="A11922" s="34"/>
      <c r="B11922" s="35"/>
      <c r="C11922" s="36"/>
      <c r="D11922" s="37"/>
      <c r="E11922" s="36"/>
      <c r="F11922" s="42"/>
      <c r="G11922" s="42"/>
      <c r="H11922" s="42"/>
      <c r="AG11922" s="19"/>
    </row>
    <row r="11923" spans="1:33" ht="14.5" x14ac:dyDescent="0.35">
      <c r="A11923" s="34"/>
      <c r="B11923" s="35"/>
      <c r="C11923" s="36"/>
      <c r="D11923" s="37"/>
      <c r="E11923" s="36"/>
      <c r="F11923" s="42"/>
      <c r="G11923" s="42"/>
      <c r="H11923" s="42"/>
      <c r="AG11923" s="19"/>
    </row>
    <row r="11924" spans="1:33" ht="14.5" x14ac:dyDescent="0.35">
      <c r="A11924" s="34"/>
      <c r="B11924" s="35"/>
      <c r="C11924" s="36"/>
      <c r="D11924" s="37"/>
      <c r="E11924" s="36"/>
      <c r="F11924" s="42"/>
      <c r="G11924" s="42"/>
      <c r="H11924" s="42"/>
      <c r="AG11924" s="19"/>
    </row>
    <row r="11925" spans="1:33" ht="14.5" x14ac:dyDescent="0.35">
      <c r="A11925" s="34"/>
      <c r="B11925" s="35"/>
      <c r="C11925" s="36"/>
      <c r="D11925" s="37"/>
      <c r="E11925" s="36"/>
      <c r="F11925" s="42"/>
      <c r="G11925" s="42"/>
      <c r="H11925" s="42"/>
      <c r="AG11925" s="19"/>
    </row>
    <row r="11926" spans="1:33" ht="14.5" x14ac:dyDescent="0.35">
      <c r="A11926" s="34"/>
      <c r="B11926" s="35"/>
      <c r="C11926" s="36"/>
      <c r="D11926" s="37"/>
      <c r="E11926" s="36"/>
      <c r="F11926" s="42"/>
      <c r="G11926" s="42"/>
      <c r="H11926" s="42"/>
      <c r="AG11926" s="19"/>
    </row>
    <row r="11927" spans="1:33" ht="14.5" x14ac:dyDescent="0.35">
      <c r="A11927" s="34"/>
      <c r="B11927" s="35"/>
      <c r="C11927" s="36"/>
      <c r="D11927" s="37"/>
      <c r="E11927" s="36"/>
      <c r="F11927" s="42"/>
      <c r="G11927" s="42"/>
      <c r="H11927" s="42"/>
      <c r="AG11927" s="19"/>
    </row>
    <row r="11928" spans="1:33" ht="14.5" x14ac:dyDescent="0.35">
      <c r="A11928" s="34"/>
      <c r="B11928" s="35"/>
      <c r="C11928" s="36"/>
      <c r="D11928" s="37"/>
      <c r="E11928" s="36"/>
      <c r="F11928" s="42"/>
      <c r="G11928" s="42"/>
      <c r="H11928" s="42"/>
      <c r="AG11928" s="19"/>
    </row>
    <row r="11929" spans="1:33" ht="14.5" x14ac:dyDescent="0.35">
      <c r="A11929" s="34"/>
      <c r="B11929" s="35"/>
      <c r="C11929" s="36"/>
      <c r="D11929" s="37"/>
      <c r="E11929" s="36"/>
      <c r="F11929" s="42"/>
      <c r="G11929" s="42"/>
      <c r="H11929" s="42"/>
      <c r="AG11929" s="19"/>
    </row>
    <row r="11930" spans="1:33" ht="14.5" x14ac:dyDescent="0.35">
      <c r="A11930" s="34"/>
      <c r="B11930" s="35"/>
      <c r="C11930" s="36"/>
      <c r="D11930" s="37"/>
      <c r="E11930" s="36"/>
      <c r="F11930" s="42"/>
      <c r="G11930" s="42"/>
      <c r="H11930" s="42"/>
      <c r="AG11930" s="19"/>
    </row>
    <row r="11931" spans="1:33" ht="14.5" x14ac:dyDescent="0.35">
      <c r="A11931" s="34"/>
      <c r="B11931" s="35"/>
      <c r="C11931" s="36"/>
      <c r="D11931" s="37"/>
      <c r="E11931" s="36"/>
      <c r="F11931" s="42"/>
      <c r="G11931" s="42"/>
      <c r="H11931" s="42"/>
      <c r="AG11931" s="19"/>
    </row>
    <row r="11932" spans="1:33" ht="14.5" x14ac:dyDescent="0.35">
      <c r="A11932" s="34"/>
      <c r="B11932" s="35"/>
      <c r="C11932" s="36"/>
      <c r="D11932" s="37"/>
      <c r="E11932" s="36"/>
      <c r="F11932" s="42"/>
      <c r="G11932" s="42"/>
      <c r="H11932" s="42"/>
      <c r="AG11932" s="19"/>
    </row>
    <row r="11933" spans="1:33" ht="14.5" x14ac:dyDescent="0.35">
      <c r="A11933" s="34"/>
      <c r="B11933" s="35"/>
      <c r="C11933" s="36"/>
      <c r="D11933" s="37"/>
      <c r="E11933" s="36"/>
      <c r="F11933" s="42"/>
      <c r="G11933" s="42"/>
      <c r="H11933" s="42"/>
      <c r="AG11933" s="19"/>
    </row>
    <row r="11934" spans="1:33" ht="14.5" x14ac:dyDescent="0.35">
      <c r="A11934" s="34"/>
      <c r="B11934" s="35"/>
      <c r="C11934" s="36"/>
      <c r="D11934" s="37"/>
      <c r="E11934" s="36"/>
      <c r="F11934" s="42"/>
      <c r="G11934" s="42"/>
      <c r="H11934" s="42"/>
      <c r="AG11934" s="19"/>
    </row>
    <row r="11935" spans="1:33" ht="14.5" x14ac:dyDescent="0.35">
      <c r="A11935" s="34"/>
      <c r="B11935" s="35"/>
      <c r="C11935" s="36"/>
      <c r="D11935" s="37"/>
      <c r="E11935" s="36"/>
      <c r="F11935" s="42"/>
      <c r="G11935" s="42"/>
      <c r="H11935" s="42"/>
      <c r="AG11935" s="19"/>
    </row>
    <row r="11936" spans="1:33" ht="14.5" x14ac:dyDescent="0.35">
      <c r="A11936" s="34"/>
      <c r="B11936" s="35"/>
      <c r="C11936" s="36"/>
      <c r="D11936" s="37"/>
      <c r="E11936" s="36"/>
      <c r="F11936" s="42"/>
      <c r="G11936" s="42"/>
      <c r="H11936" s="42"/>
      <c r="AG11936" s="19"/>
    </row>
    <row r="11937" spans="1:33" ht="14.5" x14ac:dyDescent="0.35">
      <c r="A11937" s="34"/>
      <c r="B11937" s="35"/>
      <c r="C11937" s="36"/>
      <c r="D11937" s="37"/>
      <c r="E11937" s="36"/>
      <c r="F11937" s="42"/>
      <c r="G11937" s="42"/>
      <c r="H11937" s="42"/>
      <c r="AG11937" s="19"/>
    </row>
    <row r="11938" spans="1:33" ht="14.5" x14ac:dyDescent="0.35">
      <c r="A11938" s="34"/>
      <c r="B11938" s="35"/>
      <c r="C11938" s="36"/>
      <c r="D11938" s="37"/>
      <c r="E11938" s="36"/>
      <c r="F11938" s="42"/>
      <c r="G11938" s="42"/>
      <c r="H11938" s="42"/>
      <c r="AG11938" s="19"/>
    </row>
    <row r="11939" spans="1:33" ht="14.5" x14ac:dyDescent="0.35">
      <c r="A11939" s="34"/>
      <c r="B11939" s="35"/>
      <c r="C11939" s="36"/>
      <c r="D11939" s="37"/>
      <c r="E11939" s="36"/>
      <c r="F11939" s="42"/>
      <c r="G11939" s="42"/>
      <c r="H11939" s="42"/>
      <c r="AG11939" s="19"/>
    </row>
    <row r="11940" spans="1:33" ht="14.5" x14ac:dyDescent="0.35">
      <c r="A11940" s="34"/>
      <c r="B11940" s="35"/>
      <c r="C11940" s="36"/>
      <c r="D11940" s="37"/>
      <c r="E11940" s="36"/>
      <c r="F11940" s="42"/>
      <c r="G11940" s="42"/>
      <c r="H11940" s="42"/>
      <c r="AG11940" s="19"/>
    </row>
    <row r="11941" spans="1:33" ht="14.5" x14ac:dyDescent="0.35">
      <c r="A11941" s="34"/>
      <c r="B11941" s="35"/>
      <c r="C11941" s="36"/>
      <c r="D11941" s="37"/>
      <c r="E11941" s="36"/>
      <c r="F11941" s="42"/>
      <c r="G11941" s="42"/>
      <c r="H11941" s="42"/>
      <c r="AG11941" s="19"/>
    </row>
    <row r="11942" spans="1:33" ht="14.5" x14ac:dyDescent="0.35">
      <c r="A11942" s="34"/>
      <c r="B11942" s="35"/>
      <c r="C11942" s="36"/>
      <c r="D11942" s="37"/>
      <c r="E11942" s="36"/>
      <c r="F11942" s="42"/>
      <c r="G11942" s="42"/>
      <c r="H11942" s="42"/>
      <c r="AG11942" s="19"/>
    </row>
    <row r="11943" spans="1:33" ht="14.5" x14ac:dyDescent="0.35">
      <c r="A11943" s="34"/>
      <c r="B11943" s="35"/>
      <c r="C11943" s="36"/>
      <c r="D11943" s="37"/>
      <c r="E11943" s="36"/>
      <c r="F11943" s="42"/>
      <c r="G11943" s="42"/>
      <c r="H11943" s="42"/>
      <c r="AG11943" s="19"/>
    </row>
    <row r="11944" spans="1:33" ht="14.5" x14ac:dyDescent="0.35">
      <c r="A11944" s="34"/>
      <c r="B11944" s="35"/>
      <c r="C11944" s="36"/>
      <c r="D11944" s="37"/>
      <c r="E11944" s="36"/>
      <c r="F11944" s="42"/>
      <c r="G11944" s="42"/>
      <c r="H11944" s="42"/>
      <c r="AG11944" s="19"/>
    </row>
    <row r="11945" spans="1:33" ht="14.5" x14ac:dyDescent="0.35">
      <c r="A11945" s="34"/>
      <c r="B11945" s="35"/>
      <c r="C11945" s="36"/>
      <c r="D11945" s="37"/>
      <c r="E11945" s="36"/>
      <c r="F11945" s="42"/>
      <c r="G11945" s="42"/>
      <c r="H11945" s="42"/>
      <c r="AG11945" s="19"/>
    </row>
    <row r="11946" spans="1:33" ht="14.5" x14ac:dyDescent="0.35">
      <c r="A11946" s="34"/>
      <c r="B11946" s="35"/>
      <c r="C11946" s="36"/>
      <c r="D11946" s="37"/>
      <c r="E11946" s="36"/>
      <c r="F11946" s="42"/>
      <c r="G11946" s="42"/>
      <c r="H11946" s="42"/>
      <c r="AG11946" s="19"/>
    </row>
    <row r="11947" spans="1:33" ht="14.5" x14ac:dyDescent="0.35">
      <c r="A11947" s="34"/>
      <c r="B11947" s="35"/>
      <c r="C11947" s="36"/>
      <c r="D11947" s="37"/>
      <c r="E11947" s="36"/>
      <c r="F11947" s="42"/>
      <c r="G11947" s="42"/>
      <c r="H11947" s="42"/>
      <c r="AG11947" s="19"/>
    </row>
    <row r="11948" spans="1:33" ht="14.5" x14ac:dyDescent="0.35">
      <c r="A11948" s="34"/>
      <c r="B11948" s="35"/>
      <c r="C11948" s="36"/>
      <c r="D11948" s="37"/>
      <c r="E11948" s="36"/>
      <c r="F11948" s="42"/>
      <c r="G11948" s="42"/>
      <c r="H11948" s="42"/>
      <c r="AG11948" s="19"/>
    </row>
    <row r="11949" spans="1:33" ht="14.5" x14ac:dyDescent="0.35">
      <c r="A11949" s="34"/>
      <c r="B11949" s="35"/>
      <c r="C11949" s="36"/>
      <c r="D11949" s="37"/>
      <c r="E11949" s="36"/>
      <c r="F11949" s="42"/>
      <c r="G11949" s="42"/>
      <c r="H11949" s="42"/>
      <c r="AG11949" s="19"/>
    </row>
    <row r="11950" spans="1:33" ht="14.5" x14ac:dyDescent="0.35">
      <c r="A11950" s="34"/>
      <c r="B11950" s="35"/>
      <c r="C11950" s="36"/>
      <c r="D11950" s="37"/>
      <c r="E11950" s="36"/>
      <c r="F11950" s="42"/>
      <c r="G11950" s="42"/>
      <c r="H11950" s="42"/>
      <c r="AG11950" s="19"/>
    </row>
    <row r="11951" spans="1:33" ht="14.5" x14ac:dyDescent="0.35">
      <c r="A11951" s="34"/>
      <c r="B11951" s="35"/>
      <c r="C11951" s="36"/>
      <c r="D11951" s="37"/>
      <c r="E11951" s="36"/>
      <c r="F11951" s="42"/>
      <c r="G11951" s="42"/>
      <c r="H11951" s="42"/>
      <c r="AG11951" s="19"/>
    </row>
    <row r="11952" spans="1:33" ht="14.5" x14ac:dyDescent="0.35">
      <c r="A11952" s="34"/>
      <c r="B11952" s="35"/>
      <c r="C11952" s="36"/>
      <c r="D11952" s="37"/>
      <c r="E11952" s="36"/>
      <c r="F11952" s="42"/>
      <c r="G11952" s="42"/>
      <c r="H11952" s="42"/>
      <c r="AG11952" s="19"/>
    </row>
    <row r="11953" spans="1:33" ht="14.5" x14ac:dyDescent="0.35">
      <c r="A11953" s="34"/>
      <c r="B11953" s="35"/>
      <c r="C11953" s="36"/>
      <c r="D11953" s="37"/>
      <c r="E11953" s="36"/>
      <c r="F11953" s="42"/>
      <c r="G11953" s="42"/>
      <c r="H11953" s="42"/>
      <c r="AG11953" s="19"/>
    </row>
    <row r="11954" spans="1:33" ht="14.5" x14ac:dyDescent="0.35">
      <c r="A11954" s="34"/>
      <c r="B11954" s="35"/>
      <c r="C11954" s="36"/>
      <c r="D11954" s="37"/>
      <c r="E11954" s="36"/>
      <c r="F11954" s="42"/>
      <c r="G11954" s="42"/>
      <c r="H11954" s="42"/>
      <c r="AG11954" s="19"/>
    </row>
    <row r="11955" spans="1:33" ht="14.5" x14ac:dyDescent="0.35">
      <c r="A11955" s="34"/>
      <c r="B11955" s="35"/>
      <c r="C11955" s="36"/>
      <c r="D11955" s="37"/>
      <c r="E11955" s="36"/>
      <c r="F11955" s="42"/>
      <c r="G11955" s="42"/>
      <c r="H11955" s="42"/>
      <c r="AG11955" s="19"/>
    </row>
    <row r="11956" spans="1:33" ht="14.5" x14ac:dyDescent="0.35">
      <c r="A11956" s="34"/>
      <c r="B11956" s="35"/>
      <c r="C11956" s="36"/>
      <c r="D11956" s="37"/>
      <c r="E11956" s="36"/>
      <c r="F11956" s="42"/>
      <c r="G11956" s="42"/>
      <c r="H11956" s="42"/>
      <c r="AG11956" s="19"/>
    </row>
    <row r="11957" spans="1:33" ht="14.5" x14ac:dyDescent="0.35">
      <c r="A11957" s="34"/>
      <c r="B11957" s="35"/>
      <c r="C11957" s="36"/>
      <c r="D11957" s="37"/>
      <c r="E11957" s="36"/>
      <c r="F11957" s="42"/>
      <c r="G11957" s="42"/>
      <c r="H11957" s="42"/>
      <c r="AG11957" s="19"/>
    </row>
    <row r="11958" spans="1:33" ht="14.5" x14ac:dyDescent="0.35">
      <c r="A11958" s="34"/>
      <c r="B11958" s="35"/>
      <c r="C11958" s="36"/>
      <c r="D11958" s="37"/>
      <c r="E11958" s="36"/>
      <c r="F11958" s="42"/>
      <c r="G11958" s="42"/>
      <c r="H11958" s="42"/>
      <c r="AG11958" s="19"/>
    </row>
    <row r="11959" spans="1:33" ht="14.5" x14ac:dyDescent="0.35">
      <c r="A11959" s="34"/>
      <c r="B11959" s="35"/>
      <c r="C11959" s="36"/>
      <c r="D11959" s="37"/>
      <c r="E11959" s="36"/>
      <c r="F11959" s="42"/>
      <c r="G11959" s="42"/>
      <c r="H11959" s="42"/>
      <c r="AG11959" s="19"/>
    </row>
    <row r="11960" spans="1:33" ht="14.5" x14ac:dyDescent="0.35">
      <c r="A11960" s="34"/>
      <c r="B11960" s="35"/>
      <c r="C11960" s="36"/>
      <c r="D11960" s="37"/>
      <c r="E11960" s="36"/>
      <c r="F11960" s="42"/>
      <c r="G11960" s="42"/>
      <c r="H11960" s="42"/>
      <c r="AG11960" s="19"/>
    </row>
    <row r="11961" spans="1:33" ht="14.5" x14ac:dyDescent="0.35">
      <c r="A11961" s="34"/>
      <c r="B11961" s="35"/>
      <c r="C11961" s="36"/>
      <c r="D11961" s="37"/>
      <c r="E11961" s="36"/>
      <c r="F11961" s="42"/>
      <c r="G11961" s="42"/>
      <c r="H11961" s="42"/>
      <c r="AG11961" s="19"/>
    </row>
    <row r="11962" spans="1:33" ht="14.5" x14ac:dyDescent="0.35">
      <c r="A11962" s="34"/>
      <c r="B11962" s="35"/>
      <c r="C11962" s="36"/>
      <c r="D11962" s="37"/>
      <c r="E11962" s="36"/>
      <c r="F11962" s="42"/>
      <c r="G11962" s="42"/>
      <c r="H11962" s="42"/>
      <c r="AG11962" s="19"/>
    </row>
    <row r="11963" spans="1:33" ht="14.5" x14ac:dyDescent="0.35">
      <c r="A11963" s="34"/>
      <c r="B11963" s="35"/>
      <c r="C11963" s="36"/>
      <c r="D11963" s="37"/>
      <c r="E11963" s="36"/>
      <c r="F11963" s="42"/>
      <c r="G11963" s="42"/>
      <c r="H11963" s="42"/>
      <c r="AG11963" s="19"/>
    </row>
    <row r="11964" spans="1:33" ht="14.5" x14ac:dyDescent="0.35">
      <c r="A11964" s="34"/>
      <c r="B11964" s="35"/>
      <c r="C11964" s="36"/>
      <c r="D11964" s="37"/>
      <c r="E11964" s="36"/>
      <c r="F11964" s="42"/>
      <c r="G11964" s="42"/>
      <c r="H11964" s="42"/>
      <c r="AG11964" s="19"/>
    </row>
    <row r="11965" spans="1:33" ht="14.5" x14ac:dyDescent="0.35">
      <c r="A11965" s="34"/>
      <c r="B11965" s="35"/>
      <c r="C11965" s="36"/>
      <c r="D11965" s="37"/>
      <c r="E11965" s="36"/>
      <c r="F11965" s="42"/>
      <c r="G11965" s="42"/>
      <c r="H11965" s="42"/>
      <c r="AG11965" s="19"/>
    </row>
    <row r="11966" spans="1:33" ht="14.5" x14ac:dyDescent="0.35">
      <c r="A11966" s="34"/>
      <c r="B11966" s="35"/>
      <c r="C11966" s="36"/>
      <c r="D11966" s="37"/>
      <c r="E11966" s="36"/>
      <c r="F11966" s="42"/>
      <c r="G11966" s="42"/>
      <c r="H11966" s="42"/>
      <c r="AG11966" s="19"/>
    </row>
    <row r="11967" spans="1:33" ht="14.5" x14ac:dyDescent="0.35">
      <c r="A11967" s="34"/>
      <c r="B11967" s="35"/>
      <c r="C11967" s="36"/>
      <c r="D11967" s="37"/>
      <c r="E11967" s="36"/>
      <c r="F11967" s="42"/>
      <c r="G11967" s="42"/>
      <c r="H11967" s="42"/>
      <c r="AG11967" s="19"/>
    </row>
    <row r="11968" spans="1:33" ht="14.5" x14ac:dyDescent="0.35">
      <c r="A11968" s="34"/>
      <c r="B11968" s="35"/>
      <c r="C11968" s="36"/>
      <c r="D11968" s="37"/>
      <c r="E11968" s="36"/>
      <c r="F11968" s="42"/>
      <c r="G11968" s="42"/>
      <c r="H11968" s="42"/>
      <c r="AG11968" s="19"/>
    </row>
    <row r="11969" spans="1:33" ht="14.5" x14ac:dyDescent="0.35">
      <c r="A11969" s="34"/>
      <c r="B11969" s="35"/>
      <c r="C11969" s="36"/>
      <c r="D11969" s="37"/>
      <c r="E11969" s="36"/>
      <c r="F11969" s="42"/>
      <c r="G11969" s="42"/>
      <c r="H11969" s="42"/>
      <c r="AG11969" s="19"/>
    </row>
    <row r="11970" spans="1:33" ht="14.5" x14ac:dyDescent="0.35">
      <c r="A11970" s="34"/>
      <c r="B11970" s="35"/>
      <c r="C11970" s="36"/>
      <c r="D11970" s="37"/>
      <c r="E11970" s="36"/>
      <c r="F11970" s="42"/>
      <c r="G11970" s="42"/>
      <c r="H11970" s="42"/>
      <c r="AG11970" s="19"/>
    </row>
    <row r="11971" spans="1:33" ht="14.5" x14ac:dyDescent="0.35">
      <c r="A11971" s="34"/>
      <c r="B11971" s="35"/>
      <c r="C11971" s="36"/>
      <c r="D11971" s="37"/>
      <c r="E11971" s="36"/>
      <c r="F11971" s="42"/>
      <c r="G11971" s="42"/>
      <c r="H11971" s="42"/>
      <c r="AG11971" s="19"/>
    </row>
    <row r="11972" spans="1:33" ht="14.5" x14ac:dyDescent="0.35">
      <c r="A11972" s="34"/>
      <c r="B11972" s="35"/>
      <c r="C11972" s="36"/>
      <c r="D11972" s="37"/>
      <c r="E11972" s="36"/>
      <c r="F11972" s="42"/>
      <c r="G11972" s="42"/>
      <c r="H11972" s="42"/>
      <c r="AG11972" s="19"/>
    </row>
    <row r="11973" spans="1:33" ht="14.5" x14ac:dyDescent="0.35">
      <c r="A11973" s="34"/>
      <c r="B11973" s="35"/>
      <c r="C11973" s="36"/>
      <c r="D11973" s="37"/>
      <c r="E11973" s="36"/>
      <c r="F11973" s="42"/>
      <c r="G11973" s="42"/>
      <c r="H11973" s="42"/>
      <c r="AG11973" s="19"/>
    </row>
    <row r="11974" spans="1:33" ht="14.5" x14ac:dyDescent="0.35">
      <c r="A11974" s="34"/>
      <c r="B11974" s="35"/>
      <c r="C11974" s="36"/>
      <c r="D11974" s="37"/>
      <c r="E11974" s="36"/>
      <c r="F11974" s="42"/>
      <c r="G11974" s="42"/>
      <c r="H11974" s="42"/>
      <c r="AG11974" s="19"/>
    </row>
    <row r="11975" spans="1:33" ht="14.5" x14ac:dyDescent="0.35">
      <c r="A11975" s="34"/>
      <c r="B11975" s="35"/>
      <c r="C11975" s="36"/>
      <c r="D11975" s="37"/>
      <c r="E11975" s="36"/>
      <c r="F11975" s="42"/>
      <c r="G11975" s="42"/>
      <c r="H11975" s="42"/>
      <c r="AG11975" s="19"/>
    </row>
    <row r="11976" spans="1:33" ht="14.5" x14ac:dyDescent="0.35">
      <c r="A11976" s="34"/>
      <c r="B11976" s="35"/>
      <c r="C11976" s="36"/>
      <c r="D11976" s="37"/>
      <c r="E11976" s="36"/>
      <c r="F11976" s="42"/>
      <c r="G11976" s="42"/>
      <c r="H11976" s="42"/>
      <c r="AG11976" s="19"/>
    </row>
    <row r="11977" spans="1:33" ht="14.5" x14ac:dyDescent="0.35">
      <c r="A11977" s="34"/>
      <c r="B11977" s="35"/>
      <c r="C11977" s="36"/>
      <c r="D11977" s="37"/>
      <c r="E11977" s="36"/>
      <c r="F11977" s="42"/>
      <c r="G11977" s="42"/>
      <c r="H11977" s="42"/>
      <c r="AG11977" s="19"/>
    </row>
    <row r="11978" spans="1:33" ht="14.5" x14ac:dyDescent="0.35">
      <c r="A11978" s="34"/>
      <c r="B11978" s="35"/>
      <c r="C11978" s="36"/>
      <c r="D11978" s="37"/>
      <c r="E11978" s="36"/>
      <c r="F11978" s="42"/>
      <c r="G11978" s="42"/>
      <c r="H11978" s="42"/>
      <c r="AG11978" s="19"/>
    </row>
    <row r="11979" spans="1:33" ht="14.5" x14ac:dyDescent="0.35">
      <c r="A11979" s="34"/>
      <c r="B11979" s="35"/>
      <c r="C11979" s="36"/>
      <c r="D11979" s="37"/>
      <c r="E11979" s="36"/>
      <c r="F11979" s="42"/>
      <c r="G11979" s="42"/>
      <c r="H11979" s="42"/>
      <c r="AG11979" s="19"/>
    </row>
    <row r="11980" spans="1:33" ht="14.5" x14ac:dyDescent="0.35">
      <c r="A11980" s="34"/>
      <c r="B11980" s="35"/>
      <c r="C11980" s="36"/>
      <c r="D11980" s="37"/>
      <c r="E11980" s="36"/>
      <c r="F11980" s="42"/>
      <c r="G11980" s="42"/>
      <c r="H11980" s="42"/>
      <c r="AG11980" s="19"/>
    </row>
    <row r="11981" spans="1:33" ht="14.5" x14ac:dyDescent="0.35">
      <c r="A11981" s="34"/>
      <c r="B11981" s="35"/>
      <c r="C11981" s="36"/>
      <c r="D11981" s="37"/>
      <c r="E11981" s="36"/>
      <c r="F11981" s="42"/>
      <c r="G11981" s="42"/>
      <c r="H11981" s="42"/>
      <c r="AG11981" s="19"/>
    </row>
    <row r="11982" spans="1:33" ht="14.5" x14ac:dyDescent="0.35">
      <c r="A11982" s="34"/>
      <c r="B11982" s="35"/>
      <c r="C11982" s="36"/>
      <c r="D11982" s="37"/>
      <c r="E11982" s="36"/>
      <c r="F11982" s="42"/>
      <c r="G11982" s="42"/>
      <c r="H11982" s="42"/>
      <c r="AG11982" s="19"/>
    </row>
    <row r="11983" spans="1:33" ht="14.5" x14ac:dyDescent="0.35">
      <c r="A11983" s="34"/>
      <c r="B11983" s="35"/>
      <c r="C11983" s="36"/>
      <c r="D11983" s="37"/>
      <c r="E11983" s="36"/>
      <c r="F11983" s="42"/>
      <c r="G11983" s="42"/>
      <c r="H11983" s="42"/>
      <c r="AG11983" s="19"/>
    </row>
    <row r="11984" spans="1:33" ht="14.5" x14ac:dyDescent="0.35">
      <c r="A11984" s="34"/>
      <c r="B11984" s="35"/>
      <c r="C11984" s="36"/>
      <c r="D11984" s="37"/>
      <c r="E11984" s="36"/>
      <c r="F11984" s="42"/>
      <c r="G11984" s="42"/>
      <c r="H11984" s="42"/>
      <c r="AG11984" s="19"/>
    </row>
    <row r="11985" spans="1:33" ht="14.5" x14ac:dyDescent="0.35">
      <c r="A11985" s="34"/>
      <c r="B11985" s="35"/>
      <c r="C11985" s="36"/>
      <c r="D11985" s="37"/>
      <c r="E11985" s="36"/>
      <c r="F11985" s="42"/>
      <c r="G11985" s="42"/>
      <c r="H11985" s="42"/>
      <c r="AG11985" s="19"/>
    </row>
    <row r="11986" spans="1:33" ht="14.5" x14ac:dyDescent="0.35">
      <c r="A11986" s="34"/>
      <c r="B11986" s="35"/>
      <c r="C11986" s="36"/>
      <c r="D11986" s="37"/>
      <c r="E11986" s="36"/>
      <c r="F11986" s="42"/>
      <c r="G11986" s="42"/>
      <c r="H11986" s="42"/>
      <c r="AG11986" s="19"/>
    </row>
    <row r="11987" spans="1:33" ht="14.5" x14ac:dyDescent="0.35">
      <c r="A11987" s="34"/>
      <c r="B11987" s="35"/>
      <c r="C11987" s="36"/>
      <c r="D11987" s="37"/>
      <c r="E11987" s="36"/>
      <c r="F11987" s="42"/>
      <c r="G11987" s="42"/>
      <c r="H11987" s="42"/>
      <c r="AG11987" s="19"/>
    </row>
    <row r="11988" spans="1:33" ht="14.5" x14ac:dyDescent="0.35">
      <c r="A11988" s="34"/>
      <c r="B11988" s="35"/>
      <c r="C11988" s="36"/>
      <c r="D11988" s="37"/>
      <c r="E11988" s="36"/>
      <c r="F11988" s="42"/>
      <c r="G11988" s="42"/>
      <c r="H11988" s="42"/>
      <c r="AG11988" s="19"/>
    </row>
    <row r="11989" spans="1:33" ht="14.5" x14ac:dyDescent="0.35">
      <c r="A11989" s="34"/>
      <c r="B11989" s="35"/>
      <c r="C11989" s="36"/>
      <c r="D11989" s="37"/>
      <c r="E11989" s="36"/>
      <c r="F11989" s="42"/>
      <c r="G11989" s="42"/>
      <c r="H11989" s="42"/>
      <c r="AG11989" s="19"/>
    </row>
    <row r="11990" spans="1:33" ht="14.5" x14ac:dyDescent="0.35">
      <c r="A11990" s="34"/>
      <c r="B11990" s="35"/>
      <c r="C11990" s="36"/>
      <c r="D11990" s="37"/>
      <c r="E11990" s="36"/>
      <c r="F11990" s="42"/>
      <c r="G11990" s="42"/>
      <c r="H11990" s="42"/>
      <c r="AG11990" s="19"/>
    </row>
    <row r="11991" spans="1:33" ht="14.5" x14ac:dyDescent="0.35">
      <c r="A11991" s="34"/>
      <c r="B11991" s="35"/>
      <c r="C11991" s="36"/>
      <c r="D11991" s="37"/>
      <c r="E11991" s="36"/>
      <c r="F11991" s="42"/>
      <c r="G11991" s="42"/>
      <c r="H11991" s="42"/>
      <c r="AG11991" s="19"/>
    </row>
    <row r="11992" spans="1:33" ht="14.5" x14ac:dyDescent="0.35">
      <c r="A11992" s="34"/>
      <c r="B11992" s="35"/>
      <c r="C11992" s="36"/>
      <c r="D11992" s="37"/>
      <c r="E11992" s="36"/>
      <c r="F11992" s="42"/>
      <c r="G11992" s="42"/>
      <c r="H11992" s="42"/>
      <c r="AG11992" s="19"/>
    </row>
    <row r="11993" spans="1:33" ht="14.5" x14ac:dyDescent="0.35">
      <c r="A11993" s="34"/>
      <c r="B11993" s="35"/>
      <c r="C11993" s="36"/>
      <c r="D11993" s="37"/>
      <c r="E11993" s="36"/>
      <c r="F11993" s="42"/>
      <c r="G11993" s="42"/>
      <c r="H11993" s="42"/>
      <c r="AG11993" s="19"/>
    </row>
    <row r="11994" spans="1:33" ht="14.5" x14ac:dyDescent="0.35">
      <c r="A11994" s="34"/>
      <c r="B11994" s="35"/>
      <c r="C11994" s="36"/>
      <c r="D11994" s="37"/>
      <c r="E11994" s="36"/>
      <c r="F11994" s="42"/>
      <c r="G11994" s="42"/>
      <c r="H11994" s="42"/>
      <c r="AG11994" s="19"/>
    </row>
    <row r="11995" spans="1:33" ht="14.5" x14ac:dyDescent="0.35">
      <c r="A11995" s="34"/>
      <c r="B11995" s="35"/>
      <c r="C11995" s="36"/>
      <c r="D11995" s="37"/>
      <c r="E11995" s="36"/>
      <c r="F11995" s="42"/>
      <c r="G11995" s="42"/>
      <c r="H11995" s="42"/>
      <c r="AG11995" s="19"/>
    </row>
    <row r="11996" spans="1:33" ht="14.5" x14ac:dyDescent="0.35">
      <c r="A11996" s="34"/>
      <c r="B11996" s="35"/>
      <c r="C11996" s="36"/>
      <c r="D11996" s="37"/>
      <c r="E11996" s="36"/>
      <c r="F11996" s="42"/>
      <c r="G11996" s="42"/>
      <c r="H11996" s="42"/>
      <c r="AG11996" s="19"/>
    </row>
    <row r="11997" spans="1:33" ht="14.5" x14ac:dyDescent="0.35">
      <c r="A11997" s="34"/>
      <c r="B11997" s="35"/>
      <c r="C11997" s="36"/>
      <c r="D11997" s="37"/>
      <c r="E11997" s="36"/>
      <c r="F11997" s="42"/>
      <c r="G11997" s="42"/>
      <c r="H11997" s="42"/>
      <c r="AG11997" s="19"/>
    </row>
    <row r="11998" spans="1:33" ht="14.5" x14ac:dyDescent="0.35">
      <c r="A11998" s="34"/>
      <c r="B11998" s="35"/>
      <c r="C11998" s="36"/>
      <c r="D11998" s="37"/>
      <c r="E11998" s="36"/>
      <c r="F11998" s="42"/>
      <c r="G11998" s="42"/>
      <c r="H11998" s="42"/>
      <c r="AG11998" s="19"/>
    </row>
    <row r="11999" spans="1:33" ht="14.5" x14ac:dyDescent="0.35">
      <c r="A11999" s="34"/>
      <c r="B11999" s="35"/>
      <c r="C11999" s="36"/>
      <c r="D11999" s="37"/>
      <c r="E11999" s="36"/>
      <c r="F11999" s="42"/>
      <c r="G11999" s="42"/>
      <c r="H11999" s="42"/>
      <c r="AG11999" s="19"/>
    </row>
    <row r="12000" spans="1:33" ht="14.5" x14ac:dyDescent="0.35">
      <c r="A12000" s="34"/>
      <c r="B12000" s="35"/>
      <c r="C12000" s="36"/>
      <c r="D12000" s="37"/>
      <c r="E12000" s="36"/>
      <c r="F12000" s="42"/>
      <c r="G12000" s="42"/>
      <c r="H12000" s="42"/>
      <c r="AG12000" s="19"/>
    </row>
    <row r="12001" spans="1:33" ht="14.5" x14ac:dyDescent="0.35">
      <c r="A12001" s="34"/>
      <c r="B12001" s="35"/>
      <c r="C12001" s="36"/>
      <c r="D12001" s="37"/>
      <c r="E12001" s="36"/>
      <c r="F12001" s="42"/>
      <c r="G12001" s="42"/>
      <c r="H12001" s="42"/>
      <c r="AG12001" s="19"/>
    </row>
    <row r="12002" spans="1:33" ht="14.5" x14ac:dyDescent="0.35">
      <c r="A12002" s="34"/>
      <c r="B12002" s="35"/>
      <c r="C12002" s="36"/>
      <c r="D12002" s="37"/>
      <c r="E12002" s="36"/>
      <c r="F12002" s="42"/>
      <c r="G12002" s="42"/>
      <c r="H12002" s="42"/>
      <c r="AG12002" s="19"/>
    </row>
    <row r="12003" spans="1:33" ht="14.5" x14ac:dyDescent="0.35">
      <c r="A12003" s="34"/>
      <c r="B12003" s="35"/>
      <c r="C12003" s="36"/>
      <c r="D12003" s="37"/>
      <c r="E12003" s="36"/>
      <c r="F12003" s="42"/>
      <c r="G12003" s="42"/>
      <c r="H12003" s="42"/>
      <c r="AG12003" s="19"/>
    </row>
    <row r="12004" spans="1:33" ht="14.5" x14ac:dyDescent="0.35">
      <c r="A12004" s="34"/>
      <c r="B12004" s="35"/>
      <c r="C12004" s="36"/>
      <c r="D12004" s="37"/>
      <c r="E12004" s="36"/>
      <c r="F12004" s="42"/>
      <c r="G12004" s="42"/>
      <c r="H12004" s="42"/>
      <c r="AG12004" s="19"/>
    </row>
    <row r="12005" spans="1:33" ht="14.5" x14ac:dyDescent="0.35">
      <c r="A12005" s="34"/>
      <c r="B12005" s="35"/>
      <c r="C12005" s="36"/>
      <c r="D12005" s="37"/>
      <c r="E12005" s="36"/>
      <c r="F12005" s="42"/>
      <c r="G12005" s="42"/>
      <c r="H12005" s="42"/>
      <c r="AG12005" s="19"/>
    </row>
    <row r="12006" spans="1:33" ht="14.5" x14ac:dyDescent="0.35">
      <c r="A12006" s="34"/>
      <c r="B12006" s="35"/>
      <c r="C12006" s="36"/>
      <c r="D12006" s="37"/>
      <c r="E12006" s="36"/>
      <c r="F12006" s="42"/>
      <c r="G12006" s="42"/>
      <c r="H12006" s="42"/>
      <c r="AG12006" s="19"/>
    </row>
    <row r="12007" spans="1:33" ht="14.5" x14ac:dyDescent="0.35">
      <c r="A12007" s="34"/>
      <c r="B12007" s="35"/>
      <c r="C12007" s="36"/>
      <c r="D12007" s="37"/>
      <c r="E12007" s="36"/>
      <c r="F12007" s="42"/>
      <c r="G12007" s="42"/>
      <c r="H12007" s="42"/>
      <c r="AG12007" s="19"/>
    </row>
    <row r="12008" spans="1:33" ht="14.5" x14ac:dyDescent="0.35">
      <c r="A12008" s="34"/>
      <c r="B12008" s="35"/>
      <c r="C12008" s="36"/>
      <c r="D12008" s="37"/>
      <c r="E12008" s="36"/>
      <c r="F12008" s="42"/>
      <c r="G12008" s="42"/>
      <c r="H12008" s="42"/>
      <c r="AG12008" s="19"/>
    </row>
    <row r="12009" spans="1:33" ht="14.5" x14ac:dyDescent="0.35">
      <c r="A12009" s="34"/>
      <c r="B12009" s="35"/>
      <c r="C12009" s="36"/>
      <c r="D12009" s="37"/>
      <c r="E12009" s="36"/>
      <c r="F12009" s="42"/>
      <c r="G12009" s="42"/>
      <c r="H12009" s="42"/>
      <c r="AG12009" s="19"/>
    </row>
    <row r="12010" spans="1:33" ht="14.5" x14ac:dyDescent="0.35">
      <c r="A12010" s="34"/>
      <c r="B12010" s="35"/>
      <c r="C12010" s="36"/>
      <c r="D12010" s="37"/>
      <c r="E12010" s="36"/>
      <c r="F12010" s="42"/>
      <c r="G12010" s="42"/>
      <c r="H12010" s="42"/>
      <c r="AG12010" s="19"/>
    </row>
    <row r="12011" spans="1:33" ht="14.5" x14ac:dyDescent="0.35">
      <c r="A12011" s="34"/>
      <c r="B12011" s="35"/>
      <c r="C12011" s="36"/>
      <c r="D12011" s="37"/>
      <c r="E12011" s="36"/>
      <c r="F12011" s="42"/>
      <c r="G12011" s="42"/>
      <c r="H12011" s="42"/>
      <c r="AG12011" s="19"/>
    </row>
    <row r="12012" spans="1:33" ht="14.5" x14ac:dyDescent="0.35">
      <c r="A12012" s="34"/>
      <c r="B12012" s="35"/>
      <c r="C12012" s="36"/>
      <c r="D12012" s="37"/>
      <c r="E12012" s="36"/>
      <c r="F12012" s="42"/>
      <c r="G12012" s="42"/>
      <c r="H12012" s="42"/>
      <c r="AG12012" s="19"/>
    </row>
    <row r="12013" spans="1:33" ht="14.5" x14ac:dyDescent="0.35">
      <c r="A12013" s="34"/>
      <c r="B12013" s="35"/>
      <c r="C12013" s="36"/>
      <c r="D12013" s="37"/>
      <c r="E12013" s="36"/>
      <c r="F12013" s="42"/>
      <c r="G12013" s="42"/>
      <c r="H12013" s="42"/>
      <c r="AG12013" s="19"/>
    </row>
    <row r="12014" spans="1:33" ht="14.5" x14ac:dyDescent="0.35">
      <c r="A12014" s="34"/>
      <c r="B12014" s="35"/>
      <c r="C12014" s="36"/>
      <c r="D12014" s="37"/>
      <c r="E12014" s="36"/>
      <c r="F12014" s="42"/>
      <c r="G12014" s="42"/>
      <c r="H12014" s="42"/>
      <c r="AG12014" s="19"/>
    </row>
    <row r="12015" spans="1:33" ht="14.5" x14ac:dyDescent="0.35">
      <c r="A12015" s="34"/>
      <c r="B12015" s="35"/>
      <c r="C12015" s="36"/>
      <c r="D12015" s="37"/>
      <c r="E12015" s="36"/>
      <c r="F12015" s="42"/>
      <c r="G12015" s="42"/>
      <c r="H12015" s="42"/>
      <c r="AG12015" s="19"/>
    </row>
    <row r="12016" spans="1:33" ht="14.5" x14ac:dyDescent="0.35">
      <c r="A12016" s="34"/>
      <c r="B12016" s="35"/>
      <c r="C12016" s="36"/>
      <c r="D12016" s="37"/>
      <c r="E12016" s="36"/>
      <c r="F12016" s="42"/>
      <c r="G12016" s="42"/>
      <c r="H12016" s="42"/>
      <c r="AG12016" s="19"/>
    </row>
    <row r="12017" spans="1:33" ht="14.5" x14ac:dyDescent="0.35">
      <c r="A12017" s="34"/>
      <c r="B12017" s="35"/>
      <c r="C12017" s="36"/>
      <c r="D12017" s="37"/>
      <c r="E12017" s="36"/>
      <c r="F12017" s="42"/>
      <c r="G12017" s="42"/>
      <c r="H12017" s="42"/>
      <c r="AG12017" s="19"/>
    </row>
    <row r="12018" spans="1:33" ht="14.5" x14ac:dyDescent="0.35">
      <c r="A12018" s="34"/>
      <c r="B12018" s="35"/>
      <c r="C12018" s="36"/>
      <c r="D12018" s="37"/>
      <c r="E12018" s="36"/>
      <c r="F12018" s="42"/>
      <c r="G12018" s="42"/>
      <c r="H12018" s="42"/>
      <c r="AG12018" s="19"/>
    </row>
    <row r="12019" spans="1:33" ht="14.5" x14ac:dyDescent="0.35">
      <c r="A12019" s="34"/>
      <c r="B12019" s="35"/>
      <c r="C12019" s="36"/>
      <c r="D12019" s="37"/>
      <c r="E12019" s="36"/>
      <c r="F12019" s="42"/>
      <c r="G12019" s="42"/>
      <c r="H12019" s="42"/>
      <c r="AG12019" s="19"/>
    </row>
    <row r="12020" spans="1:33" ht="14.5" x14ac:dyDescent="0.35">
      <c r="A12020" s="34"/>
      <c r="B12020" s="35"/>
      <c r="C12020" s="36"/>
      <c r="D12020" s="37"/>
      <c r="E12020" s="36"/>
      <c r="F12020" s="42"/>
      <c r="G12020" s="42"/>
      <c r="H12020" s="42"/>
      <c r="AG12020" s="19"/>
    </row>
    <row r="12021" spans="1:33" ht="14.5" x14ac:dyDescent="0.35">
      <c r="A12021" s="34"/>
      <c r="B12021" s="35"/>
      <c r="C12021" s="36"/>
      <c r="D12021" s="37"/>
      <c r="E12021" s="36"/>
      <c r="F12021" s="42"/>
      <c r="G12021" s="42"/>
      <c r="H12021" s="42"/>
      <c r="AG12021" s="19"/>
    </row>
    <row r="12022" spans="1:33" ht="14.5" x14ac:dyDescent="0.35">
      <c r="A12022" s="34"/>
      <c r="B12022" s="35"/>
      <c r="C12022" s="36"/>
      <c r="D12022" s="37"/>
      <c r="E12022" s="36"/>
      <c r="F12022" s="42"/>
      <c r="G12022" s="42"/>
      <c r="H12022" s="42"/>
      <c r="AG12022" s="19"/>
    </row>
    <row r="12023" spans="1:33" ht="14.5" x14ac:dyDescent="0.35">
      <c r="A12023" s="34"/>
      <c r="B12023" s="35"/>
      <c r="C12023" s="36"/>
      <c r="D12023" s="37"/>
      <c r="E12023" s="36"/>
      <c r="F12023" s="42"/>
      <c r="G12023" s="42"/>
      <c r="H12023" s="42"/>
      <c r="AG12023" s="19"/>
    </row>
    <row r="12024" spans="1:33" ht="14.5" x14ac:dyDescent="0.35">
      <c r="A12024" s="34"/>
      <c r="B12024" s="35"/>
      <c r="C12024" s="36"/>
      <c r="D12024" s="37"/>
      <c r="E12024" s="36"/>
      <c r="F12024" s="42"/>
      <c r="G12024" s="42"/>
      <c r="H12024" s="42"/>
      <c r="AG12024" s="19"/>
    </row>
    <row r="12025" spans="1:33" ht="14.5" x14ac:dyDescent="0.35">
      <c r="A12025" s="34"/>
      <c r="B12025" s="35"/>
      <c r="C12025" s="36"/>
      <c r="D12025" s="37"/>
      <c r="E12025" s="36"/>
      <c r="F12025" s="42"/>
      <c r="G12025" s="42"/>
      <c r="H12025" s="42"/>
      <c r="AG12025" s="19"/>
    </row>
    <row r="12026" spans="1:33" ht="14.5" x14ac:dyDescent="0.35">
      <c r="A12026" s="34"/>
      <c r="B12026" s="35"/>
      <c r="C12026" s="36"/>
      <c r="D12026" s="37"/>
      <c r="E12026" s="36"/>
      <c r="F12026" s="42"/>
      <c r="G12026" s="42"/>
      <c r="H12026" s="42"/>
      <c r="AG12026" s="19"/>
    </row>
    <row r="12027" spans="1:33" ht="14.5" x14ac:dyDescent="0.35">
      <c r="A12027" s="34"/>
      <c r="B12027" s="35"/>
      <c r="C12027" s="36"/>
      <c r="D12027" s="37"/>
      <c r="E12027" s="36"/>
      <c r="F12027" s="42"/>
      <c r="G12027" s="42"/>
      <c r="H12027" s="42"/>
      <c r="AG12027" s="19"/>
    </row>
    <row r="12028" spans="1:33" ht="14.5" x14ac:dyDescent="0.35">
      <c r="A12028" s="34"/>
      <c r="B12028" s="35"/>
      <c r="C12028" s="36"/>
      <c r="D12028" s="37"/>
      <c r="E12028" s="36"/>
      <c r="F12028" s="42"/>
      <c r="G12028" s="42"/>
      <c r="H12028" s="42"/>
      <c r="AG12028" s="19"/>
    </row>
    <row r="12029" spans="1:33" ht="14.5" x14ac:dyDescent="0.35">
      <c r="A12029" s="34"/>
      <c r="B12029" s="35"/>
      <c r="C12029" s="36"/>
      <c r="D12029" s="37"/>
      <c r="E12029" s="36"/>
      <c r="F12029" s="42"/>
      <c r="G12029" s="42"/>
      <c r="H12029" s="42"/>
      <c r="AG12029" s="19"/>
    </row>
    <row r="12030" spans="1:33" ht="14.5" x14ac:dyDescent="0.35">
      <c r="A12030" s="34"/>
      <c r="B12030" s="35"/>
      <c r="C12030" s="36"/>
      <c r="D12030" s="37"/>
      <c r="E12030" s="36"/>
      <c r="F12030" s="42"/>
      <c r="G12030" s="42"/>
      <c r="H12030" s="42"/>
      <c r="AG12030" s="19"/>
    </row>
    <row r="12031" spans="1:33" ht="14.5" x14ac:dyDescent="0.35">
      <c r="A12031" s="34"/>
      <c r="B12031" s="35"/>
      <c r="C12031" s="36"/>
      <c r="D12031" s="37"/>
      <c r="E12031" s="36"/>
      <c r="F12031" s="42"/>
      <c r="G12031" s="42"/>
      <c r="H12031" s="42"/>
      <c r="AG12031" s="19"/>
    </row>
    <row r="12032" spans="1:33" ht="14.5" x14ac:dyDescent="0.35">
      <c r="A12032" s="34"/>
      <c r="B12032" s="35"/>
      <c r="C12032" s="36"/>
      <c r="D12032" s="37"/>
      <c r="E12032" s="36"/>
      <c r="F12032" s="42"/>
      <c r="G12032" s="42"/>
      <c r="H12032" s="42"/>
      <c r="AG12032" s="19"/>
    </row>
    <row r="12033" spans="1:33" ht="14.5" x14ac:dyDescent="0.35">
      <c r="A12033" s="34"/>
      <c r="B12033" s="35"/>
      <c r="C12033" s="36"/>
      <c r="D12033" s="37"/>
      <c r="E12033" s="36"/>
      <c r="F12033" s="42"/>
      <c r="G12033" s="42"/>
      <c r="H12033" s="42"/>
      <c r="AG12033" s="19"/>
    </row>
    <row r="12034" spans="1:33" ht="14.5" x14ac:dyDescent="0.35">
      <c r="A12034" s="34"/>
      <c r="B12034" s="35"/>
      <c r="C12034" s="36"/>
      <c r="D12034" s="37"/>
      <c r="E12034" s="36"/>
      <c r="F12034" s="42"/>
      <c r="G12034" s="42"/>
      <c r="H12034" s="42"/>
      <c r="AG12034" s="19"/>
    </row>
    <row r="12035" spans="1:33" ht="14.5" x14ac:dyDescent="0.35">
      <c r="A12035" s="34"/>
      <c r="B12035" s="35"/>
      <c r="C12035" s="36"/>
      <c r="D12035" s="37"/>
      <c r="E12035" s="36"/>
      <c r="F12035" s="42"/>
      <c r="G12035" s="42"/>
      <c r="H12035" s="42"/>
      <c r="AG12035" s="19"/>
    </row>
    <row r="12036" spans="1:33" ht="14.5" x14ac:dyDescent="0.35">
      <c r="A12036" s="34"/>
      <c r="B12036" s="35"/>
      <c r="C12036" s="36"/>
      <c r="D12036" s="37"/>
      <c r="E12036" s="36"/>
      <c r="F12036" s="42"/>
      <c r="G12036" s="42"/>
      <c r="H12036" s="42"/>
      <c r="AG12036" s="19"/>
    </row>
    <row r="12037" spans="1:33" ht="14.5" x14ac:dyDescent="0.35">
      <c r="A12037" s="34"/>
      <c r="B12037" s="35"/>
      <c r="C12037" s="36"/>
      <c r="D12037" s="37"/>
      <c r="E12037" s="36"/>
      <c r="F12037" s="42"/>
      <c r="G12037" s="42"/>
      <c r="H12037" s="42"/>
      <c r="AG12037" s="19"/>
    </row>
    <row r="12038" spans="1:33" ht="14.5" x14ac:dyDescent="0.35">
      <c r="A12038" s="34"/>
      <c r="B12038" s="35"/>
      <c r="C12038" s="36"/>
      <c r="D12038" s="37"/>
      <c r="E12038" s="36"/>
      <c r="F12038" s="42"/>
      <c r="G12038" s="42"/>
      <c r="H12038" s="42"/>
      <c r="AG12038" s="19"/>
    </row>
    <row r="12039" spans="1:33" ht="14.5" x14ac:dyDescent="0.35">
      <c r="A12039" s="34"/>
      <c r="B12039" s="35"/>
      <c r="C12039" s="36"/>
      <c r="D12039" s="37"/>
      <c r="E12039" s="36"/>
      <c r="F12039" s="42"/>
      <c r="G12039" s="42"/>
      <c r="H12039" s="42"/>
      <c r="AG12039" s="19"/>
    </row>
    <row r="12040" spans="1:33" ht="14.5" x14ac:dyDescent="0.35">
      <c r="A12040" s="34"/>
      <c r="B12040" s="35"/>
      <c r="C12040" s="36"/>
      <c r="D12040" s="37"/>
      <c r="E12040" s="36"/>
      <c r="F12040" s="42"/>
      <c r="G12040" s="42"/>
      <c r="H12040" s="42"/>
      <c r="AG12040" s="19"/>
    </row>
    <row r="12041" spans="1:33" ht="14.5" x14ac:dyDescent="0.35">
      <c r="A12041" s="34"/>
      <c r="B12041" s="35"/>
      <c r="C12041" s="36"/>
      <c r="D12041" s="37"/>
      <c r="E12041" s="36"/>
      <c r="F12041" s="42"/>
      <c r="G12041" s="42"/>
      <c r="H12041" s="42"/>
      <c r="AG12041" s="19"/>
    </row>
    <row r="12042" spans="1:33" ht="14.5" x14ac:dyDescent="0.35">
      <c r="A12042" s="34"/>
      <c r="B12042" s="35"/>
      <c r="C12042" s="36"/>
      <c r="D12042" s="37"/>
      <c r="E12042" s="36"/>
      <c r="F12042" s="42"/>
      <c r="G12042" s="42"/>
      <c r="H12042" s="42"/>
      <c r="AG12042" s="19"/>
    </row>
    <row r="12043" spans="1:33" ht="14.5" x14ac:dyDescent="0.35">
      <c r="A12043" s="34"/>
      <c r="B12043" s="35"/>
      <c r="C12043" s="36"/>
      <c r="D12043" s="37"/>
      <c r="E12043" s="36"/>
      <c r="F12043" s="42"/>
      <c r="G12043" s="42"/>
      <c r="H12043" s="42"/>
      <c r="AG12043" s="19"/>
    </row>
    <row r="12044" spans="1:33" ht="14.5" x14ac:dyDescent="0.35">
      <c r="A12044" s="34"/>
      <c r="B12044" s="35"/>
      <c r="C12044" s="36"/>
      <c r="D12044" s="37"/>
      <c r="E12044" s="36"/>
      <c r="F12044" s="42"/>
      <c r="G12044" s="42"/>
      <c r="H12044" s="42"/>
      <c r="AG12044" s="19"/>
    </row>
    <row r="12045" spans="1:33" ht="14.5" x14ac:dyDescent="0.35">
      <c r="A12045" s="34"/>
      <c r="B12045" s="35"/>
      <c r="C12045" s="36"/>
      <c r="D12045" s="37"/>
      <c r="E12045" s="36"/>
      <c r="F12045" s="42"/>
      <c r="G12045" s="42"/>
      <c r="H12045" s="42"/>
      <c r="AG12045" s="19"/>
    </row>
    <row r="12046" spans="1:33" ht="14.5" x14ac:dyDescent="0.35">
      <c r="A12046" s="34"/>
      <c r="B12046" s="35"/>
      <c r="C12046" s="36"/>
      <c r="D12046" s="37"/>
      <c r="E12046" s="36"/>
      <c r="F12046" s="42"/>
      <c r="G12046" s="42"/>
      <c r="H12046" s="42"/>
      <c r="AG12046" s="19"/>
    </row>
    <row r="12047" spans="1:33" ht="14.5" x14ac:dyDescent="0.35">
      <c r="A12047" s="34"/>
      <c r="B12047" s="35"/>
      <c r="C12047" s="36"/>
      <c r="D12047" s="37"/>
      <c r="E12047" s="36"/>
      <c r="F12047" s="42"/>
      <c r="G12047" s="42"/>
      <c r="H12047" s="42"/>
      <c r="AG12047" s="19"/>
    </row>
    <row r="12048" spans="1:33" ht="14.5" x14ac:dyDescent="0.35">
      <c r="A12048" s="34"/>
      <c r="B12048" s="35"/>
      <c r="C12048" s="36"/>
      <c r="D12048" s="37"/>
      <c r="E12048" s="36"/>
      <c r="F12048" s="42"/>
      <c r="G12048" s="42"/>
      <c r="H12048" s="42"/>
      <c r="AG12048" s="19"/>
    </row>
    <row r="12049" spans="1:33" ht="14.5" x14ac:dyDescent="0.35">
      <c r="A12049" s="34"/>
      <c r="B12049" s="35"/>
      <c r="C12049" s="36"/>
      <c r="D12049" s="37"/>
      <c r="E12049" s="36"/>
      <c r="F12049" s="42"/>
      <c r="G12049" s="42"/>
      <c r="H12049" s="42"/>
      <c r="AG12049" s="19"/>
    </row>
    <row r="12050" spans="1:33" ht="14.5" x14ac:dyDescent="0.35">
      <c r="A12050" s="34"/>
      <c r="B12050" s="35"/>
      <c r="C12050" s="36"/>
      <c r="D12050" s="37"/>
      <c r="E12050" s="36"/>
      <c r="F12050" s="42"/>
      <c r="G12050" s="42"/>
      <c r="H12050" s="42"/>
      <c r="AG12050" s="19"/>
    </row>
    <row r="12051" spans="1:33" ht="14.5" x14ac:dyDescent="0.35">
      <c r="A12051" s="34"/>
      <c r="B12051" s="35"/>
      <c r="C12051" s="36"/>
      <c r="D12051" s="37"/>
      <c r="E12051" s="36"/>
      <c r="F12051" s="42"/>
      <c r="G12051" s="42"/>
      <c r="H12051" s="42"/>
      <c r="AG12051" s="19"/>
    </row>
    <row r="12052" spans="1:33" ht="14.5" x14ac:dyDescent="0.35">
      <c r="A12052" s="34"/>
      <c r="B12052" s="35"/>
      <c r="C12052" s="36"/>
      <c r="D12052" s="37"/>
      <c r="E12052" s="36"/>
      <c r="F12052" s="42"/>
      <c r="G12052" s="42"/>
      <c r="H12052" s="42"/>
      <c r="AG12052" s="19"/>
    </row>
    <row r="12053" spans="1:33" ht="14.5" x14ac:dyDescent="0.35">
      <c r="A12053" s="34"/>
      <c r="B12053" s="35"/>
      <c r="C12053" s="36"/>
      <c r="D12053" s="37"/>
      <c r="E12053" s="36"/>
      <c r="F12053" s="42"/>
      <c r="G12053" s="42"/>
      <c r="H12053" s="42"/>
      <c r="AG12053" s="19"/>
    </row>
    <row r="12054" spans="1:33" ht="14.5" x14ac:dyDescent="0.35">
      <c r="A12054" s="34"/>
      <c r="B12054" s="35"/>
      <c r="C12054" s="36"/>
      <c r="D12054" s="37"/>
      <c r="E12054" s="36"/>
      <c r="F12054" s="42"/>
      <c r="G12054" s="42"/>
      <c r="H12054" s="42"/>
      <c r="AG12054" s="19"/>
    </row>
    <row r="12055" spans="1:33" ht="14.5" x14ac:dyDescent="0.35">
      <c r="A12055" s="34"/>
      <c r="B12055" s="35"/>
      <c r="C12055" s="36"/>
      <c r="D12055" s="37"/>
      <c r="E12055" s="36"/>
      <c r="F12055" s="42"/>
      <c r="G12055" s="42"/>
      <c r="H12055" s="42"/>
      <c r="AG12055" s="19"/>
    </row>
    <row r="12056" spans="1:33" ht="14.5" x14ac:dyDescent="0.35">
      <c r="A12056" s="34"/>
      <c r="B12056" s="35"/>
      <c r="C12056" s="36"/>
      <c r="D12056" s="37"/>
      <c r="E12056" s="36"/>
      <c r="F12056" s="42"/>
      <c r="G12056" s="42"/>
      <c r="H12056" s="42"/>
      <c r="AG12056" s="19"/>
    </row>
    <row r="12057" spans="1:33" ht="14.5" x14ac:dyDescent="0.35">
      <c r="A12057" s="34"/>
      <c r="B12057" s="35"/>
      <c r="C12057" s="36"/>
      <c r="D12057" s="37"/>
      <c r="E12057" s="36"/>
      <c r="F12057" s="42"/>
      <c r="G12057" s="42"/>
      <c r="H12057" s="42"/>
      <c r="AG12057" s="19"/>
    </row>
    <row r="12058" spans="1:33" ht="14.5" x14ac:dyDescent="0.35">
      <c r="A12058" s="34"/>
      <c r="B12058" s="35"/>
      <c r="C12058" s="36"/>
      <c r="D12058" s="37"/>
      <c r="E12058" s="36"/>
      <c r="F12058" s="42"/>
      <c r="G12058" s="42"/>
      <c r="H12058" s="42"/>
      <c r="AG12058" s="19"/>
    </row>
    <row r="12059" spans="1:33" ht="14.5" x14ac:dyDescent="0.35">
      <c r="A12059" s="34"/>
      <c r="B12059" s="35"/>
      <c r="C12059" s="36"/>
      <c r="D12059" s="37"/>
      <c r="E12059" s="36"/>
      <c r="F12059" s="42"/>
      <c r="G12059" s="42"/>
      <c r="H12059" s="42"/>
      <c r="AG12059" s="19"/>
    </row>
    <row r="12060" spans="1:33" ht="14.5" x14ac:dyDescent="0.35">
      <c r="A12060" s="34"/>
      <c r="B12060" s="35"/>
      <c r="C12060" s="36"/>
      <c r="D12060" s="37"/>
      <c r="E12060" s="36"/>
      <c r="F12060" s="42"/>
      <c r="G12060" s="42"/>
      <c r="H12060" s="42"/>
      <c r="AG12060" s="19"/>
    </row>
    <row r="12061" spans="1:33" ht="14.5" x14ac:dyDescent="0.35">
      <c r="A12061" s="34"/>
      <c r="B12061" s="35"/>
      <c r="C12061" s="36"/>
      <c r="D12061" s="37"/>
      <c r="E12061" s="36"/>
      <c r="F12061" s="42"/>
      <c r="G12061" s="42"/>
      <c r="H12061" s="42"/>
      <c r="AG12061" s="19"/>
    </row>
    <row r="12062" spans="1:33" ht="14.5" x14ac:dyDescent="0.35">
      <c r="A12062" s="34"/>
      <c r="B12062" s="35"/>
      <c r="C12062" s="36"/>
      <c r="D12062" s="37"/>
      <c r="E12062" s="36"/>
      <c r="F12062" s="42"/>
      <c r="G12062" s="42"/>
      <c r="H12062" s="42"/>
      <c r="AG12062" s="19"/>
    </row>
    <row r="12063" spans="1:33" ht="14.5" x14ac:dyDescent="0.35">
      <c r="A12063" s="34"/>
      <c r="B12063" s="35"/>
      <c r="C12063" s="36"/>
      <c r="D12063" s="37"/>
      <c r="E12063" s="36"/>
      <c r="F12063" s="42"/>
      <c r="G12063" s="42"/>
      <c r="H12063" s="42"/>
      <c r="AG12063" s="19"/>
    </row>
    <row r="12064" spans="1:33" ht="14.5" x14ac:dyDescent="0.35">
      <c r="A12064" s="34"/>
      <c r="B12064" s="35"/>
      <c r="C12064" s="36"/>
      <c r="D12064" s="37"/>
      <c r="E12064" s="36"/>
      <c r="F12064" s="42"/>
      <c r="G12064" s="42"/>
      <c r="H12064" s="42"/>
      <c r="AG12064" s="19"/>
    </row>
    <row r="12065" spans="1:33" ht="14.5" x14ac:dyDescent="0.35">
      <c r="A12065" s="34"/>
      <c r="B12065" s="35"/>
      <c r="C12065" s="36"/>
      <c r="D12065" s="37"/>
      <c r="E12065" s="36"/>
      <c r="F12065" s="42"/>
      <c r="G12065" s="42"/>
      <c r="H12065" s="42"/>
      <c r="AG12065" s="19"/>
    </row>
    <row r="12066" spans="1:33" ht="14.5" x14ac:dyDescent="0.35">
      <c r="A12066" s="34"/>
      <c r="B12066" s="35"/>
      <c r="C12066" s="36"/>
      <c r="D12066" s="37"/>
      <c r="E12066" s="36"/>
      <c r="F12066" s="42"/>
      <c r="G12066" s="42"/>
      <c r="H12066" s="42"/>
      <c r="AG12066" s="19"/>
    </row>
    <row r="12067" spans="1:33" ht="14.5" x14ac:dyDescent="0.35">
      <c r="A12067" s="34"/>
      <c r="B12067" s="35"/>
      <c r="C12067" s="36"/>
      <c r="D12067" s="37"/>
      <c r="E12067" s="36"/>
      <c r="F12067" s="42"/>
      <c r="G12067" s="42"/>
      <c r="H12067" s="42"/>
      <c r="AG12067" s="19"/>
    </row>
    <row r="12068" spans="1:33" ht="14.5" x14ac:dyDescent="0.35">
      <c r="A12068" s="34"/>
      <c r="B12068" s="35"/>
      <c r="C12068" s="36"/>
      <c r="D12068" s="37"/>
      <c r="E12068" s="36"/>
      <c r="F12068" s="42"/>
      <c r="G12068" s="42"/>
      <c r="H12068" s="42"/>
      <c r="AG12068" s="19"/>
    </row>
    <row r="12069" spans="1:33" ht="14.5" x14ac:dyDescent="0.35">
      <c r="A12069" s="34"/>
      <c r="B12069" s="35"/>
      <c r="C12069" s="36"/>
      <c r="D12069" s="37"/>
      <c r="E12069" s="36"/>
      <c r="F12069" s="42"/>
      <c r="G12069" s="42"/>
      <c r="H12069" s="42"/>
      <c r="AG12069" s="19"/>
    </row>
    <row r="12070" spans="1:33" ht="14.5" x14ac:dyDescent="0.35">
      <c r="A12070" s="34"/>
      <c r="B12070" s="35"/>
      <c r="C12070" s="36"/>
      <c r="D12070" s="37"/>
      <c r="E12070" s="36"/>
      <c r="F12070" s="42"/>
      <c r="G12070" s="42"/>
      <c r="H12070" s="42"/>
      <c r="AG12070" s="19"/>
    </row>
    <row r="12071" spans="1:33" ht="14.5" x14ac:dyDescent="0.35">
      <c r="A12071" s="34"/>
      <c r="B12071" s="35"/>
      <c r="C12071" s="36"/>
      <c r="D12071" s="37"/>
      <c r="E12071" s="36"/>
      <c r="F12071" s="42"/>
      <c r="G12071" s="42"/>
      <c r="H12071" s="42"/>
      <c r="AG12071" s="19"/>
    </row>
    <row r="12072" spans="1:33" ht="14.5" x14ac:dyDescent="0.35">
      <c r="A12072" s="34"/>
      <c r="B12072" s="35"/>
      <c r="C12072" s="36"/>
      <c r="D12072" s="37"/>
      <c r="E12072" s="36"/>
      <c r="F12072" s="42"/>
      <c r="G12072" s="42"/>
      <c r="H12072" s="42"/>
      <c r="AG12072" s="19"/>
    </row>
    <row r="12073" spans="1:33" ht="14.5" x14ac:dyDescent="0.35">
      <c r="A12073" s="34"/>
      <c r="B12073" s="35"/>
      <c r="C12073" s="36"/>
      <c r="D12073" s="37"/>
      <c r="E12073" s="36"/>
      <c r="F12073" s="42"/>
      <c r="G12073" s="42"/>
      <c r="H12073" s="42"/>
      <c r="AG12073" s="19"/>
    </row>
    <row r="12074" spans="1:33" ht="14.5" x14ac:dyDescent="0.35">
      <c r="A12074" s="34"/>
      <c r="B12074" s="35"/>
      <c r="C12074" s="36"/>
      <c r="D12074" s="37"/>
      <c r="E12074" s="36"/>
      <c r="F12074" s="42"/>
      <c r="G12074" s="42"/>
      <c r="H12074" s="42"/>
      <c r="AG12074" s="19"/>
    </row>
    <row r="12075" spans="1:33" ht="14.5" x14ac:dyDescent="0.35">
      <c r="A12075" s="34"/>
      <c r="B12075" s="35"/>
      <c r="C12075" s="36"/>
      <c r="D12075" s="37"/>
      <c r="E12075" s="36"/>
      <c r="F12075" s="42"/>
      <c r="G12075" s="42"/>
      <c r="H12075" s="42"/>
      <c r="AG12075" s="19"/>
    </row>
    <row r="12076" spans="1:33" ht="14.5" x14ac:dyDescent="0.35">
      <c r="A12076" s="34"/>
      <c r="B12076" s="35"/>
      <c r="C12076" s="36"/>
      <c r="D12076" s="37"/>
      <c r="E12076" s="36"/>
      <c r="F12076" s="42"/>
      <c r="G12076" s="42"/>
      <c r="H12076" s="42"/>
      <c r="AG12076" s="19"/>
    </row>
    <row r="12077" spans="1:33" ht="14.5" x14ac:dyDescent="0.35">
      <c r="A12077" s="34"/>
      <c r="B12077" s="35"/>
      <c r="C12077" s="36"/>
      <c r="D12077" s="37"/>
      <c r="E12077" s="36"/>
      <c r="F12077" s="42"/>
      <c r="G12077" s="42"/>
      <c r="H12077" s="42"/>
      <c r="AG12077" s="19"/>
    </row>
    <row r="12078" spans="1:33" ht="14.5" x14ac:dyDescent="0.35">
      <c r="A12078" s="34"/>
      <c r="B12078" s="35"/>
      <c r="C12078" s="36"/>
      <c r="D12078" s="37"/>
      <c r="E12078" s="36"/>
      <c r="F12078" s="42"/>
      <c r="G12078" s="42"/>
      <c r="H12078" s="42"/>
      <c r="AG12078" s="19"/>
    </row>
    <row r="12079" spans="1:33" ht="14.5" x14ac:dyDescent="0.35">
      <c r="A12079" s="34"/>
      <c r="B12079" s="35"/>
      <c r="C12079" s="36"/>
      <c r="D12079" s="37"/>
      <c r="E12079" s="36"/>
      <c r="F12079" s="42"/>
      <c r="G12079" s="42"/>
      <c r="H12079" s="42"/>
      <c r="AG12079" s="19"/>
    </row>
    <row r="12080" spans="1:33" ht="14.5" x14ac:dyDescent="0.35">
      <c r="A12080" s="34"/>
      <c r="B12080" s="35"/>
      <c r="C12080" s="36"/>
      <c r="D12080" s="37"/>
      <c r="E12080" s="36"/>
      <c r="F12080" s="42"/>
      <c r="G12080" s="42"/>
      <c r="H12080" s="42"/>
      <c r="AG12080" s="19"/>
    </row>
    <row r="12081" spans="1:33" ht="14.5" x14ac:dyDescent="0.35">
      <c r="A12081" s="34"/>
      <c r="B12081" s="35"/>
      <c r="C12081" s="36"/>
      <c r="D12081" s="37"/>
      <c r="E12081" s="36"/>
      <c r="F12081" s="42"/>
      <c r="G12081" s="42"/>
      <c r="H12081" s="42"/>
      <c r="AG12081" s="19"/>
    </row>
    <row r="12082" spans="1:33" ht="14.5" x14ac:dyDescent="0.35">
      <c r="A12082" s="34"/>
      <c r="B12082" s="35"/>
      <c r="C12082" s="36"/>
      <c r="D12082" s="37"/>
      <c r="E12082" s="36"/>
      <c r="F12082" s="42"/>
      <c r="G12082" s="42"/>
      <c r="H12082" s="42"/>
      <c r="AG12082" s="19"/>
    </row>
    <row r="12083" spans="1:33" ht="14.5" x14ac:dyDescent="0.35">
      <c r="A12083" s="34"/>
      <c r="B12083" s="35"/>
      <c r="C12083" s="36"/>
      <c r="D12083" s="37"/>
      <c r="E12083" s="36"/>
      <c r="F12083" s="42"/>
      <c r="G12083" s="42"/>
      <c r="H12083" s="42"/>
      <c r="AG12083" s="19"/>
    </row>
    <row r="12084" spans="1:33" ht="14.5" x14ac:dyDescent="0.35">
      <c r="A12084" s="34"/>
      <c r="B12084" s="35"/>
      <c r="C12084" s="36"/>
      <c r="D12084" s="37"/>
      <c r="E12084" s="36"/>
      <c r="F12084" s="42"/>
      <c r="G12084" s="42"/>
      <c r="H12084" s="42"/>
      <c r="AG12084" s="19"/>
    </row>
    <row r="12085" spans="1:33" ht="14.5" x14ac:dyDescent="0.35">
      <c r="A12085" s="34"/>
      <c r="B12085" s="35"/>
      <c r="C12085" s="36"/>
      <c r="D12085" s="37"/>
      <c r="E12085" s="36"/>
      <c r="F12085" s="42"/>
      <c r="G12085" s="42"/>
      <c r="H12085" s="42"/>
      <c r="AG12085" s="19"/>
    </row>
    <row r="12086" spans="1:33" ht="14.5" x14ac:dyDescent="0.35">
      <c r="A12086" s="34"/>
      <c r="B12086" s="35"/>
      <c r="C12086" s="36"/>
      <c r="D12086" s="37"/>
      <c r="E12086" s="36"/>
      <c r="F12086" s="42"/>
      <c r="G12086" s="42"/>
      <c r="H12086" s="42"/>
      <c r="AG12086" s="19"/>
    </row>
    <row r="12087" spans="1:33" ht="14.5" x14ac:dyDescent="0.35">
      <c r="A12087" s="34"/>
      <c r="B12087" s="35"/>
      <c r="C12087" s="36"/>
      <c r="D12087" s="37"/>
      <c r="E12087" s="36"/>
      <c r="F12087" s="42"/>
      <c r="G12087" s="42"/>
      <c r="H12087" s="42"/>
      <c r="AG12087" s="19"/>
    </row>
    <row r="12088" spans="1:33" ht="14.5" x14ac:dyDescent="0.35">
      <c r="A12088" s="34"/>
      <c r="B12088" s="35"/>
      <c r="C12088" s="36"/>
      <c r="D12088" s="37"/>
      <c r="E12088" s="36"/>
      <c r="F12088" s="42"/>
      <c r="G12088" s="42"/>
      <c r="H12088" s="42"/>
      <c r="AG12088" s="19"/>
    </row>
    <row r="12089" spans="1:33" ht="14.5" x14ac:dyDescent="0.35">
      <c r="A12089" s="34"/>
      <c r="B12089" s="35"/>
      <c r="C12089" s="36"/>
      <c r="D12089" s="37"/>
      <c r="E12089" s="36"/>
      <c r="F12089" s="42"/>
      <c r="G12089" s="42"/>
      <c r="H12089" s="42"/>
      <c r="AG12089" s="19"/>
    </row>
    <row r="12090" spans="1:33" ht="14.5" x14ac:dyDescent="0.35">
      <c r="A12090" s="34"/>
      <c r="B12090" s="35"/>
      <c r="C12090" s="36"/>
      <c r="D12090" s="37"/>
      <c r="E12090" s="36"/>
      <c r="F12090" s="42"/>
      <c r="G12090" s="42"/>
      <c r="H12090" s="42"/>
      <c r="AG12090" s="19"/>
    </row>
    <row r="12091" spans="1:33" ht="14.5" x14ac:dyDescent="0.35">
      <c r="A12091" s="34"/>
      <c r="B12091" s="35"/>
      <c r="C12091" s="36"/>
      <c r="D12091" s="37"/>
      <c r="E12091" s="36"/>
      <c r="F12091" s="42"/>
      <c r="G12091" s="42"/>
      <c r="H12091" s="42"/>
      <c r="AG12091" s="19"/>
    </row>
    <row r="12092" spans="1:33" ht="14.5" x14ac:dyDescent="0.35">
      <c r="A12092" s="34"/>
      <c r="B12092" s="35"/>
      <c r="C12092" s="36"/>
      <c r="D12092" s="37"/>
      <c r="E12092" s="36"/>
      <c r="F12092" s="42"/>
      <c r="G12092" s="42"/>
      <c r="H12092" s="42"/>
      <c r="AG12092" s="19"/>
    </row>
    <row r="12093" spans="1:33" ht="14.5" x14ac:dyDescent="0.35">
      <c r="A12093" s="34"/>
      <c r="B12093" s="35"/>
      <c r="C12093" s="36"/>
      <c r="D12093" s="37"/>
      <c r="E12093" s="36"/>
      <c r="F12093" s="42"/>
      <c r="G12093" s="42"/>
      <c r="H12093" s="42"/>
      <c r="AG12093" s="19"/>
    </row>
    <row r="12094" spans="1:33" ht="14.5" x14ac:dyDescent="0.35">
      <c r="A12094" s="34"/>
      <c r="B12094" s="35"/>
      <c r="C12094" s="36"/>
      <c r="D12094" s="37"/>
      <c r="E12094" s="36"/>
      <c r="F12094" s="42"/>
      <c r="G12094" s="42"/>
      <c r="H12094" s="42"/>
      <c r="AG12094" s="19"/>
    </row>
    <row r="12095" spans="1:33" ht="14.5" x14ac:dyDescent="0.35">
      <c r="A12095" s="34"/>
      <c r="B12095" s="35"/>
      <c r="C12095" s="36"/>
      <c r="D12095" s="37"/>
      <c r="E12095" s="36"/>
      <c r="F12095" s="42"/>
      <c r="G12095" s="42"/>
      <c r="H12095" s="42"/>
      <c r="AG12095" s="19"/>
    </row>
    <row r="12096" spans="1:33" ht="14.5" x14ac:dyDescent="0.35">
      <c r="A12096" s="34"/>
      <c r="B12096" s="35"/>
      <c r="C12096" s="36"/>
      <c r="D12096" s="37"/>
      <c r="E12096" s="36"/>
      <c r="F12096" s="42"/>
      <c r="G12096" s="42"/>
      <c r="H12096" s="42"/>
      <c r="AG12096" s="19"/>
    </row>
    <row r="12097" spans="1:33" ht="14.5" x14ac:dyDescent="0.35">
      <c r="A12097" s="34"/>
      <c r="B12097" s="35"/>
      <c r="C12097" s="36"/>
      <c r="D12097" s="37"/>
      <c r="E12097" s="36"/>
      <c r="F12097" s="42"/>
      <c r="G12097" s="42"/>
      <c r="H12097" s="42"/>
      <c r="AG12097" s="19"/>
    </row>
    <row r="12098" spans="1:33" ht="14.5" x14ac:dyDescent="0.35">
      <c r="A12098" s="34"/>
      <c r="B12098" s="35"/>
      <c r="C12098" s="36"/>
      <c r="D12098" s="37"/>
      <c r="E12098" s="36"/>
      <c r="F12098" s="42"/>
      <c r="G12098" s="42"/>
      <c r="H12098" s="42"/>
      <c r="AG12098" s="19"/>
    </row>
    <row r="12099" spans="1:33" ht="14.5" x14ac:dyDescent="0.35">
      <c r="A12099" s="34"/>
      <c r="B12099" s="35"/>
      <c r="C12099" s="36"/>
      <c r="D12099" s="37"/>
      <c r="E12099" s="36"/>
      <c r="F12099" s="42"/>
      <c r="G12099" s="42"/>
      <c r="H12099" s="42"/>
      <c r="AG12099" s="19"/>
    </row>
    <row r="12100" spans="1:33" ht="14.5" x14ac:dyDescent="0.35">
      <c r="A12100" s="34"/>
      <c r="B12100" s="35"/>
      <c r="C12100" s="36"/>
      <c r="D12100" s="37"/>
      <c r="E12100" s="36"/>
      <c r="F12100" s="42"/>
      <c r="G12100" s="42"/>
      <c r="H12100" s="42"/>
      <c r="AG12100" s="19"/>
    </row>
    <row r="12101" spans="1:33" ht="14.5" x14ac:dyDescent="0.35">
      <c r="A12101" s="34"/>
      <c r="B12101" s="35"/>
      <c r="C12101" s="36"/>
      <c r="D12101" s="37"/>
      <c r="E12101" s="36"/>
      <c r="F12101" s="42"/>
      <c r="G12101" s="42"/>
      <c r="H12101" s="42"/>
      <c r="AG12101" s="19"/>
    </row>
    <row r="12102" spans="1:33" ht="14.5" x14ac:dyDescent="0.35">
      <c r="A12102" s="34"/>
      <c r="B12102" s="35"/>
      <c r="C12102" s="36"/>
      <c r="D12102" s="37"/>
      <c r="E12102" s="36"/>
      <c r="F12102" s="42"/>
      <c r="G12102" s="42"/>
      <c r="H12102" s="42"/>
      <c r="AG12102" s="19"/>
    </row>
    <row r="12103" spans="1:33" ht="14.5" x14ac:dyDescent="0.35">
      <c r="A12103" s="34"/>
      <c r="B12103" s="35"/>
      <c r="C12103" s="36"/>
      <c r="D12103" s="37"/>
      <c r="E12103" s="36"/>
      <c r="F12103" s="42"/>
      <c r="G12103" s="42"/>
      <c r="H12103" s="42"/>
      <c r="AG12103" s="19"/>
    </row>
    <row r="12104" spans="1:33" ht="14.5" x14ac:dyDescent="0.35">
      <c r="A12104" s="34"/>
      <c r="B12104" s="35"/>
      <c r="C12104" s="36"/>
      <c r="D12104" s="37"/>
      <c r="E12104" s="36"/>
      <c r="F12104" s="42"/>
      <c r="G12104" s="42"/>
      <c r="H12104" s="42"/>
      <c r="AG12104" s="19"/>
    </row>
    <row r="12105" spans="1:33" ht="14.5" x14ac:dyDescent="0.35">
      <c r="A12105" s="34"/>
      <c r="B12105" s="35"/>
      <c r="C12105" s="36"/>
      <c r="D12105" s="37"/>
      <c r="E12105" s="36"/>
      <c r="F12105" s="42"/>
      <c r="G12105" s="42"/>
      <c r="H12105" s="42"/>
      <c r="AG12105" s="19"/>
    </row>
    <row r="12106" spans="1:33" ht="14.5" x14ac:dyDescent="0.35">
      <c r="A12106" s="34"/>
      <c r="B12106" s="35"/>
      <c r="C12106" s="36"/>
      <c r="D12106" s="37"/>
      <c r="E12106" s="36"/>
      <c r="F12106" s="42"/>
      <c r="G12106" s="42"/>
      <c r="H12106" s="42"/>
      <c r="AG12106" s="19"/>
    </row>
    <row r="12107" spans="1:33" ht="14.5" x14ac:dyDescent="0.35">
      <c r="A12107" s="34"/>
      <c r="B12107" s="35"/>
      <c r="C12107" s="36"/>
      <c r="D12107" s="37"/>
      <c r="E12107" s="36"/>
      <c r="F12107" s="42"/>
      <c r="G12107" s="42"/>
      <c r="H12107" s="42"/>
      <c r="AG12107" s="19"/>
    </row>
    <row r="12108" spans="1:33" ht="14.5" x14ac:dyDescent="0.35">
      <c r="A12108" s="34"/>
      <c r="B12108" s="35"/>
      <c r="C12108" s="36"/>
      <c r="D12108" s="37"/>
      <c r="E12108" s="36"/>
      <c r="F12108" s="42"/>
      <c r="G12108" s="42"/>
      <c r="H12108" s="42"/>
      <c r="AG12108" s="19"/>
    </row>
    <row r="12109" spans="1:33" ht="14.5" x14ac:dyDescent="0.35">
      <c r="A12109" s="34"/>
      <c r="B12109" s="35"/>
      <c r="C12109" s="36"/>
      <c r="D12109" s="37"/>
      <c r="E12109" s="36"/>
      <c r="F12109" s="42"/>
      <c r="G12109" s="42"/>
      <c r="H12109" s="42"/>
      <c r="AG12109" s="19"/>
    </row>
    <row r="12110" spans="1:33" ht="14.5" x14ac:dyDescent="0.35">
      <c r="A12110" s="34"/>
      <c r="B12110" s="35"/>
      <c r="C12110" s="36"/>
      <c r="D12110" s="37"/>
      <c r="E12110" s="36"/>
      <c r="F12110" s="42"/>
      <c r="G12110" s="42"/>
      <c r="H12110" s="42"/>
      <c r="AG12110" s="19"/>
    </row>
    <row r="12111" spans="1:33" ht="14.5" x14ac:dyDescent="0.35">
      <c r="A12111" s="34"/>
      <c r="B12111" s="35"/>
      <c r="C12111" s="36"/>
      <c r="D12111" s="37"/>
      <c r="E12111" s="36"/>
      <c r="F12111" s="42"/>
      <c r="G12111" s="42"/>
      <c r="H12111" s="42"/>
      <c r="AG12111" s="19"/>
    </row>
    <row r="12112" spans="1:33" ht="14.5" x14ac:dyDescent="0.35">
      <c r="A12112" s="34"/>
      <c r="B12112" s="35"/>
      <c r="C12112" s="36"/>
      <c r="D12112" s="37"/>
      <c r="E12112" s="36"/>
      <c r="F12112" s="42"/>
      <c r="G12112" s="42"/>
      <c r="H12112" s="42"/>
      <c r="AG12112" s="19"/>
    </row>
    <row r="12113" spans="1:33" ht="14.5" x14ac:dyDescent="0.35">
      <c r="A12113" s="34"/>
      <c r="B12113" s="35"/>
      <c r="C12113" s="36"/>
      <c r="D12113" s="37"/>
      <c r="E12113" s="36"/>
      <c r="F12113" s="42"/>
      <c r="G12113" s="42"/>
      <c r="H12113" s="42"/>
      <c r="AG12113" s="19"/>
    </row>
    <row r="12114" spans="1:33" ht="14.5" x14ac:dyDescent="0.35">
      <c r="A12114" s="34"/>
      <c r="B12114" s="35"/>
      <c r="C12114" s="36"/>
      <c r="D12114" s="37"/>
      <c r="E12114" s="36"/>
      <c r="F12114" s="42"/>
      <c r="G12114" s="42"/>
      <c r="H12114" s="42"/>
      <c r="AG12114" s="19"/>
    </row>
    <row r="12115" spans="1:33" ht="14.5" x14ac:dyDescent="0.35">
      <c r="A12115" s="34"/>
      <c r="B12115" s="35"/>
      <c r="C12115" s="36"/>
      <c r="D12115" s="37"/>
      <c r="E12115" s="36"/>
      <c r="F12115" s="42"/>
      <c r="G12115" s="42"/>
      <c r="H12115" s="42"/>
      <c r="AG12115" s="19"/>
    </row>
    <row r="12116" spans="1:33" ht="14.5" x14ac:dyDescent="0.35">
      <c r="A12116" s="34"/>
      <c r="B12116" s="35"/>
      <c r="C12116" s="36"/>
      <c r="D12116" s="37"/>
      <c r="E12116" s="36"/>
      <c r="F12116" s="42"/>
      <c r="G12116" s="42"/>
      <c r="H12116" s="42"/>
      <c r="AG12116" s="19"/>
    </row>
    <row r="12117" spans="1:33" ht="14.5" x14ac:dyDescent="0.35">
      <c r="A12117" s="34"/>
      <c r="B12117" s="35"/>
      <c r="C12117" s="36"/>
      <c r="D12117" s="37"/>
      <c r="E12117" s="36"/>
      <c r="F12117" s="42"/>
      <c r="G12117" s="42"/>
      <c r="H12117" s="42"/>
      <c r="AG12117" s="19"/>
    </row>
    <row r="12118" spans="1:33" ht="14.5" x14ac:dyDescent="0.35">
      <c r="A12118" s="34"/>
      <c r="B12118" s="35"/>
      <c r="C12118" s="36"/>
      <c r="D12118" s="37"/>
      <c r="E12118" s="36"/>
      <c r="F12118" s="42"/>
      <c r="G12118" s="42"/>
      <c r="H12118" s="42"/>
      <c r="AG12118" s="19"/>
    </row>
    <row r="12119" spans="1:33" ht="14.5" x14ac:dyDescent="0.35">
      <c r="A12119" s="34"/>
      <c r="B12119" s="35"/>
      <c r="C12119" s="36"/>
      <c r="D12119" s="37"/>
      <c r="E12119" s="36"/>
      <c r="F12119" s="42"/>
      <c r="G12119" s="42"/>
      <c r="H12119" s="42"/>
      <c r="AG12119" s="19"/>
    </row>
    <row r="12120" spans="1:33" ht="14.5" x14ac:dyDescent="0.35">
      <c r="A12120" s="34"/>
      <c r="B12120" s="35"/>
      <c r="C12120" s="36"/>
      <c r="D12120" s="37"/>
      <c r="E12120" s="36"/>
      <c r="F12120" s="42"/>
      <c r="G12120" s="42"/>
      <c r="H12120" s="42"/>
      <c r="AG12120" s="19"/>
    </row>
    <row r="12121" spans="1:33" ht="14.5" x14ac:dyDescent="0.35">
      <c r="A12121" s="34"/>
      <c r="B12121" s="35"/>
      <c r="C12121" s="36"/>
      <c r="D12121" s="37"/>
      <c r="E12121" s="36"/>
      <c r="F12121" s="42"/>
      <c r="G12121" s="42"/>
      <c r="H12121" s="42"/>
      <c r="AG12121" s="19"/>
    </row>
    <row r="12122" spans="1:33" ht="14.5" x14ac:dyDescent="0.35">
      <c r="A12122" s="34"/>
      <c r="B12122" s="35"/>
      <c r="C12122" s="36"/>
      <c r="D12122" s="37"/>
      <c r="E12122" s="36"/>
      <c r="F12122" s="42"/>
      <c r="G12122" s="42"/>
      <c r="H12122" s="42"/>
      <c r="AG12122" s="19"/>
    </row>
    <row r="12123" spans="1:33" ht="14.5" x14ac:dyDescent="0.35">
      <c r="A12123" s="34"/>
      <c r="B12123" s="35"/>
      <c r="C12123" s="36"/>
      <c r="D12123" s="37"/>
      <c r="E12123" s="36"/>
      <c r="F12123" s="42"/>
      <c r="G12123" s="42"/>
      <c r="H12123" s="42"/>
      <c r="AG12123" s="19"/>
    </row>
    <row r="12124" spans="1:33" ht="14.5" x14ac:dyDescent="0.35">
      <c r="A12124" s="34"/>
      <c r="B12124" s="35"/>
      <c r="C12124" s="36"/>
      <c r="D12124" s="37"/>
      <c r="E12124" s="36"/>
      <c r="F12124" s="42"/>
      <c r="G12124" s="42"/>
      <c r="H12124" s="42"/>
      <c r="AG12124" s="19"/>
    </row>
    <row r="12125" spans="1:33" ht="14.5" x14ac:dyDescent="0.35">
      <c r="A12125" s="34"/>
      <c r="B12125" s="35"/>
      <c r="C12125" s="36"/>
      <c r="D12125" s="37"/>
      <c r="E12125" s="36"/>
      <c r="F12125" s="42"/>
      <c r="G12125" s="42"/>
      <c r="H12125" s="42"/>
      <c r="AG12125" s="19"/>
    </row>
    <row r="12126" spans="1:33" ht="14.5" x14ac:dyDescent="0.35">
      <c r="A12126" s="34"/>
      <c r="B12126" s="35"/>
      <c r="C12126" s="36"/>
      <c r="D12126" s="37"/>
      <c r="E12126" s="36"/>
      <c r="F12126" s="42"/>
      <c r="G12126" s="42"/>
      <c r="H12126" s="42"/>
      <c r="AG12126" s="19"/>
    </row>
    <row r="12127" spans="1:33" ht="14.5" x14ac:dyDescent="0.35">
      <c r="A12127" s="34"/>
      <c r="B12127" s="35"/>
      <c r="C12127" s="36"/>
      <c r="D12127" s="37"/>
      <c r="E12127" s="36"/>
      <c r="F12127" s="42"/>
      <c r="G12127" s="42"/>
      <c r="H12127" s="42"/>
      <c r="AG12127" s="19"/>
    </row>
    <row r="12128" spans="1:33" ht="14.5" x14ac:dyDescent="0.35">
      <c r="A12128" s="34"/>
      <c r="B12128" s="35"/>
      <c r="C12128" s="36"/>
      <c r="D12128" s="37"/>
      <c r="E12128" s="36"/>
      <c r="F12128" s="42"/>
      <c r="G12128" s="42"/>
      <c r="H12128" s="42"/>
      <c r="AG12128" s="19"/>
    </row>
    <row r="12129" spans="1:33" ht="14.5" x14ac:dyDescent="0.35">
      <c r="A12129" s="34"/>
      <c r="B12129" s="35"/>
      <c r="C12129" s="36"/>
      <c r="D12129" s="37"/>
      <c r="E12129" s="36"/>
      <c r="F12129" s="42"/>
      <c r="G12129" s="42"/>
      <c r="H12129" s="42"/>
      <c r="AG12129" s="19"/>
    </row>
    <row r="12130" spans="1:33" ht="14.5" x14ac:dyDescent="0.35">
      <c r="A12130" s="34"/>
      <c r="B12130" s="35"/>
      <c r="C12130" s="36"/>
      <c r="D12130" s="37"/>
      <c r="E12130" s="36"/>
      <c r="F12130" s="42"/>
      <c r="G12130" s="42"/>
      <c r="H12130" s="42"/>
      <c r="AG12130" s="19"/>
    </row>
    <row r="12131" spans="1:33" ht="14.5" x14ac:dyDescent="0.35">
      <c r="A12131" s="34"/>
      <c r="B12131" s="35"/>
      <c r="C12131" s="36"/>
      <c r="D12131" s="37"/>
      <c r="E12131" s="36"/>
      <c r="F12131" s="42"/>
      <c r="G12131" s="42"/>
      <c r="H12131" s="42"/>
      <c r="AG12131" s="19"/>
    </row>
    <row r="12132" spans="1:33" ht="14.5" x14ac:dyDescent="0.35">
      <c r="A12132" s="34"/>
      <c r="B12132" s="35"/>
      <c r="C12132" s="36"/>
      <c r="D12132" s="37"/>
      <c r="E12132" s="36"/>
      <c r="F12132" s="42"/>
      <c r="G12132" s="42"/>
      <c r="H12132" s="42"/>
      <c r="AG12132" s="19"/>
    </row>
    <row r="12133" spans="1:33" ht="14.5" x14ac:dyDescent="0.35">
      <c r="A12133" s="34"/>
      <c r="B12133" s="35"/>
      <c r="C12133" s="36"/>
      <c r="D12133" s="37"/>
      <c r="E12133" s="36"/>
      <c r="F12133" s="42"/>
      <c r="G12133" s="42"/>
      <c r="H12133" s="42"/>
      <c r="AG12133" s="19"/>
    </row>
    <row r="12134" spans="1:33" ht="14.5" x14ac:dyDescent="0.35">
      <c r="A12134" s="34"/>
      <c r="B12134" s="35"/>
      <c r="C12134" s="36"/>
      <c r="D12134" s="37"/>
      <c r="E12134" s="36"/>
      <c r="F12134" s="42"/>
      <c r="G12134" s="42"/>
      <c r="H12134" s="42"/>
      <c r="AG12134" s="19"/>
    </row>
    <row r="12135" spans="1:33" ht="14.5" x14ac:dyDescent="0.35">
      <c r="A12135" s="34"/>
      <c r="B12135" s="35"/>
      <c r="C12135" s="36"/>
      <c r="D12135" s="37"/>
      <c r="E12135" s="36"/>
      <c r="F12135" s="42"/>
      <c r="G12135" s="42"/>
      <c r="H12135" s="42"/>
      <c r="AG12135" s="19"/>
    </row>
    <row r="12136" spans="1:33" ht="14.5" x14ac:dyDescent="0.35">
      <c r="A12136" s="34"/>
      <c r="B12136" s="35"/>
      <c r="C12136" s="36"/>
      <c r="D12136" s="37"/>
      <c r="E12136" s="36"/>
      <c r="F12136" s="42"/>
      <c r="G12136" s="42"/>
      <c r="H12136" s="42"/>
      <c r="AG12136" s="19"/>
    </row>
    <row r="12137" spans="1:33" ht="14.5" x14ac:dyDescent="0.35">
      <c r="A12137" s="34"/>
      <c r="B12137" s="35"/>
      <c r="C12137" s="36"/>
      <c r="D12137" s="37"/>
      <c r="E12137" s="36"/>
      <c r="F12137" s="42"/>
      <c r="G12137" s="42"/>
      <c r="H12137" s="42"/>
      <c r="AG12137" s="19"/>
    </row>
    <row r="12138" spans="1:33" ht="14.5" x14ac:dyDescent="0.35">
      <c r="A12138" s="34"/>
      <c r="B12138" s="35"/>
      <c r="C12138" s="36"/>
      <c r="D12138" s="37"/>
      <c r="E12138" s="36"/>
      <c r="F12138" s="42"/>
      <c r="G12138" s="42"/>
      <c r="H12138" s="42"/>
      <c r="AG12138" s="19"/>
    </row>
    <row r="12139" spans="1:33" ht="14.5" x14ac:dyDescent="0.35">
      <c r="A12139" s="34"/>
      <c r="B12139" s="35"/>
      <c r="C12139" s="36"/>
      <c r="D12139" s="37"/>
      <c r="E12139" s="36"/>
      <c r="F12139" s="42"/>
      <c r="G12139" s="42"/>
      <c r="H12139" s="42"/>
      <c r="AG12139" s="19"/>
    </row>
    <row r="12140" spans="1:33" ht="14.5" x14ac:dyDescent="0.35">
      <c r="A12140" s="34"/>
      <c r="B12140" s="35"/>
      <c r="C12140" s="36"/>
      <c r="D12140" s="37"/>
      <c r="E12140" s="36"/>
      <c r="F12140" s="42"/>
      <c r="G12140" s="42"/>
      <c r="H12140" s="42"/>
      <c r="AG12140" s="19"/>
    </row>
    <row r="12141" spans="1:33" ht="14.5" x14ac:dyDescent="0.35">
      <c r="A12141" s="34"/>
      <c r="B12141" s="35"/>
      <c r="C12141" s="36"/>
      <c r="D12141" s="37"/>
      <c r="E12141" s="36"/>
      <c r="F12141" s="42"/>
      <c r="G12141" s="42"/>
      <c r="H12141" s="42"/>
      <c r="AG12141" s="19"/>
    </row>
    <row r="12142" spans="1:33" ht="14.5" x14ac:dyDescent="0.35">
      <c r="A12142" s="34"/>
      <c r="B12142" s="35"/>
      <c r="C12142" s="36"/>
      <c r="D12142" s="37"/>
      <c r="E12142" s="36"/>
      <c r="F12142" s="42"/>
      <c r="G12142" s="42"/>
      <c r="H12142" s="42"/>
      <c r="AG12142" s="19"/>
    </row>
    <row r="12143" spans="1:33" ht="14.5" x14ac:dyDescent="0.35">
      <c r="A12143" s="34"/>
      <c r="B12143" s="35"/>
      <c r="C12143" s="36"/>
      <c r="D12143" s="37"/>
      <c r="E12143" s="36"/>
      <c r="F12143" s="42"/>
      <c r="G12143" s="42"/>
      <c r="H12143" s="42"/>
      <c r="AG12143" s="19"/>
    </row>
    <row r="12144" spans="1:33" ht="14.5" x14ac:dyDescent="0.35">
      <c r="A12144" s="34"/>
      <c r="B12144" s="35"/>
      <c r="C12144" s="36"/>
      <c r="D12144" s="37"/>
      <c r="E12144" s="36"/>
      <c r="F12144" s="42"/>
      <c r="G12144" s="42"/>
      <c r="H12144" s="42"/>
      <c r="AG12144" s="19"/>
    </row>
    <row r="12145" spans="1:33" ht="14.5" x14ac:dyDescent="0.35">
      <c r="A12145" s="34"/>
      <c r="B12145" s="35"/>
      <c r="C12145" s="36"/>
      <c r="D12145" s="37"/>
      <c r="E12145" s="36"/>
      <c r="F12145" s="42"/>
      <c r="G12145" s="42"/>
      <c r="H12145" s="42"/>
      <c r="AG12145" s="19"/>
    </row>
    <row r="12146" spans="1:33" ht="14.5" x14ac:dyDescent="0.35">
      <c r="A12146" s="34"/>
      <c r="B12146" s="35"/>
      <c r="C12146" s="36"/>
      <c r="D12146" s="37"/>
      <c r="E12146" s="36"/>
      <c r="F12146" s="42"/>
      <c r="G12146" s="42"/>
      <c r="H12146" s="42"/>
      <c r="AG12146" s="19"/>
    </row>
    <row r="12147" spans="1:33" ht="14.5" x14ac:dyDescent="0.35">
      <c r="A12147" s="34"/>
      <c r="B12147" s="35"/>
      <c r="C12147" s="36"/>
      <c r="D12147" s="37"/>
      <c r="E12147" s="36"/>
      <c r="F12147" s="42"/>
      <c r="G12147" s="42"/>
      <c r="H12147" s="42"/>
      <c r="AG12147" s="19"/>
    </row>
    <row r="12148" spans="1:33" ht="14.5" x14ac:dyDescent="0.35">
      <c r="A12148" s="34"/>
      <c r="B12148" s="35"/>
      <c r="C12148" s="36"/>
      <c r="D12148" s="37"/>
      <c r="E12148" s="36"/>
      <c r="F12148" s="42"/>
      <c r="G12148" s="42"/>
      <c r="H12148" s="42"/>
      <c r="AG12148" s="19"/>
    </row>
    <row r="12149" spans="1:33" ht="14.5" x14ac:dyDescent="0.35">
      <c r="A12149" s="34"/>
      <c r="B12149" s="35"/>
      <c r="C12149" s="36"/>
      <c r="D12149" s="37"/>
      <c r="E12149" s="36"/>
      <c r="F12149" s="42"/>
      <c r="G12149" s="42"/>
      <c r="H12149" s="42"/>
      <c r="AG12149" s="19"/>
    </row>
    <row r="12150" spans="1:33" ht="14.5" x14ac:dyDescent="0.35">
      <c r="A12150" s="34"/>
      <c r="B12150" s="35"/>
      <c r="C12150" s="36"/>
      <c r="D12150" s="37"/>
      <c r="E12150" s="36"/>
      <c r="F12150" s="42"/>
      <c r="G12150" s="42"/>
      <c r="H12150" s="42"/>
      <c r="AG12150" s="19"/>
    </row>
    <row r="12151" spans="1:33" ht="14.5" x14ac:dyDescent="0.35">
      <c r="A12151" s="34"/>
      <c r="B12151" s="35"/>
      <c r="C12151" s="36"/>
      <c r="D12151" s="37"/>
      <c r="E12151" s="36"/>
      <c r="F12151" s="42"/>
      <c r="G12151" s="42"/>
      <c r="H12151" s="42"/>
      <c r="AG12151" s="19"/>
    </row>
    <row r="12152" spans="1:33" ht="14.5" x14ac:dyDescent="0.35">
      <c r="A12152" s="34"/>
      <c r="B12152" s="35"/>
      <c r="C12152" s="36"/>
      <c r="D12152" s="37"/>
      <c r="E12152" s="36"/>
      <c r="F12152" s="42"/>
      <c r="G12152" s="42"/>
      <c r="H12152" s="42"/>
      <c r="AG12152" s="19"/>
    </row>
    <row r="12153" spans="1:33" ht="14.5" x14ac:dyDescent="0.35">
      <c r="A12153" s="34"/>
      <c r="B12153" s="35"/>
      <c r="C12153" s="36"/>
      <c r="D12153" s="37"/>
      <c r="E12153" s="36"/>
      <c r="F12153" s="42"/>
      <c r="G12153" s="42"/>
      <c r="H12153" s="42"/>
      <c r="AG12153" s="19"/>
    </row>
    <row r="12154" spans="1:33" ht="14.5" x14ac:dyDescent="0.35">
      <c r="A12154" s="34"/>
      <c r="B12154" s="35"/>
      <c r="C12154" s="36"/>
      <c r="D12154" s="37"/>
      <c r="E12154" s="36"/>
      <c r="F12154" s="42"/>
      <c r="G12154" s="42"/>
      <c r="H12154" s="42"/>
      <c r="AG12154" s="19"/>
    </row>
    <row r="12155" spans="1:33" ht="14.5" x14ac:dyDescent="0.35">
      <c r="A12155" s="34"/>
      <c r="B12155" s="35"/>
      <c r="C12155" s="36"/>
      <c r="D12155" s="37"/>
      <c r="E12155" s="36"/>
      <c r="F12155" s="42"/>
      <c r="G12155" s="42"/>
      <c r="H12155" s="42"/>
      <c r="AG12155" s="19"/>
    </row>
    <row r="12156" spans="1:33" ht="14.5" x14ac:dyDescent="0.35">
      <c r="A12156" s="34"/>
      <c r="B12156" s="35"/>
      <c r="C12156" s="36"/>
      <c r="D12156" s="37"/>
      <c r="E12156" s="36"/>
      <c r="F12156" s="42"/>
      <c r="G12156" s="42"/>
      <c r="H12156" s="42"/>
      <c r="AG12156" s="19"/>
    </row>
    <row r="12157" spans="1:33" ht="14.5" x14ac:dyDescent="0.35">
      <c r="A12157" s="34"/>
      <c r="B12157" s="35"/>
      <c r="C12157" s="36"/>
      <c r="D12157" s="37"/>
      <c r="E12157" s="36"/>
      <c r="F12157" s="42"/>
      <c r="G12157" s="42"/>
      <c r="H12157" s="42"/>
      <c r="AG12157" s="19"/>
    </row>
    <row r="12158" spans="1:33" ht="14.5" x14ac:dyDescent="0.35">
      <c r="A12158" s="34"/>
      <c r="B12158" s="35"/>
      <c r="C12158" s="36"/>
      <c r="D12158" s="37"/>
      <c r="E12158" s="36"/>
      <c r="F12158" s="42"/>
      <c r="G12158" s="42"/>
      <c r="H12158" s="42"/>
      <c r="AG12158" s="19"/>
    </row>
    <row r="12159" spans="1:33" ht="14.5" x14ac:dyDescent="0.35">
      <c r="A12159" s="34"/>
      <c r="B12159" s="35"/>
      <c r="C12159" s="36"/>
      <c r="D12159" s="37"/>
      <c r="E12159" s="36"/>
      <c r="F12159" s="42"/>
      <c r="G12159" s="42"/>
      <c r="H12159" s="42"/>
      <c r="AG12159" s="19"/>
    </row>
    <row r="12160" spans="1:33" ht="14.5" x14ac:dyDescent="0.35">
      <c r="A12160" s="34"/>
      <c r="B12160" s="35"/>
      <c r="C12160" s="36"/>
      <c r="D12160" s="37"/>
      <c r="E12160" s="36"/>
      <c r="F12160" s="42"/>
      <c r="G12160" s="42"/>
      <c r="H12160" s="42"/>
      <c r="AG12160" s="19"/>
    </row>
    <row r="12161" spans="1:33" ht="14.5" x14ac:dyDescent="0.35">
      <c r="A12161" s="34"/>
      <c r="B12161" s="35"/>
      <c r="C12161" s="36"/>
      <c r="D12161" s="37"/>
      <c r="E12161" s="36"/>
      <c r="F12161" s="42"/>
      <c r="G12161" s="42"/>
      <c r="H12161" s="42"/>
      <c r="AG12161" s="19"/>
    </row>
    <row r="12162" spans="1:33" ht="14.5" x14ac:dyDescent="0.35">
      <c r="A12162" s="34"/>
      <c r="B12162" s="35"/>
      <c r="C12162" s="36"/>
      <c r="D12162" s="37"/>
      <c r="E12162" s="36"/>
      <c r="F12162" s="42"/>
      <c r="G12162" s="42"/>
      <c r="H12162" s="42"/>
      <c r="AG12162" s="19"/>
    </row>
    <row r="12163" spans="1:33" ht="14.5" x14ac:dyDescent="0.35">
      <c r="A12163" s="34"/>
      <c r="B12163" s="35"/>
      <c r="C12163" s="36"/>
      <c r="D12163" s="37"/>
      <c r="E12163" s="36"/>
      <c r="F12163" s="42"/>
      <c r="G12163" s="42"/>
      <c r="H12163" s="42"/>
      <c r="AG12163" s="19"/>
    </row>
    <row r="12164" spans="1:33" ht="14.5" x14ac:dyDescent="0.35">
      <c r="A12164" s="34"/>
      <c r="B12164" s="35"/>
      <c r="C12164" s="36"/>
      <c r="D12164" s="37"/>
      <c r="E12164" s="36"/>
      <c r="F12164" s="42"/>
      <c r="G12164" s="42"/>
      <c r="H12164" s="42"/>
      <c r="AG12164" s="19"/>
    </row>
    <row r="12165" spans="1:33" ht="14.5" x14ac:dyDescent="0.35">
      <c r="A12165" s="34"/>
      <c r="B12165" s="35"/>
      <c r="C12165" s="36"/>
      <c r="D12165" s="37"/>
      <c r="E12165" s="36"/>
      <c r="F12165" s="42"/>
      <c r="G12165" s="42"/>
      <c r="H12165" s="42"/>
      <c r="AG12165" s="19"/>
    </row>
    <row r="12166" spans="1:33" ht="14.5" x14ac:dyDescent="0.35">
      <c r="A12166" s="34"/>
      <c r="B12166" s="35"/>
      <c r="C12166" s="36"/>
      <c r="D12166" s="37"/>
      <c r="E12166" s="36"/>
      <c r="F12166" s="42"/>
      <c r="G12166" s="42"/>
      <c r="H12166" s="42"/>
      <c r="AG12166" s="19"/>
    </row>
    <row r="12167" spans="1:33" ht="14.5" x14ac:dyDescent="0.35">
      <c r="A12167" s="34"/>
      <c r="B12167" s="35"/>
      <c r="C12167" s="36"/>
      <c r="D12167" s="37"/>
      <c r="E12167" s="36"/>
      <c r="F12167" s="42"/>
      <c r="G12167" s="42"/>
      <c r="H12167" s="42"/>
      <c r="AG12167" s="19"/>
    </row>
    <row r="12168" spans="1:33" ht="14.5" x14ac:dyDescent="0.35">
      <c r="A12168" s="34"/>
      <c r="B12168" s="35"/>
      <c r="C12168" s="36"/>
      <c r="D12168" s="37"/>
      <c r="E12168" s="36"/>
      <c r="F12168" s="42"/>
      <c r="G12168" s="42"/>
      <c r="H12168" s="42"/>
      <c r="AG12168" s="19"/>
    </row>
    <row r="12169" spans="1:33" ht="14.5" x14ac:dyDescent="0.35">
      <c r="A12169" s="34"/>
      <c r="B12169" s="35"/>
      <c r="C12169" s="36"/>
      <c r="D12169" s="37"/>
      <c r="E12169" s="36"/>
      <c r="F12169" s="42"/>
      <c r="G12169" s="42"/>
      <c r="H12169" s="42"/>
      <c r="AG12169" s="19"/>
    </row>
    <row r="12170" spans="1:33" ht="14.5" x14ac:dyDescent="0.35">
      <c r="A12170" s="34"/>
      <c r="B12170" s="35"/>
      <c r="C12170" s="36"/>
      <c r="D12170" s="37"/>
      <c r="E12170" s="36"/>
      <c r="F12170" s="42"/>
      <c r="G12170" s="42"/>
      <c r="H12170" s="42"/>
      <c r="AG12170" s="19"/>
    </row>
    <row r="12171" spans="1:33" ht="14.5" x14ac:dyDescent="0.35">
      <c r="A12171" s="34"/>
      <c r="B12171" s="35"/>
      <c r="C12171" s="36"/>
      <c r="D12171" s="37"/>
      <c r="E12171" s="36"/>
      <c r="F12171" s="42"/>
      <c r="G12171" s="42"/>
      <c r="H12171" s="42"/>
      <c r="AG12171" s="19"/>
    </row>
    <row r="12172" spans="1:33" ht="14.5" x14ac:dyDescent="0.35">
      <c r="A12172" s="34"/>
      <c r="B12172" s="35"/>
      <c r="C12172" s="36"/>
      <c r="D12172" s="37"/>
      <c r="E12172" s="36"/>
      <c r="F12172" s="42"/>
      <c r="G12172" s="42"/>
      <c r="H12172" s="42"/>
      <c r="AG12172" s="19"/>
    </row>
    <row r="12173" spans="1:33" ht="14.5" x14ac:dyDescent="0.35">
      <c r="A12173" s="34"/>
      <c r="B12173" s="35"/>
      <c r="C12173" s="36"/>
      <c r="D12173" s="37"/>
      <c r="E12173" s="36"/>
      <c r="F12173" s="42"/>
      <c r="G12173" s="42"/>
      <c r="H12173" s="42"/>
      <c r="AG12173" s="19"/>
    </row>
    <row r="12174" spans="1:33" ht="14.5" x14ac:dyDescent="0.35">
      <c r="A12174" s="34"/>
      <c r="B12174" s="35"/>
      <c r="C12174" s="36"/>
      <c r="D12174" s="37"/>
      <c r="E12174" s="36"/>
      <c r="F12174" s="42"/>
      <c r="G12174" s="42"/>
      <c r="H12174" s="42"/>
      <c r="AG12174" s="19"/>
    </row>
    <row r="12175" spans="1:33" ht="14.5" x14ac:dyDescent="0.35">
      <c r="A12175" s="34"/>
      <c r="B12175" s="35"/>
      <c r="C12175" s="36"/>
      <c r="D12175" s="37"/>
      <c r="E12175" s="36"/>
      <c r="F12175" s="42"/>
      <c r="G12175" s="42"/>
      <c r="H12175" s="42"/>
      <c r="AG12175" s="19"/>
    </row>
    <row r="12176" spans="1:33" ht="14.5" x14ac:dyDescent="0.35">
      <c r="A12176" s="34"/>
      <c r="B12176" s="35"/>
      <c r="C12176" s="36"/>
      <c r="D12176" s="37"/>
      <c r="E12176" s="36"/>
      <c r="F12176" s="42"/>
      <c r="G12176" s="42"/>
      <c r="H12176" s="42"/>
      <c r="AG12176" s="19"/>
    </row>
    <row r="12177" spans="1:33" ht="14.5" x14ac:dyDescent="0.35">
      <c r="A12177" s="34"/>
      <c r="B12177" s="35"/>
      <c r="C12177" s="36"/>
      <c r="D12177" s="37"/>
      <c r="E12177" s="36"/>
      <c r="F12177" s="42"/>
      <c r="G12177" s="42"/>
      <c r="H12177" s="42"/>
      <c r="AG12177" s="19"/>
    </row>
    <row r="12178" spans="1:33" ht="14.5" x14ac:dyDescent="0.35">
      <c r="A12178" s="34"/>
      <c r="B12178" s="35"/>
      <c r="C12178" s="36"/>
      <c r="D12178" s="37"/>
      <c r="E12178" s="36"/>
      <c r="F12178" s="42"/>
      <c r="G12178" s="42"/>
      <c r="H12178" s="42"/>
      <c r="AG12178" s="19"/>
    </row>
    <row r="12179" spans="1:33" ht="14.5" x14ac:dyDescent="0.35">
      <c r="A12179" s="34"/>
      <c r="B12179" s="35"/>
      <c r="C12179" s="36"/>
      <c r="D12179" s="37"/>
      <c r="E12179" s="36"/>
      <c r="F12179" s="42"/>
      <c r="G12179" s="42"/>
      <c r="H12179" s="42"/>
      <c r="AG12179" s="19"/>
    </row>
    <row r="12180" spans="1:33" ht="14.5" x14ac:dyDescent="0.35">
      <c r="A12180" s="34"/>
      <c r="B12180" s="35"/>
      <c r="C12180" s="36"/>
      <c r="D12180" s="37"/>
      <c r="E12180" s="36"/>
      <c r="F12180" s="42"/>
      <c r="G12180" s="42"/>
      <c r="H12180" s="42"/>
      <c r="AG12180" s="19"/>
    </row>
    <row r="12181" spans="1:33" ht="14.5" x14ac:dyDescent="0.35">
      <c r="A12181" s="34"/>
      <c r="B12181" s="35"/>
      <c r="C12181" s="36"/>
      <c r="D12181" s="37"/>
      <c r="E12181" s="36"/>
      <c r="F12181" s="42"/>
      <c r="G12181" s="42"/>
      <c r="H12181" s="42"/>
      <c r="AG12181" s="19"/>
    </row>
    <row r="12182" spans="1:33" ht="14.5" x14ac:dyDescent="0.35">
      <c r="A12182" s="34"/>
      <c r="B12182" s="35"/>
      <c r="C12182" s="36"/>
      <c r="D12182" s="37"/>
      <c r="E12182" s="36"/>
      <c r="F12182" s="42"/>
      <c r="G12182" s="42"/>
      <c r="H12182" s="42"/>
      <c r="AG12182" s="19"/>
    </row>
    <row r="12183" spans="1:33" ht="14.5" x14ac:dyDescent="0.35">
      <c r="A12183" s="34"/>
      <c r="B12183" s="35"/>
      <c r="C12183" s="36"/>
      <c r="D12183" s="37"/>
      <c r="E12183" s="36"/>
      <c r="F12183" s="42"/>
      <c r="G12183" s="42"/>
      <c r="H12183" s="42"/>
      <c r="AG12183" s="19"/>
    </row>
    <row r="12184" spans="1:33" ht="14.5" x14ac:dyDescent="0.35">
      <c r="A12184" s="34"/>
      <c r="B12184" s="35"/>
      <c r="C12184" s="36"/>
      <c r="D12184" s="37"/>
      <c r="E12184" s="36"/>
      <c r="F12184" s="42"/>
      <c r="G12184" s="42"/>
      <c r="H12184" s="42"/>
      <c r="AG12184" s="19"/>
    </row>
    <row r="12185" spans="1:33" ht="14.5" x14ac:dyDescent="0.35">
      <c r="A12185" s="34"/>
      <c r="B12185" s="35"/>
      <c r="C12185" s="36"/>
      <c r="D12185" s="37"/>
      <c r="E12185" s="36"/>
      <c r="F12185" s="42"/>
      <c r="G12185" s="42"/>
      <c r="H12185" s="42"/>
      <c r="AG12185" s="19"/>
    </row>
    <row r="12186" spans="1:33" ht="14.5" x14ac:dyDescent="0.35">
      <c r="A12186" s="34"/>
      <c r="B12186" s="35"/>
      <c r="C12186" s="36"/>
      <c r="D12186" s="37"/>
      <c r="E12186" s="36"/>
      <c r="F12186" s="42"/>
      <c r="G12186" s="42"/>
      <c r="H12186" s="42"/>
      <c r="AG12186" s="19"/>
    </row>
    <row r="12187" spans="1:33" ht="14.5" x14ac:dyDescent="0.35">
      <c r="A12187" s="34"/>
      <c r="B12187" s="35"/>
      <c r="C12187" s="36"/>
      <c r="D12187" s="37"/>
      <c r="E12187" s="36"/>
      <c r="F12187" s="42"/>
      <c r="G12187" s="42"/>
      <c r="H12187" s="42"/>
      <c r="AG12187" s="19"/>
    </row>
    <row r="12188" spans="1:33" ht="14.5" x14ac:dyDescent="0.35">
      <c r="A12188" s="34"/>
      <c r="B12188" s="35"/>
      <c r="C12188" s="36"/>
      <c r="D12188" s="37"/>
      <c r="E12188" s="36"/>
      <c r="F12188" s="42"/>
      <c r="G12188" s="42"/>
      <c r="H12188" s="42"/>
      <c r="AG12188" s="19"/>
    </row>
    <row r="12189" spans="1:33" ht="14.5" x14ac:dyDescent="0.35">
      <c r="A12189" s="34"/>
      <c r="B12189" s="35"/>
      <c r="C12189" s="36"/>
      <c r="D12189" s="37"/>
      <c r="E12189" s="36"/>
      <c r="F12189" s="42"/>
      <c r="G12189" s="42"/>
      <c r="H12189" s="42"/>
      <c r="AG12189" s="19"/>
    </row>
    <row r="12190" spans="1:33" ht="14.5" x14ac:dyDescent="0.35">
      <c r="A12190" s="34"/>
      <c r="B12190" s="35"/>
      <c r="C12190" s="36"/>
      <c r="D12190" s="37"/>
      <c r="E12190" s="36"/>
      <c r="F12190" s="42"/>
      <c r="G12190" s="42"/>
      <c r="H12190" s="42"/>
      <c r="AG12190" s="19"/>
    </row>
    <row r="12191" spans="1:33" ht="14.5" x14ac:dyDescent="0.35">
      <c r="A12191" s="34"/>
      <c r="B12191" s="35"/>
      <c r="C12191" s="36"/>
      <c r="D12191" s="37"/>
      <c r="E12191" s="36"/>
      <c r="F12191" s="42"/>
      <c r="G12191" s="42"/>
      <c r="H12191" s="42"/>
      <c r="AG12191" s="19"/>
    </row>
    <row r="12192" spans="1:33" ht="14.5" x14ac:dyDescent="0.35">
      <c r="A12192" s="34"/>
      <c r="B12192" s="35"/>
      <c r="C12192" s="36"/>
      <c r="D12192" s="37"/>
      <c r="E12192" s="36"/>
      <c r="F12192" s="42"/>
      <c r="G12192" s="42"/>
      <c r="H12192" s="42"/>
      <c r="AG12192" s="19"/>
    </row>
    <row r="12193" spans="1:33" ht="14.5" x14ac:dyDescent="0.35">
      <c r="A12193" s="34"/>
      <c r="B12193" s="35"/>
      <c r="C12193" s="36"/>
      <c r="D12193" s="37"/>
      <c r="E12193" s="36"/>
      <c r="F12193" s="42"/>
      <c r="G12193" s="42"/>
      <c r="H12193" s="42"/>
      <c r="AG12193" s="19"/>
    </row>
    <row r="12194" spans="1:33" ht="14.5" x14ac:dyDescent="0.35">
      <c r="A12194" s="34"/>
      <c r="B12194" s="35"/>
      <c r="C12194" s="36"/>
      <c r="D12194" s="37"/>
      <c r="E12194" s="36"/>
      <c r="F12194" s="42"/>
      <c r="G12194" s="42"/>
      <c r="H12194" s="42"/>
      <c r="AG12194" s="19"/>
    </row>
    <row r="12195" spans="1:33" ht="14.5" x14ac:dyDescent="0.35">
      <c r="A12195" s="34"/>
      <c r="B12195" s="35"/>
      <c r="C12195" s="36"/>
      <c r="D12195" s="37"/>
      <c r="E12195" s="36"/>
      <c r="F12195" s="42"/>
      <c r="G12195" s="42"/>
      <c r="H12195" s="42"/>
      <c r="AG12195" s="19"/>
    </row>
    <row r="12196" spans="1:33" ht="14.5" x14ac:dyDescent="0.35">
      <c r="A12196" s="34"/>
      <c r="B12196" s="35"/>
      <c r="C12196" s="36"/>
      <c r="D12196" s="37"/>
      <c r="E12196" s="36"/>
      <c r="F12196" s="42"/>
      <c r="G12196" s="42"/>
      <c r="H12196" s="42"/>
      <c r="AG12196" s="19"/>
    </row>
    <row r="12197" spans="1:33" ht="14.5" x14ac:dyDescent="0.35">
      <c r="A12197" s="34"/>
      <c r="B12197" s="35"/>
      <c r="C12197" s="36"/>
      <c r="D12197" s="37"/>
      <c r="E12197" s="36"/>
      <c r="F12197" s="42"/>
      <c r="G12197" s="42"/>
      <c r="H12197" s="42"/>
      <c r="AG12197" s="19"/>
    </row>
    <row r="12198" spans="1:33" ht="14.5" x14ac:dyDescent="0.35">
      <c r="A12198" s="34"/>
      <c r="B12198" s="35"/>
      <c r="C12198" s="36"/>
      <c r="D12198" s="37"/>
      <c r="E12198" s="36"/>
      <c r="F12198" s="42"/>
      <c r="G12198" s="42"/>
      <c r="H12198" s="42"/>
      <c r="AG12198" s="19"/>
    </row>
    <row r="12199" spans="1:33" ht="14.5" x14ac:dyDescent="0.35">
      <c r="A12199" s="34"/>
      <c r="B12199" s="35"/>
      <c r="C12199" s="36"/>
      <c r="D12199" s="37"/>
      <c r="E12199" s="36"/>
      <c r="F12199" s="42"/>
      <c r="G12199" s="42"/>
      <c r="H12199" s="42"/>
      <c r="AG12199" s="19"/>
    </row>
    <row r="12200" spans="1:33" ht="14.5" x14ac:dyDescent="0.35">
      <c r="A12200" s="34"/>
      <c r="B12200" s="35"/>
      <c r="C12200" s="36"/>
      <c r="D12200" s="37"/>
      <c r="E12200" s="36"/>
      <c r="F12200" s="42"/>
      <c r="G12200" s="42"/>
      <c r="H12200" s="42"/>
      <c r="AG12200" s="19"/>
    </row>
    <row r="12201" spans="1:33" ht="14.5" x14ac:dyDescent="0.35">
      <c r="A12201" s="34"/>
      <c r="B12201" s="35"/>
      <c r="C12201" s="36"/>
      <c r="D12201" s="37"/>
      <c r="E12201" s="36"/>
      <c r="F12201" s="42"/>
      <c r="G12201" s="42"/>
      <c r="H12201" s="42"/>
      <c r="AG12201" s="19"/>
    </row>
    <row r="12202" spans="1:33" ht="14.5" x14ac:dyDescent="0.35">
      <c r="A12202" s="34"/>
      <c r="B12202" s="35"/>
      <c r="C12202" s="36"/>
      <c r="D12202" s="37"/>
      <c r="E12202" s="36"/>
      <c r="F12202" s="42"/>
      <c r="G12202" s="42"/>
      <c r="H12202" s="42"/>
      <c r="AG12202" s="19"/>
    </row>
    <row r="12203" spans="1:33" ht="14.5" x14ac:dyDescent="0.35">
      <c r="A12203" s="34"/>
      <c r="B12203" s="35"/>
      <c r="C12203" s="36"/>
      <c r="D12203" s="37"/>
      <c r="E12203" s="36"/>
      <c r="F12203" s="42"/>
      <c r="G12203" s="42"/>
      <c r="H12203" s="42"/>
      <c r="AG12203" s="19"/>
    </row>
    <row r="12204" spans="1:33" ht="14.5" x14ac:dyDescent="0.35">
      <c r="A12204" s="34"/>
      <c r="B12204" s="35"/>
      <c r="C12204" s="36"/>
      <c r="D12204" s="37"/>
      <c r="E12204" s="36"/>
      <c r="F12204" s="42"/>
      <c r="G12204" s="42"/>
      <c r="H12204" s="42"/>
      <c r="AG12204" s="19"/>
    </row>
    <row r="12205" spans="1:33" ht="14.5" x14ac:dyDescent="0.35">
      <c r="A12205" s="34"/>
      <c r="B12205" s="35"/>
      <c r="C12205" s="36"/>
      <c r="D12205" s="37"/>
      <c r="E12205" s="36"/>
      <c r="F12205" s="42"/>
      <c r="G12205" s="42"/>
      <c r="H12205" s="42"/>
      <c r="AG12205" s="19"/>
    </row>
    <row r="12206" spans="1:33" ht="14.5" x14ac:dyDescent="0.35">
      <c r="A12206" s="34"/>
      <c r="B12206" s="35"/>
      <c r="C12206" s="36"/>
      <c r="D12206" s="37"/>
      <c r="E12206" s="36"/>
      <c r="F12206" s="42"/>
      <c r="G12206" s="42"/>
      <c r="H12206" s="42"/>
      <c r="AG12206" s="19"/>
    </row>
    <row r="12207" spans="1:33" ht="14.5" x14ac:dyDescent="0.35">
      <c r="A12207" s="34"/>
      <c r="B12207" s="35"/>
      <c r="C12207" s="36"/>
      <c r="D12207" s="37"/>
      <c r="E12207" s="36"/>
      <c r="F12207" s="42"/>
      <c r="G12207" s="42"/>
      <c r="H12207" s="42"/>
      <c r="AG12207" s="19"/>
    </row>
    <row r="12208" spans="1:33" ht="14.5" x14ac:dyDescent="0.35">
      <c r="A12208" s="34"/>
      <c r="B12208" s="35"/>
      <c r="C12208" s="36"/>
      <c r="D12208" s="37"/>
      <c r="E12208" s="36"/>
      <c r="F12208" s="42"/>
      <c r="G12208" s="42"/>
      <c r="H12208" s="42"/>
      <c r="AG12208" s="19"/>
    </row>
    <row r="12209" spans="1:33" ht="14.5" x14ac:dyDescent="0.35">
      <c r="A12209" s="34"/>
      <c r="B12209" s="35"/>
      <c r="C12209" s="36"/>
      <c r="D12209" s="37"/>
      <c r="E12209" s="36"/>
      <c r="F12209" s="42"/>
      <c r="G12209" s="42"/>
      <c r="H12209" s="42"/>
      <c r="AG12209" s="19"/>
    </row>
    <row r="12210" spans="1:33" ht="14.5" x14ac:dyDescent="0.35">
      <c r="A12210" s="34"/>
      <c r="B12210" s="35"/>
      <c r="C12210" s="36"/>
      <c r="D12210" s="37"/>
      <c r="E12210" s="36"/>
      <c r="F12210" s="42"/>
      <c r="G12210" s="42"/>
      <c r="H12210" s="42"/>
      <c r="AG12210" s="19"/>
    </row>
    <row r="12211" spans="1:33" ht="14.5" x14ac:dyDescent="0.35">
      <c r="A12211" s="34"/>
      <c r="B12211" s="35"/>
      <c r="C12211" s="36"/>
      <c r="D12211" s="37"/>
      <c r="E12211" s="36"/>
      <c r="F12211" s="42"/>
      <c r="G12211" s="42"/>
      <c r="H12211" s="42"/>
      <c r="AG12211" s="19"/>
    </row>
    <row r="12212" spans="1:33" ht="14.5" x14ac:dyDescent="0.35">
      <c r="A12212" s="34"/>
      <c r="B12212" s="35"/>
      <c r="C12212" s="36"/>
      <c r="D12212" s="37"/>
      <c r="E12212" s="36"/>
      <c r="F12212" s="42"/>
      <c r="G12212" s="42"/>
      <c r="H12212" s="42"/>
      <c r="AG12212" s="19"/>
    </row>
    <row r="12213" spans="1:33" ht="14.5" x14ac:dyDescent="0.35">
      <c r="A12213" s="34"/>
      <c r="B12213" s="35"/>
      <c r="C12213" s="36"/>
      <c r="D12213" s="37"/>
      <c r="E12213" s="36"/>
      <c r="F12213" s="42"/>
      <c r="G12213" s="42"/>
      <c r="H12213" s="42"/>
      <c r="AG12213" s="19"/>
    </row>
    <row r="12214" spans="1:33" ht="14.5" x14ac:dyDescent="0.35">
      <c r="A12214" s="34"/>
      <c r="B12214" s="35"/>
      <c r="C12214" s="36"/>
      <c r="D12214" s="37"/>
      <c r="E12214" s="36"/>
      <c r="F12214" s="42"/>
      <c r="G12214" s="42"/>
      <c r="H12214" s="42"/>
      <c r="AG12214" s="19"/>
    </row>
    <row r="12215" spans="1:33" ht="14.5" x14ac:dyDescent="0.35">
      <c r="A12215" s="34"/>
      <c r="B12215" s="35"/>
      <c r="C12215" s="36"/>
      <c r="D12215" s="37"/>
      <c r="E12215" s="36"/>
      <c r="F12215" s="42"/>
      <c r="G12215" s="42"/>
      <c r="H12215" s="42"/>
      <c r="AG12215" s="19"/>
    </row>
    <row r="12216" spans="1:33" ht="14.5" x14ac:dyDescent="0.35">
      <c r="A12216" s="34"/>
      <c r="B12216" s="35"/>
      <c r="C12216" s="36"/>
      <c r="D12216" s="37"/>
      <c r="E12216" s="36"/>
      <c r="F12216" s="42"/>
      <c r="G12216" s="42"/>
      <c r="H12216" s="42"/>
      <c r="AG12216" s="19"/>
    </row>
    <row r="12217" spans="1:33" ht="14.5" x14ac:dyDescent="0.35">
      <c r="A12217" s="34"/>
      <c r="B12217" s="35"/>
      <c r="C12217" s="36"/>
      <c r="D12217" s="37"/>
      <c r="E12217" s="36"/>
      <c r="F12217" s="42"/>
      <c r="G12217" s="42"/>
      <c r="H12217" s="42"/>
      <c r="AG12217" s="19"/>
    </row>
    <row r="12218" spans="1:33" ht="14.5" x14ac:dyDescent="0.35">
      <c r="A12218" s="34"/>
      <c r="B12218" s="35"/>
      <c r="C12218" s="36"/>
      <c r="D12218" s="37"/>
      <c r="E12218" s="36"/>
      <c r="F12218" s="42"/>
      <c r="G12218" s="42"/>
      <c r="H12218" s="42"/>
      <c r="AG12218" s="19"/>
    </row>
    <row r="12219" spans="1:33" ht="14.5" x14ac:dyDescent="0.35">
      <c r="A12219" s="34"/>
      <c r="B12219" s="35"/>
      <c r="C12219" s="36"/>
      <c r="D12219" s="37"/>
      <c r="E12219" s="36"/>
      <c r="F12219" s="42"/>
      <c r="G12219" s="42"/>
      <c r="H12219" s="42"/>
      <c r="AG12219" s="19"/>
    </row>
    <row r="12220" spans="1:33" ht="14.5" x14ac:dyDescent="0.35">
      <c r="A12220" s="34"/>
      <c r="B12220" s="35"/>
      <c r="C12220" s="36"/>
      <c r="D12220" s="37"/>
      <c r="E12220" s="36"/>
      <c r="F12220" s="42"/>
      <c r="G12220" s="42"/>
      <c r="H12220" s="42"/>
      <c r="AG12220" s="19"/>
    </row>
    <row r="12221" spans="1:33" ht="14.5" x14ac:dyDescent="0.35">
      <c r="A12221" s="34"/>
      <c r="B12221" s="35"/>
      <c r="C12221" s="36"/>
      <c r="D12221" s="37"/>
      <c r="E12221" s="36"/>
      <c r="F12221" s="42"/>
      <c r="G12221" s="42"/>
      <c r="H12221" s="42"/>
      <c r="AG12221" s="19"/>
    </row>
    <row r="12222" spans="1:33" ht="14.5" x14ac:dyDescent="0.35">
      <c r="A12222" s="34"/>
      <c r="B12222" s="35"/>
      <c r="C12222" s="36"/>
      <c r="D12222" s="37"/>
      <c r="E12222" s="36"/>
      <c r="F12222" s="42"/>
      <c r="G12222" s="42"/>
      <c r="H12222" s="42"/>
      <c r="AG12222" s="19"/>
    </row>
    <row r="12223" spans="1:33" ht="14.5" x14ac:dyDescent="0.35">
      <c r="A12223" s="34"/>
      <c r="B12223" s="35"/>
      <c r="C12223" s="36"/>
      <c r="D12223" s="37"/>
      <c r="E12223" s="36"/>
      <c r="F12223" s="42"/>
      <c r="G12223" s="42"/>
      <c r="H12223" s="42"/>
      <c r="AG12223" s="19"/>
    </row>
    <row r="12224" spans="1:33" ht="14.5" x14ac:dyDescent="0.35">
      <c r="A12224" s="34"/>
      <c r="B12224" s="35"/>
      <c r="C12224" s="36"/>
      <c r="D12224" s="37"/>
      <c r="E12224" s="36"/>
      <c r="F12224" s="42"/>
      <c r="G12224" s="42"/>
      <c r="H12224" s="42"/>
      <c r="AG12224" s="19"/>
    </row>
    <row r="12225" spans="1:33" ht="14.5" x14ac:dyDescent="0.35">
      <c r="A12225" s="34"/>
      <c r="B12225" s="35"/>
      <c r="C12225" s="36"/>
      <c r="D12225" s="37"/>
      <c r="E12225" s="36"/>
      <c r="F12225" s="42"/>
      <c r="G12225" s="42"/>
      <c r="H12225" s="42"/>
      <c r="AG12225" s="19"/>
    </row>
    <row r="12226" spans="1:33" ht="14.5" x14ac:dyDescent="0.35">
      <c r="A12226" s="34"/>
      <c r="B12226" s="35"/>
      <c r="C12226" s="36"/>
      <c r="D12226" s="37"/>
      <c r="E12226" s="36"/>
      <c r="F12226" s="42"/>
      <c r="G12226" s="42"/>
      <c r="H12226" s="42"/>
      <c r="AG12226" s="19"/>
    </row>
    <row r="12227" spans="1:33" ht="14.5" x14ac:dyDescent="0.35">
      <c r="A12227" s="34"/>
      <c r="B12227" s="35"/>
      <c r="C12227" s="36"/>
      <c r="D12227" s="37"/>
      <c r="E12227" s="36"/>
      <c r="F12227" s="42"/>
      <c r="G12227" s="42"/>
      <c r="H12227" s="42"/>
      <c r="AG12227" s="19"/>
    </row>
    <row r="12228" spans="1:33" ht="14.5" x14ac:dyDescent="0.35">
      <c r="A12228" s="34"/>
      <c r="B12228" s="35"/>
      <c r="C12228" s="36"/>
      <c r="D12228" s="37"/>
      <c r="E12228" s="36"/>
      <c r="F12228" s="42"/>
      <c r="G12228" s="42"/>
      <c r="H12228" s="42"/>
      <c r="AG12228" s="19"/>
    </row>
    <row r="12229" spans="1:33" ht="14.5" x14ac:dyDescent="0.35">
      <c r="A12229" s="34"/>
      <c r="B12229" s="35"/>
      <c r="C12229" s="36"/>
      <c r="D12229" s="37"/>
      <c r="E12229" s="36"/>
      <c r="F12229" s="42"/>
      <c r="G12229" s="42"/>
      <c r="H12229" s="42"/>
      <c r="AG12229" s="19"/>
    </row>
    <row r="12230" spans="1:33" ht="14.5" x14ac:dyDescent="0.35">
      <c r="A12230" s="34"/>
      <c r="B12230" s="35"/>
      <c r="C12230" s="36"/>
      <c r="D12230" s="37"/>
      <c r="E12230" s="36"/>
      <c r="F12230" s="42"/>
      <c r="G12230" s="42"/>
      <c r="H12230" s="42"/>
      <c r="AG12230" s="19"/>
    </row>
    <row r="12231" spans="1:33" ht="14.5" x14ac:dyDescent="0.35">
      <c r="A12231" s="34"/>
      <c r="B12231" s="35"/>
      <c r="C12231" s="36"/>
      <c r="D12231" s="37"/>
      <c r="E12231" s="36"/>
      <c r="F12231" s="42"/>
      <c r="G12231" s="42"/>
      <c r="H12231" s="42"/>
      <c r="AG12231" s="19"/>
    </row>
    <row r="12232" spans="1:33" ht="14.5" x14ac:dyDescent="0.35">
      <c r="A12232" s="34"/>
      <c r="B12232" s="35"/>
      <c r="C12232" s="36"/>
      <c r="D12232" s="37"/>
      <c r="E12232" s="36"/>
      <c r="F12232" s="42"/>
      <c r="G12232" s="42"/>
      <c r="H12232" s="42"/>
      <c r="AG12232" s="19"/>
    </row>
    <row r="12233" spans="1:33" ht="14.5" x14ac:dyDescent="0.35">
      <c r="A12233" s="34"/>
      <c r="B12233" s="35"/>
      <c r="C12233" s="36"/>
      <c r="D12233" s="37"/>
      <c r="E12233" s="36"/>
      <c r="F12233" s="42"/>
      <c r="G12233" s="42"/>
      <c r="H12233" s="42"/>
      <c r="AG12233" s="19"/>
    </row>
    <row r="12234" spans="1:33" ht="14.5" x14ac:dyDescent="0.35">
      <c r="A12234" s="34"/>
      <c r="B12234" s="35"/>
      <c r="C12234" s="36"/>
      <c r="D12234" s="37"/>
      <c r="E12234" s="36"/>
      <c r="F12234" s="42"/>
      <c r="G12234" s="42"/>
      <c r="H12234" s="42"/>
      <c r="AG12234" s="19"/>
    </row>
    <row r="12235" spans="1:33" ht="14.5" x14ac:dyDescent="0.35">
      <c r="A12235" s="34"/>
      <c r="B12235" s="35"/>
      <c r="C12235" s="36"/>
      <c r="D12235" s="37"/>
      <c r="E12235" s="36"/>
      <c r="F12235" s="42"/>
      <c r="G12235" s="42"/>
      <c r="H12235" s="42"/>
      <c r="AG12235" s="19"/>
    </row>
    <row r="12236" spans="1:33" ht="14.5" x14ac:dyDescent="0.35">
      <c r="A12236" s="34"/>
      <c r="B12236" s="35"/>
      <c r="C12236" s="36"/>
      <c r="D12236" s="37"/>
      <c r="E12236" s="36"/>
      <c r="F12236" s="42"/>
      <c r="G12236" s="42"/>
      <c r="H12236" s="42"/>
      <c r="AG12236" s="19"/>
    </row>
    <row r="12237" spans="1:33" ht="14.5" x14ac:dyDescent="0.35">
      <c r="A12237" s="34"/>
      <c r="B12237" s="35"/>
      <c r="C12237" s="36"/>
      <c r="D12237" s="37"/>
      <c r="E12237" s="36"/>
      <c r="F12237" s="42"/>
      <c r="G12237" s="42"/>
      <c r="H12237" s="42"/>
      <c r="AG12237" s="19"/>
    </row>
    <row r="12238" spans="1:33" ht="14.5" x14ac:dyDescent="0.35">
      <c r="A12238" s="34"/>
      <c r="B12238" s="35"/>
      <c r="C12238" s="36"/>
      <c r="D12238" s="37"/>
      <c r="E12238" s="36"/>
      <c r="F12238" s="42"/>
      <c r="G12238" s="42"/>
      <c r="H12238" s="42"/>
      <c r="AG12238" s="19"/>
    </row>
    <row r="12239" spans="1:33" ht="14.5" x14ac:dyDescent="0.35">
      <c r="A12239" s="34"/>
      <c r="B12239" s="35"/>
      <c r="C12239" s="36"/>
      <c r="D12239" s="37"/>
      <c r="E12239" s="36"/>
      <c r="F12239" s="42"/>
      <c r="G12239" s="42"/>
      <c r="H12239" s="42"/>
      <c r="AG12239" s="19"/>
    </row>
    <row r="12240" spans="1:33" ht="14.5" x14ac:dyDescent="0.35">
      <c r="A12240" s="34"/>
      <c r="B12240" s="35"/>
      <c r="C12240" s="36"/>
      <c r="D12240" s="37"/>
      <c r="E12240" s="36"/>
      <c r="F12240" s="42"/>
      <c r="G12240" s="42"/>
      <c r="H12240" s="42"/>
      <c r="AG12240" s="19"/>
    </row>
    <row r="12241" spans="1:33" ht="14.5" x14ac:dyDescent="0.35">
      <c r="A12241" s="34"/>
      <c r="B12241" s="35"/>
      <c r="C12241" s="36"/>
      <c r="D12241" s="37"/>
      <c r="E12241" s="36"/>
      <c r="F12241" s="42"/>
      <c r="G12241" s="42"/>
      <c r="H12241" s="42"/>
      <c r="AG12241" s="19"/>
    </row>
    <row r="12242" spans="1:33" ht="14.5" x14ac:dyDescent="0.35">
      <c r="A12242" s="34"/>
      <c r="B12242" s="35"/>
      <c r="C12242" s="36"/>
      <c r="D12242" s="37"/>
      <c r="E12242" s="36"/>
      <c r="F12242" s="42"/>
      <c r="G12242" s="42"/>
      <c r="H12242" s="42"/>
      <c r="AG12242" s="19"/>
    </row>
    <row r="12243" spans="1:33" ht="14.5" x14ac:dyDescent="0.35">
      <c r="A12243" s="34"/>
      <c r="B12243" s="35"/>
      <c r="C12243" s="36"/>
      <c r="D12243" s="37"/>
      <c r="E12243" s="36"/>
      <c r="F12243" s="42"/>
      <c r="G12243" s="42"/>
      <c r="H12243" s="42"/>
      <c r="AG12243" s="19"/>
    </row>
    <row r="12244" spans="1:33" ht="14.5" x14ac:dyDescent="0.35">
      <c r="A12244" s="34"/>
      <c r="B12244" s="35"/>
      <c r="C12244" s="36"/>
      <c r="D12244" s="37"/>
      <c r="E12244" s="36"/>
      <c r="F12244" s="42"/>
      <c r="G12244" s="42"/>
      <c r="H12244" s="42"/>
      <c r="AG12244" s="19"/>
    </row>
    <row r="12245" spans="1:33" ht="14.5" x14ac:dyDescent="0.35">
      <c r="A12245" s="34"/>
      <c r="B12245" s="35"/>
      <c r="C12245" s="36"/>
      <c r="D12245" s="37"/>
      <c r="E12245" s="36"/>
      <c r="F12245" s="42"/>
      <c r="G12245" s="42"/>
      <c r="H12245" s="42"/>
      <c r="AG12245" s="19"/>
    </row>
    <row r="12246" spans="1:33" ht="14.5" x14ac:dyDescent="0.35">
      <c r="A12246" s="34"/>
      <c r="B12246" s="35"/>
      <c r="C12246" s="36"/>
      <c r="D12246" s="37"/>
      <c r="E12246" s="36"/>
      <c r="F12246" s="42"/>
      <c r="G12246" s="42"/>
      <c r="H12246" s="42"/>
      <c r="AG12246" s="19"/>
    </row>
    <row r="12247" spans="1:33" ht="14.5" x14ac:dyDescent="0.35">
      <c r="A12247" s="34"/>
      <c r="B12247" s="35"/>
      <c r="C12247" s="36"/>
      <c r="D12247" s="37"/>
      <c r="E12247" s="36"/>
      <c r="F12247" s="42"/>
      <c r="G12247" s="42"/>
      <c r="H12247" s="42"/>
      <c r="AG12247" s="19"/>
    </row>
    <row r="12248" spans="1:33" ht="14.5" x14ac:dyDescent="0.35">
      <c r="A12248" s="34"/>
      <c r="B12248" s="35"/>
      <c r="C12248" s="36"/>
      <c r="D12248" s="37"/>
      <c r="E12248" s="36"/>
      <c r="F12248" s="42"/>
      <c r="G12248" s="42"/>
      <c r="H12248" s="42"/>
      <c r="AG12248" s="19"/>
    </row>
    <row r="12249" spans="1:33" ht="14.5" x14ac:dyDescent="0.35">
      <c r="A12249" s="34"/>
      <c r="B12249" s="35"/>
      <c r="C12249" s="36"/>
      <c r="D12249" s="37"/>
      <c r="E12249" s="36"/>
      <c r="F12249" s="42"/>
      <c r="G12249" s="42"/>
      <c r="H12249" s="42"/>
      <c r="AG12249" s="19"/>
    </row>
    <row r="12250" spans="1:33" ht="14.5" x14ac:dyDescent="0.35">
      <c r="A12250" s="34"/>
      <c r="B12250" s="35"/>
      <c r="C12250" s="36"/>
      <c r="D12250" s="37"/>
      <c r="E12250" s="36"/>
      <c r="F12250" s="42"/>
      <c r="G12250" s="42"/>
      <c r="H12250" s="42"/>
      <c r="AG12250" s="19"/>
    </row>
    <row r="12251" spans="1:33" ht="14.5" x14ac:dyDescent="0.35">
      <c r="A12251" s="34"/>
      <c r="B12251" s="35"/>
      <c r="C12251" s="36"/>
      <c r="D12251" s="37"/>
      <c r="E12251" s="36"/>
      <c r="F12251" s="42"/>
      <c r="G12251" s="42"/>
      <c r="H12251" s="42"/>
      <c r="AG12251" s="19"/>
    </row>
    <row r="12252" spans="1:33" ht="14.5" x14ac:dyDescent="0.35">
      <c r="A12252" s="34"/>
      <c r="B12252" s="35"/>
      <c r="C12252" s="36"/>
      <c r="D12252" s="37"/>
      <c r="E12252" s="36"/>
      <c r="F12252" s="42"/>
      <c r="G12252" s="42"/>
      <c r="H12252" s="42"/>
      <c r="AG12252" s="19"/>
    </row>
    <row r="12253" spans="1:33" ht="14.5" x14ac:dyDescent="0.35">
      <c r="A12253" s="34"/>
      <c r="B12253" s="35"/>
      <c r="C12253" s="36"/>
      <c r="D12253" s="37"/>
      <c r="E12253" s="36"/>
      <c r="F12253" s="42"/>
      <c r="G12253" s="42"/>
      <c r="H12253" s="42"/>
      <c r="AG12253" s="19"/>
    </row>
    <row r="12254" spans="1:33" ht="14.5" x14ac:dyDescent="0.35">
      <c r="A12254" s="34"/>
      <c r="B12254" s="35"/>
      <c r="C12254" s="36"/>
      <c r="D12254" s="37"/>
      <c r="E12254" s="36"/>
      <c r="F12254" s="42"/>
      <c r="G12254" s="42"/>
      <c r="H12254" s="42"/>
      <c r="AG12254" s="19"/>
    </row>
    <row r="12255" spans="1:33" ht="14.5" x14ac:dyDescent="0.35">
      <c r="A12255" s="34"/>
      <c r="B12255" s="35"/>
      <c r="C12255" s="36"/>
      <c r="D12255" s="37"/>
      <c r="E12255" s="36"/>
      <c r="F12255" s="42"/>
      <c r="G12255" s="42"/>
      <c r="H12255" s="42"/>
      <c r="AG12255" s="19"/>
    </row>
    <row r="12256" spans="1:33" ht="14.5" x14ac:dyDescent="0.35">
      <c r="A12256" s="34"/>
      <c r="B12256" s="35"/>
      <c r="C12256" s="36"/>
      <c r="D12256" s="37"/>
      <c r="E12256" s="36"/>
      <c r="F12256" s="42"/>
      <c r="G12256" s="42"/>
      <c r="H12256" s="42"/>
      <c r="AG12256" s="19"/>
    </row>
    <row r="12257" spans="1:33" ht="14.5" x14ac:dyDescent="0.35">
      <c r="A12257" s="34"/>
      <c r="B12257" s="35"/>
      <c r="C12257" s="36"/>
      <c r="D12257" s="37"/>
      <c r="E12257" s="36"/>
      <c r="F12257" s="42"/>
      <c r="G12257" s="42"/>
      <c r="H12257" s="42"/>
      <c r="AG12257" s="19"/>
    </row>
    <row r="12258" spans="1:33" ht="14.5" x14ac:dyDescent="0.35">
      <c r="A12258" s="34"/>
      <c r="B12258" s="35"/>
      <c r="C12258" s="36"/>
      <c r="D12258" s="37"/>
      <c r="E12258" s="36"/>
      <c r="F12258" s="42"/>
      <c r="G12258" s="42"/>
      <c r="H12258" s="42"/>
      <c r="AG12258" s="19"/>
    </row>
    <row r="12259" spans="1:33" ht="14.5" x14ac:dyDescent="0.35">
      <c r="A12259" s="34"/>
      <c r="B12259" s="35"/>
      <c r="C12259" s="36"/>
      <c r="D12259" s="37"/>
      <c r="E12259" s="36"/>
      <c r="F12259" s="42"/>
      <c r="G12259" s="42"/>
      <c r="H12259" s="42"/>
      <c r="AG12259" s="19"/>
    </row>
    <row r="12260" spans="1:33" ht="14.5" x14ac:dyDescent="0.35">
      <c r="A12260" s="34"/>
      <c r="B12260" s="35"/>
      <c r="C12260" s="36"/>
      <c r="D12260" s="37"/>
      <c r="E12260" s="36"/>
      <c r="F12260" s="42"/>
      <c r="G12260" s="42"/>
      <c r="H12260" s="42"/>
      <c r="AG12260" s="19"/>
    </row>
    <row r="12261" spans="1:33" ht="14.5" x14ac:dyDescent="0.35">
      <c r="A12261" s="34"/>
      <c r="B12261" s="35"/>
      <c r="C12261" s="36"/>
      <c r="D12261" s="37"/>
      <c r="E12261" s="36"/>
      <c r="F12261" s="42"/>
      <c r="G12261" s="42"/>
      <c r="H12261" s="42"/>
      <c r="AG12261" s="19"/>
    </row>
    <row r="12262" spans="1:33" ht="14.5" x14ac:dyDescent="0.35">
      <c r="A12262" s="34"/>
      <c r="B12262" s="35"/>
      <c r="C12262" s="36"/>
      <c r="D12262" s="37"/>
      <c r="E12262" s="36"/>
      <c r="F12262" s="42"/>
      <c r="G12262" s="42"/>
      <c r="H12262" s="42"/>
      <c r="AG12262" s="19"/>
    </row>
    <row r="12263" spans="1:33" ht="14.5" x14ac:dyDescent="0.35">
      <c r="A12263" s="34"/>
      <c r="B12263" s="35"/>
      <c r="C12263" s="36"/>
      <c r="D12263" s="37"/>
      <c r="E12263" s="36"/>
      <c r="F12263" s="42"/>
      <c r="G12263" s="42"/>
      <c r="H12263" s="42"/>
      <c r="AG12263" s="19"/>
    </row>
    <row r="12264" spans="1:33" ht="14.5" x14ac:dyDescent="0.35">
      <c r="A12264" s="34"/>
      <c r="B12264" s="35"/>
      <c r="C12264" s="36"/>
      <c r="D12264" s="37"/>
      <c r="E12264" s="36"/>
      <c r="F12264" s="42"/>
      <c r="G12264" s="42"/>
      <c r="H12264" s="42"/>
      <c r="AG12264" s="19"/>
    </row>
    <row r="12265" spans="1:33" ht="14.5" x14ac:dyDescent="0.35">
      <c r="A12265" s="34"/>
      <c r="B12265" s="35"/>
      <c r="C12265" s="36"/>
      <c r="D12265" s="37"/>
      <c r="E12265" s="36"/>
      <c r="F12265" s="42"/>
      <c r="G12265" s="42"/>
      <c r="H12265" s="42"/>
      <c r="AG12265" s="19"/>
    </row>
    <row r="12266" spans="1:33" ht="14.5" x14ac:dyDescent="0.35">
      <c r="A12266" s="34"/>
      <c r="B12266" s="35"/>
      <c r="C12266" s="36"/>
      <c r="D12266" s="37"/>
      <c r="E12266" s="36"/>
      <c r="F12266" s="42"/>
      <c r="G12266" s="42"/>
      <c r="H12266" s="42"/>
      <c r="AG12266" s="19"/>
    </row>
    <row r="12267" spans="1:33" ht="14.5" x14ac:dyDescent="0.35">
      <c r="A12267" s="34"/>
      <c r="B12267" s="35"/>
      <c r="C12267" s="36"/>
      <c r="D12267" s="37"/>
      <c r="E12267" s="36"/>
      <c r="F12267" s="42"/>
      <c r="G12267" s="42"/>
      <c r="H12267" s="42"/>
      <c r="AG12267" s="19"/>
    </row>
    <row r="12268" spans="1:33" ht="14.5" x14ac:dyDescent="0.35">
      <c r="A12268" s="34"/>
      <c r="B12268" s="35"/>
      <c r="C12268" s="36"/>
      <c r="D12268" s="37"/>
      <c r="E12268" s="36"/>
      <c r="F12268" s="42"/>
      <c r="G12268" s="42"/>
      <c r="H12268" s="42"/>
      <c r="AG12268" s="19"/>
    </row>
    <row r="12269" spans="1:33" ht="14.5" x14ac:dyDescent="0.35">
      <c r="A12269" s="34"/>
      <c r="B12269" s="35"/>
      <c r="C12269" s="36"/>
      <c r="D12269" s="37"/>
      <c r="E12269" s="36"/>
      <c r="F12269" s="42"/>
      <c r="G12269" s="42"/>
      <c r="H12269" s="42"/>
      <c r="AG12269" s="19"/>
    </row>
    <row r="12270" spans="1:33" ht="14.5" x14ac:dyDescent="0.35">
      <c r="A12270" s="34"/>
      <c r="B12270" s="35"/>
      <c r="C12270" s="36"/>
      <c r="D12270" s="37"/>
      <c r="E12270" s="36"/>
      <c r="F12270" s="42"/>
      <c r="G12270" s="42"/>
      <c r="H12270" s="42"/>
      <c r="AG12270" s="19"/>
    </row>
    <row r="12271" spans="1:33" ht="14.5" x14ac:dyDescent="0.35">
      <c r="A12271" s="34"/>
      <c r="B12271" s="35"/>
      <c r="C12271" s="36"/>
      <c r="D12271" s="37"/>
      <c r="E12271" s="36"/>
      <c r="F12271" s="42"/>
      <c r="G12271" s="42"/>
      <c r="H12271" s="42"/>
      <c r="AG12271" s="19"/>
    </row>
    <row r="12272" spans="1:33" ht="14.5" x14ac:dyDescent="0.35">
      <c r="A12272" s="34"/>
      <c r="B12272" s="35"/>
      <c r="C12272" s="36"/>
      <c r="D12272" s="37"/>
      <c r="E12272" s="36"/>
      <c r="F12272" s="42"/>
      <c r="G12272" s="42"/>
      <c r="H12272" s="42"/>
      <c r="AG12272" s="19"/>
    </row>
    <row r="12273" spans="1:33" ht="14.5" x14ac:dyDescent="0.35">
      <c r="A12273" s="34"/>
      <c r="B12273" s="35"/>
      <c r="C12273" s="36"/>
      <c r="D12273" s="37"/>
      <c r="E12273" s="36"/>
      <c r="F12273" s="42"/>
      <c r="G12273" s="42"/>
      <c r="H12273" s="42"/>
      <c r="AG12273" s="19"/>
    </row>
    <row r="12274" spans="1:33" ht="14.5" x14ac:dyDescent="0.35">
      <c r="A12274" s="34"/>
      <c r="B12274" s="35"/>
      <c r="C12274" s="36"/>
      <c r="D12274" s="37"/>
      <c r="E12274" s="36"/>
      <c r="F12274" s="42"/>
      <c r="G12274" s="42"/>
      <c r="H12274" s="42"/>
      <c r="AG12274" s="19"/>
    </row>
    <row r="12275" spans="1:33" ht="14.5" x14ac:dyDescent="0.35">
      <c r="A12275" s="34"/>
      <c r="B12275" s="35"/>
      <c r="C12275" s="36"/>
      <c r="D12275" s="37"/>
      <c r="E12275" s="36"/>
      <c r="F12275" s="42"/>
      <c r="G12275" s="42"/>
      <c r="H12275" s="42"/>
      <c r="AG12275" s="19"/>
    </row>
    <row r="12276" spans="1:33" ht="14.5" x14ac:dyDescent="0.35">
      <c r="A12276" s="34"/>
      <c r="B12276" s="35"/>
      <c r="C12276" s="36"/>
      <c r="D12276" s="37"/>
      <c r="E12276" s="36"/>
      <c r="F12276" s="42"/>
      <c r="G12276" s="42"/>
      <c r="H12276" s="42"/>
      <c r="AG12276" s="19"/>
    </row>
    <row r="12277" spans="1:33" ht="14.5" x14ac:dyDescent="0.35">
      <c r="A12277" s="34"/>
      <c r="B12277" s="35"/>
      <c r="C12277" s="36"/>
      <c r="D12277" s="37"/>
      <c r="E12277" s="36"/>
      <c r="F12277" s="42"/>
      <c r="G12277" s="42"/>
      <c r="H12277" s="42"/>
      <c r="AG12277" s="19"/>
    </row>
    <row r="12278" spans="1:33" ht="14.5" x14ac:dyDescent="0.35">
      <c r="A12278" s="34"/>
      <c r="B12278" s="35"/>
      <c r="C12278" s="36"/>
      <c r="D12278" s="37"/>
      <c r="E12278" s="36"/>
      <c r="F12278" s="42"/>
      <c r="G12278" s="42"/>
      <c r="H12278" s="42"/>
      <c r="AG12278" s="19"/>
    </row>
    <row r="12279" spans="1:33" ht="14.5" x14ac:dyDescent="0.35">
      <c r="A12279" s="34"/>
      <c r="B12279" s="35"/>
      <c r="C12279" s="36"/>
      <c r="D12279" s="37"/>
      <c r="E12279" s="36"/>
      <c r="F12279" s="42"/>
      <c r="G12279" s="42"/>
      <c r="H12279" s="42"/>
      <c r="AG12279" s="19"/>
    </row>
    <row r="12280" spans="1:33" ht="14.5" x14ac:dyDescent="0.35">
      <c r="A12280" s="34"/>
      <c r="B12280" s="35"/>
      <c r="C12280" s="36"/>
      <c r="D12280" s="37"/>
      <c r="E12280" s="36"/>
      <c r="F12280" s="42"/>
      <c r="G12280" s="42"/>
      <c r="H12280" s="42"/>
      <c r="AG12280" s="19"/>
    </row>
    <row r="12281" spans="1:33" ht="14.5" x14ac:dyDescent="0.35">
      <c r="A12281" s="34"/>
      <c r="B12281" s="35"/>
      <c r="C12281" s="36"/>
      <c r="D12281" s="37"/>
      <c r="E12281" s="36"/>
      <c r="F12281" s="42"/>
      <c r="G12281" s="42"/>
      <c r="H12281" s="42"/>
      <c r="AG12281" s="19"/>
    </row>
    <row r="12282" spans="1:33" ht="14.5" x14ac:dyDescent="0.35">
      <c r="A12282" s="34"/>
      <c r="B12282" s="35"/>
      <c r="C12282" s="36"/>
      <c r="D12282" s="37"/>
      <c r="E12282" s="36"/>
      <c r="F12282" s="42"/>
      <c r="G12282" s="42"/>
      <c r="H12282" s="42"/>
      <c r="AG12282" s="19"/>
    </row>
    <row r="12283" spans="1:33" ht="14.5" x14ac:dyDescent="0.35">
      <c r="A12283" s="34"/>
      <c r="B12283" s="35"/>
      <c r="C12283" s="36"/>
      <c r="D12283" s="37"/>
      <c r="E12283" s="36"/>
      <c r="F12283" s="42"/>
      <c r="G12283" s="42"/>
      <c r="H12283" s="42"/>
      <c r="AG12283" s="19"/>
    </row>
    <row r="12284" spans="1:33" ht="14.5" x14ac:dyDescent="0.35">
      <c r="A12284" s="34"/>
      <c r="B12284" s="35"/>
      <c r="C12284" s="36"/>
      <c r="D12284" s="37"/>
      <c r="E12284" s="36"/>
      <c r="F12284" s="42"/>
      <c r="G12284" s="42"/>
      <c r="H12284" s="42"/>
      <c r="AG12284" s="19"/>
    </row>
    <row r="12285" spans="1:33" ht="14.5" x14ac:dyDescent="0.35">
      <c r="A12285" s="34"/>
      <c r="B12285" s="35"/>
      <c r="C12285" s="36"/>
      <c r="D12285" s="37"/>
      <c r="E12285" s="36"/>
      <c r="F12285" s="42"/>
      <c r="G12285" s="42"/>
      <c r="H12285" s="42"/>
      <c r="AG12285" s="19"/>
    </row>
    <row r="12286" spans="1:33" ht="14.5" x14ac:dyDescent="0.35">
      <c r="A12286" s="34"/>
      <c r="B12286" s="35"/>
      <c r="C12286" s="36"/>
      <c r="D12286" s="37"/>
      <c r="E12286" s="36"/>
      <c r="F12286" s="42"/>
      <c r="G12286" s="42"/>
      <c r="H12286" s="42"/>
      <c r="AG12286" s="19"/>
    </row>
    <row r="12287" spans="1:33" ht="14.5" x14ac:dyDescent="0.35">
      <c r="A12287" s="34"/>
      <c r="B12287" s="35"/>
      <c r="C12287" s="36"/>
      <c r="D12287" s="37"/>
      <c r="E12287" s="36"/>
      <c r="F12287" s="42"/>
      <c r="G12287" s="42"/>
      <c r="H12287" s="42"/>
      <c r="AG12287" s="19"/>
    </row>
    <row r="12288" spans="1:33" ht="14.5" x14ac:dyDescent="0.35">
      <c r="A12288" s="34"/>
      <c r="B12288" s="35"/>
      <c r="C12288" s="36"/>
      <c r="D12288" s="37"/>
      <c r="E12288" s="36"/>
      <c r="F12288" s="42"/>
      <c r="G12288" s="42"/>
      <c r="H12288" s="42"/>
      <c r="AG12288" s="19"/>
    </row>
    <row r="12289" spans="1:33" ht="14.5" x14ac:dyDescent="0.35">
      <c r="A12289" s="34"/>
      <c r="B12289" s="35"/>
      <c r="C12289" s="36"/>
      <c r="D12289" s="37"/>
      <c r="E12289" s="36"/>
      <c r="F12289" s="42"/>
      <c r="G12289" s="42"/>
      <c r="H12289" s="42"/>
      <c r="AG12289" s="19"/>
    </row>
    <row r="12290" spans="1:33" ht="14.5" x14ac:dyDescent="0.35">
      <c r="A12290" s="34"/>
      <c r="B12290" s="35"/>
      <c r="C12290" s="36"/>
      <c r="D12290" s="37"/>
      <c r="E12290" s="36"/>
      <c r="F12290" s="42"/>
      <c r="G12290" s="42"/>
      <c r="H12290" s="42"/>
      <c r="AG12290" s="19"/>
    </row>
    <row r="12291" spans="1:33" ht="14.5" x14ac:dyDescent="0.35">
      <c r="A12291" s="34"/>
      <c r="B12291" s="35"/>
      <c r="C12291" s="36"/>
      <c r="D12291" s="37"/>
      <c r="E12291" s="36"/>
      <c r="F12291" s="42"/>
      <c r="G12291" s="42"/>
      <c r="H12291" s="42"/>
      <c r="AG12291" s="19"/>
    </row>
    <row r="12292" spans="1:33" ht="14.5" x14ac:dyDescent="0.35">
      <c r="A12292" s="34"/>
      <c r="B12292" s="35"/>
      <c r="C12292" s="36"/>
      <c r="D12292" s="37"/>
      <c r="E12292" s="36"/>
      <c r="F12292" s="42"/>
      <c r="G12292" s="42"/>
      <c r="H12292" s="42"/>
      <c r="AG12292" s="19"/>
    </row>
    <row r="12293" spans="1:33" ht="14.5" x14ac:dyDescent="0.35">
      <c r="A12293" s="34"/>
      <c r="B12293" s="35"/>
      <c r="C12293" s="36"/>
      <c r="D12293" s="37"/>
      <c r="E12293" s="36"/>
      <c r="F12293" s="42"/>
      <c r="G12293" s="42"/>
      <c r="H12293" s="42"/>
      <c r="AG12293" s="19"/>
    </row>
    <row r="12294" spans="1:33" ht="14.5" x14ac:dyDescent="0.35">
      <c r="A12294" s="34"/>
      <c r="B12294" s="35"/>
      <c r="C12294" s="36"/>
      <c r="D12294" s="37"/>
      <c r="E12294" s="36"/>
      <c r="F12294" s="42"/>
      <c r="G12294" s="42"/>
      <c r="H12294" s="42"/>
      <c r="AG12294" s="19"/>
    </row>
    <row r="12295" spans="1:33" ht="14.5" x14ac:dyDescent="0.35">
      <c r="A12295" s="34"/>
      <c r="B12295" s="35"/>
      <c r="C12295" s="36"/>
      <c r="D12295" s="37"/>
      <c r="E12295" s="36"/>
      <c r="F12295" s="42"/>
      <c r="G12295" s="42"/>
      <c r="H12295" s="42"/>
      <c r="AG12295" s="19"/>
    </row>
    <row r="12296" spans="1:33" ht="14.5" x14ac:dyDescent="0.35">
      <c r="A12296" s="34"/>
      <c r="B12296" s="35"/>
      <c r="C12296" s="36"/>
      <c r="D12296" s="37"/>
      <c r="E12296" s="36"/>
      <c r="F12296" s="42"/>
      <c r="G12296" s="42"/>
      <c r="H12296" s="42"/>
      <c r="AG12296" s="19"/>
    </row>
    <row r="12297" spans="1:33" ht="14.5" x14ac:dyDescent="0.35">
      <c r="A12297" s="34"/>
      <c r="B12297" s="35"/>
      <c r="C12297" s="36"/>
      <c r="D12297" s="37"/>
      <c r="E12297" s="36"/>
      <c r="F12297" s="42"/>
      <c r="G12297" s="42"/>
      <c r="H12297" s="42"/>
      <c r="AG12297" s="19"/>
    </row>
    <row r="12298" spans="1:33" ht="14.5" x14ac:dyDescent="0.35">
      <c r="A12298" s="34"/>
      <c r="B12298" s="35"/>
      <c r="C12298" s="36"/>
      <c r="D12298" s="37"/>
      <c r="E12298" s="36"/>
      <c r="F12298" s="42"/>
      <c r="G12298" s="42"/>
      <c r="H12298" s="42"/>
      <c r="AG12298" s="19"/>
    </row>
    <row r="12299" spans="1:33" ht="14.5" x14ac:dyDescent="0.35">
      <c r="A12299" s="34"/>
      <c r="B12299" s="35"/>
      <c r="C12299" s="36"/>
      <c r="D12299" s="37"/>
      <c r="E12299" s="36"/>
      <c r="F12299" s="42"/>
      <c r="G12299" s="42"/>
      <c r="H12299" s="42"/>
      <c r="AG12299" s="19"/>
    </row>
    <row r="12300" spans="1:33" ht="14.5" x14ac:dyDescent="0.35">
      <c r="A12300" s="34"/>
      <c r="B12300" s="35"/>
      <c r="C12300" s="36"/>
      <c r="D12300" s="37"/>
      <c r="E12300" s="36"/>
      <c r="F12300" s="42"/>
      <c r="G12300" s="42"/>
      <c r="H12300" s="42"/>
      <c r="AG12300" s="19"/>
    </row>
    <row r="12301" spans="1:33" ht="14.5" x14ac:dyDescent="0.35">
      <c r="A12301" s="34"/>
      <c r="B12301" s="35"/>
      <c r="C12301" s="36"/>
      <c r="D12301" s="37"/>
      <c r="E12301" s="36"/>
      <c r="F12301" s="42"/>
      <c r="G12301" s="42"/>
      <c r="H12301" s="42"/>
      <c r="AG12301" s="19"/>
    </row>
    <row r="12302" spans="1:33" ht="14.5" x14ac:dyDescent="0.35">
      <c r="A12302" s="34"/>
      <c r="B12302" s="35"/>
      <c r="C12302" s="36"/>
      <c r="D12302" s="37"/>
      <c r="E12302" s="36"/>
      <c r="F12302" s="42"/>
      <c r="G12302" s="42"/>
      <c r="H12302" s="42"/>
      <c r="AG12302" s="19"/>
    </row>
    <row r="12303" spans="1:33" ht="14.5" x14ac:dyDescent="0.35">
      <c r="A12303" s="34"/>
      <c r="B12303" s="35"/>
      <c r="C12303" s="36"/>
      <c r="D12303" s="37"/>
      <c r="E12303" s="36"/>
      <c r="F12303" s="42"/>
      <c r="G12303" s="42"/>
      <c r="H12303" s="42"/>
      <c r="AG12303" s="19"/>
    </row>
    <row r="12304" spans="1:33" ht="14.5" x14ac:dyDescent="0.35">
      <c r="A12304" s="34"/>
      <c r="B12304" s="35"/>
      <c r="C12304" s="36"/>
      <c r="D12304" s="37"/>
      <c r="E12304" s="36"/>
      <c r="F12304" s="42"/>
      <c r="G12304" s="42"/>
      <c r="H12304" s="42"/>
      <c r="AG12304" s="19"/>
    </row>
    <row r="12305" spans="1:33" ht="14.5" x14ac:dyDescent="0.35">
      <c r="A12305" s="34"/>
      <c r="B12305" s="35"/>
      <c r="C12305" s="36"/>
      <c r="D12305" s="37"/>
      <c r="E12305" s="36"/>
      <c r="F12305" s="42"/>
      <c r="G12305" s="42"/>
      <c r="H12305" s="42"/>
      <c r="AG12305" s="19"/>
    </row>
    <row r="12306" spans="1:33" ht="14.5" x14ac:dyDescent="0.35">
      <c r="A12306" s="34"/>
      <c r="B12306" s="35"/>
      <c r="C12306" s="36"/>
      <c r="D12306" s="37"/>
      <c r="E12306" s="36"/>
      <c r="F12306" s="42"/>
      <c r="G12306" s="42"/>
      <c r="H12306" s="42"/>
      <c r="AG12306" s="19"/>
    </row>
    <row r="12307" spans="1:33" ht="14.5" x14ac:dyDescent="0.35">
      <c r="A12307" s="34"/>
      <c r="B12307" s="35"/>
      <c r="C12307" s="36"/>
      <c r="D12307" s="37"/>
      <c r="E12307" s="36"/>
      <c r="F12307" s="42"/>
      <c r="G12307" s="42"/>
      <c r="H12307" s="42"/>
      <c r="AG12307" s="19"/>
    </row>
    <row r="12308" spans="1:33" ht="14.5" x14ac:dyDescent="0.35">
      <c r="A12308" s="34"/>
      <c r="B12308" s="35"/>
      <c r="C12308" s="36"/>
      <c r="D12308" s="37"/>
      <c r="E12308" s="36"/>
      <c r="F12308" s="42"/>
      <c r="G12308" s="42"/>
      <c r="H12308" s="42"/>
      <c r="AG12308" s="19"/>
    </row>
    <row r="12309" spans="1:33" ht="14.5" x14ac:dyDescent="0.35">
      <c r="A12309" s="34"/>
      <c r="B12309" s="35"/>
      <c r="C12309" s="36"/>
      <c r="D12309" s="37"/>
      <c r="E12309" s="36"/>
      <c r="F12309" s="42"/>
      <c r="G12309" s="42"/>
      <c r="H12309" s="42"/>
      <c r="AG12309" s="19"/>
    </row>
    <row r="12310" spans="1:33" ht="14.5" x14ac:dyDescent="0.35">
      <c r="A12310" s="34"/>
      <c r="B12310" s="35"/>
      <c r="C12310" s="36"/>
      <c r="D12310" s="37"/>
      <c r="E12310" s="36"/>
      <c r="F12310" s="42"/>
      <c r="G12310" s="42"/>
      <c r="H12310" s="42"/>
      <c r="AG12310" s="19"/>
    </row>
    <row r="12311" spans="1:33" ht="14.5" x14ac:dyDescent="0.35">
      <c r="A12311" s="34"/>
      <c r="B12311" s="35"/>
      <c r="C12311" s="36"/>
      <c r="D12311" s="37"/>
      <c r="E12311" s="36"/>
      <c r="F12311" s="42"/>
      <c r="G12311" s="42"/>
      <c r="H12311" s="42"/>
      <c r="AG12311" s="19"/>
    </row>
    <row r="12312" spans="1:33" ht="14.5" x14ac:dyDescent="0.35">
      <c r="A12312" s="34"/>
      <c r="B12312" s="35"/>
      <c r="C12312" s="36"/>
      <c r="D12312" s="37"/>
      <c r="E12312" s="36"/>
      <c r="F12312" s="42"/>
      <c r="G12312" s="42"/>
      <c r="H12312" s="42"/>
      <c r="AG12312" s="19"/>
    </row>
    <row r="12313" spans="1:33" ht="14.5" x14ac:dyDescent="0.35">
      <c r="A12313" s="34"/>
      <c r="B12313" s="35"/>
      <c r="C12313" s="36"/>
      <c r="D12313" s="37"/>
      <c r="E12313" s="36"/>
      <c r="F12313" s="42"/>
      <c r="G12313" s="42"/>
      <c r="H12313" s="42"/>
      <c r="AG12313" s="19"/>
    </row>
    <row r="12314" spans="1:33" ht="14.5" x14ac:dyDescent="0.35">
      <c r="A12314" s="34"/>
      <c r="B12314" s="35"/>
      <c r="C12314" s="36"/>
      <c r="D12314" s="37"/>
      <c r="E12314" s="36"/>
      <c r="F12314" s="42"/>
      <c r="G12314" s="42"/>
      <c r="H12314" s="42"/>
      <c r="AG12314" s="19"/>
    </row>
    <row r="12315" spans="1:33" ht="14.5" x14ac:dyDescent="0.35">
      <c r="A12315" s="34"/>
      <c r="B12315" s="35"/>
      <c r="C12315" s="36"/>
      <c r="D12315" s="37"/>
      <c r="E12315" s="36"/>
      <c r="F12315" s="42"/>
      <c r="G12315" s="42"/>
      <c r="H12315" s="42"/>
      <c r="AG12315" s="19"/>
    </row>
    <row r="12316" spans="1:33" ht="14.5" x14ac:dyDescent="0.35">
      <c r="A12316" s="34"/>
      <c r="B12316" s="35"/>
      <c r="C12316" s="36"/>
      <c r="D12316" s="37"/>
      <c r="E12316" s="36"/>
      <c r="F12316" s="42"/>
      <c r="G12316" s="42"/>
      <c r="H12316" s="42"/>
      <c r="AG12316" s="19"/>
    </row>
    <row r="12317" spans="1:33" ht="14.5" x14ac:dyDescent="0.35">
      <c r="A12317" s="34"/>
      <c r="B12317" s="35"/>
      <c r="C12317" s="36"/>
      <c r="D12317" s="37"/>
      <c r="E12317" s="36"/>
      <c r="F12317" s="42"/>
      <c r="G12317" s="42"/>
      <c r="H12317" s="42"/>
      <c r="AG12317" s="19"/>
    </row>
    <row r="12318" spans="1:33" ht="14.5" x14ac:dyDescent="0.35">
      <c r="A12318" s="34"/>
      <c r="B12318" s="35"/>
      <c r="C12318" s="36"/>
      <c r="D12318" s="37"/>
      <c r="E12318" s="36"/>
      <c r="F12318" s="42"/>
      <c r="G12318" s="42"/>
      <c r="H12318" s="42"/>
      <c r="AG12318" s="19"/>
    </row>
    <row r="12319" spans="1:33" ht="14.5" x14ac:dyDescent="0.35">
      <c r="A12319" s="34"/>
      <c r="B12319" s="35"/>
      <c r="C12319" s="36"/>
      <c r="D12319" s="37"/>
      <c r="E12319" s="36"/>
      <c r="F12319" s="42"/>
      <c r="G12319" s="42"/>
      <c r="H12319" s="42"/>
      <c r="AG12319" s="19"/>
    </row>
    <row r="12320" spans="1:33" ht="14.5" x14ac:dyDescent="0.35">
      <c r="A12320" s="34"/>
      <c r="B12320" s="35"/>
      <c r="C12320" s="36"/>
      <c r="D12320" s="37"/>
      <c r="E12320" s="36"/>
      <c r="F12320" s="42"/>
      <c r="G12320" s="42"/>
      <c r="H12320" s="42"/>
      <c r="AG12320" s="19"/>
    </row>
    <row r="12321" spans="1:33" ht="14.5" x14ac:dyDescent="0.35">
      <c r="A12321" s="34"/>
      <c r="B12321" s="35"/>
      <c r="C12321" s="36"/>
      <c r="D12321" s="37"/>
      <c r="E12321" s="36"/>
      <c r="F12321" s="42"/>
      <c r="G12321" s="42"/>
      <c r="H12321" s="42"/>
      <c r="AG12321" s="19"/>
    </row>
    <row r="12322" spans="1:33" ht="14.5" x14ac:dyDescent="0.35">
      <c r="A12322" s="34"/>
      <c r="B12322" s="35"/>
      <c r="C12322" s="36"/>
      <c r="D12322" s="37"/>
      <c r="E12322" s="36"/>
      <c r="F12322" s="42"/>
      <c r="G12322" s="42"/>
      <c r="H12322" s="42"/>
      <c r="AG12322" s="19"/>
    </row>
    <row r="12323" spans="1:33" ht="14.5" x14ac:dyDescent="0.35">
      <c r="A12323" s="34"/>
      <c r="B12323" s="35"/>
      <c r="C12323" s="36"/>
      <c r="D12323" s="37"/>
      <c r="E12323" s="36"/>
      <c r="F12323" s="42"/>
      <c r="G12323" s="42"/>
      <c r="H12323" s="42"/>
      <c r="AG12323" s="19"/>
    </row>
    <row r="12324" spans="1:33" ht="14.5" x14ac:dyDescent="0.35">
      <c r="A12324" s="34"/>
      <c r="B12324" s="35"/>
      <c r="C12324" s="36"/>
      <c r="D12324" s="37"/>
      <c r="E12324" s="36"/>
      <c r="F12324" s="42"/>
      <c r="G12324" s="42"/>
      <c r="H12324" s="42"/>
      <c r="AG12324" s="19"/>
    </row>
    <row r="12325" spans="1:33" ht="14.5" x14ac:dyDescent="0.35">
      <c r="A12325" s="34"/>
      <c r="B12325" s="35"/>
      <c r="C12325" s="36"/>
      <c r="D12325" s="37"/>
      <c r="E12325" s="36"/>
      <c r="F12325" s="42"/>
      <c r="G12325" s="42"/>
      <c r="H12325" s="42"/>
      <c r="AG12325" s="19"/>
    </row>
    <row r="12326" spans="1:33" ht="14.5" x14ac:dyDescent="0.35">
      <c r="A12326" s="34"/>
      <c r="B12326" s="35"/>
      <c r="C12326" s="36"/>
      <c r="D12326" s="37"/>
      <c r="E12326" s="36"/>
      <c r="F12326" s="42"/>
      <c r="G12326" s="42"/>
      <c r="H12326" s="42"/>
      <c r="AG12326" s="19"/>
    </row>
    <row r="12327" spans="1:33" ht="14.5" x14ac:dyDescent="0.35">
      <c r="A12327" s="34"/>
      <c r="B12327" s="35"/>
      <c r="C12327" s="36"/>
      <c r="D12327" s="37"/>
      <c r="E12327" s="36"/>
      <c r="F12327" s="42"/>
      <c r="G12327" s="42"/>
      <c r="H12327" s="42"/>
      <c r="AG12327" s="19"/>
    </row>
    <row r="12328" spans="1:33" ht="14.5" x14ac:dyDescent="0.35">
      <c r="A12328" s="34"/>
      <c r="B12328" s="35"/>
      <c r="C12328" s="36"/>
      <c r="D12328" s="37"/>
      <c r="E12328" s="36"/>
      <c r="F12328" s="42"/>
      <c r="G12328" s="42"/>
      <c r="H12328" s="42"/>
      <c r="AG12328" s="19"/>
    </row>
    <row r="12329" spans="1:33" ht="14.5" x14ac:dyDescent="0.35">
      <c r="A12329" s="34"/>
      <c r="B12329" s="35"/>
      <c r="C12329" s="36"/>
      <c r="D12329" s="37"/>
      <c r="E12329" s="36"/>
      <c r="F12329" s="42"/>
      <c r="G12329" s="42"/>
      <c r="H12329" s="42"/>
      <c r="AG12329" s="19"/>
    </row>
    <row r="12330" spans="1:33" ht="14.5" x14ac:dyDescent="0.35">
      <c r="A12330" s="34"/>
      <c r="B12330" s="35"/>
      <c r="C12330" s="36"/>
      <c r="D12330" s="37"/>
      <c r="E12330" s="36"/>
      <c r="F12330" s="42"/>
      <c r="G12330" s="42"/>
      <c r="H12330" s="42"/>
      <c r="AG12330" s="19"/>
    </row>
    <row r="12331" spans="1:33" ht="14.5" x14ac:dyDescent="0.35">
      <c r="A12331" s="34"/>
      <c r="B12331" s="35"/>
      <c r="C12331" s="36"/>
      <c r="D12331" s="37"/>
      <c r="E12331" s="36"/>
      <c r="F12331" s="42"/>
      <c r="G12331" s="42"/>
      <c r="H12331" s="42"/>
      <c r="AG12331" s="19"/>
    </row>
    <row r="12332" spans="1:33" ht="14.5" x14ac:dyDescent="0.35">
      <c r="A12332" s="34"/>
      <c r="B12332" s="35"/>
      <c r="C12332" s="36"/>
      <c r="D12332" s="37"/>
      <c r="E12332" s="36"/>
      <c r="F12332" s="42"/>
      <c r="G12332" s="42"/>
      <c r="H12332" s="42"/>
      <c r="AG12332" s="19"/>
    </row>
    <row r="12333" spans="1:33" ht="14.5" x14ac:dyDescent="0.35">
      <c r="A12333" s="34"/>
      <c r="B12333" s="35"/>
      <c r="C12333" s="36"/>
      <c r="D12333" s="37"/>
      <c r="E12333" s="36"/>
      <c r="F12333" s="42"/>
      <c r="G12333" s="42"/>
      <c r="H12333" s="42"/>
      <c r="AG12333" s="19"/>
    </row>
    <row r="12334" spans="1:33" ht="14.5" x14ac:dyDescent="0.35">
      <c r="A12334" s="34"/>
      <c r="B12334" s="35"/>
      <c r="C12334" s="36"/>
      <c r="D12334" s="37"/>
      <c r="E12334" s="36"/>
      <c r="F12334" s="42"/>
      <c r="G12334" s="42"/>
      <c r="H12334" s="42"/>
      <c r="AG12334" s="19"/>
    </row>
    <row r="12335" spans="1:33" ht="14.5" x14ac:dyDescent="0.35">
      <c r="A12335" s="34"/>
      <c r="B12335" s="35"/>
      <c r="C12335" s="36"/>
      <c r="D12335" s="37"/>
      <c r="E12335" s="36"/>
      <c r="F12335" s="42"/>
      <c r="G12335" s="42"/>
      <c r="H12335" s="42"/>
      <c r="AG12335" s="19"/>
    </row>
    <row r="12336" spans="1:33" ht="14.5" x14ac:dyDescent="0.35">
      <c r="A12336" s="34"/>
      <c r="B12336" s="35"/>
      <c r="C12336" s="36"/>
      <c r="D12336" s="37"/>
      <c r="E12336" s="36"/>
      <c r="F12336" s="42"/>
      <c r="G12336" s="42"/>
      <c r="H12336" s="42"/>
      <c r="AG12336" s="19"/>
    </row>
    <row r="12337" spans="1:33" ht="14.5" x14ac:dyDescent="0.35">
      <c r="A12337" s="34"/>
      <c r="B12337" s="35"/>
      <c r="C12337" s="36"/>
      <c r="D12337" s="37"/>
      <c r="E12337" s="36"/>
      <c r="F12337" s="42"/>
      <c r="G12337" s="42"/>
      <c r="H12337" s="42"/>
      <c r="AG12337" s="19"/>
    </row>
    <row r="12338" spans="1:33" ht="14.5" x14ac:dyDescent="0.35">
      <c r="A12338" s="34"/>
      <c r="B12338" s="35"/>
      <c r="C12338" s="36"/>
      <c r="D12338" s="37"/>
      <c r="E12338" s="36"/>
      <c r="F12338" s="42"/>
      <c r="G12338" s="42"/>
      <c r="H12338" s="42"/>
      <c r="AG12338" s="19"/>
    </row>
    <row r="12339" spans="1:33" ht="14.5" x14ac:dyDescent="0.35">
      <c r="A12339" s="34"/>
      <c r="B12339" s="35"/>
      <c r="C12339" s="36"/>
      <c r="D12339" s="37"/>
      <c r="E12339" s="36"/>
      <c r="F12339" s="42"/>
      <c r="G12339" s="42"/>
      <c r="H12339" s="42"/>
      <c r="AG12339" s="19"/>
    </row>
    <row r="12340" spans="1:33" ht="14.5" x14ac:dyDescent="0.35">
      <c r="A12340" s="34"/>
      <c r="B12340" s="35"/>
      <c r="C12340" s="36"/>
      <c r="D12340" s="37"/>
      <c r="E12340" s="36"/>
      <c r="F12340" s="42"/>
      <c r="G12340" s="42"/>
      <c r="H12340" s="42"/>
      <c r="AG12340" s="19"/>
    </row>
    <row r="12341" spans="1:33" ht="14.5" x14ac:dyDescent="0.35">
      <c r="A12341" s="34"/>
      <c r="B12341" s="35"/>
      <c r="C12341" s="36"/>
      <c r="D12341" s="37"/>
      <c r="E12341" s="36"/>
      <c r="F12341" s="42"/>
      <c r="G12341" s="42"/>
      <c r="H12341" s="42"/>
      <c r="AG12341" s="19"/>
    </row>
    <row r="12342" spans="1:33" ht="14.5" x14ac:dyDescent="0.35">
      <c r="A12342" s="34"/>
      <c r="B12342" s="35"/>
      <c r="C12342" s="36"/>
      <c r="D12342" s="37"/>
      <c r="E12342" s="36"/>
      <c r="F12342" s="42"/>
      <c r="G12342" s="42"/>
      <c r="H12342" s="42"/>
      <c r="AG12342" s="19"/>
    </row>
    <row r="12343" spans="1:33" ht="14.5" x14ac:dyDescent="0.35">
      <c r="A12343" s="34"/>
      <c r="B12343" s="35"/>
      <c r="C12343" s="36"/>
      <c r="D12343" s="37"/>
      <c r="E12343" s="36"/>
      <c r="F12343" s="42"/>
      <c r="G12343" s="42"/>
      <c r="H12343" s="42"/>
      <c r="AG12343" s="19"/>
    </row>
    <row r="12344" spans="1:33" ht="14.5" x14ac:dyDescent="0.35">
      <c r="A12344" s="34"/>
      <c r="B12344" s="35"/>
      <c r="C12344" s="36"/>
      <c r="D12344" s="37"/>
      <c r="E12344" s="36"/>
      <c r="F12344" s="42"/>
      <c r="G12344" s="42"/>
      <c r="H12344" s="42"/>
      <c r="AG12344" s="19"/>
    </row>
    <row r="12345" spans="1:33" ht="14.5" x14ac:dyDescent="0.35">
      <c r="A12345" s="34"/>
      <c r="B12345" s="35"/>
      <c r="C12345" s="36"/>
      <c r="D12345" s="37"/>
      <c r="E12345" s="36"/>
      <c r="F12345" s="42"/>
      <c r="G12345" s="42"/>
      <c r="H12345" s="42"/>
      <c r="AG12345" s="19"/>
    </row>
    <row r="12346" spans="1:33" ht="14.5" x14ac:dyDescent="0.35">
      <c r="A12346" s="34"/>
      <c r="B12346" s="35"/>
      <c r="C12346" s="36"/>
      <c r="D12346" s="37"/>
      <c r="E12346" s="36"/>
      <c r="F12346" s="42"/>
      <c r="G12346" s="42"/>
      <c r="H12346" s="42"/>
      <c r="AG12346" s="19"/>
    </row>
    <row r="12347" spans="1:33" ht="14.5" x14ac:dyDescent="0.35">
      <c r="A12347" s="34"/>
      <c r="B12347" s="35"/>
      <c r="C12347" s="36"/>
      <c r="D12347" s="37"/>
      <c r="E12347" s="36"/>
      <c r="F12347" s="42"/>
      <c r="G12347" s="42"/>
      <c r="H12347" s="42"/>
      <c r="AG12347" s="19"/>
    </row>
    <row r="12348" spans="1:33" ht="14.5" x14ac:dyDescent="0.35">
      <c r="A12348" s="34"/>
      <c r="B12348" s="35"/>
      <c r="C12348" s="36"/>
      <c r="D12348" s="37"/>
      <c r="E12348" s="36"/>
      <c r="F12348" s="42"/>
      <c r="G12348" s="42"/>
      <c r="H12348" s="42"/>
      <c r="AG12348" s="19"/>
    </row>
    <row r="12349" spans="1:33" ht="14.5" x14ac:dyDescent="0.35">
      <c r="A12349" s="34"/>
      <c r="B12349" s="35"/>
      <c r="C12349" s="36"/>
      <c r="D12349" s="37"/>
      <c r="E12349" s="36"/>
      <c r="F12349" s="42"/>
      <c r="G12349" s="42"/>
      <c r="H12349" s="42"/>
      <c r="AG12349" s="19"/>
    </row>
    <row r="12350" spans="1:33" ht="14.5" x14ac:dyDescent="0.35">
      <c r="A12350" s="34"/>
      <c r="B12350" s="35"/>
      <c r="C12350" s="36"/>
      <c r="D12350" s="37"/>
      <c r="E12350" s="36"/>
      <c r="F12350" s="42"/>
      <c r="G12350" s="42"/>
      <c r="H12350" s="42"/>
      <c r="AG12350" s="19"/>
    </row>
    <row r="12351" spans="1:33" ht="14.5" x14ac:dyDescent="0.35">
      <c r="A12351" s="34"/>
      <c r="B12351" s="35"/>
      <c r="C12351" s="36"/>
      <c r="D12351" s="37"/>
      <c r="E12351" s="36"/>
      <c r="F12351" s="42"/>
      <c r="G12351" s="42"/>
      <c r="H12351" s="42"/>
      <c r="AG12351" s="19"/>
    </row>
    <row r="12352" spans="1:33" ht="14.5" x14ac:dyDescent="0.35">
      <c r="A12352" s="34"/>
      <c r="B12352" s="35"/>
      <c r="C12352" s="36"/>
      <c r="D12352" s="37"/>
      <c r="E12352" s="36"/>
      <c r="F12352" s="42"/>
      <c r="G12352" s="42"/>
      <c r="H12352" s="42"/>
      <c r="AG12352" s="19"/>
    </row>
    <row r="12353" spans="1:33" ht="14.5" x14ac:dyDescent="0.35">
      <c r="A12353" s="34"/>
      <c r="B12353" s="35"/>
      <c r="C12353" s="36"/>
      <c r="D12353" s="37"/>
      <c r="E12353" s="36"/>
      <c r="F12353" s="42"/>
      <c r="G12353" s="42"/>
      <c r="H12353" s="42"/>
      <c r="AG12353" s="19"/>
    </row>
    <row r="12354" spans="1:33" ht="14.5" x14ac:dyDescent="0.35">
      <c r="A12354" s="34"/>
      <c r="B12354" s="35"/>
      <c r="C12354" s="36"/>
      <c r="D12354" s="37"/>
      <c r="E12354" s="36"/>
      <c r="F12354" s="42"/>
      <c r="G12354" s="42"/>
      <c r="H12354" s="42"/>
      <c r="AG12354" s="19"/>
    </row>
    <row r="12355" spans="1:33" ht="14.5" x14ac:dyDescent="0.35">
      <c r="A12355" s="34"/>
      <c r="B12355" s="35"/>
      <c r="C12355" s="36"/>
      <c r="D12355" s="37"/>
      <c r="E12355" s="36"/>
      <c r="F12355" s="42"/>
      <c r="G12355" s="42"/>
      <c r="H12355" s="42"/>
      <c r="AG12355" s="19"/>
    </row>
    <row r="12356" spans="1:33" ht="14.5" x14ac:dyDescent="0.35">
      <c r="A12356" s="34"/>
      <c r="B12356" s="35"/>
      <c r="C12356" s="36"/>
      <c r="D12356" s="37"/>
      <c r="E12356" s="36"/>
      <c r="F12356" s="42"/>
      <c r="G12356" s="42"/>
      <c r="H12356" s="42"/>
      <c r="AG12356" s="19"/>
    </row>
    <row r="12357" spans="1:33" ht="14.5" x14ac:dyDescent="0.35">
      <c r="A12357" s="34"/>
      <c r="B12357" s="35"/>
      <c r="C12357" s="36"/>
      <c r="D12357" s="37"/>
      <c r="E12357" s="36"/>
      <c r="F12357" s="42"/>
      <c r="G12357" s="42"/>
      <c r="H12357" s="42"/>
      <c r="AG12357" s="19"/>
    </row>
    <row r="12358" spans="1:33" ht="14.5" x14ac:dyDescent="0.35">
      <c r="A12358" s="34"/>
      <c r="B12358" s="35"/>
      <c r="C12358" s="36"/>
      <c r="D12358" s="37"/>
      <c r="E12358" s="36"/>
      <c r="F12358" s="42"/>
      <c r="G12358" s="42"/>
      <c r="H12358" s="42"/>
      <c r="AG12358" s="19"/>
    </row>
    <row r="12359" spans="1:33" ht="14.5" x14ac:dyDescent="0.35">
      <c r="A12359" s="34"/>
      <c r="B12359" s="35"/>
      <c r="C12359" s="36"/>
      <c r="D12359" s="37"/>
      <c r="E12359" s="36"/>
      <c r="F12359" s="42"/>
      <c r="G12359" s="42"/>
      <c r="H12359" s="42"/>
      <c r="AG12359" s="19"/>
    </row>
    <row r="12360" spans="1:33" ht="14.5" x14ac:dyDescent="0.35">
      <c r="A12360" s="34"/>
      <c r="B12360" s="35"/>
      <c r="C12360" s="36"/>
      <c r="D12360" s="37"/>
      <c r="E12360" s="36"/>
      <c r="F12360" s="42"/>
      <c r="G12360" s="42"/>
      <c r="H12360" s="42"/>
      <c r="AG12360" s="19"/>
    </row>
    <row r="12361" spans="1:33" ht="14.5" x14ac:dyDescent="0.35">
      <c r="A12361" s="34"/>
      <c r="B12361" s="35"/>
      <c r="C12361" s="36"/>
      <c r="D12361" s="37"/>
      <c r="E12361" s="36"/>
      <c r="F12361" s="42"/>
      <c r="G12361" s="42"/>
      <c r="H12361" s="42"/>
      <c r="AG12361" s="19"/>
    </row>
    <row r="12362" spans="1:33" ht="14.5" x14ac:dyDescent="0.35">
      <c r="A12362" s="34"/>
      <c r="B12362" s="35"/>
      <c r="C12362" s="36"/>
      <c r="D12362" s="37"/>
      <c r="E12362" s="36"/>
      <c r="F12362" s="42"/>
      <c r="G12362" s="42"/>
      <c r="H12362" s="42"/>
      <c r="AG12362" s="19"/>
    </row>
    <row r="12363" spans="1:33" ht="14.5" x14ac:dyDescent="0.35">
      <c r="A12363" s="34"/>
      <c r="B12363" s="35"/>
      <c r="C12363" s="36"/>
      <c r="D12363" s="37"/>
      <c r="E12363" s="36"/>
      <c r="F12363" s="42"/>
      <c r="G12363" s="42"/>
      <c r="H12363" s="42"/>
      <c r="AG12363" s="19"/>
    </row>
    <row r="12364" spans="1:33" ht="14.5" x14ac:dyDescent="0.35">
      <c r="A12364" s="34"/>
      <c r="B12364" s="35"/>
      <c r="C12364" s="36"/>
      <c r="D12364" s="37"/>
      <c r="E12364" s="36"/>
      <c r="F12364" s="42"/>
      <c r="G12364" s="42"/>
      <c r="H12364" s="42"/>
      <c r="AG12364" s="19"/>
    </row>
    <row r="12365" spans="1:33" ht="14.5" x14ac:dyDescent="0.35">
      <c r="A12365" s="34"/>
      <c r="B12365" s="35"/>
      <c r="C12365" s="36"/>
      <c r="D12365" s="37"/>
      <c r="E12365" s="36"/>
      <c r="F12365" s="42"/>
      <c r="G12365" s="42"/>
      <c r="H12365" s="42"/>
      <c r="AG12365" s="19"/>
    </row>
    <row r="12366" spans="1:33" ht="14.5" x14ac:dyDescent="0.35">
      <c r="A12366" s="34"/>
      <c r="B12366" s="35"/>
      <c r="C12366" s="36"/>
      <c r="D12366" s="37"/>
      <c r="E12366" s="36"/>
      <c r="F12366" s="42"/>
      <c r="G12366" s="42"/>
      <c r="H12366" s="42"/>
      <c r="AG12366" s="19"/>
    </row>
    <row r="12367" spans="1:33" ht="14.5" x14ac:dyDescent="0.35">
      <c r="A12367" s="34"/>
      <c r="B12367" s="35"/>
      <c r="C12367" s="36"/>
      <c r="D12367" s="37"/>
      <c r="E12367" s="36"/>
      <c r="F12367" s="42"/>
      <c r="G12367" s="42"/>
      <c r="H12367" s="42"/>
      <c r="AG12367" s="19"/>
    </row>
    <row r="12368" spans="1:33" ht="14.5" x14ac:dyDescent="0.35">
      <c r="A12368" s="34"/>
      <c r="B12368" s="35"/>
      <c r="C12368" s="36"/>
      <c r="D12368" s="37"/>
      <c r="E12368" s="36"/>
      <c r="F12368" s="42"/>
      <c r="G12368" s="42"/>
      <c r="H12368" s="42"/>
      <c r="AG12368" s="19"/>
    </row>
    <row r="12369" spans="1:33" ht="14.5" x14ac:dyDescent="0.35">
      <c r="A12369" s="34"/>
      <c r="B12369" s="35"/>
      <c r="C12369" s="36"/>
      <c r="D12369" s="37"/>
      <c r="E12369" s="36"/>
      <c r="F12369" s="42"/>
      <c r="G12369" s="42"/>
      <c r="H12369" s="42"/>
      <c r="AG12369" s="19"/>
    </row>
    <row r="12370" spans="1:33" ht="14.5" x14ac:dyDescent="0.35">
      <c r="A12370" s="34"/>
      <c r="B12370" s="35"/>
      <c r="C12370" s="36"/>
      <c r="D12370" s="37"/>
      <c r="E12370" s="36"/>
      <c r="F12370" s="42"/>
      <c r="G12370" s="42"/>
      <c r="H12370" s="42"/>
      <c r="AG12370" s="19"/>
    </row>
    <row r="12371" spans="1:33" ht="14.5" x14ac:dyDescent="0.35">
      <c r="A12371" s="34"/>
      <c r="B12371" s="35"/>
      <c r="C12371" s="36"/>
      <c r="D12371" s="37"/>
      <c r="E12371" s="36"/>
      <c r="F12371" s="42"/>
      <c r="G12371" s="42"/>
      <c r="H12371" s="42"/>
      <c r="AG12371" s="19"/>
    </row>
    <row r="12372" spans="1:33" ht="14.5" x14ac:dyDescent="0.35">
      <c r="A12372" s="34"/>
      <c r="B12372" s="35"/>
      <c r="C12372" s="36"/>
      <c r="D12372" s="37"/>
      <c r="E12372" s="36"/>
      <c r="F12372" s="42"/>
      <c r="G12372" s="42"/>
      <c r="H12372" s="42"/>
      <c r="AG12372" s="19"/>
    </row>
    <row r="12373" spans="1:33" ht="14.5" x14ac:dyDescent="0.35">
      <c r="A12373" s="34"/>
      <c r="B12373" s="35"/>
      <c r="C12373" s="36"/>
      <c r="D12373" s="37"/>
      <c r="E12373" s="36"/>
      <c r="F12373" s="42"/>
      <c r="G12373" s="42"/>
      <c r="H12373" s="42"/>
      <c r="AG12373" s="19"/>
    </row>
    <row r="12374" spans="1:33" ht="14.5" x14ac:dyDescent="0.35">
      <c r="A12374" s="34"/>
      <c r="B12374" s="35"/>
      <c r="C12374" s="36"/>
      <c r="D12374" s="37"/>
      <c r="E12374" s="36"/>
      <c r="F12374" s="42"/>
      <c r="G12374" s="42"/>
      <c r="H12374" s="42"/>
      <c r="AG12374" s="19"/>
    </row>
    <row r="12375" spans="1:33" ht="14.5" x14ac:dyDescent="0.35">
      <c r="A12375" s="34"/>
      <c r="B12375" s="35"/>
      <c r="C12375" s="36"/>
      <c r="D12375" s="37"/>
      <c r="E12375" s="36"/>
      <c r="F12375" s="42"/>
      <c r="G12375" s="42"/>
      <c r="H12375" s="42"/>
      <c r="AG12375" s="19"/>
    </row>
    <row r="12376" spans="1:33" ht="14.5" x14ac:dyDescent="0.35">
      <c r="A12376" s="34"/>
      <c r="B12376" s="35"/>
      <c r="C12376" s="36"/>
      <c r="D12376" s="37"/>
      <c r="E12376" s="36"/>
      <c r="F12376" s="42"/>
      <c r="G12376" s="42"/>
      <c r="H12376" s="42"/>
      <c r="AG12376" s="19"/>
    </row>
    <row r="12377" spans="1:33" ht="14.5" x14ac:dyDescent="0.35">
      <c r="A12377" s="34"/>
      <c r="B12377" s="35"/>
      <c r="C12377" s="36"/>
      <c r="D12377" s="37"/>
      <c r="E12377" s="36"/>
      <c r="F12377" s="42"/>
      <c r="G12377" s="42"/>
      <c r="H12377" s="42"/>
      <c r="AG12377" s="19"/>
    </row>
    <row r="12378" spans="1:33" ht="14.5" x14ac:dyDescent="0.35">
      <c r="A12378" s="34"/>
      <c r="B12378" s="35"/>
      <c r="C12378" s="36"/>
      <c r="D12378" s="37"/>
      <c r="E12378" s="36"/>
      <c r="F12378" s="42"/>
      <c r="G12378" s="42"/>
      <c r="H12378" s="42"/>
      <c r="AG12378" s="19"/>
    </row>
    <row r="12379" spans="1:33" ht="14.5" x14ac:dyDescent="0.35">
      <c r="A12379" s="34"/>
      <c r="B12379" s="35"/>
      <c r="C12379" s="36"/>
      <c r="D12379" s="37"/>
      <c r="E12379" s="36"/>
      <c r="F12379" s="42"/>
      <c r="G12379" s="42"/>
      <c r="H12379" s="42"/>
      <c r="AG12379" s="19"/>
    </row>
    <row r="12380" spans="1:33" ht="14.5" x14ac:dyDescent="0.35">
      <c r="A12380" s="34"/>
      <c r="B12380" s="35"/>
      <c r="C12380" s="36"/>
      <c r="D12380" s="37"/>
      <c r="E12380" s="36"/>
      <c r="F12380" s="42"/>
      <c r="G12380" s="42"/>
      <c r="H12380" s="42"/>
      <c r="AG12380" s="19"/>
    </row>
    <row r="12381" spans="1:33" ht="14.5" x14ac:dyDescent="0.35">
      <c r="A12381" s="34"/>
      <c r="B12381" s="35"/>
      <c r="C12381" s="36"/>
      <c r="D12381" s="37"/>
      <c r="E12381" s="36"/>
      <c r="F12381" s="42"/>
      <c r="G12381" s="42"/>
      <c r="H12381" s="42"/>
      <c r="AG12381" s="19"/>
    </row>
    <row r="12382" spans="1:33" ht="14.5" x14ac:dyDescent="0.35">
      <c r="A12382" s="34"/>
      <c r="B12382" s="35"/>
      <c r="C12382" s="36"/>
      <c r="D12382" s="37"/>
      <c r="E12382" s="36"/>
      <c r="F12382" s="42"/>
      <c r="G12382" s="42"/>
      <c r="H12382" s="42"/>
      <c r="AG12382" s="19"/>
    </row>
    <row r="12383" spans="1:33" ht="14.5" x14ac:dyDescent="0.35">
      <c r="A12383" s="34"/>
      <c r="B12383" s="35"/>
      <c r="C12383" s="36"/>
      <c r="D12383" s="37"/>
      <c r="E12383" s="36"/>
      <c r="F12383" s="42"/>
      <c r="G12383" s="42"/>
      <c r="H12383" s="42"/>
      <c r="AG12383" s="19"/>
    </row>
    <row r="12384" spans="1:33" ht="14.5" x14ac:dyDescent="0.35">
      <c r="A12384" s="34"/>
      <c r="B12384" s="35"/>
      <c r="C12384" s="36"/>
      <c r="D12384" s="37"/>
      <c r="E12384" s="36"/>
      <c r="F12384" s="42"/>
      <c r="G12384" s="42"/>
      <c r="H12384" s="42"/>
      <c r="AG12384" s="19"/>
    </row>
    <row r="12385" spans="1:33" ht="14.5" x14ac:dyDescent="0.35">
      <c r="A12385" s="34"/>
      <c r="B12385" s="35"/>
      <c r="C12385" s="36"/>
      <c r="D12385" s="37"/>
      <c r="E12385" s="36"/>
      <c r="F12385" s="42"/>
      <c r="G12385" s="42"/>
      <c r="H12385" s="42"/>
      <c r="AG12385" s="19"/>
    </row>
    <row r="12386" spans="1:33" ht="14.5" x14ac:dyDescent="0.35">
      <c r="A12386" s="34"/>
      <c r="B12386" s="35"/>
      <c r="C12386" s="36"/>
      <c r="D12386" s="37"/>
      <c r="E12386" s="36"/>
      <c r="F12386" s="42"/>
      <c r="G12386" s="42"/>
      <c r="H12386" s="42"/>
      <c r="AG12386" s="19"/>
    </row>
    <row r="12387" spans="1:33" ht="14.5" x14ac:dyDescent="0.35">
      <c r="A12387" s="34"/>
      <c r="B12387" s="35"/>
      <c r="C12387" s="36"/>
      <c r="D12387" s="37"/>
      <c r="E12387" s="36"/>
      <c r="F12387" s="42"/>
      <c r="G12387" s="42"/>
      <c r="H12387" s="42"/>
      <c r="AG12387" s="19"/>
    </row>
    <row r="12388" spans="1:33" ht="14.5" x14ac:dyDescent="0.35">
      <c r="A12388" s="34"/>
      <c r="B12388" s="35"/>
      <c r="C12388" s="36"/>
      <c r="D12388" s="37"/>
      <c r="E12388" s="36"/>
      <c r="F12388" s="42"/>
      <c r="G12388" s="42"/>
      <c r="H12388" s="42"/>
      <c r="AG12388" s="19"/>
    </row>
    <row r="12389" spans="1:33" ht="14.5" x14ac:dyDescent="0.35">
      <c r="A12389" s="34"/>
      <c r="B12389" s="35"/>
      <c r="C12389" s="36"/>
      <c r="D12389" s="37"/>
      <c r="E12389" s="36"/>
      <c r="F12389" s="42"/>
      <c r="G12389" s="42"/>
      <c r="H12389" s="42"/>
      <c r="AG12389" s="19"/>
    </row>
    <row r="12390" spans="1:33" ht="14.5" x14ac:dyDescent="0.35">
      <c r="A12390" s="34"/>
      <c r="B12390" s="35"/>
      <c r="C12390" s="36"/>
      <c r="D12390" s="37"/>
      <c r="E12390" s="36"/>
      <c r="F12390" s="42"/>
      <c r="G12390" s="42"/>
      <c r="H12390" s="42"/>
      <c r="AG12390" s="19"/>
    </row>
    <row r="12391" spans="1:33" ht="14.5" x14ac:dyDescent="0.35">
      <c r="A12391" s="34"/>
      <c r="B12391" s="35"/>
      <c r="C12391" s="36"/>
      <c r="D12391" s="37"/>
      <c r="E12391" s="36"/>
      <c r="F12391" s="42"/>
      <c r="G12391" s="42"/>
      <c r="H12391" s="42"/>
      <c r="AG12391" s="19"/>
    </row>
    <row r="12392" spans="1:33" ht="14.5" x14ac:dyDescent="0.35">
      <c r="A12392" s="34"/>
      <c r="B12392" s="35"/>
      <c r="C12392" s="36"/>
      <c r="D12392" s="37"/>
      <c r="E12392" s="36"/>
      <c r="F12392" s="42"/>
      <c r="G12392" s="42"/>
      <c r="H12392" s="42"/>
      <c r="AG12392" s="19"/>
    </row>
    <row r="12393" spans="1:33" ht="14.5" x14ac:dyDescent="0.35">
      <c r="A12393" s="34"/>
      <c r="B12393" s="35"/>
      <c r="C12393" s="36"/>
      <c r="D12393" s="37"/>
      <c r="E12393" s="36"/>
      <c r="F12393" s="42"/>
      <c r="G12393" s="42"/>
      <c r="H12393" s="42"/>
      <c r="AG12393" s="19"/>
    </row>
    <row r="12394" spans="1:33" ht="14.5" x14ac:dyDescent="0.35">
      <c r="A12394" s="34"/>
      <c r="B12394" s="35"/>
      <c r="C12394" s="36"/>
      <c r="D12394" s="37"/>
      <c r="E12394" s="36"/>
      <c r="F12394" s="42"/>
      <c r="G12394" s="42"/>
      <c r="H12394" s="42"/>
      <c r="AG12394" s="19"/>
    </row>
    <row r="12395" spans="1:33" ht="14.5" x14ac:dyDescent="0.35">
      <c r="A12395" s="34"/>
      <c r="B12395" s="35"/>
      <c r="C12395" s="36"/>
      <c r="D12395" s="37"/>
      <c r="E12395" s="36"/>
      <c r="F12395" s="42"/>
      <c r="G12395" s="42"/>
      <c r="H12395" s="42"/>
      <c r="AG12395" s="19"/>
    </row>
    <row r="12396" spans="1:33" ht="14.5" x14ac:dyDescent="0.35">
      <c r="A12396" s="34"/>
      <c r="B12396" s="35"/>
      <c r="C12396" s="36"/>
      <c r="D12396" s="37"/>
      <c r="E12396" s="36"/>
      <c r="F12396" s="42"/>
      <c r="G12396" s="42"/>
      <c r="H12396" s="42"/>
      <c r="AG12396" s="19"/>
    </row>
    <row r="12397" spans="1:33" ht="14.5" x14ac:dyDescent="0.35">
      <c r="A12397" s="34"/>
      <c r="B12397" s="35"/>
      <c r="C12397" s="36"/>
      <c r="D12397" s="37"/>
      <c r="E12397" s="36"/>
      <c r="F12397" s="42"/>
      <c r="G12397" s="42"/>
      <c r="H12397" s="42"/>
      <c r="AG12397" s="19"/>
    </row>
    <row r="12398" spans="1:33" ht="14.5" x14ac:dyDescent="0.35">
      <c r="A12398" s="34"/>
      <c r="B12398" s="35"/>
      <c r="C12398" s="36"/>
      <c r="D12398" s="37"/>
      <c r="E12398" s="36"/>
      <c r="F12398" s="42"/>
      <c r="G12398" s="42"/>
      <c r="H12398" s="42"/>
      <c r="AG12398" s="19"/>
    </row>
    <row r="12399" spans="1:33" ht="14.5" x14ac:dyDescent="0.35">
      <c r="A12399" s="34"/>
      <c r="B12399" s="35"/>
      <c r="C12399" s="36"/>
      <c r="D12399" s="37"/>
      <c r="E12399" s="36"/>
      <c r="F12399" s="42"/>
      <c r="G12399" s="42"/>
      <c r="H12399" s="42"/>
      <c r="AG12399" s="19"/>
    </row>
    <row r="12400" spans="1:33" ht="14.5" x14ac:dyDescent="0.35">
      <c r="A12400" s="34"/>
      <c r="B12400" s="35"/>
      <c r="C12400" s="36"/>
      <c r="D12400" s="37"/>
      <c r="E12400" s="36"/>
      <c r="F12400" s="42"/>
      <c r="G12400" s="42"/>
      <c r="H12400" s="42"/>
      <c r="AG12400" s="19"/>
    </row>
    <row r="12401" spans="1:33" ht="14.5" x14ac:dyDescent="0.35">
      <c r="A12401" s="34"/>
      <c r="B12401" s="35"/>
      <c r="C12401" s="36"/>
      <c r="D12401" s="37"/>
      <c r="E12401" s="36"/>
      <c r="F12401" s="42"/>
      <c r="G12401" s="42"/>
      <c r="H12401" s="42"/>
      <c r="AG12401" s="19"/>
    </row>
    <row r="12402" spans="1:33" ht="14.5" x14ac:dyDescent="0.35">
      <c r="A12402" s="34"/>
      <c r="B12402" s="35"/>
      <c r="C12402" s="36"/>
      <c r="D12402" s="37"/>
      <c r="E12402" s="36"/>
      <c r="F12402" s="42"/>
      <c r="G12402" s="42"/>
      <c r="H12402" s="42"/>
      <c r="AG12402" s="19"/>
    </row>
    <row r="12403" spans="1:33" ht="14.5" x14ac:dyDescent="0.35">
      <c r="A12403" s="34"/>
      <c r="B12403" s="35"/>
      <c r="C12403" s="36"/>
      <c r="D12403" s="37"/>
      <c r="E12403" s="36"/>
      <c r="F12403" s="42"/>
      <c r="G12403" s="42"/>
      <c r="H12403" s="42"/>
      <c r="AG12403" s="19"/>
    </row>
    <row r="12404" spans="1:33" ht="14.5" x14ac:dyDescent="0.35">
      <c r="A12404" s="34"/>
      <c r="B12404" s="35"/>
      <c r="C12404" s="36"/>
      <c r="D12404" s="37"/>
      <c r="E12404" s="36"/>
      <c r="F12404" s="42"/>
      <c r="G12404" s="42"/>
      <c r="H12404" s="42"/>
      <c r="AG12404" s="19"/>
    </row>
    <row r="12405" spans="1:33" ht="14.5" x14ac:dyDescent="0.35">
      <c r="A12405" s="34"/>
      <c r="B12405" s="35"/>
      <c r="C12405" s="36"/>
      <c r="D12405" s="37"/>
      <c r="E12405" s="36"/>
      <c r="F12405" s="42"/>
      <c r="G12405" s="42"/>
      <c r="H12405" s="42"/>
      <c r="AG12405" s="19"/>
    </row>
    <row r="12406" spans="1:33" ht="14.5" x14ac:dyDescent="0.35">
      <c r="A12406" s="34"/>
      <c r="B12406" s="35"/>
      <c r="C12406" s="36"/>
      <c r="D12406" s="37"/>
      <c r="E12406" s="36"/>
      <c r="F12406" s="42"/>
      <c r="G12406" s="42"/>
      <c r="H12406" s="42"/>
      <c r="AG12406" s="19"/>
    </row>
    <row r="12407" spans="1:33" ht="14.5" x14ac:dyDescent="0.35">
      <c r="A12407" s="34"/>
      <c r="B12407" s="35"/>
      <c r="C12407" s="36"/>
      <c r="D12407" s="37"/>
      <c r="E12407" s="36"/>
      <c r="F12407" s="42"/>
      <c r="G12407" s="42"/>
      <c r="H12407" s="42"/>
      <c r="AG12407" s="19"/>
    </row>
    <row r="12408" spans="1:33" ht="14.5" x14ac:dyDescent="0.35">
      <c r="A12408" s="34"/>
      <c r="B12408" s="35"/>
      <c r="C12408" s="36"/>
      <c r="D12408" s="37"/>
      <c r="E12408" s="36"/>
      <c r="F12408" s="42"/>
      <c r="G12408" s="42"/>
      <c r="H12408" s="42"/>
      <c r="AG12408" s="19"/>
    </row>
    <row r="12409" spans="1:33" ht="14.5" x14ac:dyDescent="0.35">
      <c r="A12409" s="34"/>
      <c r="B12409" s="35"/>
      <c r="C12409" s="36"/>
      <c r="D12409" s="37"/>
      <c r="E12409" s="36"/>
      <c r="F12409" s="42"/>
      <c r="G12409" s="42"/>
      <c r="H12409" s="42"/>
      <c r="AG12409" s="19"/>
    </row>
    <row r="12410" spans="1:33" ht="14.5" x14ac:dyDescent="0.35">
      <c r="A12410" s="34"/>
      <c r="B12410" s="35"/>
      <c r="C12410" s="36"/>
      <c r="D12410" s="37"/>
      <c r="E12410" s="36"/>
      <c r="F12410" s="42"/>
      <c r="G12410" s="42"/>
      <c r="H12410" s="42"/>
      <c r="AG12410" s="19"/>
    </row>
    <row r="12411" spans="1:33" ht="14.5" x14ac:dyDescent="0.35">
      <c r="A12411" s="34"/>
      <c r="B12411" s="35"/>
      <c r="C12411" s="36"/>
      <c r="D12411" s="37"/>
      <c r="E12411" s="36"/>
      <c r="F12411" s="42"/>
      <c r="G12411" s="42"/>
      <c r="H12411" s="42"/>
      <c r="AG12411" s="19"/>
    </row>
    <row r="12412" spans="1:33" ht="14.5" x14ac:dyDescent="0.35">
      <c r="A12412" s="34"/>
      <c r="B12412" s="35"/>
      <c r="C12412" s="36"/>
      <c r="D12412" s="37"/>
      <c r="E12412" s="36"/>
      <c r="F12412" s="42"/>
      <c r="G12412" s="42"/>
      <c r="H12412" s="42"/>
      <c r="AG12412" s="19"/>
    </row>
    <row r="12413" spans="1:33" ht="14.5" x14ac:dyDescent="0.35">
      <c r="A12413" s="34"/>
      <c r="B12413" s="35"/>
      <c r="C12413" s="36"/>
      <c r="D12413" s="37"/>
      <c r="E12413" s="36"/>
      <c r="F12413" s="42"/>
      <c r="G12413" s="42"/>
      <c r="H12413" s="42"/>
      <c r="AG12413" s="19"/>
    </row>
    <row r="12414" spans="1:33" ht="14.5" x14ac:dyDescent="0.35">
      <c r="A12414" s="34"/>
      <c r="B12414" s="35"/>
      <c r="C12414" s="36"/>
      <c r="D12414" s="37"/>
      <c r="E12414" s="36"/>
      <c r="F12414" s="42"/>
      <c r="G12414" s="42"/>
      <c r="H12414" s="42"/>
      <c r="AG12414" s="19"/>
    </row>
    <row r="12415" spans="1:33" ht="14.5" x14ac:dyDescent="0.35">
      <c r="A12415" s="34"/>
      <c r="B12415" s="35"/>
      <c r="C12415" s="36"/>
      <c r="D12415" s="37"/>
      <c r="E12415" s="36"/>
      <c r="F12415" s="42"/>
      <c r="G12415" s="42"/>
      <c r="H12415" s="42"/>
      <c r="AG12415" s="19"/>
    </row>
    <row r="12416" spans="1:33" ht="14.5" x14ac:dyDescent="0.35">
      <c r="A12416" s="34"/>
      <c r="B12416" s="35"/>
      <c r="C12416" s="36"/>
      <c r="D12416" s="37"/>
      <c r="E12416" s="36"/>
      <c r="F12416" s="42"/>
      <c r="G12416" s="42"/>
      <c r="H12416" s="42"/>
      <c r="AG12416" s="19"/>
    </row>
    <row r="12417" spans="1:33" ht="14.5" x14ac:dyDescent="0.35">
      <c r="A12417" s="34"/>
      <c r="B12417" s="35"/>
      <c r="C12417" s="36"/>
      <c r="D12417" s="37"/>
      <c r="E12417" s="36"/>
      <c r="F12417" s="42"/>
      <c r="G12417" s="42"/>
      <c r="H12417" s="42"/>
      <c r="AG12417" s="19"/>
    </row>
    <row r="12418" spans="1:33" ht="14.5" x14ac:dyDescent="0.35">
      <c r="A12418" s="34"/>
      <c r="B12418" s="35"/>
      <c r="C12418" s="36"/>
      <c r="D12418" s="37"/>
      <c r="E12418" s="36"/>
      <c r="F12418" s="42"/>
      <c r="G12418" s="42"/>
      <c r="H12418" s="42"/>
      <c r="AG12418" s="19"/>
    </row>
    <row r="12419" spans="1:33" ht="14.5" x14ac:dyDescent="0.35">
      <c r="A12419" s="34"/>
      <c r="B12419" s="35"/>
      <c r="C12419" s="36"/>
      <c r="D12419" s="37"/>
      <c r="E12419" s="36"/>
      <c r="F12419" s="42"/>
      <c r="G12419" s="42"/>
      <c r="H12419" s="42"/>
      <c r="AG12419" s="19"/>
    </row>
    <row r="12420" spans="1:33" ht="14.5" x14ac:dyDescent="0.35">
      <c r="A12420" s="34"/>
      <c r="B12420" s="35"/>
      <c r="C12420" s="36"/>
      <c r="D12420" s="37"/>
      <c r="E12420" s="36"/>
      <c r="F12420" s="42"/>
      <c r="G12420" s="42"/>
      <c r="H12420" s="42"/>
      <c r="AG12420" s="19"/>
    </row>
    <row r="12421" spans="1:33" ht="14.5" x14ac:dyDescent="0.35">
      <c r="A12421" s="34"/>
      <c r="B12421" s="35"/>
      <c r="C12421" s="36"/>
      <c r="D12421" s="37"/>
      <c r="E12421" s="36"/>
      <c r="F12421" s="42"/>
      <c r="G12421" s="42"/>
      <c r="H12421" s="42"/>
      <c r="AG12421" s="19"/>
    </row>
    <row r="12422" spans="1:33" ht="14.5" x14ac:dyDescent="0.35">
      <c r="A12422" s="34"/>
      <c r="B12422" s="35"/>
      <c r="C12422" s="36"/>
      <c r="D12422" s="37"/>
      <c r="E12422" s="36"/>
      <c r="F12422" s="42"/>
      <c r="G12422" s="42"/>
      <c r="H12422" s="42"/>
      <c r="AG12422" s="19"/>
    </row>
    <row r="12423" spans="1:33" ht="14.5" x14ac:dyDescent="0.35">
      <c r="A12423" s="34"/>
      <c r="B12423" s="35"/>
      <c r="C12423" s="36"/>
      <c r="D12423" s="37"/>
      <c r="E12423" s="36"/>
      <c r="F12423" s="42"/>
      <c r="G12423" s="42"/>
      <c r="H12423" s="42"/>
      <c r="AG12423" s="19"/>
    </row>
    <row r="12424" spans="1:33" ht="14.5" x14ac:dyDescent="0.35">
      <c r="A12424" s="34"/>
      <c r="B12424" s="35"/>
      <c r="C12424" s="36"/>
      <c r="D12424" s="37"/>
      <c r="E12424" s="36"/>
      <c r="F12424" s="42"/>
      <c r="G12424" s="42"/>
      <c r="H12424" s="42"/>
      <c r="AG12424" s="19"/>
    </row>
    <row r="12425" spans="1:33" ht="14.5" x14ac:dyDescent="0.35">
      <c r="A12425" s="34"/>
      <c r="B12425" s="35"/>
      <c r="C12425" s="36"/>
      <c r="D12425" s="37"/>
      <c r="E12425" s="36"/>
      <c r="F12425" s="42"/>
      <c r="G12425" s="42"/>
      <c r="H12425" s="42"/>
      <c r="AG12425" s="19"/>
    </row>
    <row r="12426" spans="1:33" ht="14.5" x14ac:dyDescent="0.35">
      <c r="A12426" s="34"/>
      <c r="B12426" s="35"/>
      <c r="C12426" s="36"/>
      <c r="D12426" s="37"/>
      <c r="E12426" s="36"/>
      <c r="F12426" s="42"/>
      <c r="G12426" s="42"/>
      <c r="H12426" s="42"/>
      <c r="AG12426" s="19"/>
    </row>
    <row r="12427" spans="1:33" ht="14.5" x14ac:dyDescent="0.35">
      <c r="A12427" s="34"/>
      <c r="B12427" s="35"/>
      <c r="C12427" s="36"/>
      <c r="D12427" s="37"/>
      <c r="E12427" s="36"/>
      <c r="F12427" s="42"/>
      <c r="G12427" s="42"/>
      <c r="H12427" s="42"/>
      <c r="AG12427" s="19"/>
    </row>
    <row r="12428" spans="1:33" ht="14.5" x14ac:dyDescent="0.35">
      <c r="A12428" s="34"/>
      <c r="B12428" s="35"/>
      <c r="C12428" s="36"/>
      <c r="D12428" s="37"/>
      <c r="E12428" s="36"/>
      <c r="F12428" s="42"/>
      <c r="G12428" s="42"/>
      <c r="H12428" s="42"/>
      <c r="AG12428" s="19"/>
    </row>
    <row r="12429" spans="1:33" ht="14.5" x14ac:dyDescent="0.35">
      <c r="A12429" s="34"/>
      <c r="B12429" s="35"/>
      <c r="C12429" s="36"/>
      <c r="D12429" s="37"/>
      <c r="E12429" s="36"/>
      <c r="F12429" s="42"/>
      <c r="G12429" s="42"/>
      <c r="H12429" s="42"/>
      <c r="AG12429" s="19"/>
    </row>
    <row r="12430" spans="1:33" ht="14.5" x14ac:dyDescent="0.35">
      <c r="A12430" s="34"/>
      <c r="B12430" s="35"/>
      <c r="C12430" s="36"/>
      <c r="D12430" s="37"/>
      <c r="E12430" s="36"/>
      <c r="F12430" s="42"/>
      <c r="G12430" s="42"/>
      <c r="H12430" s="42"/>
      <c r="AG12430" s="19"/>
    </row>
    <row r="12431" spans="1:33" ht="14.5" x14ac:dyDescent="0.35">
      <c r="A12431" s="34"/>
      <c r="B12431" s="35"/>
      <c r="C12431" s="36"/>
      <c r="D12431" s="37"/>
      <c r="E12431" s="36"/>
      <c r="F12431" s="42"/>
      <c r="G12431" s="42"/>
      <c r="H12431" s="42"/>
      <c r="AG12431" s="19"/>
    </row>
    <row r="12432" spans="1:33" ht="14.5" x14ac:dyDescent="0.35">
      <c r="A12432" s="34"/>
      <c r="B12432" s="35"/>
      <c r="C12432" s="36"/>
      <c r="D12432" s="37"/>
      <c r="E12432" s="36"/>
      <c r="F12432" s="42"/>
      <c r="G12432" s="42"/>
      <c r="H12432" s="42"/>
      <c r="AG12432" s="19"/>
    </row>
    <row r="12433" spans="1:33" ht="14.5" x14ac:dyDescent="0.35">
      <c r="A12433" s="34"/>
      <c r="B12433" s="35"/>
      <c r="C12433" s="36"/>
      <c r="D12433" s="37"/>
      <c r="E12433" s="36"/>
      <c r="F12433" s="42"/>
      <c r="G12433" s="42"/>
      <c r="H12433" s="42"/>
      <c r="AG12433" s="19"/>
    </row>
    <row r="12434" spans="1:33" ht="14.5" x14ac:dyDescent="0.35">
      <c r="A12434" s="34"/>
      <c r="B12434" s="35"/>
      <c r="C12434" s="36"/>
      <c r="D12434" s="37"/>
      <c r="E12434" s="36"/>
      <c r="F12434" s="42"/>
      <c r="G12434" s="42"/>
      <c r="H12434" s="42"/>
      <c r="AG12434" s="19"/>
    </row>
    <row r="12435" spans="1:33" ht="14.5" x14ac:dyDescent="0.35">
      <c r="A12435" s="34"/>
      <c r="B12435" s="35"/>
      <c r="C12435" s="36"/>
      <c r="D12435" s="37"/>
      <c r="E12435" s="36"/>
      <c r="F12435" s="42"/>
      <c r="G12435" s="42"/>
      <c r="H12435" s="42"/>
      <c r="AG12435" s="19"/>
    </row>
    <row r="12436" spans="1:33" ht="14.5" x14ac:dyDescent="0.35">
      <c r="A12436" s="34"/>
      <c r="B12436" s="35"/>
      <c r="C12436" s="36"/>
      <c r="D12436" s="37"/>
      <c r="E12436" s="36"/>
      <c r="F12436" s="42"/>
      <c r="G12436" s="42"/>
      <c r="H12436" s="42"/>
      <c r="AG12436" s="19"/>
    </row>
    <row r="12437" spans="1:33" ht="14.5" x14ac:dyDescent="0.35">
      <c r="A12437" s="34"/>
      <c r="B12437" s="35"/>
      <c r="C12437" s="36"/>
      <c r="D12437" s="37"/>
      <c r="E12437" s="36"/>
      <c r="F12437" s="42"/>
      <c r="G12437" s="42"/>
      <c r="H12437" s="42"/>
      <c r="AG12437" s="19"/>
    </row>
    <row r="12438" spans="1:33" ht="14.5" x14ac:dyDescent="0.35">
      <c r="A12438" s="34"/>
      <c r="B12438" s="35"/>
      <c r="C12438" s="36"/>
      <c r="D12438" s="37"/>
      <c r="E12438" s="36"/>
      <c r="F12438" s="42"/>
      <c r="G12438" s="42"/>
      <c r="H12438" s="42"/>
      <c r="AG12438" s="19"/>
    </row>
    <row r="12439" spans="1:33" ht="14.5" x14ac:dyDescent="0.35">
      <c r="A12439" s="34"/>
      <c r="B12439" s="35"/>
      <c r="C12439" s="36"/>
      <c r="D12439" s="37"/>
      <c r="E12439" s="36"/>
      <c r="F12439" s="42"/>
      <c r="G12439" s="42"/>
      <c r="H12439" s="42"/>
      <c r="AG12439" s="19"/>
    </row>
    <row r="12440" spans="1:33" ht="14.5" x14ac:dyDescent="0.35">
      <c r="A12440" s="34"/>
      <c r="B12440" s="35"/>
      <c r="C12440" s="36"/>
      <c r="D12440" s="37"/>
      <c r="E12440" s="36"/>
      <c r="F12440" s="42"/>
      <c r="G12440" s="42"/>
      <c r="H12440" s="42"/>
      <c r="AG12440" s="19"/>
    </row>
    <row r="12441" spans="1:33" ht="14.5" x14ac:dyDescent="0.35">
      <c r="A12441" s="34"/>
      <c r="B12441" s="35"/>
      <c r="C12441" s="36"/>
      <c r="D12441" s="37"/>
      <c r="E12441" s="36"/>
      <c r="F12441" s="42"/>
      <c r="G12441" s="42"/>
      <c r="H12441" s="42"/>
      <c r="AG12441" s="19"/>
    </row>
    <row r="12442" spans="1:33" ht="14.5" x14ac:dyDescent="0.35">
      <c r="A12442" s="34"/>
      <c r="B12442" s="35"/>
      <c r="C12442" s="36"/>
      <c r="D12442" s="37"/>
      <c r="E12442" s="36"/>
      <c r="F12442" s="42"/>
      <c r="G12442" s="42"/>
      <c r="H12442" s="42"/>
      <c r="AG12442" s="19"/>
    </row>
    <row r="12443" spans="1:33" ht="14.5" x14ac:dyDescent="0.35">
      <c r="A12443" s="34"/>
      <c r="B12443" s="35"/>
      <c r="C12443" s="36"/>
      <c r="D12443" s="37"/>
      <c r="E12443" s="36"/>
      <c r="F12443" s="42"/>
      <c r="G12443" s="42"/>
      <c r="H12443" s="42"/>
      <c r="AG12443" s="19"/>
    </row>
    <row r="12444" spans="1:33" ht="14.5" x14ac:dyDescent="0.35">
      <c r="A12444" s="34"/>
      <c r="B12444" s="35"/>
      <c r="C12444" s="36"/>
      <c r="D12444" s="37"/>
      <c r="E12444" s="36"/>
      <c r="F12444" s="42"/>
      <c r="G12444" s="42"/>
      <c r="H12444" s="42"/>
      <c r="AG12444" s="19"/>
    </row>
    <row r="12445" spans="1:33" ht="14.5" x14ac:dyDescent="0.35">
      <c r="A12445" s="34"/>
      <c r="B12445" s="35"/>
      <c r="C12445" s="36"/>
      <c r="D12445" s="37"/>
      <c r="E12445" s="36"/>
      <c r="F12445" s="42"/>
      <c r="G12445" s="42"/>
      <c r="H12445" s="42"/>
      <c r="AG12445" s="19"/>
    </row>
    <row r="12446" spans="1:33" ht="14.5" x14ac:dyDescent="0.35">
      <c r="A12446" s="34"/>
      <c r="B12446" s="35"/>
      <c r="C12446" s="36"/>
      <c r="D12446" s="37"/>
      <c r="E12446" s="36"/>
      <c r="F12446" s="42"/>
      <c r="G12446" s="42"/>
      <c r="H12446" s="42"/>
      <c r="AG12446" s="19"/>
    </row>
    <row r="12447" spans="1:33" ht="14.5" x14ac:dyDescent="0.35">
      <c r="A12447" s="34"/>
      <c r="B12447" s="35"/>
      <c r="C12447" s="36"/>
      <c r="D12447" s="37"/>
      <c r="E12447" s="36"/>
      <c r="F12447" s="42"/>
      <c r="G12447" s="42"/>
      <c r="H12447" s="42"/>
      <c r="AG12447" s="19"/>
    </row>
    <row r="12448" spans="1:33" ht="14.5" x14ac:dyDescent="0.35">
      <c r="A12448" s="34"/>
      <c r="B12448" s="35"/>
      <c r="C12448" s="36"/>
      <c r="D12448" s="37"/>
      <c r="E12448" s="36"/>
      <c r="F12448" s="42"/>
      <c r="G12448" s="42"/>
      <c r="H12448" s="42"/>
      <c r="AG12448" s="19"/>
    </row>
    <row r="12449" spans="1:33" ht="14.5" x14ac:dyDescent="0.35">
      <c r="A12449" s="34"/>
      <c r="B12449" s="35"/>
      <c r="C12449" s="36"/>
      <c r="D12449" s="37"/>
      <c r="E12449" s="36"/>
      <c r="F12449" s="42"/>
      <c r="G12449" s="42"/>
      <c r="H12449" s="42"/>
      <c r="AG12449" s="19"/>
    </row>
    <row r="12450" spans="1:33" ht="14.5" x14ac:dyDescent="0.35">
      <c r="A12450" s="34"/>
      <c r="B12450" s="35"/>
      <c r="C12450" s="36"/>
      <c r="D12450" s="37"/>
      <c r="E12450" s="36"/>
      <c r="F12450" s="42"/>
      <c r="G12450" s="42"/>
      <c r="H12450" s="42"/>
      <c r="AG12450" s="19"/>
    </row>
    <row r="12451" spans="1:33" ht="14.5" x14ac:dyDescent="0.35">
      <c r="A12451" s="34"/>
      <c r="B12451" s="35"/>
      <c r="C12451" s="36"/>
      <c r="D12451" s="37"/>
      <c r="E12451" s="36"/>
      <c r="F12451" s="42"/>
      <c r="G12451" s="42"/>
      <c r="H12451" s="42"/>
      <c r="AG12451" s="19"/>
    </row>
    <row r="12452" spans="1:33" ht="14.5" x14ac:dyDescent="0.35">
      <c r="A12452" s="34"/>
      <c r="B12452" s="35"/>
      <c r="C12452" s="36"/>
      <c r="D12452" s="37"/>
      <c r="E12452" s="36"/>
      <c r="F12452" s="42"/>
      <c r="G12452" s="42"/>
      <c r="H12452" s="42"/>
      <c r="AG12452" s="19"/>
    </row>
    <row r="12453" spans="1:33" ht="14.5" x14ac:dyDescent="0.35">
      <c r="A12453" s="34"/>
      <c r="B12453" s="35"/>
      <c r="C12453" s="36"/>
      <c r="D12453" s="37"/>
      <c r="E12453" s="36"/>
      <c r="F12453" s="42"/>
      <c r="G12453" s="42"/>
      <c r="H12453" s="42"/>
      <c r="AG12453" s="19"/>
    </row>
    <row r="12454" spans="1:33" ht="14.5" x14ac:dyDescent="0.35">
      <c r="A12454" s="34"/>
      <c r="B12454" s="35"/>
      <c r="C12454" s="36"/>
      <c r="D12454" s="37"/>
      <c r="E12454" s="36"/>
      <c r="F12454" s="42"/>
      <c r="G12454" s="42"/>
      <c r="H12454" s="42"/>
      <c r="AG12454" s="19"/>
    </row>
    <row r="12455" spans="1:33" ht="14.5" x14ac:dyDescent="0.35">
      <c r="A12455" s="34"/>
      <c r="B12455" s="35"/>
      <c r="C12455" s="36"/>
      <c r="D12455" s="37"/>
      <c r="E12455" s="36"/>
      <c r="F12455" s="42"/>
      <c r="G12455" s="42"/>
      <c r="H12455" s="42"/>
      <c r="AG12455" s="19"/>
    </row>
    <row r="12456" spans="1:33" ht="14.5" x14ac:dyDescent="0.35">
      <c r="A12456" s="34"/>
      <c r="B12456" s="35"/>
      <c r="C12456" s="36"/>
      <c r="D12456" s="37"/>
      <c r="E12456" s="36"/>
      <c r="F12456" s="42"/>
      <c r="G12456" s="42"/>
      <c r="H12456" s="42"/>
      <c r="AG12456" s="19"/>
    </row>
    <row r="12457" spans="1:33" ht="14.5" x14ac:dyDescent="0.35">
      <c r="A12457" s="34"/>
      <c r="B12457" s="35"/>
      <c r="C12457" s="36"/>
      <c r="D12457" s="37"/>
      <c r="E12457" s="36"/>
      <c r="F12457" s="42"/>
      <c r="G12457" s="42"/>
      <c r="H12457" s="42"/>
      <c r="AG12457" s="19"/>
    </row>
    <row r="12458" spans="1:33" ht="14.5" x14ac:dyDescent="0.35">
      <c r="A12458" s="34"/>
      <c r="B12458" s="35"/>
      <c r="C12458" s="36"/>
      <c r="D12458" s="37"/>
      <c r="E12458" s="36"/>
      <c r="F12458" s="42"/>
      <c r="G12458" s="42"/>
      <c r="H12458" s="42"/>
      <c r="AG12458" s="19"/>
    </row>
    <row r="12459" spans="1:33" ht="14.5" x14ac:dyDescent="0.35">
      <c r="A12459" s="34"/>
      <c r="B12459" s="35"/>
      <c r="C12459" s="36"/>
      <c r="D12459" s="37"/>
      <c r="E12459" s="36"/>
      <c r="F12459" s="42"/>
      <c r="G12459" s="42"/>
      <c r="H12459" s="42"/>
      <c r="AG12459" s="19"/>
    </row>
    <row r="12460" spans="1:33" ht="14.5" x14ac:dyDescent="0.35">
      <c r="A12460" s="34"/>
      <c r="B12460" s="35"/>
      <c r="C12460" s="36"/>
      <c r="D12460" s="37"/>
      <c r="E12460" s="36"/>
      <c r="F12460" s="42"/>
      <c r="G12460" s="42"/>
      <c r="H12460" s="42"/>
      <c r="AG12460" s="19"/>
    </row>
    <row r="12461" spans="1:33" ht="14.5" x14ac:dyDescent="0.35">
      <c r="A12461" s="34"/>
      <c r="B12461" s="35"/>
      <c r="C12461" s="36"/>
      <c r="D12461" s="37"/>
      <c r="E12461" s="36"/>
      <c r="F12461" s="42"/>
      <c r="G12461" s="42"/>
      <c r="H12461" s="42"/>
      <c r="AG12461" s="19"/>
    </row>
    <row r="12462" spans="1:33" ht="14.5" x14ac:dyDescent="0.35">
      <c r="A12462" s="34"/>
      <c r="B12462" s="35"/>
      <c r="C12462" s="36"/>
      <c r="D12462" s="37"/>
      <c r="E12462" s="36"/>
      <c r="F12462" s="42"/>
      <c r="G12462" s="42"/>
      <c r="H12462" s="42"/>
      <c r="AG12462" s="19"/>
    </row>
    <row r="12463" spans="1:33" ht="14.5" x14ac:dyDescent="0.35">
      <c r="A12463" s="34"/>
      <c r="B12463" s="35"/>
      <c r="C12463" s="36"/>
      <c r="D12463" s="37"/>
      <c r="E12463" s="36"/>
      <c r="F12463" s="42"/>
      <c r="G12463" s="42"/>
      <c r="H12463" s="42"/>
      <c r="AG12463" s="19"/>
    </row>
    <row r="12464" spans="1:33" ht="14.5" x14ac:dyDescent="0.35">
      <c r="A12464" s="34"/>
      <c r="B12464" s="35"/>
      <c r="C12464" s="36"/>
      <c r="D12464" s="37"/>
      <c r="E12464" s="36"/>
      <c r="F12464" s="42"/>
      <c r="G12464" s="42"/>
      <c r="H12464" s="42"/>
      <c r="AG12464" s="19"/>
    </row>
    <row r="12465" spans="1:33" ht="14.5" x14ac:dyDescent="0.35">
      <c r="A12465" s="34"/>
      <c r="B12465" s="35"/>
      <c r="C12465" s="36"/>
      <c r="D12465" s="37"/>
      <c r="E12465" s="36"/>
      <c r="F12465" s="42"/>
      <c r="G12465" s="42"/>
      <c r="H12465" s="42"/>
      <c r="AG12465" s="19"/>
    </row>
    <row r="12466" spans="1:33" ht="14.5" x14ac:dyDescent="0.35">
      <c r="A12466" s="34"/>
      <c r="B12466" s="35"/>
      <c r="C12466" s="36"/>
      <c r="D12466" s="37"/>
      <c r="E12466" s="36"/>
      <c r="F12466" s="42"/>
      <c r="G12466" s="42"/>
      <c r="H12466" s="42"/>
      <c r="AG12466" s="19"/>
    </row>
    <row r="12467" spans="1:33" ht="14.5" x14ac:dyDescent="0.35">
      <c r="A12467" s="34"/>
      <c r="B12467" s="35"/>
      <c r="C12467" s="36"/>
      <c r="D12467" s="37"/>
      <c r="E12467" s="36"/>
      <c r="F12467" s="42"/>
      <c r="G12467" s="42"/>
      <c r="H12467" s="42"/>
      <c r="AG12467" s="19"/>
    </row>
    <row r="12468" spans="1:33" ht="14.5" x14ac:dyDescent="0.35">
      <c r="A12468" s="34"/>
      <c r="B12468" s="35"/>
      <c r="C12468" s="36"/>
      <c r="D12468" s="37"/>
      <c r="E12468" s="36"/>
      <c r="F12468" s="42"/>
      <c r="G12468" s="42"/>
      <c r="H12468" s="42"/>
      <c r="AG12468" s="19"/>
    </row>
    <row r="12469" spans="1:33" ht="14.5" x14ac:dyDescent="0.35">
      <c r="A12469" s="34"/>
      <c r="B12469" s="35"/>
      <c r="C12469" s="36"/>
      <c r="D12469" s="37"/>
      <c r="E12469" s="36"/>
      <c r="F12469" s="42"/>
      <c r="G12469" s="42"/>
      <c r="H12469" s="42"/>
      <c r="AG12469" s="19"/>
    </row>
    <row r="12470" spans="1:33" ht="14.5" x14ac:dyDescent="0.35">
      <c r="A12470" s="34"/>
      <c r="B12470" s="35"/>
      <c r="C12470" s="36"/>
      <c r="D12470" s="37"/>
      <c r="E12470" s="36"/>
      <c r="F12470" s="42"/>
      <c r="G12470" s="42"/>
      <c r="H12470" s="42"/>
      <c r="AG12470" s="19"/>
    </row>
    <row r="12471" spans="1:33" ht="14.5" x14ac:dyDescent="0.35">
      <c r="A12471" s="34"/>
      <c r="B12471" s="35"/>
      <c r="C12471" s="36"/>
      <c r="D12471" s="37"/>
      <c r="E12471" s="36"/>
      <c r="F12471" s="42"/>
      <c r="G12471" s="42"/>
      <c r="H12471" s="42"/>
      <c r="AG12471" s="19"/>
    </row>
    <row r="12472" spans="1:33" ht="14.5" x14ac:dyDescent="0.35">
      <c r="A12472" s="34"/>
      <c r="B12472" s="35"/>
      <c r="C12472" s="36"/>
      <c r="D12472" s="37"/>
      <c r="E12472" s="36"/>
      <c r="F12472" s="42"/>
      <c r="G12472" s="42"/>
      <c r="H12472" s="42"/>
      <c r="AG12472" s="19"/>
    </row>
    <row r="12473" spans="1:33" ht="14.5" x14ac:dyDescent="0.35">
      <c r="A12473" s="34"/>
      <c r="B12473" s="35"/>
      <c r="C12473" s="36"/>
      <c r="D12473" s="37"/>
      <c r="E12473" s="36"/>
      <c r="F12473" s="42"/>
      <c r="G12473" s="42"/>
      <c r="H12473" s="42"/>
      <c r="AG12473" s="19"/>
    </row>
    <row r="12474" spans="1:33" ht="14.5" x14ac:dyDescent="0.35">
      <c r="A12474" s="34"/>
      <c r="B12474" s="35"/>
      <c r="C12474" s="36"/>
      <c r="D12474" s="37"/>
      <c r="E12474" s="36"/>
      <c r="F12474" s="42"/>
      <c r="G12474" s="42"/>
      <c r="H12474" s="42"/>
      <c r="AG12474" s="19"/>
    </row>
    <row r="12475" spans="1:33" ht="14.5" x14ac:dyDescent="0.35">
      <c r="A12475" s="34"/>
      <c r="B12475" s="35"/>
      <c r="C12475" s="36"/>
      <c r="D12475" s="37"/>
      <c r="E12475" s="36"/>
      <c r="F12475" s="42"/>
      <c r="G12475" s="42"/>
      <c r="H12475" s="42"/>
      <c r="AG12475" s="19"/>
    </row>
    <row r="12476" spans="1:33" ht="14.5" x14ac:dyDescent="0.35">
      <c r="A12476" s="34"/>
      <c r="B12476" s="35"/>
      <c r="C12476" s="36"/>
      <c r="D12476" s="37"/>
      <c r="E12476" s="36"/>
      <c r="F12476" s="42"/>
      <c r="G12476" s="42"/>
      <c r="H12476" s="42"/>
      <c r="AG12476" s="19"/>
    </row>
    <row r="12477" spans="1:33" ht="14.5" x14ac:dyDescent="0.35">
      <c r="A12477" s="34"/>
      <c r="B12477" s="35"/>
      <c r="C12477" s="36"/>
      <c r="D12477" s="37"/>
      <c r="E12477" s="36"/>
      <c r="F12477" s="42"/>
      <c r="G12477" s="42"/>
      <c r="H12477" s="42"/>
      <c r="AG12477" s="19"/>
    </row>
    <row r="12478" spans="1:33" ht="14.5" x14ac:dyDescent="0.35">
      <c r="A12478" s="34"/>
      <c r="B12478" s="35"/>
      <c r="C12478" s="36"/>
      <c r="D12478" s="37"/>
      <c r="E12478" s="36"/>
      <c r="F12478" s="42"/>
      <c r="G12478" s="42"/>
      <c r="H12478" s="42"/>
      <c r="AG12478" s="19"/>
    </row>
    <row r="12479" spans="1:33" ht="14.5" x14ac:dyDescent="0.35">
      <c r="A12479" s="34"/>
      <c r="B12479" s="35"/>
      <c r="C12479" s="36"/>
      <c r="D12479" s="37"/>
      <c r="E12479" s="36"/>
      <c r="F12479" s="42"/>
      <c r="G12479" s="42"/>
      <c r="H12479" s="42"/>
      <c r="AG12479" s="19"/>
    </row>
    <row r="12480" spans="1:33" ht="14.5" x14ac:dyDescent="0.35">
      <c r="A12480" s="34"/>
      <c r="B12480" s="35"/>
      <c r="C12480" s="36"/>
      <c r="D12480" s="37"/>
      <c r="E12480" s="36"/>
      <c r="F12480" s="42"/>
      <c r="G12480" s="42"/>
      <c r="H12480" s="42"/>
      <c r="AG12480" s="19"/>
    </row>
    <row r="12481" spans="1:33" ht="14.5" x14ac:dyDescent="0.35">
      <c r="A12481" s="34"/>
      <c r="B12481" s="35"/>
      <c r="C12481" s="36"/>
      <c r="D12481" s="37"/>
      <c r="E12481" s="36"/>
      <c r="F12481" s="42"/>
      <c r="G12481" s="42"/>
      <c r="H12481" s="42"/>
      <c r="AG12481" s="19"/>
    </row>
    <row r="12482" spans="1:33" ht="14.5" x14ac:dyDescent="0.35">
      <c r="A12482" s="34"/>
      <c r="B12482" s="35"/>
      <c r="C12482" s="36"/>
      <c r="D12482" s="37"/>
      <c r="E12482" s="36"/>
      <c r="F12482" s="42"/>
      <c r="G12482" s="42"/>
      <c r="H12482" s="42"/>
      <c r="AG12482" s="19"/>
    </row>
    <row r="12483" spans="1:33" ht="14.5" x14ac:dyDescent="0.35">
      <c r="A12483" s="34"/>
      <c r="B12483" s="35"/>
      <c r="C12483" s="36"/>
      <c r="D12483" s="37"/>
      <c r="E12483" s="36"/>
      <c r="F12483" s="42"/>
      <c r="G12483" s="42"/>
      <c r="H12483" s="42"/>
      <c r="AG12483" s="19"/>
    </row>
    <row r="12484" spans="1:33" ht="14.5" x14ac:dyDescent="0.35">
      <c r="A12484" s="34"/>
      <c r="B12484" s="35"/>
      <c r="C12484" s="36"/>
      <c r="D12484" s="37"/>
      <c r="E12484" s="36"/>
      <c r="F12484" s="42"/>
      <c r="G12484" s="42"/>
      <c r="H12484" s="42"/>
      <c r="AG12484" s="19"/>
    </row>
    <row r="12485" spans="1:33" ht="14.5" x14ac:dyDescent="0.35">
      <c r="A12485" s="34"/>
      <c r="B12485" s="35"/>
      <c r="C12485" s="36"/>
      <c r="D12485" s="37"/>
      <c r="E12485" s="36"/>
      <c r="F12485" s="42"/>
      <c r="G12485" s="42"/>
      <c r="H12485" s="42"/>
      <c r="AG12485" s="19"/>
    </row>
    <row r="12486" spans="1:33" ht="14.5" x14ac:dyDescent="0.35">
      <c r="A12486" s="34"/>
      <c r="B12486" s="35"/>
      <c r="C12486" s="36"/>
      <c r="D12486" s="37"/>
      <c r="E12486" s="36"/>
      <c r="F12486" s="42"/>
      <c r="G12486" s="42"/>
      <c r="H12486" s="42"/>
      <c r="AG12486" s="19"/>
    </row>
    <row r="12487" spans="1:33" ht="14.5" x14ac:dyDescent="0.35">
      <c r="A12487" s="34"/>
      <c r="B12487" s="35"/>
      <c r="C12487" s="36"/>
      <c r="D12487" s="37"/>
      <c r="E12487" s="36"/>
      <c r="F12487" s="42"/>
      <c r="G12487" s="42"/>
      <c r="H12487" s="42"/>
      <c r="AG12487" s="19"/>
    </row>
    <row r="12488" spans="1:33" ht="14.5" x14ac:dyDescent="0.35">
      <c r="A12488" s="34"/>
      <c r="B12488" s="35"/>
      <c r="C12488" s="36"/>
      <c r="D12488" s="37"/>
      <c r="E12488" s="36"/>
      <c r="F12488" s="42"/>
      <c r="G12488" s="42"/>
      <c r="H12488" s="42"/>
      <c r="AG12488" s="19"/>
    </row>
    <row r="12489" spans="1:33" ht="14.5" x14ac:dyDescent="0.35">
      <c r="A12489" s="34"/>
      <c r="B12489" s="35"/>
      <c r="C12489" s="36"/>
      <c r="D12489" s="37"/>
      <c r="E12489" s="36"/>
      <c r="F12489" s="42"/>
      <c r="G12489" s="42"/>
      <c r="H12489" s="42"/>
      <c r="AG12489" s="19"/>
    </row>
    <row r="12490" spans="1:33" ht="14.5" x14ac:dyDescent="0.35">
      <c r="A12490" s="34"/>
      <c r="B12490" s="35"/>
      <c r="C12490" s="36"/>
      <c r="D12490" s="37"/>
      <c r="E12490" s="36"/>
      <c r="F12490" s="42"/>
      <c r="G12490" s="42"/>
      <c r="H12490" s="42"/>
      <c r="AG12490" s="19"/>
    </row>
    <row r="12491" spans="1:33" ht="14.5" x14ac:dyDescent="0.35">
      <c r="A12491" s="34"/>
      <c r="B12491" s="35"/>
      <c r="C12491" s="36"/>
      <c r="D12491" s="37"/>
      <c r="E12491" s="36"/>
      <c r="F12491" s="42"/>
      <c r="G12491" s="42"/>
      <c r="H12491" s="42"/>
      <c r="AG12491" s="19"/>
    </row>
    <row r="12492" spans="1:33" ht="14.5" x14ac:dyDescent="0.35">
      <c r="A12492" s="34"/>
      <c r="B12492" s="35"/>
      <c r="C12492" s="36"/>
      <c r="D12492" s="37"/>
      <c r="E12492" s="36"/>
      <c r="F12492" s="42"/>
      <c r="G12492" s="42"/>
      <c r="H12492" s="42"/>
      <c r="AG12492" s="19"/>
    </row>
    <row r="12493" spans="1:33" ht="14.5" x14ac:dyDescent="0.35">
      <c r="A12493" s="34"/>
      <c r="B12493" s="35"/>
      <c r="C12493" s="36"/>
      <c r="D12493" s="37"/>
      <c r="E12493" s="36"/>
      <c r="F12493" s="42"/>
      <c r="G12493" s="42"/>
      <c r="H12493" s="42"/>
      <c r="AG12493" s="19"/>
    </row>
    <row r="12494" spans="1:33" ht="14.5" x14ac:dyDescent="0.35">
      <c r="A12494" s="34"/>
      <c r="B12494" s="35"/>
      <c r="C12494" s="36"/>
      <c r="D12494" s="37"/>
      <c r="E12494" s="36"/>
      <c r="F12494" s="42"/>
      <c r="G12494" s="42"/>
      <c r="H12494" s="42"/>
      <c r="AG12494" s="19"/>
    </row>
    <row r="12495" spans="1:33" ht="14.5" x14ac:dyDescent="0.35">
      <c r="A12495" s="34"/>
      <c r="B12495" s="35"/>
      <c r="C12495" s="36"/>
      <c r="D12495" s="37"/>
      <c r="E12495" s="36"/>
      <c r="F12495" s="42"/>
      <c r="G12495" s="42"/>
      <c r="H12495" s="42"/>
      <c r="AG12495" s="19"/>
    </row>
    <row r="12496" spans="1:33" ht="14.5" x14ac:dyDescent="0.35">
      <c r="A12496" s="34"/>
      <c r="B12496" s="35"/>
      <c r="C12496" s="36"/>
      <c r="D12496" s="37"/>
      <c r="E12496" s="36"/>
      <c r="F12496" s="42"/>
      <c r="G12496" s="42"/>
      <c r="H12496" s="42"/>
      <c r="AG12496" s="19"/>
    </row>
    <row r="12497" spans="1:33" ht="14.5" x14ac:dyDescent="0.35">
      <c r="A12497" s="34"/>
      <c r="B12497" s="35"/>
      <c r="C12497" s="36"/>
      <c r="D12497" s="37"/>
      <c r="E12497" s="36"/>
      <c r="F12497" s="42"/>
      <c r="G12497" s="42"/>
      <c r="H12497" s="42"/>
      <c r="AG12497" s="19"/>
    </row>
    <row r="12498" spans="1:33" ht="14.5" x14ac:dyDescent="0.35">
      <c r="A12498" s="34"/>
      <c r="B12498" s="35"/>
      <c r="C12498" s="36"/>
      <c r="D12498" s="37"/>
      <c r="E12498" s="36"/>
      <c r="F12498" s="42"/>
      <c r="G12498" s="42"/>
      <c r="H12498" s="42"/>
      <c r="AG12498" s="19"/>
    </row>
    <row r="12499" spans="1:33" ht="14.5" x14ac:dyDescent="0.35">
      <c r="A12499" s="34"/>
      <c r="B12499" s="35"/>
      <c r="C12499" s="36"/>
      <c r="D12499" s="37"/>
      <c r="E12499" s="36"/>
      <c r="F12499" s="42"/>
      <c r="G12499" s="42"/>
      <c r="H12499" s="42"/>
      <c r="AG12499" s="19"/>
    </row>
    <row r="12500" spans="1:33" ht="14.5" x14ac:dyDescent="0.35">
      <c r="A12500" s="34"/>
      <c r="B12500" s="35"/>
      <c r="C12500" s="36"/>
      <c r="D12500" s="37"/>
      <c r="E12500" s="36"/>
      <c r="F12500" s="42"/>
      <c r="G12500" s="42"/>
      <c r="H12500" s="42"/>
      <c r="AG12500" s="19"/>
    </row>
    <row r="12501" spans="1:33" ht="14.5" x14ac:dyDescent="0.35">
      <c r="A12501" s="34"/>
      <c r="B12501" s="35"/>
      <c r="C12501" s="36"/>
      <c r="D12501" s="37"/>
      <c r="E12501" s="36"/>
      <c r="F12501" s="42"/>
      <c r="G12501" s="42"/>
      <c r="H12501" s="42"/>
      <c r="AG12501" s="19"/>
    </row>
    <row r="12502" spans="1:33" ht="14.5" x14ac:dyDescent="0.35">
      <c r="A12502" s="34"/>
      <c r="B12502" s="35"/>
      <c r="C12502" s="36"/>
      <c r="D12502" s="37"/>
      <c r="E12502" s="36"/>
      <c r="F12502" s="42"/>
      <c r="G12502" s="42"/>
      <c r="H12502" s="42"/>
      <c r="AG12502" s="19"/>
    </row>
    <row r="12503" spans="1:33" ht="14.5" x14ac:dyDescent="0.35">
      <c r="A12503" s="34"/>
      <c r="B12503" s="35"/>
      <c r="C12503" s="36"/>
      <c r="D12503" s="37"/>
      <c r="E12503" s="36"/>
      <c r="F12503" s="42"/>
      <c r="G12503" s="42"/>
      <c r="H12503" s="42"/>
      <c r="AG12503" s="19"/>
    </row>
    <row r="12504" spans="1:33" ht="14.5" x14ac:dyDescent="0.35">
      <c r="A12504" s="34"/>
      <c r="B12504" s="35"/>
      <c r="C12504" s="36"/>
      <c r="D12504" s="37"/>
      <c r="E12504" s="36"/>
      <c r="F12504" s="42"/>
      <c r="G12504" s="42"/>
      <c r="H12504" s="42"/>
      <c r="AG12504" s="19"/>
    </row>
    <row r="12505" spans="1:33" ht="14.5" x14ac:dyDescent="0.35">
      <c r="A12505" s="34"/>
      <c r="B12505" s="35"/>
      <c r="C12505" s="36"/>
      <c r="D12505" s="37"/>
      <c r="E12505" s="36"/>
      <c r="F12505" s="42"/>
      <c r="G12505" s="42"/>
      <c r="H12505" s="42"/>
      <c r="AG12505" s="19"/>
    </row>
    <row r="12506" spans="1:33" ht="14.5" x14ac:dyDescent="0.35">
      <c r="A12506" s="34"/>
      <c r="B12506" s="35"/>
      <c r="C12506" s="36"/>
      <c r="D12506" s="37"/>
      <c r="E12506" s="36"/>
      <c r="F12506" s="42"/>
      <c r="G12506" s="42"/>
      <c r="H12506" s="42"/>
      <c r="AG12506" s="19"/>
    </row>
    <row r="12507" spans="1:33" ht="14.5" x14ac:dyDescent="0.35">
      <c r="A12507" s="34"/>
      <c r="B12507" s="35"/>
      <c r="C12507" s="36"/>
      <c r="D12507" s="37"/>
      <c r="E12507" s="36"/>
      <c r="F12507" s="42"/>
      <c r="G12507" s="42"/>
      <c r="H12507" s="42"/>
      <c r="AG12507" s="19"/>
    </row>
    <row r="12508" spans="1:33" ht="14.5" x14ac:dyDescent="0.35">
      <c r="A12508" s="34"/>
      <c r="B12508" s="35"/>
      <c r="C12508" s="36"/>
      <c r="D12508" s="37"/>
      <c r="E12508" s="36"/>
      <c r="F12508" s="42"/>
      <c r="G12508" s="42"/>
      <c r="H12508" s="42"/>
      <c r="AG12508" s="19"/>
    </row>
    <row r="12509" spans="1:33" ht="14.5" x14ac:dyDescent="0.35">
      <c r="A12509" s="34"/>
      <c r="B12509" s="35"/>
      <c r="C12509" s="36"/>
      <c r="D12509" s="37"/>
      <c r="E12509" s="36"/>
      <c r="F12509" s="42"/>
      <c r="G12509" s="42"/>
      <c r="H12509" s="42"/>
      <c r="AG12509" s="19"/>
    </row>
    <row r="12510" spans="1:33" ht="14.5" x14ac:dyDescent="0.35">
      <c r="A12510" s="34"/>
      <c r="B12510" s="35"/>
      <c r="C12510" s="36"/>
      <c r="D12510" s="37"/>
      <c r="E12510" s="36"/>
      <c r="F12510" s="42"/>
      <c r="G12510" s="42"/>
      <c r="H12510" s="42"/>
      <c r="AG12510" s="19"/>
    </row>
    <row r="12511" spans="1:33" ht="14.5" x14ac:dyDescent="0.35">
      <c r="A12511" s="34"/>
      <c r="B12511" s="35"/>
      <c r="C12511" s="36"/>
      <c r="D12511" s="37"/>
      <c r="E12511" s="36"/>
      <c r="F12511" s="42"/>
      <c r="G12511" s="42"/>
      <c r="H12511" s="42"/>
      <c r="AG12511" s="19"/>
    </row>
    <row r="12512" spans="1:33" ht="14.5" x14ac:dyDescent="0.35">
      <c r="A12512" s="34"/>
      <c r="B12512" s="35"/>
      <c r="C12512" s="36"/>
      <c r="D12512" s="37"/>
      <c r="E12512" s="36"/>
      <c r="F12512" s="42"/>
      <c r="G12512" s="42"/>
      <c r="H12512" s="42"/>
      <c r="AG12512" s="19"/>
    </row>
    <row r="12513" spans="1:33" ht="14.5" x14ac:dyDescent="0.35">
      <c r="A12513" s="34"/>
      <c r="B12513" s="35"/>
      <c r="C12513" s="36"/>
      <c r="D12513" s="37"/>
      <c r="E12513" s="36"/>
      <c r="F12513" s="42"/>
      <c r="G12513" s="42"/>
      <c r="H12513" s="42"/>
      <c r="AG12513" s="19"/>
    </row>
    <row r="12514" spans="1:33" ht="14.5" x14ac:dyDescent="0.35">
      <c r="A12514" s="34"/>
      <c r="B12514" s="35"/>
      <c r="C12514" s="36"/>
      <c r="D12514" s="37"/>
      <c r="E12514" s="36"/>
      <c r="F12514" s="42"/>
      <c r="G12514" s="42"/>
      <c r="H12514" s="42"/>
      <c r="AG12514" s="19"/>
    </row>
    <row r="12515" spans="1:33" ht="14.5" x14ac:dyDescent="0.35">
      <c r="A12515" s="34"/>
      <c r="B12515" s="35"/>
      <c r="C12515" s="36"/>
      <c r="D12515" s="37"/>
      <c r="E12515" s="36"/>
      <c r="F12515" s="42"/>
      <c r="G12515" s="42"/>
      <c r="H12515" s="42"/>
      <c r="AG12515" s="19"/>
    </row>
    <row r="12516" spans="1:33" ht="14.5" x14ac:dyDescent="0.35">
      <c r="A12516" s="34"/>
      <c r="B12516" s="35"/>
      <c r="C12516" s="36"/>
      <c r="D12516" s="37"/>
      <c r="E12516" s="36"/>
      <c r="F12516" s="42"/>
      <c r="G12516" s="42"/>
      <c r="H12516" s="42"/>
      <c r="AG12516" s="19"/>
    </row>
    <row r="12517" spans="1:33" ht="14.5" x14ac:dyDescent="0.35">
      <c r="A12517" s="34"/>
      <c r="B12517" s="35"/>
      <c r="C12517" s="36"/>
      <c r="D12517" s="37"/>
      <c r="E12517" s="36"/>
      <c r="F12517" s="42"/>
      <c r="G12517" s="42"/>
      <c r="H12517" s="42"/>
      <c r="AG12517" s="19"/>
    </row>
    <row r="12518" spans="1:33" ht="14.5" x14ac:dyDescent="0.35">
      <c r="A12518" s="34"/>
      <c r="B12518" s="35"/>
      <c r="C12518" s="36"/>
      <c r="D12518" s="37"/>
      <c r="E12518" s="36"/>
      <c r="F12518" s="42"/>
      <c r="G12518" s="42"/>
      <c r="H12518" s="42"/>
      <c r="AG12518" s="19"/>
    </row>
    <row r="12519" spans="1:33" ht="14.5" x14ac:dyDescent="0.35">
      <c r="A12519" s="34"/>
      <c r="B12519" s="35"/>
      <c r="C12519" s="36"/>
      <c r="D12519" s="37"/>
      <c r="E12519" s="36"/>
      <c r="F12519" s="42"/>
      <c r="G12519" s="42"/>
      <c r="H12519" s="42"/>
      <c r="AG12519" s="19"/>
    </row>
    <row r="12520" spans="1:33" ht="14.5" x14ac:dyDescent="0.35">
      <c r="A12520" s="34"/>
      <c r="B12520" s="35"/>
      <c r="C12520" s="36"/>
      <c r="D12520" s="37"/>
      <c r="E12520" s="36"/>
      <c r="F12520" s="42"/>
      <c r="G12520" s="42"/>
      <c r="H12520" s="42"/>
      <c r="AG12520" s="19"/>
    </row>
    <row r="12521" spans="1:33" ht="14.5" x14ac:dyDescent="0.35">
      <c r="A12521" s="34"/>
      <c r="B12521" s="35"/>
      <c r="C12521" s="36"/>
      <c r="D12521" s="37"/>
      <c r="E12521" s="36"/>
      <c r="F12521" s="42"/>
      <c r="G12521" s="42"/>
      <c r="H12521" s="42"/>
      <c r="AG12521" s="19"/>
    </row>
    <row r="12522" spans="1:33" ht="14.5" x14ac:dyDescent="0.35">
      <c r="A12522" s="34"/>
      <c r="B12522" s="35"/>
      <c r="C12522" s="36"/>
      <c r="D12522" s="37"/>
      <c r="E12522" s="36"/>
      <c r="F12522" s="42"/>
      <c r="G12522" s="42"/>
      <c r="H12522" s="42"/>
      <c r="AG12522" s="19"/>
    </row>
    <row r="12523" spans="1:33" ht="14.5" x14ac:dyDescent="0.35">
      <c r="A12523" s="34"/>
      <c r="B12523" s="35"/>
      <c r="C12523" s="36"/>
      <c r="D12523" s="37"/>
      <c r="E12523" s="36"/>
      <c r="F12523" s="42"/>
      <c r="G12523" s="42"/>
      <c r="H12523" s="42"/>
      <c r="AG12523" s="19"/>
    </row>
    <row r="12524" spans="1:33" ht="14.5" x14ac:dyDescent="0.35">
      <c r="A12524" s="34"/>
      <c r="B12524" s="35"/>
      <c r="C12524" s="36"/>
      <c r="D12524" s="37"/>
      <c r="E12524" s="36"/>
      <c r="F12524" s="42"/>
      <c r="G12524" s="42"/>
      <c r="H12524" s="42"/>
      <c r="AG12524" s="19"/>
    </row>
    <row r="12525" spans="1:33" ht="14.5" x14ac:dyDescent="0.35">
      <c r="A12525" s="34"/>
      <c r="B12525" s="35"/>
      <c r="C12525" s="36"/>
      <c r="D12525" s="37"/>
      <c r="E12525" s="36"/>
      <c r="F12525" s="42"/>
      <c r="G12525" s="42"/>
      <c r="H12525" s="42"/>
      <c r="AG12525" s="19"/>
    </row>
    <row r="12526" spans="1:33" ht="14.5" x14ac:dyDescent="0.35">
      <c r="A12526" s="34"/>
      <c r="B12526" s="35"/>
      <c r="C12526" s="36"/>
      <c r="D12526" s="37"/>
      <c r="E12526" s="36"/>
      <c r="F12526" s="42"/>
      <c r="G12526" s="42"/>
      <c r="H12526" s="42"/>
      <c r="AG12526" s="19"/>
    </row>
    <row r="12527" spans="1:33" ht="14.5" x14ac:dyDescent="0.35">
      <c r="A12527" s="34"/>
      <c r="B12527" s="35"/>
      <c r="C12527" s="36"/>
      <c r="D12527" s="37"/>
      <c r="E12527" s="36"/>
      <c r="F12527" s="42"/>
      <c r="G12527" s="42"/>
      <c r="H12527" s="42"/>
      <c r="AG12527" s="19"/>
    </row>
    <row r="12528" spans="1:33" ht="14.5" x14ac:dyDescent="0.35">
      <c r="A12528" s="34"/>
      <c r="B12528" s="35"/>
      <c r="C12528" s="36"/>
      <c r="D12528" s="37"/>
      <c r="E12528" s="36"/>
      <c r="F12528" s="42"/>
      <c r="G12528" s="42"/>
      <c r="H12528" s="42"/>
      <c r="AG12528" s="19"/>
    </row>
    <row r="12529" spans="1:33" ht="14.5" x14ac:dyDescent="0.35">
      <c r="A12529" s="34"/>
      <c r="B12529" s="35"/>
      <c r="C12529" s="36"/>
      <c r="D12529" s="37"/>
      <c r="E12529" s="36"/>
      <c r="F12529" s="42"/>
      <c r="G12529" s="42"/>
      <c r="H12529" s="42"/>
      <c r="AG12529" s="19"/>
    </row>
    <row r="12530" spans="1:33" ht="14.5" x14ac:dyDescent="0.35">
      <c r="A12530" s="34"/>
      <c r="B12530" s="35"/>
      <c r="C12530" s="36"/>
      <c r="D12530" s="37"/>
      <c r="E12530" s="36"/>
      <c r="F12530" s="42"/>
      <c r="G12530" s="42"/>
      <c r="H12530" s="42"/>
      <c r="AG12530" s="19"/>
    </row>
    <row r="12531" spans="1:33" ht="14.5" x14ac:dyDescent="0.35">
      <c r="A12531" s="34"/>
      <c r="B12531" s="35"/>
      <c r="C12531" s="36"/>
      <c r="D12531" s="37"/>
      <c r="E12531" s="36"/>
      <c r="F12531" s="42"/>
      <c r="G12531" s="42"/>
      <c r="H12531" s="42"/>
      <c r="AG12531" s="19"/>
    </row>
    <row r="12532" spans="1:33" ht="14.5" x14ac:dyDescent="0.35">
      <c r="A12532" s="34"/>
      <c r="B12532" s="35"/>
      <c r="C12532" s="36"/>
      <c r="D12532" s="37"/>
      <c r="E12532" s="36"/>
      <c r="F12532" s="42"/>
      <c r="G12532" s="42"/>
      <c r="H12532" s="42"/>
      <c r="AG12532" s="19"/>
    </row>
    <row r="12533" spans="1:33" ht="14.5" x14ac:dyDescent="0.35">
      <c r="A12533" s="34"/>
      <c r="B12533" s="35"/>
      <c r="C12533" s="36"/>
      <c r="D12533" s="37"/>
      <c r="E12533" s="36"/>
      <c r="F12533" s="42"/>
      <c r="G12533" s="42"/>
      <c r="H12533" s="42"/>
      <c r="AG12533" s="19"/>
    </row>
    <row r="12534" spans="1:33" ht="14.5" x14ac:dyDescent="0.35">
      <c r="A12534" s="34"/>
      <c r="B12534" s="35"/>
      <c r="C12534" s="36"/>
      <c r="D12534" s="37"/>
      <c r="E12534" s="36"/>
      <c r="F12534" s="42"/>
      <c r="G12534" s="42"/>
      <c r="H12534" s="42"/>
      <c r="AG12534" s="19"/>
    </row>
    <row r="12535" spans="1:33" ht="14.5" x14ac:dyDescent="0.35">
      <c r="A12535" s="34"/>
      <c r="B12535" s="35"/>
      <c r="C12535" s="36"/>
      <c r="D12535" s="37"/>
      <c r="E12535" s="36"/>
      <c r="F12535" s="42"/>
      <c r="G12535" s="42"/>
      <c r="H12535" s="42"/>
      <c r="AG12535" s="19"/>
    </row>
    <row r="12536" spans="1:33" ht="14.5" x14ac:dyDescent="0.35">
      <c r="A12536" s="34"/>
      <c r="B12536" s="35"/>
      <c r="C12536" s="36"/>
      <c r="D12536" s="37"/>
      <c r="E12536" s="36"/>
      <c r="F12536" s="42"/>
      <c r="G12536" s="42"/>
      <c r="H12536" s="42"/>
      <c r="AG12536" s="19"/>
    </row>
    <row r="12537" spans="1:33" ht="14.5" x14ac:dyDescent="0.35">
      <c r="A12537" s="34"/>
      <c r="B12537" s="35"/>
      <c r="C12537" s="36"/>
      <c r="D12537" s="37"/>
      <c r="E12537" s="36"/>
      <c r="F12537" s="42"/>
      <c r="G12537" s="42"/>
      <c r="H12537" s="42"/>
      <c r="AG12537" s="19"/>
    </row>
    <row r="12538" spans="1:33" ht="14.5" x14ac:dyDescent="0.35">
      <c r="A12538" s="34"/>
      <c r="B12538" s="35"/>
      <c r="C12538" s="36"/>
      <c r="D12538" s="37"/>
      <c r="E12538" s="36"/>
      <c r="F12538" s="42"/>
      <c r="G12538" s="42"/>
      <c r="H12538" s="42"/>
      <c r="AG12538" s="19"/>
    </row>
    <row r="12539" spans="1:33" ht="14.5" x14ac:dyDescent="0.35">
      <c r="A12539" s="34"/>
      <c r="B12539" s="35"/>
      <c r="C12539" s="36"/>
      <c r="D12539" s="37"/>
      <c r="E12539" s="36"/>
      <c r="F12539" s="42"/>
      <c r="G12539" s="42"/>
      <c r="H12539" s="42"/>
      <c r="AG12539" s="19"/>
    </row>
    <row r="12540" spans="1:33" ht="14.5" x14ac:dyDescent="0.35">
      <c r="A12540" s="34"/>
      <c r="B12540" s="35"/>
      <c r="C12540" s="36"/>
      <c r="D12540" s="37"/>
      <c r="E12540" s="36"/>
      <c r="F12540" s="42"/>
      <c r="G12540" s="42"/>
      <c r="H12540" s="42"/>
      <c r="AG12540" s="19"/>
    </row>
    <row r="12541" spans="1:33" ht="14.5" x14ac:dyDescent="0.35">
      <c r="A12541" s="34"/>
      <c r="B12541" s="35"/>
      <c r="C12541" s="36"/>
      <c r="D12541" s="37"/>
      <c r="E12541" s="36"/>
      <c r="F12541" s="42"/>
      <c r="G12541" s="42"/>
      <c r="H12541" s="42"/>
      <c r="AG12541" s="19"/>
    </row>
    <row r="12542" spans="1:33" ht="14.5" x14ac:dyDescent="0.35">
      <c r="A12542" s="34"/>
      <c r="B12542" s="35"/>
      <c r="C12542" s="36"/>
      <c r="D12542" s="37"/>
      <c r="E12542" s="36"/>
      <c r="F12542" s="42"/>
      <c r="G12542" s="42"/>
      <c r="H12542" s="42"/>
      <c r="AG12542" s="19"/>
    </row>
    <row r="12543" spans="1:33" ht="14.5" x14ac:dyDescent="0.35">
      <c r="A12543" s="34"/>
      <c r="B12543" s="35"/>
      <c r="C12543" s="36"/>
      <c r="D12543" s="37"/>
      <c r="E12543" s="36"/>
      <c r="F12543" s="42"/>
      <c r="G12543" s="42"/>
      <c r="H12543" s="42"/>
      <c r="AG12543" s="19"/>
    </row>
    <row r="12544" spans="1:33" ht="14.5" x14ac:dyDescent="0.35">
      <c r="A12544" s="34"/>
      <c r="B12544" s="35"/>
      <c r="C12544" s="36"/>
      <c r="D12544" s="37"/>
      <c r="E12544" s="36"/>
      <c r="F12544" s="42"/>
      <c r="G12544" s="42"/>
      <c r="H12544" s="42"/>
      <c r="AG12544" s="19"/>
    </row>
    <row r="12545" spans="1:33" ht="14.5" x14ac:dyDescent="0.35">
      <c r="A12545" s="34"/>
      <c r="B12545" s="35"/>
      <c r="C12545" s="36"/>
      <c r="D12545" s="37"/>
      <c r="E12545" s="36"/>
      <c r="F12545" s="42"/>
      <c r="G12545" s="42"/>
      <c r="H12545" s="42"/>
      <c r="AG12545" s="19"/>
    </row>
    <row r="12546" spans="1:33" ht="14.5" x14ac:dyDescent="0.35">
      <c r="A12546" s="34"/>
      <c r="B12546" s="35"/>
      <c r="C12546" s="36"/>
      <c r="D12546" s="37"/>
      <c r="E12546" s="36"/>
      <c r="F12546" s="42"/>
      <c r="G12546" s="42"/>
      <c r="H12546" s="42"/>
      <c r="AG12546" s="19"/>
    </row>
    <row r="12547" spans="1:33" ht="14.5" x14ac:dyDescent="0.35">
      <c r="A12547" s="34"/>
      <c r="B12547" s="35"/>
      <c r="C12547" s="36"/>
      <c r="D12547" s="37"/>
      <c r="E12547" s="36"/>
      <c r="F12547" s="42"/>
      <c r="G12547" s="42"/>
      <c r="H12547" s="42"/>
      <c r="AG12547" s="19"/>
    </row>
    <row r="12548" spans="1:33" ht="14.5" x14ac:dyDescent="0.35">
      <c r="A12548" s="34"/>
      <c r="B12548" s="35"/>
      <c r="C12548" s="36"/>
      <c r="D12548" s="37"/>
      <c r="E12548" s="36"/>
      <c r="F12548" s="42"/>
      <c r="G12548" s="42"/>
      <c r="H12548" s="42"/>
      <c r="AG12548" s="19"/>
    </row>
    <row r="12549" spans="1:33" ht="14.5" x14ac:dyDescent="0.35">
      <c r="A12549" s="34"/>
      <c r="B12549" s="35"/>
      <c r="C12549" s="36"/>
      <c r="D12549" s="37"/>
      <c r="E12549" s="36"/>
      <c r="F12549" s="42"/>
      <c r="G12549" s="42"/>
      <c r="H12549" s="42"/>
      <c r="AG12549" s="19"/>
    </row>
    <row r="12550" spans="1:33" ht="14.5" x14ac:dyDescent="0.35">
      <c r="A12550" s="34"/>
      <c r="B12550" s="35"/>
      <c r="C12550" s="36"/>
      <c r="D12550" s="37"/>
      <c r="E12550" s="36"/>
      <c r="F12550" s="42"/>
      <c r="G12550" s="42"/>
      <c r="H12550" s="42"/>
      <c r="AG12550" s="19"/>
    </row>
    <row r="12551" spans="1:33" ht="14.5" x14ac:dyDescent="0.35">
      <c r="A12551" s="34"/>
      <c r="B12551" s="35"/>
      <c r="C12551" s="36"/>
      <c r="D12551" s="37"/>
      <c r="E12551" s="36"/>
      <c r="F12551" s="42"/>
      <c r="G12551" s="42"/>
      <c r="H12551" s="42"/>
      <c r="AG12551" s="19"/>
    </row>
    <row r="12552" spans="1:33" ht="14.5" x14ac:dyDescent="0.35">
      <c r="A12552" s="34"/>
      <c r="B12552" s="35"/>
      <c r="C12552" s="36"/>
      <c r="D12552" s="37"/>
      <c r="E12552" s="36"/>
      <c r="F12552" s="42"/>
      <c r="G12552" s="42"/>
      <c r="H12552" s="42"/>
      <c r="AG12552" s="19"/>
    </row>
    <row r="12553" spans="1:33" ht="14.5" x14ac:dyDescent="0.35">
      <c r="A12553" s="34"/>
      <c r="B12553" s="35"/>
      <c r="C12553" s="36"/>
      <c r="D12553" s="37"/>
      <c r="E12553" s="36"/>
      <c r="F12553" s="42"/>
      <c r="G12553" s="42"/>
      <c r="H12553" s="42"/>
      <c r="AG12553" s="19"/>
    </row>
    <row r="12554" spans="1:33" ht="14.5" x14ac:dyDescent="0.35">
      <c r="A12554" s="34"/>
      <c r="B12554" s="35"/>
      <c r="C12554" s="36"/>
      <c r="D12554" s="37"/>
      <c r="E12554" s="36"/>
      <c r="F12554" s="42"/>
      <c r="G12554" s="42"/>
      <c r="H12554" s="42"/>
      <c r="AG12554" s="19"/>
    </row>
    <row r="12555" spans="1:33" ht="14.5" x14ac:dyDescent="0.35">
      <c r="A12555" s="34"/>
      <c r="B12555" s="35"/>
      <c r="C12555" s="36"/>
      <c r="D12555" s="37"/>
      <c r="E12555" s="36"/>
      <c r="F12555" s="42"/>
      <c r="G12555" s="42"/>
      <c r="H12555" s="42"/>
      <c r="AG12555" s="19"/>
    </row>
    <row r="12556" spans="1:33" ht="14.5" x14ac:dyDescent="0.35">
      <c r="A12556" s="34"/>
      <c r="B12556" s="35"/>
      <c r="C12556" s="36"/>
      <c r="D12556" s="37"/>
      <c r="E12556" s="36"/>
      <c r="F12556" s="42"/>
      <c r="G12556" s="42"/>
      <c r="H12556" s="42"/>
      <c r="AG12556" s="19"/>
    </row>
    <row r="12557" spans="1:33" ht="14.5" x14ac:dyDescent="0.35">
      <c r="A12557" s="34"/>
      <c r="B12557" s="35"/>
      <c r="C12557" s="36"/>
      <c r="D12557" s="37"/>
      <c r="E12557" s="36"/>
      <c r="F12557" s="42"/>
      <c r="G12557" s="42"/>
      <c r="H12557" s="42"/>
      <c r="AG12557" s="19"/>
    </row>
    <row r="12558" spans="1:33" ht="14.5" x14ac:dyDescent="0.35">
      <c r="A12558" s="34"/>
      <c r="B12558" s="35"/>
      <c r="C12558" s="36"/>
      <c r="D12558" s="37"/>
      <c r="E12558" s="36"/>
      <c r="F12558" s="42"/>
      <c r="G12558" s="42"/>
      <c r="H12558" s="42"/>
      <c r="AG12558" s="19"/>
    </row>
    <row r="12559" spans="1:33" ht="14.5" x14ac:dyDescent="0.35">
      <c r="A12559" s="34"/>
      <c r="B12559" s="35"/>
      <c r="C12559" s="36"/>
      <c r="D12559" s="37"/>
      <c r="E12559" s="36"/>
      <c r="F12559" s="42"/>
      <c r="G12559" s="42"/>
      <c r="H12559" s="42"/>
      <c r="AG12559" s="19"/>
    </row>
    <row r="12560" spans="1:33" ht="14.5" x14ac:dyDescent="0.35">
      <c r="A12560" s="34"/>
      <c r="B12560" s="35"/>
      <c r="C12560" s="36"/>
      <c r="D12560" s="37"/>
      <c r="E12560" s="36"/>
      <c r="F12560" s="42"/>
      <c r="G12560" s="42"/>
      <c r="H12560" s="42"/>
      <c r="AG12560" s="19"/>
    </row>
    <row r="12561" spans="1:33" ht="14.5" x14ac:dyDescent="0.35">
      <c r="A12561" s="34"/>
      <c r="B12561" s="35"/>
      <c r="C12561" s="36"/>
      <c r="D12561" s="37"/>
      <c r="E12561" s="36"/>
      <c r="F12561" s="42"/>
      <c r="G12561" s="42"/>
      <c r="H12561" s="42"/>
      <c r="AG12561" s="19"/>
    </row>
    <row r="12562" spans="1:33" ht="14.5" x14ac:dyDescent="0.35">
      <c r="A12562" s="34"/>
      <c r="B12562" s="35"/>
      <c r="C12562" s="36"/>
      <c r="D12562" s="37"/>
      <c r="E12562" s="36"/>
      <c r="F12562" s="42"/>
      <c r="G12562" s="42"/>
      <c r="H12562" s="42"/>
      <c r="AG12562" s="19"/>
    </row>
    <row r="12563" spans="1:33" ht="14.5" x14ac:dyDescent="0.35">
      <c r="A12563" s="34"/>
      <c r="B12563" s="35"/>
      <c r="C12563" s="36"/>
      <c r="D12563" s="37"/>
      <c r="E12563" s="36"/>
      <c r="F12563" s="42"/>
      <c r="G12563" s="42"/>
      <c r="H12563" s="42"/>
      <c r="AG12563" s="19"/>
    </row>
    <row r="12564" spans="1:33" ht="14.5" x14ac:dyDescent="0.35">
      <c r="A12564" s="34"/>
      <c r="B12564" s="35"/>
      <c r="C12564" s="36"/>
      <c r="D12564" s="37"/>
      <c r="E12564" s="36"/>
      <c r="F12564" s="42"/>
      <c r="G12564" s="42"/>
      <c r="H12564" s="42"/>
      <c r="AG12564" s="19"/>
    </row>
    <row r="12565" spans="1:33" ht="14.5" x14ac:dyDescent="0.35">
      <c r="A12565" s="34"/>
      <c r="B12565" s="35"/>
      <c r="C12565" s="36"/>
      <c r="D12565" s="37"/>
      <c r="E12565" s="36"/>
      <c r="F12565" s="42"/>
      <c r="G12565" s="42"/>
      <c r="H12565" s="42"/>
      <c r="AG12565" s="19"/>
    </row>
    <row r="12566" spans="1:33" ht="14.5" x14ac:dyDescent="0.35">
      <c r="A12566" s="34"/>
      <c r="B12566" s="35"/>
      <c r="C12566" s="36"/>
      <c r="D12566" s="37"/>
      <c r="E12566" s="36"/>
      <c r="F12566" s="42"/>
      <c r="G12566" s="42"/>
      <c r="H12566" s="42"/>
      <c r="AG12566" s="19"/>
    </row>
    <row r="12567" spans="1:33" ht="14.5" x14ac:dyDescent="0.35">
      <c r="A12567" s="34"/>
      <c r="B12567" s="35"/>
      <c r="C12567" s="36"/>
      <c r="D12567" s="37"/>
      <c r="E12567" s="36"/>
      <c r="F12567" s="42"/>
      <c r="G12567" s="42"/>
      <c r="H12567" s="42"/>
      <c r="AG12567" s="19"/>
    </row>
    <row r="12568" spans="1:33" ht="14.5" x14ac:dyDescent="0.35">
      <c r="A12568" s="34"/>
      <c r="B12568" s="35"/>
      <c r="C12568" s="36"/>
      <c r="D12568" s="37"/>
      <c r="E12568" s="36"/>
      <c r="F12568" s="42"/>
      <c r="G12568" s="42"/>
      <c r="H12568" s="42"/>
      <c r="AG12568" s="19"/>
    </row>
    <row r="12569" spans="1:33" ht="14.5" x14ac:dyDescent="0.35">
      <c r="A12569" s="34"/>
      <c r="B12569" s="35"/>
      <c r="C12569" s="36"/>
      <c r="D12569" s="37"/>
      <c r="E12569" s="36"/>
      <c r="F12569" s="42"/>
      <c r="G12569" s="42"/>
      <c r="H12569" s="42"/>
      <c r="AG12569" s="19"/>
    </row>
    <row r="12570" spans="1:33" ht="14.5" x14ac:dyDescent="0.35">
      <c r="A12570" s="34"/>
      <c r="B12570" s="35"/>
      <c r="C12570" s="36"/>
      <c r="D12570" s="37"/>
      <c r="E12570" s="36"/>
      <c r="F12570" s="42"/>
      <c r="G12570" s="42"/>
      <c r="H12570" s="42"/>
      <c r="AG12570" s="19"/>
    </row>
    <row r="12571" spans="1:33" ht="14.5" x14ac:dyDescent="0.35">
      <c r="A12571" s="34"/>
      <c r="B12571" s="35"/>
      <c r="C12571" s="36"/>
      <c r="D12571" s="37"/>
      <c r="E12571" s="36"/>
      <c r="F12571" s="42"/>
      <c r="G12571" s="42"/>
      <c r="H12571" s="42"/>
      <c r="AG12571" s="19"/>
    </row>
    <row r="12572" spans="1:33" ht="14.5" x14ac:dyDescent="0.35">
      <c r="A12572" s="34"/>
      <c r="B12572" s="35"/>
      <c r="C12572" s="36"/>
      <c r="D12572" s="37"/>
      <c r="E12572" s="36"/>
      <c r="F12572" s="42"/>
      <c r="G12572" s="42"/>
      <c r="H12572" s="42"/>
      <c r="AG12572" s="19"/>
    </row>
    <row r="12573" spans="1:33" ht="14.5" x14ac:dyDescent="0.35">
      <c r="A12573" s="34"/>
      <c r="B12573" s="35"/>
      <c r="C12573" s="36"/>
      <c r="D12573" s="37"/>
      <c r="E12573" s="36"/>
      <c r="F12573" s="42"/>
      <c r="G12573" s="42"/>
      <c r="H12573" s="42"/>
      <c r="AG12573" s="19"/>
    </row>
    <row r="12574" spans="1:33" ht="14.5" x14ac:dyDescent="0.35">
      <c r="A12574" s="34"/>
      <c r="B12574" s="35"/>
      <c r="C12574" s="36"/>
      <c r="D12574" s="37"/>
      <c r="E12574" s="36"/>
      <c r="F12574" s="42"/>
      <c r="G12574" s="42"/>
      <c r="H12574" s="42"/>
      <c r="AG12574" s="19"/>
    </row>
    <row r="12575" spans="1:33" ht="14.5" x14ac:dyDescent="0.35">
      <c r="A12575" s="34"/>
      <c r="B12575" s="35"/>
      <c r="C12575" s="36"/>
      <c r="D12575" s="37"/>
      <c r="E12575" s="36"/>
      <c r="F12575" s="42"/>
      <c r="G12575" s="42"/>
      <c r="H12575" s="42"/>
      <c r="AG12575" s="19"/>
    </row>
    <row r="12576" spans="1:33" ht="14.5" x14ac:dyDescent="0.35">
      <c r="A12576" s="34"/>
      <c r="B12576" s="35"/>
      <c r="C12576" s="36"/>
      <c r="D12576" s="37"/>
      <c r="E12576" s="36"/>
      <c r="F12576" s="42"/>
      <c r="G12576" s="42"/>
      <c r="H12576" s="42"/>
      <c r="AG12576" s="19"/>
    </row>
    <row r="12577" spans="1:33" ht="14.5" x14ac:dyDescent="0.35">
      <c r="A12577" s="34"/>
      <c r="B12577" s="35"/>
      <c r="C12577" s="36"/>
      <c r="D12577" s="37"/>
      <c r="E12577" s="36"/>
      <c r="F12577" s="42"/>
      <c r="G12577" s="42"/>
      <c r="H12577" s="42"/>
      <c r="AG12577" s="19"/>
    </row>
    <row r="12578" spans="1:33" ht="14.5" x14ac:dyDescent="0.35">
      <c r="A12578" s="34"/>
      <c r="B12578" s="35"/>
      <c r="C12578" s="36"/>
      <c r="D12578" s="37"/>
      <c r="E12578" s="36"/>
      <c r="F12578" s="42"/>
      <c r="G12578" s="42"/>
      <c r="H12578" s="42"/>
      <c r="AG12578" s="19"/>
    </row>
    <row r="12579" spans="1:33" ht="14.5" x14ac:dyDescent="0.35">
      <c r="A12579" s="34"/>
      <c r="B12579" s="35"/>
      <c r="C12579" s="36"/>
      <c r="D12579" s="37"/>
      <c r="E12579" s="36"/>
      <c r="F12579" s="42"/>
      <c r="G12579" s="42"/>
      <c r="H12579" s="42"/>
      <c r="AG12579" s="19"/>
    </row>
    <row r="12580" spans="1:33" ht="14.5" x14ac:dyDescent="0.35">
      <c r="A12580" s="34"/>
      <c r="B12580" s="35"/>
      <c r="C12580" s="36"/>
      <c r="D12580" s="37"/>
      <c r="E12580" s="36"/>
      <c r="F12580" s="42"/>
      <c r="G12580" s="42"/>
      <c r="H12580" s="42"/>
      <c r="AG12580" s="19"/>
    </row>
    <row r="12581" spans="1:33" ht="14.5" x14ac:dyDescent="0.35">
      <c r="A12581" s="34"/>
      <c r="B12581" s="35"/>
      <c r="C12581" s="36"/>
      <c r="D12581" s="37"/>
      <c r="E12581" s="36"/>
      <c r="F12581" s="42"/>
      <c r="G12581" s="42"/>
      <c r="H12581" s="42"/>
      <c r="AG12581" s="19"/>
    </row>
    <row r="12582" spans="1:33" ht="14.5" x14ac:dyDescent="0.35">
      <c r="A12582" s="34"/>
      <c r="B12582" s="35"/>
      <c r="C12582" s="36"/>
      <c r="D12582" s="37"/>
      <c r="E12582" s="36"/>
      <c r="F12582" s="42"/>
      <c r="G12582" s="42"/>
      <c r="H12582" s="42"/>
      <c r="AG12582" s="19"/>
    </row>
    <row r="12583" spans="1:33" ht="14.5" x14ac:dyDescent="0.35">
      <c r="A12583" s="34"/>
      <c r="B12583" s="35"/>
      <c r="C12583" s="36"/>
      <c r="D12583" s="37"/>
      <c r="E12583" s="36"/>
      <c r="F12583" s="42"/>
      <c r="G12583" s="42"/>
      <c r="H12583" s="42"/>
      <c r="AG12583" s="19"/>
    </row>
    <row r="12584" spans="1:33" ht="14.5" x14ac:dyDescent="0.35">
      <c r="A12584" s="34"/>
      <c r="B12584" s="35"/>
      <c r="C12584" s="36"/>
      <c r="D12584" s="37"/>
      <c r="E12584" s="36"/>
      <c r="F12584" s="42"/>
      <c r="G12584" s="42"/>
      <c r="H12584" s="42"/>
      <c r="AG12584" s="19"/>
    </row>
    <row r="12585" spans="1:33" ht="14.5" x14ac:dyDescent="0.35">
      <c r="A12585" s="34"/>
      <c r="B12585" s="35"/>
      <c r="C12585" s="36"/>
      <c r="D12585" s="37"/>
      <c r="E12585" s="36"/>
      <c r="F12585" s="42"/>
      <c r="G12585" s="42"/>
      <c r="H12585" s="42"/>
      <c r="AG12585" s="19"/>
    </row>
    <row r="12586" spans="1:33" ht="14.5" x14ac:dyDescent="0.35">
      <c r="A12586" s="34"/>
      <c r="B12586" s="35"/>
      <c r="C12586" s="36"/>
      <c r="D12586" s="37"/>
      <c r="E12586" s="36"/>
      <c r="F12586" s="42"/>
      <c r="G12586" s="42"/>
      <c r="H12586" s="42"/>
      <c r="AG12586" s="19"/>
    </row>
    <row r="12587" spans="1:33" ht="14.5" x14ac:dyDescent="0.35">
      <c r="A12587" s="34"/>
      <c r="B12587" s="35"/>
      <c r="C12587" s="36"/>
      <c r="D12587" s="37"/>
      <c r="E12587" s="36"/>
      <c r="F12587" s="42"/>
      <c r="G12587" s="42"/>
      <c r="H12587" s="42"/>
      <c r="AG12587" s="19"/>
    </row>
    <row r="12588" spans="1:33" ht="14.5" x14ac:dyDescent="0.35">
      <c r="A12588" s="34"/>
      <c r="B12588" s="35"/>
      <c r="C12588" s="36"/>
      <c r="D12588" s="37"/>
      <c r="E12588" s="36"/>
      <c r="F12588" s="42"/>
      <c r="G12588" s="42"/>
      <c r="H12588" s="42"/>
      <c r="AG12588" s="19"/>
    </row>
    <row r="12589" spans="1:33" ht="14.5" x14ac:dyDescent="0.35">
      <c r="A12589" s="34"/>
      <c r="B12589" s="35"/>
      <c r="C12589" s="36"/>
      <c r="D12589" s="37"/>
      <c r="E12589" s="36"/>
      <c r="F12589" s="42"/>
      <c r="G12589" s="42"/>
      <c r="H12589" s="42"/>
      <c r="AG12589" s="19"/>
    </row>
    <row r="12590" spans="1:33" ht="14.5" x14ac:dyDescent="0.35">
      <c r="A12590" s="34"/>
      <c r="B12590" s="35"/>
      <c r="C12590" s="36"/>
      <c r="D12590" s="37"/>
      <c r="E12590" s="36"/>
      <c r="F12590" s="42"/>
      <c r="G12590" s="42"/>
      <c r="H12590" s="42"/>
      <c r="AG12590" s="19"/>
    </row>
    <row r="12591" spans="1:33" ht="14.5" x14ac:dyDescent="0.35">
      <c r="A12591" s="34"/>
      <c r="B12591" s="35"/>
      <c r="C12591" s="36"/>
      <c r="D12591" s="37"/>
      <c r="E12591" s="36"/>
      <c r="F12591" s="42"/>
      <c r="G12591" s="42"/>
      <c r="H12591" s="42"/>
      <c r="AG12591" s="19"/>
    </row>
    <row r="12592" spans="1:33" ht="14.5" x14ac:dyDescent="0.35">
      <c r="A12592" s="34"/>
      <c r="B12592" s="35"/>
      <c r="C12592" s="36"/>
      <c r="D12592" s="37"/>
      <c r="E12592" s="36"/>
      <c r="F12592" s="42"/>
      <c r="G12592" s="42"/>
      <c r="H12592" s="42"/>
      <c r="AG12592" s="19"/>
    </row>
    <row r="12593" spans="1:33" ht="14.5" x14ac:dyDescent="0.35">
      <c r="A12593" s="34"/>
      <c r="B12593" s="35"/>
      <c r="C12593" s="36"/>
      <c r="D12593" s="37"/>
      <c r="E12593" s="36"/>
      <c r="F12593" s="42"/>
      <c r="G12593" s="42"/>
      <c r="H12593" s="42"/>
      <c r="AG12593" s="19"/>
    </row>
    <row r="12594" spans="1:33" ht="14.5" x14ac:dyDescent="0.35">
      <c r="A12594" s="34"/>
      <c r="B12594" s="35"/>
      <c r="C12594" s="36"/>
      <c r="D12594" s="37"/>
      <c r="E12594" s="36"/>
      <c r="F12594" s="42"/>
      <c r="G12594" s="42"/>
      <c r="H12594" s="42"/>
      <c r="AG12594" s="19"/>
    </row>
    <row r="12595" spans="1:33" ht="14.5" x14ac:dyDescent="0.35">
      <c r="A12595" s="34"/>
      <c r="B12595" s="35"/>
      <c r="C12595" s="36"/>
      <c r="D12595" s="37"/>
      <c r="E12595" s="36"/>
      <c r="F12595" s="42"/>
      <c r="G12595" s="42"/>
      <c r="H12595" s="42"/>
      <c r="AG12595" s="19"/>
    </row>
    <row r="12596" spans="1:33" ht="14.5" x14ac:dyDescent="0.35">
      <c r="A12596" s="34"/>
      <c r="B12596" s="35"/>
      <c r="C12596" s="36"/>
      <c r="D12596" s="37"/>
      <c r="E12596" s="36"/>
      <c r="F12596" s="42"/>
      <c r="G12596" s="42"/>
      <c r="H12596" s="42"/>
      <c r="AG12596" s="19"/>
    </row>
    <row r="12597" spans="1:33" ht="14.5" x14ac:dyDescent="0.35">
      <c r="A12597" s="34"/>
      <c r="B12597" s="35"/>
      <c r="C12597" s="36"/>
      <c r="D12597" s="37"/>
      <c r="E12597" s="36"/>
      <c r="F12597" s="42"/>
      <c r="G12597" s="42"/>
      <c r="H12597" s="42"/>
      <c r="AG12597" s="19"/>
    </row>
    <row r="12598" spans="1:33" ht="14.5" x14ac:dyDescent="0.35">
      <c r="A12598" s="34"/>
      <c r="B12598" s="35"/>
      <c r="C12598" s="36"/>
      <c r="D12598" s="37"/>
      <c r="E12598" s="36"/>
      <c r="F12598" s="42"/>
      <c r="G12598" s="42"/>
      <c r="H12598" s="42"/>
      <c r="AG12598" s="19"/>
    </row>
    <row r="12599" spans="1:33" ht="14.5" x14ac:dyDescent="0.35">
      <c r="A12599" s="34"/>
      <c r="B12599" s="35"/>
      <c r="C12599" s="36"/>
      <c r="D12599" s="37"/>
      <c r="E12599" s="36"/>
      <c r="F12599" s="42"/>
      <c r="G12599" s="42"/>
      <c r="H12599" s="42"/>
      <c r="AG12599" s="19"/>
    </row>
    <row r="12600" spans="1:33" ht="14.5" x14ac:dyDescent="0.35">
      <c r="A12600" s="34"/>
      <c r="B12600" s="35"/>
      <c r="C12600" s="36"/>
      <c r="D12600" s="37"/>
      <c r="E12600" s="36"/>
      <c r="F12600" s="42"/>
      <c r="G12600" s="42"/>
      <c r="H12600" s="42"/>
      <c r="AG12600" s="19"/>
    </row>
    <row r="12601" spans="1:33" ht="14.5" x14ac:dyDescent="0.35">
      <c r="A12601" s="34"/>
      <c r="B12601" s="35"/>
      <c r="C12601" s="36"/>
      <c r="D12601" s="37"/>
      <c r="E12601" s="36"/>
      <c r="F12601" s="42"/>
      <c r="G12601" s="42"/>
      <c r="H12601" s="42"/>
      <c r="AG12601" s="19"/>
    </row>
    <row r="12602" spans="1:33" ht="14.5" x14ac:dyDescent="0.35">
      <c r="A12602" s="34"/>
      <c r="B12602" s="35"/>
      <c r="C12602" s="36"/>
      <c r="D12602" s="37"/>
      <c r="E12602" s="36"/>
      <c r="F12602" s="42"/>
      <c r="G12602" s="42"/>
      <c r="H12602" s="42"/>
      <c r="AG12602" s="19"/>
    </row>
    <row r="12603" spans="1:33" ht="14.5" x14ac:dyDescent="0.35">
      <c r="A12603" s="34"/>
      <c r="B12603" s="35"/>
      <c r="C12603" s="36"/>
      <c r="D12603" s="37"/>
      <c r="E12603" s="36"/>
      <c r="F12603" s="42"/>
      <c r="G12603" s="42"/>
      <c r="H12603" s="42"/>
      <c r="AG12603" s="19"/>
    </row>
    <row r="12604" spans="1:33" ht="14.5" x14ac:dyDescent="0.35">
      <c r="A12604" s="34"/>
      <c r="B12604" s="35"/>
      <c r="C12604" s="36"/>
      <c r="D12604" s="37"/>
      <c r="E12604" s="36"/>
      <c r="F12604" s="42"/>
      <c r="G12604" s="42"/>
      <c r="H12604" s="42"/>
      <c r="AG12604" s="19"/>
    </row>
    <row r="12605" spans="1:33" ht="14.5" x14ac:dyDescent="0.35">
      <c r="A12605" s="34"/>
      <c r="B12605" s="35"/>
      <c r="C12605" s="36"/>
      <c r="D12605" s="37"/>
      <c r="E12605" s="36"/>
      <c r="F12605" s="42"/>
      <c r="G12605" s="42"/>
      <c r="H12605" s="42"/>
      <c r="AG12605" s="19"/>
    </row>
    <row r="12606" spans="1:33" ht="14.5" x14ac:dyDescent="0.35">
      <c r="A12606" s="34"/>
      <c r="B12606" s="35"/>
      <c r="C12606" s="36"/>
      <c r="D12606" s="37"/>
      <c r="E12606" s="36"/>
      <c r="F12606" s="42"/>
      <c r="G12606" s="42"/>
      <c r="H12606" s="42"/>
      <c r="AG12606" s="19"/>
    </row>
    <row r="12607" spans="1:33" ht="14.5" x14ac:dyDescent="0.35">
      <c r="A12607" s="34"/>
      <c r="B12607" s="35"/>
      <c r="C12607" s="36"/>
      <c r="D12607" s="37"/>
      <c r="E12607" s="36"/>
      <c r="F12607" s="42"/>
      <c r="G12607" s="42"/>
      <c r="H12607" s="42"/>
      <c r="AG12607" s="19"/>
    </row>
    <row r="12608" spans="1:33" ht="14.5" x14ac:dyDescent="0.35">
      <c r="A12608" s="34"/>
      <c r="B12608" s="35"/>
      <c r="C12608" s="36"/>
      <c r="D12608" s="37"/>
      <c r="E12608" s="36"/>
      <c r="F12608" s="42"/>
      <c r="G12608" s="42"/>
      <c r="H12608" s="42"/>
      <c r="AG12608" s="19"/>
    </row>
    <row r="12609" spans="1:33" ht="14.5" x14ac:dyDescent="0.35">
      <c r="A12609" s="34"/>
      <c r="B12609" s="35"/>
      <c r="C12609" s="36"/>
      <c r="D12609" s="37"/>
      <c r="E12609" s="36"/>
      <c r="F12609" s="42"/>
      <c r="G12609" s="42"/>
      <c r="H12609" s="42"/>
      <c r="AG12609" s="19"/>
    </row>
    <row r="12610" spans="1:33" ht="14.5" x14ac:dyDescent="0.35">
      <c r="A12610" s="34"/>
      <c r="B12610" s="35"/>
      <c r="C12610" s="36"/>
      <c r="D12610" s="37"/>
      <c r="E12610" s="36"/>
      <c r="F12610" s="42"/>
      <c r="G12610" s="42"/>
      <c r="H12610" s="42"/>
      <c r="AG12610" s="19"/>
    </row>
    <row r="12611" spans="1:33" ht="14.5" x14ac:dyDescent="0.35">
      <c r="A12611" s="34"/>
      <c r="B12611" s="35"/>
      <c r="C12611" s="36"/>
      <c r="D12611" s="37"/>
      <c r="E12611" s="36"/>
      <c r="F12611" s="42"/>
      <c r="G12611" s="42"/>
      <c r="H12611" s="42"/>
      <c r="AG12611" s="19"/>
    </row>
    <row r="12612" spans="1:33" ht="14.5" x14ac:dyDescent="0.35">
      <c r="A12612" s="34"/>
      <c r="B12612" s="35"/>
      <c r="C12612" s="36"/>
      <c r="D12612" s="37"/>
      <c r="E12612" s="36"/>
      <c r="F12612" s="42"/>
      <c r="G12612" s="42"/>
      <c r="H12612" s="42"/>
      <c r="AG12612" s="19"/>
    </row>
    <row r="12613" spans="1:33" ht="14.5" x14ac:dyDescent="0.35">
      <c r="A12613" s="34"/>
      <c r="B12613" s="35"/>
      <c r="C12613" s="36"/>
      <c r="D12613" s="37"/>
      <c r="E12613" s="36"/>
      <c r="F12613" s="42"/>
      <c r="G12613" s="42"/>
      <c r="H12613" s="42"/>
      <c r="AG12613" s="19"/>
    </row>
    <row r="12614" spans="1:33" ht="14.5" x14ac:dyDescent="0.35">
      <c r="A12614" s="34"/>
      <c r="B12614" s="35"/>
      <c r="C12614" s="36"/>
      <c r="D12614" s="37"/>
      <c r="E12614" s="36"/>
      <c r="F12614" s="42"/>
      <c r="G12614" s="42"/>
      <c r="H12614" s="42"/>
      <c r="AG12614" s="19"/>
    </row>
    <row r="12615" spans="1:33" ht="14.5" x14ac:dyDescent="0.35">
      <c r="A12615" s="34"/>
      <c r="B12615" s="35"/>
      <c r="C12615" s="36"/>
      <c r="D12615" s="37"/>
      <c r="E12615" s="36"/>
      <c r="F12615" s="42"/>
      <c r="G12615" s="42"/>
      <c r="H12615" s="42"/>
      <c r="AG12615" s="19"/>
    </row>
    <row r="12616" spans="1:33" ht="14.5" x14ac:dyDescent="0.35">
      <c r="A12616" s="34"/>
      <c r="B12616" s="35"/>
      <c r="C12616" s="36"/>
      <c r="D12616" s="37"/>
      <c r="E12616" s="36"/>
      <c r="F12616" s="42"/>
      <c r="G12616" s="42"/>
      <c r="H12616" s="42"/>
      <c r="AG12616" s="19"/>
    </row>
    <row r="12617" spans="1:33" ht="14.5" x14ac:dyDescent="0.35">
      <c r="A12617" s="34"/>
      <c r="B12617" s="35"/>
      <c r="C12617" s="36"/>
      <c r="D12617" s="37"/>
      <c r="E12617" s="36"/>
      <c r="F12617" s="42"/>
      <c r="G12617" s="42"/>
      <c r="H12617" s="42"/>
      <c r="AG12617" s="19"/>
    </row>
    <row r="12618" spans="1:33" ht="14.5" x14ac:dyDescent="0.35">
      <c r="A12618" s="34"/>
      <c r="B12618" s="35"/>
      <c r="C12618" s="36"/>
      <c r="D12618" s="37"/>
      <c r="E12618" s="36"/>
      <c r="F12618" s="42"/>
      <c r="G12618" s="42"/>
      <c r="H12618" s="42"/>
      <c r="AG12618" s="19"/>
    </row>
    <row r="12619" spans="1:33" ht="14.5" x14ac:dyDescent="0.35">
      <c r="A12619" s="34"/>
      <c r="B12619" s="35"/>
      <c r="C12619" s="36"/>
      <c r="D12619" s="37"/>
      <c r="E12619" s="36"/>
      <c r="F12619" s="42"/>
      <c r="G12619" s="42"/>
      <c r="H12619" s="42"/>
      <c r="AG12619" s="19"/>
    </row>
    <row r="12620" spans="1:33" ht="14.5" x14ac:dyDescent="0.35">
      <c r="A12620" s="34"/>
      <c r="B12620" s="35"/>
      <c r="C12620" s="36"/>
      <c r="D12620" s="37"/>
      <c r="E12620" s="36"/>
      <c r="F12620" s="42"/>
      <c r="G12620" s="42"/>
      <c r="H12620" s="42"/>
      <c r="AG12620" s="19"/>
    </row>
    <row r="12621" spans="1:33" ht="14.5" x14ac:dyDescent="0.35">
      <c r="A12621" s="34"/>
      <c r="B12621" s="35"/>
      <c r="C12621" s="36"/>
      <c r="D12621" s="37"/>
      <c r="E12621" s="36"/>
      <c r="F12621" s="42"/>
      <c r="G12621" s="42"/>
      <c r="H12621" s="42"/>
      <c r="AG12621" s="19"/>
    </row>
    <row r="12622" spans="1:33" ht="14.5" x14ac:dyDescent="0.35">
      <c r="A12622" s="34"/>
      <c r="B12622" s="35"/>
      <c r="C12622" s="36"/>
      <c r="D12622" s="37"/>
      <c r="E12622" s="36"/>
      <c r="F12622" s="42"/>
      <c r="G12622" s="42"/>
      <c r="H12622" s="42"/>
      <c r="AG12622" s="19"/>
    </row>
    <row r="12623" spans="1:33" ht="14.5" x14ac:dyDescent="0.35">
      <c r="A12623" s="34"/>
      <c r="B12623" s="35"/>
      <c r="C12623" s="36"/>
      <c r="D12623" s="37"/>
      <c r="E12623" s="36"/>
      <c r="F12623" s="42"/>
      <c r="G12623" s="42"/>
      <c r="H12623" s="42"/>
      <c r="AG12623" s="19"/>
    </row>
    <row r="12624" spans="1:33" ht="14.5" x14ac:dyDescent="0.35">
      <c r="A12624" s="34"/>
      <c r="B12624" s="35"/>
      <c r="C12624" s="36"/>
      <c r="D12624" s="37"/>
      <c r="E12624" s="36"/>
      <c r="F12624" s="42"/>
      <c r="G12624" s="42"/>
      <c r="H12624" s="42"/>
      <c r="AG12624" s="19"/>
    </row>
    <row r="12625" spans="1:33" ht="14.5" x14ac:dyDescent="0.35">
      <c r="A12625" s="34"/>
      <c r="B12625" s="35"/>
      <c r="C12625" s="36"/>
      <c r="D12625" s="37"/>
      <c r="E12625" s="36"/>
      <c r="F12625" s="42"/>
      <c r="G12625" s="42"/>
      <c r="H12625" s="42"/>
      <c r="AG12625" s="19"/>
    </row>
    <row r="12626" spans="1:33" ht="14.5" x14ac:dyDescent="0.35">
      <c r="A12626" s="34"/>
      <c r="B12626" s="35"/>
      <c r="C12626" s="36"/>
      <c r="D12626" s="37"/>
      <c r="E12626" s="36"/>
      <c r="F12626" s="42"/>
      <c r="G12626" s="42"/>
      <c r="H12626" s="42"/>
      <c r="AG12626" s="19"/>
    </row>
    <row r="12627" spans="1:33" ht="14.5" x14ac:dyDescent="0.35">
      <c r="A12627" s="34"/>
      <c r="B12627" s="35"/>
      <c r="C12627" s="36"/>
      <c r="D12627" s="37"/>
      <c r="E12627" s="36"/>
      <c r="F12627" s="42"/>
      <c r="G12627" s="42"/>
      <c r="H12627" s="42"/>
      <c r="AG12627" s="19"/>
    </row>
    <row r="12628" spans="1:33" ht="14.5" x14ac:dyDescent="0.35">
      <c r="A12628" s="34"/>
      <c r="B12628" s="35"/>
      <c r="C12628" s="36"/>
      <c r="D12628" s="37"/>
      <c r="E12628" s="36"/>
      <c r="F12628" s="42"/>
      <c r="G12628" s="42"/>
      <c r="H12628" s="42"/>
      <c r="AG12628" s="19"/>
    </row>
    <row r="12629" spans="1:33" ht="14.5" x14ac:dyDescent="0.35">
      <c r="A12629" s="34"/>
      <c r="B12629" s="35"/>
      <c r="C12629" s="36"/>
      <c r="D12629" s="37"/>
      <c r="E12629" s="36"/>
      <c r="F12629" s="42"/>
      <c r="G12629" s="42"/>
      <c r="H12629" s="42"/>
      <c r="AG12629" s="19"/>
    </row>
    <row r="12630" spans="1:33" ht="14.5" x14ac:dyDescent="0.35">
      <c r="A12630" s="34"/>
      <c r="B12630" s="35"/>
      <c r="C12630" s="36"/>
      <c r="D12630" s="37"/>
      <c r="E12630" s="36"/>
      <c r="F12630" s="42"/>
      <c r="G12630" s="42"/>
      <c r="H12630" s="42"/>
      <c r="AG12630" s="19"/>
    </row>
    <row r="12631" spans="1:33" ht="14.5" x14ac:dyDescent="0.35">
      <c r="A12631" s="34"/>
      <c r="B12631" s="35"/>
      <c r="C12631" s="36"/>
      <c r="D12631" s="37"/>
      <c r="E12631" s="36"/>
      <c r="F12631" s="42"/>
      <c r="G12631" s="42"/>
      <c r="H12631" s="42"/>
      <c r="AG12631" s="19"/>
    </row>
    <row r="12632" spans="1:33" ht="14.5" x14ac:dyDescent="0.35">
      <c r="A12632" s="34"/>
      <c r="B12632" s="35"/>
      <c r="C12632" s="36"/>
      <c r="D12632" s="37"/>
      <c r="E12632" s="36"/>
      <c r="F12632" s="42"/>
      <c r="G12632" s="42"/>
      <c r="H12632" s="42"/>
      <c r="AG12632" s="19"/>
    </row>
    <row r="12633" spans="1:33" ht="14.5" x14ac:dyDescent="0.35">
      <c r="A12633" s="34"/>
      <c r="B12633" s="35"/>
      <c r="C12633" s="36"/>
      <c r="D12633" s="37"/>
      <c r="E12633" s="36"/>
      <c r="F12633" s="42"/>
      <c r="G12633" s="42"/>
      <c r="H12633" s="42"/>
      <c r="AG12633" s="19"/>
    </row>
    <row r="12634" spans="1:33" ht="14.5" x14ac:dyDescent="0.35">
      <c r="A12634" s="34"/>
      <c r="B12634" s="35"/>
      <c r="C12634" s="36"/>
      <c r="D12634" s="37"/>
      <c r="E12634" s="36"/>
      <c r="F12634" s="42"/>
      <c r="G12634" s="42"/>
      <c r="H12634" s="42"/>
      <c r="AG12634" s="19"/>
    </row>
    <row r="12635" spans="1:33" ht="14.5" x14ac:dyDescent="0.35">
      <c r="A12635" s="34"/>
      <c r="B12635" s="35"/>
      <c r="C12635" s="36"/>
      <c r="D12635" s="37"/>
      <c r="E12635" s="36"/>
      <c r="F12635" s="42"/>
      <c r="G12635" s="42"/>
      <c r="H12635" s="42"/>
      <c r="AG12635" s="19"/>
    </row>
    <row r="12636" spans="1:33" ht="14.5" x14ac:dyDescent="0.35">
      <c r="A12636" s="34"/>
      <c r="B12636" s="35"/>
      <c r="C12636" s="36"/>
      <c r="D12636" s="37"/>
      <c r="E12636" s="36"/>
      <c r="F12636" s="42"/>
      <c r="G12636" s="42"/>
      <c r="H12636" s="42"/>
      <c r="AG12636" s="19"/>
    </row>
    <row r="12637" spans="1:33" ht="14.5" x14ac:dyDescent="0.35">
      <c r="A12637" s="34"/>
      <c r="B12637" s="35"/>
      <c r="C12637" s="36"/>
      <c r="D12637" s="37"/>
      <c r="E12637" s="36"/>
      <c r="F12637" s="42"/>
      <c r="G12637" s="42"/>
      <c r="H12637" s="42"/>
      <c r="AG12637" s="19"/>
    </row>
    <row r="12638" spans="1:33" ht="14.5" x14ac:dyDescent="0.35">
      <c r="A12638" s="34"/>
      <c r="B12638" s="35"/>
      <c r="C12638" s="36"/>
      <c r="D12638" s="37"/>
      <c r="E12638" s="36"/>
      <c r="F12638" s="42"/>
      <c r="G12638" s="42"/>
      <c r="H12638" s="42"/>
      <c r="AG12638" s="19"/>
    </row>
    <row r="12639" spans="1:33" ht="14.5" x14ac:dyDescent="0.35">
      <c r="A12639" s="34"/>
      <c r="B12639" s="35"/>
      <c r="C12639" s="36"/>
      <c r="D12639" s="37"/>
      <c r="E12639" s="36"/>
      <c r="F12639" s="42"/>
      <c r="G12639" s="42"/>
      <c r="H12639" s="42"/>
      <c r="AG12639" s="19"/>
    </row>
    <row r="12640" spans="1:33" ht="14.5" x14ac:dyDescent="0.35">
      <c r="A12640" s="34"/>
      <c r="B12640" s="35"/>
      <c r="C12640" s="36"/>
      <c r="D12640" s="37"/>
      <c r="E12640" s="36"/>
      <c r="F12640" s="42"/>
      <c r="G12640" s="42"/>
      <c r="H12640" s="42"/>
      <c r="AG12640" s="19"/>
    </row>
    <row r="12641" spans="1:33" ht="14.5" x14ac:dyDescent="0.35">
      <c r="A12641" s="34"/>
      <c r="B12641" s="35"/>
      <c r="C12641" s="36"/>
      <c r="D12641" s="37"/>
      <c r="E12641" s="36"/>
      <c r="F12641" s="42"/>
      <c r="G12641" s="42"/>
      <c r="H12641" s="42"/>
      <c r="AG12641" s="19"/>
    </row>
    <row r="12642" spans="1:33" ht="14.5" x14ac:dyDescent="0.35">
      <c r="A12642" s="34"/>
      <c r="B12642" s="35"/>
      <c r="C12642" s="36"/>
      <c r="D12642" s="37"/>
      <c r="E12642" s="36"/>
      <c r="F12642" s="42"/>
      <c r="G12642" s="42"/>
      <c r="H12642" s="42"/>
      <c r="AG12642" s="19"/>
    </row>
    <row r="12643" spans="1:33" ht="14.5" x14ac:dyDescent="0.35">
      <c r="A12643" s="34"/>
      <c r="B12643" s="35"/>
      <c r="C12643" s="36"/>
      <c r="D12643" s="37"/>
      <c r="E12643" s="36"/>
      <c r="F12643" s="42"/>
      <c r="G12643" s="42"/>
      <c r="H12643" s="42"/>
      <c r="AG12643" s="19"/>
    </row>
    <row r="12644" spans="1:33" ht="14.5" x14ac:dyDescent="0.35">
      <c r="A12644" s="34"/>
      <c r="B12644" s="35"/>
      <c r="C12644" s="36"/>
      <c r="D12644" s="37"/>
      <c r="E12644" s="36"/>
      <c r="F12644" s="42"/>
      <c r="G12644" s="42"/>
      <c r="H12644" s="42"/>
      <c r="AG12644" s="19"/>
    </row>
    <row r="12645" spans="1:33" ht="14.5" x14ac:dyDescent="0.35">
      <c r="A12645" s="34"/>
      <c r="B12645" s="35"/>
      <c r="C12645" s="36"/>
      <c r="D12645" s="37"/>
      <c r="E12645" s="36"/>
      <c r="F12645" s="42"/>
      <c r="G12645" s="42"/>
      <c r="H12645" s="42"/>
      <c r="AG12645" s="19"/>
    </row>
    <row r="12646" spans="1:33" ht="14.5" x14ac:dyDescent="0.35">
      <c r="A12646" s="34"/>
      <c r="B12646" s="35"/>
      <c r="C12646" s="36"/>
      <c r="D12646" s="37"/>
      <c r="E12646" s="36"/>
      <c r="F12646" s="42"/>
      <c r="G12646" s="42"/>
      <c r="H12646" s="42"/>
      <c r="AG12646" s="19"/>
    </row>
    <row r="12647" spans="1:33" ht="14.5" x14ac:dyDescent="0.35">
      <c r="A12647" s="34"/>
      <c r="B12647" s="35"/>
      <c r="C12647" s="36"/>
      <c r="D12647" s="37"/>
      <c r="E12647" s="36"/>
      <c r="F12647" s="42"/>
      <c r="G12647" s="42"/>
      <c r="H12647" s="42"/>
      <c r="AG12647" s="19"/>
    </row>
    <row r="12648" spans="1:33" ht="14.5" x14ac:dyDescent="0.35">
      <c r="A12648" s="34"/>
      <c r="B12648" s="35"/>
      <c r="C12648" s="36"/>
      <c r="D12648" s="37"/>
      <c r="E12648" s="36"/>
      <c r="F12648" s="42"/>
      <c r="G12648" s="42"/>
      <c r="H12648" s="42"/>
      <c r="AG12648" s="19"/>
    </row>
    <row r="12649" spans="1:33" ht="14.5" x14ac:dyDescent="0.35">
      <c r="A12649" s="34"/>
      <c r="B12649" s="35"/>
      <c r="C12649" s="36"/>
      <c r="D12649" s="37"/>
      <c r="E12649" s="36"/>
      <c r="F12649" s="42"/>
      <c r="G12649" s="42"/>
      <c r="H12649" s="42"/>
      <c r="AG12649" s="19"/>
    </row>
    <row r="12650" spans="1:33" ht="14.5" x14ac:dyDescent="0.35">
      <c r="A12650" s="34"/>
      <c r="B12650" s="35"/>
      <c r="C12650" s="36"/>
      <c r="D12650" s="37"/>
      <c r="E12650" s="36"/>
      <c r="F12650" s="42"/>
      <c r="G12650" s="42"/>
      <c r="H12650" s="42"/>
      <c r="AG12650" s="19"/>
    </row>
    <row r="12651" spans="1:33" ht="14.5" x14ac:dyDescent="0.35">
      <c r="A12651" s="34"/>
      <c r="B12651" s="35"/>
      <c r="C12651" s="36"/>
      <c r="D12651" s="37"/>
      <c r="E12651" s="36"/>
      <c r="F12651" s="42"/>
      <c r="G12651" s="42"/>
      <c r="H12651" s="42"/>
      <c r="AG12651" s="19"/>
    </row>
    <row r="12652" spans="1:33" ht="14.5" x14ac:dyDescent="0.35">
      <c r="A12652" s="34"/>
      <c r="B12652" s="35"/>
      <c r="C12652" s="36"/>
      <c r="D12652" s="37"/>
      <c r="E12652" s="36"/>
      <c r="F12652" s="42"/>
      <c r="G12652" s="42"/>
      <c r="H12652" s="42"/>
      <c r="AG12652" s="19"/>
    </row>
    <row r="12653" spans="1:33" ht="14.5" x14ac:dyDescent="0.35">
      <c r="A12653" s="34"/>
      <c r="B12653" s="35"/>
      <c r="C12653" s="36"/>
      <c r="D12653" s="37"/>
      <c r="E12653" s="36"/>
      <c r="F12653" s="42"/>
      <c r="G12653" s="42"/>
      <c r="H12653" s="42"/>
      <c r="AG12653" s="19"/>
    </row>
    <row r="12654" spans="1:33" ht="14.5" x14ac:dyDescent="0.35">
      <c r="A12654" s="34"/>
      <c r="B12654" s="35"/>
      <c r="C12654" s="36"/>
      <c r="D12654" s="37"/>
      <c r="E12654" s="36"/>
      <c r="F12654" s="42"/>
      <c r="G12654" s="42"/>
      <c r="H12654" s="42"/>
      <c r="AG12654" s="19"/>
    </row>
    <row r="12655" spans="1:33" ht="14.5" x14ac:dyDescent="0.35">
      <c r="A12655" s="34"/>
      <c r="B12655" s="35"/>
      <c r="C12655" s="36"/>
      <c r="D12655" s="37"/>
      <c r="E12655" s="36"/>
      <c r="F12655" s="42"/>
      <c r="G12655" s="42"/>
      <c r="H12655" s="42"/>
      <c r="AG12655" s="19"/>
    </row>
    <row r="12656" spans="1:33" ht="14.5" x14ac:dyDescent="0.35">
      <c r="A12656" s="34"/>
      <c r="B12656" s="35"/>
      <c r="C12656" s="36"/>
      <c r="D12656" s="37"/>
      <c r="E12656" s="36"/>
      <c r="F12656" s="42"/>
      <c r="G12656" s="42"/>
      <c r="H12656" s="42"/>
      <c r="AG12656" s="19"/>
    </row>
    <row r="12657" spans="1:33" ht="14.5" x14ac:dyDescent="0.35">
      <c r="A12657" s="34"/>
      <c r="B12657" s="35"/>
      <c r="C12657" s="36"/>
      <c r="D12657" s="37"/>
      <c r="E12657" s="36"/>
      <c r="F12657" s="42"/>
      <c r="G12657" s="42"/>
      <c r="H12657" s="42"/>
      <c r="AG12657" s="19"/>
    </row>
    <row r="12658" spans="1:33" ht="14.5" x14ac:dyDescent="0.35">
      <c r="A12658" s="34"/>
      <c r="B12658" s="35"/>
      <c r="C12658" s="36"/>
      <c r="D12658" s="37"/>
      <c r="E12658" s="36"/>
      <c r="F12658" s="42"/>
      <c r="G12658" s="42"/>
      <c r="H12658" s="42"/>
      <c r="AG12658" s="19"/>
    </row>
    <row r="12659" spans="1:33" ht="14.5" x14ac:dyDescent="0.35">
      <c r="A12659" s="34"/>
      <c r="B12659" s="35"/>
      <c r="C12659" s="36"/>
      <c r="D12659" s="37"/>
      <c r="E12659" s="36"/>
      <c r="F12659" s="42"/>
      <c r="G12659" s="42"/>
      <c r="H12659" s="42"/>
      <c r="AG12659" s="19"/>
    </row>
    <row r="12660" spans="1:33" ht="14.5" x14ac:dyDescent="0.35">
      <c r="A12660" s="34"/>
      <c r="B12660" s="35"/>
      <c r="C12660" s="36"/>
      <c r="D12660" s="37"/>
      <c r="E12660" s="36"/>
      <c r="F12660" s="42"/>
      <c r="G12660" s="42"/>
      <c r="H12660" s="42"/>
      <c r="AG12660" s="19"/>
    </row>
    <row r="12661" spans="1:33" ht="14.5" x14ac:dyDescent="0.35">
      <c r="A12661" s="34"/>
      <c r="B12661" s="35"/>
      <c r="C12661" s="36"/>
      <c r="D12661" s="37"/>
      <c r="E12661" s="36"/>
      <c r="F12661" s="42"/>
      <c r="G12661" s="42"/>
      <c r="H12661" s="42"/>
      <c r="AG12661" s="19"/>
    </row>
    <row r="12662" spans="1:33" ht="14.5" x14ac:dyDescent="0.35">
      <c r="A12662" s="34"/>
      <c r="B12662" s="35"/>
      <c r="C12662" s="36"/>
      <c r="D12662" s="37"/>
      <c r="E12662" s="36"/>
      <c r="F12662" s="42"/>
      <c r="G12662" s="42"/>
      <c r="H12662" s="42"/>
      <c r="AG12662" s="19"/>
    </row>
    <row r="12663" spans="1:33" ht="14.5" x14ac:dyDescent="0.35">
      <c r="A12663" s="34"/>
      <c r="B12663" s="35"/>
      <c r="C12663" s="36"/>
      <c r="D12663" s="37"/>
      <c r="E12663" s="36"/>
      <c r="F12663" s="42"/>
      <c r="G12663" s="42"/>
      <c r="H12663" s="42"/>
      <c r="AG12663" s="19"/>
    </row>
    <row r="12664" spans="1:33" ht="14.5" x14ac:dyDescent="0.35">
      <c r="A12664" s="34"/>
      <c r="B12664" s="35"/>
      <c r="C12664" s="36"/>
      <c r="D12664" s="37"/>
      <c r="E12664" s="36"/>
      <c r="F12664" s="42"/>
      <c r="G12664" s="42"/>
      <c r="H12664" s="42"/>
      <c r="AG12664" s="19"/>
    </row>
    <row r="12665" spans="1:33" ht="14.5" x14ac:dyDescent="0.35">
      <c r="A12665" s="34"/>
      <c r="B12665" s="35"/>
      <c r="C12665" s="36"/>
      <c r="D12665" s="37"/>
      <c r="E12665" s="36"/>
      <c r="F12665" s="42"/>
      <c r="G12665" s="42"/>
      <c r="H12665" s="42"/>
      <c r="AG12665" s="19"/>
    </row>
    <row r="12666" spans="1:33" ht="14.5" x14ac:dyDescent="0.35">
      <c r="A12666" s="34"/>
      <c r="B12666" s="35"/>
      <c r="C12666" s="36"/>
      <c r="D12666" s="37"/>
      <c r="E12666" s="36"/>
      <c r="F12666" s="42"/>
      <c r="G12666" s="42"/>
      <c r="H12666" s="42"/>
      <c r="AG12666" s="19"/>
    </row>
    <row r="12667" spans="1:33" ht="14.5" x14ac:dyDescent="0.35">
      <c r="A12667" s="34"/>
      <c r="B12667" s="35"/>
      <c r="C12667" s="36"/>
      <c r="D12667" s="37"/>
      <c r="E12667" s="36"/>
      <c r="F12667" s="42"/>
      <c r="G12667" s="42"/>
      <c r="H12667" s="42"/>
      <c r="AG12667" s="19"/>
    </row>
    <row r="12668" spans="1:33" ht="14.5" x14ac:dyDescent="0.35">
      <c r="A12668" s="34"/>
      <c r="B12668" s="35"/>
      <c r="C12668" s="36"/>
      <c r="D12668" s="37"/>
      <c r="E12668" s="36"/>
      <c r="F12668" s="42"/>
      <c r="G12668" s="42"/>
      <c r="H12668" s="42"/>
      <c r="AG12668" s="19"/>
    </row>
    <row r="12669" spans="1:33" ht="14.5" x14ac:dyDescent="0.35">
      <c r="A12669" s="34"/>
      <c r="B12669" s="35"/>
      <c r="C12669" s="36"/>
      <c r="D12669" s="37"/>
      <c r="E12669" s="36"/>
      <c r="F12669" s="42"/>
      <c r="G12669" s="42"/>
      <c r="H12669" s="42"/>
      <c r="AG12669" s="19"/>
    </row>
    <row r="12670" spans="1:33" ht="14.5" x14ac:dyDescent="0.35">
      <c r="A12670" s="34"/>
      <c r="B12670" s="35"/>
      <c r="C12670" s="36"/>
      <c r="D12670" s="37"/>
      <c r="E12670" s="36"/>
      <c r="F12670" s="42"/>
      <c r="G12670" s="42"/>
      <c r="H12670" s="42"/>
      <c r="AG12670" s="19"/>
    </row>
    <row r="12671" spans="1:33" ht="14.5" x14ac:dyDescent="0.35">
      <c r="A12671" s="34"/>
      <c r="B12671" s="35"/>
      <c r="C12671" s="36"/>
      <c r="D12671" s="37"/>
      <c r="E12671" s="36"/>
      <c r="F12671" s="42"/>
      <c r="G12671" s="42"/>
      <c r="H12671" s="42"/>
      <c r="AG12671" s="19"/>
    </row>
    <row r="12672" spans="1:33" ht="14.5" x14ac:dyDescent="0.35">
      <c r="A12672" s="34"/>
      <c r="B12672" s="35"/>
      <c r="C12672" s="36"/>
      <c r="D12672" s="37"/>
      <c r="E12672" s="36"/>
      <c r="F12672" s="42"/>
      <c r="G12672" s="42"/>
      <c r="H12672" s="42"/>
      <c r="AG12672" s="19"/>
    </row>
    <row r="12673" spans="1:33" ht="14.5" x14ac:dyDescent="0.35">
      <c r="A12673" s="34"/>
      <c r="B12673" s="35"/>
      <c r="C12673" s="36"/>
      <c r="D12673" s="37"/>
      <c r="E12673" s="36"/>
      <c r="F12673" s="42"/>
      <c r="G12673" s="42"/>
      <c r="H12673" s="42"/>
      <c r="AG12673" s="19"/>
    </row>
    <row r="12674" spans="1:33" ht="14.5" x14ac:dyDescent="0.35">
      <c r="A12674" s="34"/>
      <c r="B12674" s="35"/>
      <c r="C12674" s="36"/>
      <c r="D12674" s="37"/>
      <c r="E12674" s="36"/>
      <c r="F12674" s="42"/>
      <c r="G12674" s="42"/>
      <c r="H12674" s="42"/>
      <c r="AG12674" s="19"/>
    </row>
    <row r="12675" spans="1:33" ht="14.5" x14ac:dyDescent="0.35">
      <c r="A12675" s="34"/>
      <c r="B12675" s="35"/>
      <c r="C12675" s="36"/>
      <c r="D12675" s="37"/>
      <c r="E12675" s="36"/>
      <c r="F12675" s="42"/>
      <c r="G12675" s="42"/>
      <c r="H12675" s="42"/>
      <c r="AG12675" s="19"/>
    </row>
    <row r="12676" spans="1:33" ht="14.5" x14ac:dyDescent="0.35">
      <c r="A12676" s="34"/>
      <c r="B12676" s="35"/>
      <c r="C12676" s="36"/>
      <c r="D12676" s="37"/>
      <c r="E12676" s="36"/>
      <c r="F12676" s="42"/>
      <c r="G12676" s="42"/>
      <c r="H12676" s="42"/>
      <c r="AG12676" s="19"/>
    </row>
    <row r="12677" spans="1:33" ht="14.5" x14ac:dyDescent="0.35">
      <c r="A12677" s="34"/>
      <c r="B12677" s="35"/>
      <c r="C12677" s="36"/>
      <c r="D12677" s="37"/>
      <c r="E12677" s="36"/>
      <c r="F12677" s="42"/>
      <c r="G12677" s="42"/>
      <c r="H12677" s="42"/>
      <c r="AG12677" s="19"/>
    </row>
    <row r="12678" spans="1:33" ht="14.5" x14ac:dyDescent="0.35">
      <c r="A12678" s="34"/>
      <c r="B12678" s="35"/>
      <c r="C12678" s="36"/>
      <c r="D12678" s="37"/>
      <c r="E12678" s="36"/>
      <c r="F12678" s="42"/>
      <c r="G12678" s="42"/>
      <c r="H12678" s="42"/>
      <c r="AG12678" s="19"/>
    </row>
    <row r="12679" spans="1:33" ht="14.5" x14ac:dyDescent="0.35">
      <c r="A12679" s="34"/>
      <c r="B12679" s="35"/>
      <c r="C12679" s="36"/>
      <c r="D12679" s="37"/>
      <c r="E12679" s="36"/>
      <c r="F12679" s="42"/>
      <c r="G12679" s="42"/>
      <c r="H12679" s="42"/>
      <c r="AG12679" s="19"/>
    </row>
    <row r="12680" spans="1:33" ht="14.5" x14ac:dyDescent="0.35">
      <c r="A12680" s="34"/>
      <c r="B12680" s="35"/>
      <c r="C12680" s="36"/>
      <c r="D12680" s="37"/>
      <c r="E12680" s="36"/>
      <c r="F12680" s="42"/>
      <c r="G12680" s="42"/>
      <c r="H12680" s="42"/>
      <c r="AG12680" s="19"/>
    </row>
    <row r="12681" spans="1:33" ht="14.5" x14ac:dyDescent="0.35">
      <c r="A12681" s="34"/>
      <c r="B12681" s="35"/>
      <c r="C12681" s="36"/>
      <c r="D12681" s="37"/>
      <c r="E12681" s="36"/>
      <c r="F12681" s="42"/>
      <c r="G12681" s="42"/>
      <c r="H12681" s="42"/>
      <c r="AG12681" s="19"/>
    </row>
    <row r="12682" spans="1:33" ht="14.5" x14ac:dyDescent="0.35">
      <c r="A12682" s="34"/>
      <c r="B12682" s="35"/>
      <c r="C12682" s="36"/>
      <c r="D12682" s="37"/>
      <c r="E12682" s="36"/>
      <c r="F12682" s="42"/>
      <c r="G12682" s="42"/>
      <c r="H12682" s="42"/>
      <c r="AG12682" s="19"/>
    </row>
    <row r="12683" spans="1:33" ht="14.5" x14ac:dyDescent="0.35">
      <c r="A12683" s="34"/>
      <c r="B12683" s="35"/>
      <c r="C12683" s="36"/>
      <c r="D12683" s="37"/>
      <c r="E12683" s="36"/>
      <c r="F12683" s="42"/>
      <c r="G12683" s="42"/>
      <c r="H12683" s="42"/>
      <c r="AG12683" s="19"/>
    </row>
    <row r="12684" spans="1:33" ht="14.5" x14ac:dyDescent="0.35">
      <c r="A12684" s="34"/>
      <c r="B12684" s="35"/>
      <c r="C12684" s="36"/>
      <c r="D12684" s="37"/>
      <c r="E12684" s="36"/>
      <c r="F12684" s="42"/>
      <c r="G12684" s="42"/>
      <c r="H12684" s="42"/>
      <c r="AG12684" s="19"/>
    </row>
    <row r="12685" spans="1:33" ht="14.5" x14ac:dyDescent="0.35">
      <c r="A12685" s="34"/>
      <c r="B12685" s="35"/>
      <c r="C12685" s="36"/>
      <c r="D12685" s="37"/>
      <c r="E12685" s="36"/>
      <c r="F12685" s="42"/>
      <c r="G12685" s="42"/>
      <c r="H12685" s="42"/>
      <c r="AG12685" s="19"/>
    </row>
    <row r="12686" spans="1:33" ht="14.5" x14ac:dyDescent="0.35">
      <c r="A12686" s="34"/>
      <c r="B12686" s="35"/>
      <c r="C12686" s="36"/>
      <c r="D12686" s="37"/>
      <c r="E12686" s="36"/>
      <c r="F12686" s="42"/>
      <c r="G12686" s="42"/>
      <c r="H12686" s="42"/>
      <c r="AG12686" s="19"/>
    </row>
    <row r="12687" spans="1:33" ht="14.5" x14ac:dyDescent="0.35">
      <c r="A12687" s="34"/>
      <c r="B12687" s="35"/>
      <c r="C12687" s="36"/>
      <c r="D12687" s="37"/>
      <c r="E12687" s="36"/>
      <c r="F12687" s="42"/>
      <c r="G12687" s="42"/>
      <c r="H12687" s="42"/>
      <c r="AG12687" s="19"/>
    </row>
    <row r="12688" spans="1:33" ht="14.5" x14ac:dyDescent="0.35">
      <c r="A12688" s="34"/>
      <c r="B12688" s="35"/>
      <c r="C12688" s="36"/>
      <c r="D12688" s="37"/>
      <c r="E12688" s="36"/>
      <c r="F12688" s="42"/>
      <c r="G12688" s="42"/>
      <c r="H12688" s="42"/>
      <c r="AG12688" s="19"/>
    </row>
    <row r="12689" spans="1:33" ht="14.5" x14ac:dyDescent="0.35">
      <c r="A12689" s="34"/>
      <c r="B12689" s="35"/>
      <c r="C12689" s="36"/>
      <c r="D12689" s="37"/>
      <c r="E12689" s="36"/>
      <c r="F12689" s="42"/>
      <c r="G12689" s="42"/>
      <c r="H12689" s="42"/>
      <c r="AG12689" s="19"/>
    </row>
    <row r="12690" spans="1:33" ht="14.5" x14ac:dyDescent="0.35">
      <c r="A12690" s="34"/>
      <c r="B12690" s="35"/>
      <c r="C12690" s="36"/>
      <c r="D12690" s="37"/>
      <c r="E12690" s="36"/>
      <c r="F12690" s="42"/>
      <c r="G12690" s="42"/>
      <c r="H12690" s="42"/>
      <c r="AG12690" s="19"/>
    </row>
    <row r="12691" spans="1:33" ht="14.5" x14ac:dyDescent="0.35">
      <c r="A12691" s="34"/>
      <c r="B12691" s="35"/>
      <c r="C12691" s="36"/>
      <c r="D12691" s="37"/>
      <c r="E12691" s="36"/>
      <c r="F12691" s="42"/>
      <c r="G12691" s="42"/>
      <c r="H12691" s="42"/>
      <c r="AG12691" s="19"/>
    </row>
    <row r="12692" spans="1:33" ht="14.5" x14ac:dyDescent="0.35">
      <c r="A12692" s="34"/>
      <c r="B12692" s="35"/>
      <c r="C12692" s="36"/>
      <c r="D12692" s="37"/>
      <c r="E12692" s="36"/>
      <c r="F12692" s="42"/>
      <c r="G12692" s="42"/>
      <c r="H12692" s="42"/>
      <c r="AG12692" s="19"/>
    </row>
    <row r="12693" spans="1:33" ht="14.5" x14ac:dyDescent="0.35">
      <c r="A12693" s="34"/>
      <c r="B12693" s="35"/>
      <c r="C12693" s="36"/>
      <c r="D12693" s="37"/>
      <c r="E12693" s="36"/>
      <c r="F12693" s="42"/>
      <c r="G12693" s="42"/>
      <c r="H12693" s="42"/>
      <c r="AG12693" s="19"/>
    </row>
    <row r="12694" spans="1:33" ht="14.5" x14ac:dyDescent="0.35">
      <c r="A12694" s="34"/>
      <c r="B12694" s="35"/>
      <c r="C12694" s="36"/>
      <c r="D12694" s="37"/>
      <c r="E12694" s="36"/>
      <c r="F12694" s="42"/>
      <c r="G12694" s="42"/>
      <c r="H12694" s="42"/>
      <c r="AG12694" s="19"/>
    </row>
    <row r="12695" spans="1:33" ht="14.5" x14ac:dyDescent="0.35">
      <c r="A12695" s="34"/>
      <c r="B12695" s="35"/>
      <c r="C12695" s="36"/>
      <c r="D12695" s="37"/>
      <c r="E12695" s="36"/>
      <c r="F12695" s="42"/>
      <c r="G12695" s="42"/>
      <c r="H12695" s="42"/>
      <c r="AG12695" s="19"/>
    </row>
    <row r="12696" spans="1:33" ht="14.5" x14ac:dyDescent="0.35">
      <c r="A12696" s="34"/>
      <c r="B12696" s="35"/>
      <c r="C12696" s="36"/>
      <c r="D12696" s="37"/>
      <c r="E12696" s="36"/>
      <c r="F12696" s="42"/>
      <c r="G12696" s="42"/>
      <c r="H12696" s="42"/>
      <c r="AG12696" s="19"/>
    </row>
    <row r="12697" spans="1:33" ht="14.5" x14ac:dyDescent="0.35">
      <c r="A12697" s="34"/>
      <c r="B12697" s="35"/>
      <c r="C12697" s="36"/>
      <c r="D12697" s="37"/>
      <c r="E12697" s="36"/>
      <c r="F12697" s="42"/>
      <c r="G12697" s="42"/>
      <c r="H12697" s="42"/>
      <c r="AG12697" s="19"/>
    </row>
    <row r="12698" spans="1:33" ht="14.5" x14ac:dyDescent="0.35">
      <c r="A12698" s="34"/>
      <c r="B12698" s="35"/>
      <c r="C12698" s="36"/>
      <c r="D12698" s="37"/>
      <c r="E12698" s="36"/>
      <c r="F12698" s="42"/>
      <c r="G12698" s="42"/>
      <c r="H12698" s="42"/>
      <c r="AG12698" s="19"/>
    </row>
    <row r="12699" spans="1:33" ht="14.5" x14ac:dyDescent="0.35">
      <c r="A12699" s="34"/>
      <c r="B12699" s="35"/>
      <c r="C12699" s="36"/>
      <c r="D12699" s="37"/>
      <c r="E12699" s="36"/>
      <c r="F12699" s="42"/>
      <c r="G12699" s="42"/>
      <c r="H12699" s="42"/>
      <c r="AG12699" s="19"/>
    </row>
    <row r="12700" spans="1:33" ht="14.5" x14ac:dyDescent="0.35">
      <c r="A12700" s="34"/>
      <c r="B12700" s="35"/>
      <c r="C12700" s="36"/>
      <c r="D12700" s="37"/>
      <c r="E12700" s="36"/>
      <c r="F12700" s="42"/>
      <c r="G12700" s="42"/>
      <c r="H12700" s="42"/>
      <c r="AG12700" s="19"/>
    </row>
    <row r="12701" spans="1:33" ht="14.5" x14ac:dyDescent="0.35">
      <c r="A12701" s="34"/>
      <c r="B12701" s="35"/>
      <c r="C12701" s="36"/>
      <c r="D12701" s="37"/>
      <c r="E12701" s="36"/>
      <c r="F12701" s="42"/>
      <c r="G12701" s="42"/>
      <c r="H12701" s="42"/>
      <c r="AG12701" s="19"/>
    </row>
    <row r="12702" spans="1:33" ht="14.5" x14ac:dyDescent="0.35">
      <c r="A12702" s="34"/>
      <c r="B12702" s="35"/>
      <c r="C12702" s="36"/>
      <c r="D12702" s="37"/>
      <c r="E12702" s="36"/>
      <c r="F12702" s="42"/>
      <c r="G12702" s="42"/>
      <c r="H12702" s="42"/>
      <c r="AG12702" s="19"/>
    </row>
    <row r="12703" spans="1:33" ht="14.5" x14ac:dyDescent="0.35">
      <c r="A12703" s="34"/>
      <c r="B12703" s="35"/>
      <c r="C12703" s="36"/>
      <c r="D12703" s="37"/>
      <c r="E12703" s="36"/>
      <c r="F12703" s="42"/>
      <c r="G12703" s="42"/>
      <c r="H12703" s="42"/>
      <c r="AG12703" s="19"/>
    </row>
    <row r="12704" spans="1:33" ht="14.5" x14ac:dyDescent="0.35">
      <c r="A12704" s="34"/>
      <c r="B12704" s="35"/>
      <c r="C12704" s="36"/>
      <c r="D12704" s="37"/>
      <c r="E12704" s="36"/>
      <c r="F12704" s="42"/>
      <c r="G12704" s="42"/>
      <c r="H12704" s="42"/>
      <c r="AG12704" s="19"/>
    </row>
    <row r="12705" spans="1:33" ht="14.5" x14ac:dyDescent="0.35">
      <c r="A12705" s="34"/>
      <c r="B12705" s="35"/>
      <c r="C12705" s="36"/>
      <c r="D12705" s="37"/>
      <c r="E12705" s="36"/>
      <c r="F12705" s="42"/>
      <c r="G12705" s="42"/>
      <c r="H12705" s="42"/>
      <c r="AG12705" s="19"/>
    </row>
    <row r="12706" spans="1:33" ht="14.5" x14ac:dyDescent="0.35">
      <c r="A12706" s="34"/>
      <c r="B12706" s="35"/>
      <c r="C12706" s="36"/>
      <c r="D12706" s="37"/>
      <c r="E12706" s="36"/>
      <c r="F12706" s="42"/>
      <c r="G12706" s="42"/>
      <c r="H12706" s="42"/>
      <c r="AG12706" s="19"/>
    </row>
    <row r="12707" spans="1:33" ht="14.5" x14ac:dyDescent="0.35">
      <c r="A12707" s="34"/>
      <c r="B12707" s="35"/>
      <c r="C12707" s="36"/>
      <c r="D12707" s="37"/>
      <c r="E12707" s="36"/>
      <c r="F12707" s="42"/>
      <c r="G12707" s="42"/>
      <c r="H12707" s="42"/>
      <c r="AG12707" s="19"/>
    </row>
    <row r="12708" spans="1:33" ht="14.5" x14ac:dyDescent="0.35">
      <c r="A12708" s="34"/>
      <c r="B12708" s="35"/>
      <c r="C12708" s="36"/>
      <c r="D12708" s="37"/>
      <c r="E12708" s="36"/>
      <c r="F12708" s="42"/>
      <c r="G12708" s="42"/>
      <c r="H12708" s="42"/>
      <c r="AG12708" s="19"/>
    </row>
    <row r="12709" spans="1:33" ht="14.5" x14ac:dyDescent="0.35">
      <c r="A12709" s="34"/>
      <c r="B12709" s="35"/>
      <c r="C12709" s="36"/>
      <c r="D12709" s="37"/>
      <c r="E12709" s="36"/>
      <c r="F12709" s="42"/>
      <c r="G12709" s="42"/>
      <c r="H12709" s="42"/>
      <c r="AG12709" s="19"/>
    </row>
    <row r="12710" spans="1:33" ht="14.5" x14ac:dyDescent="0.35">
      <c r="A12710" s="34"/>
      <c r="B12710" s="35"/>
      <c r="C12710" s="36"/>
      <c r="D12710" s="37"/>
      <c r="E12710" s="36"/>
      <c r="F12710" s="42"/>
      <c r="G12710" s="42"/>
      <c r="H12710" s="42"/>
      <c r="AG12710" s="19"/>
    </row>
    <row r="12711" spans="1:33" ht="14.5" x14ac:dyDescent="0.35">
      <c r="A12711" s="34"/>
      <c r="B12711" s="35"/>
      <c r="C12711" s="36"/>
      <c r="D12711" s="37"/>
      <c r="E12711" s="36"/>
      <c r="F12711" s="42"/>
      <c r="G12711" s="42"/>
      <c r="H12711" s="42"/>
      <c r="AG12711" s="19"/>
    </row>
    <row r="12712" spans="1:33" ht="14.5" x14ac:dyDescent="0.35">
      <c r="A12712" s="34"/>
      <c r="B12712" s="35"/>
      <c r="C12712" s="36"/>
      <c r="D12712" s="37"/>
      <c r="E12712" s="36"/>
      <c r="F12712" s="42"/>
      <c r="G12712" s="42"/>
      <c r="H12712" s="42"/>
      <c r="AG12712" s="19"/>
    </row>
    <row r="12713" spans="1:33" ht="14.5" x14ac:dyDescent="0.35">
      <c r="A12713" s="34"/>
      <c r="B12713" s="35"/>
      <c r="C12713" s="36"/>
      <c r="D12713" s="37"/>
      <c r="E12713" s="36"/>
      <c r="F12713" s="42"/>
      <c r="G12713" s="42"/>
      <c r="H12713" s="42"/>
      <c r="AG12713" s="19"/>
    </row>
    <row r="12714" spans="1:33" ht="14.5" x14ac:dyDescent="0.35">
      <c r="A12714" s="34"/>
      <c r="B12714" s="35"/>
      <c r="C12714" s="36"/>
      <c r="D12714" s="37"/>
      <c r="E12714" s="36"/>
      <c r="F12714" s="42"/>
      <c r="G12714" s="42"/>
      <c r="H12714" s="42"/>
      <c r="AG12714" s="19"/>
    </row>
    <row r="12715" spans="1:33" ht="14.5" x14ac:dyDescent="0.35">
      <c r="A12715" s="34"/>
      <c r="B12715" s="35"/>
      <c r="C12715" s="36"/>
      <c r="D12715" s="37"/>
      <c r="E12715" s="36"/>
      <c r="F12715" s="42"/>
      <c r="G12715" s="42"/>
      <c r="H12715" s="42"/>
      <c r="AG12715" s="19"/>
    </row>
    <row r="12716" spans="1:33" ht="14.5" x14ac:dyDescent="0.35">
      <c r="A12716" s="34"/>
      <c r="B12716" s="35"/>
      <c r="C12716" s="36"/>
      <c r="D12716" s="37"/>
      <c r="E12716" s="36"/>
      <c r="F12716" s="42"/>
      <c r="G12716" s="42"/>
      <c r="H12716" s="42"/>
      <c r="AG12716" s="19"/>
    </row>
    <row r="12717" spans="1:33" ht="14.5" x14ac:dyDescent="0.35">
      <c r="A12717" s="34"/>
      <c r="B12717" s="35"/>
      <c r="C12717" s="36"/>
      <c r="D12717" s="37"/>
      <c r="E12717" s="36"/>
      <c r="F12717" s="42"/>
      <c r="G12717" s="42"/>
      <c r="H12717" s="42"/>
      <c r="AG12717" s="19"/>
    </row>
    <row r="12718" spans="1:33" ht="14.5" x14ac:dyDescent="0.35">
      <c r="A12718" s="34"/>
      <c r="B12718" s="35"/>
      <c r="C12718" s="36"/>
      <c r="D12718" s="37"/>
      <c r="E12718" s="36"/>
      <c r="F12718" s="42"/>
      <c r="G12718" s="42"/>
      <c r="H12718" s="42"/>
      <c r="AG12718" s="19"/>
    </row>
    <row r="12719" spans="1:33" ht="14.5" x14ac:dyDescent="0.35">
      <c r="A12719" s="34"/>
      <c r="B12719" s="35"/>
      <c r="C12719" s="36"/>
      <c r="D12719" s="37"/>
      <c r="E12719" s="36"/>
      <c r="F12719" s="42"/>
      <c r="G12719" s="42"/>
      <c r="H12719" s="42"/>
      <c r="AG12719" s="19"/>
    </row>
    <row r="12720" spans="1:33" ht="14.5" x14ac:dyDescent="0.35">
      <c r="A12720" s="34"/>
      <c r="B12720" s="35"/>
      <c r="C12720" s="36"/>
      <c r="D12720" s="37"/>
      <c r="E12720" s="36"/>
      <c r="F12720" s="42"/>
      <c r="G12720" s="42"/>
      <c r="H12720" s="42"/>
      <c r="AG12720" s="19"/>
    </row>
    <row r="12721" spans="1:33" ht="14.5" x14ac:dyDescent="0.35">
      <c r="A12721" s="34"/>
      <c r="B12721" s="35"/>
      <c r="C12721" s="36"/>
      <c r="D12721" s="37"/>
      <c r="E12721" s="36"/>
      <c r="F12721" s="42"/>
      <c r="G12721" s="42"/>
      <c r="H12721" s="42"/>
      <c r="AG12721" s="19"/>
    </row>
    <row r="12722" spans="1:33" ht="14.5" x14ac:dyDescent="0.35">
      <c r="A12722" s="34"/>
      <c r="B12722" s="35"/>
      <c r="C12722" s="36"/>
      <c r="D12722" s="37"/>
      <c r="E12722" s="36"/>
      <c r="F12722" s="42"/>
      <c r="G12722" s="42"/>
      <c r="H12722" s="42"/>
      <c r="AG12722" s="19"/>
    </row>
    <row r="12723" spans="1:33" ht="14.5" x14ac:dyDescent="0.35">
      <c r="A12723" s="34"/>
      <c r="B12723" s="35"/>
      <c r="C12723" s="36"/>
      <c r="D12723" s="37"/>
      <c r="E12723" s="36"/>
      <c r="F12723" s="42"/>
      <c r="G12723" s="42"/>
      <c r="H12723" s="42"/>
      <c r="AG12723" s="19"/>
    </row>
    <row r="12724" spans="1:33" ht="14.5" x14ac:dyDescent="0.35">
      <c r="A12724" s="34"/>
      <c r="B12724" s="35"/>
      <c r="C12724" s="36"/>
      <c r="D12724" s="37"/>
      <c r="E12724" s="36"/>
      <c r="F12724" s="42"/>
      <c r="G12724" s="42"/>
      <c r="H12724" s="42"/>
      <c r="AG12724" s="19"/>
    </row>
    <row r="12725" spans="1:33" ht="14.5" x14ac:dyDescent="0.35">
      <c r="A12725" s="34"/>
      <c r="B12725" s="35"/>
      <c r="C12725" s="36"/>
      <c r="D12725" s="37"/>
      <c r="E12725" s="36"/>
      <c r="F12725" s="42"/>
      <c r="G12725" s="42"/>
      <c r="H12725" s="42"/>
      <c r="AG12725" s="19"/>
    </row>
    <row r="12726" spans="1:33" ht="14.5" x14ac:dyDescent="0.35">
      <c r="A12726" s="34"/>
      <c r="B12726" s="35"/>
      <c r="C12726" s="36"/>
      <c r="D12726" s="37"/>
      <c r="E12726" s="36"/>
      <c r="F12726" s="42"/>
      <c r="G12726" s="42"/>
      <c r="H12726" s="42"/>
      <c r="AG12726" s="19"/>
    </row>
    <row r="12727" spans="1:33" ht="14.5" x14ac:dyDescent="0.35">
      <c r="A12727" s="34"/>
      <c r="B12727" s="35"/>
      <c r="C12727" s="36"/>
      <c r="D12727" s="37"/>
      <c r="E12727" s="36"/>
      <c r="F12727" s="42"/>
      <c r="G12727" s="42"/>
      <c r="H12727" s="42"/>
      <c r="AG12727" s="19"/>
    </row>
    <row r="12728" spans="1:33" ht="14.5" x14ac:dyDescent="0.35">
      <c r="A12728" s="34"/>
      <c r="B12728" s="35"/>
      <c r="C12728" s="36"/>
      <c r="D12728" s="37"/>
      <c r="E12728" s="36"/>
      <c r="F12728" s="42"/>
      <c r="G12728" s="42"/>
      <c r="H12728" s="42"/>
      <c r="AG12728" s="19"/>
    </row>
    <row r="12729" spans="1:33" ht="14.5" x14ac:dyDescent="0.35">
      <c r="A12729" s="34"/>
      <c r="B12729" s="35"/>
      <c r="C12729" s="36"/>
      <c r="D12729" s="37"/>
      <c r="E12729" s="36"/>
      <c r="F12729" s="42"/>
      <c r="G12729" s="42"/>
      <c r="H12729" s="42"/>
      <c r="AG12729" s="19"/>
    </row>
    <row r="12730" spans="1:33" ht="14.5" x14ac:dyDescent="0.35">
      <c r="A12730" s="34"/>
      <c r="B12730" s="35"/>
      <c r="C12730" s="36"/>
      <c r="D12730" s="37"/>
      <c r="E12730" s="36"/>
      <c r="F12730" s="42"/>
      <c r="G12730" s="42"/>
      <c r="H12730" s="42"/>
      <c r="AG12730" s="19"/>
    </row>
    <row r="12731" spans="1:33" ht="14.5" x14ac:dyDescent="0.35">
      <c r="A12731" s="34"/>
      <c r="B12731" s="35"/>
      <c r="C12731" s="36"/>
      <c r="D12731" s="37"/>
      <c r="E12731" s="36"/>
      <c r="F12731" s="42"/>
      <c r="G12731" s="42"/>
      <c r="H12731" s="42"/>
      <c r="AG12731" s="19"/>
    </row>
    <row r="12732" spans="1:33" ht="14.5" x14ac:dyDescent="0.35">
      <c r="A12732" s="34"/>
      <c r="B12732" s="35"/>
      <c r="C12732" s="36"/>
      <c r="D12732" s="37"/>
      <c r="E12732" s="36"/>
      <c r="F12732" s="42"/>
      <c r="G12732" s="42"/>
      <c r="H12732" s="42"/>
      <c r="AG12732" s="19"/>
    </row>
    <row r="12733" spans="1:33" ht="14.5" x14ac:dyDescent="0.35">
      <c r="A12733" s="34"/>
      <c r="B12733" s="35"/>
      <c r="C12733" s="36"/>
      <c r="D12733" s="37"/>
      <c r="E12733" s="36"/>
      <c r="F12733" s="42"/>
      <c r="G12733" s="42"/>
      <c r="H12733" s="42"/>
      <c r="AG12733" s="19"/>
    </row>
    <row r="12734" spans="1:33" ht="14.5" x14ac:dyDescent="0.35">
      <c r="A12734" s="34"/>
      <c r="B12734" s="35"/>
      <c r="C12734" s="36"/>
      <c r="D12734" s="37"/>
      <c r="E12734" s="36"/>
      <c r="F12734" s="42"/>
      <c r="G12734" s="42"/>
      <c r="H12734" s="42"/>
      <c r="AG12734" s="19"/>
    </row>
    <row r="12735" spans="1:33" ht="14.5" x14ac:dyDescent="0.35">
      <c r="A12735" s="34"/>
      <c r="B12735" s="35"/>
      <c r="C12735" s="36"/>
      <c r="D12735" s="37"/>
      <c r="E12735" s="36"/>
      <c r="F12735" s="42"/>
      <c r="G12735" s="42"/>
      <c r="H12735" s="42"/>
      <c r="AG12735" s="19"/>
    </row>
    <row r="12736" spans="1:33" ht="14.5" x14ac:dyDescent="0.35">
      <c r="A12736" s="34"/>
      <c r="B12736" s="35"/>
      <c r="C12736" s="36"/>
      <c r="D12736" s="37"/>
      <c r="E12736" s="36"/>
      <c r="F12736" s="42"/>
      <c r="G12736" s="42"/>
      <c r="H12736" s="42"/>
      <c r="AG12736" s="19"/>
    </row>
    <row r="12737" spans="1:33" ht="14.5" x14ac:dyDescent="0.35">
      <c r="A12737" s="34"/>
      <c r="B12737" s="35"/>
      <c r="C12737" s="36"/>
      <c r="D12737" s="37"/>
      <c r="E12737" s="36"/>
      <c r="F12737" s="42"/>
      <c r="G12737" s="42"/>
      <c r="H12737" s="42"/>
      <c r="AG12737" s="19"/>
    </row>
    <row r="12738" spans="1:33" ht="14.5" x14ac:dyDescent="0.35">
      <c r="A12738" s="34"/>
      <c r="B12738" s="35"/>
      <c r="C12738" s="36"/>
      <c r="D12738" s="37"/>
      <c r="E12738" s="36"/>
      <c r="F12738" s="42"/>
      <c r="G12738" s="42"/>
      <c r="H12738" s="42"/>
      <c r="AG12738" s="19"/>
    </row>
    <row r="12739" spans="1:33" ht="14.5" x14ac:dyDescent="0.35">
      <c r="A12739" s="34"/>
      <c r="B12739" s="35"/>
      <c r="C12739" s="36"/>
      <c r="D12739" s="37"/>
      <c r="E12739" s="36"/>
      <c r="F12739" s="42"/>
      <c r="G12739" s="42"/>
      <c r="H12739" s="42"/>
      <c r="AG12739" s="19"/>
    </row>
    <row r="12740" spans="1:33" ht="14.5" x14ac:dyDescent="0.35">
      <c r="A12740" s="34"/>
      <c r="B12740" s="35"/>
      <c r="C12740" s="36"/>
      <c r="D12740" s="37"/>
      <c r="E12740" s="36"/>
      <c r="F12740" s="42"/>
      <c r="G12740" s="42"/>
      <c r="H12740" s="42"/>
      <c r="AG12740" s="19"/>
    </row>
    <row r="12741" spans="1:33" ht="14.5" x14ac:dyDescent="0.35">
      <c r="A12741" s="34"/>
      <c r="B12741" s="35"/>
      <c r="C12741" s="36"/>
      <c r="D12741" s="37"/>
      <c r="E12741" s="36"/>
      <c r="F12741" s="42"/>
      <c r="G12741" s="42"/>
      <c r="H12741" s="42"/>
      <c r="AG12741" s="19"/>
    </row>
    <row r="12742" spans="1:33" ht="14.5" x14ac:dyDescent="0.35">
      <c r="A12742" s="34"/>
      <c r="B12742" s="35"/>
      <c r="C12742" s="36"/>
      <c r="D12742" s="37"/>
      <c r="E12742" s="36"/>
      <c r="F12742" s="42"/>
      <c r="G12742" s="42"/>
      <c r="H12742" s="42"/>
      <c r="AG12742" s="19"/>
    </row>
    <row r="12743" spans="1:33" ht="14.5" x14ac:dyDescent="0.35">
      <c r="A12743" s="34"/>
      <c r="B12743" s="35"/>
      <c r="C12743" s="36"/>
      <c r="D12743" s="37"/>
      <c r="E12743" s="36"/>
      <c r="F12743" s="42"/>
      <c r="G12743" s="42"/>
      <c r="H12743" s="42"/>
      <c r="AG12743" s="19"/>
    </row>
    <row r="12744" spans="1:33" ht="14.5" x14ac:dyDescent="0.35">
      <c r="A12744" s="34"/>
      <c r="B12744" s="35"/>
      <c r="C12744" s="36"/>
      <c r="D12744" s="37"/>
      <c r="E12744" s="36"/>
      <c r="F12744" s="42"/>
      <c r="G12744" s="42"/>
      <c r="H12744" s="42"/>
      <c r="AG12744" s="19"/>
    </row>
    <row r="12745" spans="1:33" ht="14.5" x14ac:dyDescent="0.35">
      <c r="A12745" s="34"/>
      <c r="B12745" s="35"/>
      <c r="C12745" s="36"/>
      <c r="D12745" s="37"/>
      <c r="E12745" s="36"/>
      <c r="F12745" s="42"/>
      <c r="G12745" s="42"/>
      <c r="H12745" s="42"/>
      <c r="AG12745" s="19"/>
    </row>
    <row r="12746" spans="1:33" ht="14.5" x14ac:dyDescent="0.35">
      <c r="A12746" s="34"/>
      <c r="B12746" s="35"/>
      <c r="C12746" s="36"/>
      <c r="D12746" s="37"/>
      <c r="E12746" s="36"/>
      <c r="F12746" s="42"/>
      <c r="G12746" s="42"/>
      <c r="H12746" s="42"/>
      <c r="AG12746" s="19"/>
    </row>
    <row r="12747" spans="1:33" ht="14.5" x14ac:dyDescent="0.35">
      <c r="A12747" s="34"/>
      <c r="B12747" s="35"/>
      <c r="C12747" s="36"/>
      <c r="D12747" s="37"/>
      <c r="E12747" s="36"/>
      <c r="F12747" s="42"/>
      <c r="G12747" s="42"/>
      <c r="H12747" s="42"/>
      <c r="AG12747" s="19"/>
    </row>
    <row r="12748" spans="1:33" ht="14.5" x14ac:dyDescent="0.35">
      <c r="A12748" s="34"/>
      <c r="B12748" s="35"/>
      <c r="C12748" s="36"/>
      <c r="D12748" s="37"/>
      <c r="E12748" s="36"/>
      <c r="F12748" s="42"/>
      <c r="G12748" s="42"/>
      <c r="H12748" s="42"/>
      <c r="AG12748" s="19"/>
    </row>
    <row r="12749" spans="1:33" ht="14.5" x14ac:dyDescent="0.35">
      <c r="A12749" s="34"/>
      <c r="B12749" s="35"/>
      <c r="C12749" s="36"/>
      <c r="D12749" s="37"/>
      <c r="E12749" s="36"/>
      <c r="F12749" s="42"/>
      <c r="G12749" s="42"/>
      <c r="H12749" s="42"/>
      <c r="AG12749" s="19"/>
    </row>
    <row r="12750" spans="1:33" ht="14.5" x14ac:dyDescent="0.35">
      <c r="A12750" s="34"/>
      <c r="B12750" s="35"/>
      <c r="C12750" s="36"/>
      <c r="D12750" s="37"/>
      <c r="E12750" s="36"/>
      <c r="F12750" s="42"/>
      <c r="G12750" s="42"/>
      <c r="H12750" s="42"/>
      <c r="AG12750" s="19"/>
    </row>
    <row r="12751" spans="1:33" ht="14.5" x14ac:dyDescent="0.35">
      <c r="A12751" s="34"/>
      <c r="B12751" s="35"/>
      <c r="C12751" s="36"/>
      <c r="D12751" s="37"/>
      <c r="E12751" s="36"/>
      <c r="F12751" s="42"/>
      <c r="G12751" s="42"/>
      <c r="H12751" s="42"/>
      <c r="AG12751" s="19"/>
    </row>
    <row r="12752" spans="1:33" ht="14.5" x14ac:dyDescent="0.35">
      <c r="A12752" s="34"/>
      <c r="B12752" s="35"/>
      <c r="C12752" s="36"/>
      <c r="D12752" s="37"/>
      <c r="E12752" s="36"/>
      <c r="F12752" s="42"/>
      <c r="G12752" s="42"/>
      <c r="H12752" s="42"/>
      <c r="AG12752" s="19"/>
    </row>
    <row r="12753" spans="1:33" ht="14.5" x14ac:dyDescent="0.35">
      <c r="A12753" s="34"/>
      <c r="B12753" s="35"/>
      <c r="C12753" s="36"/>
      <c r="D12753" s="37"/>
      <c r="E12753" s="36"/>
      <c r="F12753" s="42"/>
      <c r="G12753" s="42"/>
      <c r="H12753" s="42"/>
      <c r="AG12753" s="19"/>
    </row>
    <row r="12754" spans="1:33" ht="14.5" x14ac:dyDescent="0.35">
      <c r="A12754" s="34"/>
      <c r="B12754" s="35"/>
      <c r="C12754" s="36"/>
      <c r="D12754" s="37"/>
      <c r="E12754" s="36"/>
      <c r="F12754" s="42"/>
      <c r="G12754" s="42"/>
      <c r="H12754" s="42"/>
      <c r="AG12754" s="19"/>
    </row>
    <row r="12755" spans="1:33" ht="14.5" x14ac:dyDescent="0.35">
      <c r="A12755" s="34"/>
      <c r="B12755" s="35"/>
      <c r="C12755" s="36"/>
      <c r="D12755" s="37"/>
      <c r="E12755" s="36"/>
      <c r="F12755" s="42"/>
      <c r="G12755" s="42"/>
      <c r="H12755" s="42"/>
      <c r="AG12755" s="19"/>
    </row>
    <row r="12756" spans="1:33" ht="14.5" x14ac:dyDescent="0.35">
      <c r="A12756" s="34"/>
      <c r="B12756" s="35"/>
      <c r="C12756" s="36"/>
      <c r="D12756" s="37"/>
      <c r="E12756" s="36"/>
      <c r="F12756" s="42"/>
      <c r="G12756" s="42"/>
      <c r="H12756" s="42"/>
      <c r="AG12756" s="19"/>
    </row>
    <row r="12757" spans="1:33" ht="14.5" x14ac:dyDescent="0.35">
      <c r="A12757" s="34"/>
      <c r="B12757" s="35"/>
      <c r="C12757" s="36"/>
      <c r="D12757" s="37"/>
      <c r="E12757" s="36"/>
      <c r="F12757" s="42"/>
      <c r="G12757" s="42"/>
      <c r="H12757" s="42"/>
      <c r="AG12757" s="19"/>
    </row>
    <row r="12758" spans="1:33" ht="14.5" x14ac:dyDescent="0.35">
      <c r="A12758" s="34"/>
      <c r="B12758" s="35"/>
      <c r="C12758" s="36"/>
      <c r="D12758" s="37"/>
      <c r="E12758" s="36"/>
      <c r="F12758" s="42"/>
      <c r="G12758" s="42"/>
      <c r="H12758" s="42"/>
      <c r="AG12758" s="19"/>
    </row>
    <row r="12759" spans="1:33" ht="14.5" x14ac:dyDescent="0.35">
      <c r="A12759" s="34"/>
      <c r="B12759" s="35"/>
      <c r="C12759" s="36"/>
      <c r="D12759" s="37"/>
      <c r="E12759" s="36"/>
      <c r="F12759" s="42"/>
      <c r="G12759" s="42"/>
      <c r="H12759" s="42"/>
      <c r="AG12759" s="19"/>
    </row>
    <row r="12760" spans="1:33" ht="14.5" x14ac:dyDescent="0.35">
      <c r="A12760" s="34"/>
      <c r="B12760" s="35"/>
      <c r="C12760" s="36"/>
      <c r="D12760" s="37"/>
      <c r="E12760" s="36"/>
      <c r="F12760" s="42"/>
      <c r="G12760" s="42"/>
      <c r="H12760" s="42"/>
      <c r="AG12760" s="19"/>
    </row>
    <row r="12761" spans="1:33" ht="14.5" x14ac:dyDescent="0.35">
      <c r="A12761" s="34"/>
      <c r="B12761" s="35"/>
      <c r="C12761" s="36"/>
      <c r="D12761" s="37"/>
      <c r="E12761" s="36"/>
      <c r="F12761" s="42"/>
      <c r="G12761" s="42"/>
      <c r="H12761" s="42"/>
      <c r="AG12761" s="19"/>
    </row>
    <row r="12762" spans="1:33" ht="14.5" x14ac:dyDescent="0.35">
      <c r="A12762" s="34"/>
      <c r="B12762" s="35"/>
      <c r="C12762" s="36"/>
      <c r="D12762" s="37"/>
      <c r="E12762" s="36"/>
      <c r="F12762" s="42"/>
      <c r="G12762" s="42"/>
      <c r="H12762" s="42"/>
      <c r="AG12762" s="19"/>
    </row>
    <row r="12763" spans="1:33" ht="14.5" x14ac:dyDescent="0.35">
      <c r="A12763" s="34"/>
      <c r="B12763" s="35"/>
      <c r="C12763" s="36"/>
      <c r="D12763" s="37"/>
      <c r="E12763" s="36"/>
      <c r="F12763" s="42"/>
      <c r="G12763" s="42"/>
      <c r="H12763" s="42"/>
      <c r="AG12763" s="19"/>
    </row>
    <row r="12764" spans="1:33" ht="14.5" x14ac:dyDescent="0.35">
      <c r="A12764" s="34"/>
      <c r="B12764" s="35"/>
      <c r="C12764" s="36"/>
      <c r="D12764" s="37"/>
      <c r="E12764" s="36"/>
      <c r="F12764" s="42"/>
      <c r="G12764" s="42"/>
      <c r="H12764" s="42"/>
      <c r="AG12764" s="19"/>
    </row>
    <row r="12765" spans="1:33" ht="14.5" x14ac:dyDescent="0.35">
      <c r="A12765" s="34"/>
      <c r="B12765" s="35"/>
      <c r="C12765" s="36"/>
      <c r="D12765" s="37"/>
      <c r="E12765" s="36"/>
      <c r="F12765" s="42"/>
      <c r="G12765" s="42"/>
      <c r="H12765" s="42"/>
      <c r="AG12765" s="19"/>
    </row>
    <row r="12766" spans="1:33" ht="14.5" x14ac:dyDescent="0.35">
      <c r="A12766" s="34"/>
      <c r="B12766" s="35"/>
      <c r="C12766" s="36"/>
      <c r="D12766" s="37"/>
      <c r="E12766" s="36"/>
      <c r="F12766" s="42"/>
      <c r="G12766" s="42"/>
      <c r="H12766" s="42"/>
      <c r="AG12766" s="19"/>
    </row>
    <row r="12767" spans="1:33" ht="14.5" x14ac:dyDescent="0.35">
      <c r="A12767" s="34"/>
      <c r="B12767" s="35"/>
      <c r="C12767" s="36"/>
      <c r="D12767" s="37"/>
      <c r="E12767" s="36"/>
      <c r="F12767" s="42"/>
      <c r="G12767" s="42"/>
      <c r="H12767" s="42"/>
      <c r="AG12767" s="19"/>
    </row>
    <row r="12768" spans="1:33" ht="14.5" x14ac:dyDescent="0.35">
      <c r="A12768" s="34"/>
      <c r="B12768" s="35"/>
      <c r="C12768" s="36"/>
      <c r="D12768" s="37"/>
      <c r="E12768" s="36"/>
      <c r="F12768" s="42"/>
      <c r="G12768" s="42"/>
      <c r="H12768" s="42"/>
      <c r="AG12768" s="19"/>
    </row>
    <row r="12769" spans="1:33" ht="14.5" x14ac:dyDescent="0.35">
      <c r="A12769" s="34"/>
      <c r="B12769" s="35"/>
      <c r="C12769" s="36"/>
      <c r="D12769" s="37"/>
      <c r="E12769" s="36"/>
      <c r="F12769" s="42"/>
      <c r="G12769" s="42"/>
      <c r="H12769" s="42"/>
      <c r="AG12769" s="19"/>
    </row>
    <row r="12770" spans="1:33" ht="14.5" x14ac:dyDescent="0.35">
      <c r="A12770" s="34"/>
      <c r="B12770" s="35"/>
      <c r="C12770" s="36"/>
      <c r="D12770" s="37"/>
      <c r="E12770" s="36"/>
      <c r="F12770" s="42"/>
      <c r="G12770" s="42"/>
      <c r="H12770" s="42"/>
      <c r="AG12770" s="19"/>
    </row>
    <row r="12771" spans="1:33" ht="14.5" x14ac:dyDescent="0.35">
      <c r="A12771" s="34"/>
      <c r="B12771" s="35"/>
      <c r="C12771" s="36"/>
      <c r="D12771" s="37"/>
      <c r="E12771" s="36"/>
      <c r="F12771" s="42"/>
      <c r="G12771" s="42"/>
      <c r="H12771" s="42"/>
      <c r="AG12771" s="19"/>
    </row>
    <row r="12772" spans="1:33" ht="14.5" x14ac:dyDescent="0.35">
      <c r="A12772" s="34"/>
      <c r="B12772" s="35"/>
      <c r="C12772" s="36"/>
      <c r="D12772" s="37"/>
      <c r="E12772" s="36"/>
      <c r="F12772" s="42"/>
      <c r="G12772" s="42"/>
      <c r="H12772" s="42"/>
      <c r="AG12772" s="19"/>
    </row>
    <row r="12773" spans="1:33" ht="14.5" x14ac:dyDescent="0.35">
      <c r="A12773" s="34"/>
      <c r="B12773" s="35"/>
      <c r="C12773" s="36"/>
      <c r="D12773" s="37"/>
      <c r="E12773" s="36"/>
      <c r="F12773" s="42"/>
      <c r="G12773" s="42"/>
      <c r="H12773" s="42"/>
      <c r="AG12773" s="19"/>
    </row>
    <row r="12774" spans="1:33" ht="14.5" x14ac:dyDescent="0.35">
      <c r="A12774" s="34"/>
      <c r="B12774" s="35"/>
      <c r="C12774" s="36"/>
      <c r="D12774" s="37"/>
      <c r="E12774" s="36"/>
      <c r="F12774" s="42"/>
      <c r="G12774" s="42"/>
      <c r="H12774" s="42"/>
      <c r="AG12774" s="19"/>
    </row>
    <row r="12775" spans="1:33" ht="14.5" x14ac:dyDescent="0.35">
      <c r="A12775" s="34"/>
      <c r="B12775" s="35"/>
      <c r="C12775" s="36"/>
      <c r="D12775" s="37"/>
      <c r="E12775" s="36"/>
      <c r="F12775" s="42"/>
      <c r="G12775" s="42"/>
      <c r="H12775" s="42"/>
      <c r="AG12775" s="19"/>
    </row>
    <row r="12776" spans="1:33" ht="14.5" x14ac:dyDescent="0.35">
      <c r="A12776" s="34"/>
      <c r="B12776" s="35"/>
      <c r="C12776" s="36"/>
      <c r="D12776" s="37"/>
      <c r="E12776" s="36"/>
      <c r="F12776" s="42"/>
      <c r="G12776" s="42"/>
      <c r="H12776" s="42"/>
      <c r="AG12776" s="19"/>
    </row>
    <row r="12777" spans="1:33" ht="14.5" x14ac:dyDescent="0.35">
      <c r="A12777" s="34"/>
      <c r="B12777" s="35"/>
      <c r="C12777" s="36"/>
      <c r="D12777" s="37"/>
      <c r="E12777" s="36"/>
      <c r="F12777" s="42"/>
      <c r="G12777" s="42"/>
      <c r="H12777" s="42"/>
      <c r="AG12777" s="19"/>
    </row>
    <row r="12778" spans="1:33" ht="14.5" x14ac:dyDescent="0.35">
      <c r="A12778" s="34"/>
      <c r="B12778" s="35"/>
      <c r="C12778" s="36"/>
      <c r="D12778" s="37"/>
      <c r="E12778" s="36"/>
      <c r="F12778" s="42"/>
      <c r="G12778" s="42"/>
      <c r="H12778" s="42"/>
      <c r="AG12778" s="19"/>
    </row>
    <row r="12779" spans="1:33" ht="14.5" x14ac:dyDescent="0.35">
      <c r="A12779" s="34"/>
      <c r="B12779" s="35"/>
      <c r="C12779" s="36"/>
      <c r="D12779" s="37"/>
      <c r="E12779" s="36"/>
      <c r="F12779" s="42"/>
      <c r="G12779" s="42"/>
      <c r="H12779" s="42"/>
      <c r="AG12779" s="19"/>
    </row>
    <row r="12780" spans="1:33" ht="14.5" x14ac:dyDescent="0.35">
      <c r="A12780" s="34"/>
      <c r="B12780" s="35"/>
      <c r="C12780" s="36"/>
      <c r="D12780" s="37"/>
      <c r="E12780" s="36"/>
      <c r="F12780" s="42"/>
      <c r="G12780" s="42"/>
      <c r="H12780" s="42"/>
      <c r="AG12780" s="19"/>
    </row>
    <row r="12781" spans="1:33" ht="14.5" x14ac:dyDescent="0.35">
      <c r="A12781" s="34"/>
      <c r="B12781" s="35"/>
      <c r="C12781" s="36"/>
      <c r="D12781" s="37"/>
      <c r="E12781" s="36"/>
      <c r="F12781" s="42"/>
      <c r="G12781" s="42"/>
      <c r="H12781" s="42"/>
      <c r="AG12781" s="19"/>
    </row>
    <row r="12782" spans="1:33" ht="14.5" x14ac:dyDescent="0.35">
      <c r="A12782" s="34"/>
      <c r="B12782" s="35"/>
      <c r="C12782" s="36"/>
      <c r="D12782" s="37"/>
      <c r="E12782" s="36"/>
      <c r="F12782" s="42"/>
      <c r="G12782" s="42"/>
      <c r="H12782" s="42"/>
      <c r="AG12782" s="19"/>
    </row>
    <row r="12783" spans="1:33" ht="14.5" x14ac:dyDescent="0.35">
      <c r="A12783" s="34"/>
      <c r="B12783" s="35"/>
      <c r="C12783" s="36"/>
      <c r="D12783" s="37"/>
      <c r="E12783" s="36"/>
      <c r="F12783" s="42"/>
      <c r="G12783" s="42"/>
      <c r="H12783" s="42"/>
      <c r="AG12783" s="19"/>
    </row>
    <row r="12784" spans="1:33" ht="14.5" x14ac:dyDescent="0.35">
      <c r="A12784" s="34"/>
      <c r="B12784" s="35"/>
      <c r="C12784" s="36"/>
      <c r="D12784" s="37"/>
      <c r="E12784" s="36"/>
      <c r="F12784" s="42"/>
      <c r="G12784" s="42"/>
      <c r="H12784" s="42"/>
      <c r="AG12784" s="19"/>
    </row>
    <row r="12785" spans="1:33" ht="14.5" x14ac:dyDescent="0.35">
      <c r="A12785" s="34"/>
      <c r="B12785" s="35"/>
      <c r="C12785" s="36"/>
      <c r="D12785" s="37"/>
      <c r="E12785" s="36"/>
      <c r="F12785" s="42"/>
      <c r="G12785" s="42"/>
      <c r="H12785" s="42"/>
      <c r="AG12785" s="19"/>
    </row>
    <row r="12786" spans="1:33" ht="14.5" x14ac:dyDescent="0.35">
      <c r="A12786" s="34"/>
      <c r="B12786" s="35"/>
      <c r="C12786" s="36"/>
      <c r="D12786" s="37"/>
      <c r="E12786" s="36"/>
      <c r="F12786" s="42"/>
      <c r="G12786" s="42"/>
      <c r="H12786" s="42"/>
      <c r="AG12786" s="19"/>
    </row>
    <row r="12787" spans="1:33" ht="14.5" x14ac:dyDescent="0.35">
      <c r="A12787" s="34"/>
      <c r="B12787" s="35"/>
      <c r="C12787" s="36"/>
      <c r="D12787" s="37"/>
      <c r="E12787" s="36"/>
      <c r="F12787" s="42"/>
      <c r="G12787" s="42"/>
      <c r="H12787" s="42"/>
      <c r="AG12787" s="19"/>
    </row>
    <row r="12788" spans="1:33" ht="14.5" x14ac:dyDescent="0.35">
      <c r="A12788" s="34"/>
      <c r="B12788" s="35"/>
      <c r="C12788" s="36"/>
      <c r="D12788" s="37"/>
      <c r="E12788" s="36"/>
      <c r="F12788" s="42"/>
      <c r="G12788" s="42"/>
      <c r="H12788" s="42"/>
      <c r="AG12788" s="19"/>
    </row>
    <row r="12789" spans="1:33" ht="14.5" x14ac:dyDescent="0.35">
      <c r="A12789" s="34"/>
      <c r="B12789" s="35"/>
      <c r="C12789" s="36"/>
      <c r="D12789" s="37"/>
      <c r="E12789" s="36"/>
      <c r="F12789" s="42"/>
      <c r="G12789" s="42"/>
      <c r="H12789" s="42"/>
      <c r="AG12789" s="19"/>
    </row>
    <row r="12790" spans="1:33" ht="14.5" x14ac:dyDescent="0.35">
      <c r="A12790" s="34"/>
      <c r="B12790" s="35"/>
      <c r="C12790" s="36"/>
      <c r="D12790" s="37"/>
      <c r="E12790" s="36"/>
      <c r="F12790" s="42"/>
      <c r="G12790" s="42"/>
      <c r="H12790" s="42"/>
      <c r="AG12790" s="19"/>
    </row>
    <row r="12791" spans="1:33" ht="14.5" x14ac:dyDescent="0.35">
      <c r="A12791" s="34"/>
      <c r="B12791" s="35"/>
      <c r="C12791" s="36"/>
      <c r="D12791" s="37"/>
      <c r="E12791" s="36"/>
      <c r="F12791" s="42"/>
      <c r="G12791" s="42"/>
      <c r="H12791" s="42"/>
      <c r="AG12791" s="19"/>
    </row>
    <row r="12792" spans="1:33" ht="14.5" x14ac:dyDescent="0.35">
      <c r="A12792" s="34"/>
      <c r="B12792" s="35"/>
      <c r="C12792" s="36"/>
      <c r="D12792" s="37"/>
      <c r="E12792" s="36"/>
      <c r="F12792" s="42"/>
      <c r="G12792" s="42"/>
      <c r="H12792" s="42"/>
      <c r="AG12792" s="19"/>
    </row>
    <row r="12793" spans="1:33" ht="14.5" x14ac:dyDescent="0.35">
      <c r="A12793" s="34"/>
      <c r="B12793" s="35"/>
      <c r="C12793" s="36"/>
      <c r="D12793" s="37"/>
      <c r="E12793" s="36"/>
      <c r="F12793" s="42"/>
      <c r="G12793" s="42"/>
      <c r="H12793" s="42"/>
      <c r="AG12793" s="19"/>
    </row>
    <row r="12794" spans="1:33" ht="14.5" x14ac:dyDescent="0.35">
      <c r="A12794" s="34"/>
      <c r="B12794" s="35"/>
      <c r="C12794" s="36"/>
      <c r="D12794" s="37"/>
      <c r="E12794" s="36"/>
      <c r="F12794" s="42"/>
      <c r="G12794" s="42"/>
      <c r="H12794" s="42"/>
      <c r="AG12794" s="19"/>
    </row>
    <row r="12795" spans="1:33" ht="14.5" x14ac:dyDescent="0.35">
      <c r="A12795" s="34"/>
      <c r="B12795" s="35"/>
      <c r="C12795" s="36"/>
      <c r="D12795" s="37"/>
      <c r="E12795" s="36"/>
      <c r="F12795" s="42"/>
      <c r="G12795" s="42"/>
      <c r="H12795" s="42"/>
      <c r="AG12795" s="19"/>
    </row>
    <row r="12796" spans="1:33" ht="14.5" x14ac:dyDescent="0.35">
      <c r="A12796" s="34"/>
      <c r="B12796" s="35"/>
      <c r="C12796" s="36"/>
      <c r="D12796" s="37"/>
      <c r="E12796" s="36"/>
      <c r="F12796" s="42"/>
      <c r="G12796" s="42"/>
      <c r="H12796" s="42"/>
      <c r="AG12796" s="19"/>
    </row>
    <row r="12797" spans="1:33" ht="14.5" x14ac:dyDescent="0.35">
      <c r="A12797" s="34"/>
      <c r="B12797" s="35"/>
      <c r="C12797" s="36"/>
      <c r="D12797" s="37"/>
      <c r="E12797" s="36"/>
      <c r="F12797" s="42"/>
      <c r="G12797" s="42"/>
      <c r="H12797" s="42"/>
      <c r="AG12797" s="19"/>
    </row>
    <row r="12798" spans="1:33" ht="14.5" x14ac:dyDescent="0.35">
      <c r="A12798" s="34"/>
      <c r="B12798" s="35"/>
      <c r="C12798" s="36"/>
      <c r="D12798" s="37"/>
      <c r="E12798" s="36"/>
      <c r="F12798" s="42"/>
      <c r="G12798" s="42"/>
      <c r="H12798" s="42"/>
      <c r="AG12798" s="19"/>
    </row>
    <row r="12799" spans="1:33" ht="14.5" x14ac:dyDescent="0.35">
      <c r="A12799" s="34"/>
      <c r="B12799" s="35"/>
      <c r="C12799" s="36"/>
      <c r="D12799" s="37"/>
      <c r="E12799" s="36"/>
      <c r="F12799" s="42"/>
      <c r="G12799" s="42"/>
      <c r="H12799" s="42"/>
      <c r="AG12799" s="19"/>
    </row>
    <row r="12800" spans="1:33" ht="14.5" x14ac:dyDescent="0.35">
      <c r="A12800" s="34"/>
      <c r="B12800" s="35"/>
      <c r="C12800" s="36"/>
      <c r="D12800" s="37"/>
      <c r="E12800" s="36"/>
      <c r="F12800" s="42"/>
      <c r="G12800" s="42"/>
      <c r="H12800" s="42"/>
      <c r="AG12800" s="19"/>
    </row>
    <row r="12801" spans="1:33" ht="14.5" x14ac:dyDescent="0.35">
      <c r="A12801" s="34"/>
      <c r="B12801" s="35"/>
      <c r="C12801" s="36"/>
      <c r="D12801" s="37"/>
      <c r="E12801" s="36"/>
      <c r="F12801" s="42"/>
      <c r="G12801" s="42"/>
      <c r="H12801" s="42"/>
      <c r="AG12801" s="19"/>
    </row>
    <row r="12802" spans="1:33" ht="14.5" x14ac:dyDescent="0.35">
      <c r="A12802" s="34"/>
      <c r="B12802" s="35"/>
      <c r="C12802" s="36"/>
      <c r="D12802" s="37"/>
      <c r="E12802" s="36"/>
      <c r="F12802" s="42"/>
      <c r="G12802" s="42"/>
      <c r="H12802" s="42"/>
      <c r="AG12802" s="19"/>
    </row>
    <row r="12803" spans="1:33" ht="14.5" x14ac:dyDescent="0.35">
      <c r="A12803" s="34"/>
      <c r="B12803" s="35"/>
      <c r="C12803" s="36"/>
      <c r="D12803" s="37"/>
      <c r="E12803" s="36"/>
      <c r="F12803" s="42"/>
      <c r="G12803" s="42"/>
      <c r="H12803" s="42"/>
      <c r="AG12803" s="19"/>
    </row>
    <row r="12804" spans="1:33" ht="14.5" x14ac:dyDescent="0.35">
      <c r="A12804" s="34"/>
      <c r="B12804" s="35"/>
      <c r="C12804" s="36"/>
      <c r="D12804" s="37"/>
      <c r="E12804" s="36"/>
      <c r="F12804" s="42"/>
      <c r="G12804" s="42"/>
      <c r="H12804" s="42"/>
      <c r="AG12804" s="19"/>
    </row>
    <row r="12805" spans="1:33" ht="14.5" x14ac:dyDescent="0.35">
      <c r="A12805" s="34"/>
      <c r="B12805" s="35"/>
      <c r="C12805" s="36"/>
      <c r="D12805" s="37"/>
      <c r="E12805" s="36"/>
      <c r="F12805" s="42"/>
      <c r="G12805" s="42"/>
      <c r="H12805" s="42"/>
      <c r="AG12805" s="19"/>
    </row>
    <row r="12806" spans="1:33" ht="14.5" x14ac:dyDescent="0.35">
      <c r="A12806" s="34"/>
      <c r="B12806" s="35"/>
      <c r="C12806" s="36"/>
      <c r="D12806" s="37"/>
      <c r="E12806" s="36"/>
      <c r="F12806" s="42"/>
      <c r="G12806" s="42"/>
      <c r="H12806" s="42"/>
      <c r="AG12806" s="19"/>
    </row>
    <row r="12807" spans="1:33" ht="14.5" x14ac:dyDescent="0.35">
      <c r="A12807" s="34"/>
      <c r="B12807" s="35"/>
      <c r="C12807" s="36"/>
      <c r="D12807" s="37"/>
      <c r="E12807" s="36"/>
      <c r="F12807" s="42"/>
      <c r="G12807" s="42"/>
      <c r="H12807" s="42"/>
      <c r="AG12807" s="19"/>
    </row>
    <row r="12808" spans="1:33" ht="14.5" x14ac:dyDescent="0.35">
      <c r="A12808" s="34"/>
      <c r="B12808" s="35"/>
      <c r="C12808" s="36"/>
      <c r="D12808" s="37"/>
      <c r="E12808" s="36"/>
      <c r="F12808" s="42"/>
      <c r="G12808" s="42"/>
      <c r="H12808" s="42"/>
      <c r="AG12808" s="19"/>
    </row>
    <row r="12809" spans="1:33" ht="14.5" x14ac:dyDescent="0.35">
      <c r="A12809" s="34"/>
      <c r="B12809" s="35"/>
      <c r="C12809" s="36"/>
      <c r="D12809" s="37"/>
      <c r="E12809" s="36"/>
      <c r="F12809" s="42"/>
      <c r="G12809" s="42"/>
      <c r="H12809" s="42"/>
      <c r="AG12809" s="19"/>
    </row>
    <row r="12810" spans="1:33" ht="14.5" x14ac:dyDescent="0.35">
      <c r="A12810" s="34"/>
      <c r="B12810" s="35"/>
      <c r="C12810" s="36"/>
      <c r="D12810" s="37"/>
      <c r="E12810" s="36"/>
      <c r="F12810" s="42"/>
      <c r="G12810" s="42"/>
      <c r="H12810" s="42"/>
      <c r="AG12810" s="19"/>
    </row>
    <row r="12811" spans="1:33" ht="14.5" x14ac:dyDescent="0.35">
      <c r="A12811" s="34"/>
      <c r="B12811" s="35"/>
      <c r="C12811" s="36"/>
      <c r="D12811" s="37"/>
      <c r="E12811" s="36"/>
      <c r="F12811" s="42"/>
      <c r="G12811" s="42"/>
      <c r="H12811" s="42"/>
      <c r="AG12811" s="19"/>
    </row>
    <row r="12812" spans="1:33" ht="14.5" x14ac:dyDescent="0.35">
      <c r="A12812" s="34"/>
      <c r="B12812" s="35"/>
      <c r="C12812" s="36"/>
      <c r="D12812" s="37"/>
      <c r="E12812" s="36"/>
      <c r="F12812" s="42"/>
      <c r="G12812" s="42"/>
      <c r="H12812" s="42"/>
      <c r="AG12812" s="19"/>
    </row>
    <row r="12813" spans="1:33" ht="14.5" x14ac:dyDescent="0.35">
      <c r="A12813" s="34"/>
      <c r="B12813" s="35"/>
      <c r="C12813" s="36"/>
      <c r="D12813" s="37"/>
      <c r="E12813" s="36"/>
      <c r="F12813" s="42"/>
      <c r="G12813" s="42"/>
      <c r="H12813" s="42"/>
      <c r="AG12813" s="19"/>
    </row>
    <row r="12814" spans="1:33" ht="14.5" x14ac:dyDescent="0.35">
      <c r="A12814" s="34"/>
      <c r="B12814" s="35"/>
      <c r="C12814" s="36"/>
      <c r="D12814" s="37"/>
      <c r="E12814" s="36"/>
      <c r="F12814" s="42"/>
      <c r="G12814" s="42"/>
      <c r="H12814" s="42"/>
      <c r="AG12814" s="19"/>
    </row>
    <row r="12815" spans="1:33" ht="14.5" x14ac:dyDescent="0.35">
      <c r="A12815" s="34"/>
      <c r="B12815" s="35"/>
      <c r="C12815" s="36"/>
      <c r="D12815" s="37"/>
      <c r="E12815" s="36"/>
      <c r="F12815" s="42"/>
      <c r="G12815" s="42"/>
      <c r="H12815" s="42"/>
      <c r="AG12815" s="19"/>
    </row>
    <row r="12816" spans="1:33" ht="14.5" x14ac:dyDescent="0.35">
      <c r="A12816" s="34"/>
      <c r="B12816" s="35"/>
      <c r="C12816" s="36"/>
      <c r="D12816" s="37"/>
      <c r="E12816" s="36"/>
      <c r="F12816" s="42"/>
      <c r="G12816" s="42"/>
      <c r="H12816" s="42"/>
      <c r="AG12816" s="19"/>
    </row>
    <row r="12817" spans="1:33" ht="14.5" x14ac:dyDescent="0.35">
      <c r="A12817" s="34"/>
      <c r="B12817" s="35"/>
      <c r="C12817" s="36"/>
      <c r="D12817" s="37"/>
      <c r="E12817" s="36"/>
      <c r="F12817" s="42"/>
      <c r="G12817" s="42"/>
      <c r="H12817" s="42"/>
      <c r="AG12817" s="19"/>
    </row>
    <row r="12818" spans="1:33" ht="14.5" x14ac:dyDescent="0.35">
      <c r="A12818" s="34"/>
      <c r="B12818" s="35"/>
      <c r="C12818" s="36"/>
      <c r="D12818" s="37"/>
      <c r="E12818" s="36"/>
      <c r="F12818" s="42"/>
      <c r="G12818" s="42"/>
      <c r="H12818" s="42"/>
      <c r="AG12818" s="19"/>
    </row>
    <row r="12819" spans="1:33" ht="14.5" x14ac:dyDescent="0.35">
      <c r="A12819" s="34"/>
      <c r="B12819" s="35"/>
      <c r="C12819" s="36"/>
      <c r="D12819" s="37"/>
      <c r="E12819" s="36"/>
      <c r="F12819" s="42"/>
      <c r="G12819" s="42"/>
      <c r="H12819" s="42"/>
      <c r="AG12819" s="19"/>
    </row>
    <row r="12820" spans="1:33" ht="14.5" x14ac:dyDescent="0.35">
      <c r="A12820" s="34"/>
      <c r="B12820" s="35"/>
      <c r="C12820" s="36"/>
      <c r="D12820" s="37"/>
      <c r="E12820" s="36"/>
      <c r="F12820" s="42"/>
      <c r="G12820" s="42"/>
      <c r="H12820" s="42"/>
      <c r="AG12820" s="19"/>
    </row>
    <row r="12821" spans="1:33" ht="14.5" x14ac:dyDescent="0.35">
      <c r="A12821" s="34"/>
      <c r="B12821" s="35"/>
      <c r="C12821" s="36"/>
      <c r="D12821" s="37"/>
      <c r="E12821" s="36"/>
      <c r="F12821" s="42"/>
      <c r="G12821" s="42"/>
      <c r="H12821" s="42"/>
      <c r="AG12821" s="19"/>
    </row>
    <row r="12822" spans="1:33" ht="14.5" x14ac:dyDescent="0.35">
      <c r="A12822" s="34"/>
      <c r="B12822" s="35"/>
      <c r="C12822" s="36"/>
      <c r="D12822" s="37"/>
      <c r="E12822" s="36"/>
      <c r="F12822" s="42"/>
      <c r="G12822" s="42"/>
      <c r="H12822" s="42"/>
      <c r="AG12822" s="19"/>
    </row>
    <row r="12823" spans="1:33" ht="14.5" x14ac:dyDescent="0.35">
      <c r="A12823" s="34"/>
      <c r="B12823" s="35"/>
      <c r="C12823" s="36"/>
      <c r="D12823" s="37"/>
      <c r="E12823" s="36"/>
      <c r="F12823" s="42"/>
      <c r="G12823" s="42"/>
      <c r="H12823" s="42"/>
      <c r="AG12823" s="19"/>
    </row>
    <row r="12824" spans="1:33" ht="14.5" x14ac:dyDescent="0.35">
      <c r="A12824" s="34"/>
      <c r="B12824" s="35"/>
      <c r="C12824" s="36"/>
      <c r="D12824" s="37"/>
      <c r="E12824" s="36"/>
      <c r="F12824" s="42"/>
      <c r="G12824" s="42"/>
      <c r="H12824" s="42"/>
      <c r="AG12824" s="19"/>
    </row>
    <row r="12825" spans="1:33" ht="14.5" x14ac:dyDescent="0.35">
      <c r="A12825" s="34"/>
      <c r="B12825" s="35"/>
      <c r="C12825" s="36"/>
      <c r="D12825" s="37"/>
      <c r="E12825" s="36"/>
      <c r="F12825" s="42"/>
      <c r="G12825" s="42"/>
      <c r="H12825" s="42"/>
      <c r="AG12825" s="19"/>
    </row>
    <row r="12826" spans="1:33" ht="14.5" x14ac:dyDescent="0.35">
      <c r="A12826" s="34"/>
      <c r="B12826" s="35"/>
      <c r="C12826" s="36"/>
      <c r="D12826" s="37"/>
      <c r="E12826" s="36"/>
      <c r="F12826" s="42"/>
      <c r="G12826" s="42"/>
      <c r="H12826" s="42"/>
      <c r="AG12826" s="19"/>
    </row>
    <row r="12827" spans="1:33" ht="14.5" x14ac:dyDescent="0.35">
      <c r="A12827" s="34"/>
      <c r="B12827" s="35"/>
      <c r="C12827" s="36"/>
      <c r="D12827" s="37"/>
      <c r="E12827" s="36"/>
      <c r="F12827" s="42"/>
      <c r="G12827" s="42"/>
      <c r="H12827" s="42"/>
      <c r="AG12827" s="19"/>
    </row>
    <row r="12828" spans="1:33" ht="14.5" x14ac:dyDescent="0.35">
      <c r="A12828" s="34"/>
      <c r="B12828" s="35"/>
      <c r="C12828" s="36"/>
      <c r="D12828" s="37"/>
      <c r="E12828" s="36"/>
      <c r="F12828" s="42"/>
      <c r="G12828" s="42"/>
      <c r="H12828" s="42"/>
      <c r="AG12828" s="19"/>
    </row>
    <row r="12829" spans="1:33" ht="14.5" x14ac:dyDescent="0.35">
      <c r="A12829" s="34"/>
      <c r="B12829" s="35"/>
      <c r="C12829" s="36"/>
      <c r="D12829" s="37"/>
      <c r="E12829" s="36"/>
      <c r="F12829" s="42"/>
      <c r="G12829" s="42"/>
      <c r="H12829" s="42"/>
      <c r="AG12829" s="19"/>
    </row>
    <row r="12830" spans="1:33" ht="14.5" x14ac:dyDescent="0.35">
      <c r="A12830" s="34"/>
      <c r="B12830" s="35"/>
      <c r="C12830" s="36"/>
      <c r="D12830" s="37"/>
      <c r="E12830" s="36"/>
      <c r="F12830" s="42"/>
      <c r="G12830" s="42"/>
      <c r="H12830" s="42"/>
      <c r="AG12830" s="19"/>
    </row>
    <row r="12831" spans="1:33" ht="14.5" x14ac:dyDescent="0.35">
      <c r="A12831" s="34"/>
      <c r="B12831" s="35"/>
      <c r="C12831" s="36"/>
      <c r="D12831" s="37"/>
      <c r="E12831" s="36"/>
      <c r="F12831" s="42"/>
      <c r="G12831" s="42"/>
      <c r="H12831" s="42"/>
      <c r="AG12831" s="19"/>
    </row>
    <row r="12832" spans="1:33" ht="14.5" x14ac:dyDescent="0.35">
      <c r="A12832" s="34"/>
      <c r="B12832" s="35"/>
      <c r="C12832" s="36"/>
      <c r="D12832" s="37"/>
      <c r="E12832" s="36"/>
      <c r="F12832" s="42"/>
      <c r="G12832" s="42"/>
      <c r="H12832" s="42"/>
      <c r="AG12832" s="19"/>
    </row>
    <row r="12833" spans="1:33" ht="14.5" x14ac:dyDescent="0.35">
      <c r="A12833" s="34"/>
      <c r="B12833" s="35"/>
      <c r="C12833" s="36"/>
      <c r="D12833" s="37"/>
      <c r="E12833" s="36"/>
      <c r="F12833" s="42"/>
      <c r="G12833" s="42"/>
      <c r="H12833" s="42"/>
      <c r="AG12833" s="19"/>
    </row>
    <row r="12834" spans="1:33" ht="14.5" x14ac:dyDescent="0.35">
      <c r="A12834" s="34"/>
      <c r="B12834" s="35"/>
      <c r="C12834" s="36"/>
      <c r="D12834" s="37"/>
      <c r="E12834" s="36"/>
      <c r="F12834" s="42"/>
      <c r="G12834" s="42"/>
      <c r="H12834" s="42"/>
      <c r="AG12834" s="19"/>
    </row>
    <row r="12835" spans="1:33" ht="14.5" x14ac:dyDescent="0.35">
      <c r="A12835" s="34"/>
      <c r="B12835" s="35"/>
      <c r="C12835" s="36"/>
      <c r="D12835" s="37"/>
      <c r="E12835" s="36"/>
      <c r="F12835" s="42"/>
      <c r="G12835" s="42"/>
      <c r="H12835" s="42"/>
      <c r="AG12835" s="19"/>
    </row>
    <row r="12836" spans="1:33" ht="14.5" x14ac:dyDescent="0.35">
      <c r="A12836" s="34"/>
      <c r="B12836" s="35"/>
      <c r="C12836" s="36"/>
      <c r="D12836" s="37"/>
      <c r="E12836" s="36"/>
      <c r="F12836" s="42"/>
      <c r="G12836" s="42"/>
      <c r="H12836" s="42"/>
      <c r="AG12836" s="19"/>
    </row>
    <row r="12837" spans="1:33" ht="14.5" x14ac:dyDescent="0.35">
      <c r="A12837" s="34"/>
      <c r="B12837" s="35"/>
      <c r="C12837" s="36"/>
      <c r="D12837" s="37"/>
      <c r="E12837" s="36"/>
      <c r="F12837" s="42"/>
      <c r="G12837" s="42"/>
      <c r="H12837" s="42"/>
      <c r="AG12837" s="19"/>
    </row>
    <row r="12838" spans="1:33" ht="14.5" x14ac:dyDescent="0.35">
      <c r="A12838" s="34"/>
      <c r="B12838" s="35"/>
      <c r="C12838" s="36"/>
      <c r="D12838" s="37"/>
      <c r="E12838" s="36"/>
      <c r="F12838" s="42"/>
      <c r="G12838" s="42"/>
      <c r="H12838" s="42"/>
      <c r="AG12838" s="19"/>
    </row>
    <row r="12839" spans="1:33" ht="14.5" x14ac:dyDescent="0.35">
      <c r="A12839" s="34"/>
      <c r="B12839" s="35"/>
      <c r="C12839" s="36"/>
      <c r="D12839" s="37"/>
      <c r="E12839" s="36"/>
      <c r="F12839" s="42"/>
      <c r="G12839" s="42"/>
      <c r="H12839" s="42"/>
      <c r="AG12839" s="19"/>
    </row>
    <row r="12840" spans="1:33" ht="14.5" x14ac:dyDescent="0.35">
      <c r="A12840" s="34"/>
      <c r="B12840" s="35"/>
      <c r="C12840" s="36"/>
      <c r="D12840" s="37"/>
      <c r="E12840" s="36"/>
      <c r="F12840" s="42"/>
      <c r="G12840" s="42"/>
      <c r="H12840" s="42"/>
      <c r="AG12840" s="19"/>
    </row>
    <row r="12841" spans="1:33" ht="14.5" x14ac:dyDescent="0.35">
      <c r="A12841" s="34"/>
      <c r="B12841" s="35"/>
      <c r="C12841" s="36"/>
      <c r="D12841" s="37"/>
      <c r="E12841" s="36"/>
      <c r="F12841" s="42"/>
      <c r="G12841" s="42"/>
      <c r="H12841" s="42"/>
      <c r="AG12841" s="19"/>
    </row>
    <row r="12842" spans="1:33" ht="14.5" x14ac:dyDescent="0.35">
      <c r="A12842" s="34"/>
      <c r="B12842" s="35"/>
      <c r="C12842" s="36"/>
      <c r="D12842" s="37"/>
      <c r="E12842" s="36"/>
      <c r="F12842" s="42"/>
      <c r="G12842" s="42"/>
      <c r="H12842" s="42"/>
      <c r="AG12842" s="19"/>
    </row>
    <row r="12843" spans="1:33" ht="14.5" x14ac:dyDescent="0.35">
      <c r="A12843" s="34"/>
      <c r="B12843" s="35"/>
      <c r="C12843" s="36"/>
      <c r="D12843" s="37"/>
      <c r="E12843" s="36"/>
      <c r="F12843" s="42"/>
      <c r="G12843" s="42"/>
      <c r="H12843" s="42"/>
      <c r="AG12843" s="19"/>
    </row>
    <row r="12844" spans="1:33" ht="14.5" x14ac:dyDescent="0.35">
      <c r="A12844" s="34"/>
      <c r="B12844" s="35"/>
      <c r="C12844" s="36"/>
      <c r="D12844" s="37"/>
      <c r="E12844" s="36"/>
      <c r="F12844" s="42"/>
      <c r="G12844" s="42"/>
      <c r="H12844" s="42"/>
      <c r="AG12844" s="19"/>
    </row>
    <row r="12845" spans="1:33" ht="14.5" x14ac:dyDescent="0.35">
      <c r="A12845" s="34"/>
      <c r="B12845" s="35"/>
      <c r="C12845" s="36"/>
      <c r="D12845" s="37"/>
      <c r="E12845" s="36"/>
      <c r="F12845" s="42"/>
      <c r="G12845" s="42"/>
      <c r="H12845" s="42"/>
      <c r="AG12845" s="19"/>
    </row>
    <row r="12846" spans="1:33" ht="14.5" x14ac:dyDescent="0.35">
      <c r="A12846" s="34"/>
      <c r="B12846" s="35"/>
      <c r="C12846" s="36"/>
      <c r="D12846" s="37"/>
      <c r="E12846" s="36"/>
      <c r="F12846" s="42"/>
      <c r="G12846" s="42"/>
      <c r="H12846" s="42"/>
      <c r="AG12846" s="19"/>
    </row>
    <row r="12847" spans="1:33" ht="14.5" x14ac:dyDescent="0.35">
      <c r="A12847" s="34"/>
      <c r="B12847" s="35"/>
      <c r="C12847" s="36"/>
      <c r="D12847" s="37"/>
      <c r="E12847" s="36"/>
      <c r="F12847" s="42"/>
      <c r="G12847" s="42"/>
      <c r="H12847" s="42"/>
      <c r="AG12847" s="19"/>
    </row>
    <row r="12848" spans="1:33" ht="14.5" x14ac:dyDescent="0.35">
      <c r="A12848" s="34"/>
      <c r="B12848" s="35"/>
      <c r="C12848" s="36"/>
      <c r="D12848" s="37"/>
      <c r="E12848" s="36"/>
      <c r="F12848" s="42"/>
      <c r="G12848" s="42"/>
      <c r="H12848" s="42"/>
      <c r="AG12848" s="19"/>
    </row>
    <row r="12849" spans="1:33" ht="14.5" x14ac:dyDescent="0.35">
      <c r="A12849" s="34"/>
      <c r="B12849" s="35"/>
      <c r="C12849" s="36"/>
      <c r="D12849" s="37"/>
      <c r="E12849" s="36"/>
      <c r="F12849" s="42"/>
      <c r="G12849" s="42"/>
      <c r="H12849" s="42"/>
      <c r="AG12849" s="19"/>
    </row>
    <row r="12850" spans="1:33" ht="14.5" x14ac:dyDescent="0.35">
      <c r="A12850" s="34"/>
      <c r="B12850" s="35"/>
      <c r="C12850" s="36"/>
      <c r="D12850" s="37"/>
      <c r="E12850" s="36"/>
      <c r="F12850" s="42"/>
      <c r="G12850" s="42"/>
      <c r="H12850" s="42"/>
      <c r="AG12850" s="19"/>
    </row>
    <row r="12851" spans="1:33" ht="14.5" x14ac:dyDescent="0.35">
      <c r="A12851" s="34"/>
      <c r="B12851" s="35"/>
      <c r="C12851" s="36"/>
      <c r="D12851" s="37"/>
      <c r="E12851" s="36"/>
      <c r="F12851" s="42"/>
      <c r="G12851" s="42"/>
      <c r="H12851" s="42"/>
      <c r="AG12851" s="19"/>
    </row>
    <row r="12852" spans="1:33" ht="14.5" x14ac:dyDescent="0.35">
      <c r="A12852" s="34"/>
      <c r="B12852" s="35"/>
      <c r="C12852" s="36"/>
      <c r="D12852" s="37"/>
      <c r="E12852" s="36"/>
      <c r="F12852" s="42"/>
      <c r="G12852" s="42"/>
      <c r="H12852" s="42"/>
      <c r="AG12852" s="19"/>
    </row>
    <row r="12853" spans="1:33" ht="14.5" x14ac:dyDescent="0.35">
      <c r="A12853" s="34"/>
      <c r="B12853" s="35"/>
      <c r="C12853" s="36"/>
      <c r="D12853" s="37"/>
      <c r="E12853" s="36"/>
      <c r="F12853" s="42"/>
      <c r="G12853" s="42"/>
      <c r="H12853" s="42"/>
      <c r="AG12853" s="19"/>
    </row>
    <row r="12854" spans="1:33" ht="14.5" x14ac:dyDescent="0.35">
      <c r="A12854" s="34"/>
      <c r="B12854" s="35"/>
      <c r="C12854" s="36"/>
      <c r="D12854" s="37"/>
      <c r="E12854" s="36"/>
      <c r="F12854" s="42"/>
      <c r="G12854" s="42"/>
      <c r="H12854" s="42"/>
      <c r="AG12854" s="19"/>
    </row>
    <row r="12855" spans="1:33" ht="14.5" x14ac:dyDescent="0.35">
      <c r="A12855" s="34"/>
      <c r="B12855" s="35"/>
      <c r="C12855" s="36"/>
      <c r="D12855" s="37"/>
      <c r="E12855" s="36"/>
      <c r="F12855" s="42"/>
      <c r="G12855" s="42"/>
      <c r="H12855" s="42"/>
      <c r="AG12855" s="19"/>
    </row>
    <row r="12856" spans="1:33" ht="14.5" x14ac:dyDescent="0.35">
      <c r="A12856" s="34"/>
      <c r="B12856" s="35"/>
      <c r="C12856" s="36"/>
      <c r="D12856" s="37"/>
      <c r="E12856" s="36"/>
      <c r="F12856" s="42"/>
      <c r="G12856" s="42"/>
      <c r="H12856" s="42"/>
      <c r="AG12856" s="19"/>
    </row>
    <row r="12857" spans="1:33" ht="14.5" x14ac:dyDescent="0.35">
      <c r="A12857" s="34"/>
      <c r="B12857" s="35"/>
      <c r="C12857" s="36"/>
      <c r="D12857" s="37"/>
      <c r="E12857" s="36"/>
      <c r="F12857" s="42"/>
      <c r="G12857" s="42"/>
      <c r="H12857" s="42"/>
      <c r="AG12857" s="19"/>
    </row>
    <row r="12858" spans="1:33" ht="14.5" x14ac:dyDescent="0.35">
      <c r="A12858" s="34"/>
      <c r="B12858" s="35"/>
      <c r="C12858" s="36"/>
      <c r="D12858" s="37"/>
      <c r="E12858" s="36"/>
      <c r="F12858" s="42"/>
      <c r="G12858" s="42"/>
      <c r="H12858" s="42"/>
      <c r="AG12858" s="19"/>
    </row>
    <row r="12859" spans="1:33" ht="14.5" x14ac:dyDescent="0.35">
      <c r="A12859" s="34"/>
      <c r="B12859" s="35"/>
      <c r="C12859" s="36"/>
      <c r="D12859" s="37"/>
      <c r="E12859" s="36"/>
      <c r="F12859" s="42"/>
      <c r="G12859" s="42"/>
      <c r="H12859" s="42"/>
      <c r="AG12859" s="19"/>
    </row>
    <row r="12860" spans="1:33" ht="14.5" x14ac:dyDescent="0.35">
      <c r="A12860" s="34"/>
      <c r="B12860" s="35"/>
      <c r="C12860" s="36"/>
      <c r="D12860" s="37"/>
      <c r="E12860" s="36"/>
      <c r="F12860" s="42"/>
      <c r="G12860" s="42"/>
      <c r="H12860" s="42"/>
      <c r="AG12860" s="19"/>
    </row>
    <row r="12861" spans="1:33" ht="14.5" x14ac:dyDescent="0.35">
      <c r="A12861" s="34"/>
      <c r="B12861" s="35"/>
      <c r="C12861" s="36"/>
      <c r="D12861" s="37"/>
      <c r="E12861" s="36"/>
      <c r="F12861" s="42"/>
      <c r="G12861" s="42"/>
      <c r="H12861" s="42"/>
      <c r="AG12861" s="19"/>
    </row>
    <row r="12862" spans="1:33" ht="14.5" x14ac:dyDescent="0.35">
      <c r="A12862" s="34"/>
      <c r="B12862" s="35"/>
      <c r="C12862" s="36"/>
      <c r="D12862" s="37"/>
      <c r="E12862" s="36"/>
      <c r="F12862" s="42"/>
      <c r="G12862" s="42"/>
      <c r="H12862" s="42"/>
      <c r="AG12862" s="19"/>
    </row>
    <row r="12863" spans="1:33" ht="14.5" x14ac:dyDescent="0.35">
      <c r="A12863" s="34"/>
      <c r="B12863" s="35"/>
      <c r="C12863" s="36"/>
      <c r="D12863" s="37"/>
      <c r="E12863" s="36"/>
      <c r="F12863" s="42"/>
      <c r="G12863" s="42"/>
      <c r="H12863" s="42"/>
      <c r="AG12863" s="19"/>
    </row>
    <row r="12864" spans="1:33" ht="14.5" x14ac:dyDescent="0.35">
      <c r="A12864" s="34"/>
      <c r="B12864" s="35"/>
      <c r="C12864" s="36"/>
      <c r="D12864" s="37"/>
      <c r="E12864" s="36"/>
      <c r="F12864" s="42"/>
      <c r="G12864" s="42"/>
      <c r="H12864" s="42"/>
      <c r="AG12864" s="19"/>
    </row>
    <row r="12865" spans="1:33" ht="14.5" x14ac:dyDescent="0.35">
      <c r="A12865" s="34"/>
      <c r="B12865" s="35"/>
      <c r="C12865" s="36"/>
      <c r="D12865" s="37"/>
      <c r="E12865" s="36"/>
      <c r="F12865" s="42"/>
      <c r="G12865" s="42"/>
      <c r="H12865" s="42"/>
      <c r="AG12865" s="19"/>
    </row>
    <row r="12866" spans="1:33" ht="14.5" x14ac:dyDescent="0.35">
      <c r="A12866" s="34"/>
      <c r="B12866" s="35"/>
      <c r="C12866" s="36"/>
      <c r="D12866" s="37"/>
      <c r="E12866" s="36"/>
      <c r="F12866" s="42"/>
      <c r="G12866" s="42"/>
      <c r="H12866" s="42"/>
      <c r="AG12866" s="19"/>
    </row>
    <row r="12867" spans="1:33" ht="14.5" x14ac:dyDescent="0.35">
      <c r="A12867" s="34"/>
      <c r="B12867" s="35"/>
      <c r="C12867" s="36"/>
      <c r="D12867" s="37"/>
      <c r="E12867" s="36"/>
      <c r="F12867" s="42"/>
      <c r="G12867" s="42"/>
      <c r="H12867" s="42"/>
      <c r="AG12867" s="19"/>
    </row>
    <row r="12868" spans="1:33" ht="14.5" x14ac:dyDescent="0.35">
      <c r="A12868" s="34"/>
      <c r="B12868" s="35"/>
      <c r="C12868" s="36"/>
      <c r="D12868" s="37"/>
      <c r="E12868" s="36"/>
      <c r="F12868" s="42"/>
      <c r="G12868" s="42"/>
      <c r="H12868" s="42"/>
      <c r="AG12868" s="19"/>
    </row>
    <row r="12869" spans="1:33" ht="14.5" x14ac:dyDescent="0.35">
      <c r="A12869" s="34"/>
      <c r="B12869" s="35"/>
      <c r="C12869" s="36"/>
      <c r="D12869" s="37"/>
      <c r="E12869" s="36"/>
      <c r="F12869" s="42"/>
      <c r="G12869" s="42"/>
      <c r="H12869" s="42"/>
      <c r="AG12869" s="19"/>
    </row>
    <row r="12870" spans="1:33" ht="14.5" x14ac:dyDescent="0.35">
      <c r="A12870" s="34"/>
      <c r="B12870" s="35"/>
      <c r="C12870" s="36"/>
      <c r="D12870" s="37"/>
      <c r="E12870" s="36"/>
      <c r="F12870" s="42"/>
      <c r="G12870" s="42"/>
      <c r="H12870" s="42"/>
      <c r="AG12870" s="19"/>
    </row>
    <row r="12871" spans="1:33" ht="14.5" x14ac:dyDescent="0.35">
      <c r="A12871" s="34"/>
      <c r="B12871" s="35"/>
      <c r="C12871" s="36"/>
      <c r="D12871" s="37"/>
      <c r="E12871" s="36"/>
      <c r="F12871" s="42"/>
      <c r="G12871" s="42"/>
      <c r="H12871" s="42"/>
      <c r="AG12871" s="19"/>
    </row>
    <row r="12872" spans="1:33" ht="14.5" x14ac:dyDescent="0.35">
      <c r="A12872" s="34"/>
      <c r="B12872" s="35"/>
      <c r="C12872" s="36"/>
      <c r="D12872" s="37"/>
      <c r="E12872" s="36"/>
      <c r="F12872" s="42"/>
      <c r="G12872" s="42"/>
      <c r="H12872" s="42"/>
      <c r="AG12872" s="19"/>
    </row>
    <row r="12873" spans="1:33" ht="14.5" x14ac:dyDescent="0.35">
      <c r="A12873" s="34"/>
      <c r="B12873" s="35"/>
      <c r="C12873" s="36"/>
      <c r="D12873" s="37"/>
      <c r="E12873" s="36"/>
      <c r="F12873" s="42"/>
      <c r="G12873" s="42"/>
      <c r="H12873" s="42"/>
      <c r="AG12873" s="19"/>
    </row>
    <row r="12874" spans="1:33" ht="14.5" x14ac:dyDescent="0.35">
      <c r="A12874" s="34"/>
      <c r="B12874" s="35"/>
      <c r="C12874" s="36"/>
      <c r="D12874" s="37"/>
      <c r="E12874" s="36"/>
      <c r="F12874" s="42"/>
      <c r="G12874" s="42"/>
      <c r="H12874" s="42"/>
      <c r="AG12874" s="19"/>
    </row>
    <row r="12875" spans="1:33" ht="14.5" x14ac:dyDescent="0.35">
      <c r="A12875" s="34"/>
      <c r="B12875" s="35"/>
      <c r="C12875" s="36"/>
      <c r="D12875" s="37"/>
      <c r="E12875" s="36"/>
      <c r="F12875" s="42"/>
      <c r="G12875" s="42"/>
      <c r="H12875" s="42"/>
      <c r="AG12875" s="19"/>
    </row>
    <row r="12876" spans="1:33" ht="14.5" x14ac:dyDescent="0.35">
      <c r="A12876" s="34"/>
      <c r="B12876" s="35"/>
      <c r="C12876" s="36"/>
      <c r="D12876" s="37"/>
      <c r="E12876" s="36"/>
      <c r="F12876" s="42"/>
      <c r="G12876" s="42"/>
      <c r="H12876" s="42"/>
      <c r="AG12876" s="19"/>
    </row>
    <row r="12877" spans="1:33" ht="14.5" x14ac:dyDescent="0.35">
      <c r="A12877" s="34"/>
      <c r="B12877" s="35"/>
      <c r="C12877" s="36"/>
      <c r="D12877" s="37"/>
      <c r="E12877" s="36"/>
      <c r="F12877" s="42"/>
      <c r="G12877" s="42"/>
      <c r="H12877" s="42"/>
      <c r="AG12877" s="19"/>
    </row>
    <row r="12878" spans="1:33" ht="14.5" x14ac:dyDescent="0.35">
      <c r="A12878" s="34"/>
      <c r="B12878" s="35"/>
      <c r="C12878" s="36"/>
      <c r="D12878" s="37"/>
      <c r="E12878" s="36"/>
      <c r="F12878" s="42"/>
      <c r="G12878" s="42"/>
      <c r="H12878" s="42"/>
      <c r="AG12878" s="19"/>
    </row>
    <row r="12879" spans="1:33" ht="14.5" x14ac:dyDescent="0.35">
      <c r="A12879" s="34"/>
      <c r="B12879" s="35"/>
      <c r="C12879" s="36"/>
      <c r="D12879" s="37"/>
      <c r="E12879" s="36"/>
      <c r="F12879" s="42"/>
      <c r="G12879" s="42"/>
      <c r="H12879" s="42"/>
      <c r="AG12879" s="19"/>
    </row>
    <row r="12880" spans="1:33" ht="14.5" x14ac:dyDescent="0.35">
      <c r="A12880" s="34"/>
      <c r="B12880" s="35"/>
      <c r="C12880" s="36"/>
      <c r="D12880" s="37"/>
      <c r="E12880" s="36"/>
      <c r="F12880" s="42"/>
      <c r="G12880" s="42"/>
      <c r="H12880" s="42"/>
      <c r="AG12880" s="19"/>
    </row>
    <row r="12881" spans="1:33" ht="14.5" x14ac:dyDescent="0.35">
      <c r="A12881" s="34"/>
      <c r="B12881" s="35"/>
      <c r="C12881" s="36"/>
      <c r="D12881" s="37"/>
      <c r="E12881" s="36"/>
      <c r="F12881" s="42"/>
      <c r="G12881" s="42"/>
      <c r="H12881" s="42"/>
      <c r="AG12881" s="19"/>
    </row>
    <row r="12882" spans="1:33" ht="14.5" x14ac:dyDescent="0.35">
      <c r="A12882" s="34"/>
      <c r="B12882" s="35"/>
      <c r="C12882" s="36"/>
      <c r="D12882" s="37"/>
      <c r="E12882" s="36"/>
      <c r="F12882" s="42"/>
      <c r="G12882" s="42"/>
      <c r="H12882" s="42"/>
      <c r="AG12882" s="19"/>
    </row>
    <row r="12883" spans="1:33" ht="14.5" x14ac:dyDescent="0.35">
      <c r="A12883" s="34"/>
      <c r="B12883" s="35"/>
      <c r="C12883" s="36"/>
      <c r="D12883" s="37"/>
      <c r="E12883" s="36"/>
      <c r="F12883" s="42"/>
      <c r="G12883" s="42"/>
      <c r="H12883" s="42"/>
      <c r="AG12883" s="19"/>
    </row>
    <row r="12884" spans="1:33" ht="14.5" x14ac:dyDescent="0.35">
      <c r="A12884" s="34"/>
      <c r="B12884" s="35"/>
      <c r="C12884" s="36"/>
      <c r="D12884" s="37"/>
      <c r="E12884" s="36"/>
      <c r="F12884" s="42"/>
      <c r="G12884" s="42"/>
      <c r="H12884" s="42"/>
      <c r="AG12884" s="19"/>
    </row>
    <row r="12885" spans="1:33" ht="14.5" x14ac:dyDescent="0.35">
      <c r="A12885" s="34"/>
      <c r="B12885" s="35"/>
      <c r="C12885" s="36"/>
      <c r="D12885" s="37"/>
      <c r="E12885" s="36"/>
      <c r="F12885" s="42"/>
      <c r="G12885" s="42"/>
      <c r="H12885" s="42"/>
      <c r="AG12885" s="19"/>
    </row>
    <row r="12886" spans="1:33" ht="14.5" x14ac:dyDescent="0.35">
      <c r="A12886" s="34"/>
      <c r="B12886" s="35"/>
      <c r="C12886" s="36"/>
      <c r="D12886" s="37"/>
      <c r="E12886" s="36"/>
      <c r="F12886" s="42"/>
      <c r="G12886" s="42"/>
      <c r="H12886" s="42"/>
      <c r="AG12886" s="19"/>
    </row>
    <row r="12887" spans="1:33" ht="14.5" x14ac:dyDescent="0.35">
      <c r="A12887" s="34"/>
      <c r="B12887" s="35"/>
      <c r="C12887" s="36"/>
      <c r="D12887" s="37"/>
      <c r="E12887" s="36"/>
      <c r="F12887" s="42"/>
      <c r="G12887" s="42"/>
      <c r="H12887" s="42"/>
      <c r="AG12887" s="19"/>
    </row>
    <row r="12888" spans="1:33" ht="14.5" x14ac:dyDescent="0.35">
      <c r="A12888" s="34"/>
      <c r="B12888" s="35"/>
      <c r="C12888" s="36"/>
      <c r="D12888" s="37"/>
      <c r="E12888" s="36"/>
      <c r="F12888" s="42"/>
      <c r="G12888" s="42"/>
      <c r="H12888" s="42"/>
      <c r="AG12888" s="19"/>
    </row>
    <row r="12889" spans="1:33" ht="14.5" x14ac:dyDescent="0.35">
      <c r="A12889" s="34"/>
      <c r="B12889" s="35"/>
      <c r="C12889" s="36"/>
      <c r="D12889" s="37"/>
      <c r="E12889" s="36"/>
      <c r="F12889" s="42"/>
      <c r="G12889" s="42"/>
      <c r="H12889" s="42"/>
      <c r="AG12889" s="19"/>
    </row>
    <row r="12890" spans="1:33" ht="14.5" x14ac:dyDescent="0.35">
      <c r="A12890" s="34"/>
      <c r="B12890" s="35"/>
      <c r="C12890" s="36"/>
      <c r="D12890" s="37"/>
      <c r="E12890" s="36"/>
      <c r="F12890" s="42"/>
      <c r="G12890" s="42"/>
      <c r="H12890" s="42"/>
      <c r="AG12890" s="19"/>
    </row>
    <row r="12891" spans="1:33" ht="14.5" x14ac:dyDescent="0.35">
      <c r="A12891" s="34"/>
      <c r="B12891" s="35"/>
      <c r="C12891" s="36"/>
      <c r="D12891" s="37"/>
      <c r="E12891" s="36"/>
      <c r="F12891" s="42"/>
      <c r="G12891" s="42"/>
      <c r="H12891" s="42"/>
      <c r="AG12891" s="19"/>
    </row>
    <row r="12892" spans="1:33" ht="14.5" x14ac:dyDescent="0.35">
      <c r="A12892" s="34"/>
      <c r="B12892" s="35"/>
      <c r="C12892" s="36"/>
      <c r="D12892" s="37"/>
      <c r="E12892" s="36"/>
      <c r="F12892" s="42"/>
      <c r="G12892" s="42"/>
      <c r="H12892" s="42"/>
      <c r="AG12892" s="19"/>
    </row>
    <row r="12893" spans="1:33" ht="14.5" x14ac:dyDescent="0.35">
      <c r="A12893" s="34"/>
      <c r="B12893" s="35"/>
      <c r="C12893" s="36"/>
      <c r="D12893" s="37"/>
      <c r="E12893" s="36"/>
      <c r="F12893" s="42"/>
      <c r="G12893" s="42"/>
      <c r="H12893" s="42"/>
      <c r="AG12893" s="19"/>
    </row>
    <row r="12894" spans="1:33" ht="14.5" x14ac:dyDescent="0.35">
      <c r="A12894" s="34"/>
      <c r="B12894" s="35"/>
      <c r="C12894" s="36"/>
      <c r="D12894" s="37"/>
      <c r="E12894" s="36"/>
      <c r="F12894" s="42"/>
      <c r="G12894" s="42"/>
      <c r="H12894" s="42"/>
      <c r="AG12894" s="19"/>
    </row>
    <row r="12895" spans="1:33" ht="14.5" x14ac:dyDescent="0.35">
      <c r="A12895" s="34"/>
      <c r="B12895" s="35"/>
      <c r="C12895" s="36"/>
      <c r="D12895" s="37"/>
      <c r="E12895" s="36"/>
      <c r="F12895" s="42"/>
      <c r="G12895" s="42"/>
      <c r="H12895" s="42"/>
      <c r="AG12895" s="19"/>
    </row>
    <row r="12896" spans="1:33" ht="14.5" x14ac:dyDescent="0.35">
      <c r="A12896" s="34"/>
      <c r="B12896" s="35"/>
      <c r="C12896" s="36"/>
      <c r="D12896" s="37"/>
      <c r="E12896" s="36"/>
      <c r="F12896" s="42"/>
      <c r="G12896" s="42"/>
      <c r="H12896" s="42"/>
      <c r="AG12896" s="19"/>
    </row>
    <row r="12897" spans="1:33" ht="14.5" x14ac:dyDescent="0.35">
      <c r="A12897" s="34"/>
      <c r="B12897" s="35"/>
      <c r="C12897" s="36"/>
      <c r="D12897" s="37"/>
      <c r="E12897" s="36"/>
      <c r="F12897" s="42"/>
      <c r="G12897" s="42"/>
      <c r="H12897" s="42"/>
      <c r="AG12897" s="19"/>
    </row>
    <row r="12898" spans="1:33" ht="14.5" x14ac:dyDescent="0.35">
      <c r="A12898" s="34"/>
      <c r="B12898" s="35"/>
      <c r="C12898" s="36"/>
      <c r="D12898" s="37"/>
      <c r="E12898" s="36"/>
      <c r="F12898" s="42"/>
      <c r="G12898" s="42"/>
      <c r="H12898" s="42"/>
      <c r="AG12898" s="19"/>
    </row>
    <row r="12899" spans="1:33" ht="14.5" x14ac:dyDescent="0.35">
      <c r="A12899" s="34"/>
      <c r="B12899" s="35"/>
      <c r="C12899" s="36"/>
      <c r="D12899" s="37"/>
      <c r="E12899" s="36"/>
      <c r="F12899" s="42"/>
      <c r="G12899" s="42"/>
      <c r="H12899" s="42"/>
      <c r="AG12899" s="19"/>
    </row>
    <row r="12900" spans="1:33" ht="14.5" x14ac:dyDescent="0.35">
      <c r="A12900" s="34"/>
      <c r="B12900" s="35"/>
      <c r="C12900" s="36"/>
      <c r="D12900" s="37"/>
      <c r="E12900" s="36"/>
      <c r="F12900" s="42"/>
      <c r="G12900" s="42"/>
      <c r="H12900" s="42"/>
      <c r="AG12900" s="19"/>
    </row>
    <row r="12901" spans="1:33" ht="14.5" x14ac:dyDescent="0.35">
      <c r="A12901" s="34"/>
      <c r="B12901" s="35"/>
      <c r="C12901" s="36"/>
      <c r="D12901" s="37"/>
      <c r="E12901" s="36"/>
      <c r="F12901" s="42"/>
      <c r="G12901" s="42"/>
      <c r="H12901" s="42"/>
      <c r="AG12901" s="19"/>
    </row>
    <row r="12902" spans="1:33" ht="14.5" x14ac:dyDescent="0.35">
      <c r="A12902" s="34"/>
      <c r="B12902" s="35"/>
      <c r="C12902" s="36"/>
      <c r="D12902" s="37"/>
      <c r="E12902" s="36"/>
      <c r="F12902" s="42"/>
      <c r="G12902" s="42"/>
      <c r="H12902" s="42"/>
      <c r="AG12902" s="19"/>
    </row>
    <row r="12903" spans="1:33" ht="14.5" x14ac:dyDescent="0.35">
      <c r="A12903" s="34"/>
      <c r="B12903" s="35"/>
      <c r="C12903" s="36"/>
      <c r="D12903" s="37"/>
      <c r="E12903" s="36"/>
      <c r="F12903" s="42"/>
      <c r="G12903" s="42"/>
      <c r="H12903" s="42"/>
      <c r="AG12903" s="19"/>
    </row>
    <row r="12904" spans="1:33" ht="14.5" x14ac:dyDescent="0.35">
      <c r="A12904" s="34"/>
      <c r="B12904" s="35"/>
      <c r="C12904" s="36"/>
      <c r="D12904" s="37"/>
      <c r="E12904" s="36"/>
      <c r="F12904" s="42"/>
      <c r="G12904" s="42"/>
      <c r="H12904" s="42"/>
      <c r="AG12904" s="19"/>
    </row>
    <row r="12905" spans="1:33" ht="14.5" x14ac:dyDescent="0.35">
      <c r="A12905" s="34"/>
      <c r="B12905" s="35"/>
      <c r="C12905" s="36"/>
      <c r="D12905" s="37"/>
      <c r="E12905" s="36"/>
      <c r="F12905" s="42"/>
      <c r="G12905" s="42"/>
      <c r="H12905" s="42"/>
      <c r="AG12905" s="19"/>
    </row>
    <row r="12906" spans="1:33" ht="14.5" x14ac:dyDescent="0.35">
      <c r="A12906" s="34"/>
      <c r="B12906" s="35"/>
      <c r="C12906" s="36"/>
      <c r="D12906" s="37"/>
      <c r="E12906" s="36"/>
      <c r="F12906" s="42"/>
      <c r="G12906" s="42"/>
      <c r="H12906" s="42"/>
      <c r="AG12906" s="19"/>
    </row>
    <row r="12907" spans="1:33" ht="14.5" x14ac:dyDescent="0.35">
      <c r="A12907" s="34"/>
      <c r="B12907" s="35"/>
      <c r="C12907" s="36"/>
      <c r="D12907" s="37"/>
      <c r="E12907" s="36"/>
      <c r="F12907" s="42"/>
      <c r="G12907" s="42"/>
      <c r="H12907" s="42"/>
      <c r="AG12907" s="19"/>
    </row>
    <row r="12908" spans="1:33" ht="14.5" x14ac:dyDescent="0.35">
      <c r="A12908" s="34"/>
      <c r="B12908" s="35"/>
      <c r="C12908" s="36"/>
      <c r="D12908" s="37"/>
      <c r="E12908" s="36"/>
      <c r="F12908" s="42"/>
      <c r="G12908" s="42"/>
      <c r="H12908" s="42"/>
      <c r="AG12908" s="19"/>
    </row>
    <row r="12909" spans="1:33" ht="14.5" x14ac:dyDescent="0.35">
      <c r="A12909" s="34"/>
      <c r="B12909" s="35"/>
      <c r="C12909" s="36"/>
      <c r="D12909" s="37"/>
      <c r="E12909" s="36"/>
      <c r="F12909" s="42"/>
      <c r="G12909" s="42"/>
      <c r="H12909" s="42"/>
      <c r="AG12909" s="19"/>
    </row>
    <row r="12910" spans="1:33" ht="14.5" x14ac:dyDescent="0.35">
      <c r="A12910" s="34"/>
      <c r="B12910" s="35"/>
      <c r="C12910" s="36"/>
      <c r="D12910" s="37"/>
      <c r="E12910" s="36"/>
      <c r="F12910" s="42"/>
      <c r="G12910" s="42"/>
      <c r="H12910" s="42"/>
      <c r="AG12910" s="19"/>
    </row>
    <row r="12911" spans="1:33" ht="14.5" x14ac:dyDescent="0.35">
      <c r="A12911" s="34"/>
      <c r="B12911" s="35"/>
      <c r="C12911" s="36"/>
      <c r="D12911" s="37"/>
      <c r="E12911" s="36"/>
      <c r="F12911" s="42"/>
      <c r="G12911" s="42"/>
      <c r="H12911" s="42"/>
      <c r="AG12911" s="19"/>
    </row>
    <row r="12912" spans="1:33" ht="14.5" x14ac:dyDescent="0.35">
      <c r="A12912" s="34"/>
      <c r="B12912" s="35"/>
      <c r="C12912" s="36"/>
      <c r="D12912" s="37"/>
      <c r="E12912" s="36"/>
      <c r="F12912" s="42"/>
      <c r="G12912" s="42"/>
      <c r="H12912" s="42"/>
      <c r="AG12912" s="19"/>
    </row>
    <row r="12913" spans="1:33" ht="14.5" x14ac:dyDescent="0.35">
      <c r="A12913" s="34"/>
      <c r="B12913" s="35"/>
      <c r="C12913" s="36"/>
      <c r="D12913" s="37"/>
      <c r="E12913" s="36"/>
      <c r="F12913" s="42"/>
      <c r="G12913" s="42"/>
      <c r="H12913" s="42"/>
      <c r="AG12913" s="19"/>
    </row>
    <row r="12914" spans="1:33" ht="14.5" x14ac:dyDescent="0.35">
      <c r="A12914" s="34"/>
      <c r="B12914" s="35"/>
      <c r="C12914" s="36"/>
      <c r="D12914" s="37"/>
      <c r="E12914" s="36"/>
      <c r="F12914" s="42"/>
      <c r="G12914" s="42"/>
      <c r="H12914" s="42"/>
      <c r="AG12914" s="19"/>
    </row>
    <row r="12915" spans="1:33" ht="14.5" x14ac:dyDescent="0.35">
      <c r="A12915" s="34"/>
      <c r="B12915" s="35"/>
      <c r="C12915" s="36"/>
      <c r="D12915" s="37"/>
      <c r="E12915" s="36"/>
      <c r="F12915" s="42"/>
      <c r="G12915" s="42"/>
      <c r="H12915" s="42"/>
      <c r="AG12915" s="19"/>
    </row>
    <row r="12916" spans="1:33" ht="14.5" x14ac:dyDescent="0.35">
      <c r="A12916" s="34"/>
      <c r="B12916" s="35"/>
      <c r="C12916" s="36"/>
      <c r="D12916" s="37"/>
      <c r="E12916" s="36"/>
      <c r="F12916" s="42"/>
      <c r="G12916" s="42"/>
      <c r="H12916" s="42"/>
      <c r="AG12916" s="19"/>
    </row>
    <row r="12917" spans="1:33" ht="14.5" x14ac:dyDescent="0.35">
      <c r="A12917" s="34"/>
      <c r="B12917" s="35"/>
      <c r="C12917" s="36"/>
      <c r="D12917" s="37"/>
      <c r="E12917" s="36"/>
      <c r="F12917" s="42"/>
      <c r="G12917" s="42"/>
      <c r="H12917" s="42"/>
      <c r="AG12917" s="19"/>
    </row>
    <row r="12918" spans="1:33" ht="14.5" x14ac:dyDescent="0.35">
      <c r="A12918" s="34"/>
      <c r="B12918" s="35"/>
      <c r="C12918" s="36"/>
      <c r="D12918" s="37"/>
      <c r="E12918" s="36"/>
      <c r="F12918" s="42"/>
      <c r="G12918" s="42"/>
      <c r="H12918" s="42"/>
      <c r="AG12918" s="19"/>
    </row>
    <row r="12919" spans="1:33" ht="14.5" x14ac:dyDescent="0.35">
      <c r="A12919" s="34"/>
      <c r="B12919" s="35"/>
      <c r="C12919" s="36"/>
      <c r="D12919" s="37"/>
      <c r="E12919" s="36"/>
      <c r="F12919" s="42"/>
      <c r="G12919" s="42"/>
      <c r="H12919" s="42"/>
      <c r="AG12919" s="19"/>
    </row>
    <row r="12920" spans="1:33" ht="14.5" x14ac:dyDescent="0.35">
      <c r="A12920" s="34"/>
      <c r="B12920" s="35"/>
      <c r="C12920" s="36"/>
      <c r="D12920" s="37"/>
      <c r="E12920" s="36"/>
      <c r="F12920" s="42"/>
      <c r="G12920" s="42"/>
      <c r="H12920" s="42"/>
      <c r="AG12920" s="19"/>
    </row>
    <row r="12921" spans="1:33" ht="14.5" x14ac:dyDescent="0.35">
      <c r="A12921" s="34"/>
      <c r="B12921" s="35"/>
      <c r="C12921" s="36"/>
      <c r="D12921" s="37"/>
      <c r="E12921" s="36"/>
      <c r="F12921" s="42"/>
      <c r="G12921" s="42"/>
      <c r="H12921" s="42"/>
      <c r="AG12921" s="19"/>
    </row>
    <row r="12922" spans="1:33" ht="14.5" x14ac:dyDescent="0.35">
      <c r="A12922" s="34"/>
      <c r="B12922" s="35"/>
      <c r="C12922" s="36"/>
      <c r="D12922" s="37"/>
      <c r="E12922" s="36"/>
      <c r="F12922" s="42"/>
      <c r="G12922" s="42"/>
      <c r="H12922" s="42"/>
      <c r="AG12922" s="19"/>
    </row>
    <row r="12923" spans="1:33" ht="14.5" x14ac:dyDescent="0.35">
      <c r="A12923" s="34"/>
      <c r="B12923" s="35"/>
      <c r="C12923" s="36"/>
      <c r="D12923" s="37"/>
      <c r="E12923" s="36"/>
      <c r="F12923" s="42"/>
      <c r="G12923" s="42"/>
      <c r="H12923" s="42"/>
      <c r="AG12923" s="19"/>
    </row>
    <row r="12924" spans="1:33" ht="14.5" x14ac:dyDescent="0.35">
      <c r="A12924" s="34"/>
      <c r="B12924" s="35"/>
      <c r="C12924" s="36"/>
      <c r="D12924" s="37"/>
      <c r="E12924" s="36"/>
      <c r="F12924" s="42"/>
      <c r="G12924" s="42"/>
      <c r="H12924" s="42"/>
      <c r="AG12924" s="19"/>
    </row>
    <row r="12925" spans="1:33" ht="14.5" x14ac:dyDescent="0.35">
      <c r="A12925" s="34"/>
      <c r="B12925" s="35"/>
      <c r="C12925" s="36"/>
      <c r="D12925" s="37"/>
      <c r="E12925" s="36"/>
      <c r="F12925" s="42"/>
      <c r="G12925" s="42"/>
      <c r="H12925" s="42"/>
      <c r="AG12925" s="19"/>
    </row>
    <row r="12926" spans="1:33" ht="14.5" x14ac:dyDescent="0.35">
      <c r="A12926" s="34"/>
      <c r="B12926" s="35"/>
      <c r="C12926" s="36"/>
      <c r="D12926" s="37"/>
      <c r="E12926" s="36"/>
      <c r="F12926" s="42"/>
      <c r="G12926" s="42"/>
      <c r="H12926" s="42"/>
      <c r="AG12926" s="19"/>
    </row>
    <row r="12927" spans="1:33" ht="14.5" x14ac:dyDescent="0.35">
      <c r="A12927" s="34"/>
      <c r="B12927" s="35"/>
      <c r="C12927" s="36"/>
      <c r="D12927" s="37"/>
      <c r="E12927" s="36"/>
      <c r="F12927" s="42"/>
      <c r="G12927" s="42"/>
      <c r="H12927" s="42"/>
      <c r="AG12927" s="19"/>
    </row>
    <row r="12928" spans="1:33" ht="14.5" x14ac:dyDescent="0.35">
      <c r="A12928" s="34"/>
      <c r="B12928" s="35"/>
      <c r="C12928" s="36"/>
      <c r="D12928" s="37"/>
      <c r="E12928" s="36"/>
      <c r="F12928" s="42"/>
      <c r="G12928" s="42"/>
      <c r="H12928" s="42"/>
      <c r="AG12928" s="19"/>
    </row>
    <row r="12929" spans="1:33" ht="14.5" x14ac:dyDescent="0.35">
      <c r="A12929" s="34"/>
      <c r="B12929" s="35"/>
      <c r="C12929" s="36"/>
      <c r="D12929" s="37"/>
      <c r="E12929" s="36"/>
      <c r="F12929" s="42"/>
      <c r="G12929" s="42"/>
      <c r="H12929" s="42"/>
      <c r="AG12929" s="19"/>
    </row>
    <row r="12930" spans="1:33" ht="14.5" x14ac:dyDescent="0.35">
      <c r="A12930" s="34"/>
      <c r="B12930" s="35"/>
      <c r="C12930" s="36"/>
      <c r="D12930" s="37"/>
      <c r="E12930" s="36"/>
      <c r="F12930" s="42"/>
      <c r="G12930" s="42"/>
      <c r="H12930" s="42"/>
      <c r="AG12930" s="19"/>
    </row>
    <row r="12931" spans="1:33" ht="14.5" x14ac:dyDescent="0.35">
      <c r="A12931" s="34"/>
      <c r="B12931" s="35"/>
      <c r="C12931" s="36"/>
      <c r="D12931" s="37"/>
      <c r="E12931" s="36"/>
      <c r="F12931" s="42"/>
      <c r="G12931" s="42"/>
      <c r="H12931" s="42"/>
      <c r="AG12931" s="19"/>
    </row>
    <row r="12932" spans="1:33" ht="14.5" x14ac:dyDescent="0.35">
      <c r="A12932" s="34"/>
      <c r="B12932" s="35"/>
      <c r="C12932" s="36"/>
      <c r="D12932" s="37"/>
      <c r="E12932" s="36"/>
      <c r="F12932" s="42"/>
      <c r="G12932" s="42"/>
      <c r="H12932" s="42"/>
      <c r="AG12932" s="19"/>
    </row>
    <row r="12933" spans="1:33" ht="14.5" x14ac:dyDescent="0.35">
      <c r="A12933" s="34"/>
      <c r="B12933" s="35"/>
      <c r="C12933" s="36"/>
      <c r="D12933" s="37"/>
      <c r="E12933" s="36"/>
      <c r="F12933" s="42"/>
      <c r="G12933" s="42"/>
      <c r="H12933" s="42"/>
      <c r="AG12933" s="19"/>
    </row>
    <row r="12934" spans="1:33" ht="14.5" x14ac:dyDescent="0.35">
      <c r="A12934" s="34"/>
      <c r="B12934" s="35"/>
      <c r="C12934" s="36"/>
      <c r="D12934" s="37"/>
      <c r="E12934" s="36"/>
      <c r="F12934" s="42"/>
      <c r="G12934" s="42"/>
      <c r="H12934" s="42"/>
      <c r="AG12934" s="19"/>
    </row>
    <row r="12935" spans="1:33" ht="14.5" x14ac:dyDescent="0.35">
      <c r="A12935" s="34"/>
      <c r="B12935" s="35"/>
      <c r="C12935" s="36"/>
      <c r="D12935" s="37"/>
      <c r="E12935" s="36"/>
      <c r="F12935" s="42"/>
      <c r="G12935" s="42"/>
      <c r="H12935" s="42"/>
      <c r="AG12935" s="19"/>
    </row>
    <row r="12936" spans="1:33" ht="14.5" x14ac:dyDescent="0.35">
      <c r="A12936" s="34"/>
      <c r="B12936" s="35"/>
      <c r="C12936" s="36"/>
      <c r="D12936" s="37"/>
      <c r="E12936" s="36"/>
      <c r="F12936" s="42"/>
      <c r="G12936" s="42"/>
      <c r="H12936" s="42"/>
      <c r="AG12936" s="19"/>
    </row>
    <row r="12937" spans="1:33" ht="14.5" x14ac:dyDescent="0.35">
      <c r="A12937" s="34"/>
      <c r="B12937" s="35"/>
      <c r="C12937" s="36"/>
      <c r="D12937" s="37"/>
      <c r="E12937" s="36"/>
      <c r="F12937" s="42"/>
      <c r="G12937" s="42"/>
      <c r="H12937" s="42"/>
      <c r="AG12937" s="19"/>
    </row>
    <row r="12938" spans="1:33" ht="14.5" x14ac:dyDescent="0.35">
      <c r="A12938" s="34"/>
      <c r="B12938" s="35"/>
      <c r="C12938" s="36"/>
      <c r="D12938" s="37"/>
      <c r="E12938" s="36"/>
      <c r="F12938" s="42"/>
      <c r="G12938" s="42"/>
      <c r="H12938" s="42"/>
      <c r="AG12938" s="19"/>
    </row>
    <row r="12939" spans="1:33" ht="14.5" x14ac:dyDescent="0.35">
      <c r="A12939" s="34"/>
      <c r="B12939" s="35"/>
      <c r="C12939" s="36"/>
      <c r="D12939" s="37"/>
      <c r="E12939" s="36"/>
      <c r="F12939" s="42"/>
      <c r="G12939" s="42"/>
      <c r="H12939" s="42"/>
      <c r="AG12939" s="19"/>
    </row>
    <row r="12940" spans="1:33" ht="14.5" x14ac:dyDescent="0.35">
      <c r="A12940" s="34"/>
      <c r="B12940" s="35"/>
      <c r="C12940" s="36"/>
      <c r="D12940" s="37"/>
      <c r="E12940" s="36"/>
      <c r="F12940" s="42"/>
      <c r="G12940" s="42"/>
      <c r="H12940" s="42"/>
      <c r="AG12940" s="19"/>
    </row>
    <row r="12941" spans="1:33" ht="14.5" x14ac:dyDescent="0.35">
      <c r="A12941" s="34"/>
      <c r="B12941" s="35"/>
      <c r="C12941" s="36"/>
      <c r="D12941" s="37"/>
      <c r="E12941" s="36"/>
      <c r="F12941" s="42"/>
      <c r="G12941" s="42"/>
      <c r="H12941" s="42"/>
      <c r="AG12941" s="19"/>
    </row>
    <row r="12942" spans="1:33" ht="14.5" x14ac:dyDescent="0.35">
      <c r="A12942" s="34"/>
      <c r="B12942" s="35"/>
      <c r="C12942" s="36"/>
      <c r="D12942" s="37"/>
      <c r="E12942" s="36"/>
      <c r="F12942" s="42"/>
      <c r="G12942" s="42"/>
      <c r="H12942" s="42"/>
      <c r="AG12942" s="19"/>
    </row>
    <row r="12943" spans="1:33" ht="14.5" x14ac:dyDescent="0.35">
      <c r="A12943" s="34"/>
      <c r="B12943" s="35"/>
      <c r="C12943" s="36"/>
      <c r="D12943" s="37"/>
      <c r="E12943" s="36"/>
      <c r="F12943" s="42"/>
      <c r="G12943" s="42"/>
      <c r="H12943" s="42"/>
      <c r="AG12943" s="19"/>
    </row>
    <row r="12944" spans="1:33" ht="14.5" x14ac:dyDescent="0.35">
      <c r="A12944" s="34"/>
      <c r="B12944" s="35"/>
      <c r="C12944" s="36"/>
      <c r="D12944" s="37"/>
      <c r="E12944" s="36"/>
      <c r="F12944" s="42"/>
      <c r="G12944" s="42"/>
      <c r="H12944" s="42"/>
      <c r="AG12944" s="19"/>
    </row>
    <row r="12945" spans="1:33" ht="14.5" x14ac:dyDescent="0.35">
      <c r="A12945" s="34"/>
      <c r="B12945" s="35"/>
      <c r="C12945" s="36"/>
      <c r="D12945" s="37"/>
      <c r="E12945" s="36"/>
      <c r="F12945" s="42"/>
      <c r="G12945" s="42"/>
      <c r="H12945" s="42"/>
      <c r="AG12945" s="19"/>
    </row>
    <row r="12946" spans="1:33" ht="14.5" x14ac:dyDescent="0.35">
      <c r="A12946" s="34"/>
      <c r="B12946" s="35"/>
      <c r="C12946" s="36"/>
      <c r="D12946" s="37"/>
      <c r="E12946" s="36"/>
      <c r="F12946" s="42"/>
      <c r="G12946" s="42"/>
      <c r="H12946" s="42"/>
      <c r="AG12946" s="19"/>
    </row>
    <row r="12947" spans="1:33" ht="14.5" x14ac:dyDescent="0.35">
      <c r="A12947" s="34"/>
      <c r="B12947" s="35"/>
      <c r="C12947" s="36"/>
      <c r="D12947" s="37"/>
      <c r="E12947" s="36"/>
      <c r="F12947" s="42"/>
      <c r="G12947" s="42"/>
      <c r="H12947" s="42"/>
      <c r="AG12947" s="19"/>
    </row>
    <row r="12948" spans="1:33" ht="14.5" x14ac:dyDescent="0.35">
      <c r="A12948" s="34"/>
      <c r="B12948" s="35"/>
      <c r="C12948" s="36"/>
      <c r="D12948" s="37"/>
      <c r="E12948" s="36"/>
      <c r="F12948" s="42"/>
      <c r="G12948" s="42"/>
      <c r="H12948" s="42"/>
      <c r="AG12948" s="19"/>
    </row>
    <row r="12949" spans="1:33" ht="14.5" x14ac:dyDescent="0.35">
      <c r="A12949" s="34"/>
      <c r="B12949" s="35"/>
      <c r="C12949" s="36"/>
      <c r="D12949" s="37"/>
      <c r="E12949" s="36"/>
      <c r="F12949" s="42"/>
      <c r="G12949" s="42"/>
      <c r="H12949" s="42"/>
      <c r="AG12949" s="19"/>
    </row>
    <row r="12950" spans="1:33" ht="14.5" x14ac:dyDescent="0.35">
      <c r="A12950" s="34"/>
      <c r="B12950" s="35"/>
      <c r="C12950" s="36"/>
      <c r="D12950" s="37"/>
      <c r="E12950" s="36"/>
      <c r="F12950" s="42"/>
      <c r="G12950" s="42"/>
      <c r="H12950" s="42"/>
      <c r="AG12950" s="19"/>
    </row>
    <row r="12951" spans="1:33" ht="14.5" x14ac:dyDescent="0.35">
      <c r="A12951" s="34"/>
      <c r="B12951" s="35"/>
      <c r="C12951" s="36"/>
      <c r="D12951" s="37"/>
      <c r="E12951" s="36"/>
      <c r="F12951" s="42"/>
      <c r="G12951" s="42"/>
      <c r="H12951" s="42"/>
      <c r="AG12951" s="19"/>
    </row>
    <row r="12952" spans="1:33" ht="14.5" x14ac:dyDescent="0.35">
      <c r="A12952" s="34"/>
      <c r="B12952" s="35"/>
      <c r="C12952" s="36"/>
      <c r="D12952" s="37"/>
      <c r="E12952" s="36"/>
      <c r="F12952" s="42"/>
      <c r="G12952" s="42"/>
      <c r="H12952" s="42"/>
      <c r="AG12952" s="19"/>
    </row>
    <row r="12953" spans="1:33" ht="14.5" x14ac:dyDescent="0.35">
      <c r="A12953" s="34"/>
      <c r="B12953" s="35"/>
      <c r="C12953" s="36"/>
      <c r="D12953" s="37"/>
      <c r="E12953" s="36"/>
      <c r="F12953" s="42"/>
      <c r="G12953" s="42"/>
      <c r="H12953" s="42"/>
      <c r="AG12953" s="19"/>
    </row>
    <row r="12954" spans="1:33" ht="14.5" x14ac:dyDescent="0.35">
      <c r="A12954" s="34"/>
      <c r="B12954" s="35"/>
      <c r="C12954" s="36"/>
      <c r="D12954" s="37"/>
      <c r="E12954" s="36"/>
      <c r="F12954" s="42"/>
      <c r="G12954" s="42"/>
      <c r="H12954" s="42"/>
      <c r="AG12954" s="19"/>
    </row>
    <row r="12955" spans="1:33" ht="14.5" x14ac:dyDescent="0.35">
      <c r="A12955" s="34"/>
      <c r="B12955" s="35"/>
      <c r="C12955" s="36"/>
      <c r="D12955" s="37"/>
      <c r="E12955" s="36"/>
      <c r="F12955" s="42"/>
      <c r="G12955" s="42"/>
      <c r="H12955" s="42"/>
      <c r="AG12955" s="19"/>
    </row>
    <row r="12956" spans="1:33" ht="14.5" x14ac:dyDescent="0.35">
      <c r="A12956" s="34"/>
      <c r="B12956" s="35"/>
      <c r="C12956" s="36"/>
      <c r="D12956" s="37"/>
      <c r="E12956" s="36"/>
      <c r="F12956" s="42"/>
      <c r="G12956" s="42"/>
      <c r="H12956" s="42"/>
      <c r="AG12956" s="19"/>
    </row>
    <row r="12957" spans="1:33" ht="14.5" x14ac:dyDescent="0.35">
      <c r="A12957" s="34"/>
      <c r="B12957" s="35"/>
      <c r="C12957" s="36"/>
      <c r="D12957" s="37"/>
      <c r="E12957" s="36"/>
      <c r="F12957" s="42"/>
      <c r="G12957" s="42"/>
      <c r="H12957" s="42"/>
      <c r="AG12957" s="19"/>
    </row>
    <row r="12958" spans="1:33" ht="14.5" x14ac:dyDescent="0.35">
      <c r="A12958" s="34"/>
      <c r="B12958" s="35"/>
      <c r="C12958" s="36"/>
      <c r="D12958" s="37"/>
      <c r="E12958" s="36"/>
      <c r="F12958" s="42"/>
      <c r="G12958" s="42"/>
      <c r="H12958" s="42"/>
      <c r="AG12958" s="19"/>
    </row>
    <row r="12959" spans="1:33" ht="14.5" x14ac:dyDescent="0.35">
      <c r="A12959" s="34"/>
      <c r="B12959" s="35"/>
      <c r="C12959" s="36"/>
      <c r="D12959" s="37"/>
      <c r="E12959" s="36"/>
      <c r="F12959" s="42"/>
      <c r="G12959" s="42"/>
      <c r="H12959" s="42"/>
      <c r="AG12959" s="19"/>
    </row>
    <row r="12960" spans="1:33" ht="14.5" x14ac:dyDescent="0.35">
      <c r="A12960" s="34"/>
      <c r="B12960" s="35"/>
      <c r="C12960" s="36"/>
      <c r="D12960" s="37"/>
      <c r="E12960" s="36"/>
      <c r="F12960" s="42"/>
      <c r="G12960" s="42"/>
      <c r="H12960" s="42"/>
      <c r="AG12960" s="19"/>
    </row>
    <row r="12961" spans="1:33" ht="14.5" x14ac:dyDescent="0.35">
      <c r="A12961" s="34"/>
      <c r="B12961" s="35"/>
      <c r="C12961" s="36"/>
      <c r="D12961" s="37"/>
      <c r="E12961" s="36"/>
      <c r="F12961" s="42"/>
      <c r="G12961" s="42"/>
      <c r="H12961" s="42"/>
      <c r="AG12961" s="19"/>
    </row>
    <row r="12962" spans="1:33" ht="14.5" x14ac:dyDescent="0.35">
      <c r="A12962" s="34"/>
      <c r="B12962" s="35"/>
      <c r="C12962" s="36"/>
      <c r="D12962" s="37"/>
      <c r="E12962" s="36"/>
      <c r="F12962" s="42"/>
      <c r="G12962" s="42"/>
      <c r="H12962" s="42"/>
      <c r="AG12962" s="19"/>
    </row>
    <row r="12963" spans="1:33" ht="14.5" x14ac:dyDescent="0.35">
      <c r="A12963" s="34"/>
      <c r="B12963" s="35"/>
      <c r="C12963" s="36"/>
      <c r="D12963" s="37"/>
      <c r="E12963" s="36"/>
      <c r="F12963" s="42"/>
      <c r="G12963" s="42"/>
      <c r="H12963" s="42"/>
      <c r="AG12963" s="19"/>
    </row>
    <row r="12964" spans="1:33" ht="14.5" x14ac:dyDescent="0.35">
      <c r="A12964" s="34"/>
      <c r="B12964" s="35"/>
      <c r="C12964" s="36"/>
      <c r="D12964" s="37"/>
      <c r="E12964" s="36"/>
      <c r="F12964" s="42"/>
      <c r="G12964" s="42"/>
      <c r="H12964" s="42"/>
      <c r="AG12964" s="19"/>
    </row>
    <row r="12965" spans="1:33" ht="14.5" x14ac:dyDescent="0.35">
      <c r="A12965" s="34"/>
      <c r="B12965" s="35"/>
      <c r="C12965" s="36"/>
      <c r="D12965" s="37"/>
      <c r="E12965" s="36"/>
      <c r="F12965" s="42"/>
      <c r="G12965" s="42"/>
      <c r="H12965" s="42"/>
      <c r="AG12965" s="19"/>
    </row>
    <row r="12966" spans="1:33" ht="14.5" x14ac:dyDescent="0.35">
      <c r="A12966" s="34"/>
      <c r="B12966" s="35"/>
      <c r="C12966" s="36"/>
      <c r="D12966" s="37"/>
      <c r="E12966" s="36"/>
      <c r="F12966" s="42"/>
      <c r="G12966" s="42"/>
      <c r="H12966" s="42"/>
      <c r="AG12966" s="19"/>
    </row>
    <row r="12967" spans="1:33" ht="14.5" x14ac:dyDescent="0.35">
      <c r="A12967" s="34"/>
      <c r="B12967" s="35"/>
      <c r="C12967" s="36"/>
      <c r="D12967" s="37"/>
      <c r="E12967" s="36"/>
      <c r="F12967" s="42"/>
      <c r="G12967" s="42"/>
      <c r="H12967" s="42"/>
      <c r="AG12967" s="19"/>
    </row>
    <row r="12968" spans="1:33" ht="14.5" x14ac:dyDescent="0.35">
      <c r="A12968" s="34"/>
      <c r="B12968" s="35"/>
      <c r="C12968" s="36"/>
      <c r="D12968" s="37"/>
      <c r="E12968" s="36"/>
      <c r="F12968" s="42"/>
      <c r="G12968" s="42"/>
      <c r="H12968" s="42"/>
      <c r="AG12968" s="19"/>
    </row>
    <row r="12969" spans="1:33" ht="14.5" x14ac:dyDescent="0.35">
      <c r="A12969" s="34"/>
      <c r="B12969" s="35"/>
      <c r="C12969" s="36"/>
      <c r="D12969" s="37"/>
      <c r="E12969" s="36"/>
      <c r="F12969" s="42"/>
      <c r="G12969" s="42"/>
      <c r="H12969" s="42"/>
      <c r="AG12969" s="19"/>
    </row>
    <row r="12970" spans="1:33" ht="14.5" x14ac:dyDescent="0.35">
      <c r="A12970" s="34"/>
      <c r="B12970" s="35"/>
      <c r="C12970" s="36"/>
      <c r="D12970" s="37"/>
      <c r="E12970" s="36"/>
      <c r="F12970" s="42"/>
      <c r="G12970" s="42"/>
      <c r="H12970" s="42"/>
      <c r="AG12970" s="19"/>
    </row>
    <row r="12971" spans="1:33" ht="14.5" x14ac:dyDescent="0.35">
      <c r="A12971" s="34"/>
      <c r="B12971" s="35"/>
      <c r="C12971" s="36"/>
      <c r="D12971" s="37"/>
      <c r="E12971" s="36"/>
      <c r="F12971" s="42"/>
      <c r="G12971" s="42"/>
      <c r="H12971" s="42"/>
      <c r="AG12971" s="19"/>
    </row>
    <row r="12972" spans="1:33" ht="14.5" x14ac:dyDescent="0.35">
      <c r="A12972" s="34"/>
      <c r="B12972" s="35"/>
      <c r="C12972" s="36"/>
      <c r="D12972" s="37"/>
      <c r="E12972" s="36"/>
      <c r="F12972" s="42"/>
      <c r="G12972" s="42"/>
      <c r="H12972" s="42"/>
      <c r="AG12972" s="19"/>
    </row>
    <row r="12973" spans="1:33" ht="14.5" x14ac:dyDescent="0.35">
      <c r="A12973" s="34"/>
      <c r="B12973" s="35"/>
      <c r="C12973" s="36"/>
      <c r="D12973" s="37"/>
      <c r="E12973" s="36"/>
      <c r="F12973" s="42"/>
      <c r="G12973" s="42"/>
      <c r="H12973" s="42"/>
      <c r="AG12973" s="19"/>
    </row>
    <row r="12974" spans="1:33" ht="14.5" x14ac:dyDescent="0.35">
      <c r="A12974" s="34"/>
      <c r="B12974" s="35"/>
      <c r="C12974" s="36"/>
      <c r="D12974" s="37"/>
      <c r="E12974" s="36"/>
      <c r="F12974" s="42"/>
      <c r="G12974" s="42"/>
      <c r="H12974" s="42"/>
      <c r="AG12974" s="19"/>
    </row>
    <row r="12975" spans="1:33" ht="14.5" x14ac:dyDescent="0.35">
      <c r="A12975" s="34"/>
      <c r="B12975" s="35"/>
      <c r="C12975" s="36"/>
      <c r="D12975" s="37"/>
      <c r="E12975" s="36"/>
      <c r="F12975" s="42"/>
      <c r="G12975" s="42"/>
      <c r="H12975" s="42"/>
      <c r="AG12975" s="19"/>
    </row>
    <row r="12976" spans="1:33" ht="14.5" x14ac:dyDescent="0.35">
      <c r="A12976" s="34"/>
      <c r="B12976" s="35"/>
      <c r="C12976" s="36"/>
      <c r="D12976" s="37"/>
      <c r="E12976" s="36"/>
      <c r="F12976" s="42"/>
      <c r="G12976" s="42"/>
      <c r="H12976" s="42"/>
      <c r="AG12976" s="19"/>
    </row>
    <row r="12977" spans="1:33" ht="14.5" x14ac:dyDescent="0.35">
      <c r="A12977" s="34"/>
      <c r="B12977" s="35"/>
      <c r="C12977" s="36"/>
      <c r="D12977" s="37"/>
      <c r="E12977" s="36"/>
      <c r="F12977" s="42"/>
      <c r="G12977" s="42"/>
      <c r="H12977" s="42"/>
      <c r="AG12977" s="19"/>
    </row>
    <row r="12978" spans="1:33" ht="14.5" x14ac:dyDescent="0.35">
      <c r="A12978" s="34"/>
      <c r="B12978" s="35"/>
      <c r="C12978" s="36"/>
      <c r="D12978" s="37"/>
      <c r="E12978" s="36"/>
      <c r="F12978" s="42"/>
      <c r="G12978" s="42"/>
      <c r="H12978" s="42"/>
      <c r="AG12978" s="19"/>
    </row>
    <row r="12979" spans="1:33" ht="14.5" x14ac:dyDescent="0.35">
      <c r="A12979" s="34"/>
      <c r="B12979" s="35"/>
      <c r="C12979" s="36"/>
      <c r="D12979" s="37"/>
      <c r="E12979" s="36"/>
      <c r="F12979" s="42"/>
      <c r="G12979" s="42"/>
      <c r="H12979" s="42"/>
      <c r="AG12979" s="19"/>
    </row>
    <row r="12980" spans="1:33" ht="14.5" x14ac:dyDescent="0.35">
      <c r="A12980" s="34"/>
      <c r="B12980" s="35"/>
      <c r="C12980" s="36"/>
      <c r="D12980" s="37"/>
      <c r="E12980" s="36"/>
      <c r="F12980" s="42"/>
      <c r="G12980" s="42"/>
      <c r="H12980" s="42"/>
      <c r="AG12980" s="19"/>
    </row>
    <row r="12981" spans="1:33" ht="14.5" x14ac:dyDescent="0.35">
      <c r="A12981" s="34"/>
      <c r="B12981" s="35"/>
      <c r="C12981" s="36"/>
      <c r="D12981" s="37"/>
      <c r="E12981" s="36"/>
      <c r="F12981" s="42"/>
      <c r="G12981" s="42"/>
      <c r="H12981" s="42"/>
      <c r="AG12981" s="19"/>
    </row>
    <row r="12982" spans="1:33" ht="14.5" x14ac:dyDescent="0.35">
      <c r="A12982" s="34"/>
      <c r="B12982" s="35"/>
      <c r="C12982" s="36"/>
      <c r="D12982" s="37"/>
      <c r="E12982" s="36"/>
      <c r="F12982" s="42"/>
      <c r="G12982" s="42"/>
      <c r="H12982" s="42"/>
      <c r="AG12982" s="19"/>
    </row>
    <row r="12983" spans="1:33" ht="14.5" x14ac:dyDescent="0.35">
      <c r="A12983" s="34"/>
      <c r="B12983" s="35"/>
      <c r="C12983" s="36"/>
      <c r="D12983" s="37"/>
      <c r="E12983" s="36"/>
      <c r="F12983" s="42"/>
      <c r="G12983" s="42"/>
      <c r="H12983" s="42"/>
      <c r="AG12983" s="19"/>
    </row>
    <row r="12984" spans="1:33" ht="14.5" x14ac:dyDescent="0.35">
      <c r="A12984" s="34"/>
      <c r="B12984" s="35"/>
      <c r="C12984" s="36"/>
      <c r="D12984" s="37"/>
      <c r="E12984" s="36"/>
      <c r="F12984" s="42"/>
      <c r="G12984" s="42"/>
      <c r="H12984" s="42"/>
      <c r="AG12984" s="19"/>
    </row>
    <row r="12985" spans="1:33" ht="14.5" x14ac:dyDescent="0.35">
      <c r="A12985" s="34"/>
      <c r="B12985" s="35"/>
      <c r="C12985" s="36"/>
      <c r="D12985" s="37"/>
      <c r="E12985" s="36"/>
      <c r="F12985" s="42"/>
      <c r="G12985" s="42"/>
      <c r="H12985" s="42"/>
      <c r="AG12985" s="19"/>
    </row>
    <row r="12986" spans="1:33" ht="14.5" x14ac:dyDescent="0.35">
      <c r="A12986" s="34"/>
      <c r="B12986" s="35"/>
      <c r="C12986" s="36"/>
      <c r="D12986" s="37"/>
      <c r="E12986" s="36"/>
      <c r="F12986" s="42"/>
      <c r="G12986" s="42"/>
      <c r="H12986" s="42"/>
      <c r="AG12986" s="19"/>
    </row>
    <row r="12987" spans="1:33" ht="14.5" x14ac:dyDescent="0.35">
      <c r="A12987" s="34"/>
      <c r="B12987" s="35"/>
      <c r="C12987" s="36"/>
      <c r="D12987" s="37"/>
      <c r="E12987" s="36"/>
      <c r="F12987" s="42"/>
      <c r="G12987" s="42"/>
      <c r="H12987" s="42"/>
      <c r="AG12987" s="19"/>
    </row>
    <row r="12988" spans="1:33" ht="14.5" x14ac:dyDescent="0.35">
      <c r="A12988" s="34"/>
      <c r="B12988" s="35"/>
      <c r="C12988" s="36"/>
      <c r="D12988" s="37"/>
      <c r="E12988" s="36"/>
      <c r="F12988" s="42"/>
      <c r="G12988" s="42"/>
      <c r="H12988" s="42"/>
      <c r="AG12988" s="19"/>
    </row>
    <row r="12989" spans="1:33" ht="14.5" x14ac:dyDescent="0.35">
      <c r="A12989" s="34"/>
      <c r="B12989" s="35"/>
      <c r="C12989" s="36"/>
      <c r="D12989" s="37"/>
      <c r="E12989" s="36"/>
      <c r="F12989" s="42"/>
      <c r="G12989" s="42"/>
      <c r="H12989" s="42"/>
      <c r="AG12989" s="19"/>
    </row>
    <row r="12990" spans="1:33" ht="14.5" x14ac:dyDescent="0.35">
      <c r="A12990" s="34"/>
      <c r="B12990" s="35"/>
      <c r="C12990" s="36"/>
      <c r="D12990" s="37"/>
      <c r="E12990" s="36"/>
      <c r="F12990" s="42"/>
      <c r="G12990" s="42"/>
      <c r="H12990" s="42"/>
      <c r="AG12990" s="19"/>
    </row>
    <row r="12991" spans="1:33" ht="14.5" x14ac:dyDescent="0.35">
      <c r="A12991" s="34"/>
      <c r="B12991" s="35"/>
      <c r="C12991" s="36"/>
      <c r="D12991" s="37"/>
      <c r="E12991" s="36"/>
      <c r="F12991" s="42"/>
      <c r="G12991" s="42"/>
      <c r="H12991" s="42"/>
      <c r="AG12991" s="19"/>
    </row>
    <row r="12992" spans="1:33" ht="14.5" x14ac:dyDescent="0.35">
      <c r="A12992" s="34"/>
      <c r="B12992" s="35"/>
      <c r="C12992" s="36"/>
      <c r="D12992" s="37"/>
      <c r="E12992" s="36"/>
      <c r="F12992" s="42"/>
      <c r="G12992" s="42"/>
      <c r="H12992" s="42"/>
      <c r="AG12992" s="19"/>
    </row>
    <row r="12993" spans="1:33" ht="14.5" x14ac:dyDescent="0.35">
      <c r="A12993" s="34"/>
      <c r="B12993" s="35"/>
      <c r="C12993" s="36"/>
      <c r="D12993" s="37"/>
      <c r="E12993" s="36"/>
      <c r="F12993" s="42"/>
      <c r="G12993" s="42"/>
      <c r="H12993" s="42"/>
      <c r="AG12993" s="19"/>
    </row>
    <row r="12994" spans="1:33" ht="14.5" x14ac:dyDescent="0.35">
      <c r="A12994" s="34"/>
      <c r="B12994" s="35"/>
      <c r="C12994" s="36"/>
      <c r="D12994" s="37"/>
      <c r="E12994" s="36"/>
      <c r="F12994" s="42"/>
      <c r="G12994" s="42"/>
      <c r="H12994" s="42"/>
      <c r="AG12994" s="19"/>
    </row>
    <row r="12995" spans="1:33" ht="14.5" x14ac:dyDescent="0.35">
      <c r="A12995" s="34"/>
      <c r="B12995" s="35"/>
      <c r="C12995" s="36"/>
      <c r="D12995" s="37"/>
      <c r="E12995" s="36"/>
      <c r="F12995" s="42"/>
      <c r="G12995" s="42"/>
      <c r="H12995" s="42"/>
      <c r="AG12995" s="19"/>
    </row>
    <row r="12996" spans="1:33" ht="14.5" x14ac:dyDescent="0.35">
      <c r="A12996" s="34"/>
      <c r="B12996" s="35"/>
      <c r="C12996" s="36"/>
      <c r="D12996" s="37"/>
      <c r="E12996" s="36"/>
      <c r="F12996" s="42"/>
      <c r="G12996" s="42"/>
      <c r="H12996" s="42"/>
      <c r="AG12996" s="19"/>
    </row>
    <row r="12997" spans="1:33" ht="14.5" x14ac:dyDescent="0.35">
      <c r="A12997" s="34"/>
      <c r="B12997" s="35"/>
      <c r="C12997" s="36"/>
      <c r="D12997" s="37"/>
      <c r="E12997" s="36"/>
      <c r="F12997" s="42"/>
      <c r="G12997" s="42"/>
      <c r="H12997" s="42"/>
      <c r="AG12997" s="19"/>
    </row>
    <row r="12998" spans="1:33" ht="14.5" x14ac:dyDescent="0.35">
      <c r="A12998" s="34"/>
      <c r="B12998" s="35"/>
      <c r="C12998" s="36"/>
      <c r="D12998" s="37"/>
      <c r="E12998" s="36"/>
      <c r="F12998" s="42"/>
      <c r="G12998" s="42"/>
      <c r="H12998" s="42"/>
      <c r="AG12998" s="19"/>
    </row>
    <row r="12999" spans="1:33" ht="14.5" x14ac:dyDescent="0.35">
      <c r="A12999" s="34"/>
      <c r="B12999" s="35"/>
      <c r="C12999" s="36"/>
      <c r="D12999" s="37"/>
      <c r="E12999" s="36"/>
      <c r="F12999" s="42"/>
      <c r="G12999" s="42"/>
      <c r="H12999" s="42"/>
      <c r="AG12999" s="19"/>
    </row>
    <row r="13000" spans="1:33" ht="14.5" x14ac:dyDescent="0.35">
      <c r="A13000" s="34"/>
      <c r="B13000" s="35"/>
      <c r="C13000" s="36"/>
      <c r="D13000" s="37"/>
      <c r="E13000" s="36"/>
      <c r="F13000" s="42"/>
      <c r="G13000" s="42"/>
      <c r="H13000" s="42"/>
      <c r="AG13000" s="19"/>
    </row>
    <row r="13001" spans="1:33" ht="14.5" x14ac:dyDescent="0.35">
      <c r="A13001" s="34"/>
      <c r="B13001" s="35"/>
      <c r="C13001" s="36"/>
      <c r="D13001" s="37"/>
      <c r="E13001" s="36"/>
      <c r="F13001" s="42"/>
      <c r="G13001" s="42"/>
      <c r="H13001" s="42"/>
      <c r="AG13001" s="19"/>
    </row>
    <row r="13002" spans="1:33" ht="14.5" x14ac:dyDescent="0.35">
      <c r="A13002" s="34"/>
      <c r="B13002" s="35"/>
      <c r="C13002" s="36"/>
      <c r="D13002" s="37"/>
      <c r="E13002" s="36"/>
      <c r="F13002" s="42"/>
      <c r="G13002" s="42"/>
      <c r="H13002" s="42"/>
      <c r="AG13002" s="19"/>
    </row>
    <row r="13003" spans="1:33" ht="14.5" x14ac:dyDescent="0.35">
      <c r="A13003" s="34"/>
      <c r="B13003" s="35"/>
      <c r="C13003" s="36"/>
      <c r="D13003" s="37"/>
      <c r="E13003" s="36"/>
      <c r="F13003" s="42"/>
      <c r="G13003" s="42"/>
      <c r="H13003" s="42"/>
      <c r="AG13003" s="19"/>
    </row>
    <row r="13004" spans="1:33" ht="14.5" x14ac:dyDescent="0.35">
      <c r="A13004" s="34"/>
      <c r="B13004" s="35"/>
      <c r="C13004" s="36"/>
      <c r="D13004" s="37"/>
      <c r="E13004" s="36"/>
      <c r="F13004" s="42"/>
      <c r="G13004" s="42"/>
      <c r="H13004" s="42"/>
      <c r="AG13004" s="19"/>
    </row>
    <row r="13005" spans="1:33" ht="14.5" x14ac:dyDescent="0.35">
      <c r="A13005" s="34"/>
      <c r="B13005" s="35"/>
      <c r="C13005" s="36"/>
      <c r="D13005" s="37"/>
      <c r="E13005" s="36"/>
      <c r="F13005" s="42"/>
      <c r="G13005" s="42"/>
      <c r="H13005" s="42"/>
      <c r="AG13005" s="19"/>
    </row>
    <row r="13006" spans="1:33" ht="14.5" x14ac:dyDescent="0.35">
      <c r="A13006" s="34"/>
      <c r="B13006" s="35"/>
      <c r="C13006" s="36"/>
      <c r="D13006" s="37"/>
      <c r="E13006" s="36"/>
      <c r="F13006" s="42"/>
      <c r="G13006" s="42"/>
      <c r="H13006" s="42"/>
      <c r="AG13006" s="19"/>
    </row>
    <row r="13007" spans="1:33" ht="14.5" x14ac:dyDescent="0.35">
      <c r="A13007" s="34"/>
      <c r="B13007" s="35"/>
      <c r="C13007" s="36"/>
      <c r="D13007" s="37"/>
      <c r="E13007" s="36"/>
      <c r="F13007" s="42"/>
      <c r="G13007" s="42"/>
      <c r="H13007" s="42"/>
      <c r="AG13007" s="19"/>
    </row>
    <row r="13008" spans="1:33" ht="14.5" x14ac:dyDescent="0.35">
      <c r="A13008" s="34"/>
      <c r="B13008" s="35"/>
      <c r="C13008" s="36"/>
      <c r="D13008" s="37"/>
      <c r="E13008" s="36"/>
      <c r="F13008" s="42"/>
      <c r="G13008" s="42"/>
      <c r="H13008" s="42"/>
      <c r="AG13008" s="19"/>
    </row>
    <row r="13009" spans="1:33" ht="14.5" x14ac:dyDescent="0.35">
      <c r="A13009" s="34"/>
      <c r="B13009" s="35"/>
      <c r="C13009" s="36"/>
      <c r="D13009" s="37"/>
      <c r="E13009" s="36"/>
      <c r="F13009" s="42"/>
      <c r="G13009" s="42"/>
      <c r="H13009" s="42"/>
      <c r="AG13009" s="19"/>
    </row>
    <row r="13010" spans="1:33" ht="14.5" x14ac:dyDescent="0.35">
      <c r="A13010" s="34"/>
      <c r="B13010" s="35"/>
      <c r="C13010" s="36"/>
      <c r="D13010" s="37"/>
      <c r="E13010" s="36"/>
      <c r="F13010" s="42"/>
      <c r="G13010" s="42"/>
      <c r="H13010" s="42"/>
      <c r="AG13010" s="19"/>
    </row>
    <row r="13011" spans="1:33" ht="14.5" x14ac:dyDescent="0.35">
      <c r="A13011" s="34"/>
      <c r="B13011" s="35"/>
      <c r="C13011" s="36"/>
      <c r="D13011" s="37"/>
      <c r="E13011" s="36"/>
      <c r="F13011" s="42"/>
      <c r="G13011" s="42"/>
      <c r="H13011" s="42"/>
      <c r="AG13011" s="19"/>
    </row>
    <row r="13012" spans="1:33" ht="14.5" x14ac:dyDescent="0.35">
      <c r="A13012" s="34"/>
      <c r="B13012" s="35"/>
      <c r="C13012" s="36"/>
      <c r="D13012" s="37"/>
      <c r="E13012" s="36"/>
      <c r="F13012" s="42"/>
      <c r="G13012" s="42"/>
      <c r="H13012" s="42"/>
      <c r="AG13012" s="19"/>
    </row>
    <row r="13013" spans="1:33" ht="14.5" x14ac:dyDescent="0.35">
      <c r="A13013" s="34"/>
      <c r="B13013" s="35"/>
      <c r="C13013" s="36"/>
      <c r="D13013" s="37"/>
      <c r="E13013" s="36"/>
      <c r="F13013" s="42"/>
      <c r="G13013" s="42"/>
      <c r="H13013" s="42"/>
      <c r="AG13013" s="19"/>
    </row>
    <row r="13014" spans="1:33" ht="14.5" x14ac:dyDescent="0.35">
      <c r="A13014" s="34"/>
      <c r="B13014" s="35"/>
      <c r="C13014" s="36"/>
      <c r="D13014" s="37"/>
      <c r="E13014" s="36"/>
      <c r="F13014" s="42"/>
      <c r="G13014" s="42"/>
      <c r="H13014" s="42"/>
      <c r="AG13014" s="19"/>
    </row>
    <row r="13015" spans="1:33" ht="14.5" x14ac:dyDescent="0.35">
      <c r="A13015" s="34"/>
      <c r="B13015" s="35"/>
      <c r="C13015" s="36"/>
      <c r="D13015" s="37"/>
      <c r="E13015" s="36"/>
      <c r="F13015" s="42"/>
      <c r="G13015" s="42"/>
      <c r="H13015" s="42"/>
      <c r="AG13015" s="19"/>
    </row>
    <row r="13016" spans="1:33" ht="14.5" x14ac:dyDescent="0.35">
      <c r="A13016" s="34"/>
      <c r="B13016" s="35"/>
      <c r="C13016" s="36"/>
      <c r="D13016" s="37"/>
      <c r="E13016" s="36"/>
      <c r="F13016" s="42"/>
      <c r="G13016" s="42"/>
      <c r="H13016" s="42"/>
      <c r="AG13016" s="19"/>
    </row>
    <row r="13017" spans="1:33" ht="14.5" x14ac:dyDescent="0.35">
      <c r="A13017" s="34"/>
      <c r="B13017" s="35"/>
      <c r="C13017" s="36"/>
      <c r="D13017" s="37"/>
      <c r="E13017" s="36"/>
      <c r="F13017" s="42"/>
      <c r="G13017" s="42"/>
      <c r="H13017" s="42"/>
      <c r="AG13017" s="19"/>
    </row>
    <row r="13018" spans="1:33" ht="14.5" x14ac:dyDescent="0.35">
      <c r="A13018" s="34"/>
      <c r="B13018" s="35"/>
      <c r="C13018" s="36"/>
      <c r="D13018" s="37"/>
      <c r="E13018" s="36"/>
      <c r="F13018" s="42"/>
      <c r="G13018" s="42"/>
      <c r="H13018" s="42"/>
      <c r="AG13018" s="19"/>
    </row>
    <row r="13019" spans="1:33" ht="14.5" x14ac:dyDescent="0.35">
      <c r="A13019" s="34"/>
      <c r="B13019" s="35"/>
      <c r="C13019" s="36"/>
      <c r="D13019" s="37"/>
      <c r="E13019" s="36"/>
      <c r="F13019" s="42"/>
      <c r="G13019" s="42"/>
      <c r="H13019" s="42"/>
      <c r="AG13019" s="19"/>
    </row>
    <row r="13020" spans="1:33" ht="14.5" x14ac:dyDescent="0.35">
      <c r="A13020" s="34"/>
      <c r="B13020" s="35"/>
      <c r="C13020" s="36"/>
      <c r="D13020" s="37"/>
      <c r="E13020" s="36"/>
      <c r="F13020" s="42"/>
      <c r="G13020" s="42"/>
      <c r="H13020" s="42"/>
      <c r="AG13020" s="19"/>
    </row>
    <row r="13021" spans="1:33" ht="14.5" x14ac:dyDescent="0.35">
      <c r="A13021" s="34"/>
      <c r="B13021" s="35"/>
      <c r="C13021" s="36"/>
      <c r="D13021" s="37"/>
      <c r="E13021" s="36"/>
      <c r="F13021" s="42"/>
      <c r="G13021" s="42"/>
      <c r="H13021" s="42"/>
      <c r="AG13021" s="19"/>
    </row>
    <row r="13022" spans="1:33" ht="14.5" x14ac:dyDescent="0.35">
      <c r="A13022" s="34"/>
      <c r="B13022" s="35"/>
      <c r="C13022" s="36"/>
      <c r="D13022" s="37"/>
      <c r="E13022" s="36"/>
      <c r="F13022" s="42"/>
      <c r="G13022" s="42"/>
      <c r="H13022" s="42"/>
      <c r="AG13022" s="19"/>
    </row>
    <row r="13023" spans="1:33" ht="14.5" x14ac:dyDescent="0.35">
      <c r="A13023" s="34"/>
      <c r="B13023" s="35"/>
      <c r="C13023" s="36"/>
      <c r="D13023" s="37"/>
      <c r="E13023" s="36"/>
      <c r="F13023" s="42"/>
      <c r="G13023" s="42"/>
      <c r="H13023" s="42"/>
      <c r="AG13023" s="19"/>
    </row>
    <row r="13024" spans="1:33" ht="14.5" x14ac:dyDescent="0.35">
      <c r="A13024" s="34"/>
      <c r="B13024" s="35"/>
      <c r="C13024" s="36"/>
      <c r="D13024" s="37"/>
      <c r="E13024" s="36"/>
      <c r="F13024" s="42"/>
      <c r="G13024" s="42"/>
      <c r="H13024" s="42"/>
      <c r="AG13024" s="19"/>
    </row>
    <row r="13025" spans="1:33" ht="14.5" x14ac:dyDescent="0.35">
      <c r="A13025" s="34"/>
      <c r="B13025" s="35"/>
      <c r="C13025" s="36"/>
      <c r="D13025" s="37"/>
      <c r="E13025" s="36"/>
      <c r="F13025" s="42"/>
      <c r="G13025" s="42"/>
      <c r="H13025" s="42"/>
      <c r="AG13025" s="19"/>
    </row>
    <row r="13026" spans="1:33" ht="14.5" x14ac:dyDescent="0.35">
      <c r="A13026" s="34"/>
      <c r="B13026" s="35"/>
      <c r="C13026" s="36"/>
      <c r="D13026" s="37"/>
      <c r="E13026" s="36"/>
      <c r="F13026" s="42"/>
      <c r="G13026" s="42"/>
      <c r="H13026" s="42"/>
      <c r="AG13026" s="19"/>
    </row>
    <row r="13027" spans="1:33" ht="14.5" x14ac:dyDescent="0.35">
      <c r="A13027" s="34"/>
      <c r="B13027" s="35"/>
      <c r="C13027" s="36"/>
      <c r="D13027" s="37"/>
      <c r="E13027" s="36"/>
      <c r="F13027" s="42"/>
      <c r="G13027" s="42"/>
      <c r="H13027" s="42"/>
      <c r="AG13027" s="19"/>
    </row>
    <row r="13028" spans="1:33" ht="14.5" x14ac:dyDescent="0.35">
      <c r="A13028" s="34"/>
      <c r="B13028" s="35"/>
      <c r="C13028" s="36"/>
      <c r="D13028" s="37"/>
      <c r="E13028" s="36"/>
      <c r="F13028" s="42"/>
      <c r="G13028" s="42"/>
      <c r="H13028" s="42"/>
      <c r="AG13028" s="19"/>
    </row>
    <row r="13029" spans="1:33" ht="14.5" x14ac:dyDescent="0.35">
      <c r="A13029" s="34"/>
      <c r="B13029" s="35"/>
      <c r="C13029" s="36"/>
      <c r="D13029" s="37"/>
      <c r="E13029" s="36"/>
      <c r="F13029" s="42"/>
      <c r="G13029" s="42"/>
      <c r="H13029" s="42"/>
      <c r="AG13029" s="19"/>
    </row>
    <row r="13030" spans="1:33" ht="14.5" x14ac:dyDescent="0.35">
      <c r="A13030" s="34"/>
      <c r="B13030" s="35"/>
      <c r="C13030" s="36"/>
      <c r="D13030" s="37"/>
      <c r="E13030" s="36"/>
      <c r="F13030" s="42"/>
      <c r="G13030" s="42"/>
      <c r="H13030" s="42"/>
      <c r="AG13030" s="19"/>
    </row>
    <row r="13031" spans="1:33" ht="14.5" x14ac:dyDescent="0.35">
      <c r="A13031" s="34"/>
      <c r="B13031" s="35"/>
      <c r="C13031" s="36"/>
      <c r="D13031" s="37"/>
      <c r="E13031" s="36"/>
      <c r="F13031" s="42"/>
      <c r="G13031" s="42"/>
      <c r="H13031" s="42"/>
      <c r="AG13031" s="19"/>
    </row>
    <row r="13032" spans="1:33" ht="14.5" x14ac:dyDescent="0.35">
      <c r="A13032" s="34"/>
      <c r="B13032" s="35"/>
      <c r="C13032" s="36"/>
      <c r="D13032" s="37"/>
      <c r="E13032" s="36"/>
      <c r="F13032" s="42"/>
      <c r="G13032" s="42"/>
      <c r="H13032" s="42"/>
      <c r="AG13032" s="19"/>
    </row>
    <row r="13033" spans="1:33" ht="14.5" x14ac:dyDescent="0.35">
      <c r="A13033" s="34"/>
      <c r="B13033" s="35"/>
      <c r="C13033" s="36"/>
      <c r="D13033" s="37"/>
      <c r="E13033" s="36"/>
      <c r="F13033" s="42"/>
      <c r="G13033" s="42"/>
      <c r="H13033" s="42"/>
      <c r="AG13033" s="19"/>
    </row>
    <row r="13034" spans="1:33" ht="14.5" x14ac:dyDescent="0.35">
      <c r="A13034" s="34"/>
      <c r="B13034" s="35"/>
      <c r="C13034" s="36"/>
      <c r="D13034" s="37"/>
      <c r="E13034" s="36"/>
      <c r="F13034" s="42"/>
      <c r="G13034" s="42"/>
      <c r="H13034" s="42"/>
      <c r="AG13034" s="19"/>
    </row>
    <row r="13035" spans="1:33" ht="14.5" x14ac:dyDescent="0.35">
      <c r="A13035" s="34"/>
      <c r="B13035" s="35"/>
      <c r="C13035" s="36"/>
      <c r="D13035" s="37"/>
      <c r="E13035" s="36"/>
      <c r="F13035" s="42"/>
      <c r="G13035" s="42"/>
      <c r="H13035" s="42"/>
      <c r="AG13035" s="19"/>
    </row>
    <row r="13036" spans="1:33" ht="14.5" x14ac:dyDescent="0.35">
      <c r="A13036" s="34"/>
      <c r="B13036" s="35"/>
      <c r="C13036" s="36"/>
      <c r="D13036" s="37"/>
      <c r="E13036" s="36"/>
      <c r="F13036" s="42"/>
      <c r="G13036" s="42"/>
      <c r="H13036" s="42"/>
      <c r="AG13036" s="19"/>
    </row>
    <row r="13037" spans="1:33" ht="14.5" x14ac:dyDescent="0.35">
      <c r="A13037" s="34"/>
      <c r="B13037" s="35"/>
      <c r="C13037" s="36"/>
      <c r="D13037" s="37"/>
      <c r="E13037" s="36"/>
      <c r="F13037" s="42"/>
      <c r="G13037" s="42"/>
      <c r="H13037" s="42"/>
      <c r="AG13037" s="19"/>
    </row>
    <row r="13038" spans="1:33" ht="14.5" x14ac:dyDescent="0.35">
      <c r="A13038" s="34"/>
      <c r="B13038" s="35"/>
      <c r="C13038" s="36"/>
      <c r="D13038" s="37"/>
      <c r="E13038" s="36"/>
      <c r="F13038" s="42"/>
      <c r="G13038" s="42"/>
      <c r="H13038" s="42"/>
      <c r="AG13038" s="19"/>
    </row>
    <row r="13039" spans="1:33" ht="14.5" x14ac:dyDescent="0.35">
      <c r="A13039" s="34"/>
      <c r="B13039" s="35"/>
      <c r="C13039" s="36"/>
      <c r="D13039" s="37"/>
      <c r="E13039" s="36"/>
      <c r="F13039" s="42"/>
      <c r="G13039" s="42"/>
      <c r="H13039" s="42"/>
      <c r="AG13039" s="19"/>
    </row>
    <row r="13040" spans="1:33" ht="14.5" x14ac:dyDescent="0.35">
      <c r="A13040" s="34"/>
      <c r="B13040" s="35"/>
      <c r="C13040" s="36"/>
      <c r="D13040" s="37"/>
      <c r="E13040" s="36"/>
      <c r="F13040" s="42"/>
      <c r="G13040" s="42"/>
      <c r="H13040" s="42"/>
      <c r="AG13040" s="19"/>
    </row>
    <row r="13041" spans="1:33" ht="14.5" x14ac:dyDescent="0.35">
      <c r="A13041" s="34"/>
      <c r="B13041" s="35"/>
      <c r="C13041" s="36"/>
      <c r="D13041" s="37"/>
      <c r="E13041" s="36"/>
      <c r="F13041" s="42"/>
      <c r="G13041" s="42"/>
      <c r="H13041" s="42"/>
      <c r="AG13041" s="19"/>
    </row>
    <row r="13042" spans="1:33" ht="14.5" x14ac:dyDescent="0.35">
      <c r="A13042" s="34"/>
      <c r="B13042" s="35"/>
      <c r="C13042" s="36"/>
      <c r="D13042" s="37"/>
      <c r="E13042" s="36"/>
      <c r="F13042" s="42"/>
      <c r="G13042" s="42"/>
      <c r="H13042" s="42"/>
      <c r="AG13042" s="19"/>
    </row>
    <row r="13043" spans="1:33" ht="14.5" x14ac:dyDescent="0.35">
      <c r="A13043" s="34"/>
      <c r="B13043" s="35"/>
      <c r="C13043" s="36"/>
      <c r="D13043" s="37"/>
      <c r="E13043" s="36"/>
      <c r="F13043" s="42"/>
      <c r="G13043" s="42"/>
      <c r="H13043" s="42"/>
      <c r="AG13043" s="19"/>
    </row>
    <row r="13044" spans="1:33" ht="14.5" x14ac:dyDescent="0.35">
      <c r="A13044" s="34"/>
      <c r="B13044" s="35"/>
      <c r="C13044" s="36"/>
      <c r="D13044" s="37"/>
      <c r="E13044" s="36"/>
      <c r="F13044" s="42"/>
      <c r="G13044" s="42"/>
      <c r="H13044" s="42"/>
      <c r="AG13044" s="19"/>
    </row>
    <row r="13045" spans="1:33" ht="14.5" x14ac:dyDescent="0.35">
      <c r="A13045" s="34"/>
      <c r="B13045" s="35"/>
      <c r="C13045" s="36"/>
      <c r="D13045" s="37"/>
      <c r="E13045" s="36"/>
      <c r="F13045" s="42"/>
      <c r="G13045" s="42"/>
      <c r="H13045" s="42"/>
      <c r="AG13045" s="19"/>
    </row>
    <row r="13046" spans="1:33" ht="14.5" x14ac:dyDescent="0.35">
      <c r="A13046" s="34"/>
      <c r="B13046" s="35"/>
      <c r="C13046" s="36"/>
      <c r="D13046" s="37"/>
      <c r="E13046" s="36"/>
      <c r="F13046" s="42"/>
      <c r="G13046" s="42"/>
      <c r="H13046" s="42"/>
      <c r="AG13046" s="19"/>
    </row>
    <row r="13047" spans="1:33" ht="14.5" x14ac:dyDescent="0.35">
      <c r="A13047" s="34"/>
      <c r="B13047" s="35"/>
      <c r="C13047" s="36"/>
      <c r="D13047" s="37"/>
      <c r="E13047" s="36"/>
      <c r="F13047" s="42"/>
      <c r="G13047" s="42"/>
      <c r="H13047" s="42"/>
      <c r="AG13047" s="19"/>
    </row>
    <row r="13048" spans="1:33" ht="14.5" x14ac:dyDescent="0.35">
      <c r="A13048" s="34"/>
      <c r="B13048" s="35"/>
      <c r="C13048" s="36"/>
      <c r="D13048" s="37"/>
      <c r="E13048" s="36"/>
      <c r="F13048" s="42"/>
      <c r="G13048" s="42"/>
      <c r="H13048" s="42"/>
      <c r="AG13048" s="19"/>
    </row>
    <row r="13049" spans="1:33" ht="14.5" x14ac:dyDescent="0.35">
      <c r="A13049" s="34"/>
      <c r="B13049" s="35"/>
      <c r="C13049" s="36"/>
      <c r="D13049" s="37"/>
      <c r="E13049" s="36"/>
      <c r="F13049" s="42"/>
      <c r="G13049" s="42"/>
      <c r="H13049" s="42"/>
      <c r="AG13049" s="19"/>
    </row>
    <row r="13050" spans="1:33" ht="14.5" x14ac:dyDescent="0.35">
      <c r="A13050" s="34"/>
      <c r="B13050" s="35"/>
      <c r="C13050" s="36"/>
      <c r="D13050" s="37"/>
      <c r="E13050" s="36"/>
      <c r="F13050" s="42"/>
      <c r="G13050" s="42"/>
      <c r="H13050" s="42"/>
      <c r="AG13050" s="19"/>
    </row>
    <row r="13051" spans="1:33" ht="14.5" x14ac:dyDescent="0.35">
      <c r="A13051" s="34"/>
      <c r="B13051" s="35"/>
      <c r="C13051" s="36"/>
      <c r="D13051" s="37"/>
      <c r="E13051" s="36"/>
      <c r="F13051" s="42"/>
      <c r="G13051" s="42"/>
      <c r="H13051" s="42"/>
      <c r="AG13051" s="19"/>
    </row>
    <row r="13052" spans="1:33" ht="14.5" x14ac:dyDescent="0.35">
      <c r="A13052" s="34"/>
      <c r="B13052" s="35"/>
      <c r="C13052" s="36"/>
      <c r="D13052" s="37"/>
      <c r="E13052" s="36"/>
      <c r="F13052" s="42"/>
      <c r="G13052" s="42"/>
      <c r="H13052" s="42"/>
      <c r="AG13052" s="19"/>
    </row>
    <row r="13053" spans="1:33" ht="14.5" x14ac:dyDescent="0.35">
      <c r="A13053" s="34"/>
      <c r="B13053" s="35"/>
      <c r="C13053" s="36"/>
      <c r="D13053" s="37"/>
      <c r="E13053" s="36"/>
      <c r="F13053" s="42"/>
      <c r="G13053" s="42"/>
      <c r="H13053" s="42"/>
      <c r="AG13053" s="19"/>
    </row>
    <row r="13054" spans="1:33" ht="14.5" x14ac:dyDescent="0.35">
      <c r="A13054" s="34"/>
      <c r="B13054" s="35"/>
      <c r="C13054" s="36"/>
      <c r="D13054" s="37"/>
      <c r="E13054" s="36"/>
      <c r="F13054" s="42"/>
      <c r="G13054" s="42"/>
      <c r="H13054" s="42"/>
      <c r="AG13054" s="19"/>
    </row>
    <row r="13055" spans="1:33" ht="14.5" x14ac:dyDescent="0.35">
      <c r="A13055" s="34"/>
      <c r="B13055" s="35"/>
      <c r="C13055" s="36"/>
      <c r="D13055" s="37"/>
      <c r="E13055" s="36"/>
      <c r="F13055" s="42"/>
      <c r="G13055" s="42"/>
      <c r="H13055" s="42"/>
      <c r="AG13055" s="19"/>
    </row>
    <row r="13056" spans="1:33" ht="14.5" x14ac:dyDescent="0.35">
      <c r="A13056" s="34"/>
      <c r="B13056" s="35"/>
      <c r="C13056" s="36"/>
      <c r="D13056" s="37"/>
      <c r="E13056" s="36"/>
      <c r="F13056" s="42"/>
      <c r="G13056" s="42"/>
      <c r="H13056" s="42"/>
      <c r="AG13056" s="19"/>
    </row>
    <row r="13057" spans="1:33" ht="14.5" x14ac:dyDescent="0.35">
      <c r="A13057" s="34"/>
      <c r="B13057" s="35"/>
      <c r="C13057" s="36"/>
      <c r="D13057" s="37"/>
      <c r="E13057" s="36"/>
      <c r="F13057" s="42"/>
      <c r="G13057" s="42"/>
      <c r="H13057" s="42"/>
      <c r="AG13057" s="19"/>
    </row>
    <row r="13058" spans="1:33" ht="14.5" x14ac:dyDescent="0.35">
      <c r="A13058" s="34"/>
      <c r="B13058" s="35"/>
      <c r="C13058" s="36"/>
      <c r="D13058" s="37"/>
      <c r="E13058" s="36"/>
      <c r="F13058" s="42"/>
      <c r="G13058" s="42"/>
      <c r="H13058" s="42"/>
      <c r="AG13058" s="19"/>
    </row>
    <row r="13059" spans="1:33" ht="14.5" x14ac:dyDescent="0.35">
      <c r="A13059" s="34"/>
      <c r="B13059" s="35"/>
      <c r="C13059" s="36"/>
      <c r="D13059" s="37"/>
      <c r="E13059" s="36"/>
      <c r="F13059" s="42"/>
      <c r="G13059" s="42"/>
      <c r="H13059" s="42"/>
      <c r="AG13059" s="19"/>
    </row>
    <row r="13060" spans="1:33" ht="14.5" x14ac:dyDescent="0.35">
      <c r="A13060" s="34"/>
      <c r="B13060" s="35"/>
      <c r="C13060" s="36"/>
      <c r="D13060" s="37"/>
      <c r="E13060" s="36"/>
      <c r="F13060" s="42"/>
      <c r="G13060" s="42"/>
      <c r="H13060" s="42"/>
      <c r="AG13060" s="19"/>
    </row>
    <row r="13061" spans="1:33" ht="14.5" x14ac:dyDescent="0.35">
      <c r="A13061" s="34"/>
      <c r="B13061" s="35"/>
      <c r="C13061" s="36"/>
      <c r="D13061" s="37"/>
      <c r="E13061" s="36"/>
      <c r="F13061" s="42"/>
      <c r="G13061" s="42"/>
      <c r="H13061" s="42"/>
      <c r="AG13061" s="19"/>
    </row>
    <row r="13062" spans="1:33" ht="14.5" x14ac:dyDescent="0.35">
      <c r="A13062" s="34"/>
      <c r="B13062" s="35"/>
      <c r="C13062" s="36"/>
      <c r="D13062" s="37"/>
      <c r="E13062" s="36"/>
      <c r="F13062" s="42"/>
      <c r="G13062" s="42"/>
      <c r="H13062" s="42"/>
      <c r="AG13062" s="19"/>
    </row>
    <row r="13063" spans="1:33" ht="14.5" x14ac:dyDescent="0.35">
      <c r="A13063" s="34"/>
      <c r="B13063" s="35"/>
      <c r="C13063" s="36"/>
      <c r="D13063" s="37"/>
      <c r="E13063" s="36"/>
      <c r="F13063" s="42"/>
      <c r="G13063" s="42"/>
      <c r="H13063" s="42"/>
      <c r="AG13063" s="19"/>
    </row>
    <row r="13064" spans="1:33" ht="14.5" x14ac:dyDescent="0.35">
      <c r="A13064" s="34"/>
      <c r="B13064" s="35"/>
      <c r="C13064" s="36"/>
      <c r="D13064" s="37"/>
      <c r="E13064" s="36"/>
      <c r="F13064" s="42"/>
      <c r="G13064" s="42"/>
      <c r="H13064" s="42"/>
      <c r="AG13064" s="19"/>
    </row>
    <row r="13065" spans="1:33" ht="14.5" x14ac:dyDescent="0.35">
      <c r="A13065" s="34"/>
      <c r="B13065" s="35"/>
      <c r="C13065" s="36"/>
      <c r="D13065" s="37"/>
      <c r="E13065" s="36"/>
      <c r="F13065" s="42"/>
      <c r="G13065" s="42"/>
      <c r="H13065" s="42"/>
      <c r="AG13065" s="19"/>
    </row>
    <row r="13066" spans="1:33" ht="14.5" x14ac:dyDescent="0.35">
      <c r="A13066" s="34"/>
      <c r="B13066" s="35"/>
      <c r="C13066" s="36"/>
      <c r="D13066" s="37"/>
      <c r="E13066" s="36"/>
      <c r="F13066" s="42"/>
      <c r="G13066" s="42"/>
      <c r="H13066" s="42"/>
      <c r="AG13066" s="19"/>
    </row>
    <row r="13067" spans="1:33" ht="14.5" x14ac:dyDescent="0.35">
      <c r="A13067" s="34"/>
      <c r="B13067" s="35"/>
      <c r="C13067" s="36"/>
      <c r="D13067" s="37"/>
      <c r="E13067" s="36"/>
      <c r="F13067" s="42"/>
      <c r="G13067" s="42"/>
      <c r="H13067" s="42"/>
      <c r="AG13067" s="19"/>
    </row>
    <row r="13068" spans="1:33" ht="14.5" x14ac:dyDescent="0.35">
      <c r="A13068" s="34"/>
      <c r="B13068" s="35"/>
      <c r="C13068" s="36"/>
      <c r="D13068" s="37"/>
      <c r="E13068" s="36"/>
      <c r="F13068" s="42"/>
      <c r="G13068" s="42"/>
      <c r="H13068" s="42"/>
      <c r="AG13068" s="19"/>
    </row>
    <row r="13069" spans="1:33" ht="14.5" x14ac:dyDescent="0.35">
      <c r="A13069" s="34"/>
      <c r="B13069" s="35"/>
      <c r="C13069" s="36"/>
      <c r="D13069" s="37"/>
      <c r="E13069" s="36"/>
      <c r="F13069" s="42"/>
      <c r="G13069" s="42"/>
      <c r="H13069" s="42"/>
      <c r="AG13069" s="19"/>
    </row>
    <row r="13070" spans="1:33" ht="14.5" x14ac:dyDescent="0.35">
      <c r="A13070" s="34"/>
      <c r="B13070" s="35"/>
      <c r="C13070" s="36"/>
      <c r="D13070" s="37"/>
      <c r="E13070" s="36"/>
      <c r="F13070" s="42"/>
      <c r="G13070" s="42"/>
      <c r="H13070" s="42"/>
      <c r="AG13070" s="19"/>
    </row>
    <row r="13071" spans="1:33" ht="14.5" x14ac:dyDescent="0.35">
      <c r="A13071" s="34"/>
      <c r="B13071" s="35"/>
      <c r="C13071" s="36"/>
      <c r="D13071" s="37"/>
      <c r="E13071" s="36"/>
      <c r="F13071" s="42"/>
      <c r="G13071" s="42"/>
      <c r="H13071" s="42"/>
      <c r="AG13071" s="19"/>
    </row>
    <row r="13072" spans="1:33" ht="14.5" x14ac:dyDescent="0.35">
      <c r="A13072" s="34"/>
      <c r="B13072" s="35"/>
      <c r="C13072" s="36"/>
      <c r="D13072" s="37"/>
      <c r="E13072" s="36"/>
      <c r="F13072" s="42"/>
      <c r="G13072" s="42"/>
      <c r="H13072" s="42"/>
      <c r="AG13072" s="19"/>
    </row>
    <row r="13073" spans="1:33" ht="14.5" x14ac:dyDescent="0.35">
      <c r="A13073" s="34"/>
      <c r="B13073" s="35"/>
      <c r="C13073" s="36"/>
      <c r="D13073" s="37"/>
      <c r="E13073" s="36"/>
      <c r="F13073" s="42"/>
      <c r="G13073" s="42"/>
      <c r="H13073" s="42"/>
      <c r="AG13073" s="19"/>
    </row>
    <row r="13074" spans="1:33" ht="14.5" x14ac:dyDescent="0.35">
      <c r="A13074" s="34"/>
      <c r="B13074" s="35"/>
      <c r="C13074" s="36"/>
      <c r="D13074" s="37"/>
      <c r="E13074" s="36"/>
      <c r="F13074" s="42"/>
      <c r="G13074" s="42"/>
      <c r="H13074" s="42"/>
      <c r="AG13074" s="19"/>
    </row>
    <row r="13075" spans="1:33" ht="14.5" x14ac:dyDescent="0.35">
      <c r="A13075" s="34"/>
      <c r="B13075" s="35"/>
      <c r="C13075" s="36"/>
      <c r="D13075" s="37"/>
      <c r="E13075" s="36"/>
      <c r="F13075" s="42"/>
      <c r="G13075" s="42"/>
      <c r="H13075" s="42"/>
      <c r="AG13075" s="19"/>
    </row>
    <row r="13076" spans="1:33" ht="14.5" x14ac:dyDescent="0.35">
      <c r="A13076" s="34"/>
      <c r="B13076" s="35"/>
      <c r="C13076" s="36"/>
      <c r="D13076" s="37"/>
      <c r="E13076" s="36"/>
      <c r="F13076" s="42"/>
      <c r="G13076" s="42"/>
      <c r="H13076" s="42"/>
      <c r="AG13076" s="19"/>
    </row>
    <row r="13077" spans="1:33" ht="14.5" x14ac:dyDescent="0.35">
      <c r="A13077" s="34"/>
      <c r="B13077" s="35"/>
      <c r="C13077" s="36"/>
      <c r="D13077" s="37"/>
      <c r="E13077" s="36"/>
      <c r="F13077" s="42"/>
      <c r="G13077" s="42"/>
      <c r="H13077" s="42"/>
      <c r="AG13077" s="19"/>
    </row>
    <row r="13078" spans="1:33" ht="14.5" x14ac:dyDescent="0.35">
      <c r="A13078" s="34"/>
      <c r="B13078" s="35"/>
      <c r="C13078" s="36"/>
      <c r="D13078" s="37"/>
      <c r="E13078" s="36"/>
      <c r="F13078" s="42"/>
      <c r="G13078" s="42"/>
      <c r="H13078" s="42"/>
      <c r="AG13078" s="19"/>
    </row>
    <row r="13079" spans="1:33" ht="14.5" x14ac:dyDescent="0.35">
      <c r="A13079" s="34"/>
      <c r="B13079" s="35"/>
      <c r="C13079" s="36"/>
      <c r="D13079" s="37"/>
      <c r="E13079" s="36"/>
      <c r="F13079" s="42"/>
      <c r="G13079" s="42"/>
      <c r="H13079" s="42"/>
      <c r="AG13079" s="19"/>
    </row>
    <row r="13080" spans="1:33" ht="14.5" x14ac:dyDescent="0.35">
      <c r="A13080" s="34"/>
      <c r="B13080" s="35"/>
      <c r="C13080" s="36"/>
      <c r="D13080" s="37"/>
      <c r="E13080" s="36"/>
      <c r="F13080" s="42"/>
      <c r="G13080" s="42"/>
      <c r="H13080" s="42"/>
      <c r="AG13080" s="19"/>
    </row>
    <row r="13081" spans="1:33" ht="14.5" x14ac:dyDescent="0.35">
      <c r="A13081" s="34"/>
      <c r="B13081" s="35"/>
      <c r="C13081" s="36"/>
      <c r="D13081" s="37"/>
      <c r="E13081" s="36"/>
      <c r="F13081" s="42"/>
      <c r="G13081" s="42"/>
      <c r="H13081" s="42"/>
      <c r="AG13081" s="19"/>
    </row>
    <row r="13082" spans="1:33" ht="14.5" x14ac:dyDescent="0.35">
      <c r="A13082" s="34"/>
      <c r="B13082" s="35"/>
      <c r="C13082" s="36"/>
      <c r="D13082" s="37"/>
      <c r="E13082" s="36"/>
      <c r="F13082" s="42"/>
      <c r="G13082" s="42"/>
      <c r="H13082" s="42"/>
      <c r="AG13082" s="19"/>
    </row>
    <row r="13083" spans="1:33" ht="14.5" x14ac:dyDescent="0.35">
      <c r="A13083" s="34"/>
      <c r="B13083" s="35"/>
      <c r="C13083" s="36"/>
      <c r="D13083" s="37"/>
      <c r="E13083" s="36"/>
      <c r="F13083" s="42"/>
      <c r="G13083" s="42"/>
      <c r="H13083" s="42"/>
      <c r="AG13083" s="19"/>
    </row>
    <row r="13084" spans="1:33" ht="14.5" x14ac:dyDescent="0.35">
      <c r="A13084" s="34"/>
      <c r="B13084" s="35"/>
      <c r="C13084" s="36"/>
      <c r="D13084" s="37"/>
      <c r="E13084" s="36"/>
      <c r="F13084" s="42"/>
      <c r="G13084" s="42"/>
      <c r="H13084" s="42"/>
      <c r="AG13084" s="19"/>
    </row>
    <row r="13085" spans="1:33" ht="14.5" x14ac:dyDescent="0.35">
      <c r="A13085" s="34"/>
      <c r="B13085" s="35"/>
      <c r="C13085" s="36"/>
      <c r="D13085" s="37"/>
      <c r="E13085" s="36"/>
      <c r="F13085" s="42"/>
      <c r="G13085" s="42"/>
      <c r="H13085" s="42"/>
      <c r="AG13085" s="19"/>
    </row>
    <row r="13086" spans="1:33" ht="14.5" x14ac:dyDescent="0.35">
      <c r="A13086" s="34"/>
      <c r="B13086" s="35"/>
      <c r="C13086" s="36"/>
      <c r="D13086" s="37"/>
      <c r="E13086" s="36"/>
      <c r="F13086" s="42"/>
      <c r="G13086" s="42"/>
      <c r="H13086" s="42"/>
      <c r="AG13086" s="19"/>
    </row>
    <row r="13087" spans="1:33" ht="14.5" x14ac:dyDescent="0.35">
      <c r="A13087" s="34"/>
      <c r="B13087" s="35"/>
      <c r="C13087" s="36"/>
      <c r="D13087" s="37"/>
      <c r="E13087" s="36"/>
      <c r="F13087" s="42"/>
      <c r="G13087" s="42"/>
      <c r="H13087" s="42"/>
      <c r="AG13087" s="19"/>
    </row>
    <row r="13088" spans="1:33" ht="14.5" x14ac:dyDescent="0.35">
      <c r="A13088" s="34"/>
      <c r="B13088" s="35"/>
      <c r="C13088" s="36"/>
      <c r="D13088" s="37"/>
      <c r="E13088" s="36"/>
      <c r="F13088" s="42"/>
      <c r="G13088" s="42"/>
      <c r="H13088" s="42"/>
      <c r="AG13088" s="19"/>
    </row>
    <row r="13089" spans="1:33" ht="14.5" x14ac:dyDescent="0.35">
      <c r="A13089" s="34"/>
      <c r="B13089" s="35"/>
      <c r="C13089" s="36"/>
      <c r="D13089" s="37"/>
      <c r="E13089" s="36"/>
      <c r="F13089" s="42"/>
      <c r="G13089" s="42"/>
      <c r="H13089" s="42"/>
      <c r="AG13089" s="19"/>
    </row>
    <row r="13090" spans="1:33" ht="14.5" x14ac:dyDescent="0.35">
      <c r="A13090" s="34"/>
      <c r="B13090" s="35"/>
      <c r="C13090" s="36"/>
      <c r="D13090" s="37"/>
      <c r="E13090" s="36"/>
      <c r="F13090" s="42"/>
      <c r="G13090" s="42"/>
      <c r="H13090" s="42"/>
      <c r="AG13090" s="19"/>
    </row>
    <row r="13091" spans="1:33" ht="14.5" x14ac:dyDescent="0.35">
      <c r="A13091" s="34"/>
      <c r="B13091" s="35"/>
      <c r="C13091" s="36"/>
      <c r="D13091" s="37"/>
      <c r="E13091" s="36"/>
      <c r="F13091" s="42"/>
      <c r="G13091" s="42"/>
      <c r="H13091" s="42"/>
      <c r="AG13091" s="19"/>
    </row>
    <row r="13092" spans="1:33" ht="14.5" x14ac:dyDescent="0.35">
      <c r="A13092" s="34"/>
      <c r="B13092" s="35"/>
      <c r="C13092" s="36"/>
      <c r="D13092" s="37"/>
      <c r="E13092" s="36"/>
      <c r="F13092" s="42"/>
      <c r="G13092" s="42"/>
      <c r="H13092" s="42"/>
      <c r="AG13092" s="19"/>
    </row>
    <row r="13093" spans="1:33" ht="14.5" x14ac:dyDescent="0.35">
      <c r="A13093" s="34"/>
      <c r="B13093" s="35"/>
      <c r="C13093" s="36"/>
      <c r="D13093" s="37"/>
      <c r="E13093" s="36"/>
      <c r="F13093" s="42"/>
      <c r="G13093" s="42"/>
      <c r="H13093" s="42"/>
      <c r="AG13093" s="19"/>
    </row>
    <row r="13094" spans="1:33" ht="14.5" x14ac:dyDescent="0.35">
      <c r="A13094" s="34"/>
      <c r="B13094" s="35"/>
      <c r="C13094" s="36"/>
      <c r="D13094" s="37"/>
      <c r="E13094" s="36"/>
      <c r="F13094" s="42"/>
      <c r="G13094" s="42"/>
      <c r="H13094" s="42"/>
      <c r="AG13094" s="19"/>
    </row>
    <row r="13095" spans="1:33" ht="14.5" x14ac:dyDescent="0.35">
      <c r="A13095" s="34"/>
      <c r="B13095" s="35"/>
      <c r="C13095" s="36"/>
      <c r="D13095" s="37"/>
      <c r="E13095" s="36"/>
      <c r="F13095" s="42"/>
      <c r="G13095" s="42"/>
      <c r="H13095" s="42"/>
      <c r="AG13095" s="19"/>
    </row>
    <row r="13096" spans="1:33" ht="14.5" x14ac:dyDescent="0.35">
      <c r="A13096" s="34"/>
      <c r="B13096" s="35"/>
      <c r="C13096" s="36"/>
      <c r="D13096" s="37"/>
      <c r="E13096" s="36"/>
      <c r="F13096" s="42"/>
      <c r="G13096" s="42"/>
      <c r="H13096" s="42"/>
      <c r="AG13096" s="19"/>
    </row>
    <row r="13097" spans="1:33" ht="14.5" x14ac:dyDescent="0.35">
      <c r="A13097" s="34"/>
      <c r="B13097" s="35"/>
      <c r="C13097" s="36"/>
      <c r="D13097" s="37"/>
      <c r="E13097" s="36"/>
      <c r="F13097" s="42"/>
      <c r="G13097" s="42"/>
      <c r="H13097" s="42"/>
      <c r="AG13097" s="19"/>
    </row>
    <row r="13098" spans="1:33" ht="14.5" x14ac:dyDescent="0.35">
      <c r="A13098" s="34"/>
      <c r="B13098" s="35"/>
      <c r="C13098" s="36"/>
      <c r="D13098" s="37"/>
      <c r="E13098" s="36"/>
      <c r="F13098" s="42"/>
      <c r="G13098" s="42"/>
      <c r="H13098" s="42"/>
      <c r="AG13098" s="19"/>
    </row>
    <row r="13099" spans="1:33" ht="14.5" x14ac:dyDescent="0.35">
      <c r="A13099" s="34"/>
      <c r="B13099" s="35"/>
      <c r="C13099" s="36"/>
      <c r="D13099" s="37"/>
      <c r="E13099" s="36"/>
      <c r="F13099" s="42"/>
      <c r="G13099" s="42"/>
      <c r="H13099" s="42"/>
      <c r="AG13099" s="19"/>
    </row>
    <row r="13100" spans="1:33" ht="14.5" x14ac:dyDescent="0.35">
      <c r="A13100" s="34"/>
      <c r="B13100" s="35"/>
      <c r="C13100" s="36"/>
      <c r="D13100" s="37"/>
      <c r="E13100" s="36"/>
      <c r="F13100" s="42"/>
      <c r="G13100" s="42"/>
      <c r="H13100" s="42"/>
      <c r="AG13100" s="19"/>
    </row>
    <row r="13101" spans="1:33" ht="14.5" x14ac:dyDescent="0.35">
      <c r="A13101" s="34"/>
      <c r="B13101" s="35"/>
      <c r="C13101" s="36"/>
      <c r="D13101" s="37"/>
      <c r="E13101" s="36"/>
      <c r="F13101" s="42"/>
      <c r="G13101" s="42"/>
      <c r="H13101" s="42"/>
      <c r="AG13101" s="19"/>
    </row>
    <row r="13102" spans="1:33" ht="14.5" x14ac:dyDescent="0.35">
      <c r="A13102" s="34"/>
      <c r="B13102" s="35"/>
      <c r="C13102" s="36"/>
      <c r="D13102" s="37"/>
      <c r="E13102" s="36"/>
      <c r="F13102" s="42"/>
      <c r="G13102" s="42"/>
      <c r="H13102" s="42"/>
      <c r="AG13102" s="19"/>
    </row>
    <row r="13103" spans="1:33" ht="14.5" x14ac:dyDescent="0.35">
      <c r="A13103" s="34"/>
      <c r="B13103" s="35"/>
      <c r="C13103" s="36"/>
      <c r="D13103" s="37"/>
      <c r="E13103" s="36"/>
      <c r="F13103" s="42"/>
      <c r="G13103" s="42"/>
      <c r="H13103" s="42"/>
      <c r="AG13103" s="19"/>
    </row>
    <row r="13104" spans="1:33" ht="14.5" x14ac:dyDescent="0.35">
      <c r="A13104" s="34"/>
      <c r="B13104" s="35"/>
      <c r="C13104" s="36"/>
      <c r="D13104" s="37"/>
      <c r="E13104" s="36"/>
      <c r="F13104" s="42"/>
      <c r="G13104" s="42"/>
      <c r="H13104" s="42"/>
      <c r="AG13104" s="19"/>
    </row>
    <row r="13105" spans="1:33" ht="14.5" x14ac:dyDescent="0.35">
      <c r="A13105" s="34"/>
      <c r="B13105" s="35"/>
      <c r="C13105" s="36"/>
      <c r="D13105" s="37"/>
      <c r="E13105" s="36"/>
      <c r="F13105" s="42"/>
      <c r="G13105" s="42"/>
      <c r="H13105" s="42"/>
      <c r="AG13105" s="19"/>
    </row>
    <row r="13106" spans="1:33" ht="14.5" x14ac:dyDescent="0.35">
      <c r="A13106" s="34"/>
      <c r="B13106" s="35"/>
      <c r="C13106" s="36"/>
      <c r="D13106" s="37"/>
      <c r="E13106" s="36"/>
      <c r="F13106" s="42"/>
      <c r="G13106" s="42"/>
      <c r="H13106" s="42"/>
      <c r="AG13106" s="19"/>
    </row>
    <row r="13107" spans="1:33" ht="14.5" x14ac:dyDescent="0.35">
      <c r="A13107" s="34"/>
      <c r="B13107" s="35"/>
      <c r="C13107" s="36"/>
      <c r="D13107" s="37"/>
      <c r="E13107" s="36"/>
      <c r="F13107" s="42"/>
      <c r="G13107" s="42"/>
      <c r="H13107" s="42"/>
      <c r="AG13107" s="19"/>
    </row>
    <row r="13108" spans="1:33" ht="14.5" x14ac:dyDescent="0.35">
      <c r="A13108" s="34"/>
      <c r="B13108" s="35"/>
      <c r="C13108" s="36"/>
      <c r="D13108" s="37"/>
      <c r="E13108" s="36"/>
      <c r="F13108" s="42"/>
      <c r="G13108" s="42"/>
      <c r="H13108" s="42"/>
      <c r="AG13108" s="19"/>
    </row>
    <row r="13109" spans="1:33" ht="14.5" x14ac:dyDescent="0.35">
      <c r="A13109" s="34"/>
      <c r="B13109" s="35"/>
      <c r="C13109" s="36"/>
      <c r="D13109" s="37"/>
      <c r="E13109" s="36"/>
      <c r="F13109" s="42"/>
      <c r="G13109" s="42"/>
      <c r="H13109" s="42"/>
      <c r="AG13109" s="19"/>
    </row>
    <row r="13110" spans="1:33" ht="14.5" x14ac:dyDescent="0.35">
      <c r="A13110" s="34"/>
      <c r="B13110" s="35"/>
      <c r="C13110" s="36"/>
      <c r="D13110" s="37"/>
      <c r="E13110" s="36"/>
      <c r="F13110" s="42"/>
      <c r="G13110" s="42"/>
      <c r="H13110" s="42"/>
      <c r="AG13110" s="19"/>
    </row>
    <row r="13111" spans="1:33" ht="14.5" x14ac:dyDescent="0.35">
      <c r="A13111" s="34"/>
      <c r="B13111" s="35"/>
      <c r="C13111" s="36"/>
      <c r="D13111" s="37"/>
      <c r="E13111" s="36"/>
      <c r="F13111" s="42"/>
      <c r="G13111" s="42"/>
      <c r="H13111" s="42"/>
      <c r="AG13111" s="19"/>
    </row>
    <row r="13112" spans="1:33" ht="14.5" x14ac:dyDescent="0.35">
      <c r="A13112" s="34"/>
      <c r="B13112" s="35"/>
      <c r="C13112" s="36"/>
      <c r="D13112" s="37"/>
      <c r="E13112" s="36"/>
      <c r="F13112" s="42"/>
      <c r="G13112" s="42"/>
      <c r="H13112" s="42"/>
      <c r="AG13112" s="19"/>
    </row>
    <row r="13113" spans="1:33" ht="14.5" x14ac:dyDescent="0.35">
      <c r="A13113" s="34"/>
      <c r="B13113" s="35"/>
      <c r="C13113" s="36"/>
      <c r="D13113" s="37"/>
      <c r="E13113" s="36"/>
      <c r="F13113" s="42"/>
      <c r="G13113" s="42"/>
      <c r="H13113" s="42"/>
      <c r="AG13113" s="19"/>
    </row>
    <row r="13114" spans="1:33" ht="14.5" x14ac:dyDescent="0.35">
      <c r="A13114" s="34"/>
      <c r="B13114" s="35"/>
      <c r="C13114" s="36"/>
      <c r="D13114" s="37"/>
      <c r="E13114" s="36"/>
      <c r="F13114" s="42"/>
      <c r="G13114" s="42"/>
      <c r="H13114" s="42"/>
      <c r="AG13114" s="19"/>
    </row>
    <row r="13115" spans="1:33" ht="14.5" x14ac:dyDescent="0.35">
      <c r="A13115" s="34"/>
      <c r="B13115" s="35"/>
      <c r="C13115" s="36"/>
      <c r="D13115" s="37"/>
      <c r="E13115" s="36"/>
      <c r="F13115" s="42"/>
      <c r="G13115" s="42"/>
      <c r="H13115" s="42"/>
      <c r="AG13115" s="19"/>
    </row>
    <row r="13116" spans="1:33" ht="14.5" x14ac:dyDescent="0.35">
      <c r="A13116" s="34"/>
      <c r="B13116" s="35"/>
      <c r="C13116" s="36"/>
      <c r="D13116" s="37"/>
      <c r="E13116" s="36"/>
      <c r="F13116" s="42"/>
      <c r="G13116" s="42"/>
      <c r="H13116" s="42"/>
      <c r="AG13116" s="19"/>
    </row>
    <row r="13117" spans="1:33" ht="14.5" x14ac:dyDescent="0.35">
      <c r="A13117" s="34"/>
      <c r="B13117" s="35"/>
      <c r="C13117" s="36"/>
      <c r="D13117" s="37"/>
      <c r="E13117" s="36"/>
      <c r="F13117" s="42"/>
      <c r="G13117" s="42"/>
      <c r="H13117" s="42"/>
      <c r="AG13117" s="19"/>
    </row>
    <row r="13118" spans="1:33" ht="14.5" x14ac:dyDescent="0.35">
      <c r="A13118" s="34"/>
      <c r="B13118" s="35"/>
      <c r="C13118" s="36"/>
      <c r="D13118" s="37"/>
      <c r="E13118" s="36"/>
      <c r="F13118" s="42"/>
      <c r="G13118" s="42"/>
      <c r="H13118" s="42"/>
      <c r="AG13118" s="19"/>
    </row>
    <row r="13119" spans="1:33" ht="14.5" x14ac:dyDescent="0.35">
      <c r="A13119" s="34"/>
      <c r="B13119" s="35"/>
      <c r="C13119" s="36"/>
      <c r="D13119" s="37"/>
      <c r="E13119" s="36"/>
      <c r="F13119" s="42"/>
      <c r="G13119" s="42"/>
      <c r="H13119" s="42"/>
      <c r="AG13119" s="19"/>
    </row>
    <row r="13120" spans="1:33" ht="14.5" x14ac:dyDescent="0.35">
      <c r="A13120" s="34"/>
      <c r="B13120" s="35"/>
      <c r="C13120" s="36"/>
      <c r="D13120" s="37"/>
      <c r="E13120" s="36"/>
      <c r="F13120" s="42"/>
      <c r="G13120" s="42"/>
      <c r="H13120" s="42"/>
      <c r="AG13120" s="19"/>
    </row>
    <row r="13121" spans="1:33" ht="14.5" x14ac:dyDescent="0.35">
      <c r="A13121" s="34"/>
      <c r="B13121" s="35"/>
      <c r="C13121" s="36"/>
      <c r="D13121" s="37"/>
      <c r="E13121" s="36"/>
      <c r="F13121" s="42"/>
      <c r="G13121" s="42"/>
      <c r="H13121" s="42"/>
      <c r="AG13121" s="19"/>
    </row>
    <row r="13122" spans="1:33" ht="14.5" x14ac:dyDescent="0.35">
      <c r="A13122" s="34"/>
      <c r="B13122" s="35"/>
      <c r="C13122" s="36"/>
      <c r="D13122" s="37"/>
      <c r="E13122" s="36"/>
      <c r="F13122" s="42"/>
      <c r="G13122" s="42"/>
      <c r="H13122" s="42"/>
      <c r="AG13122" s="19"/>
    </row>
    <row r="13123" spans="1:33" ht="14.5" x14ac:dyDescent="0.35">
      <c r="A13123" s="34"/>
      <c r="B13123" s="35"/>
      <c r="C13123" s="36"/>
      <c r="D13123" s="37"/>
      <c r="E13123" s="36"/>
      <c r="F13123" s="42"/>
      <c r="G13123" s="42"/>
      <c r="H13123" s="42"/>
      <c r="AG13123" s="19"/>
    </row>
    <row r="13124" spans="1:33" ht="14.5" x14ac:dyDescent="0.35">
      <c r="A13124" s="34"/>
      <c r="B13124" s="35"/>
      <c r="C13124" s="36"/>
      <c r="D13124" s="37"/>
      <c r="E13124" s="36"/>
      <c r="F13124" s="42"/>
      <c r="G13124" s="42"/>
      <c r="H13124" s="42"/>
      <c r="AG13124" s="19"/>
    </row>
    <row r="13125" spans="1:33" ht="14.5" x14ac:dyDescent="0.35">
      <c r="A13125" s="34"/>
      <c r="B13125" s="35"/>
      <c r="C13125" s="36"/>
      <c r="D13125" s="37"/>
      <c r="E13125" s="36"/>
      <c r="F13125" s="42"/>
      <c r="G13125" s="42"/>
      <c r="H13125" s="42"/>
      <c r="AG13125" s="19"/>
    </row>
    <row r="13126" spans="1:33" ht="14.5" x14ac:dyDescent="0.35">
      <c r="A13126" s="34"/>
      <c r="B13126" s="35"/>
      <c r="C13126" s="36"/>
      <c r="D13126" s="37"/>
      <c r="E13126" s="36"/>
      <c r="F13126" s="42"/>
      <c r="G13126" s="42"/>
      <c r="H13126" s="42"/>
      <c r="AG13126" s="19"/>
    </row>
    <row r="13127" spans="1:33" ht="14.5" x14ac:dyDescent="0.35">
      <c r="A13127" s="34"/>
      <c r="B13127" s="35"/>
      <c r="C13127" s="36"/>
      <c r="D13127" s="37"/>
      <c r="E13127" s="36"/>
      <c r="F13127" s="42"/>
      <c r="G13127" s="42"/>
      <c r="H13127" s="42"/>
      <c r="AG13127" s="19"/>
    </row>
    <row r="13128" spans="1:33" ht="14.5" x14ac:dyDescent="0.35">
      <c r="A13128" s="34"/>
      <c r="B13128" s="35"/>
      <c r="C13128" s="36"/>
      <c r="D13128" s="37"/>
      <c r="E13128" s="36"/>
      <c r="F13128" s="42"/>
      <c r="G13128" s="42"/>
      <c r="H13128" s="42"/>
      <c r="AG13128" s="19"/>
    </row>
    <row r="13129" spans="1:33" ht="14.5" x14ac:dyDescent="0.35">
      <c r="A13129" s="34"/>
      <c r="B13129" s="35"/>
      <c r="C13129" s="36"/>
      <c r="D13129" s="37"/>
      <c r="E13129" s="36"/>
      <c r="F13129" s="42"/>
      <c r="G13129" s="42"/>
      <c r="H13129" s="42"/>
      <c r="AG13129" s="19"/>
    </row>
    <row r="13130" spans="1:33" ht="14.5" x14ac:dyDescent="0.35">
      <c r="A13130" s="34"/>
      <c r="B13130" s="35"/>
      <c r="C13130" s="36"/>
      <c r="D13130" s="37"/>
      <c r="E13130" s="36"/>
      <c r="F13130" s="42"/>
      <c r="G13130" s="42"/>
      <c r="H13130" s="42"/>
      <c r="AG13130" s="19"/>
    </row>
    <row r="13131" spans="1:33" ht="14.5" x14ac:dyDescent="0.35">
      <c r="A13131" s="34"/>
      <c r="B13131" s="35"/>
      <c r="C13131" s="36"/>
      <c r="D13131" s="37"/>
      <c r="E13131" s="36"/>
      <c r="F13131" s="42"/>
      <c r="G13131" s="42"/>
      <c r="H13131" s="42"/>
      <c r="AG13131" s="19"/>
    </row>
    <row r="13132" spans="1:33" ht="14.5" x14ac:dyDescent="0.35">
      <c r="A13132" s="34"/>
      <c r="B13132" s="35"/>
      <c r="C13132" s="36"/>
      <c r="D13132" s="37"/>
      <c r="E13132" s="36"/>
      <c r="F13132" s="42"/>
      <c r="G13132" s="42"/>
      <c r="H13132" s="42"/>
      <c r="AG13132" s="19"/>
    </row>
    <row r="13133" spans="1:33" ht="14.5" x14ac:dyDescent="0.35">
      <c r="A13133" s="34"/>
      <c r="B13133" s="35"/>
      <c r="C13133" s="36"/>
      <c r="D13133" s="37"/>
      <c r="E13133" s="36"/>
      <c r="F13133" s="42"/>
      <c r="G13133" s="42"/>
      <c r="H13133" s="42"/>
      <c r="AG13133" s="19"/>
    </row>
    <row r="13134" spans="1:33" ht="14.5" x14ac:dyDescent="0.35">
      <c r="A13134" s="34"/>
      <c r="B13134" s="35"/>
      <c r="C13134" s="36"/>
      <c r="D13134" s="37"/>
      <c r="E13134" s="36"/>
      <c r="F13134" s="42"/>
      <c r="G13134" s="42"/>
      <c r="H13134" s="42"/>
      <c r="AG13134" s="19"/>
    </row>
    <row r="13135" spans="1:33" ht="14.5" x14ac:dyDescent="0.35">
      <c r="A13135" s="34"/>
      <c r="B13135" s="35"/>
      <c r="C13135" s="36"/>
      <c r="D13135" s="37"/>
      <c r="E13135" s="36"/>
      <c r="F13135" s="42"/>
      <c r="G13135" s="42"/>
      <c r="H13135" s="42"/>
      <c r="AG13135" s="19"/>
    </row>
    <row r="13136" spans="1:33" ht="14.5" x14ac:dyDescent="0.35">
      <c r="A13136" s="34"/>
      <c r="B13136" s="35"/>
      <c r="C13136" s="36"/>
      <c r="D13136" s="37"/>
      <c r="E13136" s="36"/>
      <c r="F13136" s="42"/>
      <c r="G13136" s="42"/>
      <c r="H13136" s="42"/>
      <c r="AG13136" s="19"/>
    </row>
    <row r="13137" spans="1:33" ht="14.5" x14ac:dyDescent="0.35">
      <c r="A13137" s="34"/>
      <c r="B13137" s="35"/>
      <c r="C13137" s="36"/>
      <c r="D13137" s="37"/>
      <c r="E13137" s="36"/>
      <c r="F13137" s="42"/>
      <c r="G13137" s="42"/>
      <c r="H13137" s="42"/>
      <c r="AG13137" s="19"/>
    </row>
    <row r="13138" spans="1:33" ht="14.5" x14ac:dyDescent="0.35">
      <c r="A13138" s="34"/>
      <c r="B13138" s="35"/>
      <c r="C13138" s="36"/>
      <c r="D13138" s="37"/>
      <c r="E13138" s="36"/>
      <c r="F13138" s="42"/>
      <c r="G13138" s="42"/>
      <c r="H13138" s="42"/>
      <c r="AG13138" s="19"/>
    </row>
    <row r="13139" spans="1:33" ht="14.5" x14ac:dyDescent="0.35">
      <c r="A13139" s="34"/>
      <c r="B13139" s="35"/>
      <c r="C13139" s="36"/>
      <c r="D13139" s="37"/>
      <c r="E13139" s="36"/>
      <c r="F13139" s="42"/>
      <c r="G13139" s="42"/>
      <c r="H13139" s="42"/>
      <c r="AG13139" s="19"/>
    </row>
    <row r="13140" spans="1:33" ht="14.5" x14ac:dyDescent="0.35">
      <c r="A13140" s="34"/>
      <c r="B13140" s="35"/>
      <c r="C13140" s="36"/>
      <c r="D13140" s="37"/>
      <c r="E13140" s="36"/>
      <c r="F13140" s="42"/>
      <c r="G13140" s="42"/>
      <c r="H13140" s="42"/>
      <c r="AG13140" s="19"/>
    </row>
    <row r="13141" spans="1:33" ht="14.5" x14ac:dyDescent="0.35">
      <c r="A13141" s="34"/>
      <c r="B13141" s="35"/>
      <c r="C13141" s="36"/>
      <c r="D13141" s="37"/>
      <c r="E13141" s="36"/>
      <c r="F13141" s="42"/>
      <c r="G13141" s="42"/>
      <c r="H13141" s="42"/>
      <c r="AG13141" s="19"/>
    </row>
    <row r="13142" spans="1:33" ht="14.5" x14ac:dyDescent="0.35">
      <c r="A13142" s="34"/>
      <c r="B13142" s="35"/>
      <c r="C13142" s="36"/>
      <c r="D13142" s="37"/>
      <c r="E13142" s="36"/>
      <c r="F13142" s="42"/>
      <c r="G13142" s="42"/>
      <c r="H13142" s="42"/>
      <c r="AG13142" s="19"/>
    </row>
    <row r="13143" spans="1:33" ht="14.5" x14ac:dyDescent="0.35">
      <c r="A13143" s="34"/>
      <c r="B13143" s="35"/>
      <c r="C13143" s="36"/>
      <c r="D13143" s="37"/>
      <c r="E13143" s="36"/>
      <c r="F13143" s="42"/>
      <c r="G13143" s="42"/>
      <c r="H13143" s="42"/>
      <c r="AG13143" s="19"/>
    </row>
    <row r="13144" spans="1:33" ht="14.5" x14ac:dyDescent="0.35">
      <c r="A13144" s="34"/>
      <c r="B13144" s="35"/>
      <c r="C13144" s="36"/>
      <c r="D13144" s="37"/>
      <c r="E13144" s="36"/>
      <c r="F13144" s="42"/>
      <c r="G13144" s="42"/>
      <c r="H13144" s="42"/>
      <c r="AG13144" s="19"/>
    </row>
    <row r="13145" spans="1:33" ht="14.5" x14ac:dyDescent="0.35">
      <c r="A13145" s="34"/>
      <c r="B13145" s="35"/>
      <c r="C13145" s="36"/>
      <c r="D13145" s="37"/>
      <c r="E13145" s="36"/>
      <c r="F13145" s="42"/>
      <c r="G13145" s="42"/>
      <c r="H13145" s="42"/>
      <c r="AG13145" s="19"/>
    </row>
    <row r="13146" spans="1:33" ht="14.5" x14ac:dyDescent="0.35">
      <c r="A13146" s="34"/>
      <c r="B13146" s="35"/>
      <c r="C13146" s="36"/>
      <c r="D13146" s="37"/>
      <c r="E13146" s="36"/>
      <c r="F13146" s="42"/>
      <c r="G13146" s="42"/>
      <c r="H13146" s="42"/>
      <c r="AG13146" s="19"/>
    </row>
    <row r="13147" spans="1:33" ht="14.5" x14ac:dyDescent="0.35">
      <c r="A13147" s="34"/>
      <c r="B13147" s="35"/>
      <c r="C13147" s="36"/>
      <c r="D13147" s="37"/>
      <c r="E13147" s="36"/>
      <c r="F13147" s="42"/>
      <c r="G13147" s="42"/>
      <c r="H13147" s="42"/>
      <c r="AG13147" s="19"/>
    </row>
    <row r="13148" spans="1:33" ht="14.5" x14ac:dyDescent="0.35">
      <c r="A13148" s="34"/>
      <c r="B13148" s="35"/>
      <c r="C13148" s="36"/>
      <c r="D13148" s="37"/>
      <c r="E13148" s="36"/>
      <c r="F13148" s="42"/>
      <c r="G13148" s="42"/>
      <c r="H13148" s="42"/>
      <c r="AG13148" s="19"/>
    </row>
    <row r="13149" spans="1:33" ht="14.5" x14ac:dyDescent="0.35">
      <c r="A13149" s="34"/>
      <c r="B13149" s="35"/>
      <c r="C13149" s="36"/>
      <c r="D13149" s="37"/>
      <c r="E13149" s="36"/>
      <c r="F13149" s="42"/>
      <c r="G13149" s="42"/>
      <c r="H13149" s="42"/>
      <c r="AG13149" s="19"/>
    </row>
    <row r="13150" spans="1:33" ht="14.5" x14ac:dyDescent="0.35">
      <c r="A13150" s="34"/>
      <c r="B13150" s="35"/>
      <c r="C13150" s="36"/>
      <c r="D13150" s="37"/>
      <c r="E13150" s="36"/>
      <c r="F13150" s="42"/>
      <c r="G13150" s="42"/>
      <c r="H13150" s="42"/>
      <c r="AG13150" s="19"/>
    </row>
    <row r="13151" spans="1:33" ht="14.5" x14ac:dyDescent="0.35">
      <c r="A13151" s="34"/>
      <c r="B13151" s="35"/>
      <c r="C13151" s="36"/>
      <c r="D13151" s="37"/>
      <c r="E13151" s="36"/>
      <c r="F13151" s="42"/>
      <c r="G13151" s="42"/>
      <c r="H13151" s="42"/>
      <c r="AG13151" s="19"/>
    </row>
    <row r="13152" spans="1:33" ht="14.5" x14ac:dyDescent="0.35">
      <c r="A13152" s="34"/>
      <c r="B13152" s="35"/>
      <c r="C13152" s="36"/>
      <c r="D13152" s="37"/>
      <c r="E13152" s="36"/>
      <c r="F13152" s="42"/>
      <c r="G13152" s="42"/>
      <c r="H13152" s="42"/>
      <c r="AG13152" s="19"/>
    </row>
    <row r="13153" spans="1:33" ht="14.5" x14ac:dyDescent="0.35">
      <c r="A13153" s="34"/>
      <c r="B13153" s="35"/>
      <c r="C13153" s="36"/>
      <c r="D13153" s="37"/>
      <c r="E13153" s="36"/>
      <c r="F13153" s="42"/>
      <c r="G13153" s="42"/>
      <c r="H13153" s="42"/>
      <c r="AG13153" s="19"/>
    </row>
    <row r="13154" spans="1:33" ht="14.5" x14ac:dyDescent="0.35">
      <c r="A13154" s="34"/>
      <c r="B13154" s="35"/>
      <c r="C13154" s="36"/>
      <c r="D13154" s="37"/>
      <c r="E13154" s="36"/>
      <c r="F13154" s="42"/>
      <c r="G13154" s="42"/>
      <c r="H13154" s="42"/>
      <c r="AG13154" s="19"/>
    </row>
    <row r="13155" spans="1:33" ht="14.5" x14ac:dyDescent="0.35">
      <c r="A13155" s="34"/>
      <c r="B13155" s="35"/>
      <c r="C13155" s="36"/>
      <c r="D13155" s="37"/>
      <c r="E13155" s="36"/>
      <c r="F13155" s="42"/>
      <c r="G13155" s="42"/>
      <c r="H13155" s="42"/>
      <c r="AG13155" s="19"/>
    </row>
    <row r="13156" spans="1:33" ht="14.5" x14ac:dyDescent="0.35">
      <c r="A13156" s="34"/>
      <c r="B13156" s="35"/>
      <c r="C13156" s="36"/>
      <c r="D13156" s="37"/>
      <c r="E13156" s="36"/>
      <c r="F13156" s="42"/>
      <c r="G13156" s="42"/>
      <c r="H13156" s="42"/>
      <c r="AG13156" s="19"/>
    </row>
    <row r="13157" spans="1:33" ht="14.5" x14ac:dyDescent="0.35">
      <c r="A13157" s="34"/>
      <c r="B13157" s="35"/>
      <c r="C13157" s="36"/>
      <c r="D13157" s="37"/>
      <c r="E13157" s="36"/>
      <c r="F13157" s="42"/>
      <c r="G13157" s="42"/>
      <c r="H13157" s="42"/>
      <c r="AG13157" s="19"/>
    </row>
    <row r="13158" spans="1:33" ht="14.5" x14ac:dyDescent="0.35">
      <c r="A13158" s="34"/>
      <c r="B13158" s="35"/>
      <c r="C13158" s="36"/>
      <c r="D13158" s="37"/>
      <c r="E13158" s="36"/>
      <c r="F13158" s="42"/>
      <c r="G13158" s="42"/>
      <c r="H13158" s="42"/>
      <c r="AG13158" s="19"/>
    </row>
    <row r="13159" spans="1:33" ht="14.5" x14ac:dyDescent="0.35">
      <c r="A13159" s="34"/>
      <c r="B13159" s="35"/>
      <c r="C13159" s="36"/>
      <c r="D13159" s="37"/>
      <c r="E13159" s="36"/>
      <c r="F13159" s="42"/>
      <c r="G13159" s="42"/>
      <c r="H13159" s="42"/>
      <c r="AG13159" s="19"/>
    </row>
    <row r="13160" spans="1:33" ht="14.5" x14ac:dyDescent="0.35">
      <c r="A13160" s="34"/>
      <c r="B13160" s="35"/>
      <c r="C13160" s="36"/>
      <c r="D13160" s="37"/>
      <c r="E13160" s="36"/>
      <c r="F13160" s="42"/>
      <c r="G13160" s="42"/>
      <c r="H13160" s="42"/>
      <c r="AG13160" s="19"/>
    </row>
    <row r="13161" spans="1:33" ht="14.5" x14ac:dyDescent="0.35">
      <c r="A13161" s="34"/>
      <c r="B13161" s="35"/>
      <c r="C13161" s="36"/>
      <c r="D13161" s="37"/>
      <c r="E13161" s="36"/>
      <c r="F13161" s="42"/>
      <c r="G13161" s="42"/>
      <c r="H13161" s="42"/>
      <c r="AG13161" s="19"/>
    </row>
    <row r="13162" spans="1:33" ht="14.5" x14ac:dyDescent="0.35">
      <c r="A13162" s="34"/>
      <c r="B13162" s="35"/>
      <c r="C13162" s="36"/>
      <c r="D13162" s="37"/>
      <c r="E13162" s="36"/>
      <c r="F13162" s="42"/>
      <c r="G13162" s="42"/>
      <c r="H13162" s="42"/>
      <c r="AG13162" s="19"/>
    </row>
    <row r="13163" spans="1:33" ht="14.5" x14ac:dyDescent="0.35">
      <c r="A13163" s="34"/>
      <c r="B13163" s="35"/>
      <c r="C13163" s="36"/>
      <c r="D13163" s="37"/>
      <c r="E13163" s="36"/>
      <c r="F13163" s="42"/>
      <c r="G13163" s="42"/>
      <c r="H13163" s="42"/>
      <c r="AG13163" s="19"/>
    </row>
    <row r="13164" spans="1:33" ht="14.5" x14ac:dyDescent="0.35">
      <c r="A13164" s="34"/>
      <c r="B13164" s="35"/>
      <c r="C13164" s="36"/>
      <c r="D13164" s="37"/>
      <c r="E13164" s="36"/>
      <c r="F13164" s="42"/>
      <c r="G13164" s="42"/>
      <c r="H13164" s="42"/>
      <c r="AG13164" s="19"/>
    </row>
    <row r="13165" spans="1:33" ht="14.5" x14ac:dyDescent="0.35">
      <c r="A13165" s="34"/>
      <c r="B13165" s="35"/>
      <c r="C13165" s="36"/>
      <c r="D13165" s="37"/>
      <c r="E13165" s="36"/>
      <c r="F13165" s="42"/>
      <c r="G13165" s="42"/>
      <c r="H13165" s="42"/>
      <c r="AG13165" s="19"/>
    </row>
    <row r="13166" spans="1:33" ht="14.5" x14ac:dyDescent="0.35">
      <c r="A13166" s="34"/>
      <c r="B13166" s="35"/>
      <c r="C13166" s="36"/>
      <c r="D13166" s="37"/>
      <c r="E13166" s="36"/>
      <c r="F13166" s="42"/>
      <c r="G13166" s="42"/>
      <c r="H13166" s="42"/>
      <c r="AG13166" s="19"/>
    </row>
    <row r="13167" spans="1:33" ht="14.5" x14ac:dyDescent="0.35">
      <c r="A13167" s="34"/>
      <c r="B13167" s="35"/>
      <c r="C13167" s="36"/>
      <c r="D13167" s="37"/>
      <c r="E13167" s="36"/>
      <c r="F13167" s="42"/>
      <c r="G13167" s="42"/>
      <c r="H13167" s="42"/>
      <c r="AG13167" s="19"/>
    </row>
    <row r="13168" spans="1:33" ht="14.5" x14ac:dyDescent="0.35">
      <c r="A13168" s="34"/>
      <c r="B13168" s="35"/>
      <c r="C13168" s="36"/>
      <c r="D13168" s="37"/>
      <c r="E13168" s="36"/>
      <c r="F13168" s="42"/>
      <c r="G13168" s="42"/>
      <c r="H13168" s="42"/>
      <c r="AG13168" s="19"/>
    </row>
    <row r="13169" spans="1:33" ht="14.5" x14ac:dyDescent="0.35">
      <c r="A13169" s="34"/>
      <c r="B13169" s="35"/>
      <c r="C13169" s="36"/>
      <c r="D13169" s="37"/>
      <c r="E13169" s="36"/>
      <c r="F13169" s="42"/>
      <c r="G13169" s="42"/>
      <c r="H13169" s="42"/>
      <c r="AG13169" s="19"/>
    </row>
    <row r="13170" spans="1:33" ht="14.5" x14ac:dyDescent="0.35">
      <c r="A13170" s="34"/>
      <c r="B13170" s="35"/>
      <c r="C13170" s="36"/>
      <c r="D13170" s="37"/>
      <c r="E13170" s="36"/>
      <c r="F13170" s="42"/>
      <c r="G13170" s="42"/>
      <c r="H13170" s="42"/>
      <c r="AG13170" s="19"/>
    </row>
    <row r="13171" spans="1:33" ht="14.5" x14ac:dyDescent="0.35">
      <c r="A13171" s="34"/>
      <c r="B13171" s="35"/>
      <c r="C13171" s="36"/>
      <c r="D13171" s="37"/>
      <c r="E13171" s="36"/>
      <c r="F13171" s="42"/>
      <c r="G13171" s="42"/>
      <c r="H13171" s="42"/>
      <c r="AG13171" s="19"/>
    </row>
    <row r="13172" spans="1:33" ht="14.5" x14ac:dyDescent="0.35">
      <c r="A13172" s="34"/>
      <c r="B13172" s="35"/>
      <c r="C13172" s="36"/>
      <c r="D13172" s="37"/>
      <c r="E13172" s="36"/>
      <c r="F13172" s="42"/>
      <c r="G13172" s="42"/>
      <c r="H13172" s="42"/>
      <c r="AG13172" s="19"/>
    </row>
    <row r="13173" spans="1:33" ht="14.5" x14ac:dyDescent="0.35">
      <c r="A13173" s="34"/>
      <c r="B13173" s="35"/>
      <c r="C13173" s="36"/>
      <c r="D13173" s="37"/>
      <c r="E13173" s="36"/>
      <c r="F13173" s="42"/>
      <c r="G13173" s="42"/>
      <c r="H13173" s="42"/>
      <c r="AG13173" s="19"/>
    </row>
    <row r="13174" spans="1:33" ht="14.5" x14ac:dyDescent="0.35">
      <c r="A13174" s="34"/>
      <c r="B13174" s="35"/>
      <c r="C13174" s="36"/>
      <c r="D13174" s="37"/>
      <c r="E13174" s="36"/>
      <c r="F13174" s="42"/>
      <c r="G13174" s="42"/>
      <c r="H13174" s="42"/>
      <c r="AG13174" s="19"/>
    </row>
    <row r="13175" spans="1:33" ht="14.5" x14ac:dyDescent="0.35">
      <c r="A13175" s="34"/>
      <c r="B13175" s="35"/>
      <c r="C13175" s="36"/>
      <c r="D13175" s="37"/>
      <c r="E13175" s="36"/>
      <c r="F13175" s="42"/>
      <c r="G13175" s="42"/>
      <c r="H13175" s="42"/>
      <c r="AG13175" s="19"/>
    </row>
    <row r="13176" spans="1:33" ht="14.5" x14ac:dyDescent="0.35">
      <c r="A13176" s="34"/>
      <c r="B13176" s="35"/>
      <c r="C13176" s="36"/>
      <c r="D13176" s="37"/>
      <c r="E13176" s="36"/>
      <c r="F13176" s="42"/>
      <c r="G13176" s="42"/>
      <c r="H13176" s="42"/>
      <c r="AG13176" s="19"/>
    </row>
    <row r="13177" spans="1:33" ht="14.5" x14ac:dyDescent="0.35">
      <c r="A13177" s="34"/>
      <c r="B13177" s="35"/>
      <c r="C13177" s="36"/>
      <c r="D13177" s="37"/>
      <c r="E13177" s="36"/>
      <c r="F13177" s="42"/>
      <c r="G13177" s="42"/>
      <c r="H13177" s="42"/>
      <c r="AG13177" s="19"/>
    </row>
    <row r="13178" spans="1:33" ht="14.5" x14ac:dyDescent="0.35">
      <c r="A13178" s="34"/>
      <c r="B13178" s="35"/>
      <c r="C13178" s="36"/>
      <c r="D13178" s="37"/>
      <c r="E13178" s="36"/>
      <c r="F13178" s="42"/>
      <c r="G13178" s="42"/>
      <c r="H13178" s="42"/>
      <c r="AG13178" s="19"/>
    </row>
    <row r="13179" spans="1:33" ht="14.5" x14ac:dyDescent="0.35">
      <c r="A13179" s="34"/>
      <c r="B13179" s="35"/>
      <c r="C13179" s="36"/>
      <c r="D13179" s="37"/>
      <c r="E13179" s="36"/>
      <c r="F13179" s="42"/>
      <c r="G13179" s="42"/>
      <c r="H13179" s="42"/>
      <c r="AG13179" s="19"/>
    </row>
    <row r="13180" spans="1:33" ht="14.5" x14ac:dyDescent="0.35">
      <c r="A13180" s="34"/>
      <c r="B13180" s="35"/>
      <c r="C13180" s="36"/>
      <c r="D13180" s="37"/>
      <c r="E13180" s="36"/>
      <c r="F13180" s="42"/>
      <c r="G13180" s="42"/>
      <c r="H13180" s="42"/>
      <c r="AG13180" s="19"/>
    </row>
    <row r="13181" spans="1:33" ht="14.5" x14ac:dyDescent="0.35">
      <c r="A13181" s="34"/>
      <c r="B13181" s="35"/>
      <c r="C13181" s="36"/>
      <c r="D13181" s="37"/>
      <c r="E13181" s="36"/>
      <c r="F13181" s="42"/>
      <c r="G13181" s="42"/>
      <c r="H13181" s="42"/>
      <c r="AG13181" s="19"/>
    </row>
    <row r="13182" spans="1:33" ht="14.5" x14ac:dyDescent="0.35">
      <c r="A13182" s="34"/>
      <c r="B13182" s="35"/>
      <c r="C13182" s="36"/>
      <c r="D13182" s="37"/>
      <c r="E13182" s="36"/>
      <c r="F13182" s="42"/>
      <c r="G13182" s="42"/>
      <c r="H13182" s="42"/>
      <c r="AG13182" s="19"/>
    </row>
    <row r="13183" spans="1:33" ht="14.5" x14ac:dyDescent="0.35">
      <c r="A13183" s="34"/>
      <c r="B13183" s="35"/>
      <c r="C13183" s="36"/>
      <c r="D13183" s="37"/>
      <c r="E13183" s="36"/>
      <c r="F13183" s="42"/>
      <c r="G13183" s="42"/>
      <c r="H13183" s="42"/>
      <c r="AG13183" s="19"/>
    </row>
    <row r="13184" spans="1:33" ht="14.5" x14ac:dyDescent="0.35">
      <c r="A13184" s="34"/>
      <c r="B13184" s="35"/>
      <c r="C13184" s="36"/>
      <c r="D13184" s="37"/>
      <c r="E13184" s="36"/>
      <c r="F13184" s="42"/>
      <c r="G13184" s="42"/>
      <c r="H13184" s="42"/>
      <c r="AG13184" s="19"/>
    </row>
    <row r="13185" spans="1:33" ht="14.5" x14ac:dyDescent="0.35">
      <c r="A13185" s="34"/>
      <c r="B13185" s="35"/>
      <c r="C13185" s="36"/>
      <c r="D13185" s="37"/>
      <c r="E13185" s="36"/>
      <c r="F13185" s="42"/>
      <c r="G13185" s="42"/>
      <c r="H13185" s="42"/>
      <c r="AG13185" s="19"/>
    </row>
    <row r="13186" spans="1:33" ht="14.5" x14ac:dyDescent="0.35">
      <c r="A13186" s="34"/>
      <c r="B13186" s="35"/>
      <c r="C13186" s="36"/>
      <c r="D13186" s="37"/>
      <c r="E13186" s="36"/>
      <c r="F13186" s="42"/>
      <c r="G13186" s="42"/>
      <c r="H13186" s="42"/>
      <c r="AG13186" s="19"/>
    </row>
    <row r="13187" spans="1:33" ht="14.5" x14ac:dyDescent="0.35">
      <c r="A13187" s="34"/>
      <c r="B13187" s="35"/>
      <c r="C13187" s="36"/>
      <c r="D13187" s="37"/>
      <c r="E13187" s="36"/>
      <c r="F13187" s="42"/>
      <c r="G13187" s="42"/>
      <c r="H13187" s="42"/>
      <c r="AG13187" s="19"/>
    </row>
    <row r="13188" spans="1:33" ht="14.5" x14ac:dyDescent="0.35">
      <c r="A13188" s="34"/>
      <c r="B13188" s="35"/>
      <c r="C13188" s="36"/>
      <c r="D13188" s="37"/>
      <c r="E13188" s="36"/>
      <c r="F13188" s="42"/>
      <c r="G13188" s="42"/>
      <c r="H13188" s="42"/>
      <c r="AG13188" s="19"/>
    </row>
    <row r="13189" spans="1:33" ht="14.5" x14ac:dyDescent="0.35">
      <c r="A13189" s="34"/>
      <c r="B13189" s="35"/>
      <c r="C13189" s="36"/>
      <c r="D13189" s="37"/>
      <c r="E13189" s="36"/>
      <c r="F13189" s="42"/>
      <c r="G13189" s="42"/>
      <c r="H13189" s="42"/>
      <c r="AG13189" s="19"/>
    </row>
    <row r="13190" spans="1:33" ht="14.5" x14ac:dyDescent="0.35">
      <c r="A13190" s="34"/>
      <c r="B13190" s="35"/>
      <c r="C13190" s="36"/>
      <c r="D13190" s="37"/>
      <c r="E13190" s="36"/>
      <c r="F13190" s="42"/>
      <c r="G13190" s="42"/>
      <c r="H13190" s="42"/>
      <c r="AG13190" s="19"/>
    </row>
    <row r="13191" spans="1:33" ht="14.5" x14ac:dyDescent="0.35">
      <c r="A13191" s="34"/>
      <c r="B13191" s="35"/>
      <c r="C13191" s="36"/>
      <c r="D13191" s="37"/>
      <c r="E13191" s="36"/>
      <c r="F13191" s="42"/>
      <c r="G13191" s="42"/>
      <c r="H13191" s="42"/>
      <c r="AG13191" s="19"/>
    </row>
    <row r="13192" spans="1:33" ht="14.5" x14ac:dyDescent="0.35">
      <c r="A13192" s="34"/>
      <c r="B13192" s="35"/>
      <c r="C13192" s="36"/>
      <c r="D13192" s="37"/>
      <c r="E13192" s="36"/>
      <c r="F13192" s="42"/>
      <c r="G13192" s="42"/>
      <c r="H13192" s="42"/>
      <c r="AG13192" s="19"/>
    </row>
    <row r="13193" spans="1:33" ht="14.5" x14ac:dyDescent="0.35">
      <c r="A13193" s="34"/>
      <c r="B13193" s="35"/>
      <c r="C13193" s="36"/>
      <c r="D13193" s="37"/>
      <c r="E13193" s="36"/>
      <c r="F13193" s="42"/>
      <c r="G13193" s="42"/>
      <c r="H13193" s="42"/>
      <c r="AG13193" s="19"/>
    </row>
    <row r="13194" spans="1:33" ht="14.5" x14ac:dyDescent="0.35">
      <c r="A13194" s="34"/>
      <c r="B13194" s="35"/>
      <c r="C13194" s="36"/>
      <c r="D13194" s="37"/>
      <c r="E13194" s="36"/>
      <c r="F13194" s="42"/>
      <c r="G13194" s="42"/>
      <c r="H13194" s="42"/>
      <c r="AG13194" s="19"/>
    </row>
    <row r="13195" spans="1:33" ht="14.5" x14ac:dyDescent="0.35">
      <c r="A13195" s="34"/>
      <c r="B13195" s="35"/>
      <c r="C13195" s="36"/>
      <c r="D13195" s="37"/>
      <c r="E13195" s="36"/>
      <c r="F13195" s="42"/>
      <c r="G13195" s="42"/>
      <c r="H13195" s="42"/>
      <c r="AG13195" s="19"/>
    </row>
    <row r="13196" spans="1:33" ht="14.5" x14ac:dyDescent="0.35">
      <c r="A13196" s="34"/>
      <c r="B13196" s="35"/>
      <c r="C13196" s="36"/>
      <c r="D13196" s="37"/>
      <c r="E13196" s="36"/>
      <c r="F13196" s="42"/>
      <c r="G13196" s="42"/>
      <c r="H13196" s="42"/>
      <c r="AG13196" s="19"/>
    </row>
    <row r="13197" spans="1:33" ht="14.5" x14ac:dyDescent="0.35">
      <c r="A13197" s="34"/>
      <c r="B13197" s="35"/>
      <c r="C13197" s="36"/>
      <c r="D13197" s="37"/>
      <c r="E13197" s="36"/>
      <c r="F13197" s="42"/>
      <c r="G13197" s="42"/>
      <c r="H13197" s="42"/>
      <c r="AG13197" s="19"/>
    </row>
    <row r="13198" spans="1:33" ht="14.5" x14ac:dyDescent="0.35">
      <c r="A13198" s="34"/>
      <c r="B13198" s="35"/>
      <c r="C13198" s="36"/>
      <c r="D13198" s="37"/>
      <c r="E13198" s="36"/>
      <c r="F13198" s="42"/>
      <c r="G13198" s="42"/>
      <c r="H13198" s="42"/>
      <c r="AG13198" s="19"/>
    </row>
    <row r="13199" spans="1:33" ht="14.5" x14ac:dyDescent="0.35">
      <c r="A13199" s="34"/>
      <c r="B13199" s="35"/>
      <c r="C13199" s="36"/>
      <c r="D13199" s="37"/>
      <c r="E13199" s="36"/>
      <c r="F13199" s="42"/>
      <c r="G13199" s="42"/>
      <c r="H13199" s="42"/>
      <c r="AG13199" s="19"/>
    </row>
    <row r="13200" spans="1:33" ht="14.5" x14ac:dyDescent="0.35">
      <c r="A13200" s="34"/>
      <c r="B13200" s="35"/>
      <c r="C13200" s="36"/>
      <c r="D13200" s="37"/>
      <c r="E13200" s="36"/>
      <c r="F13200" s="42"/>
      <c r="G13200" s="42"/>
      <c r="H13200" s="42"/>
      <c r="AG13200" s="19"/>
    </row>
    <row r="13201" spans="1:33" ht="14.5" x14ac:dyDescent="0.35">
      <c r="A13201" s="34"/>
      <c r="B13201" s="35"/>
      <c r="C13201" s="36"/>
      <c r="D13201" s="37"/>
      <c r="E13201" s="36"/>
      <c r="F13201" s="42"/>
      <c r="G13201" s="42"/>
      <c r="H13201" s="42"/>
      <c r="AG13201" s="19"/>
    </row>
    <row r="13202" spans="1:33" ht="14.5" x14ac:dyDescent="0.35">
      <c r="A13202" s="34"/>
      <c r="B13202" s="35"/>
      <c r="C13202" s="36"/>
      <c r="D13202" s="37"/>
      <c r="E13202" s="36"/>
      <c r="F13202" s="42"/>
      <c r="G13202" s="42"/>
      <c r="H13202" s="42"/>
      <c r="AG13202" s="19"/>
    </row>
    <row r="13203" spans="1:33" ht="14.5" x14ac:dyDescent="0.35">
      <c r="A13203" s="34"/>
      <c r="B13203" s="35"/>
      <c r="C13203" s="36"/>
      <c r="D13203" s="37"/>
      <c r="E13203" s="36"/>
      <c r="F13203" s="42"/>
      <c r="G13203" s="42"/>
      <c r="H13203" s="42"/>
      <c r="AG13203" s="19"/>
    </row>
    <row r="13204" spans="1:33" ht="14.5" x14ac:dyDescent="0.35">
      <c r="A13204" s="34"/>
      <c r="B13204" s="35"/>
      <c r="C13204" s="36"/>
      <c r="D13204" s="37"/>
      <c r="E13204" s="36"/>
      <c r="F13204" s="42"/>
      <c r="G13204" s="42"/>
      <c r="H13204" s="42"/>
      <c r="AG13204" s="19"/>
    </row>
    <row r="13205" spans="1:33" ht="14.5" x14ac:dyDescent="0.35">
      <c r="A13205" s="34"/>
      <c r="B13205" s="35"/>
      <c r="C13205" s="36"/>
      <c r="D13205" s="37"/>
      <c r="E13205" s="36"/>
      <c r="F13205" s="42"/>
      <c r="G13205" s="42"/>
      <c r="H13205" s="42"/>
      <c r="AG13205" s="19"/>
    </row>
    <row r="13206" spans="1:33" ht="14.5" x14ac:dyDescent="0.35">
      <c r="A13206" s="34"/>
      <c r="B13206" s="35"/>
      <c r="C13206" s="36"/>
      <c r="D13206" s="37"/>
      <c r="E13206" s="36"/>
      <c r="F13206" s="42"/>
      <c r="G13206" s="42"/>
      <c r="H13206" s="42"/>
      <c r="AG13206" s="19"/>
    </row>
    <row r="13207" spans="1:33" ht="14.5" x14ac:dyDescent="0.35">
      <c r="A13207" s="34"/>
      <c r="B13207" s="35"/>
      <c r="C13207" s="36"/>
      <c r="D13207" s="37"/>
      <c r="E13207" s="36"/>
      <c r="F13207" s="42"/>
      <c r="G13207" s="42"/>
      <c r="H13207" s="42"/>
      <c r="AG13207" s="19"/>
    </row>
    <row r="13208" spans="1:33" ht="14.5" x14ac:dyDescent="0.35">
      <c r="A13208" s="34"/>
      <c r="B13208" s="35"/>
      <c r="C13208" s="36"/>
      <c r="D13208" s="37"/>
      <c r="E13208" s="36"/>
      <c r="F13208" s="42"/>
      <c r="G13208" s="42"/>
      <c r="H13208" s="42"/>
      <c r="AG13208" s="19"/>
    </row>
    <row r="13209" spans="1:33" ht="14.5" x14ac:dyDescent="0.35">
      <c r="A13209" s="34"/>
      <c r="B13209" s="35"/>
      <c r="C13209" s="36"/>
      <c r="D13209" s="37"/>
      <c r="E13209" s="36"/>
      <c r="F13209" s="42"/>
      <c r="G13209" s="42"/>
      <c r="H13209" s="42"/>
      <c r="AG13209" s="19"/>
    </row>
    <row r="13210" spans="1:33" ht="14.5" x14ac:dyDescent="0.35">
      <c r="A13210" s="34"/>
      <c r="B13210" s="35"/>
      <c r="C13210" s="36"/>
      <c r="D13210" s="37"/>
      <c r="E13210" s="36"/>
      <c r="F13210" s="42"/>
      <c r="G13210" s="42"/>
      <c r="H13210" s="42"/>
      <c r="AG13210" s="19"/>
    </row>
    <row r="13211" spans="1:33" ht="14.5" x14ac:dyDescent="0.35">
      <c r="A13211" s="34"/>
      <c r="B13211" s="35"/>
      <c r="C13211" s="36"/>
      <c r="D13211" s="37"/>
      <c r="E13211" s="36"/>
      <c r="F13211" s="42"/>
      <c r="G13211" s="42"/>
      <c r="H13211" s="42"/>
      <c r="AG13211" s="19"/>
    </row>
    <row r="13212" spans="1:33" ht="14.5" x14ac:dyDescent="0.35">
      <c r="A13212" s="34"/>
      <c r="B13212" s="35"/>
      <c r="C13212" s="36"/>
      <c r="D13212" s="37"/>
      <c r="E13212" s="36"/>
      <c r="F13212" s="42"/>
      <c r="G13212" s="42"/>
      <c r="H13212" s="42"/>
      <c r="AG13212" s="19"/>
    </row>
    <row r="13213" spans="1:33" ht="14.5" x14ac:dyDescent="0.35">
      <c r="A13213" s="34"/>
      <c r="B13213" s="35"/>
      <c r="C13213" s="36"/>
      <c r="D13213" s="37"/>
      <c r="E13213" s="36"/>
      <c r="F13213" s="42"/>
      <c r="G13213" s="42"/>
      <c r="H13213" s="42"/>
      <c r="AG13213" s="19"/>
    </row>
    <row r="13214" spans="1:33" ht="14.5" x14ac:dyDescent="0.35">
      <c r="A13214" s="34"/>
      <c r="B13214" s="35"/>
      <c r="C13214" s="36"/>
      <c r="D13214" s="37"/>
      <c r="E13214" s="36"/>
      <c r="F13214" s="42"/>
      <c r="G13214" s="42"/>
      <c r="H13214" s="42"/>
      <c r="AG13214" s="19"/>
    </row>
    <row r="13215" spans="1:33" ht="14.5" x14ac:dyDescent="0.35">
      <c r="A13215" s="34"/>
      <c r="B13215" s="35"/>
      <c r="C13215" s="36"/>
      <c r="D13215" s="37"/>
      <c r="E13215" s="36"/>
      <c r="F13215" s="42"/>
      <c r="G13215" s="42"/>
      <c r="H13215" s="42"/>
      <c r="AG13215" s="19"/>
    </row>
    <row r="13216" spans="1:33" ht="14.5" x14ac:dyDescent="0.35">
      <c r="A13216" s="34"/>
      <c r="B13216" s="35"/>
      <c r="C13216" s="36"/>
      <c r="D13216" s="37"/>
      <c r="E13216" s="36"/>
      <c r="F13216" s="42"/>
      <c r="G13216" s="42"/>
      <c r="H13216" s="42"/>
      <c r="AG13216" s="19"/>
    </row>
    <row r="13217" spans="1:33" ht="14.5" x14ac:dyDescent="0.35">
      <c r="A13217" s="34"/>
      <c r="B13217" s="35"/>
      <c r="C13217" s="36"/>
      <c r="D13217" s="37"/>
      <c r="E13217" s="36"/>
      <c r="F13217" s="42"/>
      <c r="G13217" s="42"/>
      <c r="H13217" s="42"/>
      <c r="AG13217" s="19"/>
    </row>
    <row r="13218" spans="1:33" ht="14.5" x14ac:dyDescent="0.35">
      <c r="A13218" s="34"/>
      <c r="B13218" s="35"/>
      <c r="C13218" s="36"/>
      <c r="D13218" s="37"/>
      <c r="E13218" s="36"/>
      <c r="F13218" s="42"/>
      <c r="G13218" s="42"/>
      <c r="H13218" s="42"/>
      <c r="AG13218" s="19"/>
    </row>
    <row r="13219" spans="1:33" ht="14.5" x14ac:dyDescent="0.35">
      <c r="A13219" s="34"/>
      <c r="B13219" s="35"/>
      <c r="C13219" s="36"/>
      <c r="D13219" s="37"/>
      <c r="E13219" s="36"/>
      <c r="F13219" s="42"/>
      <c r="G13219" s="42"/>
      <c r="H13219" s="42"/>
      <c r="AG13219" s="19"/>
    </row>
    <row r="13220" spans="1:33" ht="14.5" x14ac:dyDescent="0.35">
      <c r="A13220" s="34"/>
      <c r="B13220" s="35"/>
      <c r="C13220" s="36"/>
      <c r="D13220" s="37"/>
      <c r="E13220" s="36"/>
      <c r="F13220" s="42"/>
      <c r="G13220" s="42"/>
      <c r="H13220" s="42"/>
      <c r="AG13220" s="19"/>
    </row>
    <row r="13221" spans="1:33" ht="14.5" x14ac:dyDescent="0.35">
      <c r="A13221" s="34"/>
      <c r="B13221" s="35"/>
      <c r="C13221" s="36"/>
      <c r="D13221" s="37"/>
      <c r="E13221" s="36"/>
      <c r="F13221" s="42"/>
      <c r="G13221" s="42"/>
      <c r="H13221" s="42"/>
      <c r="AG13221" s="19"/>
    </row>
    <row r="13222" spans="1:33" ht="14.5" x14ac:dyDescent="0.35">
      <c r="A13222" s="34"/>
      <c r="B13222" s="35"/>
      <c r="C13222" s="36"/>
      <c r="D13222" s="37"/>
      <c r="E13222" s="36"/>
      <c r="F13222" s="42"/>
      <c r="G13222" s="42"/>
      <c r="H13222" s="42"/>
      <c r="AG13222" s="19"/>
    </row>
    <row r="13223" spans="1:33" ht="14.5" x14ac:dyDescent="0.35">
      <c r="A13223" s="34"/>
      <c r="B13223" s="35"/>
      <c r="C13223" s="36"/>
      <c r="D13223" s="37"/>
      <c r="E13223" s="36"/>
      <c r="F13223" s="42"/>
      <c r="G13223" s="42"/>
      <c r="H13223" s="42"/>
      <c r="AG13223" s="19"/>
    </row>
    <row r="13224" spans="1:33" ht="14.5" x14ac:dyDescent="0.35">
      <c r="A13224" s="34"/>
      <c r="B13224" s="35"/>
      <c r="C13224" s="36"/>
      <c r="D13224" s="37"/>
      <c r="E13224" s="36"/>
      <c r="F13224" s="42"/>
      <c r="G13224" s="42"/>
      <c r="H13224" s="42"/>
      <c r="AG13224" s="19"/>
    </row>
    <row r="13225" spans="1:33" ht="14.5" x14ac:dyDescent="0.35">
      <c r="A13225" s="34"/>
      <c r="B13225" s="35"/>
      <c r="C13225" s="36"/>
      <c r="D13225" s="37"/>
      <c r="E13225" s="36"/>
      <c r="F13225" s="42"/>
      <c r="G13225" s="42"/>
      <c r="H13225" s="42"/>
      <c r="AG13225" s="19"/>
    </row>
    <row r="13226" spans="1:33" ht="14.5" x14ac:dyDescent="0.35">
      <c r="A13226" s="34"/>
      <c r="B13226" s="35"/>
      <c r="C13226" s="36"/>
      <c r="D13226" s="37"/>
      <c r="E13226" s="36"/>
      <c r="F13226" s="42"/>
      <c r="G13226" s="42"/>
      <c r="H13226" s="42"/>
      <c r="AG13226" s="19"/>
    </row>
    <row r="13227" spans="1:33" ht="14.5" x14ac:dyDescent="0.35">
      <c r="A13227" s="34"/>
      <c r="B13227" s="35"/>
      <c r="C13227" s="36"/>
      <c r="D13227" s="37"/>
      <c r="E13227" s="36"/>
      <c r="F13227" s="42"/>
      <c r="G13227" s="42"/>
      <c r="H13227" s="42"/>
      <c r="AG13227" s="19"/>
    </row>
    <row r="13228" spans="1:33" ht="14.5" x14ac:dyDescent="0.35">
      <c r="A13228" s="34"/>
      <c r="B13228" s="35"/>
      <c r="C13228" s="36"/>
      <c r="D13228" s="37"/>
      <c r="E13228" s="36"/>
      <c r="F13228" s="42"/>
      <c r="G13228" s="42"/>
      <c r="H13228" s="42"/>
      <c r="AG13228" s="19"/>
    </row>
    <row r="13229" spans="1:33" ht="14.5" x14ac:dyDescent="0.35">
      <c r="A13229" s="34"/>
      <c r="B13229" s="35"/>
      <c r="C13229" s="36"/>
      <c r="D13229" s="37"/>
      <c r="E13229" s="36"/>
      <c r="F13229" s="42"/>
      <c r="G13229" s="42"/>
      <c r="H13229" s="42"/>
      <c r="AG13229" s="19"/>
    </row>
    <row r="13230" spans="1:33" ht="14.5" x14ac:dyDescent="0.35">
      <c r="A13230" s="34"/>
      <c r="B13230" s="35"/>
      <c r="C13230" s="36"/>
      <c r="D13230" s="37"/>
      <c r="E13230" s="36"/>
      <c r="F13230" s="42"/>
      <c r="G13230" s="42"/>
      <c r="H13230" s="42"/>
      <c r="AG13230" s="19"/>
    </row>
    <row r="13231" spans="1:33" ht="14.5" x14ac:dyDescent="0.35">
      <c r="A13231" s="34"/>
      <c r="B13231" s="35"/>
      <c r="C13231" s="36"/>
      <c r="D13231" s="37"/>
      <c r="E13231" s="36"/>
      <c r="F13231" s="42"/>
      <c r="G13231" s="42"/>
      <c r="H13231" s="42"/>
      <c r="AG13231" s="19"/>
    </row>
    <row r="13232" spans="1:33" ht="14.5" x14ac:dyDescent="0.35">
      <c r="A13232" s="34"/>
      <c r="B13232" s="35"/>
      <c r="C13232" s="36"/>
      <c r="D13232" s="37"/>
      <c r="E13232" s="36"/>
      <c r="F13232" s="42"/>
      <c r="G13232" s="42"/>
      <c r="H13232" s="42"/>
      <c r="AG13232" s="19"/>
    </row>
    <row r="13233" spans="1:33" ht="14.5" x14ac:dyDescent="0.35">
      <c r="A13233" s="34"/>
      <c r="B13233" s="35"/>
      <c r="C13233" s="36"/>
      <c r="D13233" s="37"/>
      <c r="E13233" s="36"/>
      <c r="F13233" s="42"/>
      <c r="G13233" s="42"/>
      <c r="H13233" s="42"/>
      <c r="AG13233" s="19"/>
    </row>
    <row r="13234" spans="1:33" ht="14.5" x14ac:dyDescent="0.35">
      <c r="A13234" s="34"/>
      <c r="B13234" s="35"/>
      <c r="C13234" s="36"/>
      <c r="D13234" s="37"/>
      <c r="E13234" s="36"/>
      <c r="F13234" s="42"/>
      <c r="G13234" s="42"/>
      <c r="H13234" s="42"/>
      <c r="AG13234" s="19"/>
    </row>
    <row r="13235" spans="1:33" ht="14.5" x14ac:dyDescent="0.35">
      <c r="A13235" s="34"/>
      <c r="B13235" s="35"/>
      <c r="C13235" s="36"/>
      <c r="D13235" s="37"/>
      <c r="E13235" s="36"/>
      <c r="F13235" s="42"/>
      <c r="G13235" s="42"/>
      <c r="H13235" s="42"/>
      <c r="AG13235" s="19"/>
    </row>
    <row r="13236" spans="1:33" ht="14.5" x14ac:dyDescent="0.35">
      <c r="A13236" s="34"/>
      <c r="B13236" s="35"/>
      <c r="C13236" s="36"/>
      <c r="D13236" s="37"/>
      <c r="E13236" s="36"/>
      <c r="F13236" s="42"/>
      <c r="G13236" s="42"/>
      <c r="H13236" s="42"/>
      <c r="AG13236" s="19"/>
    </row>
    <row r="13237" spans="1:33" ht="14.5" x14ac:dyDescent="0.35">
      <c r="A13237" s="34"/>
      <c r="B13237" s="35"/>
      <c r="C13237" s="36"/>
      <c r="D13237" s="37"/>
      <c r="E13237" s="36"/>
      <c r="F13237" s="42"/>
      <c r="G13237" s="42"/>
      <c r="H13237" s="42"/>
      <c r="AG13237" s="19"/>
    </row>
    <row r="13238" spans="1:33" ht="14.5" x14ac:dyDescent="0.35">
      <c r="A13238" s="34"/>
      <c r="B13238" s="35"/>
      <c r="C13238" s="36"/>
      <c r="D13238" s="37"/>
      <c r="E13238" s="36"/>
      <c r="F13238" s="42"/>
      <c r="G13238" s="42"/>
      <c r="H13238" s="42"/>
      <c r="AG13238" s="19"/>
    </row>
    <row r="13239" spans="1:33" ht="14.5" x14ac:dyDescent="0.35">
      <c r="A13239" s="34"/>
      <c r="B13239" s="35"/>
      <c r="C13239" s="36"/>
      <c r="D13239" s="37"/>
      <c r="E13239" s="36"/>
      <c r="F13239" s="42"/>
      <c r="G13239" s="42"/>
      <c r="H13239" s="42"/>
      <c r="AG13239" s="19"/>
    </row>
    <row r="13240" spans="1:33" ht="14.5" x14ac:dyDescent="0.35">
      <c r="A13240" s="34"/>
      <c r="B13240" s="35"/>
      <c r="C13240" s="36"/>
      <c r="D13240" s="37"/>
      <c r="E13240" s="36"/>
      <c r="F13240" s="42"/>
      <c r="G13240" s="42"/>
      <c r="H13240" s="42"/>
      <c r="AG13240" s="19"/>
    </row>
    <row r="13241" spans="1:33" ht="14.5" x14ac:dyDescent="0.35">
      <c r="A13241" s="34"/>
      <c r="B13241" s="35"/>
      <c r="C13241" s="36"/>
      <c r="D13241" s="37"/>
      <c r="E13241" s="36"/>
      <c r="F13241" s="42"/>
      <c r="G13241" s="42"/>
      <c r="H13241" s="42"/>
      <c r="AG13241" s="19"/>
    </row>
    <row r="13242" spans="1:33" ht="14.5" x14ac:dyDescent="0.35">
      <c r="A13242" s="34"/>
      <c r="B13242" s="35"/>
      <c r="C13242" s="36"/>
      <c r="D13242" s="37"/>
      <c r="E13242" s="36"/>
      <c r="F13242" s="42"/>
      <c r="G13242" s="42"/>
      <c r="H13242" s="42"/>
      <c r="AG13242" s="19"/>
    </row>
    <row r="13243" spans="1:33" ht="14.5" x14ac:dyDescent="0.35">
      <c r="A13243" s="34"/>
      <c r="B13243" s="35"/>
      <c r="C13243" s="36"/>
      <c r="D13243" s="37"/>
      <c r="E13243" s="36"/>
      <c r="F13243" s="42"/>
      <c r="G13243" s="42"/>
      <c r="H13243" s="42"/>
      <c r="AG13243" s="19"/>
    </row>
    <row r="13244" spans="1:33" ht="14.5" x14ac:dyDescent="0.35">
      <c r="A13244" s="34"/>
      <c r="B13244" s="35"/>
      <c r="C13244" s="36"/>
      <c r="D13244" s="37"/>
      <c r="E13244" s="36"/>
      <c r="F13244" s="42"/>
      <c r="G13244" s="42"/>
      <c r="H13244" s="42"/>
      <c r="AG13244" s="19"/>
    </row>
    <row r="13245" spans="1:33" ht="14.5" x14ac:dyDescent="0.35">
      <c r="A13245" s="34"/>
      <c r="B13245" s="35"/>
      <c r="C13245" s="36"/>
      <c r="D13245" s="37"/>
      <c r="E13245" s="36"/>
      <c r="F13245" s="42"/>
      <c r="G13245" s="42"/>
      <c r="H13245" s="42"/>
      <c r="AG13245" s="19"/>
    </row>
    <row r="13246" spans="1:33" ht="14.5" x14ac:dyDescent="0.35">
      <c r="A13246" s="34"/>
      <c r="B13246" s="35"/>
      <c r="C13246" s="36"/>
      <c r="D13246" s="37"/>
      <c r="E13246" s="36"/>
      <c r="F13246" s="42"/>
      <c r="G13246" s="42"/>
      <c r="H13246" s="42"/>
      <c r="AG13246" s="19"/>
    </row>
    <row r="13247" spans="1:33" ht="14.5" x14ac:dyDescent="0.35">
      <c r="A13247" s="34"/>
      <c r="B13247" s="35"/>
      <c r="C13247" s="36"/>
      <c r="D13247" s="37"/>
      <c r="E13247" s="36"/>
      <c r="F13247" s="42"/>
      <c r="G13247" s="42"/>
      <c r="H13247" s="42"/>
      <c r="AG13247" s="19"/>
    </row>
    <row r="13248" spans="1:33" ht="14.5" x14ac:dyDescent="0.35">
      <c r="A13248" s="34"/>
      <c r="B13248" s="35"/>
      <c r="C13248" s="36"/>
      <c r="D13248" s="37"/>
      <c r="E13248" s="36"/>
      <c r="F13248" s="42"/>
      <c r="G13248" s="42"/>
      <c r="H13248" s="42"/>
      <c r="AG13248" s="19"/>
    </row>
    <row r="13249" spans="1:33" ht="14.5" x14ac:dyDescent="0.35">
      <c r="A13249" s="34"/>
      <c r="B13249" s="35"/>
      <c r="C13249" s="36"/>
      <c r="D13249" s="37"/>
      <c r="E13249" s="36"/>
      <c r="F13249" s="42"/>
      <c r="G13249" s="42"/>
      <c r="H13249" s="42"/>
      <c r="AG13249" s="19"/>
    </row>
    <row r="13250" spans="1:33" ht="14.5" x14ac:dyDescent="0.35">
      <c r="A13250" s="34"/>
      <c r="B13250" s="35"/>
      <c r="C13250" s="36"/>
      <c r="D13250" s="37"/>
      <c r="E13250" s="36"/>
      <c r="F13250" s="42"/>
      <c r="G13250" s="42"/>
      <c r="H13250" s="42"/>
      <c r="AG13250" s="19"/>
    </row>
    <row r="13251" spans="1:33" ht="14.5" x14ac:dyDescent="0.35">
      <c r="A13251" s="34"/>
      <c r="B13251" s="35"/>
      <c r="C13251" s="36"/>
      <c r="D13251" s="37"/>
      <c r="E13251" s="36"/>
      <c r="F13251" s="42"/>
      <c r="G13251" s="42"/>
      <c r="H13251" s="42"/>
      <c r="AG13251" s="19"/>
    </row>
    <row r="13252" spans="1:33" ht="14.5" x14ac:dyDescent="0.35">
      <c r="A13252" s="34"/>
      <c r="B13252" s="35"/>
      <c r="C13252" s="36"/>
      <c r="D13252" s="37"/>
      <c r="E13252" s="36"/>
      <c r="F13252" s="42"/>
      <c r="G13252" s="42"/>
      <c r="H13252" s="42"/>
      <c r="AG13252" s="19"/>
    </row>
    <row r="13253" spans="1:33" ht="14.5" x14ac:dyDescent="0.35">
      <c r="A13253" s="34"/>
      <c r="B13253" s="35"/>
      <c r="C13253" s="36"/>
      <c r="D13253" s="37"/>
      <c r="E13253" s="36"/>
      <c r="F13253" s="42"/>
      <c r="G13253" s="42"/>
      <c r="H13253" s="42"/>
      <c r="AG13253" s="19"/>
    </row>
    <row r="13254" spans="1:33" ht="14.5" x14ac:dyDescent="0.35">
      <c r="A13254" s="34"/>
      <c r="B13254" s="35"/>
      <c r="C13254" s="36"/>
      <c r="D13254" s="37"/>
      <c r="E13254" s="36"/>
      <c r="F13254" s="42"/>
      <c r="G13254" s="42"/>
      <c r="H13254" s="42"/>
      <c r="AG13254" s="19"/>
    </row>
    <row r="13255" spans="1:33" ht="14.5" x14ac:dyDescent="0.35">
      <c r="A13255" s="34"/>
      <c r="B13255" s="35"/>
      <c r="C13255" s="36"/>
      <c r="D13255" s="37"/>
      <c r="E13255" s="36"/>
      <c r="F13255" s="42"/>
      <c r="G13255" s="42"/>
      <c r="H13255" s="42"/>
      <c r="AG13255" s="19"/>
    </row>
    <row r="13256" spans="1:33" ht="14.5" x14ac:dyDescent="0.35">
      <c r="A13256" s="34"/>
      <c r="B13256" s="35"/>
      <c r="C13256" s="36"/>
      <c r="D13256" s="37"/>
      <c r="E13256" s="36"/>
      <c r="F13256" s="42"/>
      <c r="G13256" s="42"/>
      <c r="H13256" s="42"/>
      <c r="AG13256" s="19"/>
    </row>
    <row r="13257" spans="1:33" ht="14.5" x14ac:dyDescent="0.35">
      <c r="A13257" s="34"/>
      <c r="B13257" s="35"/>
      <c r="C13257" s="36"/>
      <c r="D13257" s="37"/>
      <c r="E13257" s="36"/>
      <c r="F13257" s="42"/>
      <c r="G13257" s="42"/>
      <c r="H13257" s="42"/>
      <c r="AG13257" s="19"/>
    </row>
    <row r="13258" spans="1:33" ht="14.5" x14ac:dyDescent="0.35">
      <c r="A13258" s="34"/>
      <c r="B13258" s="35"/>
      <c r="C13258" s="36"/>
      <c r="D13258" s="37"/>
      <c r="E13258" s="36"/>
      <c r="F13258" s="42"/>
      <c r="G13258" s="42"/>
      <c r="H13258" s="42"/>
      <c r="AG13258" s="19"/>
    </row>
    <row r="13259" spans="1:33" ht="14.5" x14ac:dyDescent="0.35">
      <c r="A13259" s="34"/>
      <c r="B13259" s="35"/>
      <c r="C13259" s="36"/>
      <c r="D13259" s="37"/>
      <c r="E13259" s="36"/>
      <c r="F13259" s="42"/>
      <c r="G13259" s="42"/>
      <c r="H13259" s="42"/>
      <c r="AG13259" s="19"/>
    </row>
    <row r="13260" spans="1:33" ht="14.5" x14ac:dyDescent="0.35">
      <c r="A13260" s="34"/>
      <c r="B13260" s="35"/>
      <c r="C13260" s="36"/>
      <c r="D13260" s="37"/>
      <c r="E13260" s="36"/>
      <c r="F13260" s="42"/>
      <c r="G13260" s="42"/>
      <c r="H13260" s="42"/>
      <c r="AG13260" s="19"/>
    </row>
    <row r="13261" spans="1:33" ht="14.5" x14ac:dyDescent="0.35">
      <c r="A13261" s="34"/>
      <c r="B13261" s="35"/>
      <c r="C13261" s="36"/>
      <c r="D13261" s="37"/>
      <c r="E13261" s="36"/>
      <c r="F13261" s="42"/>
      <c r="G13261" s="42"/>
      <c r="H13261" s="42"/>
      <c r="AG13261" s="19"/>
    </row>
    <row r="13262" spans="1:33" ht="14.5" x14ac:dyDescent="0.35">
      <c r="A13262" s="34"/>
      <c r="B13262" s="35"/>
      <c r="C13262" s="36"/>
      <c r="D13262" s="37"/>
      <c r="E13262" s="36"/>
      <c r="F13262" s="42"/>
      <c r="G13262" s="42"/>
      <c r="H13262" s="42"/>
      <c r="AG13262" s="19"/>
    </row>
    <row r="13263" spans="1:33" ht="14.5" x14ac:dyDescent="0.35">
      <c r="A13263" s="34"/>
      <c r="B13263" s="35"/>
      <c r="C13263" s="36"/>
      <c r="D13263" s="37"/>
      <c r="E13263" s="36"/>
      <c r="F13263" s="42"/>
      <c r="G13263" s="42"/>
      <c r="H13263" s="42"/>
      <c r="AG13263" s="19"/>
    </row>
    <row r="13264" spans="1:33" ht="14.5" x14ac:dyDescent="0.35">
      <c r="A13264" s="34"/>
      <c r="B13264" s="35"/>
      <c r="C13264" s="36"/>
      <c r="D13264" s="37"/>
      <c r="E13264" s="36"/>
      <c r="F13264" s="42"/>
      <c r="G13264" s="42"/>
      <c r="H13264" s="42"/>
      <c r="AG13264" s="19"/>
    </row>
    <row r="13265" spans="1:33" ht="14.5" x14ac:dyDescent="0.35">
      <c r="A13265" s="34"/>
      <c r="B13265" s="35"/>
      <c r="C13265" s="36"/>
      <c r="D13265" s="37"/>
      <c r="E13265" s="36"/>
      <c r="F13265" s="42"/>
      <c r="G13265" s="42"/>
      <c r="H13265" s="42"/>
      <c r="AG13265" s="19"/>
    </row>
    <row r="13266" spans="1:33" ht="14.5" x14ac:dyDescent="0.35">
      <c r="A13266" s="34"/>
      <c r="B13266" s="35"/>
      <c r="C13266" s="36"/>
      <c r="D13266" s="37"/>
      <c r="E13266" s="36"/>
      <c r="F13266" s="42"/>
      <c r="G13266" s="42"/>
      <c r="H13266" s="42"/>
      <c r="AG13266" s="19"/>
    </row>
    <row r="13267" spans="1:33" ht="14.5" x14ac:dyDescent="0.35">
      <c r="A13267" s="34"/>
      <c r="B13267" s="35"/>
      <c r="C13267" s="36"/>
      <c r="D13267" s="37"/>
      <c r="E13267" s="36"/>
      <c r="F13267" s="42"/>
      <c r="G13267" s="42"/>
      <c r="H13267" s="42"/>
      <c r="AG13267" s="19"/>
    </row>
    <row r="13268" spans="1:33" ht="14.5" x14ac:dyDescent="0.35">
      <c r="A13268" s="34"/>
      <c r="B13268" s="35"/>
      <c r="C13268" s="36"/>
      <c r="D13268" s="37"/>
      <c r="E13268" s="36"/>
      <c r="F13268" s="42"/>
      <c r="G13268" s="42"/>
      <c r="H13268" s="42"/>
      <c r="AG13268" s="19"/>
    </row>
    <row r="13269" spans="1:33" ht="14.5" x14ac:dyDescent="0.35">
      <c r="A13269" s="34"/>
      <c r="B13269" s="35"/>
      <c r="C13269" s="36"/>
      <c r="D13269" s="37"/>
      <c r="E13269" s="36"/>
      <c r="F13269" s="42"/>
      <c r="G13269" s="42"/>
      <c r="H13269" s="42"/>
      <c r="AG13269" s="19"/>
    </row>
    <row r="13270" spans="1:33" ht="14.5" x14ac:dyDescent="0.35">
      <c r="A13270" s="34"/>
      <c r="B13270" s="35"/>
      <c r="C13270" s="36"/>
      <c r="D13270" s="37"/>
      <c r="E13270" s="36"/>
      <c r="F13270" s="42"/>
      <c r="G13270" s="42"/>
      <c r="H13270" s="42"/>
      <c r="AG13270" s="19"/>
    </row>
    <row r="13271" spans="1:33" ht="14.5" x14ac:dyDescent="0.35">
      <c r="A13271" s="34"/>
      <c r="B13271" s="35"/>
      <c r="C13271" s="36"/>
      <c r="D13271" s="37"/>
      <c r="E13271" s="36"/>
      <c r="F13271" s="42"/>
      <c r="G13271" s="42"/>
      <c r="H13271" s="42"/>
      <c r="AG13271" s="19"/>
    </row>
    <row r="13272" spans="1:33" ht="14.5" x14ac:dyDescent="0.35">
      <c r="A13272" s="34"/>
      <c r="B13272" s="35"/>
      <c r="C13272" s="36"/>
      <c r="D13272" s="37"/>
      <c r="E13272" s="36"/>
      <c r="F13272" s="42"/>
      <c r="G13272" s="42"/>
      <c r="H13272" s="42"/>
      <c r="AG13272" s="19"/>
    </row>
    <row r="13273" spans="1:33" ht="14.5" x14ac:dyDescent="0.35">
      <c r="A13273" s="34"/>
      <c r="B13273" s="35"/>
      <c r="C13273" s="36"/>
      <c r="D13273" s="37"/>
      <c r="E13273" s="36"/>
      <c r="F13273" s="42"/>
      <c r="G13273" s="42"/>
      <c r="H13273" s="42"/>
      <c r="AG13273" s="19"/>
    </row>
    <row r="13274" spans="1:33" ht="14.5" x14ac:dyDescent="0.35">
      <c r="A13274" s="34"/>
      <c r="B13274" s="35"/>
      <c r="C13274" s="36"/>
      <c r="D13274" s="37"/>
      <c r="E13274" s="36"/>
      <c r="F13274" s="42"/>
      <c r="G13274" s="42"/>
      <c r="H13274" s="42"/>
      <c r="AG13274" s="19"/>
    </row>
    <row r="13275" spans="1:33" ht="14.5" x14ac:dyDescent="0.35">
      <c r="A13275" s="34"/>
      <c r="B13275" s="35"/>
      <c r="C13275" s="36"/>
      <c r="D13275" s="37"/>
      <c r="E13275" s="36"/>
      <c r="F13275" s="42"/>
      <c r="G13275" s="42"/>
      <c r="H13275" s="42"/>
      <c r="AG13275" s="19"/>
    </row>
    <row r="13276" spans="1:33" ht="14.5" x14ac:dyDescent="0.35">
      <c r="A13276" s="34"/>
      <c r="B13276" s="35"/>
      <c r="C13276" s="36"/>
      <c r="D13276" s="37"/>
      <c r="E13276" s="36"/>
      <c r="F13276" s="42"/>
      <c r="G13276" s="42"/>
      <c r="H13276" s="42"/>
      <c r="AG13276" s="19"/>
    </row>
    <row r="13277" spans="1:33" ht="14.5" x14ac:dyDescent="0.35">
      <c r="A13277" s="34"/>
      <c r="B13277" s="35"/>
      <c r="C13277" s="36"/>
      <c r="D13277" s="37"/>
      <c r="E13277" s="36"/>
      <c r="F13277" s="42"/>
      <c r="G13277" s="42"/>
      <c r="H13277" s="42"/>
      <c r="AG13277" s="19"/>
    </row>
    <row r="13278" spans="1:33" ht="14.5" x14ac:dyDescent="0.35">
      <c r="A13278" s="34"/>
      <c r="B13278" s="35"/>
      <c r="C13278" s="36"/>
      <c r="D13278" s="37"/>
      <c r="E13278" s="36"/>
      <c r="F13278" s="42"/>
      <c r="G13278" s="42"/>
      <c r="H13278" s="42"/>
      <c r="AG13278" s="19"/>
    </row>
    <row r="13279" spans="1:33" ht="14.5" x14ac:dyDescent="0.35">
      <c r="A13279" s="34"/>
      <c r="B13279" s="35"/>
      <c r="C13279" s="36"/>
      <c r="D13279" s="37"/>
      <c r="E13279" s="36"/>
      <c r="F13279" s="42"/>
      <c r="G13279" s="42"/>
      <c r="H13279" s="42"/>
      <c r="AG13279" s="19"/>
    </row>
    <row r="13280" spans="1:33" ht="14.5" x14ac:dyDescent="0.35">
      <c r="A13280" s="34"/>
      <c r="B13280" s="35"/>
      <c r="C13280" s="36"/>
      <c r="D13280" s="37"/>
      <c r="E13280" s="36"/>
      <c r="F13280" s="42"/>
      <c r="G13280" s="42"/>
      <c r="H13280" s="42"/>
      <c r="AG13280" s="19"/>
    </row>
    <row r="13281" spans="1:33" ht="14.5" x14ac:dyDescent="0.35">
      <c r="A13281" s="34"/>
      <c r="B13281" s="35"/>
      <c r="C13281" s="36"/>
      <c r="D13281" s="37"/>
      <c r="E13281" s="36"/>
      <c r="F13281" s="42"/>
      <c r="G13281" s="42"/>
      <c r="H13281" s="42"/>
      <c r="AG13281" s="19"/>
    </row>
    <row r="13282" spans="1:33" ht="14.5" x14ac:dyDescent="0.35">
      <c r="A13282" s="34"/>
      <c r="B13282" s="35"/>
      <c r="C13282" s="36"/>
      <c r="D13282" s="37"/>
      <c r="E13282" s="36"/>
      <c r="F13282" s="42"/>
      <c r="G13282" s="42"/>
      <c r="H13282" s="42"/>
      <c r="AG13282" s="19"/>
    </row>
    <row r="13283" spans="1:33" ht="14.5" x14ac:dyDescent="0.35">
      <c r="A13283" s="34"/>
      <c r="B13283" s="35"/>
      <c r="C13283" s="36"/>
      <c r="D13283" s="37"/>
      <c r="E13283" s="36"/>
      <c r="F13283" s="42"/>
      <c r="G13283" s="42"/>
      <c r="H13283" s="42"/>
      <c r="AG13283" s="19"/>
    </row>
    <row r="13284" spans="1:33" ht="14.5" x14ac:dyDescent="0.35">
      <c r="A13284" s="34"/>
      <c r="B13284" s="35"/>
      <c r="C13284" s="36"/>
      <c r="D13284" s="37"/>
      <c r="E13284" s="36"/>
      <c r="F13284" s="42"/>
      <c r="G13284" s="42"/>
      <c r="H13284" s="42"/>
      <c r="AG13284" s="19"/>
    </row>
    <row r="13285" spans="1:33" ht="14.5" x14ac:dyDescent="0.35">
      <c r="A13285" s="34"/>
      <c r="B13285" s="35"/>
      <c r="C13285" s="36"/>
      <c r="D13285" s="37"/>
      <c r="E13285" s="36"/>
      <c r="F13285" s="42"/>
      <c r="G13285" s="42"/>
      <c r="H13285" s="42"/>
      <c r="AG13285" s="19"/>
    </row>
    <row r="13286" spans="1:33" ht="14.5" x14ac:dyDescent="0.35">
      <c r="A13286" s="34"/>
      <c r="B13286" s="35"/>
      <c r="C13286" s="36"/>
      <c r="D13286" s="37"/>
      <c r="E13286" s="36"/>
      <c r="F13286" s="42"/>
      <c r="G13286" s="42"/>
      <c r="H13286" s="42"/>
      <c r="AG13286" s="19"/>
    </row>
    <row r="13287" spans="1:33" ht="14.5" x14ac:dyDescent="0.35">
      <c r="A13287" s="34"/>
      <c r="B13287" s="35"/>
      <c r="C13287" s="36"/>
      <c r="D13287" s="37"/>
      <c r="E13287" s="36"/>
      <c r="F13287" s="42"/>
      <c r="G13287" s="42"/>
      <c r="H13287" s="42"/>
      <c r="AG13287" s="19"/>
    </row>
    <row r="13288" spans="1:33" ht="14.5" x14ac:dyDescent="0.35">
      <c r="A13288" s="34"/>
      <c r="B13288" s="35"/>
      <c r="C13288" s="36"/>
      <c r="D13288" s="37"/>
      <c r="E13288" s="36"/>
      <c r="F13288" s="42"/>
      <c r="G13288" s="42"/>
      <c r="H13288" s="42"/>
      <c r="AG13288" s="19"/>
    </row>
    <row r="13289" spans="1:33" ht="14.5" x14ac:dyDescent="0.35">
      <c r="A13289" s="34"/>
      <c r="B13289" s="35"/>
      <c r="C13289" s="36"/>
      <c r="D13289" s="37"/>
      <c r="E13289" s="36"/>
      <c r="F13289" s="42"/>
      <c r="G13289" s="42"/>
      <c r="H13289" s="42"/>
      <c r="AG13289" s="19"/>
    </row>
    <row r="13290" spans="1:33" ht="14.5" x14ac:dyDescent="0.35">
      <c r="A13290" s="34"/>
      <c r="B13290" s="35"/>
      <c r="C13290" s="36"/>
      <c r="D13290" s="37"/>
      <c r="E13290" s="36"/>
      <c r="F13290" s="42"/>
      <c r="G13290" s="42"/>
      <c r="H13290" s="42"/>
      <c r="AG13290" s="19"/>
    </row>
    <row r="13291" spans="1:33" ht="14.5" x14ac:dyDescent="0.35">
      <c r="A13291" s="34"/>
      <c r="B13291" s="35"/>
      <c r="C13291" s="36"/>
      <c r="D13291" s="37"/>
      <c r="E13291" s="36"/>
      <c r="F13291" s="42"/>
      <c r="G13291" s="42"/>
      <c r="H13291" s="42"/>
      <c r="AG13291" s="19"/>
    </row>
    <row r="13292" spans="1:33" ht="14.5" x14ac:dyDescent="0.35">
      <c r="A13292" s="34"/>
      <c r="B13292" s="35"/>
      <c r="C13292" s="36"/>
      <c r="D13292" s="37"/>
      <c r="E13292" s="36"/>
      <c r="F13292" s="42"/>
      <c r="G13292" s="42"/>
      <c r="H13292" s="42"/>
      <c r="AG13292" s="19"/>
    </row>
    <row r="13293" spans="1:33" ht="14.5" x14ac:dyDescent="0.35">
      <c r="A13293" s="34"/>
      <c r="B13293" s="35"/>
      <c r="C13293" s="36"/>
      <c r="D13293" s="37"/>
      <c r="E13293" s="36"/>
      <c r="F13293" s="42"/>
      <c r="G13293" s="42"/>
      <c r="H13293" s="42"/>
      <c r="AG13293" s="19"/>
    </row>
    <row r="13294" spans="1:33" ht="14.5" x14ac:dyDescent="0.35">
      <c r="A13294" s="34"/>
      <c r="B13294" s="35"/>
      <c r="C13294" s="36"/>
      <c r="D13294" s="37"/>
      <c r="E13294" s="36"/>
      <c r="F13294" s="42"/>
      <c r="G13294" s="42"/>
      <c r="H13294" s="42"/>
      <c r="AG13294" s="19"/>
    </row>
    <row r="13295" spans="1:33" ht="14.5" x14ac:dyDescent="0.35">
      <c r="A13295" s="34"/>
      <c r="B13295" s="35"/>
      <c r="C13295" s="36"/>
      <c r="D13295" s="37"/>
      <c r="E13295" s="36"/>
      <c r="F13295" s="42"/>
      <c r="G13295" s="42"/>
      <c r="H13295" s="42"/>
      <c r="AG13295" s="19"/>
    </row>
    <row r="13296" spans="1:33" ht="14.5" x14ac:dyDescent="0.35">
      <c r="A13296" s="34"/>
      <c r="B13296" s="35"/>
      <c r="C13296" s="36"/>
      <c r="D13296" s="37"/>
      <c r="E13296" s="36"/>
      <c r="F13296" s="42"/>
      <c r="G13296" s="42"/>
      <c r="H13296" s="42"/>
      <c r="AG13296" s="19"/>
    </row>
    <row r="13297" spans="1:33" ht="14.5" x14ac:dyDescent="0.35">
      <c r="A13297" s="34"/>
      <c r="B13297" s="35"/>
      <c r="C13297" s="36"/>
      <c r="D13297" s="37"/>
      <c r="E13297" s="36"/>
      <c r="F13297" s="42"/>
      <c r="G13297" s="42"/>
      <c r="H13297" s="42"/>
      <c r="AG13297" s="19"/>
    </row>
    <row r="13298" spans="1:33" ht="14.5" x14ac:dyDescent="0.35">
      <c r="A13298" s="34"/>
      <c r="B13298" s="35"/>
      <c r="C13298" s="36"/>
      <c r="D13298" s="37"/>
      <c r="E13298" s="36"/>
      <c r="F13298" s="42"/>
      <c r="G13298" s="42"/>
      <c r="H13298" s="42"/>
      <c r="AG13298" s="19"/>
    </row>
    <row r="13299" spans="1:33" ht="14.5" x14ac:dyDescent="0.35">
      <c r="A13299" s="34"/>
      <c r="B13299" s="35"/>
      <c r="C13299" s="36"/>
      <c r="D13299" s="37"/>
      <c r="E13299" s="36"/>
      <c r="F13299" s="42"/>
      <c r="G13299" s="42"/>
      <c r="H13299" s="42"/>
      <c r="AG13299" s="19"/>
    </row>
    <row r="13300" spans="1:33" ht="14.5" x14ac:dyDescent="0.35">
      <c r="A13300" s="34"/>
      <c r="B13300" s="35"/>
      <c r="C13300" s="36"/>
      <c r="D13300" s="37"/>
      <c r="E13300" s="36"/>
      <c r="F13300" s="42"/>
      <c r="G13300" s="42"/>
      <c r="H13300" s="42"/>
      <c r="AG13300" s="19"/>
    </row>
    <row r="13301" spans="1:33" ht="14.5" x14ac:dyDescent="0.35">
      <c r="A13301" s="34"/>
      <c r="B13301" s="35"/>
      <c r="C13301" s="36"/>
      <c r="D13301" s="37"/>
      <c r="E13301" s="36"/>
      <c r="F13301" s="42"/>
      <c r="G13301" s="42"/>
      <c r="H13301" s="42"/>
      <c r="AG13301" s="19"/>
    </row>
    <row r="13302" spans="1:33" ht="14.5" x14ac:dyDescent="0.35">
      <c r="A13302" s="34"/>
      <c r="B13302" s="35"/>
      <c r="C13302" s="36"/>
      <c r="D13302" s="37"/>
      <c r="E13302" s="36"/>
      <c r="F13302" s="42"/>
      <c r="G13302" s="42"/>
      <c r="H13302" s="42"/>
      <c r="AG13302" s="19"/>
    </row>
    <row r="13303" spans="1:33" ht="14.5" x14ac:dyDescent="0.35">
      <c r="A13303" s="34"/>
      <c r="B13303" s="35"/>
      <c r="C13303" s="36"/>
      <c r="D13303" s="37"/>
      <c r="E13303" s="36"/>
      <c r="F13303" s="42"/>
      <c r="G13303" s="42"/>
      <c r="H13303" s="42"/>
      <c r="AG13303" s="19"/>
    </row>
    <row r="13304" spans="1:33" ht="14.5" x14ac:dyDescent="0.35">
      <c r="A13304" s="34"/>
      <c r="B13304" s="35"/>
      <c r="C13304" s="36"/>
      <c r="D13304" s="37"/>
      <c r="E13304" s="36"/>
      <c r="F13304" s="42"/>
      <c r="G13304" s="42"/>
      <c r="H13304" s="42"/>
      <c r="AG13304" s="19"/>
    </row>
    <row r="13305" spans="1:33" ht="14.5" x14ac:dyDescent="0.35">
      <c r="A13305" s="34"/>
      <c r="B13305" s="35"/>
      <c r="C13305" s="36"/>
      <c r="D13305" s="37"/>
      <c r="E13305" s="36"/>
      <c r="F13305" s="42"/>
      <c r="G13305" s="42"/>
      <c r="H13305" s="42"/>
      <c r="AG13305" s="19"/>
    </row>
    <row r="13306" spans="1:33" ht="14.5" x14ac:dyDescent="0.35">
      <c r="A13306" s="34"/>
      <c r="B13306" s="35"/>
      <c r="C13306" s="36"/>
      <c r="D13306" s="37"/>
      <c r="E13306" s="36"/>
      <c r="F13306" s="42"/>
      <c r="G13306" s="42"/>
      <c r="H13306" s="42"/>
      <c r="AG13306" s="19"/>
    </row>
    <row r="13307" spans="1:33" ht="14.5" x14ac:dyDescent="0.35">
      <c r="A13307" s="34"/>
      <c r="B13307" s="35"/>
      <c r="C13307" s="36"/>
      <c r="D13307" s="37"/>
      <c r="E13307" s="36"/>
      <c r="F13307" s="42"/>
      <c r="G13307" s="42"/>
      <c r="H13307" s="42"/>
      <c r="AG13307" s="19"/>
    </row>
    <row r="13308" spans="1:33" ht="14.5" x14ac:dyDescent="0.35">
      <c r="A13308" s="34"/>
      <c r="B13308" s="35"/>
      <c r="C13308" s="36"/>
      <c r="D13308" s="37"/>
      <c r="E13308" s="36"/>
      <c r="F13308" s="42"/>
      <c r="G13308" s="42"/>
      <c r="H13308" s="42"/>
      <c r="AG13308" s="19"/>
    </row>
    <row r="13309" spans="1:33" ht="14.5" x14ac:dyDescent="0.35">
      <c r="A13309" s="34"/>
      <c r="B13309" s="35"/>
      <c r="C13309" s="36"/>
      <c r="D13309" s="37"/>
      <c r="E13309" s="36"/>
      <c r="F13309" s="42"/>
      <c r="G13309" s="42"/>
      <c r="H13309" s="42"/>
      <c r="AG13309" s="19"/>
    </row>
    <row r="13310" spans="1:33" ht="14.5" x14ac:dyDescent="0.35">
      <c r="A13310" s="34"/>
      <c r="B13310" s="35"/>
      <c r="C13310" s="36"/>
      <c r="D13310" s="37"/>
      <c r="E13310" s="36"/>
      <c r="F13310" s="42"/>
      <c r="G13310" s="42"/>
      <c r="H13310" s="42"/>
      <c r="AG13310" s="19"/>
    </row>
    <row r="13311" spans="1:33" ht="14.5" x14ac:dyDescent="0.35">
      <c r="A13311" s="34"/>
      <c r="B13311" s="35"/>
      <c r="C13311" s="36"/>
      <c r="D13311" s="37"/>
      <c r="E13311" s="36"/>
      <c r="F13311" s="42"/>
      <c r="G13311" s="42"/>
      <c r="H13311" s="42"/>
      <c r="AG13311" s="19"/>
    </row>
    <row r="13312" spans="1:33" ht="14.5" x14ac:dyDescent="0.35">
      <c r="A13312" s="34"/>
      <c r="B13312" s="35"/>
      <c r="C13312" s="36"/>
      <c r="D13312" s="37"/>
      <c r="E13312" s="36"/>
      <c r="F13312" s="42"/>
      <c r="G13312" s="42"/>
      <c r="H13312" s="42"/>
      <c r="AG13312" s="19"/>
    </row>
    <row r="13313" spans="1:33" ht="14.5" x14ac:dyDescent="0.35">
      <c r="A13313" s="34"/>
      <c r="B13313" s="35"/>
      <c r="C13313" s="36"/>
      <c r="D13313" s="37"/>
      <c r="E13313" s="36"/>
      <c r="F13313" s="42"/>
      <c r="G13313" s="42"/>
      <c r="H13313" s="42"/>
      <c r="AG13313" s="19"/>
    </row>
    <row r="13314" spans="1:33" ht="14.5" x14ac:dyDescent="0.35">
      <c r="A13314" s="34"/>
      <c r="B13314" s="35"/>
      <c r="C13314" s="36"/>
      <c r="D13314" s="37"/>
      <c r="E13314" s="36"/>
      <c r="F13314" s="42"/>
      <c r="G13314" s="42"/>
      <c r="H13314" s="42"/>
      <c r="AG13314" s="19"/>
    </row>
    <row r="13315" spans="1:33" ht="14.5" x14ac:dyDescent="0.35">
      <c r="A13315" s="34"/>
      <c r="B13315" s="35"/>
      <c r="C13315" s="36"/>
      <c r="D13315" s="37"/>
      <c r="E13315" s="36"/>
      <c r="F13315" s="42"/>
      <c r="G13315" s="42"/>
      <c r="H13315" s="42"/>
      <c r="AG13315" s="19"/>
    </row>
    <row r="13316" spans="1:33" ht="14.5" x14ac:dyDescent="0.35">
      <c r="A13316" s="34"/>
      <c r="B13316" s="35"/>
      <c r="C13316" s="36"/>
      <c r="D13316" s="37"/>
      <c r="E13316" s="36"/>
      <c r="F13316" s="42"/>
      <c r="G13316" s="42"/>
      <c r="H13316" s="42"/>
      <c r="AG13316" s="19"/>
    </row>
    <row r="13317" spans="1:33" ht="14.5" x14ac:dyDescent="0.35">
      <c r="A13317" s="34"/>
      <c r="B13317" s="35"/>
      <c r="C13317" s="36"/>
      <c r="D13317" s="37"/>
      <c r="E13317" s="36"/>
      <c r="F13317" s="42"/>
      <c r="G13317" s="42"/>
      <c r="H13317" s="42"/>
      <c r="AG13317" s="19"/>
    </row>
    <row r="13318" spans="1:33" ht="14.5" x14ac:dyDescent="0.35">
      <c r="A13318" s="34"/>
      <c r="B13318" s="35"/>
      <c r="C13318" s="36"/>
      <c r="D13318" s="37"/>
      <c r="E13318" s="36"/>
      <c r="F13318" s="42"/>
      <c r="G13318" s="42"/>
      <c r="H13318" s="42"/>
      <c r="AG13318" s="19"/>
    </row>
    <row r="13319" spans="1:33" ht="14.5" x14ac:dyDescent="0.35">
      <c r="A13319" s="34"/>
      <c r="B13319" s="35"/>
      <c r="C13319" s="36"/>
      <c r="D13319" s="37"/>
      <c r="E13319" s="36"/>
      <c r="F13319" s="42"/>
      <c r="G13319" s="42"/>
      <c r="H13319" s="42"/>
      <c r="AG13319" s="19"/>
    </row>
    <row r="13320" spans="1:33" ht="14.5" x14ac:dyDescent="0.35">
      <c r="A13320" s="34"/>
      <c r="B13320" s="35"/>
      <c r="C13320" s="36"/>
      <c r="D13320" s="37"/>
      <c r="E13320" s="36"/>
      <c r="F13320" s="42"/>
      <c r="G13320" s="42"/>
      <c r="H13320" s="42"/>
      <c r="AG13320" s="19"/>
    </row>
    <row r="13321" spans="1:33" ht="14.5" x14ac:dyDescent="0.35">
      <c r="A13321" s="34"/>
      <c r="B13321" s="35"/>
      <c r="C13321" s="36"/>
      <c r="D13321" s="37"/>
      <c r="E13321" s="36"/>
      <c r="F13321" s="42"/>
      <c r="G13321" s="42"/>
      <c r="H13321" s="42"/>
      <c r="AG13321" s="19"/>
    </row>
    <row r="13322" spans="1:33" ht="14.5" x14ac:dyDescent="0.35">
      <c r="A13322" s="34"/>
      <c r="B13322" s="35"/>
      <c r="C13322" s="36"/>
      <c r="D13322" s="37"/>
      <c r="E13322" s="36"/>
      <c r="F13322" s="42"/>
      <c r="G13322" s="42"/>
      <c r="H13322" s="42"/>
      <c r="AG13322" s="19"/>
    </row>
    <row r="13323" spans="1:33" ht="14.5" x14ac:dyDescent="0.35">
      <c r="A13323" s="34"/>
      <c r="B13323" s="35"/>
      <c r="C13323" s="36"/>
      <c r="D13323" s="37"/>
      <c r="E13323" s="36"/>
      <c r="F13323" s="42"/>
      <c r="G13323" s="42"/>
      <c r="H13323" s="42"/>
      <c r="AG13323" s="19"/>
    </row>
    <row r="13324" spans="1:33" ht="14.5" x14ac:dyDescent="0.35">
      <c r="A13324" s="34"/>
      <c r="B13324" s="35"/>
      <c r="C13324" s="36"/>
      <c r="D13324" s="37"/>
      <c r="E13324" s="36"/>
      <c r="F13324" s="42"/>
      <c r="G13324" s="42"/>
      <c r="H13324" s="42"/>
      <c r="AG13324" s="19"/>
    </row>
    <row r="13325" spans="1:33" ht="14.5" x14ac:dyDescent="0.35">
      <c r="A13325" s="34"/>
      <c r="B13325" s="35"/>
      <c r="C13325" s="36"/>
      <c r="D13325" s="37"/>
      <c r="E13325" s="36"/>
      <c r="F13325" s="42"/>
      <c r="G13325" s="42"/>
      <c r="H13325" s="42"/>
      <c r="AG13325" s="19"/>
    </row>
    <row r="13326" spans="1:33" ht="14.5" x14ac:dyDescent="0.35">
      <c r="A13326" s="34"/>
      <c r="B13326" s="35"/>
      <c r="C13326" s="36"/>
      <c r="D13326" s="37"/>
      <c r="E13326" s="36"/>
      <c r="F13326" s="42"/>
      <c r="G13326" s="42"/>
      <c r="H13326" s="42"/>
      <c r="AG13326" s="19"/>
    </row>
    <row r="13327" spans="1:33" ht="14.5" x14ac:dyDescent="0.35">
      <c r="A13327" s="34"/>
      <c r="B13327" s="35"/>
      <c r="C13327" s="36"/>
      <c r="D13327" s="37"/>
      <c r="E13327" s="36"/>
      <c r="F13327" s="42"/>
      <c r="G13327" s="42"/>
      <c r="H13327" s="42"/>
      <c r="AG13327" s="19"/>
    </row>
    <row r="13328" spans="1:33" ht="14.5" x14ac:dyDescent="0.35">
      <c r="A13328" s="34"/>
      <c r="B13328" s="35"/>
      <c r="C13328" s="36"/>
      <c r="D13328" s="37"/>
      <c r="E13328" s="36"/>
      <c r="F13328" s="42"/>
      <c r="G13328" s="42"/>
      <c r="H13328" s="42"/>
      <c r="AG13328" s="19"/>
    </row>
    <row r="13329" spans="1:33" ht="14.5" x14ac:dyDescent="0.35">
      <c r="A13329" s="34"/>
      <c r="B13329" s="35"/>
      <c r="C13329" s="36"/>
      <c r="D13329" s="37"/>
      <c r="E13329" s="36"/>
      <c r="F13329" s="42"/>
      <c r="G13329" s="42"/>
      <c r="H13329" s="42"/>
      <c r="AG13329" s="19"/>
    </row>
    <row r="13330" spans="1:33" ht="14.5" x14ac:dyDescent="0.35">
      <c r="A13330" s="34"/>
      <c r="B13330" s="35"/>
      <c r="C13330" s="36"/>
      <c r="D13330" s="37"/>
      <c r="E13330" s="36"/>
      <c r="F13330" s="42"/>
      <c r="G13330" s="42"/>
      <c r="H13330" s="42"/>
      <c r="AG13330" s="19"/>
    </row>
    <row r="13331" spans="1:33" ht="14.5" x14ac:dyDescent="0.35">
      <c r="A13331" s="34"/>
      <c r="B13331" s="35"/>
      <c r="C13331" s="36"/>
      <c r="D13331" s="37"/>
      <c r="E13331" s="36"/>
      <c r="F13331" s="42"/>
      <c r="G13331" s="42"/>
      <c r="H13331" s="42"/>
      <c r="AG13331" s="19"/>
    </row>
    <row r="13332" spans="1:33" ht="14.5" x14ac:dyDescent="0.35">
      <c r="A13332" s="34"/>
      <c r="B13332" s="35"/>
      <c r="C13332" s="36"/>
      <c r="D13332" s="37"/>
      <c r="E13332" s="36"/>
      <c r="F13332" s="42"/>
      <c r="G13332" s="42"/>
      <c r="H13332" s="42"/>
      <c r="AG13332" s="19"/>
    </row>
    <row r="13333" spans="1:33" ht="14.5" x14ac:dyDescent="0.35">
      <c r="A13333" s="34"/>
      <c r="B13333" s="35"/>
      <c r="C13333" s="36"/>
      <c r="D13333" s="37"/>
      <c r="E13333" s="36"/>
      <c r="F13333" s="42"/>
      <c r="G13333" s="42"/>
      <c r="H13333" s="42"/>
      <c r="AG13333" s="19"/>
    </row>
    <row r="13334" spans="1:33" ht="14.5" x14ac:dyDescent="0.35">
      <c r="A13334" s="34"/>
      <c r="B13334" s="35"/>
      <c r="C13334" s="36"/>
      <c r="D13334" s="37"/>
      <c r="E13334" s="36"/>
      <c r="F13334" s="42"/>
      <c r="G13334" s="42"/>
      <c r="H13334" s="42"/>
      <c r="AG13334" s="19"/>
    </row>
    <row r="13335" spans="1:33" ht="14.5" x14ac:dyDescent="0.35">
      <c r="A13335" s="34"/>
      <c r="B13335" s="35"/>
      <c r="C13335" s="36"/>
      <c r="D13335" s="37"/>
      <c r="E13335" s="36"/>
      <c r="F13335" s="42"/>
      <c r="G13335" s="42"/>
      <c r="H13335" s="42"/>
      <c r="AG13335" s="19"/>
    </row>
    <row r="13336" spans="1:33" ht="14.5" x14ac:dyDescent="0.35">
      <c r="A13336" s="34"/>
      <c r="B13336" s="35"/>
      <c r="C13336" s="36"/>
      <c r="D13336" s="37"/>
      <c r="E13336" s="36"/>
      <c r="F13336" s="42"/>
      <c r="G13336" s="42"/>
      <c r="H13336" s="42"/>
      <c r="AG13336" s="19"/>
    </row>
    <row r="13337" spans="1:33" ht="14.5" x14ac:dyDescent="0.35">
      <c r="A13337" s="34"/>
      <c r="B13337" s="35"/>
      <c r="C13337" s="36"/>
      <c r="D13337" s="37"/>
      <c r="E13337" s="36"/>
      <c r="F13337" s="42"/>
      <c r="G13337" s="42"/>
      <c r="H13337" s="42"/>
      <c r="AG13337" s="19"/>
    </row>
    <row r="13338" spans="1:33" ht="14.5" x14ac:dyDescent="0.35">
      <c r="A13338" s="34"/>
      <c r="B13338" s="35"/>
      <c r="C13338" s="36"/>
      <c r="D13338" s="37"/>
      <c r="E13338" s="36"/>
      <c r="F13338" s="42"/>
      <c r="G13338" s="42"/>
      <c r="H13338" s="42"/>
      <c r="AG13338" s="19"/>
    </row>
    <row r="13339" spans="1:33" ht="14.5" x14ac:dyDescent="0.35">
      <c r="A13339" s="34"/>
      <c r="B13339" s="35"/>
      <c r="C13339" s="36"/>
      <c r="D13339" s="37"/>
      <c r="E13339" s="36"/>
      <c r="F13339" s="42"/>
      <c r="G13339" s="42"/>
      <c r="H13339" s="42"/>
      <c r="AG13339" s="19"/>
    </row>
    <row r="13340" spans="1:33" ht="14.5" x14ac:dyDescent="0.35">
      <c r="A13340" s="34"/>
      <c r="B13340" s="35"/>
      <c r="C13340" s="36"/>
      <c r="D13340" s="37"/>
      <c r="E13340" s="36"/>
      <c r="F13340" s="42"/>
      <c r="G13340" s="42"/>
      <c r="H13340" s="42"/>
      <c r="AG13340" s="19"/>
    </row>
    <row r="13341" spans="1:33" ht="14.5" x14ac:dyDescent="0.35">
      <c r="A13341" s="34"/>
      <c r="B13341" s="35"/>
      <c r="C13341" s="36"/>
      <c r="D13341" s="37"/>
      <c r="E13341" s="36"/>
      <c r="F13341" s="42"/>
      <c r="G13341" s="42"/>
      <c r="H13341" s="42"/>
      <c r="AG13341" s="19"/>
    </row>
    <row r="13342" spans="1:33" ht="14.5" x14ac:dyDescent="0.35">
      <c r="A13342" s="34"/>
      <c r="B13342" s="35"/>
      <c r="C13342" s="36"/>
      <c r="D13342" s="37"/>
      <c r="E13342" s="36"/>
      <c r="F13342" s="42"/>
      <c r="G13342" s="42"/>
      <c r="H13342" s="42"/>
      <c r="AG13342" s="19"/>
    </row>
    <row r="13343" spans="1:33" ht="14.5" x14ac:dyDescent="0.35">
      <c r="A13343" s="34"/>
      <c r="B13343" s="35"/>
      <c r="C13343" s="36"/>
      <c r="D13343" s="37"/>
      <c r="E13343" s="36"/>
      <c r="F13343" s="42"/>
      <c r="G13343" s="42"/>
      <c r="H13343" s="42"/>
      <c r="AG13343" s="19"/>
    </row>
    <row r="13344" spans="1:33" ht="14.5" x14ac:dyDescent="0.35">
      <c r="A13344" s="34"/>
      <c r="B13344" s="35"/>
      <c r="C13344" s="36"/>
      <c r="D13344" s="37"/>
      <c r="E13344" s="36"/>
      <c r="F13344" s="42"/>
      <c r="G13344" s="42"/>
      <c r="H13344" s="42"/>
      <c r="AG13344" s="19"/>
    </row>
    <row r="13345" spans="1:33" ht="14.5" x14ac:dyDescent="0.35">
      <c r="A13345" s="34"/>
      <c r="B13345" s="35"/>
      <c r="C13345" s="36"/>
      <c r="D13345" s="37"/>
      <c r="E13345" s="36"/>
      <c r="F13345" s="42"/>
      <c r="G13345" s="42"/>
      <c r="H13345" s="42"/>
      <c r="AG13345" s="19"/>
    </row>
    <row r="13346" spans="1:33" ht="14.5" x14ac:dyDescent="0.35">
      <c r="A13346" s="34"/>
      <c r="B13346" s="35"/>
      <c r="C13346" s="36"/>
      <c r="D13346" s="37"/>
      <c r="E13346" s="36"/>
      <c r="F13346" s="42"/>
      <c r="G13346" s="42"/>
      <c r="H13346" s="42"/>
      <c r="AG13346" s="19"/>
    </row>
    <row r="13347" spans="1:33" ht="14.5" x14ac:dyDescent="0.35">
      <c r="A13347" s="34"/>
      <c r="B13347" s="35"/>
      <c r="C13347" s="36"/>
      <c r="D13347" s="37"/>
      <c r="E13347" s="36"/>
      <c r="F13347" s="42"/>
      <c r="G13347" s="42"/>
      <c r="H13347" s="42"/>
      <c r="AG13347" s="19"/>
    </row>
    <row r="13348" spans="1:33" ht="14.5" x14ac:dyDescent="0.35">
      <c r="A13348" s="34"/>
      <c r="B13348" s="35"/>
      <c r="C13348" s="36"/>
      <c r="D13348" s="37"/>
      <c r="E13348" s="36"/>
      <c r="F13348" s="42"/>
      <c r="G13348" s="42"/>
      <c r="H13348" s="42"/>
      <c r="AG13348" s="19"/>
    </row>
    <row r="13349" spans="1:33" ht="14.5" x14ac:dyDescent="0.35">
      <c r="A13349" s="34"/>
      <c r="B13349" s="35"/>
      <c r="C13349" s="36"/>
      <c r="D13349" s="37"/>
      <c r="E13349" s="36"/>
      <c r="F13349" s="42"/>
      <c r="G13349" s="42"/>
      <c r="H13349" s="42"/>
      <c r="AG13349" s="19"/>
    </row>
    <row r="13350" spans="1:33" ht="14.5" x14ac:dyDescent="0.35">
      <c r="A13350" s="34"/>
      <c r="B13350" s="35"/>
      <c r="C13350" s="36"/>
      <c r="D13350" s="37"/>
      <c r="E13350" s="36"/>
      <c r="F13350" s="42"/>
      <c r="G13350" s="42"/>
      <c r="H13350" s="42"/>
      <c r="AG13350" s="19"/>
    </row>
    <row r="13351" spans="1:33" ht="14.5" x14ac:dyDescent="0.35">
      <c r="A13351" s="34"/>
      <c r="B13351" s="35"/>
      <c r="C13351" s="36"/>
      <c r="D13351" s="37"/>
      <c r="E13351" s="36"/>
      <c r="F13351" s="42"/>
      <c r="G13351" s="42"/>
      <c r="H13351" s="42"/>
      <c r="AG13351" s="19"/>
    </row>
    <row r="13352" spans="1:33" ht="14.5" x14ac:dyDescent="0.35">
      <c r="A13352" s="34"/>
      <c r="B13352" s="35"/>
      <c r="C13352" s="36"/>
      <c r="D13352" s="37"/>
      <c r="E13352" s="36"/>
      <c r="F13352" s="42"/>
      <c r="G13352" s="42"/>
      <c r="H13352" s="42"/>
      <c r="AG13352" s="19"/>
    </row>
    <row r="13353" spans="1:33" ht="14.5" x14ac:dyDescent="0.35">
      <c r="A13353" s="34"/>
      <c r="B13353" s="35"/>
      <c r="C13353" s="36"/>
      <c r="D13353" s="37"/>
      <c r="E13353" s="36"/>
      <c r="F13353" s="42"/>
      <c r="G13353" s="42"/>
      <c r="H13353" s="42"/>
      <c r="AG13353" s="19"/>
    </row>
    <row r="13354" spans="1:33" ht="14.5" x14ac:dyDescent="0.35">
      <c r="A13354" s="34"/>
      <c r="B13354" s="35"/>
      <c r="C13354" s="36"/>
      <c r="D13354" s="37"/>
      <c r="E13354" s="36"/>
      <c r="F13354" s="42"/>
      <c r="G13354" s="42"/>
      <c r="H13354" s="42"/>
      <c r="AG13354" s="19"/>
    </row>
    <row r="13355" spans="1:33" ht="14.5" x14ac:dyDescent="0.35">
      <c r="A13355" s="34"/>
      <c r="B13355" s="35"/>
      <c r="C13355" s="36"/>
      <c r="D13355" s="37"/>
      <c r="E13355" s="36"/>
      <c r="F13355" s="42"/>
      <c r="G13355" s="42"/>
      <c r="H13355" s="42"/>
      <c r="AG13355" s="19"/>
    </row>
    <row r="13356" spans="1:33" ht="14.5" x14ac:dyDescent="0.35">
      <c r="A13356" s="34"/>
      <c r="B13356" s="35"/>
      <c r="C13356" s="36"/>
      <c r="D13356" s="37"/>
      <c r="E13356" s="36"/>
      <c r="F13356" s="42"/>
      <c r="G13356" s="42"/>
      <c r="H13356" s="42"/>
      <c r="AG13356" s="19"/>
    </row>
    <row r="13357" spans="1:33" ht="14.5" x14ac:dyDescent="0.35">
      <c r="A13357" s="34"/>
      <c r="B13357" s="35"/>
      <c r="C13357" s="36"/>
      <c r="D13357" s="37"/>
      <c r="E13357" s="36"/>
      <c r="F13357" s="42"/>
      <c r="G13357" s="42"/>
      <c r="H13357" s="42"/>
      <c r="AG13357" s="19"/>
    </row>
    <row r="13358" spans="1:33" ht="14.5" x14ac:dyDescent="0.35">
      <c r="A13358" s="34"/>
      <c r="B13358" s="35"/>
      <c r="C13358" s="36"/>
      <c r="D13358" s="37"/>
      <c r="E13358" s="36"/>
      <c r="F13358" s="42"/>
      <c r="G13358" s="42"/>
      <c r="H13358" s="42"/>
      <c r="AG13358" s="19"/>
    </row>
    <row r="13359" spans="1:33" ht="14.5" x14ac:dyDescent="0.35">
      <c r="A13359" s="34"/>
      <c r="B13359" s="35"/>
      <c r="C13359" s="36"/>
      <c r="D13359" s="37"/>
      <c r="E13359" s="36"/>
      <c r="F13359" s="42"/>
      <c r="G13359" s="42"/>
      <c r="H13359" s="42"/>
      <c r="AG13359" s="19"/>
    </row>
    <row r="13360" spans="1:33" ht="14.5" x14ac:dyDescent="0.35">
      <c r="A13360" s="34"/>
      <c r="B13360" s="35"/>
      <c r="C13360" s="36"/>
      <c r="D13360" s="37"/>
      <c r="E13360" s="36"/>
      <c r="F13360" s="42"/>
      <c r="G13360" s="42"/>
      <c r="H13360" s="42"/>
      <c r="AG13360" s="19"/>
    </row>
    <row r="13361" spans="1:33" ht="14.5" x14ac:dyDescent="0.35">
      <c r="A13361" s="34"/>
      <c r="B13361" s="35"/>
      <c r="C13361" s="36"/>
      <c r="D13361" s="37"/>
      <c r="E13361" s="36"/>
      <c r="F13361" s="42"/>
      <c r="G13361" s="42"/>
      <c r="H13361" s="42"/>
      <c r="AG13361" s="19"/>
    </row>
    <row r="13362" spans="1:33" ht="14.5" x14ac:dyDescent="0.35">
      <c r="A13362" s="34"/>
      <c r="B13362" s="35"/>
      <c r="C13362" s="36"/>
      <c r="D13362" s="37"/>
      <c r="E13362" s="36"/>
      <c r="F13362" s="42"/>
      <c r="G13362" s="42"/>
      <c r="H13362" s="42"/>
      <c r="AG13362" s="19"/>
    </row>
    <row r="13363" spans="1:33" ht="14.5" x14ac:dyDescent="0.35">
      <c r="A13363" s="34"/>
      <c r="B13363" s="35"/>
      <c r="C13363" s="36"/>
      <c r="D13363" s="37"/>
      <c r="E13363" s="36"/>
      <c r="F13363" s="42"/>
      <c r="G13363" s="42"/>
      <c r="H13363" s="42"/>
      <c r="AG13363" s="19"/>
    </row>
    <row r="13364" spans="1:33" ht="14.5" x14ac:dyDescent="0.35">
      <c r="A13364" s="34"/>
      <c r="B13364" s="35"/>
      <c r="C13364" s="36"/>
      <c r="D13364" s="37"/>
      <c r="E13364" s="36"/>
      <c r="F13364" s="42"/>
      <c r="G13364" s="42"/>
      <c r="H13364" s="42"/>
      <c r="AG13364" s="19"/>
    </row>
    <row r="13365" spans="1:33" ht="14.5" x14ac:dyDescent="0.35">
      <c r="A13365" s="34"/>
      <c r="B13365" s="35"/>
      <c r="C13365" s="36"/>
      <c r="D13365" s="37"/>
      <c r="E13365" s="36"/>
      <c r="F13365" s="42"/>
      <c r="G13365" s="42"/>
      <c r="H13365" s="42"/>
      <c r="AG13365" s="19"/>
    </row>
    <row r="13366" spans="1:33" ht="14.5" x14ac:dyDescent="0.35">
      <c r="A13366" s="34"/>
      <c r="B13366" s="35"/>
      <c r="C13366" s="36"/>
      <c r="D13366" s="37"/>
      <c r="E13366" s="36"/>
      <c r="F13366" s="42"/>
      <c r="G13366" s="42"/>
      <c r="H13366" s="42"/>
      <c r="AG13366" s="19"/>
    </row>
    <row r="13367" spans="1:33" ht="14.5" x14ac:dyDescent="0.35">
      <c r="A13367" s="34"/>
      <c r="B13367" s="35"/>
      <c r="C13367" s="36"/>
      <c r="D13367" s="37"/>
      <c r="E13367" s="36"/>
      <c r="F13367" s="42"/>
      <c r="G13367" s="42"/>
      <c r="H13367" s="42"/>
      <c r="AG13367" s="19"/>
    </row>
    <row r="13368" spans="1:33" ht="14.5" x14ac:dyDescent="0.35">
      <c r="A13368" s="34"/>
      <c r="B13368" s="35"/>
      <c r="C13368" s="36"/>
      <c r="D13368" s="37"/>
      <c r="E13368" s="36"/>
      <c r="F13368" s="42"/>
      <c r="G13368" s="42"/>
      <c r="H13368" s="42"/>
      <c r="AG13368" s="19"/>
    </row>
    <row r="13369" spans="1:33" ht="14.5" x14ac:dyDescent="0.35">
      <c r="A13369" s="34"/>
      <c r="B13369" s="35"/>
      <c r="C13369" s="36"/>
      <c r="D13369" s="37"/>
      <c r="E13369" s="36"/>
      <c r="F13369" s="42"/>
      <c r="G13369" s="42"/>
      <c r="H13369" s="42"/>
      <c r="AG13369" s="19"/>
    </row>
    <row r="13370" spans="1:33" ht="14.5" x14ac:dyDescent="0.35">
      <c r="A13370" s="34"/>
      <c r="B13370" s="35"/>
      <c r="C13370" s="36"/>
      <c r="D13370" s="37"/>
      <c r="E13370" s="36"/>
      <c r="F13370" s="42"/>
      <c r="G13370" s="42"/>
      <c r="H13370" s="42"/>
      <c r="AG13370" s="19"/>
    </row>
    <row r="13371" spans="1:33" ht="14.5" x14ac:dyDescent="0.35">
      <c r="A13371" s="34"/>
      <c r="B13371" s="35"/>
      <c r="C13371" s="36"/>
      <c r="D13371" s="37"/>
      <c r="E13371" s="36"/>
      <c r="F13371" s="42"/>
      <c r="G13371" s="42"/>
      <c r="H13371" s="42"/>
      <c r="AG13371" s="19"/>
    </row>
    <row r="13372" spans="1:33" ht="14.5" x14ac:dyDescent="0.35">
      <c r="A13372" s="34"/>
      <c r="B13372" s="35"/>
      <c r="C13372" s="36"/>
      <c r="D13372" s="37"/>
      <c r="E13372" s="36"/>
      <c r="F13372" s="42"/>
      <c r="G13372" s="42"/>
      <c r="H13372" s="42"/>
      <c r="AG13372" s="19"/>
    </row>
    <row r="13373" spans="1:33" ht="14.5" x14ac:dyDescent="0.35">
      <c r="A13373" s="34"/>
      <c r="B13373" s="35"/>
      <c r="C13373" s="36"/>
      <c r="D13373" s="37"/>
      <c r="E13373" s="36"/>
      <c r="F13373" s="42"/>
      <c r="G13373" s="42"/>
      <c r="H13373" s="42"/>
      <c r="AG13373" s="19"/>
    </row>
    <row r="13374" spans="1:33" ht="14.5" x14ac:dyDescent="0.35">
      <c r="A13374" s="34"/>
      <c r="B13374" s="35"/>
      <c r="C13374" s="36"/>
      <c r="D13374" s="37"/>
      <c r="E13374" s="36"/>
      <c r="F13374" s="42"/>
      <c r="G13374" s="42"/>
      <c r="H13374" s="42"/>
      <c r="AG13374" s="19"/>
    </row>
    <row r="13375" spans="1:33" ht="14.5" x14ac:dyDescent="0.35">
      <c r="A13375" s="34"/>
      <c r="B13375" s="35"/>
      <c r="C13375" s="36"/>
      <c r="D13375" s="37"/>
      <c r="E13375" s="36"/>
      <c r="F13375" s="42"/>
      <c r="G13375" s="42"/>
      <c r="H13375" s="42"/>
      <c r="AG13375" s="19"/>
    </row>
    <row r="13376" spans="1:33" ht="14.5" x14ac:dyDescent="0.35">
      <c r="A13376" s="34"/>
      <c r="B13376" s="35"/>
      <c r="C13376" s="36"/>
      <c r="D13376" s="37"/>
      <c r="E13376" s="36"/>
      <c r="F13376" s="42"/>
      <c r="G13376" s="42"/>
      <c r="H13376" s="42"/>
      <c r="AG13376" s="19"/>
    </row>
    <row r="13377" spans="1:33" ht="14.5" x14ac:dyDescent="0.35">
      <c r="A13377" s="34"/>
      <c r="B13377" s="35"/>
      <c r="C13377" s="36"/>
      <c r="D13377" s="37"/>
      <c r="E13377" s="36"/>
      <c r="F13377" s="42"/>
      <c r="G13377" s="42"/>
      <c r="H13377" s="42"/>
      <c r="AG13377" s="19"/>
    </row>
    <row r="13378" spans="1:33" ht="14.5" x14ac:dyDescent="0.35">
      <c r="A13378" s="34"/>
      <c r="B13378" s="35"/>
      <c r="C13378" s="36"/>
      <c r="D13378" s="37"/>
      <c r="E13378" s="36"/>
      <c r="F13378" s="42"/>
      <c r="G13378" s="42"/>
      <c r="H13378" s="42"/>
      <c r="AG13378" s="19"/>
    </row>
    <row r="13379" spans="1:33" ht="14.5" x14ac:dyDescent="0.35">
      <c r="A13379" s="34"/>
      <c r="B13379" s="35"/>
      <c r="C13379" s="36"/>
      <c r="D13379" s="37"/>
      <c r="E13379" s="36"/>
      <c r="F13379" s="42"/>
      <c r="G13379" s="42"/>
      <c r="H13379" s="42"/>
      <c r="AG13379" s="19"/>
    </row>
    <row r="13380" spans="1:33" ht="14.5" x14ac:dyDescent="0.35">
      <c r="A13380" s="34"/>
      <c r="B13380" s="35"/>
      <c r="C13380" s="36"/>
      <c r="D13380" s="37"/>
      <c r="E13380" s="36"/>
      <c r="F13380" s="42"/>
      <c r="G13380" s="42"/>
      <c r="H13380" s="42"/>
      <c r="AG13380" s="19"/>
    </row>
    <row r="13381" spans="1:33" ht="14.5" x14ac:dyDescent="0.35">
      <c r="A13381" s="34"/>
      <c r="B13381" s="35"/>
      <c r="C13381" s="36"/>
      <c r="D13381" s="37"/>
      <c r="E13381" s="36"/>
      <c r="F13381" s="42"/>
      <c r="G13381" s="42"/>
      <c r="H13381" s="42"/>
      <c r="AG13381" s="19"/>
    </row>
    <row r="13382" spans="1:33" ht="14.5" x14ac:dyDescent="0.35">
      <c r="A13382" s="34"/>
      <c r="B13382" s="35"/>
      <c r="C13382" s="36"/>
      <c r="D13382" s="37"/>
      <c r="E13382" s="36"/>
      <c r="F13382" s="42"/>
      <c r="G13382" s="42"/>
      <c r="H13382" s="42"/>
      <c r="AG13382" s="19"/>
    </row>
    <row r="13383" spans="1:33" ht="14.5" x14ac:dyDescent="0.35">
      <c r="A13383" s="34"/>
      <c r="B13383" s="35"/>
      <c r="C13383" s="36"/>
      <c r="D13383" s="37"/>
      <c r="E13383" s="36"/>
      <c r="F13383" s="42"/>
      <c r="G13383" s="42"/>
      <c r="H13383" s="42"/>
      <c r="AG13383" s="19"/>
    </row>
    <row r="13384" spans="1:33" ht="14.5" x14ac:dyDescent="0.35">
      <c r="A13384" s="34"/>
      <c r="B13384" s="35"/>
      <c r="C13384" s="36"/>
      <c r="D13384" s="37"/>
      <c r="E13384" s="36"/>
      <c r="F13384" s="42"/>
      <c r="G13384" s="42"/>
      <c r="H13384" s="42"/>
      <c r="AG13384" s="19"/>
    </row>
    <row r="13385" spans="1:33" ht="14.5" x14ac:dyDescent="0.35">
      <c r="A13385" s="34"/>
      <c r="B13385" s="35"/>
      <c r="C13385" s="36"/>
      <c r="D13385" s="37"/>
      <c r="E13385" s="36"/>
      <c r="F13385" s="42"/>
      <c r="G13385" s="42"/>
      <c r="H13385" s="42"/>
      <c r="AG13385" s="19"/>
    </row>
    <row r="13386" spans="1:33" ht="14.5" x14ac:dyDescent="0.35">
      <c r="A13386" s="34"/>
      <c r="B13386" s="35"/>
      <c r="C13386" s="36"/>
      <c r="D13386" s="37"/>
      <c r="E13386" s="36"/>
      <c r="F13386" s="42"/>
      <c r="G13386" s="42"/>
      <c r="H13386" s="42"/>
      <c r="AG13386" s="19"/>
    </row>
    <row r="13387" spans="1:33" ht="14.5" x14ac:dyDescent="0.35">
      <c r="A13387" s="34"/>
      <c r="B13387" s="35"/>
      <c r="C13387" s="36"/>
      <c r="D13387" s="37"/>
      <c r="E13387" s="36"/>
      <c r="F13387" s="42"/>
      <c r="G13387" s="42"/>
      <c r="H13387" s="42"/>
      <c r="AG13387" s="19"/>
    </row>
    <row r="13388" spans="1:33" ht="14.5" x14ac:dyDescent="0.35">
      <c r="A13388" s="34"/>
      <c r="B13388" s="35"/>
      <c r="C13388" s="36"/>
      <c r="D13388" s="37"/>
      <c r="E13388" s="36"/>
      <c r="F13388" s="42"/>
      <c r="G13388" s="42"/>
      <c r="H13388" s="42"/>
      <c r="AG13388" s="19"/>
    </row>
    <row r="13389" spans="1:33" ht="14.5" x14ac:dyDescent="0.35">
      <c r="A13389" s="34"/>
      <c r="B13389" s="35"/>
      <c r="C13389" s="36"/>
      <c r="D13389" s="37"/>
      <c r="E13389" s="36"/>
      <c r="F13389" s="42"/>
      <c r="G13389" s="42"/>
      <c r="H13389" s="42"/>
      <c r="AG13389" s="19"/>
    </row>
    <row r="13390" spans="1:33" ht="14.5" x14ac:dyDescent="0.35">
      <c r="A13390" s="34"/>
      <c r="B13390" s="35"/>
      <c r="C13390" s="36"/>
      <c r="D13390" s="37"/>
      <c r="E13390" s="36"/>
      <c r="F13390" s="42"/>
      <c r="G13390" s="42"/>
      <c r="H13390" s="42"/>
      <c r="AG13390" s="19"/>
    </row>
    <row r="13391" spans="1:33" ht="14.5" x14ac:dyDescent="0.35">
      <c r="A13391" s="34"/>
      <c r="B13391" s="35"/>
      <c r="C13391" s="36"/>
      <c r="D13391" s="37"/>
      <c r="E13391" s="36"/>
      <c r="F13391" s="42"/>
      <c r="G13391" s="42"/>
      <c r="H13391" s="42"/>
      <c r="AG13391" s="19"/>
    </row>
    <row r="13392" spans="1:33" ht="14.5" x14ac:dyDescent="0.35">
      <c r="A13392" s="34"/>
      <c r="B13392" s="35"/>
      <c r="C13392" s="36"/>
      <c r="D13392" s="37"/>
      <c r="E13392" s="36"/>
      <c r="F13392" s="42"/>
      <c r="G13392" s="42"/>
      <c r="H13392" s="42"/>
      <c r="AG13392" s="19"/>
    </row>
    <row r="13393" spans="1:33" ht="14.5" x14ac:dyDescent="0.35">
      <c r="A13393" s="34"/>
      <c r="B13393" s="35"/>
      <c r="C13393" s="36"/>
      <c r="D13393" s="37"/>
      <c r="E13393" s="36"/>
      <c r="F13393" s="42"/>
      <c r="G13393" s="42"/>
      <c r="H13393" s="42"/>
      <c r="AG13393" s="19"/>
    </row>
    <row r="13394" spans="1:33" ht="14.5" x14ac:dyDescent="0.35">
      <c r="A13394" s="34"/>
      <c r="B13394" s="35"/>
      <c r="C13394" s="36"/>
      <c r="D13394" s="37"/>
      <c r="E13394" s="36"/>
      <c r="F13394" s="42"/>
      <c r="G13394" s="42"/>
      <c r="H13394" s="42"/>
      <c r="AG13394" s="19"/>
    </row>
    <row r="13395" spans="1:33" ht="14.5" x14ac:dyDescent="0.35">
      <c r="A13395" s="34"/>
      <c r="B13395" s="35"/>
      <c r="C13395" s="36"/>
      <c r="D13395" s="37"/>
      <c r="E13395" s="36"/>
      <c r="F13395" s="42"/>
      <c r="G13395" s="42"/>
      <c r="H13395" s="42"/>
      <c r="AG13395" s="19"/>
    </row>
    <row r="13396" spans="1:33" ht="14.5" x14ac:dyDescent="0.35">
      <c r="A13396" s="34"/>
      <c r="B13396" s="35"/>
      <c r="C13396" s="36"/>
      <c r="D13396" s="37"/>
      <c r="E13396" s="36"/>
      <c r="F13396" s="42"/>
      <c r="G13396" s="42"/>
      <c r="H13396" s="42"/>
      <c r="AG13396" s="19"/>
    </row>
    <row r="13397" spans="1:33" ht="14.5" x14ac:dyDescent="0.35">
      <c r="A13397" s="34"/>
      <c r="B13397" s="35"/>
      <c r="C13397" s="36"/>
      <c r="D13397" s="37"/>
      <c r="E13397" s="36"/>
      <c r="F13397" s="42"/>
      <c r="G13397" s="42"/>
      <c r="H13397" s="42"/>
      <c r="AG13397" s="19"/>
    </row>
    <row r="13398" spans="1:33" ht="14.5" x14ac:dyDescent="0.35">
      <c r="A13398" s="34"/>
      <c r="B13398" s="35"/>
      <c r="C13398" s="36"/>
      <c r="D13398" s="37"/>
      <c r="E13398" s="36"/>
      <c r="F13398" s="42"/>
      <c r="G13398" s="42"/>
      <c r="H13398" s="42"/>
      <c r="AG13398" s="19"/>
    </row>
    <row r="13399" spans="1:33" ht="14.5" x14ac:dyDescent="0.35">
      <c r="A13399" s="34"/>
      <c r="B13399" s="35"/>
      <c r="C13399" s="36"/>
      <c r="D13399" s="37"/>
      <c r="E13399" s="36"/>
      <c r="F13399" s="42"/>
      <c r="G13399" s="42"/>
      <c r="H13399" s="42"/>
      <c r="AG13399" s="19"/>
    </row>
    <row r="13400" spans="1:33" ht="14.5" x14ac:dyDescent="0.35">
      <c r="A13400" s="34"/>
      <c r="B13400" s="35"/>
      <c r="C13400" s="36"/>
      <c r="D13400" s="37"/>
      <c r="E13400" s="36"/>
      <c r="F13400" s="42"/>
      <c r="G13400" s="42"/>
      <c r="H13400" s="42"/>
      <c r="AG13400" s="19"/>
    </row>
    <row r="13401" spans="1:33" ht="14.5" x14ac:dyDescent="0.35">
      <c r="A13401" s="34"/>
      <c r="B13401" s="35"/>
      <c r="C13401" s="36"/>
      <c r="D13401" s="37"/>
      <c r="E13401" s="36"/>
      <c r="F13401" s="42"/>
      <c r="G13401" s="42"/>
      <c r="H13401" s="42"/>
      <c r="AG13401" s="19"/>
    </row>
    <row r="13402" spans="1:33" ht="14.5" x14ac:dyDescent="0.35">
      <c r="A13402" s="34"/>
      <c r="B13402" s="35"/>
      <c r="C13402" s="36"/>
      <c r="D13402" s="37"/>
      <c r="E13402" s="36"/>
      <c r="F13402" s="42"/>
      <c r="G13402" s="42"/>
      <c r="H13402" s="42"/>
      <c r="AG13402" s="19"/>
    </row>
    <row r="13403" spans="1:33" ht="14.5" x14ac:dyDescent="0.35">
      <c r="A13403" s="34"/>
      <c r="B13403" s="35"/>
      <c r="C13403" s="36"/>
      <c r="D13403" s="37"/>
      <c r="E13403" s="36"/>
      <c r="F13403" s="42"/>
      <c r="G13403" s="42"/>
      <c r="H13403" s="42"/>
      <c r="AG13403" s="19"/>
    </row>
    <row r="13404" spans="1:33" ht="14.5" x14ac:dyDescent="0.35">
      <c r="A13404" s="34"/>
      <c r="B13404" s="35"/>
      <c r="C13404" s="36"/>
      <c r="D13404" s="37"/>
      <c r="E13404" s="36"/>
      <c r="F13404" s="42"/>
      <c r="G13404" s="42"/>
      <c r="H13404" s="42"/>
      <c r="AG13404" s="19"/>
    </row>
    <row r="13405" spans="1:33" ht="14.5" x14ac:dyDescent="0.35">
      <c r="A13405" s="34"/>
      <c r="B13405" s="35"/>
      <c r="C13405" s="36"/>
      <c r="D13405" s="37"/>
      <c r="E13405" s="36"/>
      <c r="F13405" s="42"/>
      <c r="G13405" s="42"/>
      <c r="H13405" s="42"/>
      <c r="AG13405" s="19"/>
    </row>
    <row r="13406" spans="1:33" ht="14.5" x14ac:dyDescent="0.35">
      <c r="A13406" s="34"/>
      <c r="B13406" s="35"/>
      <c r="C13406" s="36"/>
      <c r="D13406" s="37"/>
      <c r="E13406" s="36"/>
      <c r="F13406" s="42"/>
      <c r="G13406" s="42"/>
      <c r="H13406" s="42"/>
      <c r="AG13406" s="19"/>
    </row>
    <row r="13407" spans="1:33" ht="14.5" x14ac:dyDescent="0.35">
      <c r="A13407" s="34"/>
      <c r="B13407" s="35"/>
      <c r="C13407" s="36"/>
      <c r="D13407" s="37"/>
      <c r="E13407" s="36"/>
      <c r="F13407" s="42"/>
      <c r="G13407" s="42"/>
      <c r="H13407" s="42"/>
      <c r="AG13407" s="19"/>
    </row>
    <row r="13408" spans="1:33" ht="14.5" x14ac:dyDescent="0.35">
      <c r="A13408" s="34"/>
      <c r="B13408" s="35"/>
      <c r="C13408" s="36"/>
      <c r="D13408" s="37"/>
      <c r="E13408" s="36"/>
      <c r="F13408" s="42"/>
      <c r="G13408" s="42"/>
      <c r="H13408" s="42"/>
      <c r="AG13408" s="19"/>
    </row>
    <row r="13409" spans="1:33" ht="14.5" x14ac:dyDescent="0.35">
      <c r="A13409" s="34"/>
      <c r="B13409" s="35"/>
      <c r="C13409" s="36"/>
      <c r="D13409" s="37"/>
      <c r="E13409" s="36"/>
      <c r="F13409" s="42"/>
      <c r="G13409" s="42"/>
      <c r="H13409" s="42"/>
      <c r="AG13409" s="19"/>
    </row>
    <row r="13410" spans="1:33" ht="14.5" x14ac:dyDescent="0.35">
      <c r="A13410" s="34"/>
      <c r="B13410" s="35"/>
      <c r="C13410" s="36"/>
      <c r="D13410" s="37"/>
      <c r="E13410" s="36"/>
      <c r="F13410" s="42"/>
      <c r="G13410" s="42"/>
      <c r="H13410" s="42"/>
      <c r="AG13410" s="19"/>
    </row>
    <row r="13411" spans="1:33" ht="14.5" x14ac:dyDescent="0.35">
      <c r="A13411" s="34"/>
      <c r="B13411" s="35"/>
      <c r="C13411" s="36"/>
      <c r="D13411" s="37"/>
      <c r="E13411" s="36"/>
      <c r="F13411" s="42"/>
      <c r="G13411" s="42"/>
      <c r="H13411" s="42"/>
      <c r="AG13411" s="19"/>
    </row>
    <row r="13412" spans="1:33" ht="14.5" x14ac:dyDescent="0.35">
      <c r="A13412" s="34"/>
      <c r="B13412" s="35"/>
      <c r="C13412" s="36"/>
      <c r="D13412" s="37"/>
      <c r="E13412" s="36"/>
      <c r="F13412" s="42"/>
      <c r="G13412" s="42"/>
      <c r="H13412" s="42"/>
      <c r="AG13412" s="19"/>
    </row>
    <row r="13413" spans="1:33" ht="14.5" x14ac:dyDescent="0.35">
      <c r="A13413" s="34"/>
      <c r="B13413" s="35"/>
      <c r="C13413" s="36"/>
      <c r="D13413" s="37"/>
      <c r="E13413" s="36"/>
      <c r="F13413" s="42"/>
      <c r="G13413" s="42"/>
      <c r="H13413" s="42"/>
      <c r="AG13413" s="19"/>
    </row>
    <row r="13414" spans="1:33" ht="14.5" x14ac:dyDescent="0.35">
      <c r="A13414" s="34"/>
      <c r="B13414" s="35"/>
      <c r="C13414" s="36"/>
      <c r="D13414" s="37"/>
      <c r="E13414" s="36"/>
      <c r="F13414" s="42"/>
      <c r="G13414" s="42"/>
      <c r="H13414" s="42"/>
      <c r="AG13414" s="19"/>
    </row>
    <row r="13415" spans="1:33" ht="14.5" x14ac:dyDescent="0.35">
      <c r="A13415" s="34"/>
      <c r="B13415" s="35"/>
      <c r="C13415" s="36"/>
      <c r="D13415" s="37"/>
      <c r="E13415" s="36"/>
      <c r="F13415" s="42"/>
      <c r="G13415" s="42"/>
      <c r="H13415" s="42"/>
      <c r="AG13415" s="19"/>
    </row>
    <row r="13416" spans="1:33" ht="14.5" x14ac:dyDescent="0.35">
      <c r="A13416" s="34"/>
      <c r="B13416" s="35"/>
      <c r="C13416" s="36"/>
      <c r="D13416" s="37"/>
      <c r="E13416" s="36"/>
      <c r="F13416" s="42"/>
      <c r="G13416" s="42"/>
      <c r="H13416" s="42"/>
      <c r="AG13416" s="19"/>
    </row>
    <row r="13417" spans="1:33" ht="14.5" x14ac:dyDescent="0.35">
      <c r="A13417" s="34"/>
      <c r="B13417" s="35"/>
      <c r="C13417" s="36"/>
      <c r="D13417" s="37"/>
      <c r="E13417" s="36"/>
      <c r="F13417" s="42"/>
      <c r="G13417" s="42"/>
      <c r="H13417" s="42"/>
      <c r="AG13417" s="19"/>
    </row>
    <row r="13418" spans="1:33" ht="14.5" x14ac:dyDescent="0.35">
      <c r="A13418" s="34"/>
      <c r="B13418" s="35"/>
      <c r="C13418" s="36"/>
      <c r="D13418" s="37"/>
      <c r="E13418" s="36"/>
      <c r="F13418" s="42"/>
      <c r="G13418" s="42"/>
      <c r="H13418" s="42"/>
      <c r="AG13418" s="19"/>
    </row>
    <row r="13419" spans="1:33" ht="14.5" x14ac:dyDescent="0.35">
      <c r="A13419" s="34"/>
      <c r="B13419" s="35"/>
      <c r="C13419" s="36"/>
      <c r="D13419" s="37"/>
      <c r="E13419" s="36"/>
      <c r="F13419" s="42"/>
      <c r="G13419" s="42"/>
      <c r="H13419" s="42"/>
      <c r="AG13419" s="19"/>
    </row>
    <row r="13420" spans="1:33" ht="14.5" x14ac:dyDescent="0.35">
      <c r="A13420" s="34"/>
      <c r="B13420" s="35"/>
      <c r="C13420" s="36"/>
      <c r="D13420" s="37"/>
      <c r="E13420" s="36"/>
      <c r="F13420" s="42"/>
      <c r="G13420" s="42"/>
      <c r="H13420" s="42"/>
      <c r="AG13420" s="19"/>
    </row>
    <row r="13421" spans="1:33" ht="14.5" x14ac:dyDescent="0.35">
      <c r="A13421" s="34"/>
      <c r="B13421" s="35"/>
      <c r="C13421" s="36"/>
      <c r="D13421" s="37"/>
      <c r="E13421" s="36"/>
      <c r="F13421" s="42"/>
      <c r="G13421" s="42"/>
      <c r="H13421" s="42"/>
      <c r="AG13421" s="19"/>
    </row>
    <row r="13422" spans="1:33" ht="14.5" x14ac:dyDescent="0.35">
      <c r="A13422" s="34"/>
      <c r="B13422" s="35"/>
      <c r="C13422" s="36"/>
      <c r="D13422" s="37"/>
      <c r="E13422" s="36"/>
      <c r="F13422" s="42"/>
      <c r="G13422" s="42"/>
      <c r="H13422" s="42"/>
      <c r="AG13422" s="19"/>
    </row>
    <row r="13423" spans="1:33" ht="14.5" x14ac:dyDescent="0.35">
      <c r="A13423" s="34"/>
      <c r="B13423" s="35"/>
      <c r="C13423" s="36"/>
      <c r="D13423" s="37"/>
      <c r="E13423" s="36"/>
      <c r="F13423" s="42"/>
      <c r="G13423" s="42"/>
      <c r="H13423" s="42"/>
      <c r="AG13423" s="19"/>
    </row>
    <row r="13424" spans="1:33" ht="14.5" x14ac:dyDescent="0.35">
      <c r="A13424" s="34"/>
      <c r="B13424" s="35"/>
      <c r="C13424" s="36"/>
      <c r="D13424" s="37"/>
      <c r="E13424" s="36"/>
      <c r="F13424" s="42"/>
      <c r="G13424" s="42"/>
      <c r="H13424" s="42"/>
      <c r="AG13424" s="19"/>
    </row>
    <row r="13425" spans="1:33" ht="14.5" x14ac:dyDescent="0.35">
      <c r="A13425" s="34"/>
      <c r="B13425" s="35"/>
      <c r="C13425" s="36"/>
      <c r="D13425" s="37"/>
      <c r="E13425" s="36"/>
      <c r="F13425" s="42"/>
      <c r="G13425" s="42"/>
      <c r="H13425" s="42"/>
      <c r="AG13425" s="19"/>
    </row>
    <row r="13426" spans="1:33" ht="14.5" x14ac:dyDescent="0.35">
      <c r="A13426" s="34"/>
      <c r="B13426" s="35"/>
      <c r="C13426" s="36"/>
      <c r="D13426" s="37"/>
      <c r="E13426" s="36"/>
      <c r="F13426" s="42"/>
      <c r="G13426" s="42"/>
      <c r="H13426" s="42"/>
      <c r="AG13426" s="19"/>
    </row>
    <row r="13427" spans="1:33" ht="14.5" x14ac:dyDescent="0.35">
      <c r="A13427" s="34"/>
      <c r="B13427" s="35"/>
      <c r="C13427" s="36"/>
      <c r="D13427" s="37"/>
      <c r="E13427" s="36"/>
      <c r="F13427" s="42"/>
      <c r="G13427" s="42"/>
      <c r="H13427" s="42"/>
      <c r="AG13427" s="19"/>
    </row>
    <row r="13428" spans="1:33" ht="14.5" x14ac:dyDescent="0.35">
      <c r="A13428" s="34"/>
      <c r="B13428" s="35"/>
      <c r="C13428" s="36"/>
      <c r="D13428" s="37"/>
      <c r="E13428" s="36"/>
      <c r="F13428" s="42"/>
      <c r="G13428" s="42"/>
      <c r="H13428" s="42"/>
      <c r="AG13428" s="19"/>
    </row>
    <row r="13429" spans="1:33" ht="14.5" x14ac:dyDescent="0.35">
      <c r="A13429" s="34"/>
      <c r="B13429" s="35"/>
      <c r="C13429" s="36"/>
      <c r="D13429" s="37"/>
      <c r="E13429" s="36"/>
      <c r="F13429" s="42"/>
      <c r="G13429" s="42"/>
      <c r="H13429" s="42"/>
      <c r="AG13429" s="19"/>
    </row>
    <row r="13430" spans="1:33" ht="14.5" x14ac:dyDescent="0.35">
      <c r="A13430" s="34"/>
      <c r="B13430" s="35"/>
      <c r="C13430" s="36"/>
      <c r="D13430" s="37"/>
      <c r="E13430" s="36"/>
      <c r="F13430" s="42"/>
      <c r="G13430" s="42"/>
      <c r="H13430" s="42"/>
      <c r="AG13430" s="19"/>
    </row>
    <row r="13431" spans="1:33" ht="14.5" x14ac:dyDescent="0.35">
      <c r="A13431" s="34"/>
      <c r="B13431" s="35"/>
      <c r="C13431" s="36"/>
      <c r="D13431" s="37"/>
      <c r="E13431" s="36"/>
      <c r="F13431" s="42"/>
      <c r="G13431" s="42"/>
      <c r="H13431" s="42"/>
      <c r="AG13431" s="19"/>
    </row>
    <row r="13432" spans="1:33" ht="14.5" x14ac:dyDescent="0.35">
      <c r="A13432" s="34"/>
      <c r="B13432" s="35"/>
      <c r="C13432" s="36"/>
      <c r="D13432" s="37"/>
      <c r="E13432" s="36"/>
      <c r="F13432" s="42"/>
      <c r="G13432" s="42"/>
      <c r="H13432" s="42"/>
      <c r="AG13432" s="19"/>
    </row>
    <row r="13433" spans="1:33" ht="14.5" x14ac:dyDescent="0.35">
      <c r="A13433" s="34"/>
      <c r="B13433" s="35"/>
      <c r="C13433" s="36"/>
      <c r="D13433" s="37"/>
      <c r="E13433" s="36"/>
      <c r="F13433" s="42"/>
      <c r="G13433" s="42"/>
      <c r="H13433" s="42"/>
      <c r="AG13433" s="19"/>
    </row>
    <row r="13434" spans="1:33" ht="14.5" x14ac:dyDescent="0.35">
      <c r="A13434" s="34"/>
      <c r="B13434" s="35"/>
      <c r="C13434" s="36"/>
      <c r="D13434" s="37"/>
      <c r="E13434" s="36"/>
      <c r="F13434" s="42"/>
      <c r="G13434" s="42"/>
      <c r="H13434" s="42"/>
      <c r="AG13434" s="19"/>
    </row>
    <row r="13435" spans="1:33" ht="14.5" x14ac:dyDescent="0.35">
      <c r="A13435" s="34"/>
      <c r="B13435" s="35"/>
      <c r="C13435" s="36"/>
      <c r="D13435" s="37"/>
      <c r="E13435" s="36"/>
      <c r="F13435" s="42"/>
      <c r="G13435" s="42"/>
      <c r="H13435" s="42"/>
      <c r="AG13435" s="19"/>
    </row>
    <row r="13436" spans="1:33" ht="14.5" x14ac:dyDescent="0.35">
      <c r="A13436" s="34"/>
      <c r="B13436" s="35"/>
      <c r="C13436" s="36"/>
      <c r="D13436" s="37"/>
      <c r="E13436" s="36"/>
      <c r="F13436" s="42"/>
      <c r="G13436" s="42"/>
      <c r="H13436" s="42"/>
      <c r="AG13436" s="19"/>
    </row>
    <row r="13437" spans="1:33" ht="14.5" x14ac:dyDescent="0.35">
      <c r="A13437" s="34"/>
      <c r="B13437" s="35"/>
      <c r="C13437" s="36"/>
      <c r="D13437" s="37"/>
      <c r="E13437" s="36"/>
      <c r="F13437" s="42"/>
      <c r="G13437" s="42"/>
      <c r="H13437" s="42"/>
      <c r="AG13437" s="19"/>
    </row>
    <row r="13438" spans="1:33" ht="14.5" x14ac:dyDescent="0.35">
      <c r="A13438" s="34"/>
      <c r="B13438" s="35"/>
      <c r="C13438" s="36"/>
      <c r="D13438" s="37"/>
      <c r="E13438" s="36"/>
      <c r="F13438" s="42"/>
      <c r="G13438" s="42"/>
      <c r="H13438" s="42"/>
      <c r="AG13438" s="19"/>
    </row>
    <row r="13439" spans="1:33" ht="14.5" x14ac:dyDescent="0.35">
      <c r="A13439" s="34"/>
      <c r="B13439" s="35"/>
      <c r="C13439" s="36"/>
      <c r="D13439" s="37"/>
      <c r="E13439" s="36"/>
      <c r="F13439" s="42"/>
      <c r="G13439" s="42"/>
      <c r="H13439" s="42"/>
      <c r="AG13439" s="19"/>
    </row>
    <row r="13440" spans="1:33" ht="14.5" x14ac:dyDescent="0.35">
      <c r="A13440" s="34"/>
      <c r="B13440" s="35"/>
      <c r="C13440" s="36"/>
      <c r="D13440" s="37"/>
      <c r="E13440" s="36"/>
      <c r="F13440" s="42"/>
      <c r="G13440" s="42"/>
      <c r="H13440" s="42"/>
      <c r="AG13440" s="19"/>
    </row>
    <row r="13441" spans="1:33" ht="14.5" x14ac:dyDescent="0.35">
      <c r="A13441" s="34"/>
      <c r="B13441" s="35"/>
      <c r="C13441" s="36"/>
      <c r="D13441" s="37"/>
      <c r="E13441" s="36"/>
      <c r="F13441" s="42"/>
      <c r="G13441" s="42"/>
      <c r="H13441" s="42"/>
      <c r="AG13441" s="19"/>
    </row>
    <row r="13442" spans="1:33" ht="14.5" x14ac:dyDescent="0.35">
      <c r="A13442" s="34"/>
      <c r="B13442" s="35"/>
      <c r="C13442" s="36"/>
      <c r="D13442" s="37"/>
      <c r="E13442" s="36"/>
      <c r="F13442" s="42"/>
      <c r="G13442" s="42"/>
      <c r="H13442" s="42"/>
      <c r="AG13442" s="19"/>
    </row>
    <row r="13443" spans="1:33" ht="14.5" x14ac:dyDescent="0.35">
      <c r="A13443" s="34"/>
      <c r="B13443" s="35"/>
      <c r="C13443" s="36"/>
      <c r="D13443" s="37"/>
      <c r="E13443" s="36"/>
      <c r="F13443" s="42"/>
      <c r="G13443" s="42"/>
      <c r="H13443" s="42"/>
      <c r="AG13443" s="19"/>
    </row>
    <row r="13444" spans="1:33" ht="14.5" x14ac:dyDescent="0.35">
      <c r="A13444" s="34"/>
      <c r="B13444" s="35"/>
      <c r="C13444" s="36"/>
      <c r="D13444" s="37"/>
      <c r="E13444" s="36"/>
      <c r="F13444" s="42"/>
      <c r="G13444" s="42"/>
      <c r="H13444" s="42"/>
      <c r="AG13444" s="19"/>
    </row>
    <row r="13445" spans="1:33" ht="14.5" x14ac:dyDescent="0.35">
      <c r="A13445" s="34"/>
      <c r="B13445" s="35"/>
      <c r="C13445" s="36"/>
      <c r="D13445" s="37"/>
      <c r="E13445" s="36"/>
      <c r="F13445" s="42"/>
      <c r="G13445" s="42"/>
      <c r="H13445" s="42"/>
      <c r="AG13445" s="19"/>
    </row>
    <row r="13446" spans="1:33" ht="14.5" x14ac:dyDescent="0.35">
      <c r="A13446" s="34"/>
      <c r="B13446" s="35"/>
      <c r="C13446" s="36"/>
      <c r="D13446" s="37"/>
      <c r="E13446" s="36"/>
      <c r="F13446" s="42"/>
      <c r="G13446" s="42"/>
      <c r="H13446" s="42"/>
      <c r="AG13446" s="19"/>
    </row>
    <row r="13447" spans="1:33" ht="14.5" x14ac:dyDescent="0.35">
      <c r="A13447" s="34"/>
      <c r="B13447" s="35"/>
      <c r="C13447" s="36"/>
      <c r="D13447" s="37"/>
      <c r="E13447" s="36"/>
      <c r="F13447" s="42"/>
      <c r="G13447" s="42"/>
      <c r="H13447" s="42"/>
      <c r="AG13447" s="19"/>
    </row>
    <row r="13448" spans="1:33" ht="14.5" x14ac:dyDescent="0.35">
      <c r="A13448" s="34"/>
      <c r="B13448" s="35"/>
      <c r="C13448" s="36"/>
      <c r="D13448" s="37"/>
      <c r="E13448" s="36"/>
      <c r="F13448" s="42"/>
      <c r="G13448" s="42"/>
      <c r="H13448" s="42"/>
      <c r="AG13448" s="19"/>
    </row>
    <row r="13449" spans="1:33" ht="14.5" x14ac:dyDescent="0.35">
      <c r="A13449" s="34"/>
      <c r="B13449" s="35"/>
      <c r="C13449" s="36"/>
      <c r="D13449" s="37"/>
      <c r="E13449" s="36"/>
      <c r="F13449" s="42"/>
      <c r="G13449" s="42"/>
      <c r="H13449" s="42"/>
      <c r="AG13449" s="19"/>
    </row>
    <row r="13450" spans="1:33" ht="14.5" x14ac:dyDescent="0.35">
      <c r="A13450" s="34"/>
      <c r="B13450" s="35"/>
      <c r="C13450" s="36"/>
      <c r="D13450" s="37"/>
      <c r="E13450" s="36"/>
      <c r="F13450" s="42"/>
      <c r="G13450" s="42"/>
      <c r="H13450" s="42"/>
      <c r="AG13450" s="19"/>
    </row>
    <row r="13451" spans="1:33" ht="14.5" x14ac:dyDescent="0.35">
      <c r="A13451" s="34"/>
      <c r="B13451" s="35"/>
      <c r="C13451" s="36"/>
      <c r="D13451" s="37"/>
      <c r="E13451" s="36"/>
      <c r="F13451" s="42"/>
      <c r="G13451" s="42"/>
      <c r="H13451" s="42"/>
      <c r="AG13451" s="19"/>
    </row>
    <row r="13452" spans="1:33" ht="14.5" x14ac:dyDescent="0.35">
      <c r="A13452" s="34"/>
      <c r="B13452" s="35"/>
      <c r="C13452" s="36"/>
      <c r="D13452" s="37"/>
      <c r="E13452" s="36"/>
      <c r="F13452" s="42"/>
      <c r="G13452" s="42"/>
      <c r="H13452" s="42"/>
      <c r="AG13452" s="19"/>
    </row>
    <row r="13453" spans="1:33" ht="14.5" x14ac:dyDescent="0.35">
      <c r="A13453" s="34"/>
      <c r="B13453" s="35"/>
      <c r="C13453" s="36"/>
      <c r="D13453" s="37"/>
      <c r="E13453" s="36"/>
      <c r="F13453" s="42"/>
      <c r="G13453" s="42"/>
      <c r="H13453" s="42"/>
      <c r="AG13453" s="19"/>
    </row>
    <row r="13454" spans="1:33" ht="14.5" x14ac:dyDescent="0.35">
      <c r="A13454" s="34"/>
      <c r="B13454" s="35"/>
      <c r="C13454" s="36"/>
      <c r="D13454" s="37"/>
      <c r="E13454" s="36"/>
      <c r="F13454" s="42"/>
      <c r="G13454" s="42"/>
      <c r="H13454" s="42"/>
      <c r="AG13454" s="19"/>
    </row>
    <row r="13455" spans="1:33" ht="14.5" x14ac:dyDescent="0.35">
      <c r="A13455" s="34"/>
      <c r="B13455" s="35"/>
      <c r="C13455" s="36"/>
      <c r="D13455" s="37"/>
      <c r="E13455" s="36"/>
      <c r="F13455" s="42"/>
      <c r="G13455" s="42"/>
      <c r="H13455" s="42"/>
      <c r="AG13455" s="19"/>
    </row>
    <row r="13456" spans="1:33" ht="14.5" x14ac:dyDescent="0.35">
      <c r="A13456" s="34"/>
      <c r="B13456" s="35"/>
      <c r="C13456" s="36"/>
      <c r="D13456" s="37"/>
      <c r="E13456" s="36"/>
      <c r="F13456" s="42"/>
      <c r="G13456" s="42"/>
      <c r="H13456" s="42"/>
      <c r="AG13456" s="19"/>
    </row>
    <row r="13457" spans="1:33" ht="14.5" x14ac:dyDescent="0.35">
      <c r="A13457" s="34"/>
      <c r="B13457" s="35"/>
      <c r="C13457" s="36"/>
      <c r="D13457" s="37"/>
      <c r="E13457" s="36"/>
      <c r="F13457" s="42"/>
      <c r="G13457" s="42"/>
      <c r="H13457" s="42"/>
      <c r="AG13457" s="19"/>
    </row>
    <row r="13458" spans="1:33" ht="14.5" x14ac:dyDescent="0.35">
      <c r="A13458" s="34"/>
      <c r="B13458" s="35"/>
      <c r="C13458" s="36"/>
      <c r="D13458" s="37"/>
      <c r="E13458" s="36"/>
      <c r="F13458" s="42"/>
      <c r="G13458" s="42"/>
      <c r="H13458" s="42"/>
      <c r="AG13458" s="19"/>
    </row>
    <row r="13459" spans="1:33" ht="14.5" x14ac:dyDescent="0.35">
      <c r="A13459" s="34"/>
      <c r="B13459" s="35"/>
      <c r="C13459" s="36"/>
      <c r="D13459" s="37"/>
      <c r="E13459" s="36"/>
      <c r="F13459" s="42"/>
      <c r="G13459" s="42"/>
      <c r="H13459" s="42"/>
      <c r="AG13459" s="19"/>
    </row>
    <row r="13460" spans="1:33" ht="14.5" x14ac:dyDescent="0.35">
      <c r="A13460" s="34"/>
      <c r="B13460" s="35"/>
      <c r="C13460" s="36"/>
      <c r="D13460" s="37"/>
      <c r="E13460" s="36"/>
      <c r="F13460" s="42"/>
      <c r="G13460" s="42"/>
      <c r="H13460" s="42"/>
      <c r="AG13460" s="19"/>
    </row>
    <row r="13461" spans="1:33" ht="14.5" x14ac:dyDescent="0.35">
      <c r="A13461" s="34"/>
      <c r="B13461" s="35"/>
      <c r="C13461" s="36"/>
      <c r="D13461" s="37"/>
      <c r="E13461" s="36"/>
      <c r="F13461" s="42"/>
      <c r="G13461" s="42"/>
      <c r="H13461" s="42"/>
      <c r="AG13461" s="19"/>
    </row>
    <row r="13462" spans="1:33" ht="14.5" x14ac:dyDescent="0.35">
      <c r="A13462" s="34"/>
      <c r="B13462" s="35"/>
      <c r="C13462" s="36"/>
      <c r="D13462" s="37"/>
      <c r="E13462" s="36"/>
      <c r="F13462" s="42"/>
      <c r="G13462" s="42"/>
      <c r="H13462" s="42"/>
      <c r="AG13462" s="19"/>
    </row>
    <row r="13463" spans="1:33" ht="14.5" x14ac:dyDescent="0.35">
      <c r="A13463" s="34"/>
      <c r="B13463" s="35"/>
      <c r="C13463" s="36"/>
      <c r="D13463" s="37"/>
      <c r="E13463" s="36"/>
      <c r="F13463" s="42"/>
      <c r="G13463" s="42"/>
      <c r="H13463" s="42"/>
      <c r="AG13463" s="19"/>
    </row>
    <row r="13464" spans="1:33" ht="14.5" x14ac:dyDescent="0.35">
      <c r="A13464" s="34"/>
      <c r="B13464" s="35"/>
      <c r="C13464" s="36"/>
      <c r="D13464" s="37"/>
      <c r="E13464" s="36"/>
      <c r="F13464" s="42"/>
      <c r="G13464" s="42"/>
      <c r="H13464" s="42"/>
      <c r="AG13464" s="19"/>
    </row>
    <row r="13465" spans="1:33" ht="14.5" x14ac:dyDescent="0.35">
      <c r="A13465" s="34"/>
      <c r="B13465" s="35"/>
      <c r="C13465" s="36"/>
      <c r="D13465" s="37"/>
      <c r="E13465" s="36"/>
      <c r="F13465" s="42"/>
      <c r="G13465" s="42"/>
      <c r="H13465" s="42"/>
      <c r="AG13465" s="19"/>
    </row>
    <row r="13466" spans="1:33" ht="14.5" x14ac:dyDescent="0.35">
      <c r="A13466" s="34"/>
      <c r="B13466" s="35"/>
      <c r="C13466" s="36"/>
      <c r="D13466" s="37"/>
      <c r="E13466" s="36"/>
      <c r="F13466" s="42"/>
      <c r="G13466" s="42"/>
      <c r="H13466" s="42"/>
      <c r="AG13466" s="19"/>
    </row>
    <row r="13467" spans="1:33" ht="14.5" x14ac:dyDescent="0.35">
      <c r="A13467" s="34"/>
      <c r="B13467" s="35"/>
      <c r="C13467" s="36"/>
      <c r="D13467" s="37"/>
      <c r="E13467" s="36"/>
      <c r="F13467" s="42"/>
      <c r="G13467" s="42"/>
      <c r="H13467" s="42"/>
      <c r="AG13467" s="19"/>
    </row>
    <row r="13468" spans="1:33" ht="14.5" x14ac:dyDescent="0.35">
      <c r="A13468" s="34"/>
      <c r="B13468" s="35"/>
      <c r="C13468" s="36"/>
      <c r="D13468" s="37"/>
      <c r="E13468" s="36"/>
      <c r="F13468" s="42"/>
      <c r="G13468" s="42"/>
      <c r="H13468" s="42"/>
      <c r="AG13468" s="19"/>
    </row>
    <row r="13469" spans="1:33" ht="14.5" x14ac:dyDescent="0.35">
      <c r="A13469" s="34"/>
      <c r="B13469" s="35"/>
      <c r="C13469" s="36"/>
      <c r="D13469" s="37"/>
      <c r="E13469" s="36"/>
      <c r="F13469" s="42"/>
      <c r="G13469" s="42"/>
      <c r="H13469" s="42"/>
      <c r="AG13469" s="19"/>
    </row>
    <row r="13470" spans="1:33" ht="14.5" x14ac:dyDescent="0.35">
      <c r="A13470" s="34"/>
      <c r="B13470" s="35"/>
      <c r="C13470" s="36"/>
      <c r="D13470" s="37"/>
      <c r="E13470" s="36"/>
      <c r="F13470" s="42"/>
      <c r="G13470" s="42"/>
      <c r="H13470" s="42"/>
      <c r="AG13470" s="19"/>
    </row>
    <row r="13471" spans="1:33" ht="14.5" x14ac:dyDescent="0.35">
      <c r="A13471" s="34"/>
      <c r="B13471" s="35"/>
      <c r="C13471" s="36"/>
      <c r="D13471" s="37"/>
      <c r="E13471" s="36"/>
      <c r="F13471" s="42"/>
      <c r="G13471" s="42"/>
      <c r="H13471" s="42"/>
      <c r="AG13471" s="19"/>
    </row>
    <row r="13472" spans="1:33" ht="14.5" x14ac:dyDescent="0.35">
      <c r="A13472" s="34"/>
      <c r="B13472" s="35"/>
      <c r="C13472" s="36"/>
      <c r="D13472" s="37"/>
      <c r="E13472" s="36"/>
      <c r="F13472" s="42"/>
      <c r="G13472" s="42"/>
      <c r="H13472" s="42"/>
      <c r="AG13472" s="19"/>
    </row>
    <row r="13473" spans="1:33" ht="14.5" x14ac:dyDescent="0.35">
      <c r="A13473" s="34"/>
      <c r="B13473" s="35"/>
      <c r="C13473" s="36"/>
      <c r="D13473" s="37"/>
      <c r="E13473" s="36"/>
      <c r="F13473" s="42"/>
      <c r="G13473" s="42"/>
      <c r="H13473" s="42"/>
      <c r="AG13473" s="19"/>
    </row>
    <row r="13474" spans="1:33" ht="14.5" x14ac:dyDescent="0.35">
      <c r="A13474" s="34"/>
      <c r="B13474" s="35"/>
      <c r="C13474" s="36"/>
      <c r="D13474" s="37"/>
      <c r="E13474" s="36"/>
      <c r="F13474" s="42"/>
      <c r="G13474" s="42"/>
      <c r="H13474" s="42"/>
      <c r="AG13474" s="19"/>
    </row>
    <row r="13475" spans="1:33" ht="14.5" x14ac:dyDescent="0.35">
      <c r="A13475" s="34"/>
      <c r="B13475" s="35"/>
      <c r="C13475" s="36"/>
      <c r="D13475" s="37"/>
      <c r="E13475" s="36"/>
      <c r="F13475" s="42"/>
      <c r="G13475" s="42"/>
      <c r="H13475" s="42"/>
      <c r="AG13475" s="19"/>
    </row>
    <row r="13476" spans="1:33" ht="14.5" x14ac:dyDescent="0.35">
      <c r="A13476" s="34"/>
      <c r="B13476" s="35"/>
      <c r="C13476" s="36"/>
      <c r="D13476" s="37"/>
      <c r="E13476" s="36"/>
      <c r="F13476" s="42"/>
      <c r="G13476" s="42"/>
      <c r="H13476" s="42"/>
      <c r="AG13476" s="19"/>
    </row>
    <row r="13477" spans="1:33" ht="14.5" x14ac:dyDescent="0.35">
      <c r="A13477" s="34"/>
      <c r="B13477" s="35"/>
      <c r="C13477" s="36"/>
      <c r="D13477" s="37"/>
      <c r="E13477" s="36"/>
      <c r="F13477" s="42"/>
      <c r="G13477" s="42"/>
      <c r="H13477" s="42"/>
      <c r="AG13477" s="19"/>
    </row>
    <row r="13478" spans="1:33" ht="14.5" x14ac:dyDescent="0.35">
      <c r="A13478" s="34"/>
      <c r="B13478" s="35"/>
      <c r="C13478" s="36"/>
      <c r="D13478" s="37"/>
      <c r="E13478" s="36"/>
      <c r="F13478" s="42"/>
      <c r="G13478" s="42"/>
      <c r="H13478" s="42"/>
      <c r="AG13478" s="19"/>
    </row>
    <row r="13479" spans="1:33" ht="14.5" x14ac:dyDescent="0.35">
      <c r="A13479" s="34"/>
      <c r="B13479" s="35"/>
      <c r="C13479" s="36"/>
      <c r="D13479" s="37"/>
      <c r="E13479" s="36"/>
      <c r="F13479" s="42"/>
      <c r="G13479" s="42"/>
      <c r="H13479" s="42"/>
      <c r="AG13479" s="19"/>
    </row>
    <row r="13480" spans="1:33" ht="14.5" x14ac:dyDescent="0.35">
      <c r="A13480" s="34"/>
      <c r="B13480" s="35"/>
      <c r="C13480" s="36"/>
      <c r="D13480" s="37"/>
      <c r="E13480" s="36"/>
      <c r="F13480" s="42"/>
      <c r="G13480" s="42"/>
      <c r="H13480" s="42"/>
      <c r="AG13480" s="19"/>
    </row>
    <row r="13481" spans="1:33" ht="14.5" x14ac:dyDescent="0.35">
      <c r="A13481" s="34"/>
      <c r="B13481" s="35"/>
      <c r="C13481" s="36"/>
      <c r="D13481" s="37"/>
      <c r="E13481" s="36"/>
      <c r="F13481" s="42"/>
      <c r="G13481" s="42"/>
      <c r="H13481" s="42"/>
      <c r="AG13481" s="19"/>
    </row>
    <row r="13482" spans="1:33" ht="14.5" x14ac:dyDescent="0.35">
      <c r="A13482" s="34"/>
      <c r="B13482" s="35"/>
      <c r="C13482" s="36"/>
      <c r="D13482" s="37"/>
      <c r="E13482" s="36"/>
      <c r="F13482" s="42"/>
      <c r="G13482" s="42"/>
      <c r="H13482" s="42"/>
      <c r="AG13482" s="19"/>
    </row>
    <row r="13483" spans="1:33" ht="14.5" x14ac:dyDescent="0.35">
      <c r="A13483" s="34"/>
      <c r="B13483" s="35"/>
      <c r="C13483" s="36"/>
      <c r="D13483" s="37"/>
      <c r="E13483" s="36"/>
      <c r="F13483" s="42"/>
      <c r="G13483" s="42"/>
      <c r="H13483" s="42"/>
      <c r="AG13483" s="19"/>
    </row>
    <row r="13484" spans="1:33" ht="14.5" x14ac:dyDescent="0.35">
      <c r="A13484" s="34"/>
      <c r="B13484" s="35"/>
      <c r="C13484" s="36"/>
      <c r="D13484" s="37"/>
      <c r="E13484" s="36"/>
      <c r="F13484" s="42"/>
      <c r="G13484" s="42"/>
      <c r="H13484" s="42"/>
      <c r="AG13484" s="19"/>
    </row>
    <row r="13485" spans="1:33" ht="14.5" x14ac:dyDescent="0.35">
      <c r="A13485" s="34"/>
      <c r="B13485" s="35"/>
      <c r="C13485" s="36"/>
      <c r="D13485" s="37"/>
      <c r="E13485" s="36"/>
      <c r="F13485" s="42"/>
      <c r="G13485" s="42"/>
      <c r="H13485" s="42"/>
      <c r="AG13485" s="19"/>
    </row>
    <row r="13486" spans="1:33" ht="14.5" x14ac:dyDescent="0.35">
      <c r="A13486" s="34"/>
      <c r="B13486" s="35"/>
      <c r="C13486" s="36"/>
      <c r="D13486" s="37"/>
      <c r="E13486" s="36"/>
      <c r="F13486" s="42"/>
      <c r="G13486" s="42"/>
      <c r="H13486" s="42"/>
      <c r="AG13486" s="19"/>
    </row>
    <row r="13487" spans="1:33" ht="14.5" x14ac:dyDescent="0.35">
      <c r="A13487" s="34"/>
      <c r="B13487" s="35"/>
      <c r="C13487" s="36"/>
      <c r="D13487" s="37"/>
      <c r="E13487" s="36"/>
      <c r="F13487" s="42"/>
      <c r="G13487" s="42"/>
      <c r="H13487" s="42"/>
      <c r="AG13487" s="19"/>
    </row>
    <row r="13488" spans="1:33" ht="14.5" x14ac:dyDescent="0.35">
      <c r="A13488" s="34"/>
      <c r="B13488" s="35"/>
      <c r="C13488" s="36"/>
      <c r="D13488" s="37"/>
      <c r="E13488" s="36"/>
      <c r="F13488" s="42"/>
      <c r="G13488" s="42"/>
      <c r="H13488" s="42"/>
      <c r="AG13488" s="19"/>
    </row>
    <row r="13489" spans="1:33" ht="14.5" x14ac:dyDescent="0.35">
      <c r="A13489" s="34"/>
      <c r="B13489" s="35"/>
      <c r="C13489" s="36"/>
      <c r="D13489" s="37"/>
      <c r="E13489" s="36"/>
      <c r="F13489" s="42"/>
      <c r="G13489" s="42"/>
      <c r="H13489" s="42"/>
      <c r="AG13489" s="19"/>
    </row>
    <row r="13490" spans="1:33" ht="14.5" x14ac:dyDescent="0.35">
      <c r="A13490" s="34"/>
      <c r="B13490" s="35"/>
      <c r="C13490" s="36"/>
      <c r="D13490" s="37"/>
      <c r="E13490" s="36"/>
      <c r="F13490" s="42"/>
      <c r="G13490" s="42"/>
      <c r="H13490" s="42"/>
      <c r="AG13490" s="19"/>
    </row>
    <row r="13491" spans="1:33" ht="14.5" x14ac:dyDescent="0.35">
      <c r="A13491" s="34"/>
      <c r="B13491" s="35"/>
      <c r="C13491" s="36"/>
      <c r="D13491" s="37"/>
      <c r="E13491" s="36"/>
      <c r="F13491" s="42"/>
      <c r="G13491" s="42"/>
      <c r="H13491" s="42"/>
      <c r="AG13491" s="19"/>
    </row>
    <row r="13492" spans="1:33" ht="14.5" x14ac:dyDescent="0.35">
      <c r="A13492" s="34"/>
      <c r="B13492" s="35"/>
      <c r="C13492" s="36"/>
      <c r="D13492" s="37"/>
      <c r="E13492" s="36"/>
      <c r="F13492" s="42"/>
      <c r="G13492" s="42"/>
      <c r="H13492" s="42"/>
      <c r="AG13492" s="19"/>
    </row>
    <row r="13493" spans="1:33" ht="14.5" x14ac:dyDescent="0.35">
      <c r="A13493" s="34"/>
      <c r="B13493" s="35"/>
      <c r="C13493" s="36"/>
      <c r="D13493" s="37"/>
      <c r="E13493" s="36"/>
      <c r="F13493" s="42"/>
      <c r="G13493" s="42"/>
      <c r="H13493" s="42"/>
      <c r="AG13493" s="19"/>
    </row>
    <row r="13494" spans="1:33" ht="14.5" x14ac:dyDescent="0.35">
      <c r="A13494" s="34"/>
      <c r="B13494" s="35"/>
      <c r="C13494" s="36"/>
      <c r="D13494" s="37"/>
      <c r="E13494" s="36"/>
      <c r="F13494" s="42"/>
      <c r="G13494" s="42"/>
      <c r="H13494" s="42"/>
      <c r="AG13494" s="19"/>
    </row>
    <row r="13495" spans="1:33" ht="14.5" x14ac:dyDescent="0.35">
      <c r="A13495" s="34"/>
      <c r="B13495" s="35"/>
      <c r="C13495" s="36"/>
      <c r="D13495" s="37"/>
      <c r="E13495" s="36"/>
      <c r="F13495" s="42"/>
      <c r="G13495" s="42"/>
      <c r="H13495" s="42"/>
      <c r="AG13495" s="19"/>
    </row>
    <row r="13496" spans="1:33" ht="14.5" x14ac:dyDescent="0.35">
      <c r="A13496" s="34"/>
      <c r="B13496" s="35"/>
      <c r="C13496" s="36"/>
      <c r="D13496" s="37"/>
      <c r="E13496" s="36"/>
      <c r="F13496" s="42"/>
      <c r="G13496" s="42"/>
      <c r="H13496" s="42"/>
      <c r="AG13496" s="19"/>
    </row>
    <row r="13497" spans="1:33" ht="14.5" x14ac:dyDescent="0.35">
      <c r="A13497" s="34"/>
      <c r="B13497" s="35"/>
      <c r="C13497" s="36"/>
      <c r="D13497" s="37"/>
      <c r="E13497" s="36"/>
      <c r="F13497" s="42"/>
      <c r="G13497" s="42"/>
      <c r="H13497" s="42"/>
      <c r="AG13497" s="19"/>
    </row>
    <row r="13498" spans="1:33" ht="14.5" x14ac:dyDescent="0.35">
      <c r="A13498" s="34"/>
      <c r="B13498" s="35"/>
      <c r="C13498" s="36"/>
      <c r="D13498" s="37"/>
      <c r="E13498" s="36"/>
      <c r="F13498" s="42"/>
      <c r="G13498" s="42"/>
      <c r="H13498" s="42"/>
      <c r="AG13498" s="19"/>
    </row>
    <row r="13499" spans="1:33" ht="14.5" x14ac:dyDescent="0.35">
      <c r="A13499" s="34"/>
      <c r="B13499" s="35"/>
      <c r="C13499" s="36"/>
      <c r="D13499" s="37"/>
      <c r="E13499" s="36"/>
      <c r="F13499" s="42"/>
      <c r="G13499" s="42"/>
      <c r="H13499" s="42"/>
      <c r="AG13499" s="19"/>
    </row>
    <row r="13500" spans="1:33" ht="14.5" x14ac:dyDescent="0.35">
      <c r="A13500" s="34"/>
      <c r="B13500" s="35"/>
      <c r="C13500" s="36"/>
      <c r="D13500" s="37"/>
      <c r="E13500" s="36"/>
      <c r="F13500" s="42"/>
      <c r="G13500" s="42"/>
      <c r="H13500" s="42"/>
      <c r="AG13500" s="19"/>
    </row>
    <row r="13501" spans="1:33" ht="14.5" x14ac:dyDescent="0.35">
      <c r="A13501" s="34"/>
      <c r="B13501" s="35"/>
      <c r="C13501" s="36"/>
      <c r="D13501" s="37"/>
      <c r="E13501" s="36"/>
      <c r="F13501" s="42"/>
      <c r="G13501" s="42"/>
      <c r="H13501" s="42"/>
      <c r="AG13501" s="19"/>
    </row>
    <row r="13502" spans="1:33" ht="14.5" x14ac:dyDescent="0.35">
      <c r="A13502" s="34"/>
      <c r="B13502" s="35"/>
      <c r="C13502" s="36"/>
      <c r="D13502" s="37"/>
      <c r="E13502" s="36"/>
      <c r="F13502" s="42"/>
      <c r="G13502" s="42"/>
      <c r="H13502" s="42"/>
      <c r="AG13502" s="19"/>
    </row>
    <row r="13503" spans="1:33" ht="14.5" x14ac:dyDescent="0.35">
      <c r="A13503" s="34"/>
      <c r="B13503" s="35"/>
      <c r="C13503" s="36"/>
      <c r="D13503" s="37"/>
      <c r="E13503" s="36"/>
      <c r="F13503" s="42"/>
      <c r="G13503" s="42"/>
      <c r="H13503" s="42"/>
      <c r="AG13503" s="19"/>
    </row>
    <row r="13504" spans="1:33" ht="14.5" x14ac:dyDescent="0.35">
      <c r="A13504" s="34"/>
      <c r="B13504" s="35"/>
      <c r="C13504" s="36"/>
      <c r="D13504" s="37"/>
      <c r="E13504" s="36"/>
      <c r="F13504" s="42"/>
      <c r="G13504" s="42"/>
      <c r="H13504" s="42"/>
      <c r="AG13504" s="19"/>
    </row>
    <row r="13505" spans="1:33" ht="14.5" x14ac:dyDescent="0.35">
      <c r="A13505" s="34"/>
      <c r="B13505" s="35"/>
      <c r="C13505" s="36"/>
      <c r="D13505" s="37"/>
      <c r="E13505" s="36"/>
      <c r="F13505" s="42"/>
      <c r="G13505" s="42"/>
      <c r="H13505" s="42"/>
      <c r="AG13505" s="19"/>
    </row>
    <row r="13506" spans="1:33" ht="14.5" x14ac:dyDescent="0.35">
      <c r="A13506" s="34"/>
      <c r="B13506" s="35"/>
      <c r="C13506" s="36"/>
      <c r="D13506" s="37"/>
      <c r="E13506" s="36"/>
      <c r="F13506" s="42"/>
      <c r="G13506" s="42"/>
      <c r="H13506" s="42"/>
      <c r="AG13506" s="19"/>
    </row>
    <row r="13507" spans="1:33" ht="14.5" x14ac:dyDescent="0.35">
      <c r="A13507" s="34"/>
      <c r="B13507" s="35"/>
      <c r="C13507" s="36"/>
      <c r="D13507" s="37"/>
      <c r="E13507" s="36"/>
      <c r="F13507" s="42"/>
      <c r="G13507" s="42"/>
      <c r="H13507" s="42"/>
      <c r="AG13507" s="19"/>
    </row>
    <row r="13508" spans="1:33" ht="14.5" x14ac:dyDescent="0.35">
      <c r="A13508" s="34"/>
      <c r="B13508" s="35"/>
      <c r="C13508" s="36"/>
      <c r="D13508" s="37"/>
      <c r="E13508" s="36"/>
      <c r="F13508" s="42"/>
      <c r="G13508" s="42"/>
      <c r="H13508" s="42"/>
      <c r="AG13508" s="19"/>
    </row>
    <row r="13509" spans="1:33" ht="14.5" x14ac:dyDescent="0.35">
      <c r="A13509" s="34"/>
      <c r="B13509" s="35"/>
      <c r="C13509" s="36"/>
      <c r="D13509" s="37"/>
      <c r="E13509" s="36"/>
      <c r="F13509" s="42"/>
      <c r="G13509" s="42"/>
      <c r="H13509" s="42"/>
      <c r="AG13509" s="19"/>
    </row>
    <row r="13510" spans="1:33" ht="14.5" x14ac:dyDescent="0.35">
      <c r="A13510" s="34"/>
      <c r="B13510" s="35"/>
      <c r="C13510" s="36"/>
      <c r="D13510" s="37"/>
      <c r="E13510" s="36"/>
      <c r="F13510" s="42"/>
      <c r="G13510" s="42"/>
      <c r="H13510" s="42"/>
      <c r="AG13510" s="19"/>
    </row>
    <row r="13511" spans="1:33" ht="14.5" x14ac:dyDescent="0.35">
      <c r="A13511" s="34"/>
      <c r="B13511" s="35"/>
      <c r="C13511" s="36"/>
      <c r="D13511" s="37"/>
      <c r="E13511" s="36"/>
      <c r="F13511" s="42"/>
      <c r="G13511" s="42"/>
      <c r="H13511" s="42"/>
      <c r="AG13511" s="19"/>
    </row>
    <row r="13512" spans="1:33" ht="14.5" x14ac:dyDescent="0.35">
      <c r="A13512" s="34"/>
      <c r="B13512" s="35"/>
      <c r="C13512" s="36"/>
      <c r="D13512" s="37"/>
      <c r="E13512" s="36"/>
      <c r="F13512" s="42"/>
      <c r="G13512" s="42"/>
      <c r="H13512" s="42"/>
      <c r="AG13512" s="19"/>
    </row>
    <row r="13513" spans="1:33" ht="14.5" x14ac:dyDescent="0.35">
      <c r="A13513" s="34"/>
      <c r="B13513" s="35"/>
      <c r="C13513" s="36"/>
      <c r="D13513" s="37"/>
      <c r="E13513" s="36"/>
      <c r="F13513" s="42"/>
      <c r="G13513" s="42"/>
      <c r="H13513" s="42"/>
      <c r="AG13513" s="19"/>
    </row>
    <row r="13514" spans="1:33" ht="14.5" x14ac:dyDescent="0.35">
      <c r="A13514" s="34"/>
      <c r="B13514" s="35"/>
      <c r="C13514" s="36"/>
      <c r="D13514" s="37"/>
      <c r="E13514" s="36"/>
      <c r="F13514" s="42"/>
      <c r="G13514" s="42"/>
      <c r="H13514" s="42"/>
      <c r="AG13514" s="19"/>
    </row>
    <row r="13515" spans="1:33" ht="14.5" x14ac:dyDescent="0.35">
      <c r="A13515" s="34"/>
      <c r="B13515" s="35"/>
      <c r="C13515" s="36"/>
      <c r="D13515" s="37"/>
      <c r="E13515" s="36"/>
      <c r="F13515" s="42"/>
      <c r="G13515" s="42"/>
      <c r="H13515" s="42"/>
      <c r="AG13515" s="19"/>
    </row>
    <row r="13516" spans="1:33" ht="14.5" x14ac:dyDescent="0.35">
      <c r="A13516" s="34"/>
      <c r="B13516" s="35"/>
      <c r="C13516" s="36"/>
      <c r="D13516" s="37"/>
      <c r="E13516" s="36"/>
      <c r="F13516" s="42"/>
      <c r="G13516" s="42"/>
      <c r="H13516" s="42"/>
      <c r="AG13516" s="19"/>
    </row>
    <row r="13517" spans="1:33" ht="14.5" x14ac:dyDescent="0.35">
      <c r="A13517" s="34"/>
      <c r="B13517" s="35"/>
      <c r="C13517" s="36"/>
      <c r="D13517" s="37"/>
      <c r="E13517" s="36"/>
      <c r="F13517" s="42"/>
      <c r="G13517" s="42"/>
      <c r="H13517" s="42"/>
      <c r="AG13517" s="19"/>
    </row>
    <row r="13518" spans="1:33" ht="14.5" x14ac:dyDescent="0.35">
      <c r="A13518" s="34"/>
      <c r="B13518" s="35"/>
      <c r="C13518" s="36"/>
      <c r="D13518" s="37"/>
      <c r="E13518" s="36"/>
      <c r="F13518" s="42"/>
      <c r="G13518" s="42"/>
      <c r="H13518" s="42"/>
      <c r="AG13518" s="19"/>
    </row>
    <row r="13519" spans="1:33" ht="14.5" x14ac:dyDescent="0.35">
      <c r="A13519" s="34"/>
      <c r="B13519" s="35"/>
      <c r="C13519" s="36"/>
      <c r="D13519" s="37"/>
      <c r="E13519" s="36"/>
      <c r="F13519" s="42"/>
      <c r="G13519" s="42"/>
      <c r="H13519" s="42"/>
      <c r="AG13519" s="19"/>
    </row>
    <row r="13520" spans="1:33" ht="14.5" x14ac:dyDescent="0.35">
      <c r="A13520" s="34"/>
      <c r="B13520" s="35"/>
      <c r="C13520" s="36"/>
      <c r="D13520" s="37"/>
      <c r="E13520" s="36"/>
      <c r="F13520" s="42"/>
      <c r="G13520" s="42"/>
      <c r="H13520" s="42"/>
      <c r="AG13520" s="19"/>
    </row>
    <row r="13521" spans="1:33" ht="14.5" x14ac:dyDescent="0.35">
      <c r="A13521" s="34"/>
      <c r="B13521" s="35"/>
      <c r="C13521" s="36"/>
      <c r="D13521" s="37"/>
      <c r="E13521" s="36"/>
      <c r="F13521" s="42"/>
      <c r="G13521" s="42"/>
      <c r="H13521" s="42"/>
      <c r="AG13521" s="19"/>
    </row>
    <row r="13522" spans="1:33" ht="14.5" x14ac:dyDescent="0.35">
      <c r="A13522" s="34"/>
      <c r="B13522" s="35"/>
      <c r="C13522" s="36"/>
      <c r="D13522" s="37"/>
      <c r="E13522" s="36"/>
      <c r="F13522" s="42"/>
      <c r="G13522" s="42"/>
      <c r="H13522" s="42"/>
      <c r="AG13522" s="19"/>
    </row>
    <row r="13523" spans="1:33" ht="14.5" x14ac:dyDescent="0.35">
      <c r="A13523" s="34"/>
      <c r="B13523" s="35"/>
      <c r="C13523" s="36"/>
      <c r="D13523" s="37"/>
      <c r="E13523" s="36"/>
      <c r="F13523" s="42"/>
      <c r="G13523" s="42"/>
      <c r="H13523" s="42"/>
      <c r="AG13523" s="19"/>
    </row>
    <row r="13524" spans="1:33" ht="14.5" x14ac:dyDescent="0.35">
      <c r="A13524" s="34"/>
      <c r="B13524" s="35"/>
      <c r="C13524" s="36"/>
      <c r="D13524" s="37"/>
      <c r="E13524" s="36"/>
      <c r="F13524" s="42"/>
      <c r="G13524" s="42"/>
      <c r="H13524" s="42"/>
      <c r="AG13524" s="19"/>
    </row>
    <row r="13525" spans="1:33" ht="14.5" x14ac:dyDescent="0.35">
      <c r="A13525" s="34"/>
      <c r="B13525" s="35"/>
      <c r="C13525" s="36"/>
      <c r="D13525" s="37"/>
      <c r="E13525" s="36"/>
      <c r="F13525" s="42"/>
      <c r="G13525" s="42"/>
      <c r="H13525" s="42"/>
      <c r="AG13525" s="19"/>
    </row>
    <row r="13526" spans="1:33" ht="14.5" x14ac:dyDescent="0.35">
      <c r="A13526" s="34"/>
      <c r="B13526" s="35"/>
      <c r="C13526" s="36"/>
      <c r="D13526" s="37"/>
      <c r="E13526" s="36"/>
      <c r="F13526" s="42"/>
      <c r="G13526" s="42"/>
      <c r="H13526" s="42"/>
      <c r="AG13526" s="19"/>
    </row>
    <row r="13527" spans="1:33" ht="14.5" x14ac:dyDescent="0.35">
      <c r="A13527" s="34"/>
      <c r="B13527" s="35"/>
      <c r="C13527" s="36"/>
      <c r="D13527" s="37"/>
      <c r="E13527" s="36"/>
      <c r="F13527" s="42"/>
      <c r="G13527" s="42"/>
      <c r="H13527" s="42"/>
      <c r="AG13527" s="19"/>
    </row>
    <row r="13528" spans="1:33" ht="14.5" x14ac:dyDescent="0.35">
      <c r="A13528" s="34"/>
      <c r="B13528" s="35"/>
      <c r="C13528" s="36"/>
      <c r="D13528" s="37"/>
      <c r="E13528" s="36"/>
      <c r="F13528" s="42"/>
      <c r="G13528" s="42"/>
      <c r="H13528" s="42"/>
      <c r="AG13528" s="19"/>
    </row>
    <row r="13529" spans="1:33" ht="14.5" x14ac:dyDescent="0.35">
      <c r="A13529" s="34"/>
      <c r="B13529" s="35"/>
      <c r="C13529" s="36"/>
      <c r="D13529" s="37"/>
      <c r="E13529" s="36"/>
      <c r="F13529" s="42"/>
      <c r="G13529" s="42"/>
      <c r="H13529" s="42"/>
      <c r="AG13529" s="19"/>
    </row>
    <row r="13530" spans="1:33" ht="14.5" x14ac:dyDescent="0.35">
      <c r="A13530" s="34"/>
      <c r="B13530" s="35"/>
      <c r="C13530" s="36"/>
      <c r="D13530" s="37"/>
      <c r="E13530" s="36"/>
      <c r="F13530" s="42"/>
      <c r="G13530" s="42"/>
      <c r="H13530" s="42"/>
      <c r="AG13530" s="19"/>
    </row>
    <row r="13531" spans="1:33" ht="14.5" x14ac:dyDescent="0.35">
      <c r="A13531" s="34"/>
      <c r="B13531" s="35"/>
      <c r="C13531" s="36"/>
      <c r="D13531" s="37"/>
      <c r="E13531" s="36"/>
      <c r="F13531" s="42"/>
      <c r="G13531" s="42"/>
      <c r="H13531" s="42"/>
      <c r="AG13531" s="19"/>
    </row>
    <row r="13532" spans="1:33" ht="14.5" x14ac:dyDescent="0.35">
      <c r="A13532" s="34"/>
      <c r="B13532" s="35"/>
      <c r="C13532" s="36"/>
      <c r="D13532" s="37"/>
      <c r="E13532" s="36"/>
      <c r="F13532" s="42"/>
      <c r="G13532" s="42"/>
      <c r="H13532" s="42"/>
      <c r="AG13532" s="19"/>
    </row>
    <row r="13533" spans="1:33" ht="14.5" x14ac:dyDescent="0.35">
      <c r="A13533" s="34"/>
      <c r="B13533" s="35"/>
      <c r="C13533" s="36"/>
      <c r="D13533" s="37"/>
      <c r="E13533" s="36"/>
      <c r="F13533" s="42"/>
      <c r="G13533" s="42"/>
      <c r="H13533" s="42"/>
      <c r="AG13533" s="19"/>
    </row>
    <row r="13534" spans="1:33" ht="14.5" x14ac:dyDescent="0.35">
      <c r="A13534" s="34"/>
      <c r="B13534" s="35"/>
      <c r="C13534" s="36"/>
      <c r="D13534" s="37"/>
      <c r="E13534" s="36"/>
      <c r="F13534" s="42"/>
      <c r="G13534" s="42"/>
      <c r="H13534" s="42"/>
      <c r="AG13534" s="19"/>
    </row>
    <row r="13535" spans="1:33" ht="14.5" x14ac:dyDescent="0.35">
      <c r="A13535" s="34"/>
      <c r="B13535" s="35"/>
      <c r="C13535" s="36"/>
      <c r="D13535" s="37"/>
      <c r="E13535" s="36"/>
      <c r="F13535" s="42"/>
      <c r="G13535" s="42"/>
      <c r="H13535" s="42"/>
      <c r="AG13535" s="19"/>
    </row>
    <row r="13536" spans="1:33" ht="14.5" x14ac:dyDescent="0.35">
      <c r="A13536" s="34"/>
      <c r="B13536" s="35"/>
      <c r="C13536" s="36"/>
      <c r="D13536" s="37"/>
      <c r="E13536" s="36"/>
      <c r="F13536" s="42"/>
      <c r="G13536" s="42"/>
      <c r="H13536" s="42"/>
      <c r="AG13536" s="19"/>
    </row>
    <row r="13537" spans="1:33" ht="14.5" x14ac:dyDescent="0.35">
      <c r="A13537" s="34"/>
      <c r="B13537" s="35"/>
      <c r="C13537" s="36"/>
      <c r="D13537" s="37"/>
      <c r="E13537" s="36"/>
      <c r="F13537" s="42"/>
      <c r="G13537" s="42"/>
      <c r="H13537" s="42"/>
      <c r="AG13537" s="19"/>
    </row>
    <row r="13538" spans="1:33" ht="14.5" x14ac:dyDescent="0.35">
      <c r="A13538" s="34"/>
      <c r="B13538" s="35"/>
      <c r="C13538" s="36"/>
      <c r="D13538" s="37"/>
      <c r="E13538" s="36"/>
      <c r="F13538" s="42"/>
      <c r="G13538" s="42"/>
      <c r="H13538" s="42"/>
      <c r="AG13538" s="19"/>
    </row>
    <row r="13539" spans="1:33" ht="14.5" x14ac:dyDescent="0.35">
      <c r="A13539" s="34"/>
      <c r="B13539" s="35"/>
      <c r="C13539" s="36"/>
      <c r="D13539" s="37"/>
      <c r="E13539" s="36"/>
      <c r="F13539" s="42"/>
      <c r="G13539" s="42"/>
      <c r="H13539" s="42"/>
      <c r="AG13539" s="19"/>
    </row>
    <row r="13540" spans="1:33" ht="14.5" x14ac:dyDescent="0.35">
      <c r="A13540" s="34"/>
      <c r="B13540" s="35"/>
      <c r="C13540" s="36"/>
      <c r="D13540" s="37"/>
      <c r="E13540" s="36"/>
      <c r="F13540" s="42"/>
      <c r="G13540" s="42"/>
      <c r="H13540" s="42"/>
      <c r="AG13540" s="19"/>
    </row>
    <row r="13541" spans="1:33" ht="14.5" x14ac:dyDescent="0.35">
      <c r="A13541" s="34"/>
      <c r="B13541" s="35"/>
      <c r="C13541" s="36"/>
      <c r="D13541" s="37"/>
      <c r="E13541" s="36"/>
      <c r="F13541" s="42"/>
      <c r="G13541" s="42"/>
      <c r="H13541" s="42"/>
      <c r="AG13541" s="19"/>
    </row>
    <row r="13542" spans="1:33" ht="14.5" x14ac:dyDescent="0.35">
      <c r="A13542" s="34"/>
      <c r="B13542" s="35"/>
      <c r="C13542" s="36"/>
      <c r="D13542" s="37"/>
      <c r="E13542" s="36"/>
      <c r="F13542" s="42"/>
      <c r="G13542" s="42"/>
      <c r="H13542" s="42"/>
      <c r="AG13542" s="19"/>
    </row>
    <row r="13543" spans="1:33" ht="14.5" x14ac:dyDescent="0.35">
      <c r="A13543" s="34"/>
      <c r="B13543" s="35"/>
      <c r="C13543" s="36"/>
      <c r="D13543" s="37"/>
      <c r="E13543" s="36"/>
      <c r="F13543" s="42"/>
      <c r="G13543" s="42"/>
      <c r="H13543" s="42"/>
      <c r="AG13543" s="19"/>
    </row>
    <row r="13544" spans="1:33" ht="14.5" x14ac:dyDescent="0.35">
      <c r="A13544" s="34"/>
      <c r="B13544" s="35"/>
      <c r="C13544" s="36"/>
      <c r="D13544" s="37"/>
      <c r="E13544" s="36"/>
      <c r="F13544" s="42"/>
      <c r="G13544" s="42"/>
      <c r="H13544" s="42"/>
      <c r="AG13544" s="19"/>
    </row>
    <row r="13545" spans="1:33" ht="14.5" x14ac:dyDescent="0.35">
      <c r="A13545" s="34"/>
      <c r="B13545" s="35"/>
      <c r="C13545" s="36"/>
      <c r="D13545" s="37"/>
      <c r="E13545" s="36"/>
      <c r="F13545" s="42"/>
      <c r="G13545" s="42"/>
      <c r="H13545" s="42"/>
      <c r="AG13545" s="19"/>
    </row>
    <row r="13546" spans="1:33" ht="14.5" x14ac:dyDescent="0.35">
      <c r="A13546" s="34"/>
      <c r="B13546" s="35"/>
      <c r="C13546" s="36"/>
      <c r="D13546" s="37"/>
      <c r="E13546" s="36"/>
      <c r="F13546" s="42"/>
      <c r="G13546" s="42"/>
      <c r="H13546" s="42"/>
      <c r="AG13546" s="19"/>
    </row>
    <row r="13547" spans="1:33" ht="14.5" x14ac:dyDescent="0.35">
      <c r="A13547" s="34"/>
      <c r="B13547" s="35"/>
      <c r="C13547" s="36"/>
      <c r="D13547" s="37"/>
      <c r="E13547" s="36"/>
      <c r="F13547" s="42"/>
      <c r="G13547" s="42"/>
      <c r="H13547" s="42"/>
      <c r="AG13547" s="19"/>
    </row>
    <row r="13548" spans="1:33" ht="14.5" x14ac:dyDescent="0.35">
      <c r="A13548" s="34"/>
      <c r="B13548" s="35"/>
      <c r="C13548" s="36"/>
      <c r="D13548" s="37"/>
      <c r="E13548" s="36"/>
      <c r="F13548" s="42"/>
      <c r="G13548" s="42"/>
      <c r="H13548" s="42"/>
      <c r="AG13548" s="19"/>
    </row>
    <row r="13549" spans="1:33" ht="14.5" x14ac:dyDescent="0.35">
      <c r="A13549" s="34"/>
      <c r="B13549" s="35"/>
      <c r="C13549" s="36"/>
      <c r="D13549" s="37"/>
      <c r="E13549" s="36"/>
      <c r="F13549" s="42"/>
      <c r="G13549" s="42"/>
      <c r="H13549" s="42"/>
      <c r="AG13549" s="19"/>
    </row>
    <row r="13550" spans="1:33" ht="14.5" x14ac:dyDescent="0.35">
      <c r="A13550" s="34"/>
      <c r="B13550" s="35"/>
      <c r="C13550" s="36"/>
      <c r="D13550" s="37"/>
      <c r="E13550" s="36"/>
      <c r="F13550" s="42"/>
      <c r="G13550" s="42"/>
      <c r="H13550" s="42"/>
      <c r="AG13550" s="19"/>
    </row>
    <row r="13551" spans="1:33" ht="14.5" x14ac:dyDescent="0.35">
      <c r="A13551" s="34"/>
      <c r="B13551" s="35"/>
      <c r="C13551" s="36"/>
      <c r="D13551" s="37"/>
      <c r="E13551" s="36"/>
      <c r="F13551" s="42"/>
      <c r="G13551" s="42"/>
      <c r="H13551" s="42"/>
      <c r="AG13551" s="19"/>
    </row>
    <row r="13552" spans="1:33" ht="14.5" x14ac:dyDescent="0.35">
      <c r="A13552" s="34"/>
      <c r="B13552" s="35"/>
      <c r="C13552" s="36"/>
      <c r="D13552" s="37"/>
      <c r="E13552" s="36"/>
      <c r="F13552" s="42"/>
      <c r="G13552" s="42"/>
      <c r="H13552" s="42"/>
      <c r="AG13552" s="19"/>
    </row>
    <row r="13553" spans="1:33" ht="14.5" x14ac:dyDescent="0.35">
      <c r="A13553" s="34"/>
      <c r="B13553" s="35"/>
      <c r="C13553" s="36"/>
      <c r="D13553" s="37"/>
      <c r="E13553" s="36"/>
      <c r="F13553" s="42"/>
      <c r="G13553" s="42"/>
      <c r="H13553" s="42"/>
      <c r="AG13553" s="19"/>
    </row>
    <row r="13554" spans="1:33" ht="14.5" x14ac:dyDescent="0.35">
      <c r="A13554" s="34"/>
      <c r="B13554" s="35"/>
      <c r="C13554" s="36"/>
      <c r="D13554" s="37"/>
      <c r="E13554" s="36"/>
      <c r="F13554" s="42"/>
      <c r="G13554" s="42"/>
      <c r="H13554" s="42"/>
      <c r="AG13554" s="19"/>
    </row>
    <row r="13555" spans="1:33" ht="14.5" x14ac:dyDescent="0.35">
      <c r="A13555" s="34"/>
      <c r="B13555" s="35"/>
      <c r="C13555" s="36"/>
      <c r="D13555" s="37"/>
      <c r="E13555" s="36"/>
      <c r="F13555" s="42"/>
      <c r="G13555" s="42"/>
      <c r="H13555" s="42"/>
      <c r="AG13555" s="19"/>
    </row>
    <row r="13556" spans="1:33" ht="14.5" x14ac:dyDescent="0.35">
      <c r="A13556" s="34"/>
      <c r="B13556" s="35"/>
      <c r="C13556" s="36"/>
      <c r="D13556" s="37"/>
      <c r="E13556" s="36"/>
      <c r="F13556" s="42"/>
      <c r="G13556" s="42"/>
      <c r="H13556" s="42"/>
      <c r="AG13556" s="19"/>
    </row>
    <row r="13557" spans="1:33" ht="14.5" x14ac:dyDescent="0.35">
      <c r="A13557" s="34"/>
      <c r="B13557" s="35"/>
      <c r="C13557" s="36"/>
      <c r="D13557" s="37"/>
      <c r="E13557" s="36"/>
      <c r="F13557" s="42"/>
      <c r="G13557" s="42"/>
      <c r="H13557" s="42"/>
      <c r="AG13557" s="19"/>
    </row>
    <row r="13558" spans="1:33" ht="14.5" x14ac:dyDescent="0.35">
      <c r="A13558" s="34"/>
      <c r="B13558" s="35"/>
      <c r="C13558" s="36"/>
      <c r="D13558" s="37"/>
      <c r="E13558" s="36"/>
      <c r="F13558" s="42"/>
      <c r="G13558" s="42"/>
      <c r="H13558" s="42"/>
      <c r="AG13558" s="19"/>
    </row>
    <row r="13559" spans="1:33" ht="14.5" x14ac:dyDescent="0.35">
      <c r="A13559" s="34"/>
      <c r="B13559" s="35"/>
      <c r="C13559" s="36"/>
      <c r="D13559" s="37"/>
      <c r="E13559" s="36"/>
      <c r="F13559" s="42"/>
      <c r="G13559" s="42"/>
      <c r="H13559" s="42"/>
      <c r="AG13559" s="19"/>
    </row>
    <row r="13560" spans="1:33" ht="14.5" x14ac:dyDescent="0.35">
      <c r="A13560" s="34"/>
      <c r="B13560" s="35"/>
      <c r="C13560" s="36"/>
      <c r="D13560" s="37"/>
      <c r="E13560" s="36"/>
      <c r="F13560" s="42"/>
      <c r="G13560" s="42"/>
      <c r="H13560" s="42"/>
      <c r="AG13560" s="19"/>
    </row>
    <row r="13561" spans="1:33" ht="14.5" x14ac:dyDescent="0.35">
      <c r="A13561" s="34"/>
      <c r="B13561" s="35"/>
      <c r="C13561" s="36"/>
      <c r="D13561" s="37"/>
      <c r="E13561" s="36"/>
      <c r="F13561" s="42"/>
      <c r="G13561" s="42"/>
      <c r="H13561" s="42"/>
      <c r="AG13561" s="19"/>
    </row>
    <row r="13562" spans="1:33" ht="14.5" x14ac:dyDescent="0.35">
      <c r="A13562" s="34"/>
      <c r="B13562" s="35"/>
      <c r="C13562" s="36"/>
      <c r="D13562" s="37"/>
      <c r="E13562" s="36"/>
      <c r="F13562" s="42"/>
      <c r="G13562" s="42"/>
      <c r="H13562" s="42"/>
      <c r="AG13562" s="19"/>
    </row>
    <row r="13563" spans="1:33" ht="14.5" x14ac:dyDescent="0.35">
      <c r="A13563" s="34"/>
      <c r="B13563" s="35"/>
      <c r="C13563" s="36"/>
      <c r="D13563" s="37"/>
      <c r="E13563" s="36"/>
      <c r="F13563" s="42"/>
      <c r="G13563" s="42"/>
      <c r="H13563" s="42"/>
      <c r="AG13563" s="19"/>
    </row>
    <row r="13564" spans="1:33" ht="14.5" x14ac:dyDescent="0.35">
      <c r="A13564" s="34"/>
      <c r="B13564" s="35"/>
      <c r="C13564" s="36"/>
      <c r="D13564" s="37"/>
      <c r="E13564" s="36"/>
      <c r="F13564" s="42"/>
      <c r="G13564" s="42"/>
      <c r="H13564" s="42"/>
      <c r="AG13564" s="19"/>
    </row>
    <row r="13565" spans="1:33" ht="14.5" x14ac:dyDescent="0.35">
      <c r="A13565" s="34"/>
      <c r="B13565" s="35"/>
      <c r="C13565" s="36"/>
      <c r="D13565" s="37"/>
      <c r="E13565" s="36"/>
      <c r="F13565" s="42"/>
      <c r="G13565" s="42"/>
      <c r="H13565" s="42"/>
      <c r="AG13565" s="19"/>
    </row>
    <row r="13566" spans="1:33" ht="14.5" x14ac:dyDescent="0.35">
      <c r="A13566" s="34"/>
      <c r="B13566" s="35"/>
      <c r="C13566" s="36"/>
      <c r="D13566" s="37"/>
      <c r="E13566" s="36"/>
      <c r="F13566" s="42"/>
      <c r="G13566" s="42"/>
      <c r="H13566" s="42"/>
      <c r="AG13566" s="19"/>
    </row>
    <row r="13567" spans="1:33" ht="14.5" x14ac:dyDescent="0.35">
      <c r="A13567" s="34"/>
      <c r="B13567" s="35"/>
      <c r="C13567" s="36"/>
      <c r="D13567" s="37"/>
      <c r="E13567" s="36"/>
      <c r="F13567" s="42"/>
      <c r="G13567" s="42"/>
      <c r="H13567" s="42"/>
      <c r="AG13567" s="19"/>
    </row>
    <row r="13568" spans="1:33" ht="14.5" x14ac:dyDescent="0.35">
      <c r="A13568" s="34"/>
      <c r="B13568" s="35"/>
      <c r="C13568" s="36"/>
      <c r="D13568" s="37"/>
      <c r="E13568" s="36"/>
      <c r="F13568" s="42"/>
      <c r="G13568" s="42"/>
      <c r="H13568" s="42"/>
      <c r="AG13568" s="19"/>
    </row>
    <row r="13569" spans="1:33" ht="14.5" x14ac:dyDescent="0.35">
      <c r="A13569" s="34"/>
      <c r="B13569" s="35"/>
      <c r="C13569" s="36"/>
      <c r="D13569" s="37"/>
      <c r="E13569" s="36"/>
      <c r="F13569" s="42"/>
      <c r="G13569" s="42"/>
      <c r="H13569" s="42"/>
      <c r="AG13569" s="19"/>
    </row>
    <row r="13570" spans="1:33" ht="14.5" x14ac:dyDescent="0.35">
      <c r="A13570" s="34"/>
      <c r="B13570" s="35"/>
      <c r="C13570" s="36"/>
      <c r="D13570" s="37"/>
      <c r="E13570" s="36"/>
      <c r="F13570" s="42"/>
      <c r="G13570" s="42"/>
      <c r="H13570" s="42"/>
      <c r="AG13570" s="19"/>
    </row>
    <row r="13571" spans="1:33" ht="14.5" x14ac:dyDescent="0.35">
      <c r="A13571" s="34"/>
      <c r="B13571" s="35"/>
      <c r="C13571" s="36"/>
      <c r="D13571" s="37"/>
      <c r="E13571" s="36"/>
      <c r="F13571" s="42"/>
      <c r="G13571" s="42"/>
      <c r="H13571" s="42"/>
      <c r="AG13571" s="19"/>
    </row>
    <row r="13572" spans="1:33" ht="14.5" x14ac:dyDescent="0.35">
      <c r="A13572" s="34"/>
      <c r="B13572" s="35"/>
      <c r="C13572" s="36"/>
      <c r="D13572" s="37"/>
      <c r="E13572" s="36"/>
      <c r="F13572" s="42"/>
      <c r="G13572" s="42"/>
      <c r="H13572" s="42"/>
      <c r="AG13572" s="19"/>
    </row>
    <row r="13573" spans="1:33" ht="14.5" x14ac:dyDescent="0.35">
      <c r="A13573" s="34"/>
      <c r="B13573" s="35"/>
      <c r="C13573" s="36"/>
      <c r="D13573" s="37"/>
      <c r="E13573" s="36"/>
      <c r="F13573" s="42"/>
      <c r="G13573" s="42"/>
      <c r="H13573" s="42"/>
      <c r="AG13573" s="19"/>
    </row>
    <row r="13574" spans="1:33" ht="14.5" x14ac:dyDescent="0.35">
      <c r="A13574" s="34"/>
      <c r="B13574" s="35"/>
      <c r="C13574" s="36"/>
      <c r="D13574" s="37"/>
      <c r="E13574" s="36"/>
      <c r="F13574" s="42"/>
      <c r="G13574" s="42"/>
      <c r="H13574" s="42"/>
      <c r="AG13574" s="19"/>
    </row>
    <row r="13575" spans="1:33" ht="14.5" x14ac:dyDescent="0.35">
      <c r="A13575" s="34"/>
      <c r="B13575" s="35"/>
      <c r="C13575" s="36"/>
      <c r="D13575" s="37"/>
      <c r="E13575" s="36"/>
      <c r="F13575" s="42"/>
      <c r="G13575" s="42"/>
      <c r="H13575" s="42"/>
      <c r="AG13575" s="19"/>
    </row>
    <row r="13576" spans="1:33" ht="14.5" x14ac:dyDescent="0.35">
      <c r="A13576" s="34"/>
      <c r="B13576" s="35"/>
      <c r="C13576" s="36"/>
      <c r="D13576" s="37"/>
      <c r="E13576" s="36"/>
      <c r="F13576" s="42"/>
      <c r="G13576" s="42"/>
      <c r="H13576" s="42"/>
      <c r="AG13576" s="19"/>
    </row>
    <row r="13577" spans="1:33" ht="14.5" x14ac:dyDescent="0.35">
      <c r="A13577" s="34"/>
      <c r="B13577" s="35"/>
      <c r="C13577" s="36"/>
      <c r="D13577" s="37"/>
      <c r="E13577" s="36"/>
      <c r="F13577" s="42"/>
      <c r="G13577" s="42"/>
      <c r="H13577" s="42"/>
      <c r="AG13577" s="19"/>
    </row>
    <row r="13578" spans="1:33" ht="14.5" x14ac:dyDescent="0.35">
      <c r="A13578" s="34"/>
      <c r="B13578" s="35"/>
      <c r="C13578" s="36"/>
      <c r="D13578" s="37"/>
      <c r="E13578" s="36"/>
      <c r="F13578" s="42"/>
      <c r="G13578" s="42"/>
      <c r="H13578" s="42"/>
      <c r="AG13578" s="19"/>
    </row>
    <row r="13579" spans="1:33" ht="14.5" x14ac:dyDescent="0.35">
      <c r="A13579" s="34"/>
      <c r="B13579" s="35"/>
      <c r="C13579" s="36"/>
      <c r="D13579" s="37"/>
      <c r="E13579" s="36"/>
      <c r="F13579" s="42"/>
      <c r="G13579" s="42"/>
      <c r="H13579" s="42"/>
      <c r="AG13579" s="19"/>
    </row>
    <row r="13580" spans="1:33" ht="14.5" x14ac:dyDescent="0.35">
      <c r="A13580" s="34"/>
      <c r="B13580" s="35"/>
      <c r="C13580" s="36"/>
      <c r="D13580" s="37"/>
      <c r="E13580" s="36"/>
      <c r="F13580" s="42"/>
      <c r="G13580" s="42"/>
      <c r="H13580" s="42"/>
      <c r="AG13580" s="19"/>
    </row>
    <row r="13581" spans="1:33" ht="14.5" x14ac:dyDescent="0.35">
      <c r="A13581" s="34"/>
      <c r="B13581" s="35"/>
      <c r="C13581" s="36"/>
      <c r="D13581" s="37"/>
      <c r="E13581" s="36"/>
      <c r="F13581" s="42"/>
      <c r="G13581" s="42"/>
      <c r="H13581" s="42"/>
      <c r="AG13581" s="19"/>
    </row>
    <row r="13582" spans="1:33" ht="14.5" x14ac:dyDescent="0.35">
      <c r="A13582" s="34"/>
      <c r="B13582" s="35"/>
      <c r="C13582" s="36"/>
      <c r="D13582" s="37"/>
      <c r="E13582" s="36"/>
      <c r="F13582" s="42"/>
      <c r="G13582" s="42"/>
      <c r="H13582" s="42"/>
      <c r="AG13582" s="19"/>
    </row>
    <row r="13583" spans="1:33" ht="14.5" x14ac:dyDescent="0.35">
      <c r="A13583" s="34"/>
      <c r="B13583" s="35"/>
      <c r="C13583" s="36"/>
      <c r="D13583" s="37"/>
      <c r="E13583" s="36"/>
      <c r="F13583" s="42"/>
      <c r="G13583" s="42"/>
      <c r="H13583" s="42"/>
      <c r="AG13583" s="19"/>
    </row>
    <row r="13584" spans="1:33" ht="14.5" x14ac:dyDescent="0.35">
      <c r="A13584" s="34"/>
      <c r="B13584" s="35"/>
      <c r="C13584" s="36"/>
      <c r="D13584" s="37"/>
      <c r="E13584" s="36"/>
      <c r="F13584" s="42"/>
      <c r="G13584" s="42"/>
      <c r="H13584" s="42"/>
      <c r="AG13584" s="19"/>
    </row>
    <row r="13585" spans="1:33" ht="14.5" x14ac:dyDescent="0.35">
      <c r="A13585" s="34"/>
      <c r="B13585" s="35"/>
      <c r="C13585" s="36"/>
      <c r="D13585" s="37"/>
      <c r="E13585" s="36"/>
      <c r="F13585" s="42"/>
      <c r="G13585" s="42"/>
      <c r="H13585" s="42"/>
      <c r="AG13585" s="19"/>
    </row>
    <row r="13586" spans="1:33" ht="14.5" x14ac:dyDescent="0.35">
      <c r="A13586" s="34"/>
      <c r="B13586" s="35"/>
      <c r="C13586" s="36"/>
      <c r="D13586" s="37"/>
      <c r="E13586" s="36"/>
      <c r="F13586" s="42"/>
      <c r="G13586" s="42"/>
      <c r="H13586" s="42"/>
      <c r="AG13586" s="19"/>
    </row>
    <row r="13587" spans="1:33" ht="14.5" x14ac:dyDescent="0.35">
      <c r="A13587" s="34"/>
      <c r="B13587" s="35"/>
      <c r="C13587" s="36"/>
      <c r="D13587" s="37"/>
      <c r="E13587" s="36"/>
      <c r="F13587" s="42"/>
      <c r="G13587" s="42"/>
      <c r="H13587" s="42"/>
      <c r="AG13587" s="19"/>
    </row>
    <row r="13588" spans="1:33" ht="14.5" x14ac:dyDescent="0.35">
      <c r="A13588" s="34"/>
      <c r="B13588" s="35"/>
      <c r="C13588" s="36"/>
      <c r="D13588" s="37"/>
      <c r="E13588" s="36"/>
      <c r="F13588" s="42"/>
      <c r="G13588" s="42"/>
      <c r="H13588" s="42"/>
      <c r="AG13588" s="19"/>
    </row>
    <row r="13589" spans="1:33" ht="14.5" x14ac:dyDescent="0.35">
      <c r="A13589" s="34"/>
      <c r="B13589" s="35"/>
      <c r="C13589" s="36"/>
      <c r="D13589" s="37"/>
      <c r="E13589" s="36"/>
      <c r="F13589" s="42"/>
      <c r="G13589" s="42"/>
      <c r="H13589" s="42"/>
      <c r="AG13589" s="19"/>
    </row>
    <row r="13590" spans="1:33" ht="14.5" x14ac:dyDescent="0.35">
      <c r="A13590" s="34"/>
      <c r="B13590" s="35"/>
      <c r="C13590" s="36"/>
      <c r="D13590" s="37"/>
      <c r="E13590" s="36"/>
      <c r="F13590" s="42"/>
      <c r="G13590" s="42"/>
      <c r="H13590" s="42"/>
      <c r="AG13590" s="19"/>
    </row>
    <row r="13591" spans="1:33" ht="14.5" x14ac:dyDescent="0.35">
      <c r="A13591" s="34"/>
      <c r="B13591" s="35"/>
      <c r="C13591" s="36"/>
      <c r="D13591" s="37"/>
      <c r="E13591" s="36"/>
      <c r="F13591" s="42"/>
      <c r="G13591" s="42"/>
      <c r="H13591" s="42"/>
      <c r="AG13591" s="19"/>
    </row>
    <row r="13592" spans="1:33" ht="14.5" x14ac:dyDescent="0.35">
      <c r="A13592" s="34"/>
      <c r="B13592" s="35"/>
      <c r="C13592" s="36"/>
      <c r="D13592" s="37"/>
      <c r="E13592" s="36"/>
      <c r="F13592" s="42"/>
      <c r="G13592" s="42"/>
      <c r="H13592" s="42"/>
      <c r="AG13592" s="19"/>
    </row>
    <row r="13593" spans="1:33" ht="14.5" x14ac:dyDescent="0.35">
      <c r="A13593" s="34"/>
      <c r="B13593" s="35"/>
      <c r="C13593" s="36"/>
      <c r="D13593" s="37"/>
      <c r="E13593" s="36"/>
      <c r="F13593" s="42"/>
      <c r="G13593" s="42"/>
      <c r="H13593" s="42"/>
      <c r="AG13593" s="19"/>
    </row>
    <row r="13594" spans="1:33" ht="14.5" x14ac:dyDescent="0.35">
      <c r="A13594" s="34"/>
      <c r="B13594" s="35"/>
      <c r="C13594" s="36"/>
      <c r="D13594" s="37"/>
      <c r="E13594" s="36"/>
      <c r="F13594" s="42"/>
      <c r="G13594" s="42"/>
      <c r="H13594" s="42"/>
      <c r="AG13594" s="19"/>
    </row>
    <row r="13595" spans="1:33" ht="14.5" x14ac:dyDescent="0.35">
      <c r="A13595" s="34"/>
      <c r="B13595" s="35"/>
      <c r="C13595" s="36"/>
      <c r="D13595" s="37"/>
      <c r="E13595" s="36"/>
      <c r="F13595" s="42"/>
      <c r="G13595" s="42"/>
      <c r="H13595" s="42"/>
      <c r="AG13595" s="19"/>
    </row>
    <row r="13596" spans="1:33" ht="14.5" x14ac:dyDescent="0.35">
      <c r="A13596" s="34"/>
      <c r="B13596" s="35"/>
      <c r="C13596" s="36"/>
      <c r="D13596" s="37"/>
      <c r="E13596" s="36"/>
      <c r="F13596" s="42"/>
      <c r="G13596" s="42"/>
      <c r="H13596" s="42"/>
      <c r="AG13596" s="19"/>
    </row>
    <row r="13597" spans="1:33" ht="14.5" x14ac:dyDescent="0.35">
      <c r="A13597" s="34"/>
      <c r="B13597" s="35"/>
      <c r="C13597" s="36"/>
      <c r="D13597" s="37"/>
      <c r="E13597" s="36"/>
      <c r="F13597" s="42"/>
      <c r="G13597" s="42"/>
      <c r="H13597" s="42"/>
      <c r="AG13597" s="19"/>
    </row>
    <row r="13598" spans="1:33" ht="14.5" x14ac:dyDescent="0.35">
      <c r="A13598" s="34"/>
      <c r="B13598" s="35"/>
      <c r="C13598" s="36"/>
      <c r="D13598" s="37"/>
      <c r="E13598" s="36"/>
      <c r="F13598" s="42"/>
      <c r="G13598" s="42"/>
      <c r="H13598" s="42"/>
      <c r="AG13598" s="19"/>
    </row>
    <row r="13599" spans="1:33" ht="14.5" x14ac:dyDescent="0.35">
      <c r="A13599" s="34"/>
      <c r="B13599" s="35"/>
      <c r="C13599" s="36"/>
      <c r="D13599" s="37"/>
      <c r="E13599" s="36"/>
      <c r="F13599" s="42"/>
      <c r="G13599" s="42"/>
      <c r="H13599" s="42"/>
      <c r="AG13599" s="19"/>
    </row>
    <row r="13600" spans="1:33" ht="14.5" x14ac:dyDescent="0.35">
      <c r="A13600" s="34"/>
      <c r="B13600" s="35"/>
      <c r="C13600" s="36"/>
      <c r="D13600" s="37"/>
      <c r="E13600" s="36"/>
      <c r="F13600" s="42"/>
      <c r="G13600" s="42"/>
      <c r="H13600" s="42"/>
      <c r="AG13600" s="19"/>
    </row>
    <row r="13601" spans="1:33" ht="14.5" x14ac:dyDescent="0.35">
      <c r="A13601" s="34"/>
      <c r="B13601" s="35"/>
      <c r="C13601" s="36"/>
      <c r="D13601" s="37"/>
      <c r="E13601" s="36"/>
      <c r="F13601" s="42"/>
      <c r="G13601" s="42"/>
      <c r="H13601" s="42"/>
      <c r="AG13601" s="19"/>
    </row>
    <row r="13602" spans="1:33" ht="14.5" x14ac:dyDescent="0.35">
      <c r="A13602" s="34"/>
      <c r="B13602" s="35"/>
      <c r="C13602" s="36"/>
      <c r="D13602" s="37"/>
      <c r="E13602" s="36"/>
      <c r="F13602" s="42"/>
      <c r="G13602" s="42"/>
      <c r="H13602" s="42"/>
      <c r="AG13602" s="19"/>
    </row>
    <row r="13603" spans="1:33" ht="14.5" x14ac:dyDescent="0.35">
      <c r="A13603" s="34"/>
      <c r="B13603" s="35"/>
      <c r="C13603" s="36"/>
      <c r="D13603" s="37"/>
      <c r="E13603" s="36"/>
      <c r="F13603" s="42"/>
      <c r="G13603" s="42"/>
      <c r="H13603" s="42"/>
      <c r="AG13603" s="19"/>
    </row>
    <row r="13604" spans="1:33" ht="14.5" x14ac:dyDescent="0.35">
      <c r="A13604" s="34"/>
      <c r="B13604" s="35"/>
      <c r="C13604" s="36"/>
      <c r="D13604" s="37"/>
      <c r="E13604" s="36"/>
      <c r="F13604" s="42"/>
      <c r="G13604" s="42"/>
      <c r="H13604" s="42"/>
      <c r="AG13604" s="19"/>
    </row>
    <row r="13605" spans="1:33" ht="14.5" x14ac:dyDescent="0.35">
      <c r="A13605" s="34"/>
      <c r="B13605" s="35"/>
      <c r="C13605" s="36"/>
      <c r="D13605" s="37"/>
      <c r="E13605" s="36"/>
      <c r="F13605" s="42"/>
      <c r="G13605" s="42"/>
      <c r="H13605" s="42"/>
      <c r="AG13605" s="19"/>
    </row>
    <row r="13606" spans="1:33" ht="14.5" x14ac:dyDescent="0.35">
      <c r="A13606" s="34"/>
      <c r="B13606" s="35"/>
      <c r="C13606" s="36"/>
      <c r="D13606" s="37"/>
      <c r="E13606" s="36"/>
      <c r="F13606" s="42"/>
      <c r="G13606" s="42"/>
      <c r="H13606" s="42"/>
      <c r="AG13606" s="19"/>
    </row>
    <row r="13607" spans="1:33" ht="14.5" x14ac:dyDescent="0.35">
      <c r="A13607" s="34"/>
      <c r="B13607" s="35"/>
      <c r="C13607" s="36"/>
      <c r="D13607" s="37"/>
      <c r="E13607" s="36"/>
      <c r="F13607" s="42"/>
      <c r="G13607" s="42"/>
      <c r="H13607" s="42"/>
      <c r="AG13607" s="19"/>
    </row>
    <row r="13608" spans="1:33" ht="14.5" x14ac:dyDescent="0.35">
      <c r="A13608" s="34"/>
      <c r="B13608" s="35"/>
      <c r="C13608" s="36"/>
      <c r="D13608" s="37"/>
      <c r="E13608" s="36"/>
      <c r="F13608" s="42"/>
      <c r="G13608" s="42"/>
      <c r="H13608" s="42"/>
      <c r="AG13608" s="19"/>
    </row>
    <row r="13609" spans="1:33" ht="14.5" x14ac:dyDescent="0.35">
      <c r="A13609" s="34"/>
      <c r="B13609" s="35"/>
      <c r="C13609" s="36"/>
      <c r="D13609" s="37"/>
      <c r="E13609" s="36"/>
      <c r="F13609" s="42"/>
      <c r="G13609" s="42"/>
      <c r="H13609" s="42"/>
      <c r="AG13609" s="19"/>
    </row>
    <row r="13610" spans="1:33" ht="14.5" x14ac:dyDescent="0.35">
      <c r="A13610" s="34"/>
      <c r="B13610" s="35"/>
      <c r="C13610" s="36"/>
      <c r="D13610" s="37"/>
      <c r="E13610" s="36"/>
      <c r="F13610" s="42"/>
      <c r="G13610" s="42"/>
      <c r="H13610" s="42"/>
      <c r="AG13610" s="19"/>
    </row>
    <row r="13611" spans="1:33" ht="14.5" x14ac:dyDescent="0.35">
      <c r="A13611" s="34"/>
      <c r="B13611" s="35"/>
      <c r="C13611" s="36"/>
      <c r="D13611" s="37"/>
      <c r="E13611" s="36"/>
      <c r="F13611" s="42"/>
      <c r="G13611" s="42"/>
      <c r="H13611" s="42"/>
      <c r="AG13611" s="19"/>
    </row>
    <row r="13612" spans="1:33" ht="14.5" x14ac:dyDescent="0.35">
      <c r="A13612" s="34"/>
      <c r="B13612" s="35"/>
      <c r="C13612" s="36"/>
      <c r="D13612" s="37"/>
      <c r="E13612" s="36"/>
      <c r="F13612" s="42"/>
      <c r="G13612" s="42"/>
      <c r="H13612" s="42"/>
      <c r="AG13612" s="19"/>
    </row>
    <row r="13613" spans="1:33" ht="14.5" x14ac:dyDescent="0.35">
      <c r="A13613" s="34"/>
      <c r="B13613" s="35"/>
      <c r="C13613" s="36"/>
      <c r="D13613" s="37"/>
      <c r="E13613" s="36"/>
      <c r="F13613" s="42"/>
      <c r="G13613" s="42"/>
      <c r="H13613" s="42"/>
      <c r="AG13613" s="19"/>
    </row>
    <row r="13614" spans="1:33" ht="14.5" x14ac:dyDescent="0.35">
      <c r="A13614" s="34"/>
      <c r="B13614" s="35"/>
      <c r="C13614" s="36"/>
      <c r="D13614" s="37"/>
      <c r="E13614" s="36"/>
      <c r="F13614" s="42"/>
      <c r="G13614" s="42"/>
      <c r="H13614" s="42"/>
      <c r="AG13614" s="19"/>
    </row>
    <row r="13615" spans="1:33" ht="14.5" x14ac:dyDescent="0.35">
      <c r="A13615" s="34"/>
      <c r="B13615" s="35"/>
      <c r="C13615" s="36"/>
      <c r="D13615" s="37"/>
      <c r="E13615" s="36"/>
      <c r="F13615" s="42"/>
      <c r="G13615" s="42"/>
      <c r="H13615" s="42"/>
      <c r="AG13615" s="19"/>
    </row>
    <row r="13616" spans="1:33" ht="14.5" x14ac:dyDescent="0.35">
      <c r="A13616" s="34"/>
      <c r="B13616" s="35"/>
      <c r="C13616" s="36"/>
      <c r="D13616" s="37"/>
      <c r="E13616" s="36"/>
      <c r="F13616" s="42"/>
      <c r="G13616" s="42"/>
      <c r="H13616" s="42"/>
      <c r="AG13616" s="19"/>
    </row>
    <row r="13617" spans="1:33" ht="14.5" x14ac:dyDescent="0.35">
      <c r="A13617" s="34"/>
      <c r="B13617" s="35"/>
      <c r="C13617" s="36"/>
      <c r="D13617" s="37"/>
      <c r="E13617" s="36"/>
      <c r="F13617" s="42"/>
      <c r="G13617" s="42"/>
      <c r="H13617" s="42"/>
      <c r="AG13617" s="19"/>
    </row>
    <row r="13618" spans="1:33" ht="14.5" x14ac:dyDescent="0.35">
      <c r="A13618" s="34"/>
      <c r="B13618" s="35"/>
      <c r="C13618" s="36"/>
      <c r="D13618" s="37"/>
      <c r="E13618" s="36"/>
      <c r="F13618" s="42"/>
      <c r="G13618" s="42"/>
      <c r="H13618" s="42"/>
      <c r="AG13618" s="19"/>
    </row>
    <row r="13619" spans="1:33" ht="14.5" x14ac:dyDescent="0.35">
      <c r="A13619" s="34"/>
      <c r="B13619" s="35"/>
      <c r="C13619" s="36"/>
      <c r="D13619" s="37"/>
      <c r="E13619" s="36"/>
      <c r="F13619" s="42"/>
      <c r="G13619" s="42"/>
      <c r="H13619" s="42"/>
      <c r="AG13619" s="19"/>
    </row>
    <row r="13620" spans="1:33" ht="14.5" x14ac:dyDescent="0.35">
      <c r="A13620" s="34"/>
      <c r="B13620" s="35"/>
      <c r="C13620" s="36"/>
      <c r="D13620" s="37"/>
      <c r="E13620" s="36"/>
      <c r="F13620" s="42"/>
      <c r="G13620" s="42"/>
      <c r="H13620" s="42"/>
      <c r="AG13620" s="19"/>
    </row>
    <row r="13621" spans="1:33" ht="14.5" x14ac:dyDescent="0.35">
      <c r="A13621" s="34"/>
      <c r="B13621" s="35"/>
      <c r="C13621" s="36"/>
      <c r="D13621" s="37"/>
      <c r="E13621" s="36"/>
      <c r="F13621" s="42"/>
      <c r="G13621" s="42"/>
      <c r="H13621" s="42"/>
      <c r="AG13621" s="19"/>
    </row>
    <row r="13622" spans="1:33" ht="14.5" x14ac:dyDescent="0.35">
      <c r="A13622" s="34"/>
      <c r="B13622" s="35"/>
      <c r="C13622" s="36"/>
      <c r="D13622" s="37"/>
      <c r="E13622" s="36"/>
      <c r="F13622" s="42"/>
      <c r="G13622" s="42"/>
      <c r="H13622" s="42"/>
      <c r="AG13622" s="19"/>
    </row>
    <row r="13623" spans="1:33" ht="14.5" x14ac:dyDescent="0.35">
      <c r="A13623" s="34"/>
      <c r="B13623" s="35"/>
      <c r="C13623" s="36"/>
      <c r="D13623" s="37"/>
      <c r="E13623" s="36"/>
      <c r="F13623" s="42"/>
      <c r="G13623" s="42"/>
      <c r="H13623" s="42"/>
      <c r="AG13623" s="19"/>
    </row>
    <row r="13624" spans="1:33" ht="14.5" x14ac:dyDescent="0.35">
      <c r="A13624" s="34"/>
      <c r="B13624" s="35"/>
      <c r="C13624" s="36"/>
      <c r="D13624" s="37"/>
      <c r="E13624" s="36"/>
      <c r="F13624" s="42"/>
      <c r="G13624" s="42"/>
      <c r="H13624" s="42"/>
      <c r="AG13624" s="19"/>
    </row>
    <row r="13625" spans="1:33" ht="14.5" x14ac:dyDescent="0.35">
      <c r="A13625" s="34"/>
      <c r="B13625" s="35"/>
      <c r="C13625" s="36"/>
      <c r="D13625" s="37"/>
      <c r="E13625" s="36"/>
      <c r="F13625" s="42"/>
      <c r="G13625" s="42"/>
      <c r="H13625" s="42"/>
      <c r="AG13625" s="19"/>
    </row>
    <row r="13626" spans="1:33" ht="14.5" x14ac:dyDescent="0.35">
      <c r="A13626" s="34"/>
      <c r="B13626" s="35"/>
      <c r="C13626" s="36"/>
      <c r="D13626" s="37"/>
      <c r="E13626" s="36"/>
      <c r="F13626" s="42"/>
      <c r="G13626" s="42"/>
      <c r="H13626" s="42"/>
      <c r="AG13626" s="19"/>
    </row>
    <row r="13627" spans="1:33" ht="14.5" x14ac:dyDescent="0.35">
      <c r="A13627" s="34"/>
      <c r="B13627" s="35"/>
      <c r="C13627" s="36"/>
      <c r="D13627" s="37"/>
      <c r="E13627" s="36"/>
      <c r="F13627" s="42"/>
      <c r="G13627" s="42"/>
      <c r="H13627" s="42"/>
      <c r="AG13627" s="19"/>
    </row>
    <row r="13628" spans="1:33" ht="14.5" x14ac:dyDescent="0.35">
      <c r="A13628" s="34"/>
      <c r="B13628" s="35"/>
      <c r="C13628" s="36"/>
      <c r="D13628" s="37"/>
      <c r="E13628" s="36"/>
      <c r="F13628" s="42"/>
      <c r="G13628" s="42"/>
      <c r="H13628" s="42"/>
      <c r="AG13628" s="19"/>
    </row>
    <row r="13629" spans="1:33" ht="14.5" x14ac:dyDescent="0.35">
      <c r="A13629" s="34"/>
      <c r="B13629" s="35"/>
      <c r="C13629" s="36"/>
      <c r="D13629" s="37"/>
      <c r="E13629" s="36"/>
      <c r="F13629" s="42"/>
      <c r="G13629" s="42"/>
      <c r="H13629" s="42"/>
      <c r="AG13629" s="19"/>
    </row>
    <row r="13630" spans="1:33" ht="14.5" x14ac:dyDescent="0.35">
      <c r="A13630" s="34"/>
      <c r="B13630" s="35"/>
      <c r="C13630" s="36"/>
      <c r="D13630" s="37"/>
      <c r="E13630" s="36"/>
      <c r="F13630" s="42"/>
      <c r="G13630" s="42"/>
      <c r="H13630" s="42"/>
      <c r="AG13630" s="19"/>
    </row>
    <row r="13631" spans="1:33" ht="14.5" x14ac:dyDescent="0.35">
      <c r="A13631" s="34"/>
      <c r="B13631" s="35"/>
      <c r="C13631" s="36"/>
      <c r="D13631" s="37"/>
      <c r="E13631" s="36"/>
      <c r="F13631" s="42"/>
      <c r="G13631" s="42"/>
      <c r="H13631" s="42"/>
      <c r="AG13631" s="19"/>
    </row>
    <row r="13632" spans="1:33" ht="14.5" x14ac:dyDescent="0.35">
      <c r="A13632" s="34"/>
      <c r="B13632" s="35"/>
      <c r="C13632" s="36"/>
      <c r="D13632" s="37"/>
      <c r="E13632" s="36"/>
      <c r="F13632" s="42"/>
      <c r="G13632" s="42"/>
      <c r="H13632" s="42"/>
      <c r="AG13632" s="19"/>
    </row>
    <row r="13633" spans="1:33" ht="14.5" x14ac:dyDescent="0.35">
      <c r="A13633" s="34"/>
      <c r="B13633" s="35"/>
      <c r="C13633" s="36"/>
      <c r="D13633" s="37"/>
      <c r="E13633" s="36"/>
      <c r="F13633" s="42"/>
      <c r="G13633" s="42"/>
      <c r="H13633" s="42"/>
      <c r="AG13633" s="19"/>
    </row>
    <row r="13634" spans="1:33" ht="14.5" x14ac:dyDescent="0.35">
      <c r="A13634" s="34"/>
      <c r="B13634" s="35"/>
      <c r="C13634" s="36"/>
      <c r="D13634" s="37"/>
      <c r="E13634" s="36"/>
      <c r="F13634" s="42"/>
      <c r="G13634" s="42"/>
      <c r="H13634" s="42"/>
      <c r="AG13634" s="19"/>
    </row>
    <row r="13635" spans="1:33" ht="14.5" x14ac:dyDescent="0.35">
      <c r="A13635" s="34"/>
      <c r="B13635" s="35"/>
      <c r="C13635" s="36"/>
      <c r="D13635" s="37"/>
      <c r="E13635" s="36"/>
      <c r="F13635" s="42"/>
      <c r="G13635" s="42"/>
      <c r="H13635" s="42"/>
      <c r="AG13635" s="19"/>
    </row>
    <row r="13636" spans="1:33" ht="14.5" x14ac:dyDescent="0.35">
      <c r="A13636" s="34"/>
      <c r="B13636" s="35"/>
      <c r="C13636" s="36"/>
      <c r="D13636" s="37"/>
      <c r="E13636" s="36"/>
      <c r="F13636" s="42"/>
      <c r="G13636" s="42"/>
      <c r="H13636" s="42"/>
      <c r="AG13636" s="19"/>
    </row>
    <row r="13637" spans="1:33" ht="14.5" x14ac:dyDescent="0.35">
      <c r="A13637" s="34"/>
      <c r="B13637" s="35"/>
      <c r="C13637" s="36"/>
      <c r="D13637" s="37"/>
      <c r="E13637" s="36"/>
      <c r="F13637" s="42"/>
      <c r="G13637" s="42"/>
      <c r="H13637" s="42"/>
      <c r="AG13637" s="19"/>
    </row>
    <row r="13638" spans="1:33" ht="14.5" x14ac:dyDescent="0.35">
      <c r="A13638" s="34"/>
      <c r="B13638" s="35"/>
      <c r="C13638" s="36"/>
      <c r="D13638" s="37"/>
      <c r="E13638" s="36"/>
      <c r="F13638" s="42"/>
      <c r="G13638" s="42"/>
      <c r="H13638" s="42"/>
      <c r="AG13638" s="19"/>
    </row>
    <row r="13639" spans="1:33" ht="14.5" x14ac:dyDescent="0.35">
      <c r="A13639" s="34"/>
      <c r="B13639" s="35"/>
      <c r="C13639" s="36"/>
      <c r="D13639" s="37"/>
      <c r="E13639" s="36"/>
      <c r="F13639" s="42"/>
      <c r="G13639" s="42"/>
      <c r="H13639" s="42"/>
      <c r="AG13639" s="19"/>
    </row>
    <row r="13640" spans="1:33" ht="14.5" x14ac:dyDescent="0.35">
      <c r="A13640" s="34"/>
      <c r="B13640" s="35"/>
      <c r="C13640" s="36"/>
      <c r="D13640" s="37"/>
      <c r="E13640" s="36"/>
      <c r="F13640" s="42"/>
      <c r="G13640" s="42"/>
      <c r="H13640" s="42"/>
      <c r="AG13640" s="19"/>
    </row>
    <row r="13641" spans="1:33" ht="14.5" x14ac:dyDescent="0.35">
      <c r="A13641" s="34"/>
      <c r="B13641" s="35"/>
      <c r="C13641" s="36"/>
      <c r="D13641" s="37"/>
      <c r="E13641" s="36"/>
      <c r="F13641" s="42"/>
      <c r="G13641" s="42"/>
      <c r="H13641" s="42"/>
      <c r="AG13641" s="19"/>
    </row>
    <row r="13642" spans="1:33" ht="14.5" x14ac:dyDescent="0.35">
      <c r="A13642" s="34"/>
      <c r="B13642" s="35"/>
      <c r="C13642" s="36"/>
      <c r="D13642" s="37"/>
      <c r="E13642" s="36"/>
      <c r="F13642" s="42"/>
      <c r="G13642" s="42"/>
      <c r="H13642" s="42"/>
      <c r="AG13642" s="19"/>
    </row>
    <row r="13643" spans="1:33" ht="14.5" x14ac:dyDescent="0.35">
      <c r="A13643" s="34"/>
      <c r="B13643" s="35"/>
      <c r="C13643" s="36"/>
      <c r="D13643" s="37"/>
      <c r="E13643" s="36"/>
      <c r="F13643" s="42"/>
      <c r="G13643" s="42"/>
      <c r="H13643" s="42"/>
      <c r="AG13643" s="19"/>
    </row>
    <row r="13644" spans="1:33" ht="14.5" x14ac:dyDescent="0.35">
      <c r="A13644" s="34"/>
      <c r="B13644" s="35"/>
      <c r="C13644" s="36"/>
      <c r="D13644" s="37"/>
      <c r="E13644" s="36"/>
      <c r="F13644" s="42"/>
      <c r="G13644" s="42"/>
      <c r="H13644" s="42"/>
      <c r="AG13644" s="19"/>
    </row>
    <row r="13645" spans="1:33" ht="14.5" x14ac:dyDescent="0.35">
      <c r="A13645" s="34"/>
      <c r="B13645" s="35"/>
      <c r="C13645" s="36"/>
      <c r="D13645" s="37"/>
      <c r="E13645" s="36"/>
      <c r="F13645" s="42"/>
      <c r="G13645" s="42"/>
      <c r="H13645" s="42"/>
      <c r="AG13645" s="19"/>
    </row>
    <row r="13646" spans="1:33" ht="14.5" x14ac:dyDescent="0.35">
      <c r="A13646" s="34"/>
      <c r="B13646" s="35"/>
      <c r="C13646" s="36"/>
      <c r="D13646" s="37"/>
      <c r="E13646" s="36"/>
      <c r="F13646" s="42"/>
      <c r="G13646" s="42"/>
      <c r="H13646" s="42"/>
      <c r="AG13646" s="19"/>
    </row>
    <row r="13647" spans="1:33" ht="14.5" x14ac:dyDescent="0.35">
      <c r="A13647" s="34"/>
      <c r="B13647" s="35"/>
      <c r="C13647" s="36"/>
      <c r="D13647" s="37"/>
      <c r="E13647" s="36"/>
      <c r="F13647" s="42"/>
      <c r="G13647" s="42"/>
      <c r="H13647" s="42"/>
      <c r="AG13647" s="19"/>
    </row>
    <row r="13648" spans="1:33" ht="14.5" x14ac:dyDescent="0.35">
      <c r="A13648" s="34"/>
      <c r="B13648" s="35"/>
      <c r="C13648" s="36"/>
      <c r="D13648" s="37"/>
      <c r="E13648" s="36"/>
      <c r="F13648" s="42"/>
      <c r="G13648" s="42"/>
      <c r="H13648" s="42"/>
      <c r="AG13648" s="19"/>
    </row>
    <row r="13649" spans="1:33" ht="14.5" x14ac:dyDescent="0.35">
      <c r="A13649" s="34"/>
      <c r="B13649" s="35"/>
      <c r="C13649" s="36"/>
      <c r="D13649" s="37"/>
      <c r="E13649" s="36"/>
      <c r="F13649" s="42"/>
      <c r="G13649" s="42"/>
      <c r="H13649" s="42"/>
      <c r="AG13649" s="19"/>
    </row>
    <row r="13650" spans="1:33" ht="14.5" x14ac:dyDescent="0.35">
      <c r="A13650" s="34"/>
      <c r="B13650" s="35"/>
      <c r="C13650" s="36"/>
      <c r="D13650" s="37"/>
      <c r="E13650" s="36"/>
      <c r="F13650" s="42"/>
      <c r="G13650" s="42"/>
      <c r="H13650" s="42"/>
      <c r="AG13650" s="19"/>
    </row>
    <row r="13651" spans="1:33" ht="14.5" x14ac:dyDescent="0.35">
      <c r="A13651" s="34"/>
      <c r="B13651" s="35"/>
      <c r="C13651" s="36"/>
      <c r="D13651" s="37"/>
      <c r="E13651" s="36"/>
      <c r="F13651" s="42"/>
      <c r="G13651" s="42"/>
      <c r="H13651" s="42"/>
      <c r="AG13651" s="19"/>
    </row>
    <row r="13652" spans="1:33" ht="14.5" x14ac:dyDescent="0.35">
      <c r="A13652" s="34"/>
      <c r="B13652" s="35"/>
      <c r="C13652" s="36"/>
      <c r="D13652" s="37"/>
      <c r="E13652" s="36"/>
      <c r="F13652" s="42"/>
      <c r="G13652" s="42"/>
      <c r="H13652" s="42"/>
      <c r="AG13652" s="19"/>
    </row>
    <row r="13653" spans="1:33" ht="14.5" x14ac:dyDescent="0.35">
      <c r="A13653" s="34"/>
      <c r="B13653" s="35"/>
      <c r="C13653" s="36"/>
      <c r="D13653" s="37"/>
      <c r="E13653" s="36"/>
      <c r="F13653" s="42"/>
      <c r="G13653" s="42"/>
      <c r="H13653" s="42"/>
      <c r="AG13653" s="19"/>
    </row>
    <row r="13654" spans="1:33" ht="14.5" x14ac:dyDescent="0.35">
      <c r="A13654" s="34"/>
      <c r="B13654" s="35"/>
      <c r="C13654" s="36"/>
      <c r="D13654" s="37"/>
      <c r="E13654" s="36"/>
      <c r="F13654" s="42"/>
      <c r="G13654" s="42"/>
      <c r="H13654" s="42"/>
      <c r="AG13654" s="19"/>
    </row>
    <row r="13655" spans="1:33" ht="14.5" x14ac:dyDescent="0.35">
      <c r="A13655" s="34"/>
      <c r="B13655" s="35"/>
      <c r="C13655" s="36"/>
      <c r="D13655" s="37"/>
      <c r="E13655" s="36"/>
      <c r="F13655" s="42"/>
      <c r="G13655" s="42"/>
      <c r="H13655" s="42"/>
      <c r="AG13655" s="19"/>
    </row>
    <row r="13656" spans="1:33" ht="14.5" x14ac:dyDescent="0.35">
      <c r="A13656" s="34"/>
      <c r="B13656" s="35"/>
      <c r="C13656" s="36"/>
      <c r="D13656" s="37"/>
      <c r="E13656" s="36"/>
      <c r="F13656" s="42"/>
      <c r="G13656" s="42"/>
      <c r="H13656" s="42"/>
      <c r="AG13656" s="19"/>
    </row>
    <row r="13657" spans="1:33" ht="14.5" x14ac:dyDescent="0.35">
      <c r="A13657" s="34"/>
      <c r="B13657" s="35"/>
      <c r="C13657" s="36"/>
      <c r="D13657" s="37"/>
      <c r="E13657" s="36"/>
      <c r="F13657" s="42"/>
      <c r="G13657" s="42"/>
      <c r="H13657" s="42"/>
      <c r="AG13657" s="19"/>
    </row>
    <row r="13658" spans="1:33" ht="14.5" x14ac:dyDescent="0.35">
      <c r="A13658" s="34"/>
      <c r="B13658" s="35"/>
      <c r="C13658" s="36"/>
      <c r="D13658" s="37"/>
      <c r="E13658" s="36"/>
      <c r="F13658" s="42"/>
      <c r="G13658" s="42"/>
      <c r="H13658" s="42"/>
      <c r="AG13658" s="19"/>
    </row>
    <row r="13659" spans="1:33" ht="14.5" x14ac:dyDescent="0.35">
      <c r="A13659" s="34"/>
      <c r="B13659" s="35"/>
      <c r="C13659" s="36"/>
      <c r="D13659" s="37"/>
      <c r="E13659" s="36"/>
      <c r="F13659" s="42"/>
      <c r="G13659" s="42"/>
      <c r="H13659" s="42"/>
      <c r="AG13659" s="19"/>
    </row>
    <row r="13660" spans="1:33" ht="14.5" x14ac:dyDescent="0.35">
      <c r="A13660" s="34"/>
      <c r="B13660" s="35"/>
      <c r="C13660" s="36"/>
      <c r="D13660" s="37"/>
      <c r="E13660" s="36"/>
      <c r="F13660" s="42"/>
      <c r="G13660" s="42"/>
      <c r="H13660" s="42"/>
      <c r="AG13660" s="19"/>
    </row>
    <row r="13661" spans="1:33" ht="14.5" x14ac:dyDescent="0.35">
      <c r="A13661" s="34"/>
      <c r="B13661" s="35"/>
      <c r="C13661" s="36"/>
      <c r="D13661" s="37"/>
      <c r="E13661" s="36"/>
      <c r="F13661" s="42"/>
      <c r="G13661" s="42"/>
      <c r="H13661" s="42"/>
      <c r="AG13661" s="19"/>
    </row>
    <row r="13662" spans="1:33" ht="14.5" x14ac:dyDescent="0.35">
      <c r="A13662" s="34"/>
      <c r="B13662" s="35"/>
      <c r="C13662" s="36"/>
      <c r="D13662" s="37"/>
      <c r="E13662" s="36"/>
      <c r="F13662" s="42"/>
      <c r="G13662" s="42"/>
      <c r="H13662" s="42"/>
      <c r="AG13662" s="19"/>
    </row>
    <row r="13663" spans="1:33" ht="14.5" x14ac:dyDescent="0.35">
      <c r="A13663" s="34"/>
      <c r="B13663" s="35"/>
      <c r="C13663" s="36"/>
      <c r="D13663" s="37"/>
      <c r="E13663" s="36"/>
      <c r="F13663" s="42"/>
      <c r="G13663" s="42"/>
      <c r="H13663" s="42"/>
      <c r="AG13663" s="19"/>
    </row>
    <row r="13664" spans="1:33" ht="14.5" x14ac:dyDescent="0.35">
      <c r="A13664" s="34"/>
      <c r="B13664" s="35"/>
      <c r="C13664" s="36"/>
      <c r="D13664" s="37"/>
      <c r="E13664" s="36"/>
      <c r="F13664" s="42"/>
      <c r="G13664" s="42"/>
      <c r="H13664" s="42"/>
      <c r="AG13664" s="19"/>
    </row>
    <row r="13665" spans="1:33" ht="14.5" x14ac:dyDescent="0.35">
      <c r="A13665" s="34"/>
      <c r="B13665" s="35"/>
      <c r="C13665" s="36"/>
      <c r="D13665" s="37"/>
      <c r="E13665" s="36"/>
      <c r="F13665" s="42"/>
      <c r="G13665" s="42"/>
      <c r="H13665" s="42"/>
      <c r="AG13665" s="19"/>
    </row>
    <row r="13666" spans="1:33" ht="14.5" x14ac:dyDescent="0.35">
      <c r="A13666" s="34"/>
      <c r="B13666" s="35"/>
      <c r="C13666" s="36"/>
      <c r="D13666" s="37"/>
      <c r="E13666" s="36"/>
      <c r="F13666" s="42"/>
      <c r="G13666" s="42"/>
      <c r="H13666" s="42"/>
      <c r="AG13666" s="19"/>
    </row>
    <row r="13667" spans="1:33" ht="14.5" x14ac:dyDescent="0.35">
      <c r="A13667" s="34"/>
      <c r="B13667" s="35"/>
      <c r="C13667" s="36"/>
      <c r="D13667" s="37"/>
      <c r="E13667" s="36"/>
      <c r="F13667" s="42"/>
      <c r="G13667" s="42"/>
      <c r="H13667" s="42"/>
      <c r="AG13667" s="19"/>
    </row>
    <row r="13668" spans="1:33" ht="14.5" x14ac:dyDescent="0.35">
      <c r="A13668" s="34"/>
      <c r="B13668" s="35"/>
      <c r="C13668" s="36"/>
      <c r="D13668" s="37"/>
      <c r="E13668" s="36"/>
      <c r="F13668" s="42"/>
      <c r="G13668" s="42"/>
      <c r="H13668" s="42"/>
      <c r="AG13668" s="19"/>
    </row>
    <row r="13669" spans="1:33" ht="14.5" x14ac:dyDescent="0.35">
      <c r="A13669" s="34"/>
      <c r="B13669" s="35"/>
      <c r="C13669" s="36"/>
      <c r="D13669" s="37"/>
      <c r="E13669" s="36"/>
      <c r="F13669" s="42"/>
      <c r="G13669" s="42"/>
      <c r="H13669" s="42"/>
      <c r="AG13669" s="19"/>
    </row>
    <row r="13670" spans="1:33" ht="14.5" x14ac:dyDescent="0.35">
      <c r="A13670" s="34"/>
      <c r="B13670" s="35"/>
      <c r="C13670" s="36"/>
      <c r="D13670" s="37"/>
      <c r="E13670" s="36"/>
      <c r="F13670" s="42"/>
      <c r="G13670" s="42"/>
      <c r="H13670" s="42"/>
      <c r="AG13670" s="19"/>
    </row>
    <row r="13671" spans="1:33" ht="14.5" x14ac:dyDescent="0.35">
      <c r="A13671" s="34"/>
      <c r="B13671" s="35"/>
      <c r="C13671" s="36"/>
      <c r="D13671" s="37"/>
      <c r="E13671" s="36"/>
      <c r="F13671" s="42"/>
      <c r="G13671" s="42"/>
      <c r="H13671" s="42"/>
      <c r="AG13671" s="19"/>
    </row>
    <row r="13672" spans="1:33" ht="14.5" x14ac:dyDescent="0.35">
      <c r="A13672" s="34"/>
      <c r="B13672" s="35"/>
      <c r="C13672" s="36"/>
      <c r="D13672" s="37"/>
      <c r="E13672" s="36"/>
      <c r="F13672" s="42"/>
      <c r="G13672" s="42"/>
      <c r="H13672" s="42"/>
      <c r="AG13672" s="19"/>
    </row>
    <row r="13673" spans="1:33" ht="14.5" x14ac:dyDescent="0.35">
      <c r="A13673" s="34"/>
      <c r="B13673" s="35"/>
      <c r="C13673" s="36"/>
      <c r="D13673" s="37"/>
      <c r="E13673" s="36"/>
      <c r="F13673" s="42"/>
      <c r="G13673" s="42"/>
      <c r="H13673" s="42"/>
      <c r="AG13673" s="19"/>
    </row>
    <row r="13674" spans="1:33" ht="14.5" x14ac:dyDescent="0.35">
      <c r="A13674" s="34"/>
      <c r="B13674" s="35"/>
      <c r="C13674" s="36"/>
      <c r="D13674" s="37"/>
      <c r="E13674" s="36"/>
      <c r="F13674" s="42"/>
      <c r="G13674" s="42"/>
      <c r="H13674" s="42"/>
      <c r="AG13674" s="19"/>
    </row>
    <row r="13675" spans="1:33" ht="14.5" x14ac:dyDescent="0.35">
      <c r="A13675" s="34"/>
      <c r="B13675" s="35"/>
      <c r="C13675" s="36"/>
      <c r="D13675" s="37"/>
      <c r="E13675" s="36"/>
      <c r="F13675" s="42"/>
      <c r="G13675" s="42"/>
      <c r="H13675" s="42"/>
      <c r="AG13675" s="19"/>
    </row>
    <row r="13676" spans="1:33" ht="14.5" x14ac:dyDescent="0.35">
      <c r="A13676" s="34"/>
      <c r="B13676" s="35"/>
      <c r="C13676" s="36"/>
      <c r="D13676" s="37"/>
      <c r="E13676" s="36"/>
      <c r="F13676" s="42"/>
      <c r="G13676" s="42"/>
      <c r="H13676" s="42"/>
      <c r="AG13676" s="19"/>
    </row>
    <row r="13677" spans="1:33" ht="14.5" x14ac:dyDescent="0.35">
      <c r="A13677" s="34"/>
      <c r="B13677" s="35"/>
      <c r="C13677" s="36"/>
      <c r="D13677" s="37"/>
      <c r="E13677" s="36"/>
      <c r="F13677" s="42"/>
      <c r="G13677" s="42"/>
      <c r="H13677" s="42"/>
      <c r="AG13677" s="19"/>
    </row>
    <row r="13678" spans="1:33" ht="14.5" x14ac:dyDescent="0.35">
      <c r="A13678" s="34"/>
      <c r="B13678" s="35"/>
      <c r="C13678" s="36"/>
      <c r="D13678" s="37"/>
      <c r="E13678" s="36"/>
      <c r="F13678" s="42"/>
      <c r="G13678" s="42"/>
      <c r="H13678" s="42"/>
      <c r="AG13678" s="19"/>
    </row>
    <row r="13679" spans="1:33" ht="14.5" x14ac:dyDescent="0.35">
      <c r="A13679" s="34"/>
      <c r="B13679" s="35"/>
      <c r="C13679" s="36"/>
      <c r="D13679" s="37"/>
      <c r="E13679" s="36"/>
      <c r="F13679" s="42"/>
      <c r="G13679" s="42"/>
      <c r="H13679" s="42"/>
      <c r="AG13679" s="19"/>
    </row>
    <row r="13680" spans="1:33" ht="14.5" x14ac:dyDescent="0.35">
      <c r="A13680" s="34"/>
      <c r="B13680" s="35"/>
      <c r="C13680" s="36"/>
      <c r="D13680" s="37"/>
      <c r="E13680" s="36"/>
      <c r="F13680" s="42"/>
      <c r="G13680" s="42"/>
      <c r="H13680" s="42"/>
      <c r="AG13680" s="19"/>
    </row>
    <row r="13681" spans="1:33" ht="14.5" x14ac:dyDescent="0.35">
      <c r="A13681" s="34"/>
      <c r="B13681" s="35"/>
      <c r="C13681" s="36"/>
      <c r="D13681" s="37"/>
      <c r="E13681" s="36"/>
      <c r="F13681" s="42"/>
      <c r="G13681" s="42"/>
      <c r="H13681" s="42"/>
      <c r="AG13681" s="19"/>
    </row>
    <row r="13682" spans="1:33" ht="14.5" x14ac:dyDescent="0.35">
      <c r="A13682" s="34"/>
      <c r="B13682" s="35"/>
      <c r="C13682" s="36"/>
      <c r="D13682" s="37"/>
      <c r="E13682" s="36"/>
      <c r="F13682" s="42"/>
      <c r="G13682" s="42"/>
      <c r="H13682" s="42"/>
      <c r="AG13682" s="19"/>
    </row>
    <row r="13683" spans="1:33" ht="14.5" x14ac:dyDescent="0.35">
      <c r="A13683" s="34"/>
      <c r="B13683" s="35"/>
      <c r="C13683" s="36"/>
      <c r="D13683" s="37"/>
      <c r="E13683" s="36"/>
      <c r="F13683" s="42"/>
      <c r="G13683" s="42"/>
      <c r="H13683" s="42"/>
      <c r="AG13683" s="19"/>
    </row>
    <row r="13684" spans="1:33" ht="14.5" x14ac:dyDescent="0.35">
      <c r="A13684" s="34"/>
      <c r="B13684" s="35"/>
      <c r="C13684" s="36"/>
      <c r="D13684" s="37"/>
      <c r="E13684" s="36"/>
      <c r="F13684" s="42"/>
      <c r="G13684" s="42"/>
      <c r="H13684" s="42"/>
      <c r="AG13684" s="19"/>
    </row>
    <row r="13685" spans="1:33" ht="14.5" x14ac:dyDescent="0.35">
      <c r="A13685" s="34"/>
      <c r="B13685" s="35"/>
      <c r="C13685" s="36"/>
      <c r="D13685" s="37"/>
      <c r="E13685" s="36"/>
      <c r="F13685" s="42"/>
      <c r="G13685" s="42"/>
      <c r="H13685" s="42"/>
      <c r="AG13685" s="19"/>
    </row>
    <row r="13686" spans="1:33" ht="14.5" x14ac:dyDescent="0.35">
      <c r="A13686" s="34"/>
      <c r="B13686" s="35"/>
      <c r="C13686" s="36"/>
      <c r="D13686" s="37"/>
      <c r="E13686" s="36"/>
      <c r="F13686" s="42"/>
      <c r="G13686" s="42"/>
      <c r="H13686" s="42"/>
      <c r="AG13686" s="19"/>
    </row>
    <row r="13687" spans="1:33" ht="14.5" x14ac:dyDescent="0.35">
      <c r="A13687" s="34"/>
      <c r="B13687" s="35"/>
      <c r="C13687" s="36"/>
      <c r="D13687" s="37"/>
      <c r="E13687" s="36"/>
      <c r="F13687" s="42"/>
      <c r="G13687" s="42"/>
      <c r="H13687" s="42"/>
      <c r="AG13687" s="19"/>
    </row>
    <row r="13688" spans="1:33" ht="14.5" x14ac:dyDescent="0.35">
      <c r="A13688" s="34"/>
      <c r="B13688" s="35"/>
      <c r="C13688" s="36"/>
      <c r="D13688" s="37"/>
      <c r="E13688" s="36"/>
      <c r="F13688" s="42"/>
      <c r="G13688" s="42"/>
      <c r="H13688" s="42"/>
      <c r="AG13688" s="19"/>
    </row>
    <row r="13689" spans="1:33" ht="14.5" x14ac:dyDescent="0.35">
      <c r="A13689" s="34"/>
      <c r="B13689" s="35"/>
      <c r="C13689" s="36"/>
      <c r="D13689" s="37"/>
      <c r="E13689" s="36"/>
      <c r="F13689" s="42"/>
      <c r="G13689" s="42"/>
      <c r="H13689" s="42"/>
      <c r="AG13689" s="19"/>
    </row>
    <row r="13690" spans="1:33" ht="14.5" x14ac:dyDescent="0.35">
      <c r="A13690" s="34"/>
      <c r="B13690" s="35"/>
      <c r="C13690" s="36"/>
      <c r="D13690" s="37"/>
      <c r="E13690" s="36"/>
      <c r="F13690" s="42"/>
      <c r="G13690" s="42"/>
      <c r="H13690" s="42"/>
      <c r="AG13690" s="19"/>
    </row>
    <row r="13691" spans="1:33" ht="14.5" x14ac:dyDescent="0.35">
      <c r="A13691" s="34"/>
      <c r="B13691" s="35"/>
      <c r="C13691" s="36"/>
      <c r="D13691" s="37"/>
      <c r="E13691" s="36"/>
      <c r="F13691" s="42"/>
      <c r="G13691" s="42"/>
      <c r="H13691" s="42"/>
      <c r="AG13691" s="19"/>
    </row>
    <row r="13692" spans="1:33" ht="14.5" x14ac:dyDescent="0.35">
      <c r="A13692" s="34"/>
      <c r="B13692" s="35"/>
      <c r="C13692" s="36"/>
      <c r="D13692" s="37"/>
      <c r="E13692" s="36"/>
      <c r="F13692" s="42"/>
      <c r="G13692" s="42"/>
      <c r="H13692" s="42"/>
      <c r="AG13692" s="19"/>
    </row>
    <row r="13693" spans="1:33" ht="14.5" x14ac:dyDescent="0.35">
      <c r="A13693" s="34"/>
      <c r="B13693" s="35"/>
      <c r="C13693" s="36"/>
      <c r="D13693" s="37"/>
      <c r="E13693" s="36"/>
      <c r="F13693" s="42"/>
      <c r="G13693" s="42"/>
      <c r="H13693" s="42"/>
      <c r="AG13693" s="19"/>
    </row>
    <row r="13694" spans="1:33" ht="14.5" x14ac:dyDescent="0.35">
      <c r="A13694" s="34"/>
      <c r="B13694" s="35"/>
      <c r="C13694" s="36"/>
      <c r="D13694" s="37"/>
      <c r="E13694" s="36"/>
      <c r="F13694" s="42"/>
      <c r="G13694" s="42"/>
      <c r="H13694" s="42"/>
      <c r="AG13694" s="19"/>
    </row>
    <row r="13695" spans="1:33" ht="14.5" x14ac:dyDescent="0.35">
      <c r="A13695" s="34"/>
      <c r="B13695" s="35"/>
      <c r="C13695" s="36"/>
      <c r="D13695" s="37"/>
      <c r="E13695" s="36"/>
      <c r="F13695" s="42"/>
      <c r="G13695" s="42"/>
      <c r="H13695" s="42"/>
      <c r="AG13695" s="19"/>
    </row>
    <row r="13696" spans="1:33" ht="14.5" x14ac:dyDescent="0.35">
      <c r="A13696" s="34"/>
      <c r="B13696" s="35"/>
      <c r="C13696" s="36"/>
      <c r="D13696" s="37"/>
      <c r="E13696" s="36"/>
      <c r="F13696" s="42"/>
      <c r="G13696" s="42"/>
      <c r="H13696" s="42"/>
      <c r="AG13696" s="19"/>
    </row>
    <row r="13697" spans="1:33" ht="14.5" x14ac:dyDescent="0.35">
      <c r="A13697" s="34"/>
      <c r="B13697" s="35"/>
      <c r="C13697" s="36"/>
      <c r="D13697" s="37"/>
      <c r="E13697" s="36"/>
      <c r="F13697" s="42"/>
      <c r="G13697" s="42"/>
      <c r="H13697" s="42"/>
      <c r="AG13697" s="19"/>
    </row>
    <row r="13698" spans="1:33" ht="14.5" x14ac:dyDescent="0.35">
      <c r="A13698" s="34"/>
      <c r="B13698" s="35"/>
      <c r="C13698" s="36"/>
      <c r="D13698" s="37"/>
      <c r="E13698" s="36"/>
      <c r="F13698" s="42"/>
      <c r="G13698" s="42"/>
      <c r="H13698" s="42"/>
      <c r="AG13698" s="19"/>
    </row>
    <row r="13699" spans="1:33" ht="14.5" x14ac:dyDescent="0.35">
      <c r="A13699" s="34"/>
      <c r="B13699" s="35"/>
      <c r="C13699" s="36"/>
      <c r="D13699" s="37"/>
      <c r="E13699" s="36"/>
      <c r="F13699" s="42"/>
      <c r="G13699" s="42"/>
      <c r="H13699" s="42"/>
      <c r="AG13699" s="19"/>
    </row>
    <row r="13700" spans="1:33" ht="14.5" x14ac:dyDescent="0.35">
      <c r="A13700" s="34"/>
      <c r="B13700" s="35"/>
      <c r="C13700" s="36"/>
      <c r="D13700" s="37"/>
      <c r="E13700" s="36"/>
      <c r="F13700" s="42"/>
      <c r="G13700" s="42"/>
      <c r="H13700" s="42"/>
      <c r="AG13700" s="19"/>
    </row>
    <row r="13701" spans="1:33" ht="14.5" x14ac:dyDescent="0.35">
      <c r="A13701" s="34"/>
      <c r="B13701" s="35"/>
      <c r="C13701" s="36"/>
      <c r="D13701" s="37"/>
      <c r="E13701" s="36"/>
      <c r="F13701" s="42"/>
      <c r="G13701" s="42"/>
      <c r="H13701" s="42"/>
      <c r="AG13701" s="19"/>
    </row>
    <row r="13702" spans="1:33" ht="14.5" x14ac:dyDescent="0.35">
      <c r="A13702" s="34"/>
      <c r="B13702" s="35"/>
      <c r="C13702" s="36"/>
      <c r="D13702" s="37"/>
      <c r="E13702" s="36"/>
      <c r="F13702" s="42"/>
      <c r="G13702" s="42"/>
      <c r="H13702" s="42"/>
      <c r="AG13702" s="19"/>
    </row>
    <row r="13703" spans="1:33" ht="14.5" x14ac:dyDescent="0.35">
      <c r="A13703" s="34"/>
      <c r="B13703" s="35"/>
      <c r="C13703" s="36"/>
      <c r="D13703" s="37"/>
      <c r="E13703" s="36"/>
      <c r="F13703" s="42"/>
      <c r="G13703" s="42"/>
      <c r="H13703" s="42"/>
      <c r="AG13703" s="19"/>
    </row>
    <row r="13704" spans="1:33" ht="14.5" x14ac:dyDescent="0.35">
      <c r="A13704" s="34"/>
      <c r="B13704" s="35"/>
      <c r="C13704" s="36"/>
      <c r="D13704" s="37"/>
      <c r="E13704" s="36"/>
      <c r="F13704" s="42"/>
      <c r="G13704" s="42"/>
      <c r="H13704" s="42"/>
      <c r="AG13704" s="19"/>
    </row>
    <row r="13705" spans="1:33" ht="14.5" x14ac:dyDescent="0.35">
      <c r="A13705" s="34"/>
      <c r="B13705" s="35"/>
      <c r="C13705" s="36"/>
      <c r="D13705" s="37"/>
      <c r="E13705" s="36"/>
      <c r="F13705" s="42"/>
      <c r="G13705" s="42"/>
      <c r="H13705" s="42"/>
      <c r="AG13705" s="19"/>
    </row>
    <row r="13706" spans="1:33" ht="14.5" x14ac:dyDescent="0.35">
      <c r="A13706" s="34"/>
      <c r="B13706" s="35"/>
      <c r="C13706" s="36"/>
      <c r="D13706" s="37"/>
      <c r="E13706" s="36"/>
      <c r="F13706" s="42"/>
      <c r="G13706" s="42"/>
      <c r="H13706" s="42"/>
      <c r="AG13706" s="19"/>
    </row>
    <row r="13707" spans="1:33" ht="14.5" x14ac:dyDescent="0.35">
      <c r="A13707" s="34"/>
      <c r="B13707" s="35"/>
      <c r="C13707" s="36"/>
      <c r="D13707" s="37"/>
      <c r="E13707" s="36"/>
      <c r="F13707" s="42"/>
      <c r="G13707" s="42"/>
      <c r="H13707" s="42"/>
      <c r="AG13707" s="19"/>
    </row>
    <row r="13708" spans="1:33" ht="14.5" x14ac:dyDescent="0.35">
      <c r="A13708" s="34"/>
      <c r="B13708" s="35"/>
      <c r="C13708" s="36"/>
      <c r="D13708" s="37"/>
      <c r="E13708" s="36"/>
      <c r="F13708" s="42"/>
      <c r="G13708" s="42"/>
      <c r="H13708" s="42"/>
      <c r="AG13708" s="19"/>
    </row>
    <row r="13709" spans="1:33" ht="14.5" x14ac:dyDescent="0.35">
      <c r="A13709" s="34"/>
      <c r="B13709" s="35"/>
      <c r="C13709" s="36"/>
      <c r="D13709" s="37"/>
      <c r="E13709" s="36"/>
      <c r="F13709" s="42"/>
      <c r="G13709" s="42"/>
      <c r="H13709" s="42"/>
      <c r="AG13709" s="19"/>
    </row>
    <row r="13710" spans="1:33" ht="14.5" x14ac:dyDescent="0.35">
      <c r="A13710" s="34"/>
      <c r="B13710" s="35"/>
      <c r="C13710" s="36"/>
      <c r="D13710" s="37"/>
      <c r="E13710" s="36"/>
      <c r="F13710" s="42"/>
      <c r="G13710" s="42"/>
      <c r="H13710" s="42"/>
      <c r="AG13710" s="19"/>
    </row>
    <row r="13711" spans="1:33" ht="14.5" x14ac:dyDescent="0.35">
      <c r="A13711" s="34"/>
      <c r="B13711" s="35"/>
      <c r="C13711" s="36"/>
      <c r="D13711" s="37"/>
      <c r="E13711" s="36"/>
      <c r="F13711" s="42"/>
      <c r="G13711" s="42"/>
      <c r="H13711" s="42"/>
      <c r="AG13711" s="19"/>
    </row>
    <row r="13712" spans="1:33" ht="14.5" x14ac:dyDescent="0.35">
      <c r="A13712" s="34"/>
      <c r="B13712" s="35"/>
      <c r="C13712" s="36"/>
      <c r="D13712" s="37"/>
      <c r="E13712" s="36"/>
      <c r="F13712" s="42"/>
      <c r="G13712" s="42"/>
      <c r="H13712" s="42"/>
      <c r="AG13712" s="19"/>
    </row>
    <row r="13713" spans="1:33" ht="14.5" x14ac:dyDescent="0.35">
      <c r="A13713" s="34"/>
      <c r="B13713" s="35"/>
      <c r="C13713" s="36"/>
      <c r="D13713" s="37"/>
      <c r="E13713" s="36"/>
      <c r="F13713" s="42"/>
      <c r="G13713" s="42"/>
      <c r="H13713" s="42"/>
      <c r="AG13713" s="19"/>
    </row>
    <row r="13714" spans="1:33" ht="14.5" x14ac:dyDescent="0.35">
      <c r="A13714" s="34"/>
      <c r="B13714" s="35"/>
      <c r="C13714" s="36"/>
      <c r="D13714" s="37"/>
      <c r="E13714" s="36"/>
      <c r="F13714" s="42"/>
      <c r="G13714" s="42"/>
      <c r="H13714" s="42"/>
      <c r="AG13714" s="19"/>
    </row>
    <row r="13715" spans="1:33" ht="14.5" x14ac:dyDescent="0.35">
      <c r="A13715" s="34"/>
      <c r="B13715" s="35"/>
      <c r="C13715" s="36"/>
      <c r="D13715" s="37"/>
      <c r="E13715" s="36"/>
      <c r="F13715" s="42"/>
      <c r="G13715" s="42"/>
      <c r="H13715" s="42"/>
      <c r="AG13715" s="19"/>
    </row>
    <row r="13716" spans="1:33" ht="14.5" x14ac:dyDescent="0.35">
      <c r="A13716" s="34"/>
      <c r="B13716" s="35"/>
      <c r="C13716" s="36"/>
      <c r="D13716" s="37"/>
      <c r="E13716" s="36"/>
      <c r="F13716" s="42"/>
      <c r="G13716" s="42"/>
      <c r="H13716" s="42"/>
      <c r="AG13716" s="19"/>
    </row>
    <row r="13717" spans="1:33" ht="14.5" x14ac:dyDescent="0.35">
      <c r="A13717" s="34"/>
      <c r="B13717" s="35"/>
      <c r="C13717" s="36"/>
      <c r="D13717" s="37"/>
      <c r="E13717" s="36"/>
      <c r="F13717" s="42"/>
      <c r="G13717" s="42"/>
      <c r="H13717" s="42"/>
      <c r="AG13717" s="19"/>
    </row>
    <row r="13718" spans="1:33" ht="14.5" x14ac:dyDescent="0.35">
      <c r="A13718" s="34"/>
      <c r="B13718" s="35"/>
      <c r="C13718" s="36"/>
      <c r="D13718" s="37"/>
      <c r="E13718" s="36"/>
      <c r="F13718" s="42"/>
      <c r="G13718" s="42"/>
      <c r="H13718" s="42"/>
      <c r="AG13718" s="19"/>
    </row>
    <row r="13719" spans="1:33" ht="14.5" x14ac:dyDescent="0.35">
      <c r="A13719" s="34"/>
      <c r="B13719" s="35"/>
      <c r="C13719" s="36"/>
      <c r="D13719" s="37"/>
      <c r="E13719" s="36"/>
      <c r="F13719" s="42"/>
      <c r="G13719" s="42"/>
      <c r="H13719" s="42"/>
      <c r="AG13719" s="19"/>
    </row>
    <row r="13720" spans="1:33" ht="14.5" x14ac:dyDescent="0.35">
      <c r="A13720" s="34"/>
      <c r="B13720" s="35"/>
      <c r="C13720" s="36"/>
      <c r="D13720" s="37"/>
      <c r="E13720" s="36"/>
      <c r="F13720" s="42"/>
      <c r="G13720" s="42"/>
      <c r="H13720" s="42"/>
      <c r="AG13720" s="19"/>
    </row>
    <row r="13721" spans="1:33" ht="14.5" x14ac:dyDescent="0.35">
      <c r="A13721" s="34"/>
      <c r="B13721" s="35"/>
      <c r="C13721" s="36"/>
      <c r="D13721" s="37"/>
      <c r="E13721" s="36"/>
      <c r="F13721" s="42"/>
      <c r="G13721" s="42"/>
      <c r="H13721" s="42"/>
      <c r="AG13721" s="19"/>
    </row>
    <row r="13722" spans="1:33" ht="14.5" x14ac:dyDescent="0.35">
      <c r="A13722" s="34"/>
      <c r="B13722" s="35"/>
      <c r="C13722" s="36"/>
      <c r="D13722" s="37"/>
      <c r="E13722" s="36"/>
      <c r="F13722" s="42"/>
      <c r="G13722" s="42"/>
      <c r="H13722" s="42"/>
      <c r="AG13722" s="19"/>
    </row>
    <row r="13723" spans="1:33" ht="14.5" x14ac:dyDescent="0.35">
      <c r="A13723" s="34"/>
      <c r="B13723" s="35"/>
      <c r="C13723" s="36"/>
      <c r="D13723" s="37"/>
      <c r="E13723" s="36"/>
      <c r="F13723" s="42"/>
      <c r="G13723" s="42"/>
      <c r="H13723" s="42"/>
      <c r="AG13723" s="19"/>
    </row>
    <row r="13724" spans="1:33" ht="14.5" x14ac:dyDescent="0.35">
      <c r="A13724" s="34"/>
      <c r="B13724" s="35"/>
      <c r="C13724" s="36"/>
      <c r="D13724" s="37"/>
      <c r="E13724" s="36"/>
      <c r="F13724" s="42"/>
      <c r="G13724" s="42"/>
      <c r="H13724" s="42"/>
      <c r="AG13724" s="19"/>
    </row>
    <row r="13725" spans="1:33" ht="14.5" x14ac:dyDescent="0.35">
      <c r="A13725" s="34"/>
      <c r="B13725" s="35"/>
      <c r="C13725" s="36"/>
      <c r="D13725" s="37"/>
      <c r="E13725" s="36"/>
      <c r="F13725" s="42"/>
      <c r="G13725" s="42"/>
      <c r="H13725" s="42"/>
      <c r="AG13725" s="19"/>
    </row>
    <row r="13726" spans="1:33" ht="14.5" x14ac:dyDescent="0.35">
      <c r="A13726" s="34"/>
      <c r="B13726" s="35"/>
      <c r="C13726" s="36"/>
      <c r="D13726" s="37"/>
      <c r="E13726" s="36"/>
      <c r="F13726" s="42"/>
      <c r="G13726" s="42"/>
      <c r="H13726" s="42"/>
      <c r="AG13726" s="19"/>
    </row>
    <row r="13727" spans="1:33" ht="14.5" x14ac:dyDescent="0.35">
      <c r="A13727" s="34"/>
      <c r="B13727" s="35"/>
      <c r="C13727" s="36"/>
      <c r="D13727" s="37"/>
      <c r="E13727" s="36"/>
      <c r="F13727" s="42"/>
      <c r="G13727" s="42"/>
      <c r="H13727" s="42"/>
      <c r="AG13727" s="19"/>
    </row>
    <row r="13728" spans="1:33" ht="14.5" x14ac:dyDescent="0.35">
      <c r="A13728" s="34"/>
      <c r="B13728" s="35"/>
      <c r="C13728" s="36"/>
      <c r="D13728" s="37"/>
      <c r="E13728" s="36"/>
      <c r="F13728" s="42"/>
      <c r="G13728" s="42"/>
      <c r="H13728" s="42"/>
      <c r="AG13728" s="19"/>
    </row>
    <row r="13729" spans="1:33" ht="14.5" x14ac:dyDescent="0.35">
      <c r="A13729" s="34"/>
      <c r="B13729" s="35"/>
      <c r="C13729" s="36"/>
      <c r="D13729" s="37"/>
      <c r="E13729" s="36"/>
      <c r="F13729" s="42"/>
      <c r="G13729" s="42"/>
      <c r="H13729" s="42"/>
      <c r="AG13729" s="19"/>
    </row>
    <row r="13730" spans="1:33" ht="14.5" x14ac:dyDescent="0.35">
      <c r="A13730" s="34"/>
      <c r="B13730" s="35"/>
      <c r="C13730" s="36"/>
      <c r="D13730" s="37"/>
      <c r="E13730" s="36"/>
      <c r="F13730" s="42"/>
      <c r="G13730" s="42"/>
      <c r="H13730" s="42"/>
      <c r="AG13730" s="19"/>
    </row>
    <row r="13731" spans="1:33" ht="14.5" x14ac:dyDescent="0.35">
      <c r="A13731" s="34"/>
      <c r="B13731" s="35"/>
      <c r="C13731" s="36"/>
      <c r="D13731" s="37"/>
      <c r="E13731" s="36"/>
      <c r="F13731" s="42"/>
      <c r="G13731" s="42"/>
      <c r="H13731" s="42"/>
      <c r="AG13731" s="19"/>
    </row>
    <row r="13732" spans="1:33" ht="14.5" x14ac:dyDescent="0.35">
      <c r="A13732" s="34"/>
      <c r="B13732" s="35"/>
      <c r="C13732" s="36"/>
      <c r="D13732" s="37"/>
      <c r="E13732" s="36"/>
      <c r="F13732" s="42"/>
      <c r="G13732" s="42"/>
      <c r="H13732" s="42"/>
      <c r="AG13732" s="19"/>
    </row>
    <row r="13733" spans="1:33" ht="14.5" x14ac:dyDescent="0.35">
      <c r="A13733" s="34"/>
      <c r="B13733" s="35"/>
      <c r="C13733" s="36"/>
      <c r="D13733" s="37"/>
      <c r="E13733" s="36"/>
      <c r="F13733" s="42"/>
      <c r="G13733" s="42"/>
      <c r="H13733" s="42"/>
      <c r="AG13733" s="19"/>
    </row>
    <row r="13734" spans="1:33" ht="14.5" x14ac:dyDescent="0.35">
      <c r="A13734" s="34"/>
      <c r="B13734" s="35"/>
      <c r="C13734" s="36"/>
      <c r="D13734" s="37"/>
      <c r="E13734" s="36"/>
      <c r="F13734" s="42"/>
      <c r="G13734" s="42"/>
      <c r="H13734" s="42"/>
      <c r="AG13734" s="19"/>
    </row>
    <row r="13735" spans="1:33" ht="14.5" x14ac:dyDescent="0.35">
      <c r="A13735" s="34"/>
      <c r="B13735" s="35"/>
      <c r="C13735" s="36"/>
      <c r="D13735" s="37"/>
      <c r="E13735" s="36"/>
      <c r="F13735" s="42"/>
      <c r="G13735" s="42"/>
      <c r="H13735" s="42"/>
      <c r="AG13735" s="19"/>
    </row>
    <row r="13736" spans="1:33" ht="14.5" x14ac:dyDescent="0.35">
      <c r="A13736" s="34"/>
      <c r="B13736" s="35"/>
      <c r="C13736" s="36"/>
      <c r="D13736" s="37"/>
      <c r="E13736" s="36"/>
      <c r="F13736" s="42"/>
      <c r="G13736" s="42"/>
      <c r="H13736" s="42"/>
      <c r="AG13736" s="19"/>
    </row>
    <row r="13737" spans="1:33" ht="14.5" x14ac:dyDescent="0.35">
      <c r="A13737" s="34"/>
      <c r="B13737" s="35"/>
      <c r="C13737" s="36"/>
      <c r="D13737" s="37"/>
      <c r="E13737" s="36"/>
      <c r="F13737" s="42"/>
      <c r="G13737" s="42"/>
      <c r="H13737" s="42"/>
      <c r="AG13737" s="19"/>
    </row>
    <row r="13738" spans="1:33" ht="14.5" x14ac:dyDescent="0.35">
      <c r="A13738" s="34"/>
      <c r="B13738" s="35"/>
      <c r="C13738" s="36"/>
      <c r="D13738" s="37"/>
      <c r="E13738" s="36"/>
      <c r="F13738" s="42"/>
      <c r="G13738" s="42"/>
      <c r="H13738" s="42"/>
      <c r="AG13738" s="19"/>
    </row>
    <row r="13739" spans="1:33" ht="14.5" x14ac:dyDescent="0.35">
      <c r="A13739" s="34"/>
      <c r="B13739" s="35"/>
      <c r="C13739" s="36"/>
      <c r="D13739" s="37"/>
      <c r="E13739" s="36"/>
      <c r="F13739" s="42"/>
      <c r="G13739" s="42"/>
      <c r="H13739" s="42"/>
      <c r="AG13739" s="19"/>
    </row>
    <row r="13740" spans="1:33" ht="14.5" x14ac:dyDescent="0.35">
      <c r="A13740" s="34"/>
      <c r="B13740" s="35"/>
      <c r="C13740" s="36"/>
      <c r="D13740" s="37"/>
      <c r="E13740" s="36"/>
      <c r="F13740" s="42"/>
      <c r="G13740" s="42"/>
      <c r="H13740" s="42"/>
      <c r="AG13740" s="19"/>
    </row>
    <row r="13741" spans="1:33" ht="14.5" x14ac:dyDescent="0.35">
      <c r="A13741" s="34"/>
      <c r="B13741" s="35"/>
      <c r="C13741" s="36"/>
      <c r="D13741" s="37"/>
      <c r="E13741" s="36"/>
      <c r="F13741" s="42"/>
      <c r="G13741" s="42"/>
      <c r="H13741" s="42"/>
      <c r="AG13741" s="19"/>
    </row>
    <row r="13742" spans="1:33" ht="14.5" x14ac:dyDescent="0.35">
      <c r="A13742" s="34"/>
      <c r="B13742" s="35"/>
      <c r="C13742" s="36"/>
      <c r="D13742" s="37"/>
      <c r="E13742" s="36"/>
      <c r="F13742" s="42"/>
      <c r="G13742" s="42"/>
      <c r="H13742" s="42"/>
      <c r="AG13742" s="19"/>
    </row>
    <row r="13743" spans="1:33" ht="14.5" x14ac:dyDescent="0.35">
      <c r="A13743" s="34"/>
      <c r="B13743" s="35"/>
      <c r="C13743" s="36"/>
      <c r="D13743" s="37"/>
      <c r="E13743" s="36"/>
      <c r="F13743" s="42"/>
      <c r="G13743" s="42"/>
      <c r="H13743" s="42"/>
      <c r="AG13743" s="19"/>
    </row>
    <row r="13744" spans="1:33" ht="14.5" x14ac:dyDescent="0.35">
      <c r="A13744" s="34"/>
      <c r="B13744" s="35"/>
      <c r="C13744" s="36"/>
      <c r="D13744" s="37"/>
      <c r="E13744" s="36"/>
      <c r="F13744" s="42"/>
      <c r="G13744" s="42"/>
      <c r="H13744" s="42"/>
      <c r="AG13744" s="19"/>
    </row>
    <row r="13745" spans="1:33" ht="14.5" x14ac:dyDescent="0.35">
      <c r="A13745" s="34"/>
      <c r="B13745" s="35"/>
      <c r="C13745" s="36"/>
      <c r="D13745" s="37"/>
      <c r="E13745" s="36"/>
      <c r="F13745" s="42"/>
      <c r="G13745" s="42"/>
      <c r="H13745" s="42"/>
      <c r="AG13745" s="19"/>
    </row>
    <row r="13746" spans="1:33" ht="14.5" x14ac:dyDescent="0.35">
      <c r="A13746" s="34"/>
      <c r="B13746" s="35"/>
      <c r="C13746" s="36"/>
      <c r="D13746" s="37"/>
      <c r="E13746" s="36"/>
      <c r="F13746" s="42"/>
      <c r="G13746" s="42"/>
      <c r="H13746" s="42"/>
      <c r="AG13746" s="19"/>
    </row>
    <row r="13747" spans="1:33" ht="14.5" x14ac:dyDescent="0.35">
      <c r="A13747" s="34"/>
      <c r="B13747" s="35"/>
      <c r="C13747" s="36"/>
      <c r="D13747" s="37"/>
      <c r="E13747" s="36"/>
      <c r="F13747" s="42"/>
      <c r="G13747" s="42"/>
      <c r="H13747" s="42"/>
      <c r="AG13747" s="19"/>
    </row>
    <row r="13748" spans="1:33" ht="14.5" x14ac:dyDescent="0.35">
      <c r="A13748" s="34"/>
      <c r="B13748" s="35"/>
      <c r="C13748" s="36"/>
      <c r="D13748" s="37"/>
      <c r="E13748" s="36"/>
      <c r="F13748" s="42"/>
      <c r="G13748" s="42"/>
      <c r="H13748" s="42"/>
      <c r="AG13748" s="19"/>
    </row>
    <row r="13749" spans="1:33" ht="14.5" x14ac:dyDescent="0.35">
      <c r="A13749" s="34"/>
      <c r="B13749" s="35"/>
      <c r="C13749" s="36"/>
      <c r="D13749" s="37"/>
      <c r="E13749" s="36"/>
      <c r="F13749" s="42"/>
      <c r="G13749" s="42"/>
      <c r="H13749" s="42"/>
      <c r="AG13749" s="19"/>
    </row>
    <row r="13750" spans="1:33" ht="14.5" x14ac:dyDescent="0.35">
      <c r="A13750" s="34"/>
      <c r="B13750" s="35"/>
      <c r="C13750" s="36"/>
      <c r="D13750" s="37"/>
      <c r="E13750" s="36"/>
      <c r="F13750" s="42"/>
      <c r="G13750" s="42"/>
      <c r="H13750" s="42"/>
      <c r="AG13750" s="19"/>
    </row>
    <row r="13751" spans="1:33" ht="14.5" x14ac:dyDescent="0.35">
      <c r="A13751" s="34"/>
      <c r="B13751" s="35"/>
      <c r="C13751" s="36"/>
      <c r="D13751" s="37"/>
      <c r="E13751" s="36"/>
      <c r="F13751" s="42"/>
      <c r="G13751" s="42"/>
      <c r="H13751" s="42"/>
      <c r="AG13751" s="19"/>
    </row>
    <row r="13752" spans="1:33" ht="14.5" x14ac:dyDescent="0.35">
      <c r="A13752" s="34"/>
      <c r="B13752" s="35"/>
      <c r="C13752" s="36"/>
      <c r="D13752" s="37"/>
      <c r="E13752" s="36"/>
      <c r="F13752" s="42"/>
      <c r="G13752" s="42"/>
      <c r="H13752" s="42"/>
      <c r="AG13752" s="19"/>
    </row>
    <row r="13753" spans="1:33" ht="14.5" x14ac:dyDescent="0.35">
      <c r="A13753" s="34"/>
      <c r="B13753" s="35"/>
      <c r="C13753" s="36"/>
      <c r="D13753" s="37"/>
      <c r="E13753" s="36"/>
      <c r="F13753" s="42"/>
      <c r="G13753" s="42"/>
      <c r="H13753" s="42"/>
      <c r="AG13753" s="19"/>
    </row>
    <row r="13754" spans="1:33" ht="14.5" x14ac:dyDescent="0.35">
      <c r="A13754" s="34"/>
      <c r="B13754" s="35"/>
      <c r="C13754" s="36"/>
      <c r="D13754" s="37"/>
      <c r="E13754" s="36"/>
      <c r="F13754" s="42"/>
      <c r="G13754" s="42"/>
      <c r="H13754" s="42"/>
      <c r="AG13754" s="19"/>
    </row>
    <row r="13755" spans="1:33" ht="14.5" x14ac:dyDescent="0.35">
      <c r="A13755" s="34"/>
      <c r="B13755" s="35"/>
      <c r="C13755" s="36"/>
      <c r="D13755" s="37"/>
      <c r="E13755" s="36"/>
      <c r="F13755" s="42"/>
      <c r="G13755" s="42"/>
      <c r="H13755" s="42"/>
      <c r="AG13755" s="19"/>
    </row>
    <row r="13756" spans="1:33" ht="14.5" x14ac:dyDescent="0.35">
      <c r="A13756" s="34"/>
      <c r="B13756" s="35"/>
      <c r="C13756" s="36"/>
      <c r="D13756" s="37"/>
      <c r="E13756" s="36"/>
      <c r="F13756" s="42"/>
      <c r="G13756" s="42"/>
      <c r="H13756" s="42"/>
      <c r="AG13756" s="19"/>
    </row>
    <row r="13757" spans="1:33" ht="14.5" x14ac:dyDescent="0.35">
      <c r="A13757" s="34"/>
      <c r="B13757" s="35"/>
      <c r="C13757" s="36"/>
      <c r="D13757" s="37"/>
      <c r="E13757" s="36"/>
      <c r="F13757" s="42"/>
      <c r="G13757" s="42"/>
      <c r="H13757" s="42"/>
      <c r="AG13757" s="19"/>
    </row>
    <row r="13758" spans="1:33" ht="14.5" x14ac:dyDescent="0.35">
      <c r="A13758" s="34"/>
      <c r="B13758" s="35"/>
      <c r="C13758" s="36"/>
      <c r="D13758" s="37"/>
      <c r="E13758" s="36"/>
      <c r="F13758" s="42"/>
      <c r="G13758" s="42"/>
      <c r="H13758" s="42"/>
      <c r="AG13758" s="19"/>
    </row>
    <row r="13759" spans="1:33" ht="14.5" x14ac:dyDescent="0.35">
      <c r="A13759" s="34"/>
      <c r="B13759" s="35"/>
      <c r="C13759" s="36"/>
      <c r="D13759" s="37"/>
      <c r="E13759" s="36"/>
      <c r="F13759" s="42"/>
      <c r="G13759" s="42"/>
      <c r="H13759" s="42"/>
      <c r="AG13759" s="19"/>
    </row>
    <row r="13760" spans="1:33" ht="14.5" x14ac:dyDescent="0.35">
      <c r="A13760" s="34"/>
      <c r="B13760" s="35"/>
      <c r="C13760" s="36"/>
      <c r="D13760" s="37"/>
      <c r="E13760" s="36"/>
      <c r="F13760" s="42"/>
      <c r="G13760" s="42"/>
      <c r="H13760" s="42"/>
      <c r="AG13760" s="19"/>
    </row>
    <row r="13761" spans="1:33" ht="14.5" x14ac:dyDescent="0.35">
      <c r="A13761" s="34"/>
      <c r="B13761" s="35"/>
      <c r="C13761" s="36"/>
      <c r="D13761" s="37"/>
      <c r="E13761" s="36"/>
      <c r="F13761" s="42"/>
      <c r="G13761" s="42"/>
      <c r="H13761" s="42"/>
      <c r="AG13761" s="19"/>
    </row>
    <row r="13762" spans="1:33" ht="14.5" x14ac:dyDescent="0.35">
      <c r="A13762" s="34"/>
      <c r="B13762" s="35"/>
      <c r="C13762" s="36"/>
      <c r="D13762" s="37"/>
      <c r="E13762" s="36"/>
      <c r="F13762" s="42"/>
      <c r="G13762" s="42"/>
      <c r="H13762" s="42"/>
      <c r="AG13762" s="19"/>
    </row>
    <row r="13763" spans="1:33" ht="14.5" x14ac:dyDescent="0.35">
      <c r="A13763" s="34"/>
      <c r="B13763" s="35"/>
      <c r="C13763" s="36"/>
      <c r="D13763" s="37"/>
      <c r="E13763" s="36"/>
      <c r="F13763" s="42"/>
      <c r="G13763" s="42"/>
      <c r="H13763" s="42"/>
      <c r="AG13763" s="19"/>
    </row>
    <row r="13764" spans="1:33" ht="14.5" x14ac:dyDescent="0.35">
      <c r="A13764" s="34"/>
      <c r="B13764" s="35"/>
      <c r="C13764" s="36"/>
      <c r="D13764" s="37"/>
      <c r="E13764" s="36"/>
      <c r="F13764" s="42"/>
      <c r="G13764" s="42"/>
      <c r="H13764" s="42"/>
      <c r="AG13764" s="19"/>
    </row>
    <row r="13765" spans="1:33" ht="14.5" x14ac:dyDescent="0.35">
      <c r="A13765" s="34"/>
      <c r="B13765" s="35"/>
      <c r="C13765" s="36"/>
      <c r="D13765" s="37"/>
      <c r="E13765" s="36"/>
      <c r="F13765" s="42"/>
      <c r="G13765" s="42"/>
      <c r="H13765" s="42"/>
      <c r="AG13765" s="19"/>
    </row>
    <row r="13766" spans="1:33" ht="14.5" x14ac:dyDescent="0.35">
      <c r="A13766" s="34"/>
      <c r="B13766" s="35"/>
      <c r="C13766" s="36"/>
      <c r="D13766" s="37"/>
      <c r="E13766" s="36"/>
      <c r="F13766" s="42"/>
      <c r="G13766" s="42"/>
      <c r="H13766" s="42"/>
      <c r="AG13766" s="19"/>
    </row>
    <row r="13767" spans="1:33" ht="14.5" x14ac:dyDescent="0.35">
      <c r="A13767" s="34"/>
      <c r="B13767" s="35"/>
      <c r="C13767" s="36"/>
      <c r="D13767" s="37"/>
      <c r="E13767" s="36"/>
      <c r="F13767" s="42"/>
      <c r="G13767" s="42"/>
      <c r="H13767" s="42"/>
      <c r="AG13767" s="19"/>
    </row>
    <row r="13768" spans="1:33" ht="14.5" x14ac:dyDescent="0.35">
      <c r="A13768" s="34"/>
      <c r="B13768" s="35"/>
      <c r="C13768" s="36"/>
      <c r="D13768" s="37"/>
      <c r="E13768" s="36"/>
      <c r="F13768" s="42"/>
      <c r="G13768" s="42"/>
      <c r="H13768" s="42"/>
      <c r="AG13768" s="19"/>
    </row>
    <row r="13769" spans="1:33" ht="14.5" x14ac:dyDescent="0.35">
      <c r="A13769" s="34"/>
      <c r="B13769" s="35"/>
      <c r="C13769" s="36"/>
      <c r="D13769" s="37"/>
      <c r="E13769" s="36"/>
      <c r="F13769" s="42"/>
      <c r="G13769" s="42"/>
      <c r="H13769" s="42"/>
      <c r="AG13769" s="19"/>
    </row>
    <row r="13770" spans="1:33" ht="14.5" x14ac:dyDescent="0.35">
      <c r="A13770" s="34"/>
      <c r="B13770" s="35"/>
      <c r="C13770" s="36"/>
      <c r="D13770" s="37"/>
      <c r="E13770" s="36"/>
      <c r="F13770" s="42"/>
      <c r="G13770" s="42"/>
      <c r="H13770" s="42"/>
      <c r="AG13770" s="19"/>
    </row>
    <row r="13771" spans="1:33" ht="14.5" x14ac:dyDescent="0.35">
      <c r="A13771" s="34"/>
      <c r="B13771" s="35"/>
      <c r="C13771" s="36"/>
      <c r="D13771" s="37"/>
      <c r="E13771" s="36"/>
      <c r="F13771" s="42"/>
      <c r="G13771" s="42"/>
      <c r="H13771" s="42"/>
      <c r="AG13771" s="19"/>
    </row>
    <row r="13772" spans="1:33" ht="14.5" x14ac:dyDescent="0.35">
      <c r="A13772" s="34"/>
      <c r="B13772" s="35"/>
      <c r="C13772" s="36"/>
      <c r="D13772" s="37"/>
      <c r="E13772" s="36"/>
      <c r="F13772" s="42"/>
      <c r="G13772" s="42"/>
      <c r="H13772" s="42"/>
      <c r="AG13772" s="19"/>
    </row>
    <row r="13773" spans="1:33" ht="14.5" x14ac:dyDescent="0.35">
      <c r="A13773" s="34"/>
      <c r="B13773" s="35"/>
      <c r="C13773" s="36"/>
      <c r="D13773" s="37"/>
      <c r="E13773" s="36"/>
      <c r="F13773" s="42"/>
      <c r="G13773" s="42"/>
      <c r="H13773" s="42"/>
      <c r="AG13773" s="19"/>
    </row>
    <row r="13774" spans="1:33" ht="14.5" x14ac:dyDescent="0.35">
      <c r="A13774" s="34"/>
      <c r="B13774" s="35"/>
      <c r="C13774" s="36"/>
      <c r="D13774" s="37"/>
      <c r="E13774" s="36"/>
      <c r="F13774" s="42"/>
      <c r="G13774" s="42"/>
      <c r="H13774" s="42"/>
      <c r="AG13774" s="19"/>
    </row>
    <row r="13775" spans="1:33" ht="14.5" x14ac:dyDescent="0.35">
      <c r="A13775" s="34"/>
      <c r="B13775" s="35"/>
      <c r="C13775" s="36"/>
      <c r="D13775" s="37"/>
      <c r="E13775" s="36"/>
      <c r="F13775" s="42"/>
      <c r="G13775" s="42"/>
      <c r="H13775" s="42"/>
      <c r="AG13775" s="19"/>
    </row>
    <row r="13776" spans="1:33" ht="14.5" x14ac:dyDescent="0.35">
      <c r="A13776" s="34"/>
      <c r="B13776" s="35"/>
      <c r="C13776" s="36"/>
      <c r="D13776" s="37"/>
      <c r="E13776" s="36"/>
      <c r="F13776" s="42"/>
      <c r="G13776" s="42"/>
      <c r="H13776" s="42"/>
      <c r="AG13776" s="19"/>
    </row>
    <row r="13777" spans="1:33" ht="14.5" x14ac:dyDescent="0.35">
      <c r="A13777" s="34"/>
      <c r="B13777" s="35"/>
      <c r="C13777" s="36"/>
      <c r="D13777" s="37"/>
      <c r="E13777" s="36"/>
      <c r="F13777" s="42"/>
      <c r="G13777" s="42"/>
      <c r="H13777" s="42"/>
      <c r="AG13777" s="19"/>
    </row>
    <row r="13778" spans="1:33" ht="14.5" x14ac:dyDescent="0.35">
      <c r="A13778" s="34"/>
      <c r="B13778" s="35"/>
      <c r="C13778" s="36"/>
      <c r="D13778" s="37"/>
      <c r="E13778" s="36"/>
      <c r="F13778" s="42"/>
      <c r="G13778" s="42"/>
      <c r="H13778" s="42"/>
      <c r="AG13778" s="19"/>
    </row>
    <row r="13779" spans="1:33" ht="14.5" x14ac:dyDescent="0.35">
      <c r="A13779" s="34"/>
      <c r="B13779" s="35"/>
      <c r="C13779" s="36"/>
      <c r="D13779" s="37"/>
      <c r="E13779" s="36"/>
      <c r="F13779" s="42"/>
      <c r="G13779" s="42"/>
      <c r="H13779" s="42"/>
      <c r="AG13779" s="19"/>
    </row>
    <row r="13780" spans="1:33" ht="14.5" x14ac:dyDescent="0.35">
      <c r="A13780" s="34"/>
      <c r="B13780" s="35"/>
      <c r="C13780" s="36"/>
      <c r="D13780" s="37"/>
      <c r="E13780" s="36"/>
      <c r="F13780" s="42"/>
      <c r="G13780" s="42"/>
      <c r="H13780" s="42"/>
      <c r="AG13780" s="19"/>
    </row>
    <row r="13781" spans="1:33" ht="14.5" x14ac:dyDescent="0.35">
      <c r="A13781" s="34"/>
      <c r="B13781" s="35"/>
      <c r="C13781" s="36"/>
      <c r="D13781" s="37"/>
      <c r="E13781" s="36"/>
      <c r="F13781" s="42"/>
      <c r="G13781" s="42"/>
      <c r="H13781" s="42"/>
      <c r="AG13781" s="19"/>
    </row>
    <row r="13782" spans="1:33" ht="14.5" x14ac:dyDescent="0.35">
      <c r="A13782" s="34"/>
      <c r="B13782" s="35"/>
      <c r="C13782" s="36"/>
      <c r="D13782" s="37"/>
      <c r="E13782" s="36"/>
      <c r="F13782" s="42"/>
      <c r="G13782" s="42"/>
      <c r="H13782" s="42"/>
      <c r="AG13782" s="19"/>
    </row>
    <row r="13783" spans="1:33" ht="14.5" x14ac:dyDescent="0.35">
      <c r="A13783" s="34"/>
      <c r="B13783" s="35"/>
      <c r="C13783" s="36"/>
      <c r="D13783" s="37"/>
      <c r="E13783" s="36"/>
      <c r="F13783" s="42"/>
      <c r="G13783" s="42"/>
      <c r="H13783" s="42"/>
      <c r="AG13783" s="19"/>
    </row>
    <row r="13784" spans="1:33" ht="14.5" x14ac:dyDescent="0.35">
      <c r="A13784" s="34"/>
      <c r="B13784" s="35"/>
      <c r="C13784" s="36"/>
      <c r="D13784" s="37"/>
      <c r="E13784" s="36"/>
      <c r="F13784" s="42"/>
      <c r="G13784" s="42"/>
      <c r="H13784" s="42"/>
      <c r="AG13784" s="19"/>
    </row>
    <row r="13785" spans="1:33" ht="14.5" x14ac:dyDescent="0.35">
      <c r="A13785" s="34"/>
      <c r="B13785" s="35"/>
      <c r="C13785" s="36"/>
      <c r="D13785" s="37"/>
      <c r="E13785" s="36"/>
      <c r="F13785" s="42"/>
      <c r="G13785" s="42"/>
      <c r="H13785" s="42"/>
      <c r="AG13785" s="19"/>
    </row>
    <row r="13786" spans="1:33" ht="14.5" x14ac:dyDescent="0.35">
      <c r="A13786" s="34"/>
      <c r="B13786" s="35"/>
      <c r="C13786" s="36"/>
      <c r="D13786" s="37"/>
      <c r="E13786" s="36"/>
      <c r="F13786" s="42"/>
      <c r="G13786" s="42"/>
      <c r="H13786" s="42"/>
      <c r="AG13786" s="19"/>
    </row>
    <row r="13787" spans="1:33" ht="14.5" x14ac:dyDescent="0.35">
      <c r="A13787" s="34"/>
      <c r="B13787" s="35"/>
      <c r="C13787" s="36"/>
      <c r="D13787" s="37"/>
      <c r="E13787" s="36"/>
      <c r="F13787" s="42"/>
      <c r="G13787" s="42"/>
      <c r="H13787" s="42"/>
      <c r="AG13787" s="19"/>
    </row>
    <row r="13788" spans="1:33" ht="14.5" x14ac:dyDescent="0.35">
      <c r="A13788" s="34"/>
      <c r="B13788" s="35"/>
      <c r="C13788" s="36"/>
      <c r="D13788" s="37"/>
      <c r="E13788" s="36"/>
      <c r="F13788" s="42"/>
      <c r="G13788" s="42"/>
      <c r="H13788" s="42"/>
      <c r="AG13788" s="19"/>
    </row>
    <row r="13789" spans="1:33" ht="14.5" x14ac:dyDescent="0.35">
      <c r="A13789" s="34"/>
      <c r="B13789" s="35"/>
      <c r="C13789" s="36"/>
      <c r="D13789" s="37"/>
      <c r="E13789" s="36"/>
      <c r="F13789" s="42"/>
      <c r="G13789" s="42"/>
      <c r="H13789" s="42"/>
      <c r="AG13789" s="19"/>
    </row>
    <row r="13790" spans="1:33" ht="14.5" x14ac:dyDescent="0.35">
      <c r="A13790" s="34"/>
      <c r="B13790" s="35"/>
      <c r="C13790" s="36"/>
      <c r="D13790" s="37"/>
      <c r="E13790" s="36"/>
      <c r="F13790" s="42"/>
      <c r="G13790" s="42"/>
      <c r="H13790" s="42"/>
      <c r="AG13790" s="19"/>
    </row>
    <row r="13791" spans="1:33" ht="14.5" x14ac:dyDescent="0.35">
      <c r="A13791" s="34"/>
      <c r="B13791" s="35"/>
      <c r="C13791" s="36"/>
      <c r="D13791" s="37"/>
      <c r="E13791" s="36"/>
      <c r="F13791" s="42"/>
      <c r="G13791" s="42"/>
      <c r="H13791" s="42"/>
      <c r="AG13791" s="19"/>
    </row>
    <row r="13792" spans="1:33" ht="14.5" x14ac:dyDescent="0.35">
      <c r="A13792" s="34"/>
      <c r="B13792" s="35"/>
      <c r="C13792" s="36"/>
      <c r="D13792" s="37"/>
      <c r="E13792" s="36"/>
      <c r="F13792" s="42"/>
      <c r="G13792" s="42"/>
      <c r="H13792" s="42"/>
      <c r="AG13792" s="19"/>
    </row>
    <row r="13793" spans="1:33" ht="14.5" x14ac:dyDescent="0.35">
      <c r="A13793" s="34"/>
      <c r="B13793" s="35"/>
      <c r="C13793" s="36"/>
      <c r="D13793" s="37"/>
      <c r="E13793" s="36"/>
      <c r="F13793" s="42"/>
      <c r="G13793" s="42"/>
      <c r="H13793" s="42"/>
      <c r="AG13793" s="19"/>
    </row>
    <row r="13794" spans="1:33" ht="14.5" x14ac:dyDescent="0.35">
      <c r="A13794" s="34"/>
      <c r="B13794" s="35"/>
      <c r="C13794" s="36"/>
      <c r="D13794" s="37"/>
      <c r="E13794" s="36"/>
      <c r="F13794" s="42"/>
      <c r="G13794" s="42"/>
      <c r="H13794" s="42"/>
      <c r="AG13794" s="19"/>
    </row>
    <row r="13795" spans="1:33" ht="14.5" x14ac:dyDescent="0.35">
      <c r="A13795" s="34"/>
      <c r="B13795" s="35"/>
      <c r="C13795" s="36"/>
      <c r="D13795" s="37"/>
      <c r="E13795" s="36"/>
      <c r="F13795" s="42"/>
      <c r="G13795" s="42"/>
      <c r="H13795" s="42"/>
      <c r="AG13795" s="19"/>
    </row>
    <row r="13796" spans="1:33" ht="14.5" x14ac:dyDescent="0.35">
      <c r="A13796" s="34"/>
      <c r="B13796" s="35"/>
      <c r="C13796" s="36"/>
      <c r="D13796" s="37"/>
      <c r="E13796" s="36"/>
      <c r="F13796" s="42"/>
      <c r="G13796" s="42"/>
      <c r="H13796" s="42"/>
      <c r="AG13796" s="19"/>
    </row>
    <row r="13797" spans="1:33" ht="14.5" x14ac:dyDescent="0.35">
      <c r="A13797" s="34"/>
      <c r="B13797" s="35"/>
      <c r="C13797" s="36"/>
      <c r="D13797" s="37"/>
      <c r="E13797" s="36"/>
      <c r="F13797" s="42"/>
      <c r="G13797" s="42"/>
      <c r="H13797" s="42"/>
      <c r="AG13797" s="19"/>
    </row>
    <row r="13798" spans="1:33" ht="14.5" x14ac:dyDescent="0.35">
      <c r="A13798" s="34"/>
      <c r="B13798" s="35"/>
      <c r="C13798" s="36"/>
      <c r="D13798" s="37"/>
      <c r="E13798" s="36"/>
      <c r="F13798" s="42"/>
      <c r="G13798" s="42"/>
      <c r="H13798" s="42"/>
      <c r="AG13798" s="19"/>
    </row>
    <row r="13799" spans="1:33" ht="14.5" x14ac:dyDescent="0.35">
      <c r="A13799" s="34"/>
      <c r="B13799" s="35"/>
      <c r="C13799" s="36"/>
      <c r="D13799" s="37"/>
      <c r="E13799" s="36"/>
      <c r="F13799" s="42"/>
      <c r="G13799" s="42"/>
      <c r="H13799" s="42"/>
      <c r="AG13799" s="19"/>
    </row>
    <row r="13800" spans="1:33" ht="14.5" x14ac:dyDescent="0.35">
      <c r="A13800" s="34"/>
      <c r="B13800" s="35"/>
      <c r="C13800" s="36"/>
      <c r="D13800" s="37"/>
      <c r="E13800" s="36"/>
      <c r="F13800" s="42"/>
      <c r="G13800" s="42"/>
      <c r="H13800" s="42"/>
      <c r="AG13800" s="19"/>
    </row>
    <row r="13801" spans="1:33" ht="14.5" x14ac:dyDescent="0.35">
      <c r="A13801" s="34"/>
      <c r="B13801" s="35"/>
      <c r="C13801" s="36"/>
      <c r="D13801" s="37"/>
      <c r="E13801" s="36"/>
      <c r="F13801" s="42"/>
      <c r="G13801" s="42"/>
      <c r="H13801" s="42"/>
      <c r="AG13801" s="19"/>
    </row>
    <row r="13802" spans="1:33" ht="14.5" x14ac:dyDescent="0.35">
      <c r="A13802" s="34"/>
      <c r="B13802" s="35"/>
      <c r="C13802" s="36"/>
      <c r="D13802" s="37"/>
      <c r="E13802" s="36"/>
      <c r="F13802" s="42"/>
      <c r="G13802" s="42"/>
      <c r="H13802" s="42"/>
      <c r="AG13802" s="19"/>
    </row>
    <row r="13803" spans="1:33" ht="14.5" x14ac:dyDescent="0.35">
      <c r="A13803" s="34"/>
      <c r="B13803" s="35"/>
      <c r="C13803" s="36"/>
      <c r="D13803" s="37"/>
      <c r="E13803" s="36"/>
      <c r="F13803" s="42"/>
      <c r="G13803" s="42"/>
      <c r="H13803" s="42"/>
      <c r="AG13803" s="19"/>
    </row>
    <row r="13804" spans="1:33" ht="14.5" x14ac:dyDescent="0.35">
      <c r="A13804" s="34"/>
      <c r="B13804" s="35"/>
      <c r="C13804" s="36"/>
      <c r="D13804" s="37"/>
      <c r="E13804" s="36"/>
      <c r="F13804" s="42"/>
      <c r="G13804" s="42"/>
      <c r="H13804" s="42"/>
      <c r="AG13804" s="19"/>
    </row>
    <row r="13805" spans="1:33" ht="14.5" x14ac:dyDescent="0.35">
      <c r="A13805" s="34"/>
      <c r="B13805" s="35"/>
      <c r="C13805" s="36"/>
      <c r="D13805" s="37"/>
      <c r="E13805" s="36"/>
      <c r="F13805" s="42"/>
      <c r="G13805" s="42"/>
      <c r="H13805" s="42"/>
      <c r="AG13805" s="19"/>
    </row>
    <row r="13806" spans="1:33" ht="14.5" x14ac:dyDescent="0.35">
      <c r="A13806" s="34"/>
      <c r="B13806" s="35"/>
      <c r="C13806" s="36"/>
      <c r="D13806" s="37"/>
      <c r="E13806" s="36"/>
      <c r="F13806" s="42"/>
      <c r="G13806" s="42"/>
      <c r="H13806" s="42"/>
      <c r="AG13806" s="19"/>
    </row>
    <row r="13807" spans="1:33" ht="14.5" x14ac:dyDescent="0.35">
      <c r="A13807" s="34"/>
      <c r="B13807" s="35"/>
      <c r="C13807" s="36"/>
      <c r="D13807" s="37"/>
      <c r="E13807" s="36"/>
      <c r="F13807" s="42"/>
      <c r="G13807" s="42"/>
      <c r="H13807" s="42"/>
      <c r="AG13807" s="19"/>
    </row>
    <row r="13808" spans="1:33" ht="14.5" x14ac:dyDescent="0.35">
      <c r="A13808" s="34"/>
      <c r="B13808" s="35"/>
      <c r="C13808" s="36"/>
      <c r="D13808" s="37"/>
      <c r="E13808" s="36"/>
      <c r="F13808" s="42"/>
      <c r="G13808" s="42"/>
      <c r="H13808" s="42"/>
      <c r="AG13808" s="19"/>
    </row>
    <row r="13809" spans="1:33" ht="14.5" x14ac:dyDescent="0.35">
      <c r="A13809" s="34"/>
      <c r="B13809" s="35"/>
      <c r="C13809" s="36"/>
      <c r="D13809" s="37"/>
      <c r="E13809" s="36"/>
      <c r="F13809" s="42"/>
      <c r="G13809" s="42"/>
      <c r="H13809" s="42"/>
      <c r="AG13809" s="19"/>
    </row>
    <row r="13810" spans="1:33" ht="14.5" x14ac:dyDescent="0.35">
      <c r="A13810" s="34"/>
      <c r="B13810" s="35"/>
      <c r="C13810" s="36"/>
      <c r="D13810" s="37"/>
      <c r="E13810" s="36"/>
      <c r="F13810" s="42"/>
      <c r="G13810" s="42"/>
      <c r="H13810" s="42"/>
      <c r="AG13810" s="19"/>
    </row>
    <row r="13811" spans="1:33" ht="14.5" x14ac:dyDescent="0.35">
      <c r="A13811" s="34"/>
      <c r="B13811" s="35"/>
      <c r="C13811" s="36"/>
      <c r="D13811" s="37"/>
      <c r="E13811" s="36"/>
      <c r="F13811" s="42"/>
      <c r="G13811" s="42"/>
      <c r="H13811" s="42"/>
      <c r="AG13811" s="19"/>
    </row>
    <row r="13812" spans="1:33" ht="14.5" x14ac:dyDescent="0.35">
      <c r="A13812" s="34"/>
      <c r="B13812" s="35"/>
      <c r="C13812" s="36"/>
      <c r="D13812" s="37"/>
      <c r="E13812" s="36"/>
      <c r="F13812" s="42"/>
      <c r="G13812" s="42"/>
      <c r="H13812" s="42"/>
      <c r="AG13812" s="19"/>
    </row>
    <row r="13813" spans="1:33" ht="14.5" x14ac:dyDescent="0.35">
      <c r="A13813" s="34"/>
      <c r="B13813" s="35"/>
      <c r="C13813" s="36"/>
      <c r="D13813" s="37"/>
      <c r="E13813" s="36"/>
      <c r="F13813" s="42"/>
      <c r="G13813" s="42"/>
      <c r="H13813" s="42"/>
      <c r="AG13813" s="19"/>
    </row>
    <row r="13814" spans="1:33" ht="14.5" x14ac:dyDescent="0.35">
      <c r="A13814" s="34"/>
      <c r="B13814" s="35"/>
      <c r="C13814" s="36"/>
      <c r="D13814" s="37"/>
      <c r="E13814" s="36"/>
      <c r="F13814" s="42"/>
      <c r="G13814" s="42"/>
      <c r="H13814" s="42"/>
      <c r="AG13814" s="19"/>
    </row>
    <row r="13815" spans="1:33" ht="14.5" x14ac:dyDescent="0.35">
      <c r="A13815" s="34"/>
      <c r="B13815" s="35"/>
      <c r="C13815" s="36"/>
      <c r="D13815" s="37"/>
      <c r="E13815" s="36"/>
      <c r="F13815" s="42"/>
      <c r="G13815" s="42"/>
      <c r="H13815" s="42"/>
      <c r="AG13815" s="19"/>
    </row>
    <row r="13816" spans="1:33" ht="14.5" x14ac:dyDescent="0.35">
      <c r="A13816" s="34"/>
      <c r="B13816" s="35"/>
      <c r="C13816" s="36"/>
      <c r="D13816" s="37"/>
      <c r="E13816" s="36"/>
      <c r="F13816" s="42"/>
      <c r="G13816" s="42"/>
      <c r="H13816" s="42"/>
      <c r="AG13816" s="19"/>
    </row>
    <row r="13817" spans="1:33" ht="14.5" x14ac:dyDescent="0.35">
      <c r="A13817" s="34"/>
      <c r="B13817" s="35"/>
      <c r="C13817" s="36"/>
      <c r="D13817" s="37"/>
      <c r="E13817" s="36"/>
      <c r="F13817" s="42"/>
      <c r="G13817" s="42"/>
      <c r="H13817" s="42"/>
      <c r="AG13817" s="19"/>
    </row>
    <row r="13818" spans="1:33" ht="14.5" x14ac:dyDescent="0.35">
      <c r="A13818" s="34"/>
      <c r="B13818" s="35"/>
      <c r="C13818" s="36"/>
      <c r="D13818" s="37"/>
      <c r="E13818" s="36"/>
      <c r="F13818" s="42"/>
      <c r="G13818" s="42"/>
      <c r="H13818" s="42"/>
      <c r="AG13818" s="19"/>
    </row>
    <row r="13819" spans="1:33" ht="14.5" x14ac:dyDescent="0.35">
      <c r="A13819" s="34"/>
      <c r="B13819" s="35"/>
      <c r="C13819" s="36"/>
      <c r="D13819" s="37"/>
      <c r="E13819" s="36"/>
      <c r="F13819" s="42"/>
      <c r="G13819" s="42"/>
      <c r="H13819" s="42"/>
      <c r="AG13819" s="19"/>
    </row>
    <row r="13820" spans="1:33" ht="14.5" x14ac:dyDescent="0.35">
      <c r="A13820" s="34"/>
      <c r="B13820" s="35"/>
      <c r="C13820" s="36"/>
      <c r="D13820" s="37"/>
      <c r="E13820" s="36"/>
      <c r="F13820" s="42"/>
      <c r="G13820" s="42"/>
      <c r="H13820" s="42"/>
      <c r="AG13820" s="19"/>
    </row>
    <row r="13821" spans="1:33" ht="14.5" x14ac:dyDescent="0.35">
      <c r="A13821" s="34"/>
      <c r="B13821" s="35"/>
      <c r="C13821" s="36"/>
      <c r="D13821" s="37"/>
      <c r="E13821" s="36"/>
      <c r="F13821" s="42"/>
      <c r="G13821" s="42"/>
      <c r="H13821" s="42"/>
      <c r="AG13821" s="19"/>
    </row>
    <row r="13822" spans="1:33" ht="14.5" x14ac:dyDescent="0.35">
      <c r="A13822" s="34"/>
      <c r="B13822" s="35"/>
      <c r="C13822" s="36"/>
      <c r="D13822" s="37"/>
      <c r="E13822" s="36"/>
      <c r="F13822" s="42"/>
      <c r="G13822" s="42"/>
      <c r="H13822" s="42"/>
      <c r="AG13822" s="19"/>
    </row>
    <row r="13823" spans="1:33" ht="14.5" x14ac:dyDescent="0.35">
      <c r="A13823" s="34"/>
      <c r="B13823" s="35"/>
      <c r="C13823" s="36"/>
      <c r="D13823" s="37"/>
      <c r="E13823" s="36"/>
      <c r="F13823" s="42"/>
      <c r="G13823" s="42"/>
      <c r="H13823" s="42"/>
      <c r="AG13823" s="19"/>
    </row>
    <row r="13824" spans="1:33" ht="14.5" x14ac:dyDescent="0.35">
      <c r="A13824" s="34"/>
      <c r="B13824" s="35"/>
      <c r="C13824" s="36"/>
      <c r="D13824" s="37"/>
      <c r="E13824" s="36"/>
      <c r="F13824" s="42"/>
      <c r="G13824" s="42"/>
      <c r="H13824" s="42"/>
      <c r="AG13824" s="19"/>
    </row>
    <row r="13825" spans="1:33" ht="14.5" x14ac:dyDescent="0.35">
      <c r="A13825" s="34"/>
      <c r="B13825" s="35"/>
      <c r="C13825" s="36"/>
      <c r="D13825" s="37"/>
      <c r="E13825" s="36"/>
      <c r="F13825" s="42"/>
      <c r="G13825" s="42"/>
      <c r="H13825" s="42"/>
      <c r="AG13825" s="19"/>
    </row>
    <row r="13826" spans="1:33" ht="14.5" x14ac:dyDescent="0.35">
      <c r="A13826" s="34"/>
      <c r="B13826" s="35"/>
      <c r="C13826" s="36"/>
      <c r="D13826" s="37"/>
      <c r="E13826" s="36"/>
      <c r="F13826" s="42"/>
      <c r="G13826" s="42"/>
      <c r="H13826" s="42"/>
      <c r="AG13826" s="19"/>
    </row>
    <row r="13827" spans="1:33" ht="14.5" x14ac:dyDescent="0.35">
      <c r="A13827" s="34"/>
      <c r="B13827" s="35"/>
      <c r="C13827" s="36"/>
      <c r="D13827" s="37"/>
      <c r="E13827" s="36"/>
      <c r="F13827" s="42"/>
      <c r="G13827" s="42"/>
      <c r="H13827" s="42"/>
      <c r="AG13827" s="19"/>
    </row>
    <row r="13828" spans="1:33" ht="14.5" x14ac:dyDescent="0.35">
      <c r="A13828" s="34"/>
      <c r="B13828" s="35"/>
      <c r="C13828" s="36"/>
      <c r="D13828" s="37"/>
      <c r="E13828" s="36"/>
      <c r="F13828" s="42"/>
      <c r="G13828" s="42"/>
      <c r="H13828" s="42"/>
      <c r="AG13828" s="19"/>
    </row>
    <row r="13829" spans="1:33" ht="14.5" x14ac:dyDescent="0.35">
      <c r="A13829" s="34"/>
      <c r="B13829" s="35"/>
      <c r="C13829" s="36"/>
      <c r="D13829" s="37"/>
      <c r="E13829" s="36"/>
      <c r="F13829" s="42"/>
      <c r="G13829" s="42"/>
      <c r="H13829" s="42"/>
      <c r="AG13829" s="19"/>
    </row>
    <row r="13830" spans="1:33" ht="14.5" x14ac:dyDescent="0.35">
      <c r="A13830" s="34"/>
      <c r="B13830" s="35"/>
      <c r="C13830" s="36"/>
      <c r="D13830" s="37"/>
      <c r="E13830" s="36"/>
      <c r="F13830" s="42"/>
      <c r="G13830" s="42"/>
      <c r="H13830" s="42"/>
      <c r="AG13830" s="19"/>
    </row>
    <row r="13831" spans="1:33" ht="14.5" x14ac:dyDescent="0.35">
      <c r="A13831" s="34"/>
      <c r="B13831" s="35"/>
      <c r="C13831" s="36"/>
      <c r="D13831" s="37"/>
      <c r="E13831" s="36"/>
      <c r="F13831" s="42"/>
      <c r="G13831" s="42"/>
      <c r="H13831" s="42"/>
      <c r="AG13831" s="19"/>
    </row>
    <row r="13832" spans="1:33" ht="14.5" x14ac:dyDescent="0.35">
      <c r="A13832" s="34"/>
      <c r="B13832" s="35"/>
      <c r="C13832" s="36"/>
      <c r="D13832" s="37"/>
      <c r="E13832" s="36"/>
      <c r="F13832" s="42"/>
      <c r="G13832" s="42"/>
      <c r="H13832" s="42"/>
      <c r="AG13832" s="19"/>
    </row>
    <row r="13833" spans="1:33" ht="14.5" x14ac:dyDescent="0.35">
      <c r="A13833" s="34"/>
      <c r="B13833" s="35"/>
      <c r="C13833" s="36"/>
      <c r="D13833" s="37"/>
      <c r="E13833" s="36"/>
      <c r="F13833" s="42"/>
      <c r="G13833" s="42"/>
      <c r="H13833" s="42"/>
      <c r="AG13833" s="19"/>
    </row>
    <row r="13834" spans="1:33" ht="14.5" x14ac:dyDescent="0.35">
      <c r="A13834" s="34"/>
      <c r="B13834" s="35"/>
      <c r="C13834" s="36"/>
      <c r="D13834" s="37"/>
      <c r="E13834" s="36"/>
      <c r="F13834" s="42"/>
      <c r="G13834" s="42"/>
      <c r="H13834" s="42"/>
      <c r="AG13834" s="19"/>
    </row>
    <row r="13835" spans="1:33" ht="14.5" x14ac:dyDescent="0.35">
      <c r="A13835" s="34"/>
      <c r="B13835" s="35"/>
      <c r="C13835" s="36"/>
      <c r="D13835" s="37"/>
      <c r="E13835" s="36"/>
      <c r="F13835" s="42"/>
      <c r="G13835" s="42"/>
      <c r="H13835" s="42"/>
      <c r="AG13835" s="19"/>
    </row>
    <row r="13836" spans="1:33" ht="14.5" x14ac:dyDescent="0.35">
      <c r="A13836" s="34"/>
      <c r="B13836" s="35"/>
      <c r="C13836" s="36"/>
      <c r="D13836" s="37"/>
      <c r="E13836" s="36"/>
      <c r="F13836" s="42"/>
      <c r="G13836" s="42"/>
      <c r="H13836" s="42"/>
      <c r="AG13836" s="19"/>
    </row>
    <row r="13837" spans="1:33" ht="14.5" x14ac:dyDescent="0.35">
      <c r="A13837" s="34"/>
      <c r="B13837" s="35"/>
      <c r="C13837" s="36"/>
      <c r="D13837" s="37"/>
      <c r="E13837" s="36"/>
      <c r="F13837" s="42"/>
      <c r="G13837" s="42"/>
      <c r="H13837" s="42"/>
      <c r="AG13837" s="19"/>
    </row>
    <row r="13838" spans="1:33" ht="14.5" x14ac:dyDescent="0.35">
      <c r="A13838" s="34"/>
      <c r="B13838" s="35"/>
      <c r="C13838" s="36"/>
      <c r="D13838" s="37"/>
      <c r="E13838" s="36"/>
      <c r="F13838" s="42"/>
      <c r="G13838" s="42"/>
      <c r="H13838" s="42"/>
      <c r="AG13838" s="19"/>
    </row>
    <row r="13839" spans="1:33" ht="14.5" x14ac:dyDescent="0.35">
      <c r="A13839" s="34"/>
      <c r="B13839" s="35"/>
      <c r="C13839" s="36"/>
      <c r="D13839" s="37"/>
      <c r="E13839" s="36"/>
      <c r="F13839" s="42"/>
      <c r="G13839" s="42"/>
      <c r="H13839" s="42"/>
      <c r="AG13839" s="19"/>
    </row>
    <row r="13840" spans="1:33" ht="14.5" x14ac:dyDescent="0.35">
      <c r="A13840" s="34"/>
      <c r="B13840" s="35"/>
      <c r="C13840" s="36"/>
      <c r="D13840" s="37"/>
      <c r="E13840" s="36"/>
      <c r="F13840" s="42"/>
      <c r="G13840" s="42"/>
      <c r="H13840" s="42"/>
      <c r="AG13840" s="19"/>
    </row>
    <row r="13841" spans="1:33" ht="14.5" x14ac:dyDescent="0.35">
      <c r="A13841" s="34"/>
      <c r="B13841" s="35"/>
      <c r="C13841" s="36"/>
      <c r="D13841" s="37"/>
      <c r="E13841" s="36"/>
      <c r="F13841" s="42"/>
      <c r="G13841" s="42"/>
      <c r="H13841" s="42"/>
      <c r="AG13841" s="19"/>
    </row>
    <row r="13842" spans="1:33" ht="14.5" x14ac:dyDescent="0.35">
      <c r="A13842" s="34"/>
      <c r="B13842" s="35"/>
      <c r="C13842" s="36"/>
      <c r="D13842" s="37"/>
      <c r="E13842" s="36"/>
      <c r="F13842" s="42"/>
      <c r="G13842" s="42"/>
      <c r="H13842" s="42"/>
      <c r="AG13842" s="19"/>
    </row>
    <row r="13843" spans="1:33" ht="14.5" x14ac:dyDescent="0.35">
      <c r="A13843" s="34"/>
      <c r="B13843" s="35"/>
      <c r="C13843" s="36"/>
      <c r="D13843" s="37"/>
      <c r="E13843" s="36"/>
      <c r="F13843" s="42"/>
      <c r="G13843" s="42"/>
      <c r="H13843" s="42"/>
      <c r="AG13843" s="19"/>
    </row>
    <row r="13844" spans="1:33" ht="14.5" x14ac:dyDescent="0.35">
      <c r="A13844" s="34"/>
      <c r="B13844" s="35"/>
      <c r="C13844" s="36"/>
      <c r="D13844" s="37"/>
      <c r="E13844" s="36"/>
      <c r="F13844" s="42"/>
      <c r="G13844" s="42"/>
      <c r="H13844" s="42"/>
      <c r="AG13844" s="19"/>
    </row>
    <row r="13845" spans="1:33" ht="14.5" x14ac:dyDescent="0.35">
      <c r="A13845" s="34"/>
      <c r="B13845" s="35"/>
      <c r="C13845" s="36"/>
      <c r="D13845" s="37"/>
      <c r="E13845" s="36"/>
      <c r="F13845" s="42"/>
      <c r="G13845" s="42"/>
      <c r="H13845" s="42"/>
      <c r="AG13845" s="19"/>
    </row>
    <row r="13846" spans="1:33" ht="14.5" x14ac:dyDescent="0.35">
      <c r="A13846" s="34"/>
      <c r="B13846" s="35"/>
      <c r="C13846" s="36"/>
      <c r="D13846" s="37"/>
      <c r="E13846" s="36"/>
      <c r="F13846" s="42"/>
      <c r="G13846" s="42"/>
      <c r="H13846" s="42"/>
      <c r="AG13846" s="19"/>
    </row>
    <row r="13847" spans="1:33" ht="14.5" x14ac:dyDescent="0.35">
      <c r="A13847" s="34"/>
      <c r="B13847" s="35"/>
      <c r="C13847" s="36"/>
      <c r="D13847" s="37"/>
      <c r="E13847" s="36"/>
      <c r="F13847" s="42"/>
      <c r="G13847" s="42"/>
      <c r="H13847" s="42"/>
      <c r="AG13847" s="19"/>
    </row>
    <row r="13848" spans="1:33" ht="14.5" x14ac:dyDescent="0.35">
      <c r="A13848" s="34"/>
      <c r="B13848" s="35"/>
      <c r="C13848" s="36"/>
      <c r="D13848" s="37"/>
      <c r="E13848" s="36"/>
      <c r="F13848" s="42"/>
      <c r="G13848" s="42"/>
      <c r="H13848" s="42"/>
      <c r="AG13848" s="19"/>
    </row>
    <row r="13849" spans="1:33" ht="14.5" x14ac:dyDescent="0.35">
      <c r="A13849" s="34"/>
      <c r="B13849" s="35"/>
      <c r="C13849" s="36"/>
      <c r="D13849" s="37"/>
      <c r="E13849" s="36"/>
      <c r="F13849" s="42"/>
      <c r="G13849" s="42"/>
      <c r="H13849" s="42"/>
      <c r="AG13849" s="19"/>
    </row>
    <row r="13850" spans="1:33" ht="14.5" x14ac:dyDescent="0.35">
      <c r="A13850" s="34"/>
      <c r="B13850" s="35"/>
      <c r="C13850" s="36"/>
      <c r="D13850" s="37"/>
      <c r="E13850" s="36"/>
      <c r="F13850" s="42"/>
      <c r="G13850" s="42"/>
      <c r="H13850" s="42"/>
      <c r="AG13850" s="19"/>
    </row>
    <row r="13851" spans="1:33" ht="14.5" x14ac:dyDescent="0.35">
      <c r="A13851" s="34"/>
      <c r="B13851" s="35"/>
      <c r="C13851" s="36"/>
      <c r="D13851" s="37"/>
      <c r="E13851" s="36"/>
      <c r="F13851" s="42"/>
      <c r="G13851" s="42"/>
      <c r="H13851" s="42"/>
      <c r="AG13851" s="19"/>
    </row>
    <row r="13852" spans="1:33" ht="14.5" x14ac:dyDescent="0.35">
      <c r="A13852" s="34"/>
      <c r="B13852" s="35"/>
      <c r="C13852" s="36"/>
      <c r="D13852" s="37"/>
      <c r="E13852" s="36"/>
      <c r="F13852" s="42"/>
      <c r="G13852" s="42"/>
      <c r="H13852" s="42"/>
      <c r="AG13852" s="19"/>
    </row>
    <row r="13853" spans="1:33" ht="14.5" x14ac:dyDescent="0.35">
      <c r="A13853" s="34"/>
      <c r="B13853" s="35"/>
      <c r="C13853" s="36"/>
      <c r="D13853" s="37"/>
      <c r="E13853" s="36"/>
      <c r="F13853" s="42"/>
      <c r="G13853" s="42"/>
      <c r="H13853" s="42"/>
      <c r="AG13853" s="19"/>
    </row>
    <row r="13854" spans="1:33" ht="14.5" x14ac:dyDescent="0.35">
      <c r="A13854" s="34"/>
      <c r="B13854" s="35"/>
      <c r="C13854" s="36"/>
      <c r="D13854" s="37"/>
      <c r="E13854" s="36"/>
      <c r="F13854" s="42"/>
      <c r="G13854" s="42"/>
      <c r="H13854" s="42"/>
      <c r="AG13854" s="19"/>
    </row>
    <row r="13855" spans="1:33" ht="14.5" x14ac:dyDescent="0.35">
      <c r="A13855" s="34"/>
      <c r="B13855" s="35"/>
      <c r="C13855" s="36"/>
      <c r="D13855" s="37"/>
      <c r="E13855" s="36"/>
      <c r="F13855" s="42"/>
      <c r="G13855" s="42"/>
      <c r="H13855" s="42"/>
      <c r="AG13855" s="19"/>
    </row>
    <row r="13856" spans="1:33" ht="14.5" x14ac:dyDescent="0.35">
      <c r="A13856" s="34"/>
      <c r="B13856" s="35"/>
      <c r="C13856" s="36"/>
      <c r="D13856" s="37"/>
      <c r="E13856" s="36"/>
      <c r="F13856" s="42"/>
      <c r="G13856" s="42"/>
      <c r="H13856" s="42"/>
      <c r="AG13856" s="19"/>
    </row>
    <row r="13857" spans="1:33" ht="14.5" x14ac:dyDescent="0.35">
      <c r="A13857" s="34"/>
      <c r="B13857" s="35"/>
      <c r="C13857" s="36"/>
      <c r="D13857" s="37"/>
      <c r="E13857" s="36"/>
      <c r="F13857" s="42"/>
      <c r="G13857" s="42"/>
      <c r="H13857" s="42"/>
      <c r="AG13857" s="19"/>
    </row>
    <row r="13858" spans="1:33" ht="14.5" x14ac:dyDescent="0.35">
      <c r="A13858" s="34"/>
      <c r="B13858" s="35"/>
      <c r="C13858" s="36"/>
      <c r="D13858" s="37"/>
      <c r="E13858" s="36"/>
      <c r="F13858" s="42"/>
      <c r="G13858" s="42"/>
      <c r="H13858" s="42"/>
      <c r="AG13858" s="19"/>
    </row>
    <row r="13859" spans="1:33" ht="14.5" x14ac:dyDescent="0.35">
      <c r="A13859" s="34"/>
      <c r="B13859" s="35"/>
      <c r="C13859" s="36"/>
      <c r="D13859" s="37"/>
      <c r="E13859" s="36"/>
      <c r="F13859" s="42"/>
      <c r="G13859" s="42"/>
      <c r="H13859" s="42"/>
      <c r="AG13859" s="19"/>
    </row>
    <row r="13860" spans="1:33" ht="14.5" x14ac:dyDescent="0.35">
      <c r="A13860" s="34"/>
      <c r="B13860" s="35"/>
      <c r="C13860" s="36"/>
      <c r="D13860" s="37"/>
      <c r="E13860" s="36"/>
      <c r="F13860" s="42"/>
      <c r="G13860" s="42"/>
      <c r="H13860" s="42"/>
      <c r="AG13860" s="19"/>
    </row>
    <row r="13861" spans="1:33" ht="14.5" x14ac:dyDescent="0.35">
      <c r="A13861" s="34"/>
      <c r="B13861" s="35"/>
      <c r="C13861" s="36"/>
      <c r="D13861" s="37"/>
      <c r="E13861" s="36"/>
      <c r="F13861" s="42"/>
      <c r="G13861" s="42"/>
      <c r="H13861" s="42"/>
      <c r="AG13861" s="19"/>
    </row>
    <row r="13862" spans="1:33" ht="14.5" x14ac:dyDescent="0.35">
      <c r="A13862" s="34"/>
      <c r="B13862" s="35"/>
      <c r="C13862" s="36"/>
      <c r="D13862" s="37"/>
      <c r="E13862" s="36"/>
      <c r="F13862" s="42"/>
      <c r="G13862" s="42"/>
      <c r="H13862" s="42"/>
      <c r="AG13862" s="19"/>
    </row>
    <row r="13863" spans="1:33" ht="14.5" x14ac:dyDescent="0.35">
      <c r="A13863" s="34"/>
      <c r="B13863" s="35"/>
      <c r="C13863" s="36"/>
      <c r="D13863" s="37"/>
      <c r="E13863" s="36"/>
      <c r="F13863" s="42"/>
      <c r="G13863" s="42"/>
      <c r="H13863" s="42"/>
      <c r="AG13863" s="19"/>
    </row>
    <row r="13864" spans="1:33" ht="14.5" x14ac:dyDescent="0.35">
      <c r="A13864" s="34"/>
      <c r="B13864" s="35"/>
      <c r="C13864" s="36"/>
      <c r="D13864" s="37"/>
      <c r="E13864" s="36"/>
      <c r="F13864" s="42"/>
      <c r="G13864" s="42"/>
      <c r="H13864" s="42"/>
      <c r="AG13864" s="19"/>
    </row>
    <row r="13865" spans="1:33" ht="14.5" x14ac:dyDescent="0.35">
      <c r="A13865" s="34"/>
      <c r="B13865" s="35"/>
      <c r="C13865" s="36"/>
      <c r="D13865" s="37"/>
      <c r="E13865" s="36"/>
      <c r="F13865" s="42"/>
      <c r="G13865" s="42"/>
      <c r="H13865" s="42"/>
      <c r="AG13865" s="19"/>
    </row>
    <row r="13866" spans="1:33" ht="14.5" x14ac:dyDescent="0.35">
      <c r="A13866" s="34"/>
      <c r="B13866" s="35"/>
      <c r="C13866" s="36"/>
      <c r="D13866" s="37"/>
      <c r="E13866" s="36"/>
      <c r="F13866" s="42"/>
      <c r="G13866" s="42"/>
      <c r="H13866" s="42"/>
      <c r="AG13866" s="19"/>
    </row>
    <row r="13867" spans="1:33" ht="14.5" x14ac:dyDescent="0.35">
      <c r="A13867" s="34"/>
      <c r="B13867" s="35"/>
      <c r="C13867" s="36"/>
      <c r="D13867" s="37"/>
      <c r="E13867" s="36"/>
      <c r="F13867" s="42"/>
      <c r="G13867" s="42"/>
      <c r="H13867" s="42"/>
      <c r="AG13867" s="19"/>
    </row>
    <row r="13868" spans="1:33" ht="14.5" x14ac:dyDescent="0.35">
      <c r="A13868" s="34"/>
      <c r="B13868" s="35"/>
      <c r="C13868" s="36"/>
      <c r="D13868" s="37"/>
      <c r="E13868" s="36"/>
      <c r="F13868" s="42"/>
      <c r="G13868" s="42"/>
      <c r="H13868" s="42"/>
      <c r="AG13868" s="19"/>
    </row>
    <row r="13869" spans="1:33" ht="14.5" x14ac:dyDescent="0.35">
      <c r="A13869" s="34"/>
      <c r="B13869" s="35"/>
      <c r="C13869" s="36"/>
      <c r="D13869" s="37"/>
      <c r="E13869" s="36"/>
      <c r="F13869" s="42"/>
      <c r="G13869" s="42"/>
      <c r="H13869" s="42"/>
      <c r="AG13869" s="19"/>
    </row>
    <row r="13870" spans="1:33" ht="14.5" x14ac:dyDescent="0.35">
      <c r="A13870" s="34"/>
      <c r="B13870" s="35"/>
      <c r="C13870" s="36"/>
      <c r="D13870" s="37"/>
      <c r="E13870" s="36"/>
      <c r="F13870" s="42"/>
      <c r="G13870" s="42"/>
      <c r="H13870" s="42"/>
      <c r="AG13870" s="19"/>
    </row>
    <row r="13871" spans="1:33" ht="14.5" x14ac:dyDescent="0.35">
      <c r="A13871" s="34"/>
      <c r="B13871" s="35"/>
      <c r="C13871" s="36"/>
      <c r="D13871" s="37"/>
      <c r="E13871" s="36"/>
      <c r="F13871" s="42"/>
      <c r="G13871" s="42"/>
      <c r="H13871" s="42"/>
      <c r="AG13871" s="19"/>
    </row>
    <row r="13872" spans="1:33" ht="14.5" x14ac:dyDescent="0.35">
      <c r="A13872" s="34"/>
      <c r="B13872" s="35"/>
      <c r="C13872" s="36"/>
      <c r="D13872" s="37"/>
      <c r="E13872" s="36"/>
      <c r="F13872" s="42"/>
      <c r="G13872" s="42"/>
      <c r="H13872" s="42"/>
      <c r="AG13872" s="19"/>
    </row>
    <row r="13873" spans="1:33" ht="14.5" x14ac:dyDescent="0.35">
      <c r="A13873" s="34"/>
      <c r="B13873" s="35"/>
      <c r="C13873" s="36"/>
      <c r="D13873" s="37"/>
      <c r="E13873" s="36"/>
      <c r="F13873" s="42"/>
      <c r="G13873" s="42"/>
      <c r="H13873" s="42"/>
      <c r="AG13873" s="19"/>
    </row>
    <row r="13874" spans="1:33" ht="14.5" x14ac:dyDescent="0.35">
      <c r="A13874" s="34"/>
      <c r="B13874" s="35"/>
      <c r="C13874" s="36"/>
      <c r="D13874" s="37"/>
      <c r="E13874" s="36"/>
      <c r="F13874" s="42"/>
      <c r="G13874" s="42"/>
      <c r="H13874" s="42"/>
      <c r="AG13874" s="19"/>
    </row>
    <row r="13875" spans="1:33" ht="14.5" x14ac:dyDescent="0.35">
      <c r="A13875" s="34"/>
      <c r="B13875" s="35"/>
      <c r="C13875" s="36"/>
      <c r="D13875" s="37"/>
      <c r="E13875" s="36"/>
      <c r="F13875" s="42"/>
      <c r="G13875" s="42"/>
      <c r="H13875" s="42"/>
      <c r="AG13875" s="19"/>
    </row>
    <row r="13876" spans="1:33" ht="14.5" x14ac:dyDescent="0.35">
      <c r="A13876" s="34"/>
      <c r="B13876" s="35"/>
      <c r="C13876" s="36"/>
      <c r="D13876" s="37"/>
      <c r="E13876" s="36"/>
      <c r="F13876" s="42"/>
      <c r="G13876" s="42"/>
      <c r="H13876" s="42"/>
      <c r="AG13876" s="19"/>
    </row>
    <row r="13877" spans="1:33" ht="14.5" x14ac:dyDescent="0.35">
      <c r="A13877" s="34"/>
      <c r="B13877" s="35"/>
      <c r="C13877" s="36"/>
      <c r="D13877" s="37"/>
      <c r="E13877" s="36"/>
      <c r="F13877" s="42"/>
      <c r="G13877" s="42"/>
      <c r="H13877" s="42"/>
      <c r="AG13877" s="19"/>
    </row>
    <row r="13878" spans="1:33" ht="14.5" x14ac:dyDescent="0.35">
      <c r="A13878" s="34"/>
      <c r="B13878" s="35"/>
      <c r="C13878" s="36"/>
      <c r="D13878" s="37"/>
      <c r="E13878" s="36"/>
      <c r="F13878" s="42"/>
      <c r="G13878" s="42"/>
      <c r="H13878" s="42"/>
      <c r="AG13878" s="19"/>
    </row>
    <row r="13879" spans="1:33" ht="14.5" x14ac:dyDescent="0.35">
      <c r="A13879" s="34"/>
      <c r="B13879" s="35"/>
      <c r="C13879" s="36"/>
      <c r="D13879" s="37"/>
      <c r="E13879" s="36"/>
      <c r="F13879" s="42"/>
      <c r="G13879" s="42"/>
      <c r="H13879" s="42"/>
      <c r="AG13879" s="19"/>
    </row>
    <row r="13880" spans="1:33" ht="14.5" x14ac:dyDescent="0.35">
      <c r="A13880" s="34"/>
      <c r="B13880" s="35"/>
      <c r="C13880" s="36"/>
      <c r="D13880" s="37"/>
      <c r="E13880" s="36"/>
      <c r="F13880" s="42"/>
      <c r="G13880" s="42"/>
      <c r="H13880" s="42"/>
      <c r="AG13880" s="19"/>
    </row>
    <row r="13881" spans="1:33" ht="14.5" x14ac:dyDescent="0.35">
      <c r="A13881" s="34"/>
      <c r="B13881" s="35"/>
      <c r="C13881" s="36"/>
      <c r="D13881" s="37"/>
      <c r="E13881" s="36"/>
      <c r="F13881" s="42"/>
      <c r="G13881" s="42"/>
      <c r="H13881" s="42"/>
      <c r="AG13881" s="19"/>
    </row>
    <row r="13882" spans="1:33" ht="14.5" x14ac:dyDescent="0.35">
      <c r="A13882" s="34"/>
      <c r="B13882" s="35"/>
      <c r="C13882" s="36"/>
      <c r="D13882" s="37"/>
      <c r="E13882" s="36"/>
      <c r="F13882" s="42"/>
      <c r="G13882" s="42"/>
      <c r="H13882" s="42"/>
      <c r="AG13882" s="19"/>
    </row>
    <row r="13883" spans="1:33" ht="14.5" x14ac:dyDescent="0.35">
      <c r="A13883" s="34"/>
      <c r="B13883" s="35"/>
      <c r="C13883" s="36"/>
      <c r="D13883" s="37"/>
      <c r="E13883" s="36"/>
      <c r="F13883" s="42"/>
      <c r="G13883" s="42"/>
      <c r="H13883" s="42"/>
      <c r="AG13883" s="19"/>
    </row>
    <row r="13884" spans="1:33" ht="14.5" x14ac:dyDescent="0.35">
      <c r="A13884" s="34"/>
      <c r="B13884" s="35"/>
      <c r="C13884" s="36"/>
      <c r="D13884" s="37"/>
      <c r="E13884" s="36"/>
      <c r="F13884" s="42"/>
      <c r="G13884" s="42"/>
      <c r="H13884" s="42"/>
      <c r="AG13884" s="19"/>
    </row>
    <row r="13885" spans="1:33" ht="14.5" x14ac:dyDescent="0.35">
      <c r="A13885" s="34"/>
      <c r="B13885" s="35"/>
      <c r="C13885" s="36"/>
      <c r="D13885" s="37"/>
      <c r="E13885" s="36"/>
      <c r="F13885" s="42"/>
      <c r="G13885" s="42"/>
      <c r="H13885" s="42"/>
      <c r="AG13885" s="19"/>
    </row>
    <row r="13886" spans="1:33" ht="14.5" x14ac:dyDescent="0.35">
      <c r="A13886" s="34"/>
      <c r="B13886" s="35"/>
      <c r="C13886" s="36"/>
      <c r="D13886" s="37"/>
      <c r="E13886" s="36"/>
      <c r="F13886" s="42"/>
      <c r="G13886" s="42"/>
      <c r="H13886" s="42"/>
      <c r="AG13886" s="19"/>
    </row>
    <row r="13887" spans="1:33" ht="14.5" x14ac:dyDescent="0.35">
      <c r="A13887" s="34"/>
      <c r="B13887" s="35"/>
      <c r="C13887" s="36"/>
      <c r="D13887" s="37"/>
      <c r="E13887" s="36"/>
      <c r="F13887" s="42"/>
      <c r="G13887" s="42"/>
      <c r="H13887" s="42"/>
      <c r="AG13887" s="19"/>
    </row>
    <row r="13888" spans="1:33" ht="14.5" x14ac:dyDescent="0.35">
      <c r="A13888" s="34"/>
      <c r="B13888" s="35"/>
      <c r="C13888" s="36"/>
      <c r="D13888" s="37"/>
      <c r="E13888" s="36"/>
      <c r="F13888" s="42"/>
      <c r="G13888" s="42"/>
      <c r="H13888" s="42"/>
      <c r="AG13888" s="19"/>
    </row>
    <row r="13889" spans="1:33" ht="14.5" x14ac:dyDescent="0.35">
      <c r="A13889" s="34"/>
      <c r="B13889" s="35"/>
      <c r="C13889" s="36"/>
      <c r="D13889" s="37"/>
      <c r="E13889" s="36"/>
      <c r="F13889" s="42"/>
      <c r="G13889" s="42"/>
      <c r="H13889" s="42"/>
      <c r="AG13889" s="19"/>
    </row>
    <row r="13890" spans="1:33" ht="14.5" x14ac:dyDescent="0.35">
      <c r="A13890" s="34"/>
      <c r="B13890" s="35"/>
      <c r="C13890" s="36"/>
      <c r="D13890" s="37"/>
      <c r="E13890" s="36"/>
      <c r="F13890" s="42"/>
      <c r="G13890" s="42"/>
      <c r="H13890" s="42"/>
      <c r="AG13890" s="19"/>
    </row>
    <row r="13891" spans="1:33" ht="14.5" x14ac:dyDescent="0.35">
      <c r="A13891" s="34"/>
      <c r="B13891" s="35"/>
      <c r="C13891" s="36"/>
      <c r="D13891" s="37"/>
      <c r="E13891" s="36"/>
      <c r="F13891" s="42"/>
      <c r="G13891" s="42"/>
      <c r="H13891" s="42"/>
      <c r="AG13891" s="19"/>
    </row>
    <row r="13892" spans="1:33" ht="14.5" x14ac:dyDescent="0.35">
      <c r="A13892" s="34"/>
      <c r="B13892" s="35"/>
      <c r="C13892" s="36"/>
      <c r="D13892" s="37"/>
      <c r="E13892" s="36"/>
      <c r="F13892" s="42"/>
      <c r="G13892" s="42"/>
      <c r="H13892" s="42"/>
      <c r="AG13892" s="19"/>
    </row>
    <row r="13893" spans="1:33" ht="14.5" x14ac:dyDescent="0.35">
      <c r="A13893" s="34"/>
      <c r="B13893" s="35"/>
      <c r="C13893" s="36"/>
      <c r="D13893" s="37"/>
      <c r="E13893" s="36"/>
      <c r="F13893" s="42"/>
      <c r="G13893" s="42"/>
      <c r="H13893" s="42"/>
      <c r="AG13893" s="19"/>
    </row>
    <row r="13894" spans="1:33" ht="14.5" x14ac:dyDescent="0.35">
      <c r="A13894" s="34"/>
      <c r="B13894" s="35"/>
      <c r="C13894" s="36"/>
      <c r="D13894" s="37"/>
      <c r="E13894" s="36"/>
      <c r="F13894" s="42"/>
      <c r="G13894" s="42"/>
      <c r="H13894" s="42"/>
      <c r="AG13894" s="19"/>
    </row>
    <row r="13895" spans="1:33" ht="14.5" x14ac:dyDescent="0.35">
      <c r="A13895" s="34"/>
      <c r="B13895" s="35"/>
      <c r="C13895" s="36"/>
      <c r="D13895" s="37"/>
      <c r="E13895" s="36"/>
      <c r="F13895" s="42"/>
      <c r="G13895" s="42"/>
      <c r="H13895" s="42"/>
      <c r="AG13895" s="19"/>
    </row>
    <row r="13896" spans="1:33" ht="14.5" x14ac:dyDescent="0.35">
      <c r="A13896" s="34"/>
      <c r="B13896" s="35"/>
      <c r="C13896" s="36"/>
      <c r="D13896" s="37"/>
      <c r="E13896" s="36"/>
      <c r="F13896" s="42"/>
      <c r="G13896" s="42"/>
      <c r="H13896" s="42"/>
      <c r="AG13896" s="19"/>
    </row>
    <row r="13897" spans="1:33" ht="14.5" x14ac:dyDescent="0.35">
      <c r="A13897" s="34"/>
      <c r="B13897" s="35"/>
      <c r="C13897" s="36"/>
      <c r="D13897" s="37"/>
      <c r="E13897" s="36"/>
      <c r="F13897" s="42"/>
      <c r="G13897" s="42"/>
      <c r="H13897" s="42"/>
      <c r="AG13897" s="19"/>
    </row>
    <row r="13898" spans="1:33" ht="14.5" x14ac:dyDescent="0.35">
      <c r="A13898" s="34"/>
      <c r="B13898" s="35"/>
      <c r="C13898" s="36"/>
      <c r="D13898" s="37"/>
      <c r="E13898" s="36"/>
      <c r="F13898" s="42"/>
      <c r="G13898" s="42"/>
      <c r="H13898" s="42"/>
      <c r="AG13898" s="19"/>
    </row>
    <row r="13899" spans="1:33" ht="14.5" x14ac:dyDescent="0.35">
      <c r="A13899" s="34"/>
      <c r="B13899" s="35"/>
      <c r="C13899" s="36"/>
      <c r="D13899" s="37"/>
      <c r="E13899" s="36"/>
      <c r="F13899" s="42"/>
      <c r="G13899" s="42"/>
      <c r="H13899" s="42"/>
      <c r="AG13899" s="19"/>
    </row>
    <row r="13900" spans="1:33" ht="14.5" x14ac:dyDescent="0.35">
      <c r="A13900" s="34"/>
      <c r="B13900" s="35"/>
      <c r="C13900" s="36"/>
      <c r="D13900" s="37"/>
      <c r="E13900" s="36"/>
      <c r="F13900" s="42"/>
      <c r="G13900" s="42"/>
      <c r="H13900" s="42"/>
      <c r="AG13900" s="19"/>
    </row>
    <row r="13901" spans="1:33" ht="14.5" x14ac:dyDescent="0.35">
      <c r="A13901" s="34"/>
      <c r="B13901" s="35"/>
      <c r="C13901" s="36"/>
      <c r="D13901" s="37"/>
      <c r="E13901" s="36"/>
      <c r="F13901" s="42"/>
      <c r="G13901" s="42"/>
      <c r="H13901" s="42"/>
      <c r="AG13901" s="19"/>
    </row>
    <row r="13902" spans="1:33" ht="14.5" x14ac:dyDescent="0.35">
      <c r="A13902" s="34"/>
      <c r="B13902" s="35"/>
      <c r="C13902" s="36"/>
      <c r="D13902" s="37"/>
      <c r="E13902" s="36"/>
      <c r="F13902" s="42"/>
      <c r="G13902" s="42"/>
      <c r="H13902" s="42"/>
      <c r="AG13902" s="19"/>
    </row>
    <row r="13903" spans="1:33" ht="14.5" x14ac:dyDescent="0.35">
      <c r="A13903" s="34"/>
      <c r="B13903" s="35"/>
      <c r="C13903" s="36"/>
      <c r="D13903" s="37"/>
      <c r="E13903" s="36"/>
      <c r="F13903" s="42"/>
      <c r="G13903" s="42"/>
      <c r="H13903" s="42"/>
      <c r="AG13903" s="19"/>
    </row>
    <row r="13904" spans="1:33" ht="14.5" x14ac:dyDescent="0.35">
      <c r="A13904" s="34"/>
      <c r="B13904" s="35"/>
      <c r="C13904" s="36"/>
      <c r="D13904" s="37"/>
      <c r="E13904" s="36"/>
      <c r="F13904" s="42"/>
      <c r="G13904" s="42"/>
      <c r="H13904" s="42"/>
      <c r="AG13904" s="19"/>
    </row>
    <row r="13905" spans="1:33" ht="14.5" x14ac:dyDescent="0.35">
      <c r="A13905" s="34"/>
      <c r="B13905" s="35"/>
      <c r="C13905" s="36"/>
      <c r="D13905" s="37"/>
      <c r="E13905" s="36"/>
      <c r="F13905" s="42"/>
      <c r="G13905" s="42"/>
      <c r="H13905" s="42"/>
      <c r="AG13905" s="19"/>
    </row>
    <row r="13906" spans="1:33" ht="14.5" x14ac:dyDescent="0.35">
      <c r="A13906" s="34"/>
      <c r="B13906" s="35"/>
      <c r="C13906" s="36"/>
      <c r="D13906" s="37"/>
      <c r="E13906" s="36"/>
      <c r="F13906" s="42"/>
      <c r="G13906" s="42"/>
      <c r="H13906" s="42"/>
      <c r="AG13906" s="19"/>
    </row>
    <row r="13907" spans="1:33" ht="14.5" x14ac:dyDescent="0.35">
      <c r="A13907" s="34"/>
      <c r="B13907" s="35"/>
      <c r="C13907" s="36"/>
      <c r="D13907" s="37"/>
      <c r="E13907" s="36"/>
      <c r="F13907" s="42"/>
      <c r="G13907" s="42"/>
      <c r="H13907" s="42"/>
      <c r="AG13907" s="19"/>
    </row>
    <row r="13908" spans="1:33" ht="14.5" x14ac:dyDescent="0.35">
      <c r="A13908" s="34"/>
      <c r="B13908" s="35"/>
      <c r="C13908" s="36"/>
      <c r="D13908" s="37"/>
      <c r="E13908" s="36"/>
      <c r="F13908" s="42"/>
      <c r="G13908" s="42"/>
      <c r="H13908" s="42"/>
      <c r="AG13908" s="19"/>
    </row>
    <row r="13909" spans="1:33" ht="14.5" x14ac:dyDescent="0.35">
      <c r="A13909" s="34"/>
      <c r="B13909" s="35"/>
      <c r="C13909" s="36"/>
      <c r="D13909" s="37"/>
      <c r="E13909" s="36"/>
      <c r="F13909" s="42"/>
      <c r="G13909" s="42"/>
      <c r="H13909" s="42"/>
      <c r="AG13909" s="19"/>
    </row>
    <row r="13910" spans="1:33" ht="14.5" x14ac:dyDescent="0.35">
      <c r="A13910" s="34"/>
      <c r="B13910" s="35"/>
      <c r="C13910" s="36"/>
      <c r="D13910" s="37"/>
      <c r="E13910" s="36"/>
      <c r="F13910" s="42"/>
      <c r="G13910" s="42"/>
      <c r="H13910" s="42"/>
      <c r="AG13910" s="19"/>
    </row>
    <row r="13911" spans="1:33" ht="14.5" x14ac:dyDescent="0.35">
      <c r="A13911" s="34"/>
      <c r="B13911" s="35"/>
      <c r="C13911" s="36"/>
      <c r="D13911" s="37"/>
      <c r="E13911" s="36"/>
      <c r="F13911" s="42"/>
      <c r="G13911" s="42"/>
      <c r="H13911" s="42"/>
      <c r="AG13911" s="19"/>
    </row>
    <row r="13912" spans="1:33" ht="14.5" x14ac:dyDescent="0.35">
      <c r="A13912" s="34"/>
      <c r="B13912" s="35"/>
      <c r="C13912" s="36"/>
      <c r="D13912" s="37"/>
      <c r="E13912" s="36"/>
      <c r="F13912" s="42"/>
      <c r="G13912" s="42"/>
      <c r="H13912" s="42"/>
      <c r="AG13912" s="19"/>
    </row>
    <row r="13913" spans="1:33" ht="14.5" x14ac:dyDescent="0.35">
      <c r="A13913" s="34"/>
      <c r="B13913" s="35"/>
      <c r="C13913" s="36"/>
      <c r="D13913" s="37"/>
      <c r="E13913" s="36"/>
      <c r="F13913" s="42"/>
      <c r="G13913" s="42"/>
      <c r="H13913" s="42"/>
      <c r="AG13913" s="19"/>
    </row>
    <row r="13914" spans="1:33" ht="14.5" x14ac:dyDescent="0.35">
      <c r="A13914" s="34"/>
      <c r="B13914" s="35"/>
      <c r="C13914" s="36"/>
      <c r="D13914" s="37"/>
      <c r="E13914" s="36"/>
      <c r="F13914" s="42"/>
      <c r="G13914" s="42"/>
      <c r="H13914" s="42"/>
      <c r="AG13914" s="19"/>
    </row>
    <row r="13915" spans="1:33" ht="14.5" x14ac:dyDescent="0.35">
      <c r="A13915" s="34"/>
      <c r="B13915" s="35"/>
      <c r="C13915" s="36"/>
      <c r="D13915" s="37"/>
      <c r="E13915" s="36"/>
      <c r="F13915" s="42"/>
      <c r="G13915" s="42"/>
      <c r="H13915" s="42"/>
      <c r="AG13915" s="19"/>
    </row>
    <row r="13916" spans="1:33" ht="14.5" x14ac:dyDescent="0.35">
      <c r="A13916" s="34"/>
      <c r="B13916" s="35"/>
      <c r="C13916" s="36"/>
      <c r="D13916" s="37"/>
      <c r="E13916" s="36"/>
      <c r="F13916" s="42"/>
      <c r="G13916" s="42"/>
      <c r="H13916" s="42"/>
      <c r="AG13916" s="19"/>
    </row>
    <row r="13917" spans="1:33" ht="14.5" x14ac:dyDescent="0.35">
      <c r="A13917" s="34"/>
      <c r="B13917" s="35"/>
      <c r="C13917" s="36"/>
      <c r="D13917" s="37"/>
      <c r="E13917" s="36"/>
      <c r="F13917" s="42"/>
      <c r="G13917" s="42"/>
      <c r="H13917" s="42"/>
      <c r="AG13917" s="19"/>
    </row>
    <row r="13918" spans="1:33" ht="14.5" x14ac:dyDescent="0.35">
      <c r="A13918" s="34"/>
      <c r="B13918" s="35"/>
      <c r="C13918" s="36"/>
      <c r="D13918" s="37"/>
      <c r="E13918" s="36"/>
      <c r="F13918" s="42"/>
      <c r="G13918" s="42"/>
      <c r="H13918" s="42"/>
      <c r="AG13918" s="19"/>
    </row>
    <row r="13919" spans="1:33" ht="14.5" x14ac:dyDescent="0.35">
      <c r="A13919" s="34"/>
      <c r="B13919" s="35"/>
      <c r="C13919" s="36"/>
      <c r="D13919" s="37"/>
      <c r="E13919" s="36"/>
      <c r="F13919" s="42"/>
      <c r="G13919" s="42"/>
      <c r="H13919" s="42"/>
      <c r="AG13919" s="19"/>
    </row>
    <row r="13920" spans="1:33" ht="14.5" x14ac:dyDescent="0.35">
      <c r="A13920" s="34"/>
      <c r="B13920" s="35"/>
      <c r="C13920" s="36"/>
      <c r="D13920" s="37"/>
      <c r="E13920" s="36"/>
      <c r="F13920" s="42"/>
      <c r="G13920" s="42"/>
      <c r="H13920" s="42"/>
      <c r="AG13920" s="19"/>
    </row>
    <row r="13921" spans="1:33" ht="14.5" x14ac:dyDescent="0.35">
      <c r="A13921" s="34"/>
      <c r="B13921" s="35"/>
      <c r="C13921" s="36"/>
      <c r="D13921" s="37"/>
      <c r="E13921" s="36"/>
      <c r="F13921" s="42"/>
      <c r="G13921" s="42"/>
      <c r="H13921" s="42"/>
      <c r="AG13921" s="19"/>
    </row>
    <row r="13922" spans="1:33" ht="14.5" x14ac:dyDescent="0.35">
      <c r="A13922" s="34"/>
      <c r="B13922" s="35"/>
      <c r="C13922" s="36"/>
      <c r="D13922" s="37"/>
      <c r="E13922" s="36"/>
      <c r="F13922" s="42"/>
      <c r="G13922" s="42"/>
      <c r="H13922" s="42"/>
      <c r="AG13922" s="19"/>
    </row>
    <row r="13923" spans="1:33" ht="14.5" x14ac:dyDescent="0.35">
      <c r="A13923" s="34"/>
      <c r="B13923" s="35"/>
      <c r="C13923" s="36"/>
      <c r="D13923" s="37"/>
      <c r="E13923" s="36"/>
      <c r="F13923" s="42"/>
      <c r="G13923" s="42"/>
      <c r="H13923" s="42"/>
      <c r="AG13923" s="19"/>
    </row>
    <row r="13924" spans="1:33" ht="14.5" x14ac:dyDescent="0.35">
      <c r="A13924" s="34"/>
      <c r="B13924" s="35"/>
      <c r="C13924" s="36"/>
      <c r="D13924" s="37"/>
      <c r="E13924" s="36"/>
      <c r="F13924" s="42"/>
      <c r="G13924" s="42"/>
      <c r="H13924" s="42"/>
      <c r="AG13924" s="19"/>
    </row>
    <row r="13925" spans="1:33" ht="14.5" x14ac:dyDescent="0.35">
      <c r="A13925" s="34"/>
      <c r="B13925" s="35"/>
      <c r="C13925" s="36"/>
      <c r="D13925" s="37"/>
      <c r="E13925" s="36"/>
      <c r="F13925" s="42"/>
      <c r="G13925" s="42"/>
      <c r="H13925" s="42"/>
      <c r="AG13925" s="19"/>
    </row>
    <row r="13926" spans="1:33" ht="14.5" x14ac:dyDescent="0.35">
      <c r="A13926" s="34"/>
      <c r="B13926" s="35"/>
      <c r="C13926" s="36"/>
      <c r="D13926" s="37"/>
      <c r="E13926" s="36"/>
      <c r="F13926" s="42"/>
      <c r="G13926" s="42"/>
      <c r="H13926" s="42"/>
      <c r="AG13926" s="19"/>
    </row>
    <row r="13927" spans="1:33" ht="14.5" x14ac:dyDescent="0.35">
      <c r="A13927" s="34"/>
      <c r="B13927" s="35"/>
      <c r="C13927" s="36"/>
      <c r="D13927" s="37"/>
      <c r="E13927" s="36"/>
      <c r="F13927" s="42"/>
      <c r="G13927" s="42"/>
      <c r="H13927" s="42"/>
      <c r="AG13927" s="19"/>
    </row>
    <row r="13928" spans="1:33" ht="14.5" x14ac:dyDescent="0.35">
      <c r="A13928" s="34"/>
      <c r="B13928" s="35"/>
      <c r="C13928" s="36"/>
      <c r="D13928" s="37"/>
      <c r="E13928" s="36"/>
      <c r="F13928" s="42"/>
      <c r="G13928" s="42"/>
      <c r="H13928" s="42"/>
      <c r="AG13928" s="19"/>
    </row>
    <row r="13929" spans="1:33" ht="14.5" x14ac:dyDescent="0.35">
      <c r="A13929" s="34"/>
      <c r="B13929" s="35"/>
      <c r="C13929" s="36"/>
      <c r="D13929" s="37"/>
      <c r="E13929" s="36"/>
      <c r="F13929" s="42"/>
      <c r="G13929" s="42"/>
      <c r="H13929" s="42"/>
      <c r="AG13929" s="19"/>
    </row>
    <row r="13930" spans="1:33" ht="14.5" x14ac:dyDescent="0.35">
      <c r="A13930" s="34"/>
      <c r="B13930" s="35"/>
      <c r="C13930" s="36"/>
      <c r="D13930" s="37"/>
      <c r="E13930" s="36"/>
      <c r="F13930" s="42"/>
      <c r="G13930" s="42"/>
      <c r="H13930" s="42"/>
      <c r="AG13930" s="19"/>
    </row>
    <row r="13931" spans="1:33" ht="14.5" x14ac:dyDescent="0.35">
      <c r="A13931" s="34"/>
      <c r="B13931" s="35"/>
      <c r="C13931" s="36"/>
      <c r="D13931" s="37"/>
      <c r="E13931" s="36"/>
      <c r="F13931" s="42"/>
      <c r="G13931" s="42"/>
      <c r="H13931" s="42"/>
      <c r="AG13931" s="19"/>
    </row>
    <row r="13932" spans="1:33" ht="14.5" x14ac:dyDescent="0.35">
      <c r="A13932" s="34"/>
      <c r="B13932" s="35"/>
      <c r="C13932" s="36"/>
      <c r="D13932" s="37"/>
      <c r="E13932" s="36"/>
      <c r="F13932" s="42"/>
      <c r="G13932" s="42"/>
      <c r="H13932" s="42"/>
      <c r="AG13932" s="19"/>
    </row>
    <row r="13933" spans="1:33" ht="14.5" x14ac:dyDescent="0.35">
      <c r="A13933" s="34"/>
      <c r="B13933" s="35"/>
      <c r="C13933" s="36"/>
      <c r="D13933" s="37"/>
      <c r="E13933" s="36"/>
      <c r="F13933" s="42"/>
      <c r="G13933" s="42"/>
      <c r="H13933" s="42"/>
      <c r="AG13933" s="19"/>
    </row>
    <row r="13934" spans="1:33" ht="14.5" x14ac:dyDescent="0.35">
      <c r="A13934" s="34"/>
      <c r="B13934" s="35"/>
      <c r="C13934" s="36"/>
      <c r="D13934" s="37"/>
      <c r="E13934" s="36"/>
      <c r="F13934" s="42"/>
      <c r="G13934" s="42"/>
      <c r="H13934" s="42"/>
      <c r="AG13934" s="19"/>
    </row>
    <row r="13935" spans="1:33" ht="14.5" x14ac:dyDescent="0.35">
      <c r="A13935" s="34"/>
      <c r="B13935" s="35"/>
      <c r="C13935" s="36"/>
      <c r="D13935" s="37"/>
      <c r="E13935" s="36"/>
      <c r="F13935" s="42"/>
      <c r="G13935" s="42"/>
      <c r="H13935" s="42"/>
      <c r="AG13935" s="19"/>
    </row>
    <row r="13936" spans="1:33" ht="14.5" x14ac:dyDescent="0.35">
      <c r="A13936" s="34"/>
      <c r="B13936" s="35"/>
      <c r="C13936" s="36"/>
      <c r="D13936" s="37"/>
      <c r="E13936" s="36"/>
      <c r="F13936" s="42"/>
      <c r="G13936" s="42"/>
      <c r="H13936" s="42"/>
      <c r="AG13936" s="19"/>
    </row>
    <row r="13937" spans="1:33" ht="14.5" x14ac:dyDescent="0.35">
      <c r="A13937" s="34"/>
      <c r="B13937" s="35"/>
      <c r="C13937" s="36"/>
      <c r="D13937" s="37"/>
      <c r="E13937" s="36"/>
      <c r="F13937" s="42"/>
      <c r="G13937" s="42"/>
      <c r="H13937" s="42"/>
      <c r="AG13937" s="19"/>
    </row>
    <row r="13938" spans="1:33" ht="14.5" x14ac:dyDescent="0.35">
      <c r="A13938" s="34"/>
      <c r="B13938" s="35"/>
      <c r="C13938" s="36"/>
      <c r="D13938" s="37"/>
      <c r="E13938" s="36"/>
      <c r="F13938" s="42"/>
      <c r="G13938" s="42"/>
      <c r="H13938" s="42"/>
      <c r="AG13938" s="19"/>
    </row>
    <row r="13939" spans="1:33" ht="14.5" x14ac:dyDescent="0.35">
      <c r="A13939" s="34"/>
      <c r="B13939" s="35"/>
      <c r="C13939" s="36"/>
      <c r="D13939" s="37"/>
      <c r="E13939" s="36"/>
      <c r="F13939" s="42"/>
      <c r="G13939" s="42"/>
      <c r="H13939" s="42"/>
      <c r="AG13939" s="19"/>
    </row>
    <row r="13940" spans="1:33" ht="14.5" x14ac:dyDescent="0.35">
      <c r="A13940" s="34"/>
      <c r="B13940" s="35"/>
      <c r="C13940" s="36"/>
      <c r="D13940" s="37"/>
      <c r="E13940" s="36"/>
      <c r="F13940" s="42"/>
      <c r="G13940" s="42"/>
      <c r="H13940" s="42"/>
      <c r="AG13940" s="19"/>
    </row>
    <row r="13941" spans="1:33" ht="14.5" x14ac:dyDescent="0.35">
      <c r="A13941" s="34"/>
      <c r="B13941" s="35"/>
      <c r="C13941" s="36"/>
      <c r="D13941" s="37"/>
      <c r="E13941" s="36"/>
      <c r="F13941" s="42"/>
      <c r="G13941" s="42"/>
      <c r="H13941" s="42"/>
      <c r="AG13941" s="19"/>
    </row>
    <row r="13942" spans="1:33" ht="14.5" x14ac:dyDescent="0.35">
      <c r="A13942" s="34"/>
      <c r="B13942" s="35"/>
      <c r="C13942" s="36"/>
      <c r="D13942" s="37"/>
      <c r="E13942" s="36"/>
      <c r="F13942" s="42"/>
      <c r="G13942" s="42"/>
      <c r="H13942" s="42"/>
      <c r="AG13942" s="19"/>
    </row>
    <row r="13943" spans="1:33" ht="14.5" x14ac:dyDescent="0.35">
      <c r="A13943" s="34"/>
      <c r="B13943" s="35"/>
      <c r="C13943" s="36"/>
      <c r="D13943" s="37"/>
      <c r="E13943" s="36"/>
      <c r="F13943" s="42"/>
      <c r="G13943" s="42"/>
      <c r="H13943" s="42"/>
      <c r="AG13943" s="19"/>
    </row>
    <row r="13944" spans="1:33" ht="14.5" x14ac:dyDescent="0.35">
      <c r="A13944" s="34"/>
      <c r="B13944" s="35"/>
      <c r="C13944" s="36"/>
      <c r="D13944" s="37"/>
      <c r="E13944" s="36"/>
      <c r="F13944" s="42"/>
      <c r="G13944" s="42"/>
      <c r="H13944" s="42"/>
      <c r="AG13944" s="19"/>
    </row>
    <row r="13945" spans="1:33" ht="14.5" x14ac:dyDescent="0.35">
      <c r="A13945" s="34"/>
      <c r="B13945" s="35"/>
      <c r="C13945" s="36"/>
      <c r="D13945" s="37"/>
      <c r="E13945" s="36"/>
      <c r="F13945" s="42"/>
      <c r="G13945" s="42"/>
      <c r="H13945" s="42"/>
      <c r="AG13945" s="19"/>
    </row>
    <row r="13946" spans="1:33" ht="14.5" x14ac:dyDescent="0.35">
      <c r="A13946" s="34"/>
      <c r="B13946" s="35"/>
      <c r="C13946" s="36"/>
      <c r="D13946" s="37"/>
      <c r="E13946" s="36"/>
      <c r="F13946" s="42"/>
      <c r="G13946" s="42"/>
      <c r="H13946" s="42"/>
      <c r="AG13946" s="19"/>
    </row>
    <row r="13947" spans="1:33" ht="14.5" x14ac:dyDescent="0.35">
      <c r="A13947" s="34"/>
      <c r="B13947" s="35"/>
      <c r="C13947" s="36"/>
      <c r="D13947" s="37"/>
      <c r="E13947" s="36"/>
      <c r="F13947" s="42"/>
      <c r="G13947" s="42"/>
      <c r="H13947" s="42"/>
      <c r="AG13947" s="19"/>
    </row>
    <row r="13948" spans="1:33" ht="14.5" x14ac:dyDescent="0.35">
      <c r="A13948" s="34"/>
      <c r="B13948" s="35"/>
      <c r="C13948" s="36"/>
      <c r="D13948" s="37"/>
      <c r="E13948" s="36"/>
      <c r="F13948" s="42"/>
      <c r="G13948" s="42"/>
      <c r="H13948" s="42"/>
      <c r="AG13948" s="19"/>
    </row>
    <row r="13949" spans="1:33" ht="14.5" x14ac:dyDescent="0.35">
      <c r="A13949" s="34"/>
      <c r="B13949" s="35"/>
      <c r="C13949" s="36"/>
      <c r="D13949" s="37"/>
      <c r="E13949" s="36"/>
      <c r="F13949" s="42"/>
      <c r="G13949" s="42"/>
      <c r="H13949" s="42"/>
      <c r="AG13949" s="19"/>
    </row>
    <row r="13950" spans="1:33" ht="14.5" x14ac:dyDescent="0.35">
      <c r="A13950" s="34"/>
      <c r="B13950" s="35"/>
      <c r="C13950" s="36"/>
      <c r="D13950" s="37"/>
      <c r="E13950" s="36"/>
      <c r="F13950" s="42"/>
      <c r="G13950" s="42"/>
      <c r="H13950" s="42"/>
      <c r="AG13950" s="19"/>
    </row>
    <row r="13951" spans="1:33" ht="14.5" x14ac:dyDescent="0.35">
      <c r="A13951" s="34"/>
      <c r="B13951" s="35"/>
      <c r="C13951" s="36"/>
      <c r="D13951" s="37"/>
      <c r="E13951" s="36"/>
      <c r="F13951" s="42"/>
      <c r="G13951" s="42"/>
      <c r="H13951" s="42"/>
      <c r="AG13951" s="19"/>
    </row>
    <row r="13952" spans="1:33" ht="14.5" x14ac:dyDescent="0.35">
      <c r="A13952" s="34"/>
      <c r="B13952" s="35"/>
      <c r="C13952" s="36"/>
      <c r="D13952" s="37"/>
      <c r="E13952" s="36"/>
      <c r="F13952" s="42"/>
      <c r="G13952" s="42"/>
      <c r="H13952" s="42"/>
      <c r="AG13952" s="19"/>
    </row>
    <row r="13953" spans="1:33" ht="14.5" x14ac:dyDescent="0.35">
      <c r="A13953" s="34"/>
      <c r="B13953" s="35"/>
      <c r="C13953" s="36"/>
      <c r="D13953" s="37"/>
      <c r="E13953" s="36"/>
      <c r="F13953" s="42"/>
      <c r="G13953" s="42"/>
      <c r="H13953" s="42"/>
      <c r="AG13953" s="19"/>
    </row>
    <row r="13954" spans="1:33" ht="14.5" x14ac:dyDescent="0.35">
      <c r="A13954" s="34"/>
      <c r="B13954" s="35"/>
      <c r="C13954" s="36"/>
      <c r="D13954" s="37"/>
      <c r="E13954" s="36"/>
      <c r="F13954" s="42"/>
      <c r="G13954" s="42"/>
      <c r="H13954" s="42"/>
      <c r="AG13954" s="19"/>
    </row>
    <row r="13955" spans="1:33" ht="14.5" x14ac:dyDescent="0.35">
      <c r="A13955" s="34"/>
      <c r="B13955" s="35"/>
      <c r="C13955" s="36"/>
      <c r="D13955" s="37"/>
      <c r="E13955" s="36"/>
      <c r="F13955" s="42"/>
      <c r="G13955" s="42"/>
      <c r="H13955" s="42"/>
      <c r="AG13955" s="19"/>
    </row>
    <row r="13956" spans="1:33" ht="14.5" x14ac:dyDescent="0.35">
      <c r="A13956" s="34"/>
      <c r="B13956" s="35"/>
      <c r="C13956" s="36"/>
      <c r="D13956" s="37"/>
      <c r="E13956" s="36"/>
      <c r="F13956" s="42"/>
      <c r="G13956" s="42"/>
      <c r="H13956" s="42"/>
      <c r="AG13956" s="19"/>
    </row>
    <row r="13957" spans="1:33" ht="14.5" x14ac:dyDescent="0.35">
      <c r="A13957" s="34"/>
      <c r="B13957" s="35"/>
      <c r="C13957" s="36"/>
      <c r="D13957" s="37"/>
      <c r="E13957" s="36"/>
      <c r="F13957" s="42"/>
      <c r="G13957" s="42"/>
      <c r="H13957" s="42"/>
      <c r="AG13957" s="19"/>
    </row>
    <row r="13958" spans="1:33" ht="14.5" x14ac:dyDescent="0.35">
      <c r="A13958" s="34"/>
      <c r="B13958" s="35"/>
      <c r="C13958" s="36"/>
      <c r="D13958" s="37"/>
      <c r="E13958" s="36"/>
      <c r="F13958" s="42"/>
      <c r="G13958" s="42"/>
      <c r="H13958" s="42"/>
      <c r="AG13958" s="19"/>
    </row>
    <row r="13959" spans="1:33" ht="14.5" x14ac:dyDescent="0.35">
      <c r="A13959" s="34"/>
      <c r="B13959" s="35"/>
      <c r="C13959" s="36"/>
      <c r="D13959" s="37"/>
      <c r="E13959" s="36"/>
      <c r="F13959" s="42"/>
      <c r="G13959" s="42"/>
      <c r="H13959" s="42"/>
      <c r="AG13959" s="19"/>
    </row>
    <row r="13960" spans="1:33" ht="14.5" x14ac:dyDescent="0.35">
      <c r="A13960" s="34"/>
      <c r="B13960" s="35"/>
      <c r="C13960" s="36"/>
      <c r="D13960" s="37"/>
      <c r="E13960" s="36"/>
      <c r="F13960" s="42"/>
      <c r="G13960" s="42"/>
      <c r="H13960" s="42"/>
      <c r="AG13960" s="19"/>
    </row>
    <row r="13961" spans="1:33" ht="14.5" x14ac:dyDescent="0.35">
      <c r="A13961" s="34"/>
      <c r="B13961" s="35"/>
      <c r="C13961" s="36"/>
      <c r="D13961" s="37"/>
      <c r="E13961" s="36"/>
      <c r="F13961" s="42"/>
      <c r="G13961" s="42"/>
      <c r="H13961" s="42"/>
      <c r="AG13961" s="19"/>
    </row>
    <row r="13962" spans="1:33" ht="14.5" x14ac:dyDescent="0.35">
      <c r="A13962" s="34"/>
      <c r="B13962" s="35"/>
      <c r="C13962" s="36"/>
      <c r="D13962" s="37"/>
      <c r="E13962" s="36"/>
      <c r="F13962" s="42"/>
      <c r="G13962" s="42"/>
      <c r="H13962" s="42"/>
      <c r="AG13962" s="19"/>
    </row>
    <row r="13963" spans="1:33" ht="14.5" x14ac:dyDescent="0.35">
      <c r="A13963" s="34"/>
      <c r="B13963" s="35"/>
      <c r="C13963" s="36"/>
      <c r="D13963" s="37"/>
      <c r="E13963" s="36"/>
      <c r="F13963" s="42"/>
      <c r="G13963" s="42"/>
      <c r="H13963" s="42"/>
      <c r="AG13963" s="19"/>
    </row>
    <row r="13964" spans="1:33" ht="14.5" x14ac:dyDescent="0.35">
      <c r="A13964" s="34"/>
      <c r="B13964" s="35"/>
      <c r="C13964" s="36"/>
      <c r="D13964" s="37"/>
      <c r="E13964" s="36"/>
      <c r="F13964" s="42"/>
      <c r="G13964" s="42"/>
      <c r="H13964" s="42"/>
      <c r="AG13964" s="19"/>
    </row>
    <row r="13965" spans="1:33" ht="14.5" x14ac:dyDescent="0.35">
      <c r="A13965" s="34"/>
      <c r="B13965" s="35"/>
      <c r="C13965" s="36"/>
      <c r="D13965" s="37"/>
      <c r="E13965" s="36"/>
      <c r="F13965" s="42"/>
      <c r="G13965" s="42"/>
      <c r="H13965" s="42"/>
      <c r="AG13965" s="19"/>
    </row>
    <row r="13966" spans="1:33" ht="14.5" x14ac:dyDescent="0.35">
      <c r="A13966" s="34"/>
      <c r="B13966" s="35"/>
      <c r="C13966" s="36"/>
      <c r="D13966" s="37"/>
      <c r="E13966" s="36"/>
      <c r="F13966" s="42"/>
      <c r="G13966" s="42"/>
      <c r="H13966" s="42"/>
      <c r="AG13966" s="19"/>
    </row>
    <row r="13967" spans="1:33" ht="14.5" x14ac:dyDescent="0.35">
      <c r="A13967" s="34"/>
      <c r="B13967" s="35"/>
      <c r="C13967" s="36"/>
      <c r="D13967" s="37"/>
      <c r="E13967" s="36"/>
      <c r="F13967" s="42"/>
      <c r="G13967" s="42"/>
      <c r="H13967" s="42"/>
      <c r="AG13967" s="19"/>
    </row>
    <row r="13968" spans="1:33" ht="14.5" x14ac:dyDescent="0.35">
      <c r="A13968" s="34"/>
      <c r="B13968" s="35"/>
      <c r="C13968" s="36"/>
      <c r="D13968" s="37"/>
      <c r="E13968" s="36"/>
      <c r="F13968" s="42"/>
      <c r="G13968" s="42"/>
      <c r="H13968" s="42"/>
      <c r="AG13968" s="19"/>
    </row>
    <row r="13969" spans="1:33" ht="14.5" x14ac:dyDescent="0.35">
      <c r="A13969" s="34"/>
      <c r="B13969" s="35"/>
      <c r="C13969" s="36"/>
      <c r="D13969" s="37"/>
      <c r="E13969" s="36"/>
      <c r="F13969" s="42"/>
      <c r="G13969" s="42"/>
      <c r="H13969" s="42"/>
      <c r="AG13969" s="19"/>
    </row>
    <row r="13970" spans="1:33" ht="14.5" x14ac:dyDescent="0.35">
      <c r="A13970" s="34"/>
      <c r="B13970" s="35"/>
      <c r="C13970" s="36"/>
      <c r="D13970" s="37"/>
      <c r="E13970" s="36"/>
      <c r="F13970" s="42"/>
      <c r="G13970" s="42"/>
      <c r="H13970" s="42"/>
      <c r="AG13970" s="19"/>
    </row>
    <row r="13971" spans="1:33" ht="14.5" x14ac:dyDescent="0.35">
      <c r="A13971" s="34"/>
      <c r="B13971" s="35"/>
      <c r="C13971" s="36"/>
      <c r="D13971" s="37"/>
      <c r="E13971" s="36"/>
      <c r="F13971" s="42"/>
      <c r="G13971" s="42"/>
      <c r="H13971" s="42"/>
      <c r="AG13971" s="19"/>
    </row>
    <row r="13972" spans="1:33" ht="14.5" x14ac:dyDescent="0.35">
      <c r="A13972" s="34"/>
      <c r="B13972" s="35"/>
      <c r="C13972" s="36"/>
      <c r="D13972" s="37"/>
      <c r="E13972" s="36"/>
      <c r="F13972" s="42"/>
      <c r="G13972" s="42"/>
      <c r="H13972" s="42"/>
      <c r="AG13972" s="19"/>
    </row>
    <row r="13973" spans="1:33" ht="14.5" x14ac:dyDescent="0.35">
      <c r="A13973" s="34"/>
      <c r="B13973" s="35"/>
      <c r="C13973" s="36"/>
      <c r="D13973" s="37"/>
      <c r="E13973" s="36"/>
      <c r="F13973" s="42"/>
      <c r="G13973" s="42"/>
      <c r="H13973" s="42"/>
      <c r="AG13973" s="19"/>
    </row>
    <row r="13974" spans="1:33" ht="14.5" x14ac:dyDescent="0.35">
      <c r="A13974" s="34"/>
      <c r="B13974" s="35"/>
      <c r="C13974" s="36"/>
      <c r="D13974" s="37"/>
      <c r="E13974" s="36"/>
      <c r="F13974" s="42"/>
      <c r="G13974" s="42"/>
      <c r="H13974" s="42"/>
      <c r="AG13974" s="19"/>
    </row>
    <row r="13975" spans="1:33" ht="14.5" x14ac:dyDescent="0.35">
      <c r="A13975" s="34"/>
      <c r="B13975" s="35"/>
      <c r="C13975" s="36"/>
      <c r="D13975" s="37"/>
      <c r="E13975" s="36"/>
      <c r="F13975" s="42"/>
      <c r="G13975" s="42"/>
      <c r="H13975" s="42"/>
      <c r="AG13975" s="19"/>
    </row>
    <row r="13976" spans="1:33" ht="14.5" x14ac:dyDescent="0.35">
      <c r="A13976" s="34"/>
      <c r="B13976" s="35"/>
      <c r="C13976" s="36"/>
      <c r="D13976" s="37"/>
      <c r="E13976" s="36"/>
      <c r="F13976" s="42"/>
      <c r="G13976" s="42"/>
      <c r="H13976" s="42"/>
      <c r="AG13976" s="19"/>
    </row>
    <row r="13977" spans="1:33" ht="14.5" x14ac:dyDescent="0.35">
      <c r="A13977" s="34"/>
      <c r="B13977" s="35"/>
      <c r="C13977" s="36"/>
      <c r="D13977" s="37"/>
      <c r="E13977" s="36"/>
      <c r="F13977" s="42"/>
      <c r="G13977" s="42"/>
      <c r="H13977" s="42"/>
      <c r="AG13977" s="19"/>
    </row>
    <row r="13978" spans="1:33" ht="14.5" x14ac:dyDescent="0.35">
      <c r="A13978" s="34"/>
      <c r="B13978" s="35"/>
      <c r="C13978" s="36"/>
      <c r="D13978" s="37"/>
      <c r="E13978" s="36"/>
      <c r="F13978" s="42"/>
      <c r="G13978" s="42"/>
      <c r="H13978" s="42"/>
      <c r="AG13978" s="19"/>
    </row>
    <row r="13979" spans="1:33" ht="14.5" x14ac:dyDescent="0.35">
      <c r="A13979" s="34"/>
      <c r="B13979" s="35"/>
      <c r="C13979" s="36"/>
      <c r="D13979" s="37"/>
      <c r="E13979" s="36"/>
      <c r="F13979" s="42"/>
      <c r="G13979" s="42"/>
      <c r="H13979" s="42"/>
      <c r="AG13979" s="19"/>
    </row>
    <row r="13980" spans="1:33" ht="14.5" x14ac:dyDescent="0.35">
      <c r="A13980" s="34"/>
      <c r="B13980" s="35"/>
      <c r="C13980" s="36"/>
      <c r="D13980" s="37"/>
      <c r="E13980" s="36"/>
      <c r="F13980" s="42"/>
      <c r="G13980" s="42"/>
      <c r="H13980" s="42"/>
      <c r="AG13980" s="19"/>
    </row>
    <row r="13981" spans="1:33" ht="14.5" x14ac:dyDescent="0.35">
      <c r="A13981" s="34"/>
      <c r="B13981" s="35"/>
      <c r="C13981" s="36"/>
      <c r="D13981" s="37"/>
      <c r="E13981" s="36"/>
      <c r="F13981" s="42"/>
      <c r="G13981" s="42"/>
      <c r="H13981" s="42"/>
      <c r="AG13981" s="19"/>
    </row>
    <row r="13982" spans="1:33" ht="14.5" x14ac:dyDescent="0.35">
      <c r="A13982" s="34"/>
      <c r="B13982" s="35"/>
      <c r="C13982" s="36"/>
      <c r="D13982" s="37"/>
      <c r="E13982" s="36"/>
      <c r="F13982" s="42"/>
      <c r="G13982" s="42"/>
      <c r="H13982" s="42"/>
      <c r="AG13982" s="19"/>
    </row>
    <row r="13983" spans="1:33" ht="14.5" x14ac:dyDescent="0.35">
      <c r="A13983" s="34"/>
      <c r="B13983" s="35"/>
      <c r="C13983" s="36"/>
      <c r="D13983" s="37"/>
      <c r="E13983" s="36"/>
      <c r="F13983" s="42"/>
      <c r="G13983" s="42"/>
      <c r="H13983" s="42"/>
      <c r="AG13983" s="19"/>
    </row>
    <row r="13984" spans="1:33" ht="14.5" x14ac:dyDescent="0.35">
      <c r="A13984" s="34"/>
      <c r="B13984" s="35"/>
      <c r="C13984" s="36"/>
      <c r="D13984" s="37"/>
      <c r="E13984" s="36"/>
      <c r="F13984" s="42"/>
      <c r="G13984" s="42"/>
      <c r="H13984" s="42"/>
      <c r="AG13984" s="19"/>
    </row>
    <row r="13985" spans="1:33" ht="14.5" x14ac:dyDescent="0.35">
      <c r="A13985" s="34"/>
      <c r="B13985" s="35"/>
      <c r="C13985" s="36"/>
      <c r="D13985" s="37"/>
      <c r="E13985" s="36"/>
      <c r="F13985" s="42"/>
      <c r="G13985" s="42"/>
      <c r="H13985" s="42"/>
      <c r="AG13985" s="19"/>
    </row>
    <row r="13986" spans="1:33" ht="14.5" x14ac:dyDescent="0.35">
      <c r="A13986" s="34"/>
      <c r="B13986" s="35"/>
      <c r="C13986" s="36"/>
      <c r="D13986" s="37"/>
      <c r="E13986" s="36"/>
      <c r="F13986" s="42"/>
      <c r="G13986" s="42"/>
      <c r="H13986" s="42"/>
      <c r="AG13986" s="19"/>
    </row>
    <row r="13987" spans="1:33" ht="14.5" x14ac:dyDescent="0.35">
      <c r="A13987" s="34"/>
      <c r="B13987" s="35"/>
      <c r="C13987" s="36"/>
      <c r="D13987" s="37"/>
      <c r="E13987" s="36"/>
      <c r="F13987" s="42"/>
      <c r="G13987" s="42"/>
      <c r="H13987" s="42"/>
      <c r="AG13987" s="19"/>
    </row>
    <row r="13988" spans="1:33" ht="14.5" x14ac:dyDescent="0.35">
      <c r="A13988" s="34"/>
      <c r="B13988" s="35"/>
      <c r="C13988" s="36"/>
      <c r="D13988" s="37"/>
      <c r="E13988" s="36"/>
      <c r="F13988" s="42"/>
      <c r="G13988" s="42"/>
      <c r="H13988" s="42"/>
      <c r="AG13988" s="19"/>
    </row>
    <row r="13989" spans="1:33" ht="14.5" x14ac:dyDescent="0.35">
      <c r="A13989" s="34"/>
      <c r="B13989" s="35"/>
      <c r="C13989" s="36"/>
      <c r="D13989" s="37"/>
      <c r="E13989" s="36"/>
      <c r="F13989" s="42"/>
      <c r="G13989" s="42"/>
      <c r="H13989" s="42"/>
      <c r="AG13989" s="19"/>
    </row>
    <row r="13990" spans="1:33" ht="14.5" x14ac:dyDescent="0.35">
      <c r="A13990" s="34"/>
      <c r="B13990" s="35"/>
      <c r="C13990" s="36"/>
      <c r="D13990" s="37"/>
      <c r="E13990" s="36"/>
      <c r="F13990" s="42"/>
      <c r="G13990" s="42"/>
      <c r="H13990" s="42"/>
      <c r="AG13990" s="19"/>
    </row>
    <row r="13991" spans="1:33" ht="14.5" x14ac:dyDescent="0.35">
      <c r="A13991" s="34"/>
      <c r="B13991" s="35"/>
      <c r="C13991" s="36"/>
      <c r="D13991" s="37"/>
      <c r="E13991" s="36"/>
      <c r="F13991" s="42"/>
      <c r="G13991" s="42"/>
      <c r="H13991" s="42"/>
      <c r="AG13991" s="19"/>
    </row>
    <row r="13992" spans="1:33" ht="14.5" x14ac:dyDescent="0.35">
      <c r="A13992" s="34"/>
      <c r="B13992" s="35"/>
      <c r="C13992" s="36"/>
      <c r="D13992" s="37"/>
      <c r="E13992" s="36"/>
      <c r="F13992" s="42"/>
      <c r="G13992" s="42"/>
      <c r="H13992" s="42"/>
      <c r="AG13992" s="19"/>
    </row>
    <row r="13993" spans="1:33" ht="14.5" x14ac:dyDescent="0.35">
      <c r="A13993" s="34"/>
      <c r="B13993" s="35"/>
      <c r="C13993" s="36"/>
      <c r="D13993" s="37"/>
      <c r="E13993" s="36"/>
      <c r="F13993" s="42"/>
      <c r="G13993" s="42"/>
      <c r="H13993" s="42"/>
      <c r="AG13993" s="19"/>
    </row>
    <row r="13994" spans="1:33" ht="14.5" x14ac:dyDescent="0.35">
      <c r="A13994" s="34"/>
      <c r="B13994" s="35"/>
      <c r="C13994" s="36"/>
      <c r="D13994" s="37"/>
      <c r="E13994" s="36"/>
      <c r="F13994" s="42"/>
      <c r="G13994" s="42"/>
      <c r="H13994" s="42"/>
      <c r="AG13994" s="19"/>
    </row>
    <row r="13995" spans="1:33" ht="14.5" x14ac:dyDescent="0.35">
      <c r="A13995" s="34"/>
      <c r="B13995" s="35"/>
      <c r="C13995" s="36"/>
      <c r="D13995" s="37"/>
      <c r="E13995" s="36"/>
      <c r="F13995" s="42"/>
      <c r="G13995" s="42"/>
      <c r="H13995" s="42"/>
      <c r="AG13995" s="19"/>
    </row>
    <row r="13996" spans="1:33" ht="14.5" x14ac:dyDescent="0.35">
      <c r="A13996" s="34"/>
      <c r="B13996" s="35"/>
      <c r="C13996" s="36"/>
      <c r="D13996" s="37"/>
      <c r="E13996" s="36"/>
      <c r="F13996" s="42"/>
      <c r="G13996" s="42"/>
      <c r="H13996" s="42"/>
      <c r="AG13996" s="19"/>
    </row>
    <row r="13997" spans="1:33" ht="14.5" x14ac:dyDescent="0.35">
      <c r="A13997" s="34"/>
      <c r="B13997" s="35"/>
      <c r="C13997" s="36"/>
      <c r="D13997" s="37"/>
      <c r="E13997" s="36"/>
      <c r="F13997" s="42"/>
      <c r="G13997" s="42"/>
      <c r="H13997" s="42"/>
      <c r="AG13997" s="19"/>
    </row>
    <row r="13998" spans="1:33" ht="14.5" x14ac:dyDescent="0.35">
      <c r="A13998" s="34"/>
      <c r="B13998" s="35"/>
      <c r="C13998" s="36"/>
      <c r="D13998" s="37"/>
      <c r="E13998" s="36"/>
      <c r="F13998" s="42"/>
      <c r="G13998" s="42"/>
      <c r="H13998" s="42"/>
      <c r="AG13998" s="19"/>
    </row>
    <row r="13999" spans="1:33" ht="14.5" x14ac:dyDescent="0.35">
      <c r="A13999" s="34"/>
      <c r="B13999" s="35"/>
      <c r="C13999" s="36"/>
      <c r="D13999" s="37"/>
      <c r="E13999" s="36"/>
      <c r="F13999" s="42"/>
      <c r="G13999" s="42"/>
      <c r="H13999" s="42"/>
      <c r="AG13999" s="19"/>
    </row>
    <row r="14000" spans="1:33" ht="14.5" x14ac:dyDescent="0.35">
      <c r="A14000" s="34"/>
      <c r="B14000" s="35"/>
      <c r="C14000" s="36"/>
      <c r="D14000" s="37"/>
      <c r="E14000" s="36"/>
      <c r="F14000" s="42"/>
      <c r="G14000" s="42"/>
      <c r="H14000" s="42"/>
      <c r="AG14000" s="19"/>
    </row>
    <row r="14001" spans="1:33" ht="14.5" x14ac:dyDescent="0.35">
      <c r="A14001" s="34"/>
      <c r="B14001" s="35"/>
      <c r="C14001" s="36"/>
      <c r="D14001" s="37"/>
      <c r="E14001" s="36"/>
      <c r="F14001" s="42"/>
      <c r="G14001" s="42"/>
      <c r="H14001" s="42"/>
      <c r="AG14001" s="19"/>
    </row>
    <row r="14002" spans="1:33" ht="14.5" x14ac:dyDescent="0.35">
      <c r="A14002" s="34"/>
      <c r="B14002" s="35"/>
      <c r="C14002" s="36"/>
      <c r="D14002" s="37"/>
      <c r="E14002" s="36"/>
      <c r="F14002" s="42"/>
      <c r="G14002" s="42"/>
      <c r="H14002" s="42"/>
      <c r="AG14002" s="19"/>
    </row>
    <row r="14003" spans="1:33" ht="14.5" x14ac:dyDescent="0.35">
      <c r="A14003" s="34"/>
      <c r="B14003" s="35"/>
      <c r="C14003" s="36"/>
      <c r="D14003" s="37"/>
      <c r="E14003" s="36"/>
      <c r="F14003" s="42"/>
      <c r="G14003" s="42"/>
      <c r="H14003" s="42"/>
      <c r="AG14003" s="19"/>
    </row>
    <row r="14004" spans="1:33" ht="14.5" x14ac:dyDescent="0.35">
      <c r="A14004" s="34"/>
      <c r="B14004" s="35"/>
      <c r="C14004" s="36"/>
      <c r="D14004" s="37"/>
      <c r="E14004" s="36"/>
      <c r="F14004" s="42"/>
      <c r="G14004" s="42"/>
      <c r="H14004" s="42"/>
      <c r="AG14004" s="19"/>
    </row>
    <row r="14005" spans="1:33" ht="14.5" x14ac:dyDescent="0.35">
      <c r="A14005" s="34"/>
      <c r="B14005" s="35"/>
      <c r="C14005" s="36"/>
      <c r="D14005" s="37"/>
      <c r="E14005" s="36"/>
      <c r="F14005" s="42"/>
      <c r="G14005" s="42"/>
      <c r="H14005" s="42"/>
      <c r="AG14005" s="19"/>
    </row>
    <row r="14006" spans="1:33" ht="14.5" x14ac:dyDescent="0.35">
      <c r="A14006" s="34"/>
      <c r="B14006" s="35"/>
      <c r="C14006" s="36"/>
      <c r="D14006" s="37"/>
      <c r="E14006" s="36"/>
      <c r="F14006" s="42"/>
      <c r="G14006" s="42"/>
      <c r="H14006" s="42"/>
      <c r="AG14006" s="19"/>
    </row>
    <row r="14007" spans="1:33" ht="14.5" x14ac:dyDescent="0.35">
      <c r="A14007" s="34"/>
      <c r="B14007" s="35"/>
      <c r="C14007" s="36"/>
      <c r="D14007" s="37"/>
      <c r="E14007" s="36"/>
      <c r="F14007" s="42"/>
      <c r="G14007" s="42"/>
      <c r="H14007" s="42"/>
      <c r="AG14007" s="19"/>
    </row>
    <row r="14008" spans="1:33" ht="14.5" x14ac:dyDescent="0.35">
      <c r="A14008" s="34"/>
      <c r="B14008" s="35"/>
      <c r="C14008" s="36"/>
      <c r="D14008" s="37"/>
      <c r="E14008" s="36"/>
      <c r="F14008" s="42"/>
      <c r="G14008" s="42"/>
      <c r="H14008" s="42"/>
      <c r="AG14008" s="19"/>
    </row>
    <row r="14009" spans="1:33" ht="14.5" x14ac:dyDescent="0.35">
      <c r="A14009" s="34"/>
      <c r="B14009" s="35"/>
      <c r="C14009" s="36"/>
      <c r="D14009" s="37"/>
      <c r="E14009" s="36"/>
      <c r="F14009" s="42"/>
      <c r="G14009" s="42"/>
      <c r="H14009" s="42"/>
      <c r="AG14009" s="19"/>
    </row>
    <row r="14010" spans="1:33" ht="14.5" x14ac:dyDescent="0.35">
      <c r="A14010" s="34"/>
      <c r="B14010" s="35"/>
      <c r="C14010" s="36"/>
      <c r="D14010" s="37"/>
      <c r="E14010" s="36"/>
      <c r="F14010" s="42"/>
      <c r="G14010" s="42"/>
      <c r="H14010" s="42"/>
      <c r="AG14010" s="19"/>
    </row>
    <row r="14011" spans="1:33" ht="14.5" x14ac:dyDescent="0.35">
      <c r="A14011" s="34"/>
      <c r="B14011" s="35"/>
      <c r="C14011" s="36"/>
      <c r="D14011" s="37"/>
      <c r="E14011" s="36"/>
      <c r="F14011" s="42"/>
      <c r="G14011" s="42"/>
      <c r="H14011" s="42"/>
      <c r="AG14011" s="19"/>
    </row>
    <row r="14012" spans="1:33" ht="14.5" x14ac:dyDescent="0.35">
      <c r="A14012" s="34"/>
      <c r="B14012" s="35"/>
      <c r="C14012" s="36"/>
      <c r="D14012" s="37"/>
      <c r="E14012" s="36"/>
      <c r="F14012" s="42"/>
      <c r="G14012" s="42"/>
      <c r="H14012" s="42"/>
      <c r="AG14012" s="19"/>
    </row>
    <row r="14013" spans="1:33" ht="14.5" x14ac:dyDescent="0.35">
      <c r="A14013" s="34"/>
      <c r="B14013" s="35"/>
      <c r="C14013" s="36"/>
      <c r="D14013" s="37"/>
      <c r="E14013" s="36"/>
      <c r="F14013" s="42"/>
      <c r="G14013" s="42"/>
      <c r="H14013" s="42"/>
      <c r="AG14013" s="19"/>
    </row>
    <row r="14014" spans="1:33" ht="14.5" x14ac:dyDescent="0.35">
      <c r="A14014" s="34"/>
      <c r="B14014" s="35"/>
      <c r="C14014" s="36"/>
      <c r="D14014" s="37"/>
      <c r="E14014" s="36"/>
      <c r="F14014" s="42"/>
      <c r="G14014" s="42"/>
      <c r="H14014" s="42"/>
      <c r="AG14014" s="19"/>
    </row>
    <row r="14015" spans="1:33" ht="14.5" x14ac:dyDescent="0.35">
      <c r="A14015" s="34"/>
      <c r="B14015" s="35"/>
      <c r="C14015" s="36"/>
      <c r="D14015" s="37"/>
      <c r="E14015" s="36"/>
      <c r="F14015" s="42"/>
      <c r="G14015" s="42"/>
      <c r="H14015" s="42"/>
      <c r="AG14015" s="19"/>
    </row>
    <row r="14016" spans="1:33" ht="14.5" x14ac:dyDescent="0.35">
      <c r="A14016" s="34"/>
      <c r="B14016" s="35"/>
      <c r="C14016" s="36"/>
      <c r="D14016" s="37"/>
      <c r="E14016" s="36"/>
      <c r="F14016" s="42"/>
      <c r="G14016" s="42"/>
      <c r="H14016" s="42"/>
      <c r="AG14016" s="19"/>
    </row>
    <row r="14017" spans="1:33" ht="14.5" x14ac:dyDescent="0.35">
      <c r="A14017" s="34"/>
      <c r="B14017" s="35"/>
      <c r="C14017" s="36"/>
      <c r="D14017" s="37"/>
      <c r="E14017" s="36"/>
      <c r="F14017" s="42"/>
      <c r="G14017" s="42"/>
      <c r="H14017" s="42"/>
      <c r="AG14017" s="19"/>
    </row>
    <row r="14018" spans="1:33" ht="14.5" x14ac:dyDescent="0.35">
      <c r="A14018" s="34"/>
      <c r="B14018" s="35"/>
      <c r="C14018" s="36"/>
      <c r="D14018" s="37"/>
      <c r="E14018" s="36"/>
      <c r="F14018" s="42"/>
      <c r="G14018" s="42"/>
      <c r="H14018" s="42"/>
      <c r="AG14018" s="19"/>
    </row>
    <row r="14019" spans="1:33" ht="14.5" x14ac:dyDescent="0.35">
      <c r="A14019" s="34"/>
      <c r="B14019" s="35"/>
      <c r="C14019" s="36"/>
      <c r="D14019" s="37"/>
      <c r="E14019" s="36"/>
      <c r="F14019" s="42"/>
      <c r="G14019" s="42"/>
      <c r="H14019" s="42"/>
      <c r="AG14019" s="19"/>
    </row>
    <row r="14020" spans="1:33" ht="14.5" x14ac:dyDescent="0.35">
      <c r="A14020" s="34"/>
      <c r="B14020" s="35"/>
      <c r="C14020" s="36"/>
      <c r="D14020" s="37"/>
      <c r="E14020" s="36"/>
      <c r="F14020" s="42"/>
      <c r="G14020" s="42"/>
      <c r="H14020" s="42"/>
      <c r="AG14020" s="19"/>
    </row>
    <row r="14021" spans="1:33" ht="14.5" x14ac:dyDescent="0.35">
      <c r="A14021" s="34"/>
      <c r="B14021" s="35"/>
      <c r="C14021" s="36"/>
      <c r="D14021" s="37"/>
      <c r="E14021" s="36"/>
      <c r="F14021" s="42"/>
      <c r="G14021" s="42"/>
      <c r="H14021" s="42"/>
      <c r="AG14021" s="19"/>
    </row>
    <row r="14022" spans="1:33" ht="14.5" x14ac:dyDescent="0.35">
      <c r="A14022" s="34"/>
      <c r="B14022" s="35"/>
      <c r="C14022" s="36"/>
      <c r="D14022" s="37"/>
      <c r="E14022" s="36"/>
      <c r="F14022" s="42"/>
      <c r="G14022" s="42"/>
      <c r="H14022" s="42"/>
      <c r="AG14022" s="19"/>
    </row>
    <row r="14023" spans="1:33" ht="14.5" x14ac:dyDescent="0.35">
      <c r="A14023" s="34"/>
      <c r="B14023" s="35"/>
      <c r="C14023" s="36"/>
      <c r="D14023" s="37"/>
      <c r="E14023" s="36"/>
      <c r="F14023" s="42"/>
      <c r="G14023" s="42"/>
      <c r="H14023" s="42"/>
      <c r="AG14023" s="19"/>
    </row>
    <row r="14024" spans="1:33" ht="14.5" x14ac:dyDescent="0.35">
      <c r="A14024" s="34"/>
      <c r="B14024" s="35"/>
      <c r="C14024" s="36"/>
      <c r="D14024" s="37"/>
      <c r="E14024" s="36"/>
      <c r="F14024" s="42"/>
      <c r="G14024" s="42"/>
      <c r="H14024" s="42"/>
      <c r="AG14024" s="19"/>
    </row>
    <row r="14025" spans="1:33" ht="14.5" x14ac:dyDescent="0.35">
      <c r="A14025" s="34"/>
      <c r="B14025" s="35"/>
      <c r="C14025" s="36"/>
      <c r="D14025" s="37"/>
      <c r="E14025" s="36"/>
      <c r="F14025" s="42"/>
      <c r="G14025" s="42"/>
      <c r="H14025" s="42"/>
      <c r="AG14025" s="19"/>
    </row>
    <row r="14026" spans="1:33" ht="14.5" x14ac:dyDescent="0.35">
      <c r="A14026" s="34"/>
      <c r="B14026" s="35"/>
      <c r="C14026" s="36"/>
      <c r="D14026" s="37"/>
      <c r="E14026" s="36"/>
      <c r="F14026" s="42"/>
      <c r="G14026" s="42"/>
      <c r="H14026" s="42"/>
      <c r="AG14026" s="19"/>
    </row>
    <row r="14027" spans="1:33" ht="14.5" x14ac:dyDescent="0.35">
      <c r="A14027" s="34"/>
      <c r="B14027" s="35"/>
      <c r="C14027" s="36"/>
      <c r="D14027" s="37"/>
      <c r="E14027" s="36"/>
      <c r="F14027" s="42"/>
      <c r="G14027" s="42"/>
      <c r="H14027" s="42"/>
      <c r="AG14027" s="19"/>
    </row>
    <row r="14028" spans="1:33" ht="14.5" x14ac:dyDescent="0.35">
      <c r="A14028" s="34"/>
      <c r="B14028" s="35"/>
      <c r="C14028" s="36"/>
      <c r="D14028" s="37"/>
      <c r="E14028" s="36"/>
      <c r="F14028" s="42"/>
      <c r="G14028" s="42"/>
      <c r="H14028" s="42"/>
      <c r="AG14028" s="19"/>
    </row>
    <row r="14029" spans="1:33" ht="14.5" x14ac:dyDescent="0.35">
      <c r="A14029" s="34"/>
      <c r="B14029" s="35"/>
      <c r="C14029" s="36"/>
      <c r="D14029" s="37"/>
      <c r="E14029" s="36"/>
      <c r="F14029" s="42"/>
      <c r="G14029" s="42"/>
      <c r="H14029" s="42"/>
      <c r="AG14029" s="19"/>
    </row>
    <row r="14030" spans="1:33" ht="14.5" x14ac:dyDescent="0.35">
      <c r="A14030" s="34"/>
      <c r="B14030" s="35"/>
      <c r="C14030" s="36"/>
      <c r="D14030" s="37"/>
      <c r="E14030" s="36"/>
      <c r="F14030" s="42"/>
      <c r="G14030" s="42"/>
      <c r="H14030" s="42"/>
      <c r="AG14030" s="19"/>
    </row>
    <row r="14031" spans="1:33" ht="14.5" x14ac:dyDescent="0.35">
      <c r="A14031" s="34"/>
      <c r="B14031" s="35"/>
      <c r="C14031" s="36"/>
      <c r="D14031" s="37"/>
      <c r="E14031" s="36"/>
      <c r="F14031" s="42"/>
      <c r="G14031" s="42"/>
      <c r="H14031" s="42"/>
      <c r="AG14031" s="19"/>
    </row>
    <row r="14032" spans="1:33" ht="14.5" x14ac:dyDescent="0.35">
      <c r="A14032" s="34"/>
      <c r="B14032" s="35"/>
      <c r="C14032" s="36"/>
      <c r="D14032" s="37"/>
      <c r="E14032" s="36"/>
      <c r="F14032" s="42"/>
      <c r="G14032" s="42"/>
      <c r="H14032" s="42"/>
      <c r="AG14032" s="19"/>
    </row>
    <row r="14033" spans="1:33" ht="14.5" x14ac:dyDescent="0.35">
      <c r="A14033" s="34"/>
      <c r="B14033" s="35"/>
      <c r="C14033" s="36"/>
      <c r="D14033" s="37"/>
      <c r="E14033" s="36"/>
      <c r="F14033" s="42"/>
      <c r="G14033" s="42"/>
      <c r="H14033" s="42"/>
      <c r="AG14033" s="19"/>
    </row>
    <row r="14034" spans="1:33" ht="14.5" x14ac:dyDescent="0.35">
      <c r="A14034" s="34"/>
      <c r="B14034" s="35"/>
      <c r="C14034" s="36"/>
      <c r="D14034" s="37"/>
      <c r="E14034" s="36"/>
      <c r="F14034" s="42"/>
      <c r="G14034" s="42"/>
      <c r="H14034" s="42"/>
      <c r="AG14034" s="19"/>
    </row>
    <row r="14035" spans="1:33" ht="14.5" x14ac:dyDescent="0.35">
      <c r="A14035" s="34"/>
      <c r="B14035" s="35"/>
      <c r="C14035" s="36"/>
      <c r="D14035" s="37"/>
      <c r="E14035" s="36"/>
      <c r="F14035" s="42"/>
      <c r="G14035" s="42"/>
      <c r="H14035" s="42"/>
      <c r="AG14035" s="19"/>
    </row>
    <row r="14036" spans="1:33" ht="14.5" x14ac:dyDescent="0.35">
      <c r="A14036" s="34"/>
      <c r="B14036" s="35"/>
      <c r="C14036" s="36"/>
      <c r="D14036" s="37"/>
      <c r="E14036" s="36"/>
      <c r="F14036" s="42"/>
      <c r="G14036" s="42"/>
      <c r="H14036" s="42"/>
      <c r="AG14036" s="19"/>
    </row>
    <row r="14037" spans="1:33" ht="14.5" x14ac:dyDescent="0.35">
      <c r="A14037" s="34"/>
      <c r="B14037" s="35"/>
      <c r="C14037" s="36"/>
      <c r="D14037" s="37"/>
      <c r="E14037" s="36"/>
      <c r="F14037" s="42"/>
      <c r="G14037" s="42"/>
      <c r="H14037" s="42"/>
      <c r="AG14037" s="19"/>
    </row>
    <row r="14038" spans="1:33" ht="14.5" x14ac:dyDescent="0.35">
      <c r="A14038" s="34"/>
      <c r="B14038" s="35"/>
      <c r="C14038" s="36"/>
      <c r="D14038" s="37"/>
      <c r="E14038" s="36"/>
      <c r="F14038" s="42"/>
      <c r="G14038" s="42"/>
      <c r="H14038" s="42"/>
      <c r="AG14038" s="19"/>
    </row>
    <row r="14039" spans="1:33" ht="14.5" x14ac:dyDescent="0.35">
      <c r="A14039" s="34"/>
      <c r="B14039" s="35"/>
      <c r="C14039" s="36"/>
      <c r="D14039" s="37"/>
      <c r="E14039" s="36"/>
      <c r="F14039" s="42"/>
      <c r="G14039" s="42"/>
      <c r="H14039" s="42"/>
      <c r="AG14039" s="19"/>
    </row>
    <row r="14040" spans="1:33" ht="14.5" x14ac:dyDescent="0.35">
      <c r="A14040" s="34"/>
      <c r="B14040" s="35"/>
      <c r="C14040" s="36"/>
      <c r="D14040" s="37"/>
      <c r="E14040" s="36"/>
      <c r="F14040" s="42"/>
      <c r="G14040" s="42"/>
      <c r="H14040" s="42"/>
      <c r="AG14040" s="19"/>
    </row>
    <row r="14041" spans="1:33" ht="14.5" x14ac:dyDescent="0.35">
      <c r="A14041" s="34"/>
      <c r="B14041" s="35"/>
      <c r="C14041" s="36"/>
      <c r="D14041" s="37"/>
      <c r="E14041" s="36"/>
      <c r="F14041" s="42"/>
      <c r="G14041" s="42"/>
      <c r="H14041" s="42"/>
      <c r="AG14041" s="19"/>
    </row>
    <row r="14042" spans="1:33" ht="14.5" x14ac:dyDescent="0.35">
      <c r="A14042" s="34"/>
      <c r="B14042" s="35"/>
      <c r="C14042" s="36"/>
      <c r="D14042" s="37"/>
      <c r="E14042" s="36"/>
      <c r="F14042" s="42"/>
      <c r="G14042" s="42"/>
      <c r="H14042" s="42"/>
      <c r="AG14042" s="19"/>
    </row>
    <row r="14043" spans="1:33" ht="14.5" x14ac:dyDescent="0.35">
      <c r="A14043" s="34"/>
      <c r="B14043" s="35"/>
      <c r="C14043" s="36"/>
      <c r="D14043" s="37"/>
      <c r="E14043" s="36"/>
      <c r="F14043" s="42"/>
      <c r="G14043" s="42"/>
      <c r="H14043" s="42"/>
      <c r="AG14043" s="19"/>
    </row>
    <row r="14044" spans="1:33" ht="14.5" x14ac:dyDescent="0.35">
      <c r="A14044" s="34"/>
      <c r="B14044" s="35"/>
      <c r="C14044" s="36"/>
      <c r="D14044" s="37"/>
      <c r="E14044" s="36"/>
      <c r="F14044" s="42"/>
      <c r="G14044" s="42"/>
      <c r="H14044" s="42"/>
      <c r="AG14044" s="19"/>
    </row>
    <row r="14045" spans="1:33" ht="14.5" x14ac:dyDescent="0.35">
      <c r="A14045" s="34"/>
      <c r="B14045" s="35"/>
      <c r="C14045" s="36"/>
      <c r="D14045" s="37"/>
      <c r="E14045" s="36"/>
      <c r="F14045" s="42"/>
      <c r="G14045" s="42"/>
      <c r="H14045" s="42"/>
      <c r="AG14045" s="19"/>
    </row>
    <row r="14046" spans="1:33" ht="14.5" x14ac:dyDescent="0.35">
      <c r="A14046" s="34"/>
      <c r="B14046" s="35"/>
      <c r="C14046" s="36"/>
      <c r="D14046" s="37"/>
      <c r="E14046" s="36"/>
      <c r="F14046" s="42"/>
      <c r="G14046" s="42"/>
      <c r="H14046" s="42"/>
      <c r="AG14046" s="19"/>
    </row>
    <row r="14047" spans="1:33" ht="14.5" x14ac:dyDescent="0.35">
      <c r="A14047" s="34"/>
      <c r="B14047" s="35"/>
      <c r="C14047" s="36"/>
      <c r="D14047" s="37"/>
      <c r="E14047" s="36"/>
      <c r="F14047" s="42"/>
      <c r="G14047" s="42"/>
      <c r="H14047" s="42"/>
      <c r="AG14047" s="19"/>
    </row>
    <row r="14048" spans="1:33" ht="14.5" x14ac:dyDescent="0.35">
      <c r="A14048" s="34"/>
      <c r="B14048" s="35"/>
      <c r="C14048" s="36"/>
      <c r="D14048" s="37"/>
      <c r="E14048" s="36"/>
      <c r="F14048" s="42"/>
      <c r="G14048" s="42"/>
      <c r="H14048" s="42"/>
      <c r="AG14048" s="19"/>
    </row>
    <row r="14049" spans="1:33" ht="14.5" x14ac:dyDescent="0.35">
      <c r="A14049" s="34"/>
      <c r="B14049" s="35"/>
      <c r="C14049" s="36"/>
      <c r="D14049" s="37"/>
      <c r="E14049" s="36"/>
      <c r="F14049" s="42"/>
      <c r="G14049" s="42"/>
      <c r="H14049" s="42"/>
      <c r="AG14049" s="19"/>
    </row>
    <row r="14050" spans="1:33" ht="14.5" x14ac:dyDescent="0.35">
      <c r="A14050" s="34"/>
      <c r="B14050" s="35"/>
      <c r="C14050" s="36"/>
      <c r="D14050" s="37"/>
      <c r="E14050" s="36"/>
      <c r="F14050" s="42"/>
      <c r="G14050" s="42"/>
      <c r="H14050" s="42"/>
      <c r="AG14050" s="19"/>
    </row>
    <row r="14051" spans="1:33" ht="14.5" x14ac:dyDescent="0.35">
      <c r="A14051" s="34"/>
      <c r="B14051" s="35"/>
      <c r="C14051" s="36"/>
      <c r="D14051" s="37"/>
      <c r="E14051" s="36"/>
      <c r="F14051" s="42"/>
      <c r="G14051" s="42"/>
      <c r="H14051" s="42"/>
      <c r="AG14051" s="19"/>
    </row>
    <row r="14052" spans="1:33" ht="14.5" x14ac:dyDescent="0.35">
      <c r="A14052" s="34"/>
      <c r="B14052" s="35"/>
      <c r="C14052" s="36"/>
      <c r="D14052" s="37"/>
      <c r="E14052" s="36"/>
      <c r="F14052" s="42"/>
      <c r="G14052" s="42"/>
      <c r="H14052" s="42"/>
      <c r="AG14052" s="19"/>
    </row>
    <row r="14053" spans="1:33" ht="14.5" x14ac:dyDescent="0.35">
      <c r="A14053" s="34"/>
      <c r="B14053" s="35"/>
      <c r="C14053" s="36"/>
      <c r="D14053" s="37"/>
      <c r="E14053" s="36"/>
      <c r="F14053" s="42"/>
      <c r="G14053" s="42"/>
      <c r="H14053" s="42"/>
      <c r="AG14053" s="19"/>
    </row>
    <row r="14054" spans="1:33" ht="14.5" x14ac:dyDescent="0.35">
      <c r="A14054" s="34"/>
      <c r="B14054" s="35"/>
      <c r="C14054" s="36"/>
      <c r="D14054" s="37"/>
      <c r="E14054" s="36"/>
      <c r="F14054" s="42"/>
      <c r="G14054" s="42"/>
      <c r="H14054" s="42"/>
      <c r="AG14054" s="19"/>
    </row>
    <row r="14055" spans="1:33" ht="14.5" x14ac:dyDescent="0.35">
      <c r="A14055" s="34"/>
      <c r="B14055" s="35"/>
      <c r="C14055" s="36"/>
      <c r="D14055" s="37"/>
      <c r="E14055" s="36"/>
      <c r="F14055" s="42"/>
      <c r="G14055" s="42"/>
      <c r="H14055" s="42"/>
      <c r="AG14055" s="19"/>
    </row>
    <row r="14056" spans="1:33" ht="14.5" x14ac:dyDescent="0.35">
      <c r="A14056" s="34"/>
      <c r="B14056" s="35"/>
      <c r="C14056" s="36"/>
      <c r="D14056" s="37"/>
      <c r="E14056" s="36"/>
      <c r="F14056" s="42"/>
      <c r="G14056" s="42"/>
      <c r="H14056" s="42"/>
      <c r="AG14056" s="19"/>
    </row>
    <row r="14057" spans="1:33" ht="14.5" x14ac:dyDescent="0.35">
      <c r="A14057" s="34"/>
      <c r="B14057" s="35"/>
      <c r="C14057" s="36"/>
      <c r="D14057" s="37"/>
      <c r="E14057" s="36"/>
      <c r="F14057" s="42"/>
      <c r="G14057" s="42"/>
      <c r="H14057" s="42"/>
      <c r="AG14057" s="19"/>
    </row>
    <row r="14058" spans="1:33" ht="14.5" x14ac:dyDescent="0.35">
      <c r="A14058" s="34"/>
      <c r="B14058" s="35"/>
      <c r="C14058" s="36"/>
      <c r="D14058" s="37"/>
      <c r="E14058" s="36"/>
      <c r="F14058" s="42"/>
      <c r="G14058" s="42"/>
      <c r="H14058" s="42"/>
      <c r="AG14058" s="19"/>
    </row>
    <row r="14059" spans="1:33" ht="14.5" x14ac:dyDescent="0.35">
      <c r="A14059" s="34"/>
      <c r="B14059" s="35"/>
      <c r="C14059" s="36"/>
      <c r="D14059" s="37"/>
      <c r="E14059" s="36"/>
      <c r="F14059" s="42"/>
      <c r="G14059" s="42"/>
      <c r="H14059" s="42"/>
      <c r="AG14059" s="19"/>
    </row>
    <row r="14060" spans="1:33" ht="14.5" x14ac:dyDescent="0.35">
      <c r="A14060" s="34"/>
      <c r="B14060" s="35"/>
      <c r="C14060" s="36"/>
      <c r="D14060" s="37"/>
      <c r="E14060" s="36"/>
      <c r="F14060" s="42"/>
      <c r="G14060" s="42"/>
      <c r="H14060" s="42"/>
      <c r="AG14060" s="19"/>
    </row>
    <row r="14061" spans="1:33" ht="14.5" x14ac:dyDescent="0.35">
      <c r="A14061" s="34"/>
      <c r="B14061" s="35"/>
      <c r="C14061" s="36"/>
      <c r="D14061" s="37"/>
      <c r="E14061" s="36"/>
      <c r="F14061" s="42"/>
      <c r="G14061" s="42"/>
      <c r="H14061" s="42"/>
      <c r="AG14061" s="19"/>
    </row>
    <row r="14062" spans="1:33" ht="14.5" x14ac:dyDescent="0.35">
      <c r="A14062" s="34"/>
      <c r="B14062" s="35"/>
      <c r="C14062" s="36"/>
      <c r="D14062" s="37"/>
      <c r="E14062" s="36"/>
      <c r="F14062" s="42"/>
      <c r="G14062" s="42"/>
      <c r="H14062" s="42"/>
      <c r="AG14062" s="19"/>
    </row>
    <row r="14063" spans="1:33" ht="14.5" x14ac:dyDescent="0.35">
      <c r="A14063" s="34"/>
      <c r="B14063" s="35"/>
      <c r="C14063" s="36"/>
      <c r="D14063" s="37"/>
      <c r="E14063" s="36"/>
      <c r="F14063" s="42"/>
      <c r="G14063" s="42"/>
      <c r="H14063" s="42"/>
      <c r="AG14063" s="19"/>
    </row>
    <row r="14064" spans="1:33" ht="14.5" x14ac:dyDescent="0.35">
      <c r="A14064" s="34"/>
      <c r="B14064" s="35"/>
      <c r="C14064" s="36"/>
      <c r="D14064" s="37"/>
      <c r="E14064" s="36"/>
      <c r="F14064" s="42"/>
      <c r="G14064" s="42"/>
      <c r="H14064" s="42"/>
      <c r="AG14064" s="19"/>
    </row>
    <row r="14065" spans="1:33" ht="14.5" x14ac:dyDescent="0.35">
      <c r="A14065" s="34"/>
      <c r="B14065" s="35"/>
      <c r="C14065" s="36"/>
      <c r="D14065" s="37"/>
      <c r="E14065" s="36"/>
      <c r="F14065" s="42"/>
      <c r="G14065" s="42"/>
      <c r="H14065" s="42"/>
      <c r="AG14065" s="19"/>
    </row>
    <row r="14066" spans="1:33" ht="14.5" x14ac:dyDescent="0.35">
      <c r="A14066" s="34"/>
      <c r="B14066" s="35"/>
      <c r="C14066" s="36"/>
      <c r="D14066" s="37"/>
      <c r="E14066" s="36"/>
      <c r="F14066" s="42"/>
      <c r="G14066" s="42"/>
      <c r="H14066" s="42"/>
      <c r="AG14066" s="19"/>
    </row>
    <row r="14067" spans="1:33" ht="14.5" x14ac:dyDescent="0.35">
      <c r="A14067" s="34"/>
      <c r="B14067" s="35"/>
      <c r="C14067" s="36"/>
      <c r="D14067" s="37"/>
      <c r="E14067" s="36"/>
      <c r="F14067" s="42"/>
      <c r="G14067" s="42"/>
      <c r="H14067" s="42"/>
      <c r="AG14067" s="19"/>
    </row>
    <row r="14068" spans="1:33" ht="14.5" x14ac:dyDescent="0.35">
      <c r="A14068" s="34"/>
      <c r="B14068" s="35"/>
      <c r="C14068" s="36"/>
      <c r="D14068" s="37"/>
      <c r="E14068" s="36"/>
      <c r="F14068" s="42"/>
      <c r="G14068" s="42"/>
      <c r="H14068" s="42"/>
      <c r="AG14068" s="19"/>
    </row>
    <row r="14069" spans="1:33" ht="14.5" x14ac:dyDescent="0.35">
      <c r="A14069" s="34"/>
      <c r="B14069" s="35"/>
      <c r="C14069" s="36"/>
      <c r="D14069" s="37"/>
      <c r="E14069" s="36"/>
      <c r="F14069" s="42"/>
      <c r="G14069" s="42"/>
      <c r="H14069" s="42"/>
      <c r="AG14069" s="19"/>
    </row>
    <row r="14070" spans="1:33" ht="14.5" x14ac:dyDescent="0.35">
      <c r="A14070" s="34"/>
      <c r="B14070" s="35"/>
      <c r="C14070" s="36"/>
      <c r="D14070" s="37"/>
      <c r="E14070" s="36"/>
      <c r="F14070" s="42"/>
      <c r="G14070" s="42"/>
      <c r="H14070" s="42"/>
      <c r="AG14070" s="19"/>
    </row>
    <row r="14071" spans="1:33" ht="14.5" x14ac:dyDescent="0.35">
      <c r="A14071" s="34"/>
      <c r="B14071" s="35"/>
      <c r="C14071" s="36"/>
      <c r="D14071" s="37"/>
      <c r="E14071" s="36"/>
      <c r="F14071" s="42"/>
      <c r="G14071" s="42"/>
      <c r="H14071" s="42"/>
      <c r="AG14071" s="19"/>
    </row>
    <row r="14072" spans="1:33" ht="14.5" x14ac:dyDescent="0.35">
      <c r="A14072" s="34"/>
      <c r="B14072" s="35"/>
      <c r="C14072" s="36"/>
      <c r="D14072" s="37"/>
      <c r="E14072" s="36"/>
      <c r="F14072" s="42"/>
      <c r="G14072" s="42"/>
      <c r="H14072" s="42"/>
      <c r="AG14072" s="19"/>
    </row>
    <row r="14073" spans="1:33" ht="14.5" x14ac:dyDescent="0.35">
      <c r="A14073" s="34"/>
      <c r="B14073" s="35"/>
      <c r="C14073" s="36"/>
      <c r="D14073" s="37"/>
      <c r="E14073" s="36"/>
      <c r="F14073" s="42"/>
      <c r="G14073" s="42"/>
      <c r="H14073" s="42"/>
      <c r="AG14073" s="19"/>
    </row>
    <row r="14074" spans="1:33" ht="14.5" x14ac:dyDescent="0.35">
      <c r="A14074" s="34"/>
      <c r="B14074" s="35"/>
      <c r="C14074" s="36"/>
      <c r="D14074" s="37"/>
      <c r="E14074" s="36"/>
      <c r="F14074" s="42"/>
      <c r="G14074" s="42"/>
      <c r="H14074" s="42"/>
      <c r="AG14074" s="19"/>
    </row>
    <row r="14075" spans="1:33" ht="14.5" x14ac:dyDescent="0.35">
      <c r="A14075" s="34"/>
      <c r="B14075" s="35"/>
      <c r="C14075" s="36"/>
      <c r="D14075" s="37"/>
      <c r="E14075" s="36"/>
      <c r="F14075" s="42"/>
      <c r="G14075" s="42"/>
      <c r="H14075" s="42"/>
      <c r="AG14075" s="19"/>
    </row>
    <row r="14076" spans="1:33" ht="14.5" x14ac:dyDescent="0.35">
      <c r="A14076" s="34"/>
      <c r="B14076" s="35"/>
      <c r="C14076" s="36"/>
      <c r="D14076" s="37"/>
      <c r="E14076" s="36"/>
      <c r="F14076" s="42"/>
      <c r="G14076" s="42"/>
      <c r="H14076" s="42"/>
      <c r="AG14076" s="19"/>
    </row>
    <row r="14077" spans="1:33" ht="14.5" x14ac:dyDescent="0.35">
      <c r="A14077" s="34"/>
      <c r="B14077" s="35"/>
      <c r="C14077" s="36"/>
      <c r="D14077" s="37"/>
      <c r="E14077" s="36"/>
      <c r="F14077" s="42"/>
      <c r="G14077" s="42"/>
      <c r="H14077" s="42"/>
      <c r="AG14077" s="19"/>
    </row>
    <row r="14078" spans="1:33" ht="14.5" x14ac:dyDescent="0.35">
      <c r="A14078" s="34"/>
      <c r="B14078" s="35"/>
      <c r="C14078" s="36"/>
      <c r="D14078" s="37"/>
      <c r="E14078" s="36"/>
      <c r="F14078" s="42"/>
      <c r="G14078" s="42"/>
      <c r="H14078" s="42"/>
      <c r="AG14078" s="19"/>
    </row>
    <row r="14079" spans="1:33" ht="14.5" x14ac:dyDescent="0.35">
      <c r="A14079" s="34"/>
      <c r="B14079" s="35"/>
      <c r="C14079" s="36"/>
      <c r="D14079" s="37"/>
      <c r="E14079" s="36"/>
      <c r="F14079" s="42"/>
      <c r="G14079" s="42"/>
      <c r="H14079" s="42"/>
      <c r="AG14079" s="19"/>
    </row>
    <row r="14080" spans="1:33" ht="14.5" x14ac:dyDescent="0.35">
      <c r="A14080" s="34"/>
      <c r="B14080" s="35"/>
      <c r="C14080" s="36"/>
      <c r="D14080" s="37"/>
      <c r="E14080" s="36"/>
      <c r="F14080" s="42"/>
      <c r="G14080" s="42"/>
      <c r="H14080" s="42"/>
      <c r="AG14080" s="19"/>
    </row>
    <row r="14081" spans="1:33" ht="14.5" x14ac:dyDescent="0.35">
      <c r="A14081" s="34"/>
      <c r="B14081" s="35"/>
      <c r="C14081" s="36"/>
      <c r="D14081" s="37"/>
      <c r="E14081" s="36"/>
      <c r="F14081" s="42"/>
      <c r="G14081" s="42"/>
      <c r="H14081" s="42"/>
      <c r="AG14081" s="19"/>
    </row>
    <row r="14082" spans="1:33" ht="14.5" x14ac:dyDescent="0.35">
      <c r="A14082" s="34"/>
      <c r="B14082" s="35"/>
      <c r="C14082" s="36"/>
      <c r="D14082" s="37"/>
      <c r="E14082" s="36"/>
      <c r="F14082" s="42"/>
      <c r="G14082" s="42"/>
      <c r="H14082" s="42"/>
      <c r="AG14082" s="19"/>
    </row>
    <row r="14083" spans="1:33" ht="14.5" x14ac:dyDescent="0.35">
      <c r="A14083" s="34"/>
      <c r="B14083" s="35"/>
      <c r="C14083" s="36"/>
      <c r="D14083" s="37"/>
      <c r="E14083" s="36"/>
      <c r="F14083" s="42"/>
      <c r="G14083" s="42"/>
      <c r="H14083" s="42"/>
      <c r="AG14083" s="19"/>
    </row>
    <row r="14084" spans="1:33" ht="14.5" x14ac:dyDescent="0.35">
      <c r="A14084" s="34"/>
      <c r="B14084" s="35"/>
      <c r="C14084" s="36"/>
      <c r="D14084" s="37"/>
      <c r="E14084" s="36"/>
      <c r="F14084" s="42"/>
      <c r="G14084" s="42"/>
      <c r="H14084" s="42"/>
      <c r="AG14084" s="19"/>
    </row>
    <row r="14085" spans="1:33" ht="14.5" x14ac:dyDescent="0.35">
      <c r="A14085" s="34"/>
      <c r="B14085" s="35"/>
      <c r="C14085" s="36"/>
      <c r="D14085" s="37"/>
      <c r="E14085" s="36"/>
      <c r="F14085" s="42"/>
      <c r="G14085" s="42"/>
      <c r="H14085" s="42"/>
      <c r="AG14085" s="19"/>
    </row>
    <row r="14086" spans="1:33" ht="14.5" x14ac:dyDescent="0.35">
      <c r="A14086" s="34"/>
      <c r="B14086" s="35"/>
      <c r="C14086" s="36"/>
      <c r="D14086" s="37"/>
      <c r="E14086" s="36"/>
      <c r="F14086" s="42"/>
      <c r="G14086" s="42"/>
      <c r="H14086" s="42"/>
      <c r="AG14086" s="19"/>
    </row>
    <row r="14087" spans="1:33" ht="14.5" x14ac:dyDescent="0.35">
      <c r="A14087" s="34"/>
      <c r="B14087" s="35"/>
      <c r="C14087" s="36"/>
      <c r="D14087" s="37"/>
      <c r="E14087" s="36"/>
      <c r="F14087" s="42"/>
      <c r="G14087" s="42"/>
      <c r="H14087" s="42"/>
      <c r="AG14087" s="19"/>
    </row>
    <row r="14088" spans="1:33" ht="14.5" x14ac:dyDescent="0.35">
      <c r="A14088" s="34"/>
      <c r="B14088" s="35"/>
      <c r="C14088" s="36"/>
      <c r="D14088" s="37"/>
      <c r="E14088" s="36"/>
      <c r="F14088" s="42"/>
      <c r="G14088" s="42"/>
      <c r="H14088" s="42"/>
      <c r="AG14088" s="19"/>
    </row>
    <row r="14089" spans="1:33" ht="14.5" x14ac:dyDescent="0.35">
      <c r="A14089" s="34"/>
      <c r="B14089" s="35"/>
      <c r="C14089" s="36"/>
      <c r="D14089" s="37"/>
      <c r="E14089" s="36"/>
      <c r="F14089" s="42"/>
      <c r="G14089" s="42"/>
      <c r="H14089" s="42"/>
      <c r="AG14089" s="19"/>
    </row>
    <row r="14090" spans="1:33" ht="14.5" x14ac:dyDescent="0.35">
      <c r="A14090" s="34"/>
      <c r="B14090" s="35"/>
      <c r="C14090" s="36"/>
      <c r="D14090" s="37"/>
      <c r="E14090" s="36"/>
      <c r="F14090" s="42"/>
      <c r="G14090" s="42"/>
      <c r="H14090" s="42"/>
      <c r="AG14090" s="19"/>
    </row>
    <row r="14091" spans="1:33" ht="14.5" x14ac:dyDescent="0.35">
      <c r="A14091" s="34"/>
      <c r="B14091" s="35"/>
      <c r="C14091" s="36"/>
      <c r="D14091" s="37"/>
      <c r="E14091" s="36"/>
      <c r="F14091" s="42"/>
      <c r="G14091" s="42"/>
      <c r="H14091" s="42"/>
      <c r="AG14091" s="19"/>
    </row>
    <row r="14092" spans="1:33" ht="14.5" x14ac:dyDescent="0.35">
      <c r="A14092" s="34"/>
      <c r="B14092" s="35"/>
      <c r="C14092" s="36"/>
      <c r="D14092" s="37"/>
      <c r="E14092" s="36"/>
      <c r="F14092" s="42"/>
      <c r="G14092" s="42"/>
      <c r="H14092" s="42"/>
      <c r="AG14092" s="19"/>
    </row>
    <row r="14093" spans="1:33" ht="14.5" x14ac:dyDescent="0.35">
      <c r="A14093" s="34"/>
      <c r="B14093" s="35"/>
      <c r="C14093" s="36"/>
      <c r="D14093" s="37"/>
      <c r="E14093" s="36"/>
      <c r="F14093" s="42"/>
      <c r="G14093" s="42"/>
      <c r="H14093" s="42"/>
      <c r="AG14093" s="19"/>
    </row>
    <row r="14094" spans="1:33" ht="14.5" x14ac:dyDescent="0.35">
      <c r="A14094" s="34"/>
      <c r="B14094" s="35"/>
      <c r="C14094" s="36"/>
      <c r="D14094" s="37"/>
      <c r="E14094" s="36"/>
      <c r="F14094" s="42"/>
      <c r="G14094" s="42"/>
      <c r="H14094" s="42"/>
      <c r="AG14094" s="19"/>
    </row>
    <row r="14095" spans="1:33" ht="14.5" x14ac:dyDescent="0.35">
      <c r="A14095" s="34"/>
      <c r="B14095" s="35"/>
      <c r="C14095" s="36"/>
      <c r="D14095" s="37"/>
      <c r="E14095" s="36"/>
      <c r="F14095" s="42"/>
      <c r="G14095" s="42"/>
      <c r="H14095" s="42"/>
      <c r="AG14095" s="19"/>
    </row>
    <row r="14096" spans="1:33" ht="14.5" x14ac:dyDescent="0.35">
      <c r="A14096" s="34"/>
      <c r="B14096" s="35"/>
      <c r="C14096" s="36"/>
      <c r="D14096" s="37"/>
      <c r="E14096" s="36"/>
      <c r="F14096" s="42"/>
      <c r="G14096" s="42"/>
      <c r="H14096" s="42"/>
      <c r="AG14096" s="19"/>
    </row>
    <row r="14097" spans="1:33" ht="14.5" x14ac:dyDescent="0.35">
      <c r="A14097" s="34"/>
      <c r="B14097" s="35"/>
      <c r="C14097" s="36"/>
      <c r="D14097" s="37"/>
      <c r="E14097" s="36"/>
      <c r="F14097" s="42"/>
      <c r="G14097" s="42"/>
      <c r="H14097" s="42"/>
      <c r="AG14097" s="19"/>
    </row>
    <row r="14098" spans="1:33" ht="14.5" x14ac:dyDescent="0.35">
      <c r="A14098" s="34"/>
      <c r="B14098" s="35"/>
      <c r="C14098" s="36"/>
      <c r="D14098" s="37"/>
      <c r="E14098" s="36"/>
      <c r="F14098" s="42"/>
      <c r="G14098" s="42"/>
      <c r="H14098" s="42"/>
      <c r="AG14098" s="19"/>
    </row>
    <row r="14099" spans="1:33" ht="14.5" x14ac:dyDescent="0.35">
      <c r="A14099" s="34"/>
      <c r="B14099" s="35"/>
      <c r="C14099" s="36"/>
      <c r="D14099" s="37"/>
      <c r="E14099" s="36"/>
      <c r="F14099" s="42"/>
      <c r="G14099" s="42"/>
      <c r="H14099" s="42"/>
      <c r="AG14099" s="19"/>
    </row>
    <row r="14100" spans="1:33" ht="14.5" x14ac:dyDescent="0.35">
      <c r="A14100" s="34"/>
      <c r="B14100" s="35"/>
      <c r="C14100" s="36"/>
      <c r="D14100" s="37"/>
      <c r="E14100" s="36"/>
      <c r="F14100" s="42"/>
      <c r="G14100" s="42"/>
      <c r="H14100" s="42"/>
      <c r="AG14100" s="19"/>
    </row>
    <row r="14101" spans="1:33" ht="14.5" x14ac:dyDescent="0.35">
      <c r="A14101" s="34"/>
      <c r="B14101" s="35"/>
      <c r="C14101" s="36"/>
      <c r="D14101" s="37"/>
      <c r="E14101" s="36"/>
      <c r="F14101" s="42"/>
      <c r="G14101" s="42"/>
      <c r="H14101" s="42"/>
      <c r="AG14101" s="19"/>
    </row>
    <row r="14102" spans="1:33" ht="14.5" x14ac:dyDescent="0.35">
      <c r="A14102" s="34"/>
      <c r="B14102" s="35"/>
      <c r="C14102" s="36"/>
      <c r="D14102" s="37"/>
      <c r="E14102" s="36"/>
      <c r="F14102" s="42"/>
      <c r="G14102" s="42"/>
      <c r="H14102" s="42"/>
      <c r="AG14102" s="19"/>
    </row>
    <row r="14103" spans="1:33" ht="14.5" x14ac:dyDescent="0.35">
      <c r="A14103" s="34"/>
      <c r="B14103" s="35"/>
      <c r="C14103" s="36"/>
      <c r="D14103" s="37"/>
      <c r="E14103" s="36"/>
      <c r="F14103" s="42"/>
      <c r="G14103" s="42"/>
      <c r="H14103" s="42"/>
      <c r="AG14103" s="19"/>
    </row>
    <row r="14104" spans="1:33" ht="14.5" x14ac:dyDescent="0.35">
      <c r="A14104" s="34"/>
      <c r="B14104" s="35"/>
      <c r="C14104" s="36"/>
      <c r="D14104" s="37"/>
      <c r="E14104" s="36"/>
      <c r="F14104" s="42"/>
      <c r="G14104" s="42"/>
      <c r="H14104" s="42"/>
      <c r="AG14104" s="19"/>
    </row>
    <row r="14105" spans="1:33" ht="14.5" x14ac:dyDescent="0.35">
      <c r="A14105" s="34"/>
      <c r="B14105" s="35"/>
      <c r="C14105" s="36"/>
      <c r="D14105" s="37"/>
      <c r="E14105" s="36"/>
      <c r="F14105" s="42"/>
      <c r="G14105" s="42"/>
      <c r="H14105" s="42"/>
      <c r="AG14105" s="19"/>
    </row>
    <row r="14106" spans="1:33" ht="14.5" x14ac:dyDescent="0.35">
      <c r="A14106" s="34"/>
      <c r="B14106" s="35"/>
      <c r="C14106" s="36"/>
      <c r="D14106" s="37"/>
      <c r="E14106" s="36"/>
      <c r="F14106" s="42"/>
      <c r="G14106" s="42"/>
      <c r="H14106" s="42"/>
      <c r="AG14106" s="19"/>
    </row>
    <row r="14107" spans="1:33" ht="14.5" x14ac:dyDescent="0.35">
      <c r="A14107" s="34"/>
      <c r="B14107" s="35"/>
      <c r="C14107" s="36"/>
      <c r="D14107" s="37"/>
      <c r="E14107" s="36"/>
      <c r="F14107" s="42"/>
      <c r="G14107" s="42"/>
      <c r="H14107" s="42"/>
      <c r="AG14107" s="19"/>
    </row>
    <row r="14108" spans="1:33" ht="14.5" x14ac:dyDescent="0.35">
      <c r="A14108" s="34"/>
      <c r="B14108" s="35"/>
      <c r="C14108" s="36"/>
      <c r="D14108" s="37"/>
      <c r="E14108" s="36"/>
      <c r="F14108" s="42"/>
      <c r="G14108" s="42"/>
      <c r="H14108" s="42"/>
      <c r="AG14108" s="19"/>
    </row>
    <row r="14109" spans="1:33" ht="14.5" x14ac:dyDescent="0.35">
      <c r="A14109" s="34"/>
      <c r="B14109" s="35"/>
      <c r="C14109" s="36"/>
      <c r="D14109" s="37"/>
      <c r="E14109" s="36"/>
      <c r="F14109" s="42"/>
      <c r="G14109" s="42"/>
      <c r="H14109" s="42"/>
      <c r="AG14109" s="19"/>
    </row>
    <row r="14110" spans="1:33" ht="14.5" x14ac:dyDescent="0.35">
      <c r="A14110" s="34"/>
      <c r="B14110" s="35"/>
      <c r="C14110" s="36"/>
      <c r="D14110" s="37"/>
      <c r="E14110" s="36"/>
      <c r="F14110" s="42"/>
      <c r="G14110" s="42"/>
      <c r="H14110" s="42"/>
      <c r="AG14110" s="19"/>
    </row>
    <row r="14111" spans="1:33" ht="14.5" x14ac:dyDescent="0.35">
      <c r="A14111" s="34"/>
      <c r="B14111" s="35"/>
      <c r="C14111" s="36"/>
      <c r="D14111" s="37"/>
      <c r="E14111" s="36"/>
      <c r="F14111" s="42"/>
      <c r="G14111" s="42"/>
      <c r="H14111" s="42"/>
      <c r="AG14111" s="19"/>
    </row>
    <row r="14112" spans="1:33" ht="14.5" x14ac:dyDescent="0.35">
      <c r="A14112" s="34"/>
      <c r="B14112" s="35"/>
      <c r="C14112" s="36"/>
      <c r="D14112" s="37"/>
      <c r="E14112" s="36"/>
      <c r="F14112" s="42"/>
      <c r="G14112" s="42"/>
      <c r="H14112" s="42"/>
      <c r="AG14112" s="19"/>
    </row>
    <row r="14113" spans="1:33" ht="14.5" x14ac:dyDescent="0.35">
      <c r="A14113" s="34"/>
      <c r="B14113" s="35"/>
      <c r="C14113" s="36"/>
      <c r="D14113" s="37"/>
      <c r="E14113" s="36"/>
      <c r="F14113" s="42"/>
      <c r="G14113" s="42"/>
      <c r="H14113" s="42"/>
      <c r="AG14113" s="19"/>
    </row>
    <row r="14114" spans="1:33" ht="14.5" x14ac:dyDescent="0.35">
      <c r="A14114" s="34"/>
      <c r="B14114" s="35"/>
      <c r="C14114" s="36"/>
      <c r="D14114" s="37"/>
      <c r="E14114" s="36"/>
      <c r="F14114" s="42"/>
      <c r="G14114" s="42"/>
      <c r="H14114" s="42"/>
      <c r="AG14114" s="19"/>
    </row>
    <row r="14115" spans="1:33" ht="14.5" x14ac:dyDescent="0.35">
      <c r="A14115" s="34"/>
      <c r="B14115" s="35"/>
      <c r="C14115" s="36"/>
      <c r="D14115" s="37"/>
      <c r="E14115" s="36"/>
      <c r="F14115" s="42"/>
      <c r="G14115" s="42"/>
      <c r="H14115" s="42"/>
      <c r="AG14115" s="19"/>
    </row>
    <row r="14116" spans="1:33" ht="14.5" x14ac:dyDescent="0.35">
      <c r="A14116" s="34"/>
      <c r="B14116" s="35"/>
      <c r="C14116" s="36"/>
      <c r="D14116" s="37"/>
      <c r="E14116" s="36"/>
      <c r="F14116" s="42"/>
      <c r="G14116" s="42"/>
      <c r="H14116" s="42"/>
      <c r="AG14116" s="19"/>
    </row>
    <row r="14117" spans="1:33" ht="14.5" x14ac:dyDescent="0.35">
      <c r="A14117" s="34"/>
      <c r="B14117" s="35"/>
      <c r="C14117" s="36"/>
      <c r="D14117" s="37"/>
      <c r="E14117" s="36"/>
      <c r="F14117" s="42"/>
      <c r="G14117" s="42"/>
      <c r="H14117" s="42"/>
      <c r="AG14117" s="19"/>
    </row>
    <row r="14118" spans="1:33" ht="14.5" x14ac:dyDescent="0.35">
      <c r="A14118" s="34"/>
      <c r="B14118" s="35"/>
      <c r="C14118" s="36"/>
      <c r="D14118" s="37"/>
      <c r="E14118" s="36"/>
      <c r="F14118" s="42"/>
      <c r="G14118" s="42"/>
      <c r="H14118" s="42"/>
      <c r="AG14118" s="19"/>
    </row>
    <row r="14119" spans="1:33" ht="14.5" x14ac:dyDescent="0.35">
      <c r="A14119" s="34"/>
      <c r="B14119" s="35"/>
      <c r="C14119" s="36"/>
      <c r="D14119" s="37"/>
      <c r="E14119" s="36"/>
      <c r="F14119" s="42"/>
      <c r="G14119" s="42"/>
      <c r="H14119" s="42"/>
      <c r="AG14119" s="19"/>
    </row>
    <row r="14120" spans="1:33" ht="14.5" x14ac:dyDescent="0.35">
      <c r="A14120" s="34"/>
      <c r="B14120" s="35"/>
      <c r="C14120" s="36"/>
      <c r="D14120" s="37"/>
      <c r="E14120" s="36"/>
      <c r="F14120" s="42"/>
      <c r="G14120" s="42"/>
      <c r="H14120" s="42"/>
      <c r="AG14120" s="19"/>
    </row>
    <row r="14121" spans="1:33" ht="14.5" x14ac:dyDescent="0.35">
      <c r="A14121" s="34"/>
      <c r="B14121" s="35"/>
      <c r="C14121" s="36"/>
      <c r="D14121" s="37"/>
      <c r="E14121" s="36"/>
      <c r="F14121" s="42"/>
      <c r="G14121" s="42"/>
      <c r="H14121" s="42"/>
      <c r="AG14121" s="19"/>
    </row>
    <row r="14122" spans="1:33" ht="14.5" x14ac:dyDescent="0.35">
      <c r="A14122" s="34"/>
      <c r="B14122" s="35"/>
      <c r="C14122" s="36"/>
      <c r="D14122" s="37"/>
      <c r="E14122" s="36"/>
      <c r="F14122" s="42"/>
      <c r="G14122" s="42"/>
      <c r="H14122" s="42"/>
      <c r="AG14122" s="19"/>
    </row>
    <row r="14123" spans="1:33" ht="14.5" x14ac:dyDescent="0.35">
      <c r="A14123" s="34"/>
      <c r="B14123" s="35"/>
      <c r="C14123" s="36"/>
      <c r="D14123" s="37"/>
      <c r="E14123" s="36"/>
      <c r="F14123" s="42"/>
      <c r="G14123" s="42"/>
      <c r="H14123" s="42"/>
      <c r="AG14123" s="19"/>
    </row>
    <row r="14124" spans="1:33" ht="14.5" x14ac:dyDescent="0.35">
      <c r="A14124" s="34"/>
      <c r="B14124" s="35"/>
      <c r="C14124" s="36"/>
      <c r="D14124" s="37"/>
      <c r="E14124" s="36"/>
      <c r="F14124" s="42"/>
      <c r="G14124" s="42"/>
      <c r="H14124" s="42"/>
      <c r="AG14124" s="19"/>
    </row>
    <row r="14125" spans="1:33" ht="14.5" x14ac:dyDescent="0.35">
      <c r="A14125" s="34"/>
      <c r="B14125" s="35"/>
      <c r="C14125" s="36"/>
      <c r="D14125" s="37"/>
      <c r="E14125" s="36"/>
      <c r="F14125" s="42"/>
      <c r="G14125" s="42"/>
      <c r="H14125" s="42"/>
      <c r="AG14125" s="19"/>
    </row>
    <row r="14126" spans="1:33" ht="14.5" x14ac:dyDescent="0.35">
      <c r="A14126" s="34"/>
      <c r="B14126" s="35"/>
      <c r="C14126" s="36"/>
      <c r="D14126" s="37"/>
      <c r="E14126" s="36"/>
      <c r="F14126" s="42"/>
      <c r="G14126" s="42"/>
      <c r="H14126" s="42"/>
      <c r="AG14126" s="19"/>
    </row>
    <row r="14127" spans="1:33" ht="14.5" x14ac:dyDescent="0.35">
      <c r="A14127" s="34"/>
      <c r="B14127" s="35"/>
      <c r="C14127" s="36"/>
      <c r="D14127" s="37"/>
      <c r="E14127" s="36"/>
      <c r="F14127" s="42"/>
      <c r="G14127" s="42"/>
      <c r="H14127" s="42"/>
      <c r="AG14127" s="19"/>
    </row>
    <row r="14128" spans="1:33" ht="14.5" x14ac:dyDescent="0.35">
      <c r="A14128" s="34"/>
      <c r="B14128" s="35"/>
      <c r="C14128" s="36"/>
      <c r="D14128" s="37"/>
      <c r="E14128" s="36"/>
      <c r="F14128" s="42"/>
      <c r="G14128" s="42"/>
      <c r="H14128" s="42"/>
      <c r="AG14128" s="19"/>
    </row>
    <row r="14129" spans="1:33" ht="14.5" x14ac:dyDescent="0.35">
      <c r="A14129" s="34"/>
      <c r="B14129" s="35"/>
      <c r="C14129" s="36"/>
      <c r="D14129" s="37"/>
      <c r="E14129" s="36"/>
      <c r="F14129" s="42"/>
      <c r="G14129" s="42"/>
      <c r="H14129" s="42"/>
      <c r="AG14129" s="19"/>
    </row>
    <row r="14130" spans="1:33" ht="14.5" x14ac:dyDescent="0.35">
      <c r="A14130" s="34"/>
      <c r="B14130" s="35"/>
      <c r="C14130" s="36"/>
      <c r="D14130" s="37"/>
      <c r="E14130" s="36"/>
      <c r="F14130" s="42"/>
      <c r="G14130" s="42"/>
      <c r="H14130" s="42"/>
      <c r="AG14130" s="19"/>
    </row>
    <row r="14131" spans="1:33" ht="14.5" x14ac:dyDescent="0.35">
      <c r="A14131" s="34"/>
      <c r="B14131" s="35"/>
      <c r="C14131" s="36"/>
      <c r="D14131" s="37"/>
      <c r="E14131" s="36"/>
      <c r="F14131" s="42"/>
      <c r="G14131" s="42"/>
      <c r="H14131" s="42"/>
      <c r="AG14131" s="19"/>
    </row>
    <row r="14132" spans="1:33" ht="14.5" x14ac:dyDescent="0.35">
      <c r="A14132" s="34"/>
      <c r="B14132" s="35"/>
      <c r="C14132" s="36"/>
      <c r="D14132" s="37"/>
      <c r="E14132" s="36"/>
      <c r="F14132" s="42"/>
      <c r="G14132" s="42"/>
      <c r="H14132" s="42"/>
      <c r="AG14132" s="19"/>
    </row>
    <row r="14133" spans="1:33" ht="14.5" x14ac:dyDescent="0.35">
      <c r="A14133" s="34"/>
      <c r="B14133" s="35"/>
      <c r="C14133" s="36"/>
      <c r="D14133" s="37"/>
      <c r="E14133" s="36"/>
      <c r="F14133" s="42"/>
      <c r="G14133" s="42"/>
      <c r="H14133" s="42"/>
      <c r="AG14133" s="19"/>
    </row>
    <row r="14134" spans="1:33" ht="14.5" x14ac:dyDescent="0.35">
      <c r="A14134" s="34"/>
      <c r="B14134" s="35"/>
      <c r="C14134" s="36"/>
      <c r="D14134" s="37"/>
      <c r="E14134" s="36"/>
      <c r="F14134" s="42"/>
      <c r="G14134" s="42"/>
      <c r="H14134" s="42"/>
      <c r="AG14134" s="19"/>
    </row>
    <row r="14135" spans="1:33" ht="14.5" x14ac:dyDescent="0.35">
      <c r="A14135" s="34"/>
      <c r="B14135" s="35"/>
      <c r="C14135" s="36"/>
      <c r="D14135" s="37"/>
      <c r="E14135" s="36"/>
      <c r="F14135" s="42"/>
      <c r="G14135" s="42"/>
      <c r="H14135" s="42"/>
      <c r="AG14135" s="19"/>
    </row>
    <row r="14136" spans="1:33" ht="14.5" x14ac:dyDescent="0.35">
      <c r="A14136" s="34"/>
      <c r="B14136" s="35"/>
      <c r="C14136" s="36"/>
      <c r="D14136" s="37"/>
      <c r="E14136" s="36"/>
      <c r="F14136" s="42"/>
      <c r="G14136" s="42"/>
      <c r="H14136" s="42"/>
      <c r="AG14136" s="19"/>
    </row>
    <row r="14137" spans="1:33" ht="14.5" x14ac:dyDescent="0.35">
      <c r="A14137" s="34"/>
      <c r="B14137" s="35"/>
      <c r="C14137" s="36"/>
      <c r="D14137" s="37"/>
      <c r="E14137" s="36"/>
      <c r="F14137" s="42"/>
      <c r="G14137" s="42"/>
      <c r="H14137" s="42"/>
      <c r="AG14137" s="19"/>
    </row>
    <row r="14138" spans="1:33" ht="14.5" x14ac:dyDescent="0.35">
      <c r="A14138" s="34"/>
      <c r="B14138" s="35"/>
      <c r="C14138" s="36"/>
      <c r="D14138" s="37"/>
      <c r="E14138" s="36"/>
      <c r="F14138" s="42"/>
      <c r="G14138" s="42"/>
      <c r="H14138" s="42"/>
      <c r="AG14138" s="19"/>
    </row>
    <row r="14139" spans="1:33" ht="14.5" x14ac:dyDescent="0.35">
      <c r="A14139" s="34"/>
      <c r="B14139" s="35"/>
      <c r="C14139" s="36"/>
      <c r="D14139" s="37"/>
      <c r="E14139" s="36"/>
      <c r="F14139" s="42"/>
      <c r="G14139" s="42"/>
      <c r="H14139" s="42"/>
      <c r="AG14139" s="19"/>
    </row>
    <row r="14140" spans="1:33" ht="14.5" x14ac:dyDescent="0.35">
      <c r="A14140" s="34"/>
      <c r="B14140" s="35"/>
      <c r="C14140" s="36"/>
      <c r="D14140" s="37"/>
      <c r="E14140" s="36"/>
      <c r="F14140" s="42"/>
      <c r="G14140" s="42"/>
      <c r="H14140" s="42"/>
      <c r="AG14140" s="19"/>
    </row>
    <row r="14141" spans="1:33" ht="14.5" x14ac:dyDescent="0.35">
      <c r="A14141" s="34"/>
      <c r="B14141" s="35"/>
      <c r="C14141" s="36"/>
      <c r="D14141" s="37"/>
      <c r="E14141" s="36"/>
      <c r="F14141" s="42"/>
      <c r="G14141" s="42"/>
      <c r="H14141" s="42"/>
      <c r="AG14141" s="19"/>
    </row>
    <row r="14142" spans="1:33" ht="14.5" x14ac:dyDescent="0.35">
      <c r="A14142" s="34"/>
      <c r="B14142" s="35"/>
      <c r="C14142" s="36"/>
      <c r="D14142" s="37"/>
      <c r="E14142" s="36"/>
      <c r="F14142" s="42"/>
      <c r="G14142" s="42"/>
      <c r="H14142" s="42"/>
      <c r="AG14142" s="19"/>
    </row>
    <row r="14143" spans="1:33" ht="14.5" x14ac:dyDescent="0.35">
      <c r="A14143" s="34"/>
      <c r="B14143" s="35"/>
      <c r="C14143" s="36"/>
      <c r="D14143" s="37"/>
      <c r="E14143" s="36"/>
      <c r="F14143" s="42"/>
      <c r="G14143" s="42"/>
      <c r="H14143" s="42"/>
      <c r="AG14143" s="19"/>
    </row>
    <row r="14144" spans="1:33" ht="14.5" x14ac:dyDescent="0.35">
      <c r="A14144" s="34"/>
      <c r="B14144" s="35"/>
      <c r="C14144" s="36"/>
      <c r="D14144" s="37"/>
      <c r="E14144" s="36"/>
      <c r="F14144" s="42"/>
      <c r="G14144" s="42"/>
      <c r="H14144" s="42"/>
      <c r="AG14144" s="19"/>
    </row>
    <row r="14145" spans="1:33" ht="14.5" x14ac:dyDescent="0.35">
      <c r="A14145" s="34"/>
      <c r="B14145" s="35"/>
      <c r="C14145" s="36"/>
      <c r="D14145" s="37"/>
      <c r="E14145" s="36"/>
      <c r="F14145" s="42"/>
      <c r="G14145" s="42"/>
      <c r="H14145" s="42"/>
      <c r="AG14145" s="19"/>
    </row>
    <row r="14146" spans="1:33" ht="14.5" x14ac:dyDescent="0.35">
      <c r="A14146" s="34"/>
      <c r="B14146" s="35"/>
      <c r="C14146" s="36"/>
      <c r="D14146" s="37"/>
      <c r="E14146" s="36"/>
      <c r="F14146" s="42"/>
      <c r="G14146" s="42"/>
      <c r="H14146" s="42"/>
      <c r="AG14146" s="19"/>
    </row>
    <row r="14147" spans="1:33" ht="14.5" x14ac:dyDescent="0.35">
      <c r="A14147" s="34"/>
      <c r="B14147" s="35"/>
      <c r="C14147" s="36"/>
      <c r="D14147" s="37"/>
      <c r="E14147" s="36"/>
      <c r="F14147" s="42"/>
      <c r="G14147" s="42"/>
      <c r="H14147" s="42"/>
      <c r="AG14147" s="19"/>
    </row>
    <row r="14148" spans="1:33" ht="14.5" x14ac:dyDescent="0.35">
      <c r="A14148" s="34"/>
      <c r="B14148" s="35"/>
      <c r="C14148" s="36"/>
      <c r="D14148" s="37"/>
      <c r="E14148" s="36"/>
      <c r="F14148" s="42"/>
      <c r="G14148" s="42"/>
      <c r="H14148" s="42"/>
      <c r="AG14148" s="19"/>
    </row>
    <row r="14149" spans="1:33" ht="14.5" x14ac:dyDescent="0.35">
      <c r="A14149" s="34"/>
      <c r="B14149" s="35"/>
      <c r="C14149" s="36"/>
      <c r="D14149" s="37"/>
      <c r="E14149" s="36"/>
      <c r="F14149" s="42"/>
      <c r="G14149" s="42"/>
      <c r="H14149" s="42"/>
      <c r="AG14149" s="19"/>
    </row>
    <row r="14150" spans="1:33" ht="14.5" x14ac:dyDescent="0.35">
      <c r="A14150" s="34"/>
      <c r="B14150" s="35"/>
      <c r="C14150" s="36"/>
      <c r="D14150" s="37"/>
      <c r="E14150" s="36"/>
      <c r="F14150" s="42"/>
      <c r="G14150" s="42"/>
      <c r="H14150" s="42"/>
      <c r="AG14150" s="19"/>
    </row>
    <row r="14151" spans="1:33" ht="14.5" x14ac:dyDescent="0.35">
      <c r="A14151" s="34"/>
      <c r="B14151" s="35"/>
      <c r="C14151" s="36"/>
      <c r="D14151" s="37"/>
      <c r="E14151" s="36"/>
      <c r="F14151" s="42"/>
      <c r="G14151" s="42"/>
      <c r="H14151" s="42"/>
      <c r="AG14151" s="19"/>
    </row>
    <row r="14152" spans="1:33" ht="14.5" x14ac:dyDescent="0.35">
      <c r="A14152" s="34"/>
      <c r="B14152" s="35"/>
      <c r="C14152" s="36"/>
      <c r="D14152" s="37"/>
      <c r="E14152" s="36"/>
      <c r="F14152" s="42"/>
      <c r="G14152" s="42"/>
      <c r="H14152" s="42"/>
      <c r="AG14152" s="19"/>
    </row>
    <row r="14153" spans="1:33" ht="14.5" x14ac:dyDescent="0.35">
      <c r="A14153" s="34"/>
      <c r="B14153" s="35"/>
      <c r="C14153" s="36"/>
      <c r="D14153" s="37"/>
      <c r="E14153" s="36"/>
      <c r="F14153" s="42"/>
      <c r="G14153" s="42"/>
      <c r="H14153" s="42"/>
      <c r="AG14153" s="19"/>
    </row>
    <row r="14154" spans="1:33" ht="14.5" x14ac:dyDescent="0.35">
      <c r="A14154" s="34"/>
      <c r="B14154" s="35"/>
      <c r="C14154" s="36"/>
      <c r="D14154" s="37"/>
      <c r="E14154" s="36"/>
      <c r="F14154" s="42"/>
      <c r="G14154" s="42"/>
      <c r="H14154" s="42"/>
      <c r="AG14154" s="19"/>
    </row>
    <row r="14155" spans="1:33" ht="14.5" x14ac:dyDescent="0.35">
      <c r="A14155" s="34"/>
      <c r="B14155" s="35"/>
      <c r="C14155" s="36"/>
      <c r="D14155" s="37"/>
      <c r="E14155" s="36"/>
      <c r="F14155" s="42"/>
      <c r="G14155" s="42"/>
      <c r="H14155" s="42"/>
      <c r="AG14155" s="19"/>
    </row>
    <row r="14156" spans="1:33" ht="14.5" x14ac:dyDescent="0.35">
      <c r="A14156" s="34"/>
      <c r="B14156" s="35"/>
      <c r="C14156" s="36"/>
      <c r="D14156" s="37"/>
      <c r="E14156" s="36"/>
      <c r="F14156" s="42"/>
      <c r="G14156" s="42"/>
      <c r="H14156" s="42"/>
      <c r="AG14156" s="19"/>
    </row>
    <row r="14157" spans="1:33" ht="14.5" x14ac:dyDescent="0.35">
      <c r="A14157" s="34"/>
      <c r="B14157" s="35"/>
      <c r="C14157" s="36"/>
      <c r="D14157" s="37"/>
      <c r="E14157" s="36"/>
      <c r="F14157" s="42"/>
      <c r="G14157" s="42"/>
      <c r="H14157" s="42"/>
      <c r="AG14157" s="19"/>
    </row>
    <row r="14158" spans="1:33" ht="14.5" x14ac:dyDescent="0.35">
      <c r="A14158" s="34"/>
      <c r="B14158" s="35"/>
      <c r="C14158" s="36"/>
      <c r="D14158" s="37"/>
      <c r="E14158" s="36"/>
      <c r="F14158" s="42"/>
      <c r="G14158" s="42"/>
      <c r="H14158" s="42"/>
      <c r="AG14158" s="19"/>
    </row>
    <row r="14159" spans="1:33" ht="14.5" x14ac:dyDescent="0.35">
      <c r="A14159" s="34"/>
      <c r="B14159" s="35"/>
      <c r="C14159" s="36"/>
      <c r="D14159" s="37"/>
      <c r="E14159" s="36"/>
      <c r="F14159" s="42"/>
      <c r="G14159" s="42"/>
      <c r="H14159" s="42"/>
      <c r="AG14159" s="19"/>
    </row>
    <row r="14160" spans="1:33" ht="14.5" x14ac:dyDescent="0.35">
      <c r="A14160" s="34"/>
      <c r="B14160" s="35"/>
      <c r="C14160" s="36"/>
      <c r="D14160" s="37"/>
      <c r="E14160" s="36"/>
      <c r="F14160" s="42"/>
      <c r="G14160" s="42"/>
      <c r="H14160" s="42"/>
      <c r="AG14160" s="19"/>
    </row>
    <row r="14161" spans="1:33" ht="14.5" x14ac:dyDescent="0.35">
      <c r="A14161" s="34"/>
      <c r="B14161" s="35"/>
      <c r="C14161" s="36"/>
      <c r="D14161" s="37"/>
      <c r="E14161" s="36"/>
      <c r="F14161" s="42"/>
      <c r="G14161" s="42"/>
      <c r="H14161" s="42"/>
      <c r="AG14161" s="19"/>
    </row>
    <row r="14162" spans="1:33" ht="14.5" x14ac:dyDescent="0.35">
      <c r="A14162" s="34"/>
      <c r="B14162" s="35"/>
      <c r="C14162" s="36"/>
      <c r="D14162" s="37"/>
      <c r="E14162" s="36"/>
      <c r="F14162" s="42"/>
      <c r="G14162" s="42"/>
      <c r="H14162" s="42"/>
      <c r="AG14162" s="19"/>
    </row>
    <row r="14163" spans="1:33" ht="14.5" x14ac:dyDescent="0.35">
      <c r="A14163" s="34"/>
      <c r="B14163" s="35"/>
      <c r="C14163" s="36"/>
      <c r="D14163" s="37"/>
      <c r="E14163" s="36"/>
      <c r="F14163" s="42"/>
      <c r="G14163" s="42"/>
      <c r="H14163" s="42"/>
      <c r="AG14163" s="19"/>
    </row>
    <row r="14164" spans="1:33" ht="14.5" x14ac:dyDescent="0.35">
      <c r="A14164" s="34"/>
      <c r="B14164" s="35"/>
      <c r="C14164" s="36"/>
      <c r="D14164" s="37"/>
      <c r="E14164" s="36"/>
      <c r="F14164" s="42"/>
      <c r="G14164" s="42"/>
      <c r="H14164" s="42"/>
      <c r="AG14164" s="19"/>
    </row>
    <row r="14165" spans="1:33" ht="14.5" x14ac:dyDescent="0.35">
      <c r="A14165" s="34"/>
      <c r="B14165" s="35"/>
      <c r="C14165" s="36"/>
      <c r="D14165" s="37"/>
      <c r="E14165" s="36"/>
      <c r="F14165" s="42"/>
      <c r="G14165" s="42"/>
      <c r="H14165" s="42"/>
      <c r="AG14165" s="19"/>
    </row>
    <row r="14166" spans="1:33" ht="14.5" x14ac:dyDescent="0.35">
      <c r="A14166" s="34"/>
      <c r="B14166" s="35"/>
      <c r="C14166" s="36"/>
      <c r="D14166" s="37"/>
      <c r="E14166" s="36"/>
      <c r="F14166" s="42"/>
      <c r="G14166" s="42"/>
      <c r="H14166" s="42"/>
      <c r="AG14166" s="19"/>
    </row>
    <row r="14167" spans="1:33" ht="14.5" x14ac:dyDescent="0.35">
      <c r="A14167" s="34"/>
      <c r="B14167" s="35"/>
      <c r="C14167" s="36"/>
      <c r="D14167" s="37"/>
      <c r="E14167" s="36"/>
      <c r="F14167" s="42"/>
      <c r="G14167" s="42"/>
      <c r="H14167" s="42"/>
      <c r="AG14167" s="19"/>
    </row>
    <row r="14168" spans="1:33" ht="14.5" x14ac:dyDescent="0.35">
      <c r="A14168" s="34"/>
      <c r="B14168" s="35"/>
      <c r="C14168" s="36"/>
      <c r="D14168" s="37"/>
      <c r="E14168" s="36"/>
      <c r="F14168" s="42"/>
      <c r="G14168" s="42"/>
      <c r="H14168" s="42"/>
      <c r="AG14168" s="19"/>
    </row>
    <row r="14169" spans="1:33" ht="14.5" x14ac:dyDescent="0.35">
      <c r="A14169" s="34"/>
      <c r="B14169" s="35"/>
      <c r="C14169" s="36"/>
      <c r="D14169" s="37"/>
      <c r="E14169" s="36"/>
      <c r="F14169" s="42"/>
      <c r="G14169" s="42"/>
      <c r="H14169" s="42"/>
      <c r="AG14169" s="19"/>
    </row>
    <row r="14170" spans="1:33" ht="14.5" x14ac:dyDescent="0.35">
      <c r="A14170" s="34"/>
      <c r="B14170" s="35"/>
      <c r="C14170" s="36"/>
      <c r="D14170" s="37"/>
      <c r="E14170" s="36"/>
      <c r="F14170" s="42"/>
      <c r="G14170" s="42"/>
      <c r="H14170" s="42"/>
      <c r="AG14170" s="19"/>
    </row>
    <row r="14171" spans="1:33" ht="14.5" x14ac:dyDescent="0.35">
      <c r="A14171" s="34"/>
      <c r="B14171" s="35"/>
      <c r="C14171" s="36"/>
      <c r="D14171" s="37"/>
      <c r="E14171" s="36"/>
      <c r="F14171" s="42"/>
      <c r="G14171" s="42"/>
      <c r="H14171" s="42"/>
      <c r="AG14171" s="19"/>
    </row>
    <row r="14172" spans="1:33" ht="14.5" x14ac:dyDescent="0.35">
      <c r="A14172" s="34"/>
      <c r="B14172" s="35"/>
      <c r="C14172" s="36"/>
      <c r="D14172" s="37"/>
      <c r="E14172" s="36"/>
      <c r="F14172" s="42"/>
      <c r="G14172" s="42"/>
      <c r="H14172" s="42"/>
      <c r="AG14172" s="19"/>
    </row>
    <row r="14173" spans="1:33" ht="14.5" x14ac:dyDescent="0.35">
      <c r="A14173" s="34"/>
      <c r="B14173" s="35"/>
      <c r="C14173" s="36"/>
      <c r="D14173" s="37"/>
      <c r="E14173" s="36"/>
      <c r="F14173" s="42"/>
      <c r="G14173" s="42"/>
      <c r="H14173" s="42"/>
      <c r="AG14173" s="19"/>
    </row>
    <row r="14174" spans="1:33" ht="14.5" x14ac:dyDescent="0.35">
      <c r="A14174" s="34"/>
      <c r="B14174" s="35"/>
      <c r="C14174" s="36"/>
      <c r="D14174" s="37"/>
      <c r="E14174" s="36"/>
      <c r="F14174" s="42"/>
      <c r="G14174" s="42"/>
      <c r="H14174" s="42"/>
      <c r="AG14174" s="19"/>
    </row>
    <row r="14175" spans="1:33" ht="14.5" x14ac:dyDescent="0.35">
      <c r="A14175" s="34"/>
      <c r="B14175" s="35"/>
      <c r="C14175" s="36"/>
      <c r="D14175" s="37"/>
      <c r="E14175" s="36"/>
      <c r="F14175" s="42"/>
      <c r="G14175" s="42"/>
      <c r="H14175" s="42"/>
      <c r="AG14175" s="19"/>
    </row>
    <row r="14176" spans="1:33" ht="14.5" x14ac:dyDescent="0.35">
      <c r="A14176" s="34"/>
      <c r="B14176" s="35"/>
      <c r="C14176" s="36"/>
      <c r="D14176" s="37"/>
      <c r="E14176" s="36"/>
      <c r="F14176" s="42"/>
      <c r="G14176" s="42"/>
      <c r="H14176" s="42"/>
      <c r="AG14176" s="19"/>
    </row>
    <row r="14177" spans="1:33" ht="14.5" x14ac:dyDescent="0.35">
      <c r="A14177" s="34"/>
      <c r="B14177" s="35"/>
      <c r="C14177" s="36"/>
      <c r="D14177" s="37"/>
      <c r="E14177" s="36"/>
      <c r="F14177" s="42"/>
      <c r="G14177" s="42"/>
      <c r="H14177" s="42"/>
      <c r="AG14177" s="19"/>
    </row>
    <row r="14178" spans="1:33" ht="14.5" x14ac:dyDescent="0.35">
      <c r="A14178" s="34"/>
      <c r="B14178" s="35"/>
      <c r="C14178" s="36"/>
      <c r="D14178" s="37"/>
      <c r="E14178" s="36"/>
      <c r="F14178" s="42"/>
      <c r="G14178" s="42"/>
      <c r="H14178" s="42"/>
      <c r="AG14178" s="19"/>
    </row>
    <row r="14179" spans="1:33" ht="14.5" x14ac:dyDescent="0.35">
      <c r="A14179" s="34"/>
      <c r="B14179" s="35"/>
      <c r="C14179" s="36"/>
      <c r="D14179" s="37"/>
      <c r="E14179" s="36"/>
      <c r="F14179" s="42"/>
      <c r="G14179" s="42"/>
      <c r="H14179" s="42"/>
      <c r="AG14179" s="19"/>
    </row>
    <row r="14180" spans="1:33" ht="14.5" x14ac:dyDescent="0.35">
      <c r="A14180" s="34"/>
      <c r="B14180" s="35"/>
      <c r="C14180" s="36"/>
      <c r="D14180" s="37"/>
      <c r="E14180" s="36"/>
      <c r="F14180" s="42"/>
      <c r="G14180" s="42"/>
      <c r="H14180" s="42"/>
      <c r="AG14180" s="19"/>
    </row>
    <row r="14181" spans="1:33" ht="14.5" x14ac:dyDescent="0.35">
      <c r="A14181" s="34"/>
      <c r="B14181" s="35"/>
      <c r="C14181" s="36"/>
      <c r="D14181" s="37"/>
      <c r="E14181" s="36"/>
      <c r="F14181" s="42"/>
      <c r="G14181" s="42"/>
      <c r="H14181" s="42"/>
      <c r="AG14181" s="19"/>
    </row>
    <row r="14182" spans="1:33" ht="14.5" x14ac:dyDescent="0.35">
      <c r="A14182" s="34"/>
      <c r="B14182" s="35"/>
      <c r="C14182" s="36"/>
      <c r="D14182" s="37"/>
      <c r="E14182" s="36"/>
      <c r="F14182" s="42"/>
      <c r="G14182" s="42"/>
      <c r="H14182" s="42"/>
      <c r="AG14182" s="19"/>
    </row>
    <row r="14183" spans="1:33" ht="14.5" x14ac:dyDescent="0.35">
      <c r="A14183" s="34"/>
      <c r="B14183" s="35"/>
      <c r="C14183" s="36"/>
      <c r="D14183" s="37"/>
      <c r="E14183" s="36"/>
      <c r="F14183" s="42"/>
      <c r="G14183" s="42"/>
      <c r="H14183" s="42"/>
      <c r="AG14183" s="19"/>
    </row>
    <row r="14184" spans="1:33" ht="14.5" x14ac:dyDescent="0.35">
      <c r="A14184" s="34"/>
      <c r="B14184" s="35"/>
      <c r="C14184" s="36"/>
      <c r="D14184" s="37"/>
      <c r="E14184" s="36"/>
      <c r="F14184" s="42"/>
      <c r="G14184" s="42"/>
      <c r="H14184" s="42"/>
      <c r="AG14184" s="19"/>
    </row>
    <row r="14185" spans="1:33" ht="14.5" x14ac:dyDescent="0.35">
      <c r="A14185" s="34"/>
      <c r="B14185" s="35"/>
      <c r="C14185" s="36"/>
      <c r="D14185" s="37"/>
      <c r="E14185" s="36"/>
      <c r="F14185" s="42"/>
      <c r="G14185" s="42"/>
      <c r="H14185" s="42"/>
      <c r="AG14185" s="19"/>
    </row>
    <row r="14186" spans="1:33" ht="14.5" x14ac:dyDescent="0.35">
      <c r="A14186" s="34"/>
      <c r="B14186" s="35"/>
      <c r="C14186" s="36"/>
      <c r="D14186" s="37"/>
      <c r="E14186" s="36"/>
      <c r="F14186" s="42"/>
      <c r="G14186" s="42"/>
      <c r="H14186" s="42"/>
      <c r="AG14186" s="19"/>
    </row>
    <row r="14187" spans="1:33" ht="14.5" x14ac:dyDescent="0.35">
      <c r="A14187" s="34"/>
      <c r="B14187" s="35"/>
      <c r="C14187" s="36"/>
      <c r="D14187" s="37"/>
      <c r="E14187" s="36"/>
      <c r="F14187" s="42"/>
      <c r="G14187" s="42"/>
      <c r="H14187" s="42"/>
      <c r="AG14187" s="19"/>
    </row>
    <row r="14188" spans="1:33" ht="14.5" x14ac:dyDescent="0.35">
      <c r="A14188" s="34"/>
      <c r="B14188" s="35"/>
      <c r="C14188" s="36"/>
      <c r="D14188" s="37"/>
      <c r="E14188" s="36"/>
      <c r="F14188" s="42"/>
      <c r="G14188" s="42"/>
      <c r="H14188" s="42"/>
      <c r="AG14188" s="19"/>
    </row>
    <row r="14189" spans="1:33" ht="14.5" x14ac:dyDescent="0.35">
      <c r="A14189" s="34"/>
      <c r="B14189" s="35"/>
      <c r="C14189" s="36"/>
      <c r="D14189" s="37"/>
      <c r="E14189" s="36"/>
      <c r="F14189" s="42"/>
      <c r="G14189" s="42"/>
      <c r="H14189" s="42"/>
      <c r="AG14189" s="19"/>
    </row>
    <row r="14190" spans="1:33" ht="14.5" x14ac:dyDescent="0.35">
      <c r="A14190" s="34"/>
      <c r="B14190" s="35"/>
      <c r="C14190" s="36"/>
      <c r="D14190" s="37"/>
      <c r="E14190" s="36"/>
      <c r="F14190" s="42"/>
      <c r="G14190" s="42"/>
      <c r="H14190" s="42"/>
      <c r="AG14190" s="19"/>
    </row>
    <row r="14191" spans="1:33" ht="14.5" x14ac:dyDescent="0.35">
      <c r="A14191" s="34"/>
      <c r="B14191" s="35"/>
      <c r="C14191" s="36"/>
      <c r="D14191" s="37"/>
      <c r="E14191" s="36"/>
      <c r="F14191" s="42"/>
      <c r="G14191" s="42"/>
      <c r="H14191" s="42"/>
      <c r="AG14191" s="19"/>
    </row>
    <row r="14192" spans="1:33" ht="14.5" x14ac:dyDescent="0.35">
      <c r="A14192" s="34"/>
      <c r="B14192" s="35"/>
      <c r="C14192" s="36"/>
      <c r="D14192" s="37"/>
      <c r="E14192" s="36"/>
      <c r="F14192" s="42"/>
      <c r="G14192" s="42"/>
      <c r="H14192" s="42"/>
      <c r="AG14192" s="19"/>
    </row>
    <row r="14193" spans="1:33" ht="14.5" x14ac:dyDescent="0.35">
      <c r="A14193" s="34"/>
      <c r="B14193" s="35"/>
      <c r="C14193" s="36"/>
      <c r="D14193" s="37"/>
      <c r="E14193" s="36"/>
      <c r="F14193" s="42"/>
      <c r="G14193" s="42"/>
      <c r="H14193" s="42"/>
      <c r="AG14193" s="19"/>
    </row>
    <row r="14194" spans="1:33" ht="14.5" x14ac:dyDescent="0.35">
      <c r="A14194" s="34"/>
      <c r="B14194" s="35"/>
      <c r="C14194" s="36"/>
      <c r="D14194" s="37"/>
      <c r="E14194" s="36"/>
      <c r="F14194" s="42"/>
      <c r="G14194" s="42"/>
      <c r="H14194" s="42"/>
      <c r="AG14194" s="19"/>
    </row>
    <row r="14195" spans="1:33" ht="14.5" x14ac:dyDescent="0.35">
      <c r="A14195" s="34"/>
      <c r="B14195" s="35"/>
      <c r="C14195" s="36"/>
      <c r="D14195" s="37"/>
      <c r="E14195" s="36"/>
      <c r="F14195" s="42"/>
      <c r="G14195" s="42"/>
      <c r="H14195" s="42"/>
      <c r="AG14195" s="19"/>
    </row>
    <row r="14196" spans="1:33" ht="14.5" x14ac:dyDescent="0.35">
      <c r="A14196" s="34"/>
      <c r="B14196" s="35"/>
      <c r="C14196" s="36"/>
      <c r="D14196" s="37"/>
      <c r="E14196" s="36"/>
      <c r="F14196" s="42"/>
      <c r="G14196" s="42"/>
      <c r="H14196" s="42"/>
      <c r="AG14196" s="19"/>
    </row>
    <row r="14197" spans="1:33" ht="14.5" x14ac:dyDescent="0.35">
      <c r="A14197" s="34"/>
      <c r="B14197" s="35"/>
      <c r="C14197" s="36"/>
      <c r="D14197" s="37"/>
      <c r="E14197" s="36"/>
      <c r="F14197" s="42"/>
      <c r="G14197" s="42"/>
      <c r="H14197" s="42"/>
      <c r="AG14197" s="19"/>
    </row>
    <row r="14198" spans="1:33" ht="14.5" x14ac:dyDescent="0.35">
      <c r="A14198" s="34"/>
      <c r="B14198" s="35"/>
      <c r="C14198" s="36"/>
      <c r="D14198" s="37"/>
      <c r="E14198" s="36"/>
      <c r="F14198" s="42"/>
      <c r="G14198" s="42"/>
      <c r="H14198" s="42"/>
      <c r="AG14198" s="19"/>
    </row>
    <row r="14199" spans="1:33" ht="14.5" x14ac:dyDescent="0.35">
      <c r="A14199" s="34"/>
      <c r="B14199" s="35"/>
      <c r="C14199" s="36"/>
      <c r="D14199" s="37"/>
      <c r="E14199" s="36"/>
      <c r="F14199" s="42"/>
      <c r="G14199" s="42"/>
      <c r="H14199" s="42"/>
      <c r="AG14199" s="19"/>
    </row>
    <row r="14200" spans="1:33" ht="14.5" x14ac:dyDescent="0.35">
      <c r="A14200" s="34"/>
      <c r="B14200" s="35"/>
      <c r="C14200" s="36"/>
      <c r="D14200" s="37"/>
      <c r="E14200" s="36"/>
      <c r="F14200" s="42"/>
      <c r="G14200" s="42"/>
      <c r="H14200" s="42"/>
      <c r="AG14200" s="19"/>
    </row>
    <row r="14201" spans="1:33" ht="14.5" x14ac:dyDescent="0.35">
      <c r="A14201" s="34"/>
      <c r="B14201" s="35"/>
      <c r="C14201" s="36"/>
      <c r="D14201" s="37"/>
      <c r="E14201" s="36"/>
      <c r="F14201" s="42"/>
      <c r="G14201" s="42"/>
      <c r="H14201" s="42"/>
      <c r="AG14201" s="19"/>
    </row>
    <row r="14202" spans="1:33" ht="14.5" x14ac:dyDescent="0.35">
      <c r="A14202" s="34"/>
      <c r="B14202" s="35"/>
      <c r="C14202" s="36"/>
      <c r="D14202" s="37"/>
      <c r="E14202" s="36"/>
      <c r="F14202" s="42"/>
      <c r="G14202" s="42"/>
      <c r="H14202" s="42"/>
      <c r="AG14202" s="19"/>
    </row>
    <row r="14203" spans="1:33" ht="14.5" x14ac:dyDescent="0.35">
      <c r="A14203" s="34"/>
      <c r="B14203" s="35"/>
      <c r="C14203" s="36"/>
      <c r="D14203" s="37"/>
      <c r="E14203" s="36"/>
      <c r="F14203" s="42"/>
      <c r="G14203" s="42"/>
      <c r="H14203" s="42"/>
      <c r="AG14203" s="19"/>
    </row>
    <row r="14204" spans="1:33" ht="14.5" x14ac:dyDescent="0.35">
      <c r="A14204" s="34"/>
      <c r="B14204" s="35"/>
      <c r="C14204" s="36"/>
      <c r="D14204" s="37"/>
      <c r="E14204" s="36"/>
      <c r="F14204" s="42"/>
      <c r="G14204" s="42"/>
      <c r="H14204" s="42"/>
      <c r="AG14204" s="19"/>
    </row>
    <row r="14205" spans="1:33" ht="14.5" x14ac:dyDescent="0.35">
      <c r="A14205" s="34"/>
      <c r="B14205" s="35"/>
      <c r="C14205" s="36"/>
      <c r="D14205" s="37"/>
      <c r="E14205" s="36"/>
      <c r="F14205" s="42"/>
      <c r="G14205" s="42"/>
      <c r="H14205" s="42"/>
      <c r="AG14205" s="19"/>
    </row>
    <row r="14206" spans="1:33" ht="14.5" x14ac:dyDescent="0.35">
      <c r="A14206" s="34"/>
      <c r="B14206" s="35"/>
      <c r="C14206" s="36"/>
      <c r="D14206" s="37"/>
      <c r="E14206" s="36"/>
      <c r="F14206" s="42"/>
      <c r="G14206" s="42"/>
      <c r="H14206" s="42"/>
      <c r="AG14206" s="19"/>
    </row>
    <row r="14207" spans="1:33" ht="14.5" x14ac:dyDescent="0.35">
      <c r="A14207" s="34"/>
      <c r="B14207" s="35"/>
      <c r="C14207" s="36"/>
      <c r="D14207" s="37"/>
      <c r="E14207" s="36"/>
      <c r="F14207" s="42"/>
      <c r="G14207" s="42"/>
      <c r="H14207" s="42"/>
      <c r="AG14207" s="19"/>
    </row>
    <row r="14208" spans="1:33" ht="14.5" x14ac:dyDescent="0.35">
      <c r="A14208" s="34"/>
      <c r="B14208" s="35"/>
      <c r="C14208" s="36"/>
      <c r="D14208" s="37"/>
      <c r="E14208" s="36"/>
      <c r="F14208" s="42"/>
      <c r="G14208" s="42"/>
      <c r="H14208" s="42"/>
      <c r="AG14208" s="19"/>
    </row>
    <row r="14209" spans="1:33" ht="14.5" x14ac:dyDescent="0.35">
      <c r="A14209" s="34"/>
      <c r="B14209" s="35"/>
      <c r="C14209" s="36"/>
      <c r="D14209" s="37"/>
      <c r="E14209" s="36"/>
      <c r="F14209" s="42"/>
      <c r="G14209" s="42"/>
      <c r="H14209" s="42"/>
      <c r="AG14209" s="19"/>
    </row>
    <row r="14210" spans="1:33" ht="14.5" x14ac:dyDescent="0.35">
      <c r="A14210" s="34"/>
      <c r="B14210" s="35"/>
      <c r="C14210" s="36"/>
      <c r="D14210" s="37"/>
      <c r="E14210" s="36"/>
      <c r="F14210" s="42"/>
      <c r="G14210" s="42"/>
      <c r="H14210" s="42"/>
      <c r="AG14210" s="19"/>
    </row>
    <row r="14211" spans="1:33" ht="14.5" x14ac:dyDescent="0.35">
      <c r="A14211" s="34"/>
      <c r="B14211" s="35"/>
      <c r="C14211" s="36"/>
      <c r="D14211" s="37"/>
      <c r="E14211" s="36"/>
      <c r="F14211" s="42"/>
      <c r="G14211" s="42"/>
      <c r="H14211" s="42"/>
      <c r="AG14211" s="19"/>
    </row>
    <row r="14212" spans="1:33" ht="14.5" x14ac:dyDescent="0.35">
      <c r="A14212" s="34"/>
      <c r="B14212" s="35"/>
      <c r="C14212" s="36"/>
      <c r="D14212" s="37"/>
      <c r="E14212" s="36"/>
      <c r="F14212" s="42"/>
      <c r="G14212" s="42"/>
      <c r="H14212" s="42"/>
      <c r="AG14212" s="19"/>
    </row>
    <row r="14213" spans="1:33" ht="14.5" x14ac:dyDescent="0.35">
      <c r="A14213" s="34"/>
      <c r="B14213" s="35"/>
      <c r="C14213" s="36"/>
      <c r="D14213" s="37"/>
      <c r="E14213" s="36"/>
      <c r="F14213" s="42"/>
      <c r="G14213" s="42"/>
      <c r="H14213" s="42"/>
      <c r="AG14213" s="19"/>
    </row>
    <row r="14214" spans="1:33" ht="14.5" x14ac:dyDescent="0.35">
      <c r="A14214" s="34"/>
      <c r="B14214" s="35"/>
      <c r="C14214" s="36"/>
      <c r="D14214" s="37"/>
      <c r="E14214" s="36"/>
      <c r="F14214" s="42"/>
      <c r="G14214" s="42"/>
      <c r="H14214" s="42"/>
      <c r="AG14214" s="19"/>
    </row>
    <row r="14215" spans="1:33" ht="14.5" x14ac:dyDescent="0.35">
      <c r="A14215" s="34"/>
      <c r="B14215" s="35"/>
      <c r="C14215" s="36"/>
      <c r="D14215" s="37"/>
      <c r="E14215" s="36"/>
      <c r="F14215" s="42"/>
      <c r="G14215" s="42"/>
      <c r="H14215" s="42"/>
      <c r="AG14215" s="19"/>
    </row>
    <row r="14216" spans="1:33" ht="14.5" x14ac:dyDescent="0.35">
      <c r="A14216" s="34"/>
      <c r="B14216" s="35"/>
      <c r="C14216" s="36"/>
      <c r="D14216" s="37"/>
      <c r="E14216" s="36"/>
      <c r="F14216" s="42"/>
      <c r="G14216" s="42"/>
      <c r="H14216" s="42"/>
      <c r="AG14216" s="19"/>
    </row>
    <row r="14217" spans="1:33" ht="14.5" x14ac:dyDescent="0.35">
      <c r="A14217" s="34"/>
      <c r="B14217" s="35"/>
      <c r="C14217" s="36"/>
      <c r="D14217" s="37"/>
      <c r="E14217" s="36"/>
      <c r="F14217" s="42"/>
      <c r="G14217" s="42"/>
      <c r="H14217" s="42"/>
      <c r="AG14217" s="19"/>
    </row>
    <row r="14218" spans="1:33" ht="14.5" x14ac:dyDescent="0.35">
      <c r="A14218" s="34"/>
      <c r="B14218" s="35"/>
      <c r="C14218" s="36"/>
      <c r="D14218" s="37"/>
      <c r="E14218" s="36"/>
      <c r="F14218" s="42"/>
      <c r="G14218" s="42"/>
      <c r="H14218" s="42"/>
      <c r="AG14218" s="19"/>
    </row>
    <row r="14219" spans="1:33" ht="14.5" x14ac:dyDescent="0.35">
      <c r="A14219" s="34"/>
      <c r="B14219" s="35"/>
      <c r="C14219" s="36"/>
      <c r="D14219" s="37"/>
      <c r="E14219" s="36"/>
      <c r="F14219" s="42"/>
      <c r="G14219" s="42"/>
      <c r="H14219" s="42"/>
      <c r="AG14219" s="19"/>
    </row>
    <row r="14220" spans="1:33" ht="14.5" x14ac:dyDescent="0.35">
      <c r="A14220" s="34"/>
      <c r="B14220" s="35"/>
      <c r="C14220" s="36"/>
      <c r="D14220" s="37"/>
      <c r="E14220" s="36"/>
      <c r="F14220" s="42"/>
      <c r="G14220" s="42"/>
      <c r="H14220" s="42"/>
      <c r="AG14220" s="19"/>
    </row>
    <row r="14221" spans="1:33" ht="14.5" x14ac:dyDescent="0.35">
      <c r="A14221" s="34"/>
      <c r="B14221" s="35"/>
      <c r="C14221" s="36"/>
      <c r="D14221" s="37"/>
      <c r="E14221" s="36"/>
      <c r="F14221" s="42"/>
      <c r="G14221" s="42"/>
      <c r="H14221" s="42"/>
      <c r="AG14221" s="19"/>
    </row>
    <row r="14222" spans="1:33" ht="14.5" x14ac:dyDescent="0.35">
      <c r="A14222" s="34"/>
      <c r="B14222" s="35"/>
      <c r="C14222" s="36"/>
      <c r="D14222" s="37"/>
      <c r="E14222" s="36"/>
      <c r="F14222" s="42"/>
      <c r="G14222" s="42"/>
      <c r="H14222" s="42"/>
      <c r="AG14222" s="19"/>
    </row>
    <row r="14223" spans="1:33" ht="14.5" x14ac:dyDescent="0.35">
      <c r="A14223" s="34"/>
      <c r="B14223" s="35"/>
      <c r="C14223" s="36"/>
      <c r="D14223" s="37"/>
      <c r="E14223" s="36"/>
      <c r="F14223" s="42"/>
      <c r="G14223" s="42"/>
      <c r="H14223" s="42"/>
      <c r="AG14223" s="19"/>
    </row>
    <row r="14224" spans="1:33" ht="14.5" x14ac:dyDescent="0.35">
      <c r="A14224" s="34"/>
      <c r="B14224" s="35"/>
      <c r="C14224" s="36"/>
      <c r="D14224" s="37"/>
      <c r="E14224" s="36"/>
      <c r="F14224" s="42"/>
      <c r="G14224" s="42"/>
      <c r="H14224" s="42"/>
      <c r="AG14224" s="19"/>
    </row>
    <row r="14225" spans="1:33" ht="14.5" x14ac:dyDescent="0.35">
      <c r="A14225" s="34"/>
      <c r="B14225" s="35"/>
      <c r="C14225" s="36"/>
      <c r="D14225" s="37"/>
      <c r="E14225" s="36"/>
      <c r="F14225" s="42"/>
      <c r="G14225" s="42"/>
      <c r="H14225" s="42"/>
      <c r="AG14225" s="19"/>
    </row>
    <row r="14226" spans="1:33" ht="14.5" x14ac:dyDescent="0.35">
      <c r="A14226" s="34"/>
      <c r="B14226" s="35"/>
      <c r="C14226" s="36"/>
      <c r="D14226" s="37"/>
      <c r="E14226" s="36"/>
      <c r="F14226" s="42"/>
      <c r="G14226" s="42"/>
      <c r="H14226" s="42"/>
      <c r="AG14226" s="19"/>
    </row>
    <row r="14227" spans="1:33" ht="14.5" x14ac:dyDescent="0.35">
      <c r="A14227" s="34"/>
      <c r="B14227" s="35"/>
      <c r="C14227" s="36"/>
      <c r="D14227" s="37"/>
      <c r="E14227" s="36"/>
      <c r="F14227" s="42"/>
      <c r="G14227" s="42"/>
      <c r="H14227" s="42"/>
      <c r="AG14227" s="19"/>
    </row>
    <row r="14228" spans="1:33" ht="14.5" x14ac:dyDescent="0.35">
      <c r="A14228" s="34"/>
      <c r="B14228" s="35"/>
      <c r="C14228" s="36"/>
      <c r="D14228" s="37"/>
      <c r="E14228" s="36"/>
      <c r="F14228" s="42"/>
      <c r="G14228" s="42"/>
      <c r="H14228" s="42"/>
      <c r="AG14228" s="19"/>
    </row>
    <row r="14229" spans="1:33" ht="14.5" x14ac:dyDescent="0.35">
      <c r="A14229" s="34"/>
      <c r="B14229" s="35"/>
      <c r="C14229" s="36"/>
      <c r="D14229" s="37"/>
      <c r="E14229" s="36"/>
      <c r="F14229" s="42"/>
      <c r="G14229" s="42"/>
      <c r="H14229" s="42"/>
      <c r="AG14229" s="19"/>
    </row>
    <row r="14230" spans="1:33" ht="14.5" x14ac:dyDescent="0.35">
      <c r="A14230" s="34"/>
      <c r="B14230" s="35"/>
      <c r="C14230" s="36"/>
      <c r="D14230" s="37"/>
      <c r="E14230" s="36"/>
      <c r="F14230" s="42"/>
      <c r="G14230" s="42"/>
      <c r="H14230" s="42"/>
      <c r="AG14230" s="19"/>
    </row>
    <row r="14231" spans="1:33" ht="14.5" x14ac:dyDescent="0.35">
      <c r="A14231" s="34"/>
      <c r="B14231" s="35"/>
      <c r="C14231" s="36"/>
      <c r="D14231" s="37"/>
      <c r="E14231" s="36"/>
      <c r="F14231" s="42"/>
      <c r="G14231" s="42"/>
      <c r="H14231" s="42"/>
      <c r="AG14231" s="19"/>
    </row>
    <row r="14232" spans="1:33" ht="14.5" x14ac:dyDescent="0.35">
      <c r="A14232" s="34"/>
      <c r="B14232" s="35"/>
      <c r="C14232" s="36"/>
      <c r="D14232" s="37"/>
      <c r="E14232" s="36"/>
      <c r="F14232" s="42"/>
      <c r="G14232" s="42"/>
      <c r="H14232" s="42"/>
      <c r="AG14232" s="19"/>
    </row>
    <row r="14233" spans="1:33" ht="14.5" x14ac:dyDescent="0.35">
      <c r="A14233" s="34"/>
      <c r="B14233" s="35"/>
      <c r="C14233" s="36"/>
      <c r="D14233" s="37"/>
      <c r="E14233" s="36"/>
      <c r="F14233" s="42"/>
      <c r="G14233" s="42"/>
      <c r="H14233" s="42"/>
      <c r="AG14233" s="19"/>
    </row>
    <row r="14234" spans="1:33" ht="14.5" x14ac:dyDescent="0.35">
      <c r="A14234" s="34"/>
      <c r="B14234" s="35"/>
      <c r="C14234" s="36"/>
      <c r="D14234" s="37"/>
      <c r="E14234" s="36"/>
      <c r="F14234" s="42"/>
      <c r="G14234" s="42"/>
      <c r="H14234" s="42"/>
      <c r="AG14234" s="19"/>
    </row>
    <row r="14235" spans="1:33" ht="14.5" x14ac:dyDescent="0.35">
      <c r="A14235" s="34"/>
      <c r="B14235" s="35"/>
      <c r="C14235" s="36"/>
      <c r="D14235" s="37"/>
      <c r="E14235" s="36"/>
      <c r="F14235" s="42"/>
      <c r="G14235" s="42"/>
      <c r="H14235" s="42"/>
      <c r="AG14235" s="19"/>
    </row>
    <row r="14236" spans="1:33" ht="14.5" x14ac:dyDescent="0.35">
      <c r="A14236" s="34"/>
      <c r="B14236" s="35"/>
      <c r="C14236" s="36"/>
      <c r="D14236" s="37"/>
      <c r="E14236" s="36"/>
      <c r="F14236" s="42"/>
      <c r="G14236" s="42"/>
      <c r="H14236" s="42"/>
      <c r="AG14236" s="19"/>
    </row>
    <row r="14237" spans="1:33" ht="14.5" x14ac:dyDescent="0.35">
      <c r="A14237" s="34"/>
      <c r="B14237" s="35"/>
      <c r="C14237" s="36"/>
      <c r="D14237" s="37"/>
      <c r="E14237" s="36"/>
      <c r="F14237" s="42"/>
      <c r="G14237" s="42"/>
      <c r="H14237" s="42"/>
      <c r="AG14237" s="19"/>
    </row>
    <row r="14238" spans="1:33" ht="14.5" x14ac:dyDescent="0.35">
      <c r="A14238" s="34"/>
      <c r="B14238" s="35"/>
      <c r="C14238" s="36"/>
      <c r="D14238" s="37"/>
      <c r="E14238" s="36"/>
      <c r="F14238" s="42"/>
      <c r="G14238" s="42"/>
      <c r="H14238" s="42"/>
      <c r="AG14238" s="19"/>
    </row>
    <row r="14239" spans="1:33" ht="14.5" x14ac:dyDescent="0.35">
      <c r="A14239" s="34"/>
      <c r="B14239" s="35"/>
      <c r="C14239" s="36"/>
      <c r="D14239" s="37"/>
      <c r="E14239" s="36"/>
      <c r="F14239" s="42"/>
      <c r="G14239" s="42"/>
      <c r="H14239" s="42"/>
      <c r="AG14239" s="19"/>
    </row>
    <row r="14240" spans="1:33" ht="14.5" x14ac:dyDescent="0.35">
      <c r="A14240" s="34"/>
      <c r="B14240" s="35"/>
      <c r="C14240" s="36"/>
      <c r="D14240" s="37"/>
      <c r="E14240" s="36"/>
      <c r="F14240" s="42"/>
      <c r="G14240" s="42"/>
      <c r="H14240" s="42"/>
      <c r="AG14240" s="19"/>
    </row>
    <row r="14241" spans="1:33" ht="14.5" x14ac:dyDescent="0.35">
      <c r="A14241" s="34"/>
      <c r="B14241" s="35"/>
      <c r="C14241" s="36"/>
      <c r="D14241" s="37"/>
      <c r="E14241" s="36"/>
      <c r="F14241" s="42"/>
      <c r="G14241" s="42"/>
      <c r="H14241" s="42"/>
      <c r="AG14241" s="19"/>
    </row>
    <row r="14242" spans="1:33" ht="14.5" x14ac:dyDescent="0.35">
      <c r="A14242" s="34"/>
      <c r="B14242" s="35"/>
      <c r="C14242" s="36"/>
      <c r="D14242" s="37"/>
      <c r="E14242" s="36"/>
      <c r="F14242" s="42"/>
      <c r="G14242" s="42"/>
      <c r="H14242" s="42"/>
      <c r="AG14242" s="19"/>
    </row>
    <row r="14243" spans="1:33" ht="14.5" x14ac:dyDescent="0.35">
      <c r="A14243" s="34"/>
      <c r="B14243" s="35"/>
      <c r="C14243" s="36"/>
      <c r="D14243" s="37"/>
      <c r="E14243" s="36"/>
      <c r="F14243" s="42"/>
      <c r="G14243" s="42"/>
      <c r="H14243" s="42"/>
      <c r="AG14243" s="19"/>
    </row>
    <row r="14244" spans="1:33" ht="14.5" x14ac:dyDescent="0.35">
      <c r="A14244" s="34"/>
      <c r="B14244" s="35"/>
      <c r="C14244" s="36"/>
      <c r="D14244" s="37"/>
      <c r="E14244" s="36"/>
      <c r="F14244" s="42"/>
      <c r="G14244" s="42"/>
      <c r="H14244" s="42"/>
      <c r="AG14244" s="19"/>
    </row>
    <row r="14245" spans="1:33" ht="14.5" x14ac:dyDescent="0.35">
      <c r="A14245" s="34"/>
      <c r="B14245" s="35"/>
      <c r="C14245" s="36"/>
      <c r="D14245" s="37"/>
      <c r="E14245" s="36"/>
      <c r="F14245" s="42"/>
      <c r="G14245" s="42"/>
      <c r="H14245" s="42"/>
      <c r="AG14245" s="19"/>
    </row>
    <row r="14246" spans="1:33" ht="14.5" x14ac:dyDescent="0.35">
      <c r="A14246" s="34"/>
      <c r="B14246" s="35"/>
      <c r="C14246" s="36"/>
      <c r="D14246" s="37"/>
      <c r="E14246" s="36"/>
      <c r="F14246" s="42"/>
      <c r="G14246" s="42"/>
      <c r="H14246" s="42"/>
      <c r="AG14246" s="19"/>
    </row>
    <row r="14247" spans="1:33" ht="14.5" x14ac:dyDescent="0.35">
      <c r="A14247" s="34"/>
      <c r="B14247" s="35"/>
      <c r="C14247" s="36"/>
      <c r="D14247" s="37"/>
      <c r="E14247" s="36"/>
      <c r="F14247" s="42"/>
      <c r="G14247" s="42"/>
      <c r="H14247" s="42"/>
      <c r="AG14247" s="19"/>
    </row>
    <row r="14248" spans="1:33" ht="14.5" x14ac:dyDescent="0.35">
      <c r="A14248" s="34"/>
      <c r="B14248" s="35"/>
      <c r="C14248" s="36"/>
      <c r="D14248" s="37"/>
      <c r="E14248" s="36"/>
      <c r="F14248" s="42"/>
      <c r="G14248" s="42"/>
      <c r="H14248" s="42"/>
      <c r="AG14248" s="19"/>
    </row>
    <row r="14249" spans="1:33" ht="14.5" x14ac:dyDescent="0.35">
      <c r="A14249" s="34"/>
      <c r="B14249" s="35"/>
      <c r="C14249" s="36"/>
      <c r="D14249" s="37"/>
      <c r="E14249" s="36"/>
      <c r="F14249" s="42"/>
      <c r="G14249" s="42"/>
      <c r="H14249" s="42"/>
      <c r="AG14249" s="19"/>
    </row>
    <row r="14250" spans="1:33" ht="14.5" x14ac:dyDescent="0.35">
      <c r="A14250" s="34"/>
      <c r="B14250" s="35"/>
      <c r="C14250" s="36"/>
      <c r="D14250" s="37"/>
      <c r="E14250" s="36"/>
      <c r="F14250" s="42"/>
      <c r="G14250" s="42"/>
      <c r="H14250" s="42"/>
      <c r="AG14250" s="19"/>
    </row>
    <row r="14251" spans="1:33" ht="14.5" x14ac:dyDescent="0.35">
      <c r="A14251" s="34"/>
      <c r="B14251" s="35"/>
      <c r="C14251" s="36"/>
      <c r="D14251" s="37"/>
      <c r="E14251" s="36"/>
      <c r="F14251" s="42"/>
      <c r="G14251" s="42"/>
      <c r="H14251" s="42"/>
      <c r="AG14251" s="19"/>
    </row>
    <row r="14252" spans="1:33" ht="14.5" x14ac:dyDescent="0.35">
      <c r="A14252" s="34"/>
      <c r="B14252" s="35"/>
      <c r="C14252" s="36"/>
      <c r="D14252" s="37"/>
      <c r="E14252" s="36"/>
      <c r="F14252" s="42"/>
      <c r="G14252" s="42"/>
      <c r="H14252" s="42"/>
      <c r="AG14252" s="19"/>
    </row>
    <row r="14253" spans="1:33" ht="14.5" x14ac:dyDescent="0.35">
      <c r="A14253" s="34"/>
      <c r="B14253" s="35"/>
      <c r="C14253" s="36"/>
      <c r="D14253" s="37"/>
      <c r="E14253" s="36"/>
      <c r="F14253" s="42"/>
      <c r="G14253" s="42"/>
      <c r="H14253" s="42"/>
      <c r="AG14253" s="19"/>
    </row>
    <row r="14254" spans="1:33" ht="14.5" x14ac:dyDescent="0.35">
      <c r="A14254" s="34"/>
      <c r="B14254" s="35"/>
      <c r="C14254" s="36"/>
      <c r="D14254" s="37"/>
      <c r="E14254" s="36"/>
      <c r="F14254" s="42"/>
      <c r="G14254" s="42"/>
      <c r="H14254" s="42"/>
      <c r="AG14254" s="19"/>
    </row>
    <row r="14255" spans="1:33" ht="14.5" x14ac:dyDescent="0.35">
      <c r="A14255" s="34"/>
      <c r="B14255" s="35"/>
      <c r="C14255" s="36"/>
      <c r="D14255" s="37"/>
      <c r="E14255" s="36"/>
      <c r="F14255" s="42"/>
      <c r="G14255" s="42"/>
      <c r="H14255" s="42"/>
      <c r="AG14255" s="19"/>
    </row>
    <row r="14256" spans="1:33" ht="14.5" x14ac:dyDescent="0.35">
      <c r="A14256" s="34"/>
      <c r="B14256" s="35"/>
      <c r="C14256" s="36"/>
      <c r="D14256" s="37"/>
      <c r="E14256" s="36"/>
      <c r="F14256" s="42"/>
      <c r="G14256" s="42"/>
      <c r="H14256" s="42"/>
      <c r="AG14256" s="19"/>
    </row>
    <row r="14257" spans="1:33" ht="14.5" x14ac:dyDescent="0.35">
      <c r="A14257" s="34"/>
      <c r="B14257" s="35"/>
      <c r="C14257" s="36"/>
      <c r="D14257" s="37"/>
      <c r="E14257" s="36"/>
      <c r="F14257" s="42"/>
      <c r="G14257" s="42"/>
      <c r="H14257" s="42"/>
      <c r="AG14257" s="19"/>
    </row>
    <row r="14258" spans="1:33" ht="14.5" x14ac:dyDescent="0.35">
      <c r="A14258" s="34"/>
      <c r="B14258" s="35"/>
      <c r="C14258" s="36"/>
      <c r="D14258" s="37"/>
      <c r="E14258" s="36"/>
      <c r="F14258" s="42"/>
      <c r="G14258" s="42"/>
      <c r="H14258" s="42"/>
      <c r="AG14258" s="19"/>
    </row>
    <row r="14259" spans="1:33" ht="14.5" x14ac:dyDescent="0.35">
      <c r="A14259" s="34"/>
      <c r="B14259" s="35"/>
      <c r="C14259" s="36"/>
      <c r="D14259" s="37"/>
      <c r="E14259" s="36"/>
      <c r="F14259" s="42"/>
      <c r="G14259" s="42"/>
      <c r="H14259" s="42"/>
      <c r="AG14259" s="19"/>
    </row>
    <row r="14260" spans="1:33" ht="14.5" x14ac:dyDescent="0.35">
      <c r="A14260" s="34"/>
      <c r="B14260" s="35"/>
      <c r="C14260" s="36"/>
      <c r="D14260" s="37"/>
      <c r="E14260" s="36"/>
      <c r="F14260" s="42"/>
      <c r="G14260" s="42"/>
      <c r="H14260" s="42"/>
      <c r="AG14260" s="19"/>
    </row>
    <row r="14261" spans="1:33" ht="14.5" x14ac:dyDescent="0.35">
      <c r="A14261" s="34"/>
      <c r="B14261" s="35"/>
      <c r="C14261" s="36"/>
      <c r="D14261" s="37"/>
      <c r="E14261" s="36"/>
      <c r="F14261" s="42"/>
      <c r="G14261" s="42"/>
      <c r="H14261" s="42"/>
      <c r="AG14261" s="19"/>
    </row>
    <row r="14262" spans="1:33" ht="14.5" x14ac:dyDescent="0.35">
      <c r="A14262" s="34"/>
      <c r="B14262" s="35"/>
      <c r="C14262" s="36"/>
      <c r="D14262" s="37"/>
      <c r="E14262" s="36"/>
      <c r="F14262" s="42"/>
      <c r="G14262" s="42"/>
      <c r="H14262" s="42"/>
      <c r="AG14262" s="19"/>
    </row>
    <row r="14263" spans="1:33" ht="14.5" x14ac:dyDescent="0.35">
      <c r="A14263" s="34"/>
      <c r="B14263" s="35"/>
      <c r="C14263" s="36"/>
      <c r="D14263" s="37"/>
      <c r="E14263" s="36"/>
      <c r="F14263" s="42"/>
      <c r="G14263" s="42"/>
      <c r="H14263" s="42"/>
      <c r="AG14263" s="19"/>
    </row>
    <row r="14264" spans="1:33" ht="14.5" x14ac:dyDescent="0.35">
      <c r="A14264" s="34"/>
      <c r="B14264" s="35"/>
      <c r="C14264" s="36"/>
      <c r="D14264" s="37"/>
      <c r="E14264" s="36"/>
      <c r="F14264" s="42"/>
      <c r="G14264" s="42"/>
      <c r="H14264" s="42"/>
      <c r="AG14264" s="19"/>
    </row>
    <row r="14265" spans="1:33" ht="14.5" x14ac:dyDescent="0.35">
      <c r="A14265" s="34"/>
      <c r="B14265" s="35"/>
      <c r="C14265" s="36"/>
      <c r="D14265" s="37"/>
      <c r="E14265" s="36"/>
      <c r="F14265" s="42"/>
      <c r="G14265" s="42"/>
      <c r="H14265" s="42"/>
      <c r="AG14265" s="19"/>
    </row>
    <row r="14266" spans="1:33" ht="14.5" x14ac:dyDescent="0.35">
      <c r="A14266" s="34"/>
      <c r="B14266" s="35"/>
      <c r="C14266" s="36"/>
      <c r="D14266" s="37"/>
      <c r="E14266" s="36"/>
      <c r="F14266" s="42"/>
      <c r="G14266" s="42"/>
      <c r="H14266" s="42"/>
      <c r="AG14266" s="19"/>
    </row>
    <row r="14267" spans="1:33" ht="14.5" x14ac:dyDescent="0.35">
      <c r="A14267" s="34"/>
      <c r="B14267" s="35"/>
      <c r="C14267" s="36"/>
      <c r="D14267" s="37"/>
      <c r="E14267" s="36"/>
      <c r="F14267" s="42"/>
      <c r="G14267" s="42"/>
      <c r="H14267" s="42"/>
      <c r="AG14267" s="19"/>
    </row>
    <row r="14268" spans="1:33" ht="14.5" x14ac:dyDescent="0.35">
      <c r="A14268" s="34"/>
      <c r="B14268" s="35"/>
      <c r="C14268" s="36"/>
      <c r="D14268" s="37"/>
      <c r="E14268" s="36"/>
      <c r="F14268" s="42"/>
      <c r="G14268" s="42"/>
      <c r="H14268" s="42"/>
      <c r="AG14268" s="19"/>
    </row>
    <row r="14269" spans="1:33" ht="14.5" x14ac:dyDescent="0.35">
      <c r="A14269" s="34"/>
      <c r="B14269" s="35"/>
      <c r="C14269" s="36"/>
      <c r="D14269" s="37"/>
      <c r="E14269" s="36"/>
      <c r="F14269" s="42"/>
      <c r="G14269" s="42"/>
      <c r="H14269" s="42"/>
      <c r="AG14269" s="19"/>
    </row>
    <row r="14270" spans="1:33" ht="14.5" x14ac:dyDescent="0.35">
      <c r="A14270" s="34"/>
      <c r="B14270" s="35"/>
      <c r="C14270" s="36"/>
      <c r="D14270" s="37"/>
      <c r="E14270" s="36"/>
      <c r="F14270" s="42"/>
      <c r="G14270" s="42"/>
      <c r="H14270" s="42"/>
      <c r="AG14270" s="19"/>
    </row>
    <row r="14271" spans="1:33" ht="14.5" x14ac:dyDescent="0.35">
      <c r="A14271" s="34"/>
      <c r="B14271" s="35"/>
      <c r="C14271" s="36"/>
      <c r="D14271" s="37"/>
      <c r="E14271" s="36"/>
      <c r="F14271" s="42"/>
      <c r="G14271" s="42"/>
      <c r="H14271" s="42"/>
      <c r="AG14271" s="19"/>
    </row>
    <row r="14272" spans="1:33" ht="14.5" x14ac:dyDescent="0.35">
      <c r="A14272" s="34"/>
      <c r="B14272" s="35"/>
      <c r="C14272" s="36"/>
      <c r="D14272" s="37"/>
      <c r="E14272" s="36"/>
      <c r="F14272" s="42"/>
      <c r="G14272" s="42"/>
      <c r="H14272" s="42"/>
      <c r="AG14272" s="19"/>
    </row>
    <row r="14273" spans="1:33" ht="14.5" x14ac:dyDescent="0.35">
      <c r="A14273" s="34"/>
      <c r="B14273" s="35"/>
      <c r="C14273" s="36"/>
      <c r="D14273" s="37"/>
      <c r="E14273" s="36"/>
      <c r="F14273" s="42"/>
      <c r="G14273" s="42"/>
      <c r="H14273" s="42"/>
      <c r="AG14273" s="19"/>
    </row>
    <row r="14274" spans="1:33" ht="14.5" x14ac:dyDescent="0.35">
      <c r="A14274" s="34"/>
      <c r="B14274" s="35"/>
      <c r="C14274" s="36"/>
      <c r="D14274" s="37"/>
      <c r="E14274" s="36"/>
      <c r="F14274" s="42"/>
      <c r="G14274" s="42"/>
      <c r="H14274" s="42"/>
      <c r="AG14274" s="19"/>
    </row>
    <row r="14275" spans="1:33" ht="14.5" x14ac:dyDescent="0.35">
      <c r="A14275" s="34"/>
      <c r="B14275" s="35"/>
      <c r="C14275" s="36"/>
      <c r="D14275" s="37"/>
      <c r="E14275" s="36"/>
      <c r="F14275" s="42"/>
      <c r="G14275" s="42"/>
      <c r="H14275" s="42"/>
      <c r="AG14275" s="19"/>
    </row>
    <row r="14276" spans="1:33" ht="14.5" x14ac:dyDescent="0.35">
      <c r="A14276" s="34"/>
      <c r="B14276" s="35"/>
      <c r="C14276" s="36"/>
      <c r="D14276" s="37"/>
      <c r="E14276" s="36"/>
      <c r="F14276" s="42"/>
      <c r="G14276" s="42"/>
      <c r="H14276" s="42"/>
      <c r="AG14276" s="19"/>
    </row>
    <row r="14277" spans="1:33" ht="14.5" x14ac:dyDescent="0.35">
      <c r="A14277" s="34"/>
      <c r="B14277" s="35"/>
      <c r="C14277" s="36"/>
      <c r="D14277" s="37"/>
      <c r="E14277" s="36"/>
      <c r="F14277" s="42"/>
      <c r="G14277" s="42"/>
      <c r="H14277" s="42"/>
      <c r="AG14277" s="19"/>
    </row>
    <row r="14278" spans="1:33" ht="14.5" x14ac:dyDescent="0.35">
      <c r="A14278" s="34"/>
      <c r="B14278" s="35"/>
      <c r="C14278" s="36"/>
      <c r="D14278" s="37"/>
      <c r="E14278" s="36"/>
      <c r="F14278" s="42"/>
      <c r="G14278" s="42"/>
      <c r="H14278" s="42"/>
      <c r="AG14278" s="19"/>
    </row>
    <row r="14279" spans="1:33" ht="14.5" x14ac:dyDescent="0.35">
      <c r="A14279" s="34"/>
      <c r="B14279" s="35"/>
      <c r="C14279" s="36"/>
      <c r="D14279" s="37"/>
      <c r="E14279" s="36"/>
      <c r="F14279" s="42"/>
      <c r="G14279" s="42"/>
      <c r="H14279" s="42"/>
      <c r="AG14279" s="19"/>
    </row>
    <row r="14280" spans="1:33" ht="14.5" x14ac:dyDescent="0.35">
      <c r="A14280" s="34"/>
      <c r="B14280" s="35"/>
      <c r="C14280" s="36"/>
      <c r="D14280" s="37"/>
      <c r="E14280" s="36"/>
      <c r="F14280" s="42"/>
      <c r="G14280" s="42"/>
      <c r="H14280" s="42"/>
      <c r="AG14280" s="19"/>
    </row>
    <row r="14281" spans="1:33" ht="14.5" x14ac:dyDescent="0.35">
      <c r="A14281" s="34"/>
      <c r="B14281" s="35"/>
      <c r="C14281" s="36"/>
      <c r="D14281" s="37"/>
      <c r="E14281" s="36"/>
      <c r="F14281" s="42"/>
      <c r="G14281" s="42"/>
      <c r="H14281" s="42"/>
      <c r="AG14281" s="19"/>
    </row>
    <row r="14282" spans="1:33" ht="14.5" x14ac:dyDescent="0.35">
      <c r="A14282" s="34"/>
      <c r="B14282" s="35"/>
      <c r="C14282" s="36"/>
      <c r="D14282" s="37"/>
      <c r="E14282" s="36"/>
      <c r="F14282" s="42"/>
      <c r="G14282" s="42"/>
      <c r="H14282" s="42"/>
      <c r="AG14282" s="19"/>
    </row>
    <row r="14283" spans="1:33" ht="14.5" x14ac:dyDescent="0.35">
      <c r="A14283" s="34"/>
      <c r="B14283" s="35"/>
      <c r="C14283" s="36"/>
      <c r="D14283" s="37"/>
      <c r="E14283" s="36"/>
      <c r="F14283" s="42"/>
      <c r="G14283" s="42"/>
      <c r="H14283" s="42"/>
      <c r="AG14283" s="19"/>
    </row>
    <row r="14284" spans="1:33" ht="14.5" x14ac:dyDescent="0.35">
      <c r="A14284" s="34"/>
      <c r="B14284" s="35"/>
      <c r="C14284" s="36"/>
      <c r="D14284" s="37"/>
      <c r="E14284" s="36"/>
      <c r="F14284" s="42"/>
      <c r="G14284" s="42"/>
      <c r="H14284" s="42"/>
      <c r="AG14284" s="19"/>
    </row>
    <row r="14285" spans="1:33" ht="14.5" x14ac:dyDescent="0.35">
      <c r="A14285" s="34"/>
      <c r="B14285" s="35"/>
      <c r="C14285" s="36"/>
      <c r="D14285" s="37"/>
      <c r="E14285" s="36"/>
      <c r="F14285" s="42"/>
      <c r="G14285" s="42"/>
      <c r="H14285" s="42"/>
      <c r="AG14285" s="19"/>
    </row>
    <row r="14286" spans="1:33" ht="14.5" x14ac:dyDescent="0.35">
      <c r="A14286" s="34"/>
      <c r="B14286" s="35"/>
      <c r="C14286" s="36"/>
      <c r="D14286" s="37"/>
      <c r="E14286" s="36"/>
      <c r="F14286" s="42"/>
      <c r="G14286" s="42"/>
      <c r="H14286" s="42"/>
      <c r="AG14286" s="19"/>
    </row>
    <row r="14287" spans="1:33" ht="14.5" x14ac:dyDescent="0.35">
      <c r="A14287" s="34"/>
      <c r="B14287" s="35"/>
      <c r="C14287" s="36"/>
      <c r="D14287" s="37"/>
      <c r="E14287" s="36"/>
      <c r="F14287" s="42"/>
      <c r="G14287" s="42"/>
      <c r="H14287" s="42"/>
      <c r="AG14287" s="19"/>
    </row>
    <row r="14288" spans="1:33" ht="14.5" x14ac:dyDescent="0.35">
      <c r="A14288" s="34"/>
      <c r="B14288" s="35"/>
      <c r="C14288" s="36"/>
      <c r="D14288" s="37"/>
      <c r="E14288" s="36"/>
      <c r="F14288" s="42"/>
      <c r="G14288" s="42"/>
      <c r="H14288" s="42"/>
      <c r="AG14288" s="19"/>
    </row>
    <row r="14289" spans="1:33" ht="14.5" x14ac:dyDescent="0.35">
      <c r="A14289" s="34"/>
      <c r="B14289" s="35"/>
      <c r="C14289" s="36"/>
      <c r="D14289" s="37"/>
      <c r="E14289" s="36"/>
      <c r="F14289" s="42"/>
      <c r="G14289" s="42"/>
      <c r="H14289" s="42"/>
      <c r="AG14289" s="19"/>
    </row>
    <row r="14290" spans="1:33" ht="14.5" x14ac:dyDescent="0.35">
      <c r="A14290" s="34"/>
      <c r="B14290" s="35"/>
      <c r="C14290" s="36"/>
      <c r="D14290" s="37"/>
      <c r="E14290" s="36"/>
      <c r="F14290" s="42"/>
      <c r="G14290" s="42"/>
      <c r="H14290" s="42"/>
      <c r="AG14290" s="19"/>
    </row>
    <row r="14291" spans="1:33" ht="14.5" x14ac:dyDescent="0.35">
      <c r="A14291" s="34"/>
      <c r="B14291" s="35"/>
      <c r="C14291" s="36"/>
      <c r="D14291" s="37"/>
      <c r="E14291" s="36"/>
      <c r="F14291" s="42"/>
      <c r="G14291" s="42"/>
      <c r="H14291" s="42"/>
      <c r="AG14291" s="19"/>
    </row>
    <row r="14292" spans="1:33" ht="14.5" x14ac:dyDescent="0.35">
      <c r="A14292" s="34"/>
      <c r="B14292" s="35"/>
      <c r="C14292" s="36"/>
      <c r="D14292" s="37"/>
      <c r="E14292" s="36"/>
      <c r="F14292" s="42"/>
      <c r="G14292" s="42"/>
      <c r="H14292" s="42"/>
      <c r="AG14292" s="19"/>
    </row>
    <row r="14293" spans="1:33" ht="14.5" x14ac:dyDescent="0.35">
      <c r="A14293" s="34"/>
      <c r="B14293" s="35"/>
      <c r="C14293" s="36"/>
      <c r="D14293" s="37"/>
      <c r="E14293" s="36"/>
      <c r="F14293" s="42"/>
      <c r="G14293" s="42"/>
      <c r="H14293" s="42"/>
      <c r="AG14293" s="19"/>
    </row>
    <row r="14294" spans="1:33" ht="14.5" x14ac:dyDescent="0.35">
      <c r="A14294" s="34"/>
      <c r="B14294" s="35"/>
      <c r="C14294" s="36"/>
      <c r="D14294" s="37"/>
      <c r="E14294" s="36"/>
      <c r="F14294" s="42"/>
      <c r="G14294" s="42"/>
      <c r="H14294" s="42"/>
      <c r="AG14294" s="19"/>
    </row>
    <row r="14295" spans="1:33" ht="14.5" x14ac:dyDescent="0.35">
      <c r="A14295" s="34"/>
      <c r="B14295" s="35"/>
      <c r="C14295" s="36"/>
      <c r="D14295" s="37"/>
      <c r="E14295" s="36"/>
      <c r="F14295" s="42"/>
      <c r="G14295" s="42"/>
      <c r="H14295" s="42"/>
      <c r="AG14295" s="19"/>
    </row>
    <row r="14296" spans="1:33" ht="14.5" x14ac:dyDescent="0.35">
      <c r="A14296" s="34"/>
      <c r="B14296" s="35"/>
      <c r="C14296" s="36"/>
      <c r="D14296" s="37"/>
      <c r="E14296" s="36"/>
      <c r="F14296" s="42"/>
      <c r="G14296" s="42"/>
      <c r="H14296" s="42"/>
      <c r="AG14296" s="19"/>
    </row>
    <row r="14297" spans="1:33" ht="14.5" x14ac:dyDescent="0.35">
      <c r="A14297" s="34"/>
      <c r="B14297" s="35"/>
      <c r="C14297" s="36"/>
      <c r="D14297" s="37"/>
      <c r="E14297" s="36"/>
      <c r="F14297" s="42"/>
      <c r="G14297" s="42"/>
      <c r="H14297" s="42"/>
      <c r="AG14297" s="19"/>
    </row>
    <row r="14298" spans="1:33" ht="14.5" x14ac:dyDescent="0.35">
      <c r="A14298" s="34"/>
      <c r="B14298" s="35"/>
      <c r="C14298" s="36"/>
      <c r="D14298" s="37"/>
      <c r="E14298" s="36"/>
      <c r="F14298" s="42"/>
      <c r="G14298" s="42"/>
      <c r="H14298" s="42"/>
      <c r="AG14298" s="19"/>
    </row>
    <row r="14299" spans="1:33" ht="14.5" x14ac:dyDescent="0.35">
      <c r="A14299" s="34"/>
      <c r="B14299" s="35"/>
      <c r="C14299" s="36"/>
      <c r="D14299" s="37"/>
      <c r="E14299" s="36"/>
      <c r="F14299" s="42"/>
      <c r="G14299" s="42"/>
      <c r="H14299" s="42"/>
      <c r="AG14299" s="19"/>
    </row>
    <row r="14300" spans="1:33" ht="14.5" x14ac:dyDescent="0.35">
      <c r="A14300" s="34"/>
      <c r="B14300" s="35"/>
      <c r="C14300" s="36"/>
      <c r="D14300" s="37"/>
      <c r="E14300" s="36"/>
      <c r="F14300" s="42"/>
      <c r="G14300" s="42"/>
      <c r="H14300" s="42"/>
      <c r="AG14300" s="19"/>
    </row>
    <row r="14301" spans="1:33" ht="14.5" x14ac:dyDescent="0.35">
      <c r="A14301" s="34"/>
      <c r="B14301" s="35"/>
      <c r="C14301" s="36"/>
      <c r="D14301" s="37"/>
      <c r="E14301" s="36"/>
      <c r="F14301" s="42"/>
      <c r="G14301" s="42"/>
      <c r="H14301" s="42"/>
      <c r="AG14301" s="19"/>
    </row>
    <row r="14302" spans="1:33" ht="14.5" x14ac:dyDescent="0.35">
      <c r="A14302" s="34"/>
      <c r="B14302" s="35"/>
      <c r="C14302" s="36"/>
      <c r="D14302" s="37"/>
      <c r="E14302" s="36"/>
      <c r="F14302" s="42"/>
      <c r="G14302" s="42"/>
      <c r="H14302" s="42"/>
      <c r="AG14302" s="19"/>
    </row>
    <row r="14303" spans="1:33" ht="14.5" x14ac:dyDescent="0.35">
      <c r="A14303" s="34"/>
      <c r="B14303" s="35"/>
      <c r="C14303" s="36"/>
      <c r="D14303" s="37"/>
      <c r="E14303" s="36"/>
      <c r="F14303" s="42"/>
      <c r="G14303" s="42"/>
      <c r="H14303" s="42"/>
      <c r="AG14303" s="19"/>
    </row>
    <row r="14304" spans="1:33" ht="14.5" x14ac:dyDescent="0.35">
      <c r="A14304" s="34"/>
      <c r="B14304" s="35"/>
      <c r="C14304" s="36"/>
      <c r="D14304" s="37"/>
      <c r="E14304" s="36"/>
      <c r="F14304" s="42"/>
      <c r="G14304" s="42"/>
      <c r="H14304" s="42"/>
      <c r="AG14304" s="19"/>
    </row>
    <row r="14305" spans="1:33" ht="14.5" x14ac:dyDescent="0.35">
      <c r="A14305" s="34"/>
      <c r="B14305" s="35"/>
      <c r="C14305" s="36"/>
      <c r="D14305" s="37"/>
      <c r="E14305" s="36"/>
      <c r="F14305" s="42"/>
      <c r="G14305" s="42"/>
      <c r="H14305" s="42"/>
      <c r="AG14305" s="19"/>
    </row>
    <row r="14306" spans="1:33" ht="14.5" x14ac:dyDescent="0.35">
      <c r="A14306" s="34"/>
      <c r="B14306" s="35"/>
      <c r="C14306" s="36"/>
      <c r="D14306" s="37"/>
      <c r="E14306" s="36"/>
      <c r="F14306" s="42"/>
      <c r="G14306" s="42"/>
      <c r="H14306" s="42"/>
      <c r="AG14306" s="19"/>
    </row>
    <row r="14307" spans="1:33" ht="14.5" x14ac:dyDescent="0.35">
      <c r="A14307" s="34"/>
      <c r="B14307" s="35"/>
      <c r="C14307" s="36"/>
      <c r="D14307" s="37"/>
      <c r="E14307" s="36"/>
      <c r="F14307" s="42"/>
      <c r="G14307" s="42"/>
      <c r="H14307" s="42"/>
      <c r="AG14307" s="19"/>
    </row>
    <row r="14308" spans="1:33" ht="14.5" x14ac:dyDescent="0.35">
      <c r="A14308" s="34"/>
      <c r="B14308" s="35"/>
      <c r="C14308" s="36"/>
      <c r="D14308" s="37"/>
      <c r="E14308" s="36"/>
      <c r="F14308" s="42"/>
      <c r="G14308" s="42"/>
      <c r="H14308" s="42"/>
      <c r="AG14308" s="19"/>
    </row>
    <row r="14309" spans="1:33" ht="14.5" x14ac:dyDescent="0.35">
      <c r="A14309" s="34"/>
      <c r="B14309" s="35"/>
      <c r="C14309" s="36"/>
      <c r="D14309" s="37"/>
      <c r="E14309" s="36"/>
      <c r="F14309" s="42"/>
      <c r="G14309" s="42"/>
      <c r="H14309" s="42"/>
      <c r="AG14309" s="19"/>
    </row>
    <row r="14310" spans="1:33" ht="14.5" x14ac:dyDescent="0.35">
      <c r="A14310" s="34"/>
      <c r="B14310" s="35"/>
      <c r="C14310" s="36"/>
      <c r="D14310" s="37"/>
      <c r="E14310" s="36"/>
      <c r="F14310" s="42"/>
      <c r="G14310" s="42"/>
      <c r="H14310" s="42"/>
      <c r="AG14310" s="19"/>
    </row>
    <row r="14311" spans="1:33" ht="14.5" x14ac:dyDescent="0.35">
      <c r="A14311" s="34"/>
      <c r="B14311" s="35"/>
      <c r="C14311" s="36"/>
      <c r="D14311" s="37"/>
      <c r="E14311" s="36"/>
      <c r="F14311" s="42"/>
      <c r="G14311" s="42"/>
      <c r="H14311" s="42"/>
      <c r="AG14311" s="19"/>
    </row>
    <row r="14312" spans="1:33" ht="14.5" x14ac:dyDescent="0.35">
      <c r="A14312" s="34"/>
      <c r="B14312" s="35"/>
      <c r="C14312" s="36"/>
      <c r="D14312" s="37"/>
      <c r="E14312" s="36"/>
      <c r="F14312" s="42"/>
      <c r="G14312" s="42"/>
      <c r="H14312" s="42"/>
      <c r="AG14312" s="19"/>
    </row>
    <row r="14313" spans="1:33" ht="14.5" x14ac:dyDescent="0.35">
      <c r="A14313" s="34"/>
      <c r="B14313" s="35"/>
      <c r="C14313" s="36"/>
      <c r="D14313" s="37"/>
      <c r="E14313" s="36"/>
      <c r="F14313" s="42"/>
      <c r="G14313" s="42"/>
      <c r="H14313" s="42"/>
      <c r="AG14313" s="19"/>
    </row>
    <row r="14314" spans="1:33" ht="14.5" x14ac:dyDescent="0.35">
      <c r="A14314" s="34"/>
      <c r="B14314" s="35"/>
      <c r="C14314" s="36"/>
      <c r="D14314" s="37"/>
      <c r="E14314" s="36"/>
      <c r="F14314" s="42"/>
      <c r="G14314" s="42"/>
      <c r="H14314" s="42"/>
      <c r="AG14314" s="19"/>
    </row>
    <row r="14315" spans="1:33" ht="14.5" x14ac:dyDescent="0.35">
      <c r="A14315" s="34"/>
      <c r="B14315" s="35"/>
      <c r="C14315" s="36"/>
      <c r="D14315" s="37"/>
      <c r="E14315" s="36"/>
      <c r="F14315" s="42"/>
      <c r="G14315" s="42"/>
      <c r="H14315" s="42"/>
      <c r="AG14315" s="19"/>
    </row>
    <row r="14316" spans="1:33" ht="14.5" x14ac:dyDescent="0.35">
      <c r="A14316" s="34"/>
      <c r="B14316" s="35"/>
      <c r="C14316" s="36"/>
      <c r="D14316" s="37"/>
      <c r="E14316" s="36"/>
      <c r="F14316" s="42"/>
      <c r="G14316" s="42"/>
      <c r="H14316" s="42"/>
      <c r="AG14316" s="19"/>
    </row>
    <row r="14317" spans="1:33" ht="14.5" x14ac:dyDescent="0.35">
      <c r="A14317" s="34"/>
      <c r="B14317" s="35"/>
      <c r="C14317" s="36"/>
      <c r="D14317" s="37"/>
      <c r="E14317" s="36"/>
      <c r="F14317" s="42"/>
      <c r="G14317" s="42"/>
      <c r="H14317" s="42"/>
      <c r="AG14317" s="19"/>
    </row>
    <row r="14318" spans="1:33" ht="14.5" x14ac:dyDescent="0.35">
      <c r="A14318" s="34"/>
      <c r="B14318" s="35"/>
      <c r="C14318" s="36"/>
      <c r="D14318" s="37"/>
      <c r="E14318" s="36"/>
      <c r="F14318" s="42"/>
      <c r="G14318" s="42"/>
      <c r="H14318" s="42"/>
      <c r="AG14318" s="19"/>
    </row>
    <row r="14319" spans="1:33" ht="14.5" x14ac:dyDescent="0.35">
      <c r="A14319" s="34"/>
      <c r="B14319" s="35"/>
      <c r="C14319" s="36"/>
      <c r="D14319" s="37"/>
      <c r="E14319" s="36"/>
      <c r="F14319" s="42"/>
      <c r="G14319" s="42"/>
      <c r="H14319" s="42"/>
      <c r="AG14319" s="19"/>
    </row>
    <row r="14320" spans="1:33" ht="14.5" x14ac:dyDescent="0.35">
      <c r="A14320" s="34"/>
      <c r="B14320" s="35"/>
      <c r="C14320" s="36"/>
      <c r="D14320" s="37"/>
      <c r="E14320" s="36"/>
      <c r="F14320" s="42"/>
      <c r="G14320" s="42"/>
      <c r="H14320" s="42"/>
      <c r="AG14320" s="19"/>
    </row>
    <row r="14321" spans="1:33" ht="14.5" x14ac:dyDescent="0.35">
      <c r="A14321" s="34"/>
      <c r="B14321" s="35"/>
      <c r="C14321" s="36"/>
      <c r="D14321" s="37"/>
      <c r="E14321" s="36"/>
      <c r="F14321" s="42"/>
      <c r="G14321" s="42"/>
      <c r="H14321" s="42"/>
      <c r="AG14321" s="19"/>
    </row>
    <row r="14322" spans="1:33" ht="14.5" x14ac:dyDescent="0.35">
      <c r="A14322" s="34"/>
      <c r="B14322" s="35"/>
      <c r="C14322" s="36"/>
      <c r="D14322" s="37"/>
      <c r="E14322" s="36"/>
      <c r="F14322" s="42"/>
      <c r="G14322" s="42"/>
      <c r="H14322" s="42"/>
      <c r="AG14322" s="19"/>
    </row>
    <row r="14323" spans="1:33" ht="14.5" x14ac:dyDescent="0.35">
      <c r="A14323" s="34"/>
      <c r="B14323" s="35"/>
      <c r="C14323" s="36"/>
      <c r="D14323" s="37"/>
      <c r="E14323" s="36"/>
      <c r="F14323" s="42"/>
      <c r="G14323" s="42"/>
      <c r="H14323" s="42"/>
      <c r="AG14323" s="19"/>
    </row>
    <row r="14324" spans="1:33" ht="14.5" x14ac:dyDescent="0.35">
      <c r="A14324" s="34"/>
      <c r="B14324" s="35"/>
      <c r="C14324" s="36"/>
      <c r="D14324" s="37"/>
      <c r="E14324" s="36"/>
      <c r="F14324" s="42"/>
      <c r="G14324" s="42"/>
      <c r="H14324" s="42"/>
      <c r="AG14324" s="19"/>
    </row>
    <row r="14325" spans="1:33" ht="14.5" x14ac:dyDescent="0.35">
      <c r="A14325" s="34"/>
      <c r="B14325" s="35"/>
      <c r="C14325" s="36"/>
      <c r="D14325" s="37"/>
      <c r="E14325" s="36"/>
      <c r="F14325" s="42"/>
      <c r="G14325" s="42"/>
      <c r="H14325" s="42"/>
      <c r="AG14325" s="19"/>
    </row>
    <row r="14326" spans="1:33" ht="14.5" x14ac:dyDescent="0.35">
      <c r="A14326" s="34"/>
      <c r="B14326" s="35"/>
      <c r="C14326" s="36"/>
      <c r="D14326" s="37"/>
      <c r="E14326" s="36"/>
      <c r="F14326" s="42"/>
      <c r="G14326" s="42"/>
      <c r="H14326" s="42"/>
      <c r="AG14326" s="19"/>
    </row>
    <row r="14327" spans="1:33" ht="14.5" x14ac:dyDescent="0.35">
      <c r="A14327" s="34"/>
      <c r="B14327" s="35"/>
      <c r="C14327" s="36"/>
      <c r="D14327" s="37"/>
      <c r="E14327" s="36"/>
      <c r="F14327" s="42"/>
      <c r="G14327" s="42"/>
      <c r="H14327" s="42"/>
      <c r="AG14327" s="19"/>
    </row>
    <row r="14328" spans="1:33" ht="14.5" x14ac:dyDescent="0.35">
      <c r="A14328" s="34"/>
      <c r="B14328" s="35"/>
      <c r="C14328" s="36"/>
      <c r="D14328" s="37"/>
      <c r="E14328" s="36"/>
      <c r="F14328" s="42"/>
      <c r="G14328" s="42"/>
      <c r="H14328" s="42"/>
      <c r="AG14328" s="19"/>
    </row>
    <row r="14329" spans="1:33" ht="14.5" x14ac:dyDescent="0.35">
      <c r="A14329" s="34"/>
      <c r="B14329" s="35"/>
      <c r="C14329" s="36"/>
      <c r="D14329" s="37"/>
      <c r="E14329" s="36"/>
      <c r="F14329" s="42"/>
      <c r="G14329" s="42"/>
      <c r="H14329" s="42"/>
      <c r="AG14329" s="19"/>
    </row>
    <row r="14330" spans="1:33" ht="14.5" x14ac:dyDescent="0.35">
      <c r="A14330" s="34"/>
      <c r="B14330" s="35"/>
      <c r="C14330" s="36"/>
      <c r="D14330" s="37"/>
      <c r="E14330" s="36"/>
      <c r="F14330" s="42"/>
      <c r="G14330" s="42"/>
      <c r="H14330" s="42"/>
      <c r="AG14330" s="19"/>
    </row>
    <row r="14331" spans="1:33" ht="14.5" x14ac:dyDescent="0.35">
      <c r="A14331" s="34"/>
      <c r="B14331" s="35"/>
      <c r="C14331" s="36"/>
      <c r="D14331" s="37"/>
      <c r="E14331" s="36"/>
      <c r="F14331" s="42"/>
      <c r="G14331" s="42"/>
      <c r="H14331" s="42"/>
      <c r="AG14331" s="19"/>
    </row>
    <row r="14332" spans="1:33" ht="14.5" x14ac:dyDescent="0.35">
      <c r="A14332" s="34"/>
      <c r="B14332" s="35"/>
      <c r="C14332" s="36"/>
      <c r="D14332" s="37"/>
      <c r="E14332" s="36"/>
      <c r="F14332" s="42"/>
      <c r="G14332" s="42"/>
      <c r="H14332" s="42"/>
      <c r="AG14332" s="19"/>
    </row>
    <row r="14333" spans="1:33" ht="14.5" x14ac:dyDescent="0.35">
      <c r="A14333" s="34"/>
      <c r="B14333" s="35"/>
      <c r="C14333" s="36"/>
      <c r="D14333" s="37"/>
      <c r="E14333" s="36"/>
      <c r="F14333" s="42"/>
      <c r="G14333" s="42"/>
      <c r="H14333" s="42"/>
      <c r="AG14333" s="19"/>
    </row>
    <row r="14334" spans="1:33" ht="14.5" x14ac:dyDescent="0.35">
      <c r="A14334" s="34"/>
      <c r="B14334" s="35"/>
      <c r="C14334" s="36"/>
      <c r="D14334" s="37"/>
      <c r="E14334" s="36"/>
      <c r="F14334" s="42"/>
      <c r="G14334" s="42"/>
      <c r="H14334" s="42"/>
      <c r="AG14334" s="19"/>
    </row>
    <row r="14335" spans="1:33" ht="14.5" x14ac:dyDescent="0.35">
      <c r="A14335" s="34"/>
      <c r="B14335" s="35"/>
      <c r="C14335" s="36"/>
      <c r="D14335" s="37"/>
      <c r="E14335" s="36"/>
      <c r="F14335" s="42"/>
      <c r="G14335" s="42"/>
      <c r="H14335" s="42"/>
      <c r="AG14335" s="19"/>
    </row>
    <row r="14336" spans="1:33" ht="14.5" x14ac:dyDescent="0.35">
      <c r="A14336" s="34"/>
      <c r="B14336" s="35"/>
      <c r="C14336" s="36"/>
      <c r="D14336" s="37"/>
      <c r="E14336" s="36"/>
      <c r="F14336" s="42"/>
      <c r="G14336" s="42"/>
      <c r="H14336" s="42"/>
      <c r="AG14336" s="19"/>
    </row>
    <row r="14337" spans="1:33" ht="14.5" x14ac:dyDescent="0.35">
      <c r="A14337" s="34"/>
      <c r="B14337" s="35"/>
      <c r="C14337" s="36"/>
      <c r="D14337" s="37"/>
      <c r="E14337" s="36"/>
      <c r="F14337" s="42"/>
      <c r="G14337" s="42"/>
      <c r="H14337" s="42"/>
      <c r="AG14337" s="19"/>
    </row>
    <row r="14338" spans="1:33" ht="14.5" x14ac:dyDescent="0.35">
      <c r="A14338" s="34"/>
      <c r="B14338" s="35"/>
      <c r="C14338" s="36"/>
      <c r="D14338" s="37"/>
      <c r="E14338" s="36"/>
      <c r="F14338" s="42"/>
      <c r="G14338" s="42"/>
      <c r="H14338" s="42"/>
      <c r="AG14338" s="19"/>
    </row>
    <row r="14339" spans="1:33" ht="14.5" x14ac:dyDescent="0.35">
      <c r="A14339" s="34"/>
      <c r="B14339" s="35"/>
      <c r="C14339" s="36"/>
      <c r="D14339" s="37"/>
      <c r="E14339" s="36"/>
      <c r="F14339" s="42"/>
      <c r="G14339" s="42"/>
      <c r="H14339" s="42"/>
      <c r="AG14339" s="19"/>
    </row>
    <row r="14340" spans="1:33" ht="14.5" x14ac:dyDescent="0.35">
      <c r="A14340" s="34"/>
      <c r="B14340" s="35"/>
      <c r="C14340" s="36"/>
      <c r="D14340" s="37"/>
      <c r="E14340" s="36"/>
      <c r="F14340" s="42"/>
      <c r="G14340" s="42"/>
      <c r="H14340" s="42"/>
      <c r="AG14340" s="19"/>
    </row>
    <row r="14341" spans="1:33" ht="14.5" x14ac:dyDescent="0.35">
      <c r="A14341" s="34"/>
      <c r="B14341" s="35"/>
      <c r="C14341" s="36"/>
      <c r="D14341" s="37"/>
      <c r="E14341" s="36"/>
      <c r="F14341" s="42"/>
      <c r="G14341" s="42"/>
      <c r="H14341" s="42"/>
      <c r="AG14341" s="19"/>
    </row>
    <row r="14342" spans="1:33" ht="14.5" x14ac:dyDescent="0.35">
      <c r="A14342" s="34"/>
      <c r="B14342" s="35"/>
      <c r="C14342" s="36"/>
      <c r="D14342" s="37"/>
      <c r="E14342" s="36"/>
      <c r="F14342" s="42"/>
      <c r="G14342" s="42"/>
      <c r="H14342" s="42"/>
      <c r="AG14342" s="19"/>
    </row>
    <row r="14343" spans="1:33" ht="14.5" x14ac:dyDescent="0.35">
      <c r="A14343" s="34"/>
      <c r="B14343" s="35"/>
      <c r="C14343" s="36"/>
      <c r="D14343" s="37"/>
      <c r="E14343" s="36"/>
      <c r="F14343" s="42"/>
      <c r="G14343" s="42"/>
      <c r="H14343" s="42"/>
      <c r="AG14343" s="19"/>
    </row>
    <row r="14344" spans="1:33" ht="14.5" x14ac:dyDescent="0.35">
      <c r="A14344" s="34"/>
      <c r="B14344" s="35"/>
      <c r="C14344" s="36"/>
      <c r="D14344" s="37"/>
      <c r="E14344" s="36"/>
      <c r="F14344" s="42"/>
      <c r="G14344" s="42"/>
      <c r="H14344" s="42"/>
      <c r="AG14344" s="19"/>
    </row>
    <row r="14345" spans="1:33" ht="14.5" x14ac:dyDescent="0.35">
      <c r="A14345" s="34"/>
      <c r="B14345" s="35"/>
      <c r="C14345" s="36"/>
      <c r="D14345" s="37"/>
      <c r="E14345" s="36"/>
      <c r="F14345" s="42"/>
      <c r="G14345" s="42"/>
      <c r="H14345" s="42"/>
      <c r="AG14345" s="19"/>
    </row>
    <row r="14346" spans="1:33" ht="14.5" x14ac:dyDescent="0.35">
      <c r="A14346" s="34"/>
      <c r="B14346" s="35"/>
      <c r="C14346" s="36"/>
      <c r="D14346" s="37"/>
      <c r="E14346" s="36"/>
      <c r="F14346" s="42"/>
      <c r="G14346" s="42"/>
      <c r="H14346" s="42"/>
      <c r="AG14346" s="19"/>
    </row>
    <row r="14347" spans="1:33" ht="14.5" x14ac:dyDescent="0.35">
      <c r="A14347" s="34"/>
      <c r="B14347" s="35"/>
      <c r="C14347" s="36"/>
      <c r="D14347" s="37"/>
      <c r="E14347" s="36"/>
      <c r="F14347" s="42"/>
      <c r="G14347" s="42"/>
      <c r="H14347" s="42"/>
      <c r="AG14347" s="19"/>
    </row>
    <row r="14348" spans="1:33" ht="14.5" x14ac:dyDescent="0.35">
      <c r="A14348" s="34"/>
      <c r="B14348" s="35"/>
      <c r="C14348" s="36"/>
      <c r="D14348" s="37"/>
      <c r="E14348" s="36"/>
      <c r="F14348" s="42"/>
      <c r="G14348" s="42"/>
      <c r="H14348" s="42"/>
      <c r="AG14348" s="19"/>
    </row>
    <row r="14349" spans="1:33" ht="14.5" x14ac:dyDescent="0.35">
      <c r="A14349" s="34"/>
      <c r="B14349" s="35"/>
      <c r="C14349" s="36"/>
      <c r="D14349" s="37"/>
      <c r="E14349" s="36"/>
      <c r="F14349" s="42"/>
      <c r="G14349" s="42"/>
      <c r="H14349" s="42"/>
      <c r="AG14349" s="19"/>
    </row>
    <row r="14350" spans="1:33" ht="14.5" x14ac:dyDescent="0.35">
      <c r="A14350" s="34"/>
      <c r="B14350" s="35"/>
      <c r="C14350" s="36"/>
      <c r="D14350" s="37"/>
      <c r="E14350" s="36"/>
      <c r="F14350" s="42"/>
      <c r="G14350" s="42"/>
      <c r="H14350" s="42"/>
      <c r="AG14350" s="19"/>
    </row>
    <row r="14351" spans="1:33" ht="14.5" x14ac:dyDescent="0.35">
      <c r="A14351" s="34"/>
      <c r="B14351" s="35"/>
      <c r="C14351" s="36"/>
      <c r="D14351" s="37"/>
      <c r="E14351" s="36"/>
      <c r="F14351" s="42"/>
      <c r="G14351" s="42"/>
      <c r="H14351" s="42"/>
      <c r="AG14351" s="19"/>
    </row>
    <row r="14352" spans="1:33" ht="14.5" x14ac:dyDescent="0.35">
      <c r="A14352" s="34"/>
      <c r="B14352" s="35"/>
      <c r="C14352" s="36"/>
      <c r="D14352" s="37"/>
      <c r="E14352" s="36"/>
      <c r="F14352" s="42"/>
      <c r="G14352" s="42"/>
      <c r="H14352" s="42"/>
      <c r="AG14352" s="19"/>
    </row>
    <row r="14353" spans="1:33" ht="14.5" x14ac:dyDescent="0.35">
      <c r="A14353" s="34"/>
      <c r="B14353" s="35"/>
      <c r="C14353" s="36"/>
      <c r="D14353" s="37"/>
      <c r="E14353" s="36"/>
      <c r="F14353" s="42"/>
      <c r="G14353" s="42"/>
      <c r="H14353" s="42"/>
      <c r="AG14353" s="19"/>
    </row>
    <row r="14354" spans="1:33" ht="14.5" x14ac:dyDescent="0.35">
      <c r="A14354" s="34"/>
      <c r="B14354" s="35"/>
      <c r="C14354" s="36"/>
      <c r="D14354" s="37"/>
      <c r="E14354" s="36"/>
      <c r="F14354" s="42"/>
      <c r="G14354" s="42"/>
      <c r="H14354" s="42"/>
      <c r="AG14354" s="19"/>
    </row>
    <row r="14355" spans="1:33" ht="14.5" x14ac:dyDescent="0.35">
      <c r="A14355" s="34"/>
      <c r="B14355" s="35"/>
      <c r="C14355" s="36"/>
      <c r="D14355" s="37"/>
      <c r="E14355" s="36"/>
      <c r="F14355" s="42"/>
      <c r="G14355" s="42"/>
      <c r="H14355" s="42"/>
      <c r="AG14355" s="19"/>
    </row>
    <row r="14356" spans="1:33" ht="14.5" x14ac:dyDescent="0.35">
      <c r="A14356" s="34"/>
      <c r="B14356" s="35"/>
      <c r="C14356" s="36"/>
      <c r="D14356" s="37"/>
      <c r="E14356" s="36"/>
      <c r="F14356" s="42"/>
      <c r="G14356" s="42"/>
      <c r="H14356" s="42"/>
      <c r="AG14356" s="19"/>
    </row>
    <row r="14357" spans="1:33" ht="14.5" x14ac:dyDescent="0.35">
      <c r="A14357" s="34"/>
      <c r="B14357" s="35"/>
      <c r="C14357" s="36"/>
      <c r="D14357" s="37"/>
      <c r="E14357" s="36"/>
      <c r="F14357" s="42"/>
      <c r="G14357" s="42"/>
      <c r="H14357" s="42"/>
      <c r="AG14357" s="19"/>
    </row>
    <row r="14358" spans="1:33" ht="14.5" x14ac:dyDescent="0.35">
      <c r="A14358" s="34"/>
      <c r="B14358" s="35"/>
      <c r="C14358" s="36"/>
      <c r="D14358" s="37"/>
      <c r="E14358" s="36"/>
      <c r="F14358" s="42"/>
      <c r="G14358" s="42"/>
      <c r="H14358" s="42"/>
      <c r="AG14358" s="19"/>
    </row>
    <row r="14359" spans="1:33" ht="14.5" x14ac:dyDescent="0.35">
      <c r="A14359" s="34"/>
      <c r="B14359" s="35"/>
      <c r="C14359" s="36"/>
      <c r="D14359" s="37"/>
      <c r="E14359" s="36"/>
      <c r="F14359" s="42"/>
      <c r="G14359" s="42"/>
      <c r="H14359" s="42"/>
      <c r="AG14359" s="19"/>
    </row>
    <row r="14360" spans="1:33" ht="14.5" x14ac:dyDescent="0.35">
      <c r="A14360" s="34"/>
      <c r="B14360" s="35"/>
      <c r="C14360" s="36"/>
      <c r="D14360" s="37"/>
      <c r="E14360" s="36"/>
      <c r="F14360" s="42"/>
      <c r="G14360" s="42"/>
      <c r="H14360" s="42"/>
      <c r="AG14360" s="19"/>
    </row>
    <row r="14361" spans="1:33" ht="14.5" x14ac:dyDescent="0.35">
      <c r="A14361" s="34"/>
      <c r="B14361" s="35"/>
      <c r="C14361" s="36"/>
      <c r="D14361" s="37"/>
      <c r="E14361" s="36"/>
      <c r="F14361" s="42"/>
      <c r="G14361" s="42"/>
      <c r="H14361" s="42"/>
      <c r="AG14361" s="19"/>
    </row>
    <row r="14362" spans="1:33" ht="14.5" x14ac:dyDescent="0.35">
      <c r="A14362" s="34"/>
      <c r="B14362" s="35"/>
      <c r="C14362" s="36"/>
      <c r="D14362" s="37"/>
      <c r="E14362" s="36"/>
      <c r="F14362" s="42"/>
      <c r="G14362" s="42"/>
      <c r="H14362" s="42"/>
      <c r="AG14362" s="19"/>
    </row>
    <row r="14363" spans="1:33" ht="14.5" x14ac:dyDescent="0.35">
      <c r="A14363" s="34"/>
      <c r="B14363" s="35"/>
      <c r="C14363" s="36"/>
      <c r="D14363" s="37"/>
      <c r="E14363" s="36"/>
      <c r="F14363" s="42"/>
      <c r="G14363" s="42"/>
      <c r="H14363" s="42"/>
      <c r="AG14363" s="19"/>
    </row>
    <row r="14364" spans="1:33" ht="14.5" x14ac:dyDescent="0.35">
      <c r="A14364" s="34"/>
      <c r="B14364" s="35"/>
      <c r="C14364" s="36"/>
      <c r="D14364" s="37"/>
      <c r="E14364" s="36"/>
      <c r="F14364" s="42"/>
      <c r="G14364" s="42"/>
      <c r="H14364" s="42"/>
      <c r="AG14364" s="19"/>
    </row>
    <row r="14365" spans="1:33" ht="14.5" x14ac:dyDescent="0.35">
      <c r="A14365" s="34"/>
      <c r="B14365" s="35"/>
      <c r="C14365" s="36"/>
      <c r="D14365" s="37"/>
      <c r="E14365" s="36"/>
      <c r="F14365" s="42"/>
      <c r="G14365" s="42"/>
      <c r="H14365" s="42"/>
      <c r="AG14365" s="19"/>
    </row>
    <row r="14366" spans="1:33" ht="14.5" x14ac:dyDescent="0.35">
      <c r="A14366" s="34"/>
      <c r="B14366" s="35"/>
      <c r="C14366" s="36"/>
      <c r="D14366" s="37"/>
      <c r="E14366" s="36"/>
      <c r="F14366" s="42"/>
      <c r="G14366" s="42"/>
      <c r="H14366" s="42"/>
      <c r="AG14366" s="19"/>
    </row>
    <row r="14367" spans="1:33" ht="14.5" x14ac:dyDescent="0.35">
      <c r="A14367" s="34"/>
      <c r="B14367" s="35"/>
      <c r="C14367" s="36"/>
      <c r="D14367" s="37"/>
      <c r="E14367" s="36"/>
      <c r="F14367" s="42"/>
      <c r="G14367" s="42"/>
      <c r="H14367" s="42"/>
      <c r="AG14367" s="19"/>
    </row>
    <row r="14368" spans="1:33" ht="14.5" x14ac:dyDescent="0.35">
      <c r="A14368" s="34"/>
      <c r="B14368" s="35"/>
      <c r="C14368" s="36"/>
      <c r="D14368" s="37"/>
      <c r="E14368" s="36"/>
      <c r="F14368" s="42"/>
      <c r="G14368" s="42"/>
      <c r="H14368" s="42"/>
      <c r="AG14368" s="19"/>
    </row>
    <row r="14369" spans="1:33" ht="14.5" x14ac:dyDescent="0.35">
      <c r="A14369" s="34"/>
      <c r="B14369" s="35"/>
      <c r="C14369" s="36"/>
      <c r="D14369" s="37"/>
      <c r="E14369" s="36"/>
      <c r="F14369" s="42"/>
      <c r="G14369" s="42"/>
      <c r="H14369" s="42"/>
      <c r="AG14369" s="19"/>
    </row>
    <row r="14370" spans="1:33" ht="14.5" x14ac:dyDescent="0.35">
      <c r="A14370" s="34"/>
      <c r="B14370" s="35"/>
      <c r="C14370" s="36"/>
      <c r="D14370" s="37"/>
      <c r="E14370" s="36"/>
      <c r="F14370" s="42"/>
      <c r="G14370" s="42"/>
      <c r="H14370" s="42"/>
      <c r="AG14370" s="19"/>
    </row>
    <row r="14371" spans="1:33" ht="14.5" x14ac:dyDescent="0.35">
      <c r="A14371" s="34"/>
      <c r="B14371" s="35"/>
      <c r="C14371" s="36"/>
      <c r="D14371" s="37"/>
      <c r="E14371" s="36"/>
      <c r="F14371" s="42"/>
      <c r="G14371" s="42"/>
      <c r="H14371" s="42"/>
      <c r="AG14371" s="19"/>
    </row>
    <row r="14372" spans="1:33" ht="14.5" x14ac:dyDescent="0.35">
      <c r="A14372" s="34"/>
      <c r="B14372" s="35"/>
      <c r="C14372" s="36"/>
      <c r="D14372" s="37"/>
      <c r="E14372" s="36"/>
      <c r="F14372" s="42"/>
      <c r="G14372" s="42"/>
      <c r="H14372" s="42"/>
      <c r="AG14372" s="19"/>
    </row>
    <row r="14373" spans="1:33" ht="14.5" x14ac:dyDescent="0.35">
      <c r="A14373" s="34"/>
      <c r="B14373" s="35"/>
      <c r="C14373" s="36"/>
      <c r="D14373" s="37"/>
      <c r="E14373" s="36"/>
      <c r="F14373" s="42"/>
      <c r="G14373" s="42"/>
      <c r="H14373" s="42"/>
      <c r="AG14373" s="19"/>
    </row>
    <row r="14374" spans="1:33" ht="14.5" x14ac:dyDescent="0.35">
      <c r="A14374" s="34"/>
      <c r="B14374" s="35"/>
      <c r="C14374" s="36"/>
      <c r="D14374" s="37"/>
      <c r="E14374" s="36"/>
      <c r="F14374" s="42"/>
      <c r="G14374" s="42"/>
      <c r="H14374" s="42"/>
      <c r="AG14374" s="19"/>
    </row>
    <row r="14375" spans="1:33" ht="14.5" x14ac:dyDescent="0.35">
      <c r="A14375" s="34"/>
      <c r="B14375" s="35"/>
      <c r="C14375" s="36"/>
      <c r="D14375" s="37"/>
      <c r="E14375" s="36"/>
      <c r="F14375" s="42"/>
      <c r="G14375" s="42"/>
      <c r="H14375" s="42"/>
      <c r="AG14375" s="19"/>
    </row>
    <row r="14376" spans="1:33" ht="14.5" x14ac:dyDescent="0.35">
      <c r="A14376" s="34"/>
      <c r="B14376" s="35"/>
      <c r="C14376" s="36"/>
      <c r="D14376" s="37"/>
      <c r="E14376" s="36"/>
      <c r="F14376" s="42"/>
      <c r="G14376" s="42"/>
      <c r="H14376" s="42"/>
      <c r="AG14376" s="19"/>
    </row>
    <row r="14377" spans="1:33" ht="14.5" x14ac:dyDescent="0.35">
      <c r="A14377" s="34"/>
      <c r="B14377" s="35"/>
      <c r="C14377" s="36"/>
      <c r="D14377" s="37"/>
      <c r="E14377" s="36"/>
      <c r="F14377" s="42"/>
      <c r="G14377" s="42"/>
      <c r="H14377" s="42"/>
      <c r="AG14377" s="19"/>
    </row>
    <row r="14378" spans="1:33" ht="14.5" x14ac:dyDescent="0.35">
      <c r="A14378" s="34"/>
      <c r="B14378" s="35"/>
      <c r="C14378" s="36"/>
      <c r="D14378" s="37"/>
      <c r="E14378" s="36"/>
      <c r="F14378" s="42"/>
      <c r="G14378" s="42"/>
      <c r="H14378" s="42"/>
      <c r="AG14378" s="19"/>
    </row>
    <row r="14379" spans="1:33" ht="14.5" x14ac:dyDescent="0.35">
      <c r="A14379" s="34"/>
      <c r="B14379" s="35"/>
      <c r="C14379" s="36"/>
      <c r="D14379" s="37"/>
      <c r="E14379" s="36"/>
      <c r="F14379" s="42"/>
      <c r="G14379" s="42"/>
      <c r="H14379" s="42"/>
      <c r="AG14379" s="19"/>
    </row>
    <row r="14380" spans="1:33" ht="14.5" x14ac:dyDescent="0.35">
      <c r="A14380" s="34"/>
      <c r="B14380" s="35"/>
      <c r="C14380" s="36"/>
      <c r="D14380" s="37"/>
      <c r="E14380" s="36"/>
      <c r="F14380" s="42"/>
      <c r="G14380" s="42"/>
      <c r="H14380" s="42"/>
      <c r="AG14380" s="19"/>
    </row>
    <row r="14381" spans="1:33" ht="14.5" x14ac:dyDescent="0.35">
      <c r="A14381" s="34"/>
      <c r="B14381" s="35"/>
      <c r="C14381" s="36"/>
      <c r="D14381" s="37"/>
      <c r="E14381" s="36"/>
      <c r="F14381" s="42"/>
      <c r="G14381" s="42"/>
      <c r="H14381" s="42"/>
      <c r="AG14381" s="19"/>
    </row>
    <row r="14382" spans="1:33" ht="14.5" x14ac:dyDescent="0.35">
      <c r="A14382" s="34"/>
      <c r="B14382" s="35"/>
      <c r="C14382" s="36"/>
      <c r="D14382" s="37"/>
      <c r="E14382" s="36"/>
      <c r="F14382" s="42"/>
      <c r="G14382" s="42"/>
      <c r="H14382" s="42"/>
      <c r="AG14382" s="19"/>
    </row>
    <row r="14383" spans="1:33" ht="14.5" x14ac:dyDescent="0.35">
      <c r="A14383" s="34"/>
      <c r="B14383" s="35"/>
      <c r="C14383" s="36"/>
      <c r="D14383" s="37"/>
      <c r="E14383" s="36"/>
      <c r="F14383" s="42"/>
      <c r="G14383" s="42"/>
      <c r="H14383" s="42"/>
      <c r="AG14383" s="19"/>
    </row>
    <row r="14384" spans="1:33" ht="14.5" x14ac:dyDescent="0.35">
      <c r="A14384" s="34"/>
      <c r="B14384" s="35"/>
      <c r="C14384" s="36"/>
      <c r="D14384" s="37"/>
      <c r="E14384" s="36"/>
      <c r="F14384" s="42"/>
      <c r="G14384" s="42"/>
      <c r="H14384" s="42"/>
      <c r="AG14384" s="19"/>
    </row>
    <row r="14385" spans="1:33" ht="14.5" x14ac:dyDescent="0.35">
      <c r="A14385" s="34"/>
      <c r="B14385" s="35"/>
      <c r="C14385" s="36"/>
      <c r="D14385" s="37"/>
      <c r="E14385" s="36"/>
      <c r="F14385" s="42"/>
      <c r="G14385" s="42"/>
      <c r="H14385" s="42"/>
      <c r="AG14385" s="19"/>
    </row>
    <row r="14386" spans="1:33" ht="14.5" x14ac:dyDescent="0.35">
      <c r="A14386" s="34"/>
      <c r="B14386" s="35"/>
      <c r="C14386" s="36"/>
      <c r="D14386" s="37"/>
      <c r="E14386" s="36"/>
      <c r="F14386" s="42"/>
      <c r="G14386" s="42"/>
      <c r="H14386" s="42"/>
      <c r="AG14386" s="19"/>
    </row>
    <row r="14387" spans="1:33" ht="14.5" x14ac:dyDescent="0.35">
      <c r="A14387" s="34"/>
      <c r="B14387" s="35"/>
      <c r="C14387" s="36"/>
      <c r="D14387" s="37"/>
      <c r="E14387" s="36"/>
      <c r="F14387" s="42"/>
      <c r="G14387" s="42"/>
      <c r="H14387" s="42"/>
      <c r="AG14387" s="19"/>
    </row>
    <row r="14388" spans="1:33" ht="14.5" x14ac:dyDescent="0.35">
      <c r="A14388" s="34"/>
      <c r="B14388" s="35"/>
      <c r="C14388" s="36"/>
      <c r="D14388" s="37"/>
      <c r="E14388" s="36"/>
      <c r="F14388" s="42"/>
      <c r="G14388" s="42"/>
      <c r="H14388" s="42"/>
      <c r="AG14388" s="19"/>
    </row>
    <row r="14389" spans="1:33" ht="14.5" x14ac:dyDescent="0.35">
      <c r="A14389" s="34"/>
      <c r="B14389" s="35"/>
      <c r="C14389" s="36"/>
      <c r="D14389" s="37"/>
      <c r="E14389" s="36"/>
      <c r="F14389" s="42"/>
      <c r="G14389" s="42"/>
      <c r="H14389" s="42"/>
      <c r="AG14389" s="19"/>
    </row>
    <row r="14390" spans="1:33" ht="14.5" x14ac:dyDescent="0.35">
      <c r="A14390" s="34"/>
      <c r="B14390" s="35"/>
      <c r="C14390" s="36"/>
      <c r="D14390" s="37"/>
      <c r="E14390" s="36"/>
      <c r="F14390" s="42"/>
      <c r="G14390" s="42"/>
      <c r="H14390" s="42"/>
      <c r="AG14390" s="19"/>
    </row>
    <row r="14391" spans="1:33" ht="14.5" x14ac:dyDescent="0.35">
      <c r="A14391" s="34"/>
      <c r="B14391" s="35"/>
      <c r="C14391" s="36"/>
      <c r="D14391" s="37"/>
      <c r="E14391" s="36"/>
      <c r="F14391" s="42"/>
      <c r="G14391" s="42"/>
      <c r="H14391" s="42"/>
      <c r="AG14391" s="19"/>
    </row>
    <row r="14392" spans="1:33" ht="14.5" x14ac:dyDescent="0.35">
      <c r="A14392" s="34"/>
      <c r="B14392" s="35"/>
      <c r="C14392" s="36"/>
      <c r="D14392" s="37"/>
      <c r="E14392" s="36"/>
      <c r="F14392" s="42"/>
      <c r="G14392" s="42"/>
      <c r="H14392" s="42"/>
      <c r="AG14392" s="19"/>
    </row>
    <row r="14393" spans="1:33" ht="14.5" x14ac:dyDescent="0.35">
      <c r="A14393" s="34"/>
      <c r="B14393" s="35"/>
      <c r="C14393" s="36"/>
      <c r="D14393" s="37"/>
      <c r="E14393" s="36"/>
      <c r="F14393" s="42"/>
      <c r="G14393" s="42"/>
      <c r="H14393" s="42"/>
      <c r="AG14393" s="19"/>
    </row>
    <row r="14394" spans="1:33" ht="14.5" x14ac:dyDescent="0.35">
      <c r="A14394" s="34"/>
      <c r="B14394" s="35"/>
      <c r="C14394" s="36"/>
      <c r="D14394" s="37"/>
      <c r="E14394" s="36"/>
      <c r="F14394" s="42"/>
      <c r="G14394" s="42"/>
      <c r="H14394" s="42"/>
      <c r="AG14394" s="19"/>
    </row>
    <row r="14395" spans="1:33" ht="14.5" x14ac:dyDescent="0.35">
      <c r="A14395" s="34"/>
      <c r="B14395" s="35"/>
      <c r="C14395" s="36"/>
      <c r="D14395" s="37"/>
      <c r="E14395" s="36"/>
      <c r="F14395" s="42"/>
      <c r="G14395" s="42"/>
      <c r="H14395" s="42"/>
      <c r="AG14395" s="19"/>
    </row>
    <row r="14396" spans="1:33" ht="14.5" x14ac:dyDescent="0.35">
      <c r="A14396" s="34"/>
      <c r="B14396" s="35"/>
      <c r="C14396" s="36"/>
      <c r="D14396" s="37"/>
      <c r="E14396" s="36"/>
      <c r="F14396" s="42"/>
      <c r="G14396" s="42"/>
      <c r="H14396" s="42"/>
      <c r="AG14396" s="19"/>
    </row>
    <row r="14397" spans="1:33" ht="14.5" x14ac:dyDescent="0.35">
      <c r="A14397" s="34"/>
      <c r="B14397" s="35"/>
      <c r="C14397" s="36"/>
      <c r="D14397" s="37"/>
      <c r="E14397" s="36"/>
      <c r="F14397" s="42"/>
      <c r="G14397" s="42"/>
      <c r="H14397" s="42"/>
      <c r="AG14397" s="19"/>
    </row>
    <row r="14398" spans="1:33" ht="14.5" x14ac:dyDescent="0.35">
      <c r="A14398" s="34"/>
      <c r="B14398" s="35"/>
      <c r="C14398" s="36"/>
      <c r="D14398" s="37"/>
      <c r="E14398" s="36"/>
      <c r="F14398" s="42"/>
      <c r="G14398" s="42"/>
      <c r="H14398" s="42"/>
      <c r="AG14398" s="19"/>
    </row>
    <row r="14399" spans="1:33" ht="14.5" x14ac:dyDescent="0.35">
      <c r="A14399" s="34"/>
      <c r="B14399" s="35"/>
      <c r="C14399" s="36"/>
      <c r="D14399" s="37"/>
      <c r="E14399" s="36"/>
      <c r="F14399" s="42"/>
      <c r="G14399" s="42"/>
      <c r="H14399" s="42"/>
      <c r="AG14399" s="19"/>
    </row>
    <row r="14400" spans="1:33" ht="14.5" x14ac:dyDescent="0.35">
      <c r="A14400" s="34"/>
      <c r="B14400" s="35"/>
      <c r="C14400" s="36"/>
      <c r="D14400" s="37"/>
      <c r="E14400" s="36"/>
      <c r="F14400" s="42"/>
      <c r="G14400" s="42"/>
      <c r="H14400" s="42"/>
      <c r="AG14400" s="19"/>
    </row>
    <row r="14401" spans="1:33" ht="14.5" x14ac:dyDescent="0.35">
      <c r="A14401" s="34"/>
      <c r="B14401" s="35"/>
      <c r="C14401" s="36"/>
      <c r="D14401" s="37"/>
      <c r="E14401" s="36"/>
      <c r="F14401" s="42"/>
      <c r="G14401" s="42"/>
      <c r="H14401" s="42"/>
      <c r="AG14401" s="19"/>
    </row>
    <row r="14402" spans="1:33" ht="14.5" x14ac:dyDescent="0.35">
      <c r="A14402" s="34"/>
      <c r="B14402" s="35"/>
      <c r="C14402" s="36"/>
      <c r="D14402" s="37"/>
      <c r="E14402" s="36"/>
      <c r="F14402" s="42"/>
      <c r="G14402" s="42"/>
      <c r="H14402" s="42"/>
      <c r="AG14402" s="19"/>
    </row>
    <row r="14403" spans="1:33" ht="14.5" x14ac:dyDescent="0.35">
      <c r="A14403" s="34"/>
      <c r="B14403" s="35"/>
      <c r="C14403" s="36"/>
      <c r="D14403" s="37"/>
      <c r="E14403" s="36"/>
      <c r="F14403" s="42"/>
      <c r="G14403" s="42"/>
      <c r="H14403" s="42"/>
      <c r="AG14403" s="19"/>
    </row>
    <row r="14404" spans="1:33" ht="14.5" x14ac:dyDescent="0.35">
      <c r="A14404" s="34"/>
      <c r="B14404" s="35"/>
      <c r="C14404" s="36"/>
      <c r="D14404" s="37"/>
      <c r="E14404" s="36"/>
      <c r="F14404" s="42"/>
      <c r="G14404" s="42"/>
      <c r="H14404" s="42"/>
      <c r="AG14404" s="19"/>
    </row>
    <row r="14405" spans="1:33" ht="14.5" x14ac:dyDescent="0.35">
      <c r="A14405" s="34"/>
      <c r="B14405" s="35"/>
      <c r="C14405" s="36"/>
      <c r="D14405" s="37"/>
      <c r="E14405" s="36"/>
      <c r="F14405" s="42"/>
      <c r="G14405" s="42"/>
      <c r="H14405" s="42"/>
      <c r="AG14405" s="19"/>
    </row>
    <row r="14406" spans="1:33" ht="14.5" x14ac:dyDescent="0.35">
      <c r="A14406" s="34"/>
      <c r="B14406" s="35"/>
      <c r="C14406" s="36"/>
      <c r="D14406" s="37"/>
      <c r="E14406" s="36"/>
      <c r="F14406" s="42"/>
      <c r="G14406" s="42"/>
      <c r="H14406" s="42"/>
      <c r="AG14406" s="19"/>
    </row>
    <row r="14407" spans="1:33" ht="14.5" x14ac:dyDescent="0.35">
      <c r="A14407" s="34"/>
      <c r="B14407" s="35"/>
      <c r="C14407" s="36"/>
      <c r="D14407" s="37"/>
      <c r="E14407" s="36"/>
      <c r="F14407" s="42"/>
      <c r="G14407" s="42"/>
      <c r="H14407" s="42"/>
      <c r="AG14407" s="19"/>
    </row>
    <row r="14408" spans="1:33" ht="14.5" x14ac:dyDescent="0.35">
      <c r="A14408" s="34"/>
      <c r="B14408" s="35"/>
      <c r="C14408" s="36"/>
      <c r="D14408" s="37"/>
      <c r="E14408" s="36"/>
      <c r="F14408" s="42"/>
      <c r="G14408" s="42"/>
      <c r="H14408" s="42"/>
      <c r="AG14408" s="19"/>
    </row>
    <row r="14409" spans="1:33" ht="14.5" x14ac:dyDescent="0.35">
      <c r="A14409" s="34"/>
      <c r="B14409" s="35"/>
      <c r="C14409" s="36"/>
      <c r="D14409" s="37"/>
      <c r="E14409" s="36"/>
      <c r="F14409" s="42"/>
      <c r="G14409" s="42"/>
      <c r="H14409" s="42"/>
      <c r="AG14409" s="19"/>
    </row>
    <row r="14410" spans="1:33" ht="14.5" x14ac:dyDescent="0.35">
      <c r="A14410" s="34"/>
      <c r="B14410" s="35"/>
      <c r="C14410" s="36"/>
      <c r="D14410" s="37"/>
      <c r="E14410" s="36"/>
      <c r="F14410" s="42"/>
      <c r="G14410" s="42"/>
      <c r="H14410" s="42"/>
      <c r="AG14410" s="19"/>
    </row>
    <row r="14411" spans="1:33" ht="14.5" x14ac:dyDescent="0.35">
      <c r="A14411" s="34"/>
      <c r="B14411" s="35"/>
      <c r="C14411" s="36"/>
      <c r="D14411" s="37"/>
      <c r="E14411" s="36"/>
      <c r="F14411" s="42"/>
      <c r="G14411" s="42"/>
      <c r="H14411" s="42"/>
      <c r="AG14411" s="19"/>
    </row>
    <row r="14412" spans="1:33" ht="14.5" x14ac:dyDescent="0.35">
      <c r="A14412" s="34"/>
      <c r="B14412" s="35"/>
      <c r="C14412" s="36"/>
      <c r="D14412" s="37"/>
      <c r="E14412" s="36"/>
      <c r="F14412" s="42"/>
      <c r="G14412" s="42"/>
      <c r="H14412" s="42"/>
      <c r="AG14412" s="19"/>
    </row>
    <row r="14413" spans="1:33" ht="14.5" x14ac:dyDescent="0.35">
      <c r="A14413" s="34"/>
      <c r="B14413" s="35"/>
      <c r="C14413" s="36"/>
      <c r="D14413" s="37"/>
      <c r="E14413" s="36"/>
      <c r="F14413" s="42"/>
      <c r="G14413" s="42"/>
      <c r="H14413" s="42"/>
      <c r="AG14413" s="19"/>
    </row>
    <row r="14414" spans="1:33" ht="14.5" x14ac:dyDescent="0.35">
      <c r="A14414" s="34"/>
      <c r="B14414" s="35"/>
      <c r="C14414" s="36"/>
      <c r="D14414" s="37"/>
      <c r="E14414" s="36"/>
      <c r="F14414" s="42"/>
      <c r="G14414" s="42"/>
      <c r="H14414" s="42"/>
      <c r="AG14414" s="19"/>
    </row>
    <row r="14415" spans="1:33" ht="14.5" x14ac:dyDescent="0.35">
      <c r="A14415" s="34"/>
      <c r="B14415" s="35"/>
      <c r="C14415" s="36"/>
      <c r="D14415" s="37"/>
      <c r="E14415" s="36"/>
      <c r="F14415" s="42"/>
      <c r="G14415" s="42"/>
      <c r="H14415" s="42"/>
      <c r="AG14415" s="19"/>
    </row>
    <row r="14416" spans="1:33" ht="14.5" x14ac:dyDescent="0.35">
      <c r="A14416" s="34"/>
      <c r="B14416" s="35"/>
      <c r="C14416" s="36"/>
      <c r="D14416" s="37"/>
      <c r="E14416" s="36"/>
      <c r="F14416" s="42"/>
      <c r="G14416" s="42"/>
      <c r="H14416" s="42"/>
      <c r="AG14416" s="19"/>
    </row>
    <row r="14417" spans="1:33" ht="14.5" x14ac:dyDescent="0.35">
      <c r="A14417" s="34"/>
      <c r="B14417" s="35"/>
      <c r="C14417" s="36"/>
      <c r="D14417" s="37"/>
      <c r="E14417" s="36"/>
      <c r="F14417" s="42"/>
      <c r="G14417" s="42"/>
      <c r="H14417" s="42"/>
      <c r="AG14417" s="19"/>
    </row>
    <row r="14418" spans="1:33" ht="14.5" x14ac:dyDescent="0.35">
      <c r="A14418" s="34"/>
      <c r="B14418" s="35"/>
      <c r="C14418" s="36"/>
      <c r="D14418" s="37"/>
      <c r="E14418" s="36"/>
      <c r="F14418" s="42"/>
      <c r="G14418" s="42"/>
      <c r="H14418" s="42"/>
      <c r="AG14418" s="19"/>
    </row>
    <row r="14419" spans="1:33" ht="14.5" x14ac:dyDescent="0.35">
      <c r="A14419" s="34"/>
      <c r="B14419" s="35"/>
      <c r="C14419" s="36"/>
      <c r="D14419" s="37"/>
      <c r="E14419" s="36"/>
      <c r="F14419" s="42"/>
      <c r="G14419" s="42"/>
      <c r="H14419" s="42"/>
      <c r="AG14419" s="19"/>
    </row>
    <row r="14420" spans="1:33" ht="14.5" x14ac:dyDescent="0.35">
      <c r="A14420" s="34"/>
      <c r="B14420" s="35"/>
      <c r="C14420" s="36"/>
      <c r="D14420" s="37"/>
      <c r="E14420" s="36"/>
      <c r="F14420" s="42"/>
      <c r="G14420" s="42"/>
      <c r="H14420" s="42"/>
      <c r="AG14420" s="19"/>
    </row>
    <row r="14421" spans="1:33" ht="14.5" x14ac:dyDescent="0.35">
      <c r="A14421" s="34"/>
      <c r="B14421" s="35"/>
      <c r="C14421" s="36"/>
      <c r="D14421" s="37"/>
      <c r="E14421" s="36"/>
      <c r="F14421" s="42"/>
      <c r="G14421" s="42"/>
      <c r="H14421" s="42"/>
      <c r="AG14421" s="19"/>
    </row>
    <row r="14422" spans="1:33" ht="14.5" x14ac:dyDescent="0.35">
      <c r="A14422" s="34"/>
      <c r="B14422" s="35"/>
      <c r="C14422" s="36"/>
      <c r="D14422" s="37"/>
      <c r="E14422" s="36"/>
      <c r="F14422" s="42"/>
      <c r="G14422" s="42"/>
      <c r="H14422" s="42"/>
      <c r="AG14422" s="19"/>
    </row>
    <row r="14423" spans="1:33" ht="14.5" x14ac:dyDescent="0.35">
      <c r="A14423" s="34"/>
      <c r="B14423" s="35"/>
      <c r="C14423" s="36"/>
      <c r="D14423" s="37"/>
      <c r="E14423" s="36"/>
      <c r="F14423" s="42"/>
      <c r="G14423" s="42"/>
      <c r="H14423" s="42"/>
      <c r="AG14423" s="19"/>
    </row>
    <row r="14424" spans="1:33" ht="14.5" x14ac:dyDescent="0.35">
      <c r="A14424" s="34"/>
      <c r="B14424" s="35"/>
      <c r="C14424" s="36"/>
      <c r="D14424" s="37"/>
      <c r="E14424" s="36"/>
      <c r="F14424" s="42"/>
      <c r="G14424" s="42"/>
      <c r="H14424" s="42"/>
      <c r="AG14424" s="19"/>
    </row>
    <row r="14425" spans="1:33" ht="14.5" x14ac:dyDescent="0.35">
      <c r="A14425" s="34"/>
      <c r="B14425" s="35"/>
      <c r="C14425" s="36"/>
      <c r="D14425" s="37"/>
      <c r="E14425" s="36"/>
      <c r="F14425" s="42"/>
      <c r="G14425" s="42"/>
      <c r="H14425" s="42"/>
      <c r="AG14425" s="19"/>
    </row>
    <row r="14426" spans="1:33" ht="14.5" x14ac:dyDescent="0.35">
      <c r="A14426" s="34"/>
      <c r="B14426" s="35"/>
      <c r="C14426" s="36"/>
      <c r="D14426" s="37"/>
      <c r="E14426" s="36"/>
      <c r="F14426" s="42"/>
      <c r="G14426" s="42"/>
      <c r="H14426" s="42"/>
      <c r="AG14426" s="19"/>
    </row>
    <row r="14427" spans="1:33" ht="14.5" x14ac:dyDescent="0.35">
      <c r="A14427" s="34"/>
      <c r="B14427" s="35"/>
      <c r="C14427" s="36"/>
      <c r="D14427" s="37"/>
      <c r="E14427" s="36"/>
      <c r="F14427" s="42"/>
      <c r="G14427" s="42"/>
      <c r="H14427" s="42"/>
      <c r="AG14427" s="19"/>
    </row>
    <row r="14428" spans="1:33" ht="14.5" x14ac:dyDescent="0.35">
      <c r="A14428" s="34"/>
      <c r="B14428" s="35"/>
      <c r="C14428" s="36"/>
      <c r="D14428" s="37"/>
      <c r="E14428" s="36"/>
      <c r="F14428" s="42"/>
      <c r="G14428" s="42"/>
      <c r="H14428" s="42"/>
      <c r="AG14428" s="19"/>
    </row>
    <row r="14429" spans="1:33" ht="14.5" x14ac:dyDescent="0.35">
      <c r="A14429" s="34"/>
      <c r="B14429" s="35"/>
      <c r="C14429" s="36"/>
      <c r="D14429" s="37"/>
      <c r="E14429" s="36"/>
      <c r="F14429" s="42"/>
      <c r="G14429" s="42"/>
      <c r="H14429" s="42"/>
      <c r="AG14429" s="19"/>
    </row>
    <row r="14430" spans="1:33" ht="14.5" x14ac:dyDescent="0.35">
      <c r="A14430" s="34"/>
      <c r="B14430" s="35"/>
      <c r="C14430" s="36"/>
      <c r="D14430" s="37"/>
      <c r="E14430" s="36"/>
      <c r="F14430" s="42"/>
      <c r="G14430" s="42"/>
      <c r="H14430" s="42"/>
      <c r="AG14430" s="19"/>
    </row>
    <row r="14431" spans="1:33" ht="14.5" x14ac:dyDescent="0.35">
      <c r="A14431" s="34"/>
      <c r="B14431" s="35"/>
      <c r="C14431" s="36"/>
      <c r="D14431" s="37"/>
      <c r="E14431" s="36"/>
      <c r="F14431" s="42"/>
      <c r="G14431" s="42"/>
      <c r="H14431" s="42"/>
      <c r="AG14431" s="19"/>
    </row>
    <row r="14432" spans="1:33" ht="14.5" x14ac:dyDescent="0.35">
      <c r="A14432" s="34"/>
      <c r="B14432" s="35"/>
      <c r="C14432" s="36"/>
      <c r="D14432" s="37"/>
      <c r="E14432" s="36"/>
      <c r="F14432" s="42"/>
      <c r="G14432" s="42"/>
      <c r="H14432" s="42"/>
      <c r="AG14432" s="19"/>
    </row>
    <row r="14433" spans="1:33" ht="14.5" x14ac:dyDescent="0.35">
      <c r="A14433" s="34"/>
      <c r="B14433" s="35"/>
      <c r="C14433" s="36"/>
      <c r="D14433" s="37"/>
      <c r="E14433" s="36"/>
      <c r="F14433" s="42"/>
      <c r="G14433" s="42"/>
      <c r="H14433" s="42"/>
      <c r="AG14433" s="19"/>
    </row>
    <row r="14434" spans="1:33" ht="14.5" x14ac:dyDescent="0.35">
      <c r="A14434" s="34"/>
      <c r="B14434" s="35"/>
      <c r="C14434" s="36"/>
      <c r="D14434" s="37"/>
      <c r="E14434" s="36"/>
      <c r="F14434" s="42"/>
      <c r="G14434" s="42"/>
      <c r="H14434" s="42"/>
      <c r="AG14434" s="19"/>
    </row>
    <row r="14435" spans="1:33" ht="14.5" x14ac:dyDescent="0.35">
      <c r="A14435" s="34"/>
      <c r="B14435" s="35"/>
      <c r="C14435" s="36"/>
      <c r="D14435" s="37"/>
      <c r="E14435" s="36"/>
      <c r="F14435" s="42"/>
      <c r="G14435" s="42"/>
      <c r="H14435" s="42"/>
      <c r="AG14435" s="19"/>
    </row>
    <row r="14436" spans="1:33" ht="14.5" x14ac:dyDescent="0.35">
      <c r="A14436" s="34"/>
      <c r="B14436" s="35"/>
      <c r="C14436" s="36"/>
      <c r="D14436" s="37"/>
      <c r="E14436" s="36"/>
      <c r="F14436" s="42"/>
      <c r="G14436" s="42"/>
      <c r="H14436" s="42"/>
      <c r="AG14436" s="19"/>
    </row>
    <row r="14437" spans="1:33" ht="14.5" x14ac:dyDescent="0.35">
      <c r="A14437" s="34"/>
      <c r="B14437" s="35"/>
      <c r="C14437" s="36"/>
      <c r="D14437" s="37"/>
      <c r="E14437" s="36"/>
      <c r="F14437" s="42"/>
      <c r="G14437" s="42"/>
      <c r="H14437" s="42"/>
      <c r="AG14437" s="19"/>
    </row>
    <row r="14438" spans="1:33" ht="14.5" x14ac:dyDescent="0.35">
      <c r="A14438" s="34"/>
      <c r="B14438" s="35"/>
      <c r="C14438" s="36"/>
      <c r="D14438" s="37"/>
      <c r="E14438" s="36"/>
      <c r="F14438" s="42"/>
      <c r="G14438" s="42"/>
      <c r="H14438" s="42"/>
      <c r="AG14438" s="19"/>
    </row>
    <row r="14439" spans="1:33" ht="14.5" x14ac:dyDescent="0.35">
      <c r="A14439" s="34"/>
      <c r="B14439" s="35"/>
      <c r="C14439" s="36"/>
      <c r="D14439" s="37"/>
      <c r="E14439" s="36"/>
      <c r="F14439" s="42"/>
      <c r="G14439" s="42"/>
      <c r="H14439" s="42"/>
      <c r="AG14439" s="19"/>
    </row>
    <row r="14440" spans="1:33" ht="14.5" x14ac:dyDescent="0.35">
      <c r="A14440" s="34"/>
      <c r="B14440" s="35"/>
      <c r="C14440" s="36"/>
      <c r="D14440" s="37"/>
      <c r="E14440" s="36"/>
      <c r="F14440" s="42"/>
      <c r="G14440" s="42"/>
      <c r="H14440" s="42"/>
      <c r="AG14440" s="19"/>
    </row>
    <row r="14441" spans="1:33" ht="14.5" x14ac:dyDescent="0.35">
      <c r="A14441" s="34"/>
      <c r="B14441" s="35"/>
      <c r="C14441" s="36"/>
      <c r="D14441" s="37"/>
      <c r="E14441" s="36"/>
      <c r="F14441" s="42"/>
      <c r="G14441" s="42"/>
      <c r="H14441" s="42"/>
      <c r="AG14441" s="19"/>
    </row>
    <row r="14442" spans="1:33" ht="14.5" x14ac:dyDescent="0.35">
      <c r="A14442" s="34"/>
      <c r="B14442" s="35"/>
      <c r="C14442" s="36"/>
      <c r="D14442" s="37"/>
      <c r="E14442" s="36"/>
      <c r="F14442" s="42"/>
      <c r="G14442" s="42"/>
      <c r="H14442" s="42"/>
      <c r="AG14442" s="19"/>
    </row>
    <row r="14443" spans="1:33" ht="14.5" x14ac:dyDescent="0.35">
      <c r="A14443" s="34"/>
      <c r="B14443" s="35"/>
      <c r="C14443" s="36"/>
      <c r="D14443" s="37"/>
      <c r="E14443" s="36"/>
      <c r="F14443" s="42"/>
      <c r="G14443" s="42"/>
      <c r="H14443" s="42"/>
      <c r="AG14443" s="19"/>
    </row>
    <row r="14444" spans="1:33" ht="14.5" x14ac:dyDescent="0.35">
      <c r="A14444" s="34"/>
      <c r="B14444" s="35"/>
      <c r="C14444" s="36"/>
      <c r="D14444" s="37"/>
      <c r="E14444" s="36"/>
      <c r="F14444" s="42"/>
      <c r="G14444" s="42"/>
      <c r="H14444" s="42"/>
      <c r="AG14444" s="19"/>
    </row>
    <row r="14445" spans="1:33" ht="14.5" x14ac:dyDescent="0.35">
      <c r="A14445" s="34"/>
      <c r="B14445" s="35"/>
      <c r="C14445" s="36"/>
      <c r="D14445" s="37"/>
      <c r="E14445" s="36"/>
      <c r="F14445" s="42"/>
      <c r="G14445" s="42"/>
      <c r="H14445" s="42"/>
      <c r="AG14445" s="19"/>
    </row>
    <row r="14446" spans="1:33" ht="14.5" x14ac:dyDescent="0.35">
      <c r="A14446" s="34"/>
      <c r="B14446" s="35"/>
      <c r="C14446" s="36"/>
      <c r="D14446" s="37"/>
      <c r="E14446" s="36"/>
      <c r="F14446" s="42"/>
      <c r="G14446" s="42"/>
      <c r="H14446" s="42"/>
      <c r="AG14446" s="19"/>
    </row>
    <row r="14447" spans="1:33" ht="14.5" x14ac:dyDescent="0.35">
      <c r="A14447" s="34"/>
      <c r="B14447" s="35"/>
      <c r="C14447" s="36"/>
      <c r="D14447" s="37"/>
      <c r="E14447" s="36"/>
      <c r="F14447" s="42"/>
      <c r="G14447" s="42"/>
      <c r="H14447" s="42"/>
      <c r="AG14447" s="19"/>
    </row>
    <row r="14448" spans="1:33" ht="14.5" x14ac:dyDescent="0.35">
      <c r="A14448" s="34"/>
      <c r="B14448" s="35"/>
      <c r="C14448" s="36"/>
      <c r="D14448" s="37"/>
      <c r="E14448" s="36"/>
      <c r="F14448" s="42"/>
      <c r="G14448" s="42"/>
      <c r="H14448" s="42"/>
      <c r="AG14448" s="19"/>
    </row>
    <row r="14449" spans="1:33" ht="14.5" x14ac:dyDescent="0.35">
      <c r="A14449" s="34"/>
      <c r="B14449" s="35"/>
      <c r="C14449" s="36"/>
      <c r="D14449" s="37"/>
      <c r="E14449" s="36"/>
      <c r="F14449" s="42"/>
      <c r="G14449" s="42"/>
      <c r="H14449" s="42"/>
      <c r="AG14449" s="19"/>
    </row>
    <row r="14450" spans="1:33" ht="14.5" x14ac:dyDescent="0.35">
      <c r="A14450" s="34"/>
      <c r="B14450" s="35"/>
      <c r="C14450" s="36"/>
      <c r="D14450" s="37"/>
      <c r="E14450" s="36"/>
      <c r="F14450" s="42"/>
      <c r="G14450" s="42"/>
      <c r="H14450" s="42"/>
      <c r="AG14450" s="19"/>
    </row>
    <row r="14451" spans="1:33" ht="14.5" x14ac:dyDescent="0.35">
      <c r="A14451" s="34"/>
      <c r="B14451" s="35"/>
      <c r="C14451" s="36"/>
      <c r="D14451" s="37"/>
      <c r="E14451" s="36"/>
      <c r="F14451" s="42"/>
      <c r="G14451" s="42"/>
      <c r="H14451" s="42"/>
      <c r="AG14451" s="19"/>
    </row>
    <row r="14452" spans="1:33" ht="14.5" x14ac:dyDescent="0.35">
      <c r="A14452" s="34"/>
      <c r="B14452" s="35"/>
      <c r="C14452" s="36"/>
      <c r="D14452" s="37"/>
      <c r="E14452" s="36"/>
      <c r="F14452" s="42"/>
      <c r="G14452" s="42"/>
      <c r="H14452" s="42"/>
      <c r="AG14452" s="19"/>
    </row>
    <row r="14453" spans="1:33" ht="14.5" x14ac:dyDescent="0.35">
      <c r="A14453" s="34"/>
      <c r="B14453" s="35"/>
      <c r="C14453" s="36"/>
      <c r="D14453" s="37"/>
      <c r="E14453" s="36"/>
      <c r="F14453" s="42"/>
      <c r="G14453" s="42"/>
      <c r="H14453" s="42"/>
      <c r="AG14453" s="19"/>
    </row>
    <row r="14454" spans="1:33" ht="14.5" x14ac:dyDescent="0.35">
      <c r="A14454" s="34"/>
      <c r="B14454" s="35"/>
      <c r="C14454" s="36"/>
      <c r="D14454" s="37"/>
      <c r="E14454" s="36"/>
      <c r="F14454" s="42"/>
      <c r="G14454" s="42"/>
      <c r="H14454" s="42"/>
      <c r="AG14454" s="19"/>
    </row>
    <row r="14455" spans="1:33" ht="14.5" x14ac:dyDescent="0.35">
      <c r="A14455" s="34"/>
      <c r="B14455" s="35"/>
      <c r="C14455" s="36"/>
      <c r="D14455" s="37"/>
      <c r="E14455" s="36"/>
      <c r="F14455" s="42"/>
      <c r="G14455" s="42"/>
      <c r="H14455" s="42"/>
      <c r="AG14455" s="19"/>
    </row>
    <row r="14456" spans="1:33" ht="14.5" x14ac:dyDescent="0.35">
      <c r="A14456" s="34"/>
      <c r="B14456" s="35"/>
      <c r="C14456" s="36"/>
      <c r="D14456" s="37"/>
      <c r="E14456" s="36"/>
      <c r="F14456" s="42"/>
      <c r="G14456" s="42"/>
      <c r="H14456" s="42"/>
      <c r="AG14456" s="19"/>
    </row>
    <row r="14457" spans="1:33" ht="14.5" x14ac:dyDescent="0.35">
      <c r="A14457" s="34"/>
      <c r="B14457" s="35"/>
      <c r="C14457" s="36"/>
      <c r="D14457" s="37"/>
      <c r="E14457" s="36"/>
      <c r="F14457" s="42"/>
      <c r="G14457" s="42"/>
      <c r="H14457" s="42"/>
      <c r="AG14457" s="19"/>
    </row>
    <row r="14458" spans="1:33" ht="14.5" x14ac:dyDescent="0.35">
      <c r="A14458" s="34"/>
      <c r="B14458" s="35"/>
      <c r="C14458" s="36"/>
      <c r="D14458" s="37"/>
      <c r="E14458" s="36"/>
      <c r="F14458" s="42"/>
      <c r="G14458" s="42"/>
      <c r="H14458" s="42"/>
      <c r="AG14458" s="19"/>
    </row>
    <row r="14459" spans="1:33" ht="14.5" x14ac:dyDescent="0.35">
      <c r="A14459" s="34"/>
      <c r="B14459" s="35"/>
      <c r="C14459" s="36"/>
      <c r="D14459" s="37"/>
      <c r="E14459" s="36"/>
      <c r="F14459" s="42"/>
      <c r="G14459" s="42"/>
      <c r="H14459" s="42"/>
      <c r="AG14459" s="19"/>
    </row>
    <row r="14460" spans="1:33" ht="14.5" x14ac:dyDescent="0.35">
      <c r="A14460" s="34"/>
      <c r="B14460" s="35"/>
      <c r="C14460" s="36"/>
      <c r="D14460" s="37"/>
      <c r="E14460" s="36"/>
      <c r="F14460" s="42"/>
      <c r="G14460" s="42"/>
      <c r="H14460" s="42"/>
      <c r="AG14460" s="19"/>
    </row>
    <row r="14461" spans="1:33" ht="14.5" x14ac:dyDescent="0.35">
      <c r="A14461" s="34"/>
      <c r="B14461" s="35"/>
      <c r="C14461" s="36"/>
      <c r="D14461" s="37"/>
      <c r="E14461" s="36"/>
      <c r="F14461" s="42"/>
      <c r="G14461" s="42"/>
      <c r="H14461" s="42"/>
      <c r="AG14461" s="19"/>
    </row>
    <row r="14462" spans="1:33" ht="14.5" x14ac:dyDescent="0.35">
      <c r="A14462" s="34"/>
      <c r="B14462" s="35"/>
      <c r="C14462" s="36"/>
      <c r="D14462" s="37"/>
      <c r="E14462" s="36"/>
      <c r="F14462" s="42"/>
      <c r="G14462" s="42"/>
      <c r="H14462" s="42"/>
      <c r="AG14462" s="19"/>
    </row>
    <row r="14463" spans="1:33" ht="14.5" x14ac:dyDescent="0.35">
      <c r="A14463" s="34"/>
      <c r="B14463" s="35"/>
      <c r="C14463" s="36"/>
      <c r="D14463" s="37"/>
      <c r="E14463" s="36"/>
      <c r="F14463" s="42"/>
      <c r="G14463" s="42"/>
      <c r="H14463" s="42"/>
      <c r="AG14463" s="19"/>
    </row>
    <row r="14464" spans="1:33" ht="14.5" x14ac:dyDescent="0.35">
      <c r="A14464" s="34"/>
      <c r="B14464" s="35"/>
      <c r="C14464" s="36"/>
      <c r="D14464" s="37"/>
      <c r="E14464" s="36"/>
      <c r="F14464" s="42"/>
      <c r="G14464" s="42"/>
      <c r="H14464" s="42"/>
      <c r="AG14464" s="19"/>
    </row>
    <row r="14465" spans="1:33" ht="14.5" x14ac:dyDescent="0.35">
      <c r="A14465" s="34"/>
      <c r="B14465" s="35"/>
      <c r="C14465" s="36"/>
      <c r="D14465" s="37"/>
      <c r="E14465" s="36"/>
      <c r="F14465" s="42"/>
      <c r="G14465" s="42"/>
      <c r="H14465" s="42"/>
      <c r="AG14465" s="19"/>
    </row>
    <row r="14466" spans="1:33" ht="14.5" x14ac:dyDescent="0.35">
      <c r="A14466" s="34"/>
      <c r="B14466" s="35"/>
      <c r="C14466" s="36"/>
      <c r="D14466" s="37"/>
      <c r="E14466" s="36"/>
      <c r="F14466" s="42"/>
      <c r="G14466" s="42"/>
      <c r="H14466" s="42"/>
      <c r="AG14466" s="19"/>
    </row>
    <row r="14467" spans="1:33" ht="14.5" x14ac:dyDescent="0.35">
      <c r="A14467" s="34"/>
      <c r="B14467" s="35"/>
      <c r="C14467" s="36"/>
      <c r="D14467" s="37"/>
      <c r="E14467" s="36"/>
      <c r="F14467" s="42"/>
      <c r="G14467" s="42"/>
      <c r="H14467" s="42"/>
      <c r="AG14467" s="19"/>
    </row>
    <row r="14468" spans="1:33" ht="14.5" x14ac:dyDescent="0.35">
      <c r="A14468" s="34"/>
      <c r="B14468" s="35"/>
      <c r="C14468" s="36"/>
      <c r="D14468" s="37"/>
      <c r="E14468" s="36"/>
      <c r="F14468" s="42"/>
      <c r="G14468" s="42"/>
      <c r="H14468" s="42"/>
      <c r="AG14468" s="19"/>
    </row>
    <row r="14469" spans="1:33" ht="14.5" x14ac:dyDescent="0.35">
      <c r="A14469" s="34"/>
      <c r="B14469" s="35"/>
      <c r="C14469" s="36"/>
      <c r="D14469" s="37"/>
      <c r="E14469" s="36"/>
      <c r="F14469" s="42"/>
      <c r="G14469" s="42"/>
      <c r="H14469" s="42"/>
      <c r="AG14469" s="19"/>
    </row>
    <row r="14470" spans="1:33" ht="14.5" x14ac:dyDescent="0.35">
      <c r="A14470" s="34"/>
      <c r="B14470" s="35"/>
      <c r="C14470" s="36"/>
      <c r="D14470" s="37"/>
      <c r="E14470" s="36"/>
      <c r="F14470" s="42"/>
      <c r="G14470" s="42"/>
      <c r="H14470" s="42"/>
      <c r="AG14470" s="19"/>
    </row>
    <row r="14471" spans="1:33" ht="14.5" x14ac:dyDescent="0.35">
      <c r="A14471" s="34"/>
      <c r="B14471" s="35"/>
      <c r="C14471" s="36"/>
      <c r="D14471" s="37"/>
      <c r="E14471" s="36"/>
      <c r="F14471" s="42"/>
      <c r="G14471" s="42"/>
      <c r="H14471" s="42"/>
      <c r="AG14471" s="19"/>
    </row>
    <row r="14472" spans="1:33" ht="14.5" x14ac:dyDescent="0.35">
      <c r="A14472" s="34"/>
      <c r="B14472" s="35"/>
      <c r="C14472" s="36"/>
      <c r="D14472" s="37"/>
      <c r="E14472" s="36"/>
      <c r="F14472" s="42"/>
      <c r="G14472" s="42"/>
      <c r="H14472" s="42"/>
      <c r="AG14472" s="19"/>
    </row>
    <row r="14473" spans="1:33" ht="14.5" x14ac:dyDescent="0.35">
      <c r="A14473" s="34"/>
      <c r="B14473" s="35"/>
      <c r="C14473" s="36"/>
      <c r="D14473" s="37"/>
      <c r="E14473" s="36"/>
      <c r="F14473" s="42"/>
      <c r="G14473" s="42"/>
      <c r="H14473" s="42"/>
      <c r="AG14473" s="19"/>
    </row>
    <row r="14474" spans="1:33" ht="14.5" x14ac:dyDescent="0.35">
      <c r="A14474" s="34"/>
      <c r="B14474" s="35"/>
      <c r="C14474" s="36"/>
      <c r="D14474" s="37"/>
      <c r="E14474" s="36"/>
      <c r="F14474" s="42"/>
      <c r="G14474" s="42"/>
      <c r="H14474" s="42"/>
      <c r="AG14474" s="19"/>
    </row>
    <row r="14475" spans="1:33" ht="14.5" x14ac:dyDescent="0.35">
      <c r="A14475" s="34"/>
      <c r="B14475" s="35"/>
      <c r="C14475" s="36"/>
      <c r="D14475" s="37"/>
      <c r="E14475" s="36"/>
      <c r="F14475" s="42"/>
      <c r="G14475" s="42"/>
      <c r="H14475" s="42"/>
      <c r="AG14475" s="19"/>
    </row>
    <row r="14476" spans="1:33" ht="14.5" x14ac:dyDescent="0.35">
      <c r="A14476" s="34"/>
      <c r="B14476" s="35"/>
      <c r="C14476" s="36"/>
      <c r="D14476" s="37"/>
      <c r="E14476" s="36"/>
      <c r="F14476" s="42"/>
      <c r="G14476" s="42"/>
      <c r="H14476" s="42"/>
      <c r="AG14476" s="19"/>
    </row>
    <row r="14477" spans="1:33" ht="14.5" x14ac:dyDescent="0.35">
      <c r="A14477" s="34"/>
      <c r="B14477" s="35"/>
      <c r="C14477" s="36"/>
      <c r="D14477" s="37"/>
      <c r="E14477" s="36"/>
      <c r="F14477" s="42"/>
      <c r="G14477" s="42"/>
      <c r="H14477" s="42"/>
      <c r="AG14477" s="19"/>
    </row>
    <row r="14478" spans="1:33" ht="14.5" x14ac:dyDescent="0.35">
      <c r="A14478" s="34"/>
      <c r="B14478" s="35"/>
      <c r="C14478" s="36"/>
      <c r="D14478" s="37"/>
      <c r="E14478" s="36"/>
      <c r="F14478" s="42"/>
      <c r="G14478" s="42"/>
      <c r="H14478" s="42"/>
      <c r="AG14478" s="19"/>
    </row>
    <row r="14479" spans="1:33" ht="14.5" x14ac:dyDescent="0.35">
      <c r="A14479" s="34"/>
      <c r="B14479" s="35"/>
      <c r="C14479" s="36"/>
      <c r="D14479" s="37"/>
      <c r="E14479" s="36"/>
      <c r="F14479" s="42"/>
      <c r="G14479" s="42"/>
      <c r="H14479" s="42"/>
      <c r="AG14479" s="19"/>
    </row>
    <row r="14480" spans="1:33" ht="14.5" x14ac:dyDescent="0.35">
      <c r="A14480" s="34"/>
      <c r="B14480" s="35"/>
      <c r="C14480" s="36"/>
      <c r="D14480" s="37"/>
      <c r="E14480" s="36"/>
      <c r="F14480" s="42"/>
      <c r="G14480" s="42"/>
      <c r="H14480" s="42"/>
      <c r="AG14480" s="19"/>
    </row>
    <row r="14481" spans="1:33" ht="14.5" x14ac:dyDescent="0.35">
      <c r="A14481" s="34"/>
      <c r="B14481" s="35"/>
      <c r="C14481" s="36"/>
      <c r="D14481" s="37"/>
      <c r="E14481" s="36"/>
      <c r="F14481" s="42"/>
      <c r="G14481" s="42"/>
      <c r="H14481" s="42"/>
      <c r="AG14481" s="19"/>
    </row>
    <row r="14482" spans="1:33" ht="14.5" x14ac:dyDescent="0.35">
      <c r="A14482" s="34"/>
      <c r="B14482" s="35"/>
      <c r="C14482" s="36"/>
      <c r="D14482" s="37"/>
      <c r="E14482" s="36"/>
      <c r="F14482" s="42"/>
      <c r="G14482" s="42"/>
      <c r="H14482" s="42"/>
      <c r="AG14482" s="19"/>
    </row>
    <row r="14483" spans="1:33" ht="14.5" x14ac:dyDescent="0.35">
      <c r="A14483" s="34"/>
      <c r="B14483" s="35"/>
      <c r="C14483" s="36"/>
      <c r="D14483" s="37"/>
      <c r="E14483" s="36"/>
      <c r="F14483" s="42"/>
      <c r="G14483" s="42"/>
      <c r="H14483" s="42"/>
      <c r="AG14483" s="19"/>
    </row>
    <row r="14484" spans="1:33" ht="14.5" x14ac:dyDescent="0.35">
      <c r="A14484" s="34"/>
      <c r="B14484" s="35"/>
      <c r="C14484" s="36"/>
      <c r="D14484" s="37"/>
      <c r="E14484" s="36"/>
      <c r="F14484" s="42"/>
      <c r="G14484" s="42"/>
      <c r="H14484" s="42"/>
      <c r="AG14484" s="19"/>
    </row>
    <row r="14485" spans="1:33" ht="14.5" x14ac:dyDescent="0.35">
      <c r="A14485" s="34"/>
      <c r="B14485" s="35"/>
      <c r="C14485" s="36"/>
      <c r="D14485" s="37"/>
      <c r="E14485" s="36"/>
      <c r="F14485" s="42"/>
      <c r="G14485" s="42"/>
      <c r="H14485" s="42"/>
      <c r="AG14485" s="19"/>
    </row>
    <row r="14486" spans="1:33" ht="14.5" x14ac:dyDescent="0.35">
      <c r="A14486" s="34"/>
      <c r="B14486" s="35"/>
      <c r="C14486" s="36"/>
      <c r="D14486" s="37"/>
      <c r="E14486" s="36"/>
      <c r="F14486" s="42"/>
      <c r="G14486" s="42"/>
      <c r="H14486" s="42"/>
      <c r="AG14486" s="19"/>
    </row>
    <row r="14487" spans="1:33" ht="14.5" x14ac:dyDescent="0.35">
      <c r="A14487" s="34"/>
      <c r="B14487" s="35"/>
      <c r="C14487" s="36"/>
      <c r="D14487" s="37"/>
      <c r="E14487" s="36"/>
      <c r="F14487" s="42"/>
      <c r="G14487" s="42"/>
      <c r="H14487" s="42"/>
      <c r="AG14487" s="19"/>
    </row>
    <row r="14488" spans="1:33" ht="14.5" x14ac:dyDescent="0.35">
      <c r="A14488" s="34"/>
      <c r="B14488" s="35"/>
      <c r="C14488" s="36"/>
      <c r="D14488" s="37"/>
      <c r="E14488" s="36"/>
      <c r="F14488" s="42"/>
      <c r="G14488" s="42"/>
      <c r="H14488" s="42"/>
      <c r="AG14488" s="19"/>
    </row>
    <row r="14489" spans="1:33" ht="14.5" x14ac:dyDescent="0.35">
      <c r="A14489" s="34"/>
      <c r="B14489" s="35"/>
      <c r="C14489" s="36"/>
      <c r="D14489" s="37"/>
      <c r="E14489" s="36"/>
      <c r="F14489" s="42"/>
      <c r="G14489" s="42"/>
      <c r="H14489" s="42"/>
      <c r="AG14489" s="19"/>
    </row>
    <row r="14490" spans="1:33" ht="14.5" x14ac:dyDescent="0.35">
      <c r="A14490" s="34"/>
      <c r="B14490" s="35"/>
      <c r="C14490" s="36"/>
      <c r="D14490" s="37"/>
      <c r="E14490" s="36"/>
      <c r="F14490" s="42"/>
      <c r="G14490" s="42"/>
      <c r="H14490" s="42"/>
      <c r="AG14490" s="19"/>
    </row>
    <row r="14491" spans="1:33" ht="14.5" x14ac:dyDescent="0.35">
      <c r="A14491" s="34"/>
      <c r="B14491" s="35"/>
      <c r="C14491" s="36"/>
      <c r="D14491" s="37"/>
      <c r="E14491" s="36"/>
      <c r="F14491" s="42"/>
      <c r="G14491" s="42"/>
      <c r="H14491" s="42"/>
      <c r="AG14491" s="19"/>
    </row>
    <row r="14492" spans="1:33" ht="14.5" x14ac:dyDescent="0.35">
      <c r="A14492" s="34"/>
      <c r="B14492" s="35"/>
      <c r="C14492" s="36"/>
      <c r="D14492" s="37"/>
      <c r="E14492" s="36"/>
      <c r="F14492" s="42"/>
      <c r="G14492" s="42"/>
      <c r="H14492" s="42"/>
      <c r="AG14492" s="19"/>
    </row>
    <row r="14493" spans="1:33" ht="14.5" x14ac:dyDescent="0.35">
      <c r="A14493" s="34"/>
      <c r="B14493" s="35"/>
      <c r="C14493" s="36"/>
      <c r="D14493" s="37"/>
      <c r="E14493" s="36"/>
      <c r="F14493" s="42"/>
      <c r="G14493" s="42"/>
      <c r="H14493" s="42"/>
      <c r="AG14493" s="19"/>
    </row>
    <row r="14494" spans="1:33" ht="14.5" x14ac:dyDescent="0.35">
      <c r="A14494" s="34"/>
      <c r="B14494" s="35"/>
      <c r="C14494" s="36"/>
      <c r="D14494" s="37"/>
      <c r="E14494" s="36"/>
      <c r="F14494" s="42"/>
      <c r="G14494" s="42"/>
      <c r="H14494" s="42"/>
      <c r="AG14494" s="19"/>
    </row>
    <row r="14495" spans="1:33" ht="14.5" x14ac:dyDescent="0.35">
      <c r="A14495" s="34"/>
      <c r="B14495" s="35"/>
      <c r="C14495" s="36"/>
      <c r="D14495" s="37"/>
      <c r="E14495" s="36"/>
      <c r="F14495" s="42"/>
      <c r="G14495" s="42"/>
      <c r="H14495" s="42"/>
      <c r="AG14495" s="19"/>
    </row>
    <row r="14496" spans="1:33" ht="14.5" x14ac:dyDescent="0.35">
      <c r="A14496" s="34"/>
      <c r="B14496" s="35"/>
      <c r="C14496" s="36"/>
      <c r="D14496" s="37"/>
      <c r="E14496" s="36"/>
      <c r="F14496" s="42"/>
      <c r="G14496" s="42"/>
      <c r="H14496" s="42"/>
      <c r="AG14496" s="19"/>
    </row>
    <row r="14497" spans="1:33" ht="14.5" x14ac:dyDescent="0.35">
      <c r="A14497" s="34"/>
      <c r="B14497" s="35"/>
      <c r="C14497" s="36"/>
      <c r="D14497" s="37"/>
      <c r="E14497" s="36"/>
      <c r="F14497" s="42"/>
      <c r="G14497" s="42"/>
      <c r="H14497" s="42"/>
      <c r="AG14497" s="19"/>
    </row>
    <row r="14498" spans="1:33" ht="14.5" x14ac:dyDescent="0.35">
      <c r="A14498" s="34"/>
      <c r="B14498" s="35"/>
      <c r="C14498" s="36"/>
      <c r="D14498" s="37"/>
      <c r="E14498" s="36"/>
      <c r="F14498" s="42"/>
      <c r="G14498" s="42"/>
      <c r="H14498" s="42"/>
      <c r="AG14498" s="19"/>
    </row>
    <row r="14499" spans="1:33" ht="14.5" x14ac:dyDescent="0.35">
      <c r="A14499" s="34"/>
      <c r="B14499" s="35"/>
      <c r="C14499" s="36"/>
      <c r="D14499" s="37"/>
      <c r="E14499" s="36"/>
      <c r="F14499" s="42"/>
      <c r="G14499" s="42"/>
      <c r="H14499" s="42"/>
      <c r="AG14499" s="19"/>
    </row>
    <row r="14500" spans="1:33" ht="14.5" x14ac:dyDescent="0.35">
      <c r="A14500" s="34"/>
      <c r="B14500" s="35"/>
      <c r="C14500" s="36"/>
      <c r="D14500" s="37"/>
      <c r="E14500" s="36"/>
      <c r="F14500" s="42"/>
      <c r="G14500" s="42"/>
      <c r="H14500" s="42"/>
      <c r="AG14500" s="19"/>
    </row>
    <row r="14501" spans="1:33" ht="14.5" x14ac:dyDescent="0.35">
      <c r="A14501" s="34"/>
      <c r="B14501" s="35"/>
      <c r="C14501" s="36"/>
      <c r="D14501" s="37"/>
      <c r="E14501" s="36"/>
      <c r="F14501" s="42"/>
      <c r="G14501" s="42"/>
      <c r="H14501" s="42"/>
      <c r="AG14501" s="19"/>
    </row>
    <row r="14502" spans="1:33" ht="14.5" x14ac:dyDescent="0.35">
      <c r="A14502" s="34"/>
      <c r="B14502" s="35"/>
      <c r="C14502" s="36"/>
      <c r="D14502" s="37"/>
      <c r="E14502" s="36"/>
      <c r="F14502" s="42"/>
      <c r="G14502" s="42"/>
      <c r="H14502" s="42"/>
      <c r="AG14502" s="19"/>
    </row>
    <row r="14503" spans="1:33" ht="14.5" x14ac:dyDescent="0.35">
      <c r="A14503" s="34"/>
      <c r="B14503" s="35"/>
      <c r="C14503" s="36"/>
      <c r="D14503" s="37"/>
      <c r="E14503" s="36"/>
      <c r="F14503" s="42"/>
      <c r="G14503" s="42"/>
      <c r="H14503" s="42"/>
      <c r="AG14503" s="19"/>
    </row>
    <row r="14504" spans="1:33" ht="14.5" x14ac:dyDescent="0.35">
      <c r="A14504" s="34"/>
      <c r="B14504" s="35"/>
      <c r="C14504" s="36"/>
      <c r="D14504" s="37"/>
      <c r="E14504" s="36"/>
      <c r="F14504" s="42"/>
      <c r="G14504" s="42"/>
      <c r="H14504" s="42"/>
      <c r="AG14504" s="19"/>
    </row>
    <row r="14505" spans="1:33" ht="14.5" x14ac:dyDescent="0.35">
      <c r="A14505" s="34"/>
      <c r="B14505" s="35"/>
      <c r="C14505" s="36"/>
      <c r="D14505" s="37"/>
      <c r="E14505" s="36"/>
      <c r="F14505" s="42"/>
      <c r="G14505" s="42"/>
      <c r="H14505" s="42"/>
      <c r="AG14505" s="19"/>
    </row>
    <row r="14506" spans="1:33" ht="14.5" x14ac:dyDescent="0.35">
      <c r="A14506" s="34"/>
      <c r="B14506" s="35"/>
      <c r="C14506" s="36"/>
      <c r="D14506" s="37"/>
      <c r="E14506" s="36"/>
      <c r="F14506" s="42"/>
      <c r="G14506" s="42"/>
      <c r="H14506" s="42"/>
      <c r="AG14506" s="19"/>
    </row>
    <row r="14507" spans="1:33" ht="14.5" x14ac:dyDescent="0.35">
      <c r="A14507" s="34"/>
      <c r="B14507" s="35"/>
      <c r="C14507" s="36"/>
      <c r="D14507" s="37"/>
      <c r="E14507" s="36"/>
      <c r="F14507" s="42"/>
      <c r="G14507" s="42"/>
      <c r="H14507" s="42"/>
      <c r="AG14507" s="19"/>
    </row>
    <row r="14508" spans="1:33" ht="14.5" x14ac:dyDescent="0.35">
      <c r="A14508" s="34"/>
      <c r="B14508" s="35"/>
      <c r="C14508" s="36"/>
      <c r="D14508" s="37"/>
      <c r="E14508" s="36"/>
      <c r="F14508" s="42"/>
      <c r="G14508" s="42"/>
      <c r="H14508" s="42"/>
      <c r="AG14508" s="19"/>
    </row>
    <row r="14509" spans="1:33" ht="14.5" x14ac:dyDescent="0.35">
      <c r="A14509" s="34"/>
      <c r="B14509" s="35"/>
      <c r="C14509" s="36"/>
      <c r="D14509" s="37"/>
      <c r="E14509" s="36"/>
      <c r="F14509" s="42"/>
      <c r="G14509" s="42"/>
      <c r="H14509" s="42"/>
      <c r="AG14509" s="19"/>
    </row>
    <row r="14510" spans="1:33" ht="14.5" x14ac:dyDescent="0.35">
      <c r="A14510" s="34"/>
      <c r="B14510" s="35"/>
      <c r="C14510" s="36"/>
      <c r="D14510" s="37"/>
      <c r="E14510" s="36"/>
      <c r="F14510" s="42"/>
      <c r="G14510" s="42"/>
      <c r="H14510" s="42"/>
      <c r="AG14510" s="19"/>
    </row>
    <row r="14511" spans="1:33" ht="14.5" x14ac:dyDescent="0.35">
      <c r="A14511" s="34"/>
      <c r="B14511" s="35"/>
      <c r="C14511" s="36"/>
      <c r="D14511" s="37"/>
      <c r="E14511" s="36"/>
      <c r="F14511" s="42"/>
      <c r="G14511" s="42"/>
      <c r="H14511" s="42"/>
      <c r="AG14511" s="19"/>
    </row>
    <row r="14512" spans="1:33" ht="14.5" x14ac:dyDescent="0.35">
      <c r="A14512" s="34"/>
      <c r="B14512" s="35"/>
      <c r="C14512" s="36"/>
      <c r="D14512" s="37"/>
      <c r="E14512" s="36"/>
      <c r="F14512" s="42"/>
      <c r="G14512" s="42"/>
      <c r="H14512" s="42"/>
      <c r="AG14512" s="19"/>
    </row>
    <row r="14513" spans="1:33" ht="14.5" x14ac:dyDescent="0.35">
      <c r="A14513" s="34"/>
      <c r="B14513" s="35"/>
      <c r="C14513" s="36"/>
      <c r="D14513" s="37"/>
      <c r="E14513" s="36"/>
      <c r="F14513" s="42"/>
      <c r="G14513" s="42"/>
      <c r="H14513" s="42"/>
      <c r="AG14513" s="19"/>
    </row>
    <row r="14514" spans="1:33" ht="14.5" x14ac:dyDescent="0.35">
      <c r="A14514" s="34"/>
      <c r="B14514" s="35"/>
      <c r="C14514" s="36"/>
      <c r="D14514" s="37"/>
      <c r="E14514" s="36"/>
      <c r="F14514" s="42"/>
      <c r="G14514" s="42"/>
      <c r="H14514" s="42"/>
      <c r="AG14514" s="19"/>
    </row>
    <row r="14515" spans="1:33" ht="14.5" x14ac:dyDescent="0.35">
      <c r="A14515" s="34"/>
      <c r="B14515" s="35"/>
      <c r="C14515" s="36"/>
      <c r="D14515" s="37"/>
      <c r="E14515" s="36"/>
      <c r="F14515" s="42"/>
      <c r="G14515" s="42"/>
      <c r="H14515" s="42"/>
      <c r="AG14515" s="19"/>
    </row>
    <row r="14516" spans="1:33" ht="14.5" x14ac:dyDescent="0.35">
      <c r="A14516" s="34"/>
      <c r="B14516" s="35"/>
      <c r="C14516" s="36"/>
      <c r="D14516" s="37"/>
      <c r="E14516" s="36"/>
      <c r="F14516" s="42"/>
      <c r="G14516" s="42"/>
      <c r="H14516" s="42"/>
      <c r="AG14516" s="19"/>
    </row>
    <row r="14517" spans="1:33" ht="14.5" x14ac:dyDescent="0.35">
      <c r="A14517" s="34"/>
      <c r="B14517" s="35"/>
      <c r="C14517" s="36"/>
      <c r="D14517" s="37"/>
      <c r="E14517" s="36"/>
      <c r="F14517" s="42"/>
      <c r="G14517" s="42"/>
      <c r="H14517" s="42"/>
      <c r="AG14517" s="19"/>
    </row>
    <row r="14518" spans="1:33" ht="14.5" x14ac:dyDescent="0.35">
      <c r="A14518" s="34"/>
      <c r="B14518" s="35"/>
      <c r="C14518" s="36"/>
      <c r="D14518" s="37"/>
      <c r="E14518" s="36"/>
      <c r="F14518" s="42"/>
      <c r="G14518" s="42"/>
      <c r="H14518" s="42"/>
      <c r="AG14518" s="19"/>
    </row>
    <row r="14519" spans="1:33" ht="14.5" x14ac:dyDescent="0.35">
      <c r="A14519" s="34"/>
      <c r="B14519" s="35"/>
      <c r="C14519" s="36"/>
      <c r="D14519" s="37"/>
      <c r="E14519" s="36"/>
      <c r="F14519" s="42"/>
      <c r="G14519" s="42"/>
      <c r="H14519" s="42"/>
      <c r="AG14519" s="19"/>
    </row>
    <row r="14520" spans="1:33" ht="14.5" x14ac:dyDescent="0.35">
      <c r="A14520" s="34"/>
      <c r="B14520" s="35"/>
      <c r="C14520" s="36"/>
      <c r="D14520" s="37"/>
      <c r="E14520" s="36"/>
      <c r="F14520" s="42"/>
      <c r="G14520" s="42"/>
      <c r="H14520" s="42"/>
      <c r="AG14520" s="19"/>
    </row>
    <row r="14521" spans="1:33" ht="14.5" x14ac:dyDescent="0.35">
      <c r="A14521" s="34"/>
      <c r="B14521" s="35"/>
      <c r="C14521" s="36"/>
      <c r="D14521" s="37"/>
      <c r="E14521" s="36"/>
      <c r="F14521" s="42"/>
      <c r="G14521" s="42"/>
      <c r="H14521" s="42"/>
      <c r="AG14521" s="19"/>
    </row>
    <row r="14522" spans="1:33" ht="14.5" x14ac:dyDescent="0.35">
      <c r="A14522" s="34"/>
      <c r="B14522" s="35"/>
      <c r="C14522" s="36"/>
      <c r="D14522" s="37"/>
      <c r="E14522" s="36"/>
      <c r="F14522" s="42"/>
      <c r="G14522" s="42"/>
      <c r="H14522" s="42"/>
      <c r="AG14522" s="19"/>
    </row>
    <row r="14523" spans="1:33" ht="14.5" x14ac:dyDescent="0.35">
      <c r="A14523" s="34"/>
      <c r="B14523" s="35"/>
      <c r="C14523" s="36"/>
      <c r="D14523" s="37"/>
      <c r="E14523" s="36"/>
      <c r="F14523" s="42"/>
      <c r="G14523" s="42"/>
      <c r="H14523" s="42"/>
      <c r="AG14523" s="19"/>
    </row>
    <row r="14524" spans="1:33" ht="14.5" x14ac:dyDescent="0.35">
      <c r="A14524" s="34"/>
      <c r="B14524" s="35"/>
      <c r="C14524" s="36"/>
      <c r="D14524" s="37"/>
      <c r="E14524" s="36"/>
      <c r="F14524" s="42"/>
      <c r="G14524" s="42"/>
      <c r="H14524" s="42"/>
      <c r="AG14524" s="19"/>
    </row>
    <row r="14525" spans="1:33" ht="14.5" x14ac:dyDescent="0.35">
      <c r="A14525" s="34"/>
      <c r="B14525" s="35"/>
      <c r="C14525" s="36"/>
      <c r="D14525" s="37"/>
      <c r="E14525" s="36"/>
      <c r="F14525" s="42"/>
      <c r="G14525" s="42"/>
      <c r="H14525" s="42"/>
      <c r="AG14525" s="19"/>
    </row>
    <row r="14526" spans="1:33" ht="14.5" x14ac:dyDescent="0.35">
      <c r="A14526" s="34"/>
      <c r="B14526" s="35"/>
      <c r="C14526" s="36"/>
      <c r="D14526" s="37"/>
      <c r="E14526" s="36"/>
      <c r="F14526" s="42"/>
      <c r="G14526" s="42"/>
      <c r="H14526" s="42"/>
      <c r="AG14526" s="19"/>
    </row>
    <row r="14527" spans="1:33" ht="14.5" x14ac:dyDescent="0.35">
      <c r="A14527" s="34"/>
      <c r="B14527" s="35"/>
      <c r="C14527" s="36"/>
      <c r="D14527" s="37"/>
      <c r="E14527" s="36"/>
      <c r="F14527" s="42"/>
      <c r="G14527" s="42"/>
      <c r="H14527" s="42"/>
      <c r="AG14527" s="19"/>
    </row>
    <row r="14528" spans="1:33" ht="14.5" x14ac:dyDescent="0.35">
      <c r="A14528" s="34"/>
      <c r="B14528" s="35"/>
      <c r="C14528" s="36"/>
      <c r="D14528" s="37"/>
      <c r="E14528" s="36"/>
      <c r="F14528" s="42"/>
      <c r="G14528" s="42"/>
      <c r="H14528" s="42"/>
      <c r="AG14528" s="19"/>
    </row>
    <row r="14529" spans="1:33" ht="14.5" x14ac:dyDescent="0.35">
      <c r="A14529" s="34"/>
      <c r="B14529" s="35"/>
      <c r="C14529" s="36"/>
      <c r="D14529" s="37"/>
      <c r="E14529" s="36"/>
      <c r="F14529" s="42"/>
      <c r="G14529" s="42"/>
      <c r="H14529" s="42"/>
      <c r="AG14529" s="19"/>
    </row>
    <row r="14530" spans="1:33" ht="14.5" x14ac:dyDescent="0.35">
      <c r="A14530" s="34"/>
      <c r="B14530" s="35"/>
      <c r="C14530" s="36"/>
      <c r="D14530" s="37"/>
      <c r="E14530" s="36"/>
      <c r="F14530" s="42"/>
      <c r="G14530" s="42"/>
      <c r="H14530" s="42"/>
      <c r="AG14530" s="19"/>
    </row>
    <row r="14531" spans="1:33" ht="14.5" x14ac:dyDescent="0.35">
      <c r="A14531" s="34"/>
      <c r="B14531" s="35"/>
      <c r="C14531" s="36"/>
      <c r="D14531" s="37"/>
      <c r="E14531" s="36"/>
      <c r="F14531" s="42"/>
      <c r="G14531" s="42"/>
      <c r="H14531" s="42"/>
      <c r="AG14531" s="19"/>
    </row>
    <row r="14532" spans="1:33" ht="14.5" x14ac:dyDescent="0.35">
      <c r="A14532" s="34"/>
      <c r="B14532" s="35"/>
      <c r="C14532" s="36"/>
      <c r="D14532" s="37"/>
      <c r="E14532" s="36"/>
      <c r="F14532" s="42"/>
      <c r="G14532" s="42"/>
      <c r="H14532" s="42"/>
      <c r="AG14532" s="19"/>
    </row>
    <row r="14533" spans="1:33" ht="14.5" x14ac:dyDescent="0.35">
      <c r="A14533" s="34"/>
      <c r="B14533" s="35"/>
      <c r="C14533" s="36"/>
      <c r="D14533" s="37"/>
      <c r="E14533" s="36"/>
      <c r="F14533" s="42"/>
      <c r="G14533" s="42"/>
      <c r="H14533" s="42"/>
      <c r="AG14533" s="19"/>
    </row>
    <row r="14534" spans="1:33" ht="14.5" x14ac:dyDescent="0.35">
      <c r="A14534" s="34"/>
      <c r="B14534" s="35"/>
      <c r="C14534" s="36"/>
      <c r="D14534" s="37"/>
      <c r="E14534" s="36"/>
      <c r="F14534" s="42"/>
      <c r="G14534" s="42"/>
      <c r="H14534" s="42"/>
      <c r="AG14534" s="19"/>
    </row>
    <row r="14535" spans="1:33" ht="14.5" x14ac:dyDescent="0.35">
      <c r="A14535" s="34"/>
      <c r="B14535" s="35"/>
      <c r="C14535" s="36"/>
      <c r="D14535" s="37"/>
      <c r="E14535" s="36"/>
      <c r="F14535" s="42"/>
      <c r="G14535" s="42"/>
      <c r="H14535" s="42"/>
      <c r="AG14535" s="19"/>
    </row>
    <row r="14536" spans="1:33" ht="14.5" x14ac:dyDescent="0.35">
      <c r="A14536" s="34"/>
      <c r="B14536" s="35"/>
      <c r="C14536" s="36"/>
      <c r="D14536" s="37"/>
      <c r="E14536" s="36"/>
      <c r="F14536" s="42"/>
      <c r="G14536" s="42"/>
      <c r="H14536" s="42"/>
      <c r="AG14536" s="19"/>
    </row>
    <row r="14537" spans="1:33" ht="14.5" x14ac:dyDescent="0.35">
      <c r="A14537" s="34"/>
      <c r="B14537" s="35"/>
      <c r="C14537" s="36"/>
      <c r="D14537" s="37"/>
      <c r="E14537" s="36"/>
      <c r="F14537" s="42"/>
      <c r="G14537" s="42"/>
      <c r="H14537" s="42"/>
      <c r="AG14537" s="19"/>
    </row>
    <row r="14538" spans="1:33" ht="14.5" x14ac:dyDescent="0.35">
      <c r="A14538" s="34"/>
      <c r="B14538" s="35"/>
      <c r="C14538" s="36"/>
      <c r="D14538" s="37"/>
      <c r="E14538" s="36"/>
      <c r="F14538" s="42"/>
      <c r="G14538" s="42"/>
      <c r="H14538" s="42"/>
      <c r="AG14538" s="19"/>
    </row>
    <row r="14539" spans="1:33" ht="14.5" x14ac:dyDescent="0.35">
      <c r="A14539" s="34"/>
      <c r="B14539" s="35"/>
      <c r="C14539" s="36"/>
      <c r="D14539" s="37"/>
      <c r="E14539" s="36"/>
      <c r="F14539" s="42"/>
      <c r="G14539" s="42"/>
      <c r="H14539" s="42"/>
      <c r="AG14539" s="19"/>
    </row>
    <row r="14540" spans="1:33" ht="14.5" x14ac:dyDescent="0.35">
      <c r="A14540" s="34"/>
      <c r="B14540" s="35"/>
      <c r="C14540" s="36"/>
      <c r="D14540" s="37"/>
      <c r="E14540" s="36"/>
      <c r="F14540" s="42"/>
      <c r="G14540" s="42"/>
      <c r="H14540" s="42"/>
      <c r="AG14540" s="19"/>
    </row>
    <row r="14541" spans="1:33" ht="14.5" x14ac:dyDescent="0.35">
      <c r="A14541" s="34"/>
      <c r="B14541" s="35"/>
      <c r="C14541" s="36"/>
      <c r="D14541" s="37"/>
      <c r="E14541" s="36"/>
      <c r="F14541" s="42"/>
      <c r="G14541" s="42"/>
      <c r="H14541" s="42"/>
      <c r="AG14541" s="19"/>
    </row>
    <row r="14542" spans="1:33" ht="14.5" x14ac:dyDescent="0.35">
      <c r="A14542" s="34"/>
      <c r="B14542" s="35"/>
      <c r="C14542" s="36"/>
      <c r="D14542" s="37"/>
      <c r="E14542" s="36"/>
      <c r="F14542" s="42"/>
      <c r="G14542" s="42"/>
      <c r="H14542" s="42"/>
      <c r="AG14542" s="19"/>
    </row>
    <row r="14543" spans="1:33" ht="14.5" x14ac:dyDescent="0.35">
      <c r="A14543" s="34"/>
      <c r="B14543" s="35"/>
      <c r="C14543" s="36"/>
      <c r="D14543" s="37"/>
      <c r="E14543" s="36"/>
      <c r="F14543" s="42"/>
      <c r="G14543" s="42"/>
      <c r="H14543" s="42"/>
      <c r="AG14543" s="19"/>
    </row>
    <row r="14544" spans="1:33" ht="14.5" x14ac:dyDescent="0.35">
      <c r="A14544" s="34"/>
      <c r="B14544" s="35"/>
      <c r="C14544" s="36"/>
      <c r="D14544" s="37"/>
      <c r="E14544" s="36"/>
      <c r="F14544" s="42"/>
      <c r="G14544" s="42"/>
      <c r="H14544" s="42"/>
      <c r="AG14544" s="19"/>
    </row>
    <row r="14545" spans="1:33" ht="14.5" x14ac:dyDescent="0.35">
      <c r="A14545" s="34"/>
      <c r="B14545" s="35"/>
      <c r="C14545" s="36"/>
      <c r="D14545" s="37"/>
      <c r="E14545" s="36"/>
      <c r="F14545" s="42"/>
      <c r="G14545" s="42"/>
      <c r="H14545" s="42"/>
      <c r="AG14545" s="19"/>
    </row>
    <row r="14546" spans="1:33" ht="14.5" x14ac:dyDescent="0.35">
      <c r="A14546" s="34"/>
      <c r="B14546" s="35"/>
      <c r="C14546" s="36"/>
      <c r="D14546" s="37"/>
      <c r="E14546" s="36"/>
      <c r="F14546" s="42"/>
      <c r="G14546" s="42"/>
      <c r="H14546" s="42"/>
      <c r="AG14546" s="19"/>
    </row>
    <row r="14547" spans="1:33" ht="14.5" x14ac:dyDescent="0.35">
      <c r="A14547" s="34"/>
      <c r="B14547" s="35"/>
      <c r="C14547" s="36"/>
      <c r="D14547" s="37"/>
      <c r="E14547" s="36"/>
      <c r="F14547" s="42"/>
      <c r="G14547" s="42"/>
      <c r="H14547" s="42"/>
      <c r="AG14547" s="19"/>
    </row>
    <row r="14548" spans="1:33" ht="14.5" x14ac:dyDescent="0.35">
      <c r="A14548" s="34"/>
      <c r="B14548" s="35"/>
      <c r="C14548" s="36"/>
      <c r="D14548" s="37"/>
      <c r="E14548" s="36"/>
      <c r="F14548" s="42"/>
      <c r="G14548" s="42"/>
      <c r="H14548" s="42"/>
      <c r="AG14548" s="19"/>
    </row>
    <row r="14549" spans="1:33" ht="14.5" x14ac:dyDescent="0.35">
      <c r="A14549" s="34"/>
      <c r="B14549" s="35"/>
      <c r="C14549" s="36"/>
      <c r="D14549" s="37"/>
      <c r="E14549" s="36"/>
      <c r="F14549" s="42"/>
      <c r="G14549" s="42"/>
      <c r="H14549" s="42"/>
      <c r="AG14549" s="19"/>
    </row>
    <row r="14550" spans="1:33" ht="14.5" x14ac:dyDescent="0.35">
      <c r="A14550" s="34"/>
      <c r="B14550" s="35"/>
      <c r="C14550" s="36"/>
      <c r="D14550" s="37"/>
      <c r="E14550" s="36"/>
      <c r="F14550" s="42"/>
      <c r="G14550" s="42"/>
      <c r="H14550" s="42"/>
      <c r="AG14550" s="19"/>
    </row>
    <row r="14551" spans="1:33" ht="14.5" x14ac:dyDescent="0.35">
      <c r="A14551" s="34"/>
      <c r="B14551" s="35"/>
      <c r="C14551" s="36"/>
      <c r="D14551" s="37"/>
      <c r="E14551" s="36"/>
      <c r="F14551" s="42"/>
      <c r="G14551" s="42"/>
      <c r="H14551" s="42"/>
      <c r="AG14551" s="19"/>
    </row>
    <row r="14552" spans="1:33" ht="14.5" x14ac:dyDescent="0.35">
      <c r="A14552" s="34"/>
      <c r="B14552" s="35"/>
      <c r="C14552" s="36"/>
      <c r="D14552" s="37"/>
      <c r="E14552" s="36"/>
      <c r="F14552" s="42"/>
      <c r="G14552" s="42"/>
      <c r="H14552" s="42"/>
      <c r="AG14552" s="19"/>
    </row>
    <row r="14553" spans="1:33" ht="14.5" x14ac:dyDescent="0.35">
      <c r="A14553" s="34"/>
      <c r="B14553" s="35"/>
      <c r="C14553" s="36"/>
      <c r="D14553" s="37"/>
      <c r="E14553" s="36"/>
      <c r="F14553" s="42"/>
      <c r="G14553" s="42"/>
      <c r="H14553" s="42"/>
      <c r="AG14553" s="19"/>
    </row>
    <row r="14554" spans="1:33" ht="14.5" x14ac:dyDescent="0.35">
      <c r="A14554" s="34"/>
      <c r="B14554" s="35"/>
      <c r="C14554" s="36"/>
      <c r="D14554" s="37"/>
      <c r="E14554" s="36"/>
      <c r="F14554" s="42"/>
      <c r="G14554" s="42"/>
      <c r="H14554" s="42"/>
      <c r="AG14554" s="19"/>
    </row>
    <row r="14555" spans="1:33" ht="14.5" x14ac:dyDescent="0.35">
      <c r="A14555" s="34"/>
      <c r="B14555" s="35"/>
      <c r="C14555" s="36"/>
      <c r="D14555" s="37"/>
      <c r="E14555" s="36"/>
      <c r="F14555" s="42"/>
      <c r="G14555" s="42"/>
      <c r="H14555" s="42"/>
      <c r="AG14555" s="19"/>
    </row>
    <row r="14556" spans="1:33" ht="14.5" x14ac:dyDescent="0.35">
      <c r="A14556" s="34"/>
      <c r="B14556" s="35"/>
      <c r="C14556" s="36"/>
      <c r="D14556" s="37"/>
      <c r="E14556" s="36"/>
      <c r="F14556" s="42"/>
      <c r="G14556" s="42"/>
      <c r="H14556" s="42"/>
      <c r="AG14556" s="19"/>
    </row>
    <row r="14557" spans="1:33" ht="14.5" x14ac:dyDescent="0.35">
      <c r="A14557" s="34"/>
      <c r="B14557" s="35"/>
      <c r="C14557" s="36"/>
      <c r="D14557" s="37"/>
      <c r="E14557" s="36"/>
      <c r="F14557" s="42"/>
      <c r="G14557" s="42"/>
      <c r="H14557" s="42"/>
      <c r="AG14557" s="19"/>
    </row>
    <row r="14558" spans="1:33" ht="14.5" x14ac:dyDescent="0.35">
      <c r="A14558" s="34"/>
      <c r="B14558" s="35"/>
      <c r="C14558" s="36"/>
      <c r="D14558" s="37"/>
      <c r="E14558" s="36"/>
      <c r="F14558" s="42"/>
      <c r="G14558" s="42"/>
      <c r="H14558" s="42"/>
      <c r="AG14558" s="19"/>
    </row>
    <row r="14559" spans="1:33" ht="14.5" x14ac:dyDescent="0.35">
      <c r="A14559" s="34"/>
      <c r="B14559" s="35"/>
      <c r="C14559" s="36"/>
      <c r="D14559" s="37"/>
      <c r="E14559" s="36"/>
      <c r="F14559" s="42"/>
      <c r="G14559" s="42"/>
      <c r="H14559" s="42"/>
      <c r="AG14559" s="19"/>
    </row>
    <row r="14560" spans="1:33" ht="14.5" x14ac:dyDescent="0.35">
      <c r="A14560" s="34"/>
      <c r="B14560" s="35"/>
      <c r="C14560" s="36"/>
      <c r="D14560" s="37"/>
      <c r="E14560" s="36"/>
      <c r="F14560" s="42"/>
      <c r="G14560" s="42"/>
      <c r="H14560" s="42"/>
      <c r="AG14560" s="19"/>
    </row>
    <row r="14561" spans="1:33" ht="14.5" x14ac:dyDescent="0.35">
      <c r="A14561" s="34"/>
      <c r="B14561" s="35"/>
      <c r="C14561" s="36"/>
      <c r="D14561" s="37"/>
      <c r="E14561" s="36"/>
      <c r="F14561" s="42"/>
      <c r="G14561" s="42"/>
      <c r="H14561" s="42"/>
      <c r="AG14561" s="19"/>
    </row>
    <row r="14562" spans="1:33" ht="14.5" x14ac:dyDescent="0.35">
      <c r="A14562" s="34"/>
      <c r="B14562" s="35"/>
      <c r="C14562" s="36"/>
      <c r="D14562" s="37"/>
      <c r="E14562" s="36"/>
      <c r="F14562" s="42"/>
      <c r="G14562" s="42"/>
      <c r="H14562" s="42"/>
      <c r="AG14562" s="19"/>
    </row>
    <row r="14563" spans="1:33" ht="14.5" x14ac:dyDescent="0.35">
      <c r="A14563" s="34"/>
      <c r="B14563" s="35"/>
      <c r="C14563" s="36"/>
      <c r="D14563" s="37"/>
      <c r="E14563" s="36"/>
      <c r="F14563" s="42"/>
      <c r="G14563" s="42"/>
      <c r="H14563" s="42"/>
      <c r="AG14563" s="19"/>
    </row>
    <row r="14564" spans="1:33" ht="14.5" x14ac:dyDescent="0.35">
      <c r="A14564" s="34"/>
      <c r="B14564" s="35"/>
      <c r="C14564" s="36"/>
      <c r="D14564" s="37"/>
      <c r="E14564" s="36"/>
      <c r="F14564" s="42"/>
      <c r="G14564" s="42"/>
      <c r="H14564" s="42"/>
      <c r="AG14564" s="19"/>
    </row>
    <row r="14565" spans="1:33" ht="14.5" x14ac:dyDescent="0.35">
      <c r="A14565" s="34"/>
      <c r="B14565" s="35"/>
      <c r="C14565" s="36"/>
      <c r="D14565" s="37"/>
      <c r="E14565" s="36"/>
      <c r="F14565" s="42"/>
      <c r="G14565" s="42"/>
      <c r="H14565" s="42"/>
      <c r="AG14565" s="19"/>
    </row>
    <row r="14566" spans="1:33" ht="14.5" x14ac:dyDescent="0.35">
      <c r="A14566" s="34"/>
      <c r="B14566" s="35"/>
      <c r="C14566" s="36"/>
      <c r="D14566" s="37"/>
      <c r="E14566" s="36"/>
      <c r="F14566" s="42"/>
      <c r="G14566" s="42"/>
      <c r="H14566" s="42"/>
      <c r="AG14566" s="19"/>
    </row>
    <row r="14567" spans="1:33" ht="14.5" x14ac:dyDescent="0.35">
      <c r="A14567" s="34"/>
      <c r="B14567" s="35"/>
      <c r="C14567" s="36"/>
      <c r="D14567" s="37"/>
      <c r="E14567" s="36"/>
      <c r="F14567" s="42"/>
      <c r="G14567" s="42"/>
      <c r="H14567" s="42"/>
      <c r="AG14567" s="19"/>
    </row>
    <row r="14568" spans="1:33" ht="14.5" x14ac:dyDescent="0.35">
      <c r="A14568" s="34"/>
      <c r="B14568" s="35"/>
      <c r="C14568" s="36"/>
      <c r="D14568" s="37"/>
      <c r="E14568" s="36"/>
      <c r="F14568" s="42"/>
      <c r="G14568" s="42"/>
      <c r="H14568" s="42"/>
      <c r="AG14568" s="19"/>
    </row>
    <row r="14569" spans="1:33" ht="14.5" x14ac:dyDescent="0.35">
      <c r="A14569" s="34"/>
      <c r="B14569" s="35"/>
      <c r="C14569" s="36"/>
      <c r="D14569" s="37"/>
      <c r="E14569" s="36"/>
      <c r="F14569" s="42"/>
      <c r="G14569" s="42"/>
      <c r="H14569" s="42"/>
      <c r="AG14569" s="19"/>
    </row>
    <row r="14570" spans="1:33" ht="14.5" x14ac:dyDescent="0.35">
      <c r="A14570" s="34"/>
      <c r="B14570" s="35"/>
      <c r="C14570" s="36"/>
      <c r="D14570" s="37"/>
      <c r="E14570" s="36"/>
      <c r="F14570" s="42"/>
      <c r="G14570" s="42"/>
      <c r="H14570" s="42"/>
      <c r="AG14570" s="19"/>
    </row>
    <row r="14571" spans="1:33" ht="14.5" x14ac:dyDescent="0.35">
      <c r="A14571" s="34"/>
      <c r="B14571" s="35"/>
      <c r="C14571" s="36"/>
      <c r="D14571" s="37"/>
      <c r="E14571" s="36"/>
      <c r="F14571" s="42"/>
      <c r="G14571" s="42"/>
      <c r="H14571" s="42"/>
      <c r="AG14571" s="19"/>
    </row>
    <row r="14572" spans="1:33" ht="14.5" x14ac:dyDescent="0.35">
      <c r="A14572" s="34"/>
      <c r="B14572" s="35"/>
      <c r="C14572" s="36"/>
      <c r="D14572" s="37"/>
      <c r="E14572" s="36"/>
      <c r="F14572" s="42"/>
      <c r="G14572" s="42"/>
      <c r="H14572" s="42"/>
      <c r="AG14572" s="19"/>
    </row>
    <row r="14573" spans="1:33" ht="14.5" x14ac:dyDescent="0.35">
      <c r="A14573" s="34"/>
      <c r="B14573" s="35"/>
      <c r="C14573" s="36"/>
      <c r="D14573" s="37"/>
      <c r="E14573" s="36"/>
      <c r="F14573" s="42"/>
      <c r="G14573" s="42"/>
      <c r="H14573" s="42"/>
      <c r="AG14573" s="19"/>
    </row>
    <row r="14574" spans="1:33" ht="14.5" x14ac:dyDescent="0.35">
      <c r="A14574" s="34"/>
      <c r="B14574" s="35"/>
      <c r="C14574" s="36"/>
      <c r="D14574" s="37"/>
      <c r="E14574" s="36"/>
      <c r="F14574" s="42"/>
      <c r="G14574" s="42"/>
      <c r="H14574" s="42"/>
      <c r="AG14574" s="19"/>
    </row>
    <row r="14575" spans="1:33" ht="14.5" x14ac:dyDescent="0.35">
      <c r="A14575" s="34"/>
      <c r="B14575" s="35"/>
      <c r="C14575" s="36"/>
      <c r="D14575" s="37"/>
      <c r="E14575" s="36"/>
      <c r="F14575" s="42"/>
      <c r="G14575" s="42"/>
      <c r="H14575" s="42"/>
      <c r="AG14575" s="19"/>
    </row>
    <row r="14576" spans="1:33" ht="14.5" x14ac:dyDescent="0.35">
      <c r="A14576" s="34"/>
      <c r="B14576" s="35"/>
      <c r="C14576" s="36"/>
      <c r="D14576" s="37"/>
      <c r="E14576" s="36"/>
      <c r="F14576" s="42"/>
      <c r="G14576" s="42"/>
      <c r="H14576" s="42"/>
      <c r="AG14576" s="19"/>
    </row>
    <row r="14577" spans="1:33" ht="14.5" x14ac:dyDescent="0.35">
      <c r="A14577" s="34"/>
      <c r="B14577" s="35"/>
      <c r="C14577" s="36"/>
      <c r="D14577" s="37"/>
      <c r="E14577" s="36"/>
      <c r="F14577" s="42"/>
      <c r="G14577" s="42"/>
      <c r="H14577" s="42"/>
      <c r="AG14577" s="19"/>
    </row>
    <row r="14578" spans="1:33" ht="14.5" x14ac:dyDescent="0.35">
      <c r="A14578" s="34"/>
      <c r="B14578" s="35"/>
      <c r="C14578" s="36"/>
      <c r="D14578" s="37"/>
      <c r="E14578" s="36"/>
      <c r="F14578" s="42"/>
      <c r="G14578" s="42"/>
      <c r="H14578" s="42"/>
      <c r="AG14578" s="19"/>
    </row>
    <row r="14579" spans="1:33" ht="14.5" x14ac:dyDescent="0.35">
      <c r="A14579" s="34"/>
      <c r="B14579" s="35"/>
      <c r="C14579" s="36"/>
      <c r="D14579" s="37"/>
      <c r="E14579" s="36"/>
      <c r="F14579" s="42"/>
      <c r="G14579" s="42"/>
      <c r="H14579" s="42"/>
      <c r="AG14579" s="19"/>
    </row>
    <row r="14580" spans="1:33" ht="14.5" x14ac:dyDescent="0.35">
      <c r="A14580" s="34"/>
      <c r="B14580" s="35"/>
      <c r="C14580" s="36"/>
      <c r="D14580" s="37"/>
      <c r="E14580" s="36"/>
      <c r="F14580" s="42"/>
      <c r="G14580" s="42"/>
      <c r="H14580" s="42"/>
      <c r="AG14580" s="19"/>
    </row>
    <row r="14581" spans="1:33" ht="14.5" x14ac:dyDescent="0.35">
      <c r="A14581" s="34"/>
      <c r="B14581" s="35"/>
      <c r="C14581" s="36"/>
      <c r="D14581" s="37"/>
      <c r="E14581" s="36"/>
      <c r="F14581" s="42"/>
      <c r="G14581" s="42"/>
      <c r="H14581" s="42"/>
      <c r="AG14581" s="19"/>
    </row>
    <row r="14582" spans="1:33" ht="14.5" x14ac:dyDescent="0.35">
      <c r="A14582" s="34"/>
      <c r="B14582" s="35"/>
      <c r="C14582" s="36"/>
      <c r="D14582" s="37"/>
      <c r="E14582" s="36"/>
      <c r="F14582" s="42"/>
      <c r="G14582" s="42"/>
      <c r="H14582" s="42"/>
      <c r="AG14582" s="19"/>
    </row>
    <row r="14583" spans="1:33" ht="14.5" x14ac:dyDescent="0.35">
      <c r="A14583" s="34"/>
      <c r="B14583" s="35"/>
      <c r="C14583" s="36"/>
      <c r="D14583" s="37"/>
      <c r="E14583" s="36"/>
      <c r="F14583" s="42"/>
      <c r="G14583" s="42"/>
      <c r="H14583" s="42"/>
      <c r="AG14583" s="19"/>
    </row>
    <row r="14584" spans="1:33" ht="14.5" x14ac:dyDescent="0.35">
      <c r="A14584" s="34"/>
      <c r="B14584" s="35"/>
      <c r="C14584" s="36"/>
      <c r="D14584" s="37"/>
      <c r="E14584" s="36"/>
      <c r="F14584" s="42"/>
      <c r="G14584" s="42"/>
      <c r="H14584" s="42"/>
      <c r="AG14584" s="19"/>
    </row>
    <row r="14585" spans="1:33" ht="14.5" x14ac:dyDescent="0.35">
      <c r="A14585" s="34"/>
      <c r="B14585" s="35"/>
      <c r="C14585" s="36"/>
      <c r="D14585" s="37"/>
      <c r="E14585" s="36"/>
      <c r="F14585" s="42"/>
      <c r="G14585" s="42"/>
      <c r="H14585" s="42"/>
      <c r="AG14585" s="19"/>
    </row>
    <row r="14586" spans="1:33" ht="14.5" x14ac:dyDescent="0.35">
      <c r="A14586" s="34"/>
      <c r="B14586" s="35"/>
      <c r="C14586" s="36"/>
      <c r="D14586" s="37"/>
      <c r="E14586" s="36"/>
      <c r="F14586" s="42"/>
      <c r="G14586" s="42"/>
      <c r="H14586" s="42"/>
      <c r="AG14586" s="19"/>
    </row>
    <row r="14587" spans="1:33" ht="14.5" x14ac:dyDescent="0.35">
      <c r="A14587" s="34"/>
      <c r="B14587" s="35"/>
      <c r="C14587" s="36"/>
      <c r="D14587" s="37"/>
      <c r="E14587" s="36"/>
      <c r="F14587" s="42"/>
      <c r="G14587" s="42"/>
      <c r="H14587" s="42"/>
      <c r="AG14587" s="19"/>
    </row>
    <row r="14588" spans="1:33" ht="14.5" x14ac:dyDescent="0.35">
      <c r="A14588" s="34"/>
      <c r="B14588" s="35"/>
      <c r="C14588" s="36"/>
      <c r="D14588" s="37"/>
      <c r="E14588" s="36"/>
      <c r="F14588" s="42"/>
      <c r="G14588" s="42"/>
      <c r="H14588" s="42"/>
      <c r="AG14588" s="19"/>
    </row>
    <row r="14589" spans="1:33" ht="14.5" x14ac:dyDescent="0.35">
      <c r="A14589" s="34"/>
      <c r="B14589" s="35"/>
      <c r="C14589" s="36"/>
      <c r="D14589" s="37"/>
      <c r="E14589" s="36"/>
      <c r="F14589" s="42"/>
      <c r="G14589" s="42"/>
      <c r="H14589" s="42"/>
      <c r="AG14589" s="19"/>
    </row>
    <row r="14590" spans="1:33" ht="14.5" x14ac:dyDescent="0.35">
      <c r="A14590" s="34"/>
      <c r="B14590" s="35"/>
      <c r="C14590" s="36"/>
      <c r="D14590" s="37"/>
      <c r="E14590" s="36"/>
      <c r="F14590" s="42"/>
      <c r="G14590" s="42"/>
      <c r="H14590" s="42"/>
      <c r="AG14590" s="19"/>
    </row>
    <row r="14591" spans="1:33" ht="14.5" x14ac:dyDescent="0.35">
      <c r="A14591" s="34"/>
      <c r="B14591" s="35"/>
      <c r="C14591" s="36"/>
      <c r="D14591" s="37"/>
      <c r="E14591" s="36"/>
      <c r="F14591" s="42"/>
      <c r="G14591" s="42"/>
      <c r="H14591" s="42"/>
      <c r="AG14591" s="19"/>
    </row>
    <row r="14592" spans="1:33" ht="14.5" x14ac:dyDescent="0.35">
      <c r="A14592" s="34"/>
      <c r="B14592" s="35"/>
      <c r="C14592" s="36"/>
      <c r="D14592" s="37"/>
      <c r="E14592" s="36"/>
      <c r="F14592" s="42"/>
      <c r="G14592" s="42"/>
      <c r="H14592" s="42"/>
      <c r="AG14592" s="19"/>
    </row>
    <row r="14593" spans="1:33" ht="14.5" x14ac:dyDescent="0.35">
      <c r="A14593" s="34"/>
      <c r="B14593" s="35"/>
      <c r="C14593" s="36"/>
      <c r="D14593" s="37"/>
      <c r="E14593" s="36"/>
      <c r="F14593" s="42"/>
      <c r="G14593" s="42"/>
      <c r="H14593" s="42"/>
      <c r="AG14593" s="19"/>
    </row>
    <row r="14594" spans="1:33" ht="14.5" x14ac:dyDescent="0.35">
      <c r="A14594" s="34"/>
      <c r="B14594" s="35"/>
      <c r="C14594" s="36"/>
      <c r="D14594" s="37"/>
      <c r="E14594" s="36"/>
      <c r="F14594" s="42"/>
      <c r="G14594" s="42"/>
      <c r="H14594" s="42"/>
      <c r="AG14594" s="19"/>
    </row>
    <row r="14595" spans="1:33" ht="14.5" x14ac:dyDescent="0.35">
      <c r="A14595" s="34"/>
      <c r="B14595" s="35"/>
      <c r="C14595" s="36"/>
      <c r="D14595" s="37"/>
      <c r="E14595" s="36"/>
      <c r="F14595" s="42"/>
      <c r="G14595" s="42"/>
      <c r="H14595" s="42"/>
      <c r="AG14595" s="19"/>
    </row>
    <row r="14596" spans="1:33" ht="14.5" x14ac:dyDescent="0.35">
      <c r="A14596" s="34"/>
      <c r="B14596" s="35"/>
      <c r="C14596" s="36"/>
      <c r="D14596" s="37"/>
      <c r="E14596" s="36"/>
      <c r="F14596" s="42"/>
      <c r="G14596" s="42"/>
      <c r="H14596" s="42"/>
      <c r="AG14596" s="19"/>
    </row>
    <row r="14597" spans="1:33" ht="14.5" x14ac:dyDescent="0.35">
      <c r="A14597" s="34"/>
      <c r="B14597" s="35"/>
      <c r="C14597" s="36"/>
      <c r="D14597" s="37"/>
      <c r="E14597" s="36"/>
      <c r="F14597" s="42"/>
      <c r="G14597" s="42"/>
      <c r="H14597" s="42"/>
      <c r="AG14597" s="19"/>
    </row>
    <row r="14598" spans="1:33" ht="14.5" x14ac:dyDescent="0.35">
      <c r="A14598" s="34"/>
      <c r="B14598" s="35"/>
      <c r="C14598" s="36"/>
      <c r="D14598" s="37"/>
      <c r="E14598" s="36"/>
      <c r="F14598" s="42"/>
      <c r="G14598" s="42"/>
      <c r="H14598" s="42"/>
      <c r="AG14598" s="19"/>
    </row>
    <row r="14599" spans="1:33" ht="14.5" x14ac:dyDescent="0.35">
      <c r="A14599" s="34"/>
      <c r="B14599" s="35"/>
      <c r="C14599" s="36"/>
      <c r="D14599" s="37"/>
      <c r="E14599" s="36"/>
      <c r="F14599" s="42"/>
      <c r="G14599" s="42"/>
      <c r="H14599" s="42"/>
      <c r="AG14599" s="19"/>
    </row>
    <row r="14600" spans="1:33" ht="14.5" x14ac:dyDescent="0.35">
      <c r="A14600" s="34"/>
      <c r="B14600" s="35"/>
      <c r="C14600" s="36"/>
      <c r="D14600" s="37"/>
      <c r="E14600" s="36"/>
      <c r="F14600" s="42"/>
      <c r="G14600" s="42"/>
      <c r="H14600" s="42"/>
      <c r="AG14600" s="19"/>
    </row>
    <row r="14601" spans="1:33" ht="14.5" x14ac:dyDescent="0.35">
      <c r="A14601" s="34"/>
      <c r="B14601" s="35"/>
      <c r="C14601" s="36"/>
      <c r="D14601" s="37"/>
      <c r="E14601" s="36"/>
      <c r="F14601" s="42"/>
      <c r="G14601" s="42"/>
      <c r="H14601" s="42"/>
      <c r="AG14601" s="19"/>
    </row>
    <row r="14602" spans="1:33" ht="14.5" x14ac:dyDescent="0.35">
      <c r="A14602" s="34"/>
      <c r="B14602" s="35"/>
      <c r="C14602" s="36"/>
      <c r="D14602" s="37"/>
      <c r="E14602" s="36"/>
      <c r="F14602" s="42"/>
      <c r="G14602" s="42"/>
      <c r="H14602" s="42"/>
      <c r="AG14602" s="19"/>
    </row>
    <row r="14603" spans="1:33" ht="14.5" x14ac:dyDescent="0.35">
      <c r="A14603" s="34"/>
      <c r="B14603" s="35"/>
      <c r="C14603" s="36"/>
      <c r="D14603" s="37"/>
      <c r="E14603" s="36"/>
      <c r="F14603" s="42"/>
      <c r="G14603" s="42"/>
      <c r="H14603" s="42"/>
      <c r="AG14603" s="19"/>
    </row>
    <row r="14604" spans="1:33" ht="14.5" x14ac:dyDescent="0.35">
      <c r="A14604" s="34"/>
      <c r="B14604" s="35"/>
      <c r="C14604" s="36"/>
      <c r="D14604" s="37"/>
      <c r="E14604" s="36"/>
      <c r="F14604" s="42"/>
      <c r="G14604" s="42"/>
      <c r="H14604" s="42"/>
      <c r="AG14604" s="19"/>
    </row>
    <row r="14605" spans="1:33" ht="14.5" x14ac:dyDescent="0.35">
      <c r="A14605" s="34"/>
      <c r="B14605" s="35"/>
      <c r="C14605" s="36"/>
      <c r="D14605" s="37"/>
      <c r="E14605" s="36"/>
      <c r="F14605" s="42"/>
      <c r="G14605" s="42"/>
      <c r="H14605" s="42"/>
      <c r="AG14605" s="19"/>
    </row>
    <row r="14606" spans="1:33" ht="14.5" x14ac:dyDescent="0.35">
      <c r="A14606" s="34"/>
      <c r="B14606" s="35"/>
      <c r="C14606" s="36"/>
      <c r="D14606" s="37"/>
      <c r="E14606" s="36"/>
      <c r="F14606" s="42"/>
      <c r="G14606" s="42"/>
      <c r="H14606" s="42"/>
      <c r="AG14606" s="19"/>
    </row>
    <row r="14607" spans="1:33" ht="14.5" x14ac:dyDescent="0.35">
      <c r="A14607" s="34"/>
      <c r="B14607" s="35"/>
      <c r="C14607" s="36"/>
      <c r="D14607" s="37"/>
      <c r="E14607" s="36"/>
      <c r="F14607" s="42"/>
      <c r="G14607" s="42"/>
      <c r="H14607" s="42"/>
      <c r="AG14607" s="19"/>
    </row>
    <row r="14608" spans="1:33" ht="14.5" x14ac:dyDescent="0.35">
      <c r="A14608" s="34"/>
      <c r="B14608" s="35"/>
      <c r="C14608" s="36"/>
      <c r="D14608" s="37"/>
      <c r="E14608" s="36"/>
      <c r="F14608" s="42"/>
      <c r="G14608" s="42"/>
      <c r="H14608" s="42"/>
      <c r="AG14608" s="19"/>
    </row>
    <row r="14609" spans="1:33" ht="14.5" x14ac:dyDescent="0.35">
      <c r="A14609" s="34"/>
      <c r="B14609" s="35"/>
      <c r="C14609" s="36"/>
      <c r="D14609" s="37"/>
      <c r="E14609" s="36"/>
      <c r="F14609" s="42"/>
      <c r="G14609" s="42"/>
      <c r="H14609" s="42"/>
      <c r="AG14609" s="19"/>
    </row>
    <row r="14610" spans="1:33" ht="14.5" x14ac:dyDescent="0.35">
      <c r="A14610" s="34"/>
      <c r="B14610" s="35"/>
      <c r="C14610" s="36"/>
      <c r="D14610" s="37"/>
      <c r="E14610" s="36"/>
      <c r="F14610" s="42"/>
      <c r="G14610" s="42"/>
      <c r="H14610" s="42"/>
      <c r="AG14610" s="19"/>
    </row>
    <row r="14611" spans="1:33" ht="14.5" x14ac:dyDescent="0.35">
      <c r="A14611" s="34"/>
      <c r="B14611" s="35"/>
      <c r="C14611" s="36"/>
      <c r="D14611" s="37"/>
      <c r="E14611" s="36"/>
      <c r="F14611" s="42"/>
      <c r="G14611" s="42"/>
      <c r="H14611" s="42"/>
      <c r="AG14611" s="19"/>
    </row>
    <row r="14612" spans="1:33" ht="14.5" x14ac:dyDescent="0.35">
      <c r="A14612" s="34"/>
      <c r="B14612" s="35"/>
      <c r="C14612" s="36"/>
      <c r="D14612" s="37"/>
      <c r="E14612" s="36"/>
      <c r="F14612" s="42"/>
      <c r="G14612" s="42"/>
      <c r="H14612" s="42"/>
      <c r="AG14612" s="19"/>
    </row>
    <row r="14613" spans="1:33" ht="14.5" x14ac:dyDescent="0.35">
      <c r="A14613" s="34"/>
      <c r="B14613" s="35"/>
      <c r="C14613" s="36"/>
      <c r="D14613" s="37"/>
      <c r="E14613" s="36"/>
      <c r="F14613" s="42"/>
      <c r="G14613" s="42"/>
      <c r="H14613" s="42"/>
      <c r="AG14613" s="19"/>
    </row>
    <row r="14614" spans="1:33" ht="14.5" x14ac:dyDescent="0.35">
      <c r="A14614" s="34"/>
      <c r="B14614" s="35"/>
      <c r="C14614" s="36"/>
      <c r="D14614" s="37"/>
      <c r="E14614" s="36"/>
      <c r="F14614" s="42"/>
      <c r="G14614" s="42"/>
      <c r="H14614" s="42"/>
      <c r="AG14614" s="19"/>
    </row>
    <row r="14615" spans="1:33" ht="14.5" x14ac:dyDescent="0.35">
      <c r="A14615" s="34"/>
      <c r="B14615" s="35"/>
      <c r="C14615" s="36"/>
      <c r="D14615" s="37"/>
      <c r="E14615" s="36"/>
      <c r="F14615" s="42"/>
      <c r="G14615" s="42"/>
      <c r="H14615" s="42"/>
      <c r="AG14615" s="19"/>
    </row>
    <row r="14616" spans="1:33" ht="14.5" x14ac:dyDescent="0.35">
      <c r="A14616" s="34"/>
      <c r="B14616" s="35"/>
      <c r="C14616" s="36"/>
      <c r="D14616" s="37"/>
      <c r="E14616" s="36"/>
      <c r="F14616" s="42"/>
      <c r="G14616" s="42"/>
      <c r="H14616" s="42"/>
      <c r="AG14616" s="19"/>
    </row>
    <row r="14617" spans="1:33" ht="14.5" x14ac:dyDescent="0.35">
      <c r="A14617" s="34"/>
      <c r="B14617" s="35"/>
      <c r="C14617" s="36"/>
      <c r="D14617" s="37"/>
      <c r="E14617" s="36"/>
      <c r="F14617" s="42"/>
      <c r="G14617" s="42"/>
      <c r="H14617" s="42"/>
      <c r="AG14617" s="19"/>
    </row>
    <row r="14618" spans="1:33" ht="14.5" x14ac:dyDescent="0.35">
      <c r="A14618" s="34"/>
      <c r="B14618" s="35"/>
      <c r="C14618" s="36"/>
      <c r="D14618" s="37"/>
      <c r="E14618" s="36"/>
      <c r="F14618" s="42"/>
      <c r="G14618" s="42"/>
      <c r="H14618" s="42"/>
      <c r="AG14618" s="19"/>
    </row>
    <row r="14619" spans="1:33" ht="14.5" x14ac:dyDescent="0.35">
      <c r="A14619" s="34"/>
      <c r="B14619" s="35"/>
      <c r="C14619" s="36"/>
      <c r="D14619" s="37"/>
      <c r="E14619" s="36"/>
      <c r="F14619" s="42"/>
      <c r="G14619" s="42"/>
      <c r="H14619" s="42"/>
      <c r="AG14619" s="19"/>
    </row>
    <row r="14620" spans="1:33" ht="14.5" x14ac:dyDescent="0.35">
      <c r="A14620" s="34"/>
      <c r="B14620" s="35"/>
      <c r="C14620" s="36"/>
      <c r="D14620" s="37"/>
      <c r="E14620" s="36"/>
      <c r="F14620" s="42"/>
      <c r="G14620" s="42"/>
      <c r="H14620" s="42"/>
      <c r="AG14620" s="19"/>
    </row>
    <row r="14621" spans="1:33" ht="14.5" x14ac:dyDescent="0.35">
      <c r="A14621" s="34"/>
      <c r="B14621" s="35"/>
      <c r="C14621" s="36"/>
      <c r="D14621" s="37"/>
      <c r="E14621" s="36"/>
      <c r="F14621" s="42"/>
      <c r="G14621" s="42"/>
      <c r="H14621" s="42"/>
      <c r="AG14621" s="19"/>
    </row>
    <row r="14622" spans="1:33" ht="14.5" x14ac:dyDescent="0.35">
      <c r="A14622" s="34"/>
      <c r="B14622" s="35"/>
      <c r="C14622" s="36"/>
      <c r="D14622" s="37"/>
      <c r="E14622" s="36"/>
      <c r="F14622" s="42"/>
      <c r="G14622" s="42"/>
      <c r="H14622" s="42"/>
      <c r="AG14622" s="19"/>
    </row>
    <row r="14623" spans="1:33" ht="14.5" x14ac:dyDescent="0.35">
      <c r="A14623" s="34"/>
      <c r="B14623" s="35"/>
      <c r="C14623" s="36"/>
      <c r="D14623" s="37"/>
      <c r="E14623" s="36"/>
      <c r="F14623" s="42"/>
      <c r="G14623" s="42"/>
      <c r="H14623" s="42"/>
      <c r="AG14623" s="19"/>
    </row>
    <row r="14624" spans="1:33" ht="14.5" x14ac:dyDescent="0.35">
      <c r="A14624" s="34"/>
      <c r="B14624" s="35"/>
      <c r="C14624" s="36"/>
      <c r="D14624" s="37"/>
      <c r="E14624" s="36"/>
      <c r="F14624" s="42"/>
      <c r="G14624" s="42"/>
      <c r="H14624" s="42"/>
      <c r="AG14624" s="19"/>
    </row>
    <row r="14625" spans="1:33" ht="14.5" x14ac:dyDescent="0.35">
      <c r="A14625" s="34"/>
      <c r="B14625" s="35"/>
      <c r="C14625" s="36"/>
      <c r="D14625" s="37"/>
      <c r="E14625" s="36"/>
      <c r="F14625" s="42"/>
      <c r="G14625" s="42"/>
      <c r="H14625" s="42"/>
      <c r="AG14625" s="19"/>
    </row>
    <row r="14626" spans="1:33" ht="14.5" x14ac:dyDescent="0.35">
      <c r="A14626" s="34"/>
      <c r="B14626" s="35"/>
      <c r="C14626" s="36"/>
      <c r="D14626" s="37"/>
      <c r="E14626" s="36"/>
      <c r="F14626" s="42"/>
      <c r="G14626" s="42"/>
      <c r="H14626" s="42"/>
      <c r="AG14626" s="19"/>
    </row>
    <row r="14627" spans="1:33" ht="14.5" x14ac:dyDescent="0.35">
      <c r="A14627" s="34"/>
      <c r="B14627" s="35"/>
      <c r="C14627" s="36"/>
      <c r="D14627" s="37"/>
      <c r="E14627" s="36"/>
      <c r="F14627" s="42"/>
      <c r="G14627" s="42"/>
      <c r="H14627" s="42"/>
      <c r="AG14627" s="19"/>
    </row>
    <row r="14628" spans="1:33" ht="14.5" x14ac:dyDescent="0.35">
      <c r="A14628" s="34"/>
      <c r="B14628" s="35"/>
      <c r="C14628" s="36"/>
      <c r="D14628" s="37"/>
      <c r="E14628" s="36"/>
      <c r="F14628" s="42"/>
      <c r="G14628" s="42"/>
      <c r="H14628" s="42"/>
      <c r="AG14628" s="19"/>
    </row>
    <row r="14629" spans="1:33" ht="14.5" x14ac:dyDescent="0.35">
      <c r="A14629" s="34"/>
      <c r="B14629" s="35"/>
      <c r="C14629" s="36"/>
      <c r="D14629" s="37"/>
      <c r="E14629" s="36"/>
      <c r="F14629" s="42"/>
      <c r="G14629" s="42"/>
      <c r="H14629" s="42"/>
      <c r="AG14629" s="19"/>
    </row>
    <row r="14630" spans="1:33" ht="14.5" x14ac:dyDescent="0.35">
      <c r="A14630" s="34"/>
      <c r="B14630" s="35"/>
      <c r="C14630" s="36"/>
      <c r="D14630" s="37"/>
      <c r="E14630" s="36"/>
      <c r="F14630" s="42"/>
      <c r="G14630" s="42"/>
      <c r="H14630" s="42"/>
      <c r="AG14630" s="19"/>
    </row>
    <row r="14631" spans="1:33" ht="14.5" x14ac:dyDescent="0.35">
      <c r="A14631" s="34"/>
      <c r="B14631" s="35"/>
      <c r="C14631" s="36"/>
      <c r="D14631" s="37"/>
      <c r="E14631" s="36"/>
      <c r="F14631" s="42"/>
      <c r="G14631" s="42"/>
      <c r="H14631" s="42"/>
      <c r="AG14631" s="19"/>
    </row>
    <row r="14632" spans="1:33" ht="14.5" x14ac:dyDescent="0.35">
      <c r="A14632" s="34"/>
      <c r="B14632" s="35"/>
      <c r="C14632" s="36"/>
      <c r="D14632" s="37"/>
      <c r="E14632" s="36"/>
      <c r="F14632" s="42"/>
      <c r="G14632" s="42"/>
      <c r="H14632" s="42"/>
      <c r="AG14632" s="19"/>
    </row>
    <row r="14633" spans="1:33" ht="14.5" x14ac:dyDescent="0.35">
      <c r="A14633" s="34"/>
      <c r="B14633" s="35"/>
      <c r="C14633" s="36"/>
      <c r="D14633" s="37"/>
      <c r="E14633" s="36"/>
      <c r="F14633" s="42"/>
      <c r="G14633" s="42"/>
      <c r="H14633" s="42"/>
      <c r="AG14633" s="19"/>
    </row>
    <row r="14634" spans="1:33" ht="14.5" x14ac:dyDescent="0.35">
      <c r="A14634" s="34"/>
      <c r="B14634" s="35"/>
      <c r="C14634" s="36"/>
      <c r="D14634" s="37"/>
      <c r="E14634" s="36"/>
      <c r="F14634" s="42"/>
      <c r="G14634" s="42"/>
      <c r="H14634" s="42"/>
      <c r="AG14634" s="19"/>
    </row>
    <row r="14635" spans="1:33" ht="14.5" x14ac:dyDescent="0.35">
      <c r="A14635" s="34"/>
      <c r="B14635" s="35"/>
      <c r="C14635" s="36"/>
      <c r="D14635" s="37"/>
      <c r="E14635" s="36"/>
      <c r="F14635" s="42"/>
      <c r="G14635" s="42"/>
      <c r="H14635" s="42"/>
      <c r="AG14635" s="19"/>
    </row>
    <row r="14636" spans="1:33" ht="14.5" x14ac:dyDescent="0.35">
      <c r="A14636" s="34"/>
      <c r="B14636" s="35"/>
      <c r="C14636" s="36"/>
      <c r="D14636" s="37"/>
      <c r="E14636" s="36"/>
      <c r="F14636" s="42"/>
      <c r="G14636" s="42"/>
      <c r="H14636" s="42"/>
      <c r="AG14636" s="19"/>
    </row>
    <row r="14637" spans="1:33" ht="14.5" x14ac:dyDescent="0.35">
      <c r="A14637" s="34"/>
      <c r="B14637" s="35"/>
      <c r="C14637" s="36"/>
      <c r="D14637" s="37"/>
      <c r="E14637" s="36"/>
      <c r="F14637" s="42"/>
      <c r="G14637" s="42"/>
      <c r="H14637" s="42"/>
      <c r="AG14637" s="19"/>
    </row>
    <row r="14638" spans="1:33" ht="14.5" x14ac:dyDescent="0.35">
      <c r="A14638" s="34"/>
      <c r="B14638" s="35"/>
      <c r="C14638" s="36"/>
      <c r="D14638" s="37"/>
      <c r="E14638" s="36"/>
      <c r="F14638" s="42"/>
      <c r="G14638" s="42"/>
      <c r="H14638" s="42"/>
      <c r="AG14638" s="19"/>
    </row>
    <row r="14639" spans="1:33" ht="14.5" x14ac:dyDescent="0.35">
      <c r="A14639" s="34"/>
      <c r="B14639" s="35"/>
      <c r="C14639" s="36"/>
      <c r="D14639" s="37"/>
      <c r="E14639" s="36"/>
      <c r="F14639" s="42"/>
      <c r="G14639" s="42"/>
      <c r="H14639" s="42"/>
      <c r="AG14639" s="19"/>
    </row>
    <row r="14640" spans="1:33" ht="14.5" x14ac:dyDescent="0.35">
      <c r="A14640" s="34"/>
      <c r="B14640" s="35"/>
      <c r="C14640" s="36"/>
      <c r="D14640" s="37"/>
      <c r="E14640" s="36"/>
      <c r="F14640" s="42"/>
      <c r="G14640" s="42"/>
      <c r="H14640" s="42"/>
      <c r="AG14640" s="19"/>
    </row>
    <row r="14641" spans="1:33" ht="14.5" x14ac:dyDescent="0.35">
      <c r="A14641" s="34"/>
      <c r="B14641" s="35"/>
      <c r="C14641" s="36"/>
      <c r="D14641" s="37"/>
      <c r="E14641" s="36"/>
      <c r="F14641" s="42"/>
      <c r="G14641" s="42"/>
      <c r="H14641" s="42"/>
      <c r="AG14641" s="19"/>
    </row>
    <row r="14642" spans="1:33" ht="14.5" x14ac:dyDescent="0.35">
      <c r="A14642" s="34"/>
      <c r="B14642" s="35"/>
      <c r="C14642" s="36"/>
      <c r="D14642" s="37"/>
      <c r="E14642" s="36"/>
      <c r="F14642" s="42"/>
      <c r="G14642" s="42"/>
      <c r="H14642" s="42"/>
      <c r="AG14642" s="19"/>
    </row>
    <row r="14643" spans="1:33" ht="14.5" x14ac:dyDescent="0.35">
      <c r="A14643" s="34"/>
      <c r="B14643" s="35"/>
      <c r="C14643" s="36"/>
      <c r="D14643" s="37"/>
      <c r="E14643" s="36"/>
      <c r="F14643" s="42"/>
      <c r="G14643" s="42"/>
      <c r="H14643" s="42"/>
      <c r="AG14643" s="19"/>
    </row>
    <row r="14644" spans="1:33" ht="14.5" x14ac:dyDescent="0.35">
      <c r="A14644" s="34"/>
      <c r="B14644" s="35"/>
      <c r="C14644" s="36"/>
      <c r="D14644" s="37"/>
      <c r="E14644" s="36"/>
      <c r="F14644" s="42"/>
      <c r="G14644" s="42"/>
      <c r="H14644" s="42"/>
      <c r="AG14644" s="19"/>
    </row>
    <row r="14645" spans="1:33" ht="14.5" x14ac:dyDescent="0.35">
      <c r="A14645" s="34"/>
      <c r="B14645" s="35"/>
      <c r="C14645" s="36"/>
      <c r="D14645" s="37"/>
      <c r="E14645" s="36"/>
      <c r="F14645" s="42"/>
      <c r="G14645" s="42"/>
      <c r="H14645" s="42"/>
      <c r="AG14645" s="19"/>
    </row>
    <row r="14646" spans="1:33" ht="14.5" x14ac:dyDescent="0.35">
      <c r="A14646" s="34"/>
      <c r="B14646" s="35"/>
      <c r="C14646" s="36"/>
      <c r="D14646" s="37"/>
      <c r="E14646" s="36"/>
      <c r="F14646" s="42"/>
      <c r="G14646" s="42"/>
      <c r="H14646" s="42"/>
      <c r="AG14646" s="19"/>
    </row>
    <row r="14647" spans="1:33" ht="14.5" x14ac:dyDescent="0.35">
      <c r="A14647" s="34"/>
      <c r="B14647" s="35"/>
      <c r="C14647" s="36"/>
      <c r="D14647" s="37"/>
      <c r="E14647" s="36"/>
      <c r="F14647" s="42"/>
      <c r="G14647" s="42"/>
      <c r="H14647" s="42"/>
      <c r="AG14647" s="19"/>
    </row>
    <row r="14648" spans="1:33" ht="14.5" x14ac:dyDescent="0.35">
      <c r="A14648" s="34"/>
      <c r="B14648" s="35"/>
      <c r="C14648" s="36"/>
      <c r="D14648" s="37"/>
      <c r="E14648" s="36"/>
      <c r="F14648" s="42"/>
      <c r="G14648" s="42"/>
      <c r="H14648" s="42"/>
      <c r="AG14648" s="19"/>
    </row>
    <row r="14649" spans="1:33" ht="14.5" x14ac:dyDescent="0.35">
      <c r="A14649" s="34"/>
      <c r="B14649" s="35"/>
      <c r="C14649" s="36"/>
      <c r="D14649" s="37"/>
      <c r="E14649" s="36"/>
      <c r="F14649" s="42"/>
      <c r="G14649" s="42"/>
      <c r="H14649" s="42"/>
      <c r="AG14649" s="19"/>
    </row>
    <row r="14650" spans="1:33" ht="14.5" x14ac:dyDescent="0.35">
      <c r="A14650" s="34"/>
      <c r="B14650" s="35"/>
      <c r="C14650" s="36"/>
      <c r="D14650" s="37"/>
      <c r="E14650" s="36"/>
      <c r="F14650" s="42"/>
      <c r="G14650" s="42"/>
      <c r="H14650" s="42"/>
      <c r="AG14650" s="19"/>
    </row>
    <row r="14651" spans="1:33" ht="14.5" x14ac:dyDescent="0.35">
      <c r="A14651" s="34"/>
      <c r="B14651" s="35"/>
      <c r="C14651" s="36"/>
      <c r="D14651" s="37"/>
      <c r="E14651" s="36"/>
      <c r="F14651" s="42"/>
      <c r="G14651" s="42"/>
      <c r="H14651" s="42"/>
      <c r="AG14651" s="19"/>
    </row>
    <row r="14652" spans="1:33" ht="14.5" x14ac:dyDescent="0.35">
      <c r="A14652" s="34"/>
      <c r="B14652" s="35"/>
      <c r="C14652" s="36"/>
      <c r="D14652" s="37"/>
      <c r="E14652" s="36"/>
      <c r="F14652" s="42"/>
      <c r="G14652" s="42"/>
      <c r="H14652" s="42"/>
      <c r="AG14652" s="19"/>
    </row>
    <row r="14653" spans="1:33" ht="14.5" x14ac:dyDescent="0.35">
      <c r="A14653" s="34"/>
      <c r="B14653" s="35"/>
      <c r="C14653" s="36"/>
      <c r="D14653" s="37"/>
      <c r="E14653" s="36"/>
      <c r="F14653" s="42"/>
      <c r="G14653" s="42"/>
      <c r="H14653" s="42"/>
      <c r="AG14653" s="19"/>
    </row>
    <row r="14654" spans="1:33" ht="14.5" x14ac:dyDescent="0.35">
      <c r="A14654" s="34"/>
      <c r="B14654" s="35"/>
      <c r="C14654" s="36"/>
      <c r="D14654" s="37"/>
      <c r="E14654" s="36"/>
      <c r="F14654" s="42"/>
      <c r="G14654" s="42"/>
      <c r="H14654" s="42"/>
      <c r="AG14654" s="19"/>
    </row>
    <row r="14655" spans="1:33" ht="14.5" x14ac:dyDescent="0.35">
      <c r="A14655" s="34"/>
      <c r="B14655" s="35"/>
      <c r="C14655" s="36"/>
      <c r="D14655" s="37"/>
      <c r="E14655" s="36"/>
      <c r="F14655" s="42"/>
      <c r="G14655" s="42"/>
      <c r="H14655" s="42"/>
      <c r="AG14655" s="19"/>
    </row>
    <row r="14656" spans="1:33" ht="14.5" x14ac:dyDescent="0.35">
      <c r="A14656" s="34"/>
      <c r="B14656" s="35"/>
      <c r="C14656" s="36"/>
      <c r="D14656" s="37"/>
      <c r="E14656" s="36"/>
      <c r="F14656" s="42"/>
      <c r="G14656" s="42"/>
      <c r="H14656" s="42"/>
      <c r="AG14656" s="19"/>
    </row>
    <row r="14657" spans="1:33" ht="14.5" x14ac:dyDescent="0.35">
      <c r="A14657" s="34"/>
      <c r="B14657" s="35"/>
      <c r="C14657" s="36"/>
      <c r="D14657" s="37"/>
      <c r="E14657" s="36"/>
      <c r="F14657" s="42"/>
      <c r="G14657" s="42"/>
      <c r="H14657" s="42"/>
      <c r="AG14657" s="19"/>
    </row>
    <row r="14658" spans="1:33" ht="14.5" x14ac:dyDescent="0.35">
      <c r="A14658" s="34"/>
      <c r="B14658" s="35"/>
      <c r="C14658" s="36"/>
      <c r="D14658" s="37"/>
      <c r="E14658" s="36"/>
      <c r="F14658" s="42"/>
      <c r="G14658" s="42"/>
      <c r="H14658" s="42"/>
      <c r="AG14658" s="19"/>
    </row>
    <row r="14659" spans="1:33" ht="14.5" x14ac:dyDescent="0.35">
      <c r="A14659" s="34"/>
      <c r="B14659" s="35"/>
      <c r="C14659" s="36"/>
      <c r="D14659" s="37"/>
      <c r="E14659" s="36"/>
      <c r="F14659" s="42"/>
      <c r="G14659" s="42"/>
      <c r="H14659" s="42"/>
      <c r="AG14659" s="19"/>
    </row>
    <row r="14660" spans="1:33" ht="14.5" x14ac:dyDescent="0.35">
      <c r="A14660" s="34"/>
      <c r="B14660" s="35"/>
      <c r="C14660" s="36"/>
      <c r="D14660" s="37"/>
      <c r="E14660" s="36"/>
      <c r="F14660" s="42"/>
      <c r="G14660" s="42"/>
      <c r="H14660" s="42"/>
      <c r="AG14660" s="19"/>
    </row>
    <row r="14661" spans="1:33" ht="14.5" x14ac:dyDescent="0.35">
      <c r="A14661" s="34"/>
      <c r="B14661" s="35"/>
      <c r="C14661" s="36"/>
      <c r="D14661" s="37"/>
      <c r="E14661" s="36"/>
      <c r="F14661" s="42"/>
      <c r="G14661" s="42"/>
      <c r="H14661" s="42"/>
      <c r="AG14661" s="19"/>
    </row>
    <row r="14662" spans="1:33" ht="14.5" x14ac:dyDescent="0.35">
      <c r="A14662" s="34"/>
      <c r="B14662" s="35"/>
      <c r="C14662" s="36"/>
      <c r="D14662" s="37"/>
      <c r="E14662" s="36"/>
      <c r="F14662" s="42"/>
      <c r="G14662" s="42"/>
      <c r="H14662" s="42"/>
      <c r="AG14662" s="19"/>
    </row>
    <row r="14663" spans="1:33" ht="14.5" x14ac:dyDescent="0.35">
      <c r="A14663" s="34"/>
      <c r="B14663" s="35"/>
      <c r="C14663" s="36"/>
      <c r="D14663" s="37"/>
      <c r="E14663" s="36"/>
      <c r="F14663" s="42"/>
      <c r="G14663" s="42"/>
      <c r="H14663" s="42"/>
      <c r="AG14663" s="19"/>
    </row>
    <row r="14664" spans="1:33" ht="14.5" x14ac:dyDescent="0.35">
      <c r="A14664" s="34"/>
      <c r="B14664" s="35"/>
      <c r="C14664" s="36"/>
      <c r="D14664" s="37"/>
      <c r="E14664" s="36"/>
      <c r="F14664" s="42"/>
      <c r="G14664" s="42"/>
      <c r="H14664" s="42"/>
      <c r="AG14664" s="19"/>
    </row>
    <row r="14665" spans="1:33" ht="14.5" x14ac:dyDescent="0.35">
      <c r="A14665" s="34"/>
      <c r="B14665" s="35"/>
      <c r="C14665" s="36"/>
      <c r="D14665" s="37"/>
      <c r="E14665" s="36"/>
      <c r="F14665" s="42"/>
      <c r="G14665" s="42"/>
      <c r="H14665" s="42"/>
      <c r="AG14665" s="19"/>
    </row>
    <row r="14666" spans="1:33" ht="14.5" x14ac:dyDescent="0.35">
      <c r="A14666" s="34"/>
      <c r="B14666" s="35"/>
      <c r="C14666" s="36"/>
      <c r="D14666" s="37"/>
      <c r="E14666" s="36"/>
      <c r="F14666" s="42"/>
      <c r="G14666" s="42"/>
      <c r="H14666" s="42"/>
      <c r="AG14666" s="19"/>
    </row>
    <row r="14667" spans="1:33" ht="14.5" x14ac:dyDescent="0.35">
      <c r="A14667" s="34"/>
      <c r="B14667" s="35"/>
      <c r="C14667" s="36"/>
      <c r="D14667" s="37"/>
      <c r="E14667" s="36"/>
      <c r="F14667" s="42"/>
      <c r="G14667" s="42"/>
      <c r="H14667" s="42"/>
      <c r="AG14667" s="19"/>
    </row>
    <row r="14668" spans="1:33" ht="14.5" x14ac:dyDescent="0.35">
      <c r="A14668" s="34"/>
      <c r="B14668" s="35"/>
      <c r="C14668" s="36"/>
      <c r="D14668" s="37"/>
      <c r="E14668" s="36"/>
      <c r="F14668" s="42"/>
      <c r="G14668" s="42"/>
      <c r="H14668" s="42"/>
      <c r="AG14668" s="19"/>
    </row>
    <row r="14669" spans="1:33" ht="14.5" x14ac:dyDescent="0.35">
      <c r="A14669" s="34"/>
      <c r="B14669" s="35"/>
      <c r="C14669" s="36"/>
      <c r="D14669" s="37"/>
      <c r="E14669" s="36"/>
      <c r="F14669" s="42"/>
      <c r="G14669" s="42"/>
      <c r="H14669" s="42"/>
      <c r="AG14669" s="19"/>
    </row>
    <row r="14670" spans="1:33" ht="14.5" x14ac:dyDescent="0.35">
      <c r="A14670" s="34"/>
      <c r="B14670" s="35"/>
      <c r="C14670" s="36"/>
      <c r="D14670" s="37"/>
      <c r="E14670" s="36"/>
      <c r="F14670" s="42"/>
      <c r="G14670" s="42"/>
      <c r="H14670" s="42"/>
      <c r="AG14670" s="19"/>
    </row>
    <row r="14671" spans="1:33" ht="14.5" x14ac:dyDescent="0.35">
      <c r="A14671" s="34"/>
      <c r="B14671" s="35"/>
      <c r="C14671" s="36"/>
      <c r="D14671" s="37"/>
      <c r="E14671" s="36"/>
      <c r="F14671" s="42"/>
      <c r="G14671" s="42"/>
      <c r="H14671" s="42"/>
      <c r="AG14671" s="19"/>
    </row>
    <row r="14672" spans="1:33" ht="14.5" x14ac:dyDescent="0.35">
      <c r="A14672" s="34"/>
      <c r="B14672" s="35"/>
      <c r="C14672" s="36"/>
      <c r="D14672" s="37"/>
      <c r="E14672" s="36"/>
      <c r="F14672" s="42"/>
      <c r="G14672" s="42"/>
      <c r="H14672" s="42"/>
      <c r="AG14672" s="19"/>
    </row>
    <row r="14673" spans="1:33" ht="14.5" x14ac:dyDescent="0.35">
      <c r="A14673" s="34"/>
      <c r="B14673" s="35"/>
      <c r="C14673" s="36"/>
      <c r="D14673" s="37"/>
      <c r="E14673" s="36"/>
      <c r="F14673" s="42"/>
      <c r="G14673" s="42"/>
      <c r="H14673" s="42"/>
      <c r="AG14673" s="19"/>
    </row>
    <row r="14674" spans="1:33" ht="14.5" x14ac:dyDescent="0.35">
      <c r="A14674" s="34"/>
      <c r="B14674" s="35"/>
      <c r="C14674" s="36"/>
      <c r="D14674" s="37"/>
      <c r="E14674" s="36"/>
      <c r="F14674" s="42"/>
      <c r="G14674" s="42"/>
      <c r="H14674" s="42"/>
      <c r="AG14674" s="19"/>
    </row>
    <row r="14675" spans="1:33" ht="14.5" x14ac:dyDescent="0.35">
      <c r="A14675" s="34"/>
      <c r="B14675" s="35"/>
      <c r="C14675" s="36"/>
      <c r="D14675" s="37"/>
      <c r="E14675" s="36"/>
      <c r="F14675" s="42"/>
      <c r="G14675" s="42"/>
      <c r="H14675" s="42"/>
      <c r="AG14675" s="19"/>
    </row>
    <row r="14676" spans="1:33" ht="14.5" x14ac:dyDescent="0.35">
      <c r="A14676" s="34"/>
      <c r="B14676" s="35"/>
      <c r="C14676" s="36"/>
      <c r="D14676" s="37"/>
      <c r="E14676" s="36"/>
      <c r="F14676" s="42"/>
      <c r="G14676" s="42"/>
      <c r="H14676" s="42"/>
      <c r="AG14676" s="19"/>
    </row>
    <row r="14677" spans="1:33" ht="14.5" x14ac:dyDescent="0.35">
      <c r="A14677" s="34"/>
      <c r="B14677" s="35"/>
      <c r="C14677" s="36"/>
      <c r="D14677" s="37"/>
      <c r="E14677" s="36"/>
      <c r="F14677" s="42"/>
      <c r="G14677" s="42"/>
      <c r="H14677" s="42"/>
      <c r="AG14677" s="19"/>
    </row>
    <row r="14678" spans="1:33" ht="14.5" x14ac:dyDescent="0.35">
      <c r="A14678" s="34"/>
      <c r="B14678" s="35"/>
      <c r="C14678" s="36"/>
      <c r="D14678" s="37"/>
      <c r="E14678" s="36"/>
      <c r="F14678" s="42"/>
      <c r="G14678" s="42"/>
      <c r="H14678" s="42"/>
      <c r="AG14678" s="19"/>
    </row>
    <row r="14679" spans="1:33" ht="14.5" x14ac:dyDescent="0.35">
      <c r="A14679" s="34"/>
      <c r="B14679" s="35"/>
      <c r="C14679" s="36"/>
      <c r="D14679" s="37"/>
      <c r="E14679" s="36"/>
      <c r="F14679" s="42"/>
      <c r="G14679" s="42"/>
      <c r="H14679" s="42"/>
      <c r="AG14679" s="19"/>
    </row>
    <row r="14680" spans="1:33" ht="14.5" x14ac:dyDescent="0.35">
      <c r="A14680" s="34"/>
      <c r="B14680" s="35"/>
      <c r="C14680" s="36"/>
      <c r="D14680" s="37"/>
      <c r="E14680" s="36"/>
      <c r="F14680" s="42"/>
      <c r="G14680" s="42"/>
      <c r="H14680" s="42"/>
      <c r="AG14680" s="19"/>
    </row>
    <row r="14681" spans="1:33" ht="14.5" x14ac:dyDescent="0.35">
      <c r="A14681" s="34"/>
      <c r="B14681" s="35"/>
      <c r="C14681" s="36"/>
      <c r="D14681" s="37"/>
      <c r="E14681" s="36"/>
      <c r="F14681" s="42"/>
      <c r="G14681" s="42"/>
      <c r="H14681" s="42"/>
      <c r="AG14681" s="19"/>
    </row>
    <row r="14682" spans="1:33" ht="14.5" x14ac:dyDescent="0.35">
      <c r="A14682" s="34"/>
      <c r="B14682" s="35"/>
      <c r="C14682" s="36"/>
      <c r="D14682" s="37"/>
      <c r="E14682" s="36"/>
      <c r="F14682" s="42"/>
      <c r="G14682" s="42"/>
      <c r="H14682" s="42"/>
      <c r="AG14682" s="19"/>
    </row>
    <row r="14683" spans="1:33" ht="14.5" x14ac:dyDescent="0.35">
      <c r="A14683" s="34"/>
      <c r="B14683" s="35"/>
      <c r="C14683" s="36"/>
      <c r="D14683" s="37"/>
      <c r="E14683" s="36"/>
      <c r="F14683" s="42"/>
      <c r="G14683" s="42"/>
      <c r="H14683" s="42"/>
      <c r="AG14683" s="19"/>
    </row>
    <row r="14684" spans="1:33" ht="14.5" x14ac:dyDescent="0.35">
      <c r="A14684" s="34"/>
      <c r="B14684" s="35"/>
      <c r="C14684" s="36"/>
      <c r="D14684" s="37"/>
      <c r="E14684" s="36"/>
      <c r="F14684" s="42"/>
      <c r="G14684" s="42"/>
      <c r="H14684" s="42"/>
      <c r="AG14684" s="19"/>
    </row>
    <row r="14685" spans="1:33" ht="14.5" x14ac:dyDescent="0.35">
      <c r="A14685" s="34"/>
      <c r="B14685" s="35"/>
      <c r="C14685" s="36"/>
      <c r="D14685" s="37"/>
      <c r="E14685" s="36"/>
      <c r="F14685" s="42"/>
      <c r="G14685" s="42"/>
      <c r="H14685" s="42"/>
      <c r="AG14685" s="19"/>
    </row>
    <row r="14686" spans="1:33" ht="14.5" x14ac:dyDescent="0.35">
      <c r="A14686" s="34"/>
      <c r="B14686" s="35"/>
      <c r="C14686" s="36"/>
      <c r="D14686" s="37"/>
      <c r="E14686" s="36"/>
      <c r="F14686" s="42"/>
      <c r="G14686" s="42"/>
      <c r="H14686" s="42"/>
      <c r="AG14686" s="19"/>
    </row>
    <row r="14687" spans="1:33" ht="14.5" x14ac:dyDescent="0.35">
      <c r="A14687" s="34"/>
      <c r="B14687" s="35"/>
      <c r="C14687" s="36"/>
      <c r="D14687" s="37"/>
      <c r="E14687" s="36"/>
      <c r="F14687" s="42"/>
      <c r="G14687" s="42"/>
      <c r="H14687" s="42"/>
      <c r="AG14687" s="19"/>
    </row>
    <row r="14688" spans="1:33" ht="14.5" x14ac:dyDescent="0.35">
      <c r="A14688" s="34"/>
      <c r="B14688" s="35"/>
      <c r="C14688" s="36"/>
      <c r="D14688" s="37"/>
      <c r="E14688" s="36"/>
      <c r="F14688" s="42"/>
      <c r="G14688" s="42"/>
      <c r="H14688" s="42"/>
      <c r="AG14688" s="19"/>
    </row>
    <row r="14689" spans="1:33" ht="14.5" x14ac:dyDescent="0.35">
      <c r="A14689" s="34"/>
      <c r="B14689" s="35"/>
      <c r="C14689" s="36"/>
      <c r="D14689" s="37"/>
      <c r="E14689" s="36"/>
      <c r="F14689" s="42"/>
      <c r="G14689" s="42"/>
      <c r="H14689" s="42"/>
      <c r="AG14689" s="19"/>
    </row>
    <row r="14690" spans="1:33" ht="14.5" x14ac:dyDescent="0.35">
      <c r="A14690" s="34"/>
      <c r="B14690" s="35"/>
      <c r="C14690" s="36"/>
      <c r="D14690" s="37"/>
      <c r="E14690" s="36"/>
      <c r="F14690" s="42"/>
      <c r="G14690" s="42"/>
      <c r="H14690" s="42"/>
      <c r="AG14690" s="19"/>
    </row>
    <row r="14691" spans="1:33" ht="14.5" x14ac:dyDescent="0.35">
      <c r="A14691" s="34"/>
      <c r="B14691" s="35"/>
      <c r="C14691" s="36"/>
      <c r="D14691" s="37"/>
      <c r="E14691" s="36"/>
      <c r="F14691" s="42"/>
      <c r="G14691" s="42"/>
      <c r="H14691" s="42"/>
      <c r="AG14691" s="19"/>
    </row>
    <row r="14692" spans="1:33" ht="14.5" x14ac:dyDescent="0.35">
      <c r="A14692" s="34"/>
      <c r="B14692" s="35"/>
      <c r="C14692" s="36"/>
      <c r="D14692" s="37"/>
      <c r="E14692" s="36"/>
      <c r="F14692" s="42"/>
      <c r="G14692" s="42"/>
      <c r="H14692" s="42"/>
      <c r="AG14692" s="19"/>
    </row>
    <row r="14693" spans="1:33" ht="14.5" x14ac:dyDescent="0.35">
      <c r="A14693" s="34"/>
      <c r="B14693" s="35"/>
      <c r="C14693" s="36"/>
      <c r="D14693" s="37"/>
      <c r="E14693" s="36"/>
      <c r="F14693" s="42"/>
      <c r="G14693" s="42"/>
      <c r="H14693" s="42"/>
      <c r="AG14693" s="19"/>
    </row>
    <row r="14694" spans="1:33" ht="14.5" x14ac:dyDescent="0.35">
      <c r="A14694" s="34"/>
      <c r="B14694" s="35"/>
      <c r="C14694" s="36"/>
      <c r="D14694" s="37"/>
      <c r="E14694" s="36"/>
      <c r="F14694" s="42"/>
      <c r="G14694" s="42"/>
      <c r="H14694" s="42"/>
      <c r="AG14694" s="19"/>
    </row>
    <row r="14695" spans="1:33" ht="14.5" x14ac:dyDescent="0.35">
      <c r="A14695" s="34"/>
      <c r="B14695" s="35"/>
      <c r="C14695" s="36"/>
      <c r="D14695" s="37"/>
      <c r="E14695" s="36"/>
      <c r="F14695" s="42"/>
      <c r="G14695" s="42"/>
      <c r="H14695" s="42"/>
      <c r="AG14695" s="19"/>
    </row>
    <row r="14696" spans="1:33" ht="14.5" x14ac:dyDescent="0.35">
      <c r="A14696" s="34"/>
      <c r="B14696" s="35"/>
      <c r="C14696" s="36"/>
      <c r="D14696" s="37"/>
      <c r="E14696" s="36"/>
      <c r="F14696" s="42"/>
      <c r="G14696" s="42"/>
      <c r="H14696" s="42"/>
      <c r="AG14696" s="19"/>
    </row>
    <row r="14697" spans="1:33" ht="14.5" x14ac:dyDescent="0.35">
      <c r="A14697" s="34"/>
      <c r="B14697" s="35"/>
      <c r="C14697" s="36"/>
      <c r="D14697" s="37"/>
      <c r="E14697" s="36"/>
      <c r="F14697" s="42"/>
      <c r="G14697" s="42"/>
      <c r="H14697" s="42"/>
      <c r="AG14697" s="19"/>
    </row>
    <row r="14698" spans="1:33" ht="14.5" x14ac:dyDescent="0.35">
      <c r="A14698" s="34"/>
      <c r="B14698" s="35"/>
      <c r="C14698" s="36"/>
      <c r="D14698" s="37"/>
      <c r="E14698" s="36"/>
      <c r="F14698" s="42"/>
      <c r="G14698" s="42"/>
      <c r="H14698" s="42"/>
      <c r="AG14698" s="19"/>
    </row>
    <row r="14699" spans="1:33" ht="14.5" x14ac:dyDescent="0.35">
      <c r="A14699" s="34"/>
      <c r="B14699" s="35"/>
      <c r="C14699" s="36"/>
      <c r="D14699" s="37"/>
      <c r="E14699" s="36"/>
      <c r="F14699" s="42"/>
      <c r="G14699" s="42"/>
      <c r="H14699" s="42"/>
      <c r="AG14699" s="19"/>
    </row>
    <row r="14700" spans="1:33" ht="14.5" x14ac:dyDescent="0.35">
      <c r="A14700" s="34"/>
      <c r="B14700" s="35"/>
      <c r="C14700" s="36"/>
      <c r="D14700" s="37"/>
      <c r="E14700" s="36"/>
      <c r="F14700" s="42"/>
      <c r="G14700" s="42"/>
      <c r="H14700" s="42"/>
      <c r="AG14700" s="19"/>
    </row>
    <row r="14701" spans="1:33" ht="14.5" x14ac:dyDescent="0.35">
      <c r="A14701" s="34"/>
      <c r="B14701" s="35"/>
      <c r="C14701" s="36"/>
      <c r="D14701" s="37"/>
      <c r="E14701" s="36"/>
      <c r="F14701" s="42"/>
      <c r="G14701" s="42"/>
      <c r="H14701" s="42"/>
      <c r="AG14701" s="19"/>
    </row>
    <row r="14702" spans="1:33" ht="14.5" x14ac:dyDescent="0.35">
      <c r="A14702" s="34"/>
      <c r="B14702" s="35"/>
      <c r="C14702" s="36"/>
      <c r="D14702" s="37"/>
      <c r="E14702" s="36"/>
      <c r="F14702" s="42"/>
      <c r="G14702" s="42"/>
      <c r="H14702" s="42"/>
      <c r="AG14702" s="19"/>
    </row>
    <row r="14703" spans="1:33" ht="14.5" x14ac:dyDescent="0.35">
      <c r="A14703" s="34"/>
      <c r="B14703" s="35"/>
      <c r="C14703" s="36"/>
      <c r="D14703" s="37"/>
      <c r="E14703" s="36"/>
      <c r="F14703" s="42"/>
      <c r="G14703" s="42"/>
      <c r="H14703" s="42"/>
      <c r="AG14703" s="19"/>
    </row>
    <row r="14704" spans="1:33" ht="14.5" x14ac:dyDescent="0.35">
      <c r="A14704" s="34"/>
      <c r="B14704" s="35"/>
      <c r="C14704" s="36"/>
      <c r="D14704" s="37"/>
      <c r="E14704" s="36"/>
      <c r="F14704" s="42"/>
      <c r="G14704" s="42"/>
      <c r="H14704" s="42"/>
      <c r="AG14704" s="19"/>
    </row>
    <row r="14705" spans="1:33" ht="14.5" x14ac:dyDescent="0.35">
      <c r="A14705" s="34"/>
      <c r="B14705" s="35"/>
      <c r="C14705" s="36"/>
      <c r="D14705" s="37"/>
      <c r="E14705" s="36"/>
      <c r="F14705" s="42"/>
      <c r="G14705" s="42"/>
      <c r="H14705" s="42"/>
      <c r="AG14705" s="19"/>
    </row>
    <row r="14706" spans="1:33" ht="14.5" x14ac:dyDescent="0.35">
      <c r="A14706" s="34"/>
      <c r="B14706" s="35"/>
      <c r="C14706" s="36"/>
      <c r="D14706" s="37"/>
      <c r="E14706" s="36"/>
      <c r="F14706" s="42"/>
      <c r="G14706" s="42"/>
      <c r="H14706" s="42"/>
      <c r="AG14706" s="19"/>
    </row>
    <row r="14707" spans="1:33" ht="14.5" x14ac:dyDescent="0.35">
      <c r="A14707" s="34"/>
      <c r="B14707" s="35"/>
      <c r="C14707" s="36"/>
      <c r="D14707" s="37"/>
      <c r="E14707" s="36"/>
      <c r="F14707" s="42"/>
      <c r="G14707" s="42"/>
      <c r="H14707" s="42"/>
      <c r="AG14707" s="19"/>
    </row>
    <row r="14708" spans="1:33" ht="14.5" x14ac:dyDescent="0.35">
      <c r="A14708" s="34"/>
      <c r="B14708" s="35"/>
      <c r="C14708" s="36"/>
      <c r="D14708" s="37"/>
      <c r="E14708" s="36"/>
      <c r="F14708" s="42"/>
      <c r="G14708" s="42"/>
      <c r="H14708" s="42"/>
      <c r="AG14708" s="19"/>
    </row>
    <row r="14709" spans="1:33" ht="14.5" x14ac:dyDescent="0.35">
      <c r="A14709" s="34"/>
      <c r="B14709" s="35"/>
      <c r="C14709" s="36"/>
      <c r="D14709" s="37"/>
      <c r="E14709" s="36"/>
      <c r="F14709" s="42"/>
      <c r="G14709" s="42"/>
      <c r="H14709" s="42"/>
      <c r="AG14709" s="19"/>
    </row>
    <row r="14710" spans="1:33" ht="14.5" x14ac:dyDescent="0.35">
      <c r="A14710" s="34"/>
      <c r="B14710" s="35"/>
      <c r="C14710" s="36"/>
      <c r="D14710" s="37"/>
      <c r="E14710" s="36"/>
      <c r="F14710" s="42"/>
      <c r="G14710" s="42"/>
      <c r="H14710" s="42"/>
      <c r="AG14710" s="19"/>
    </row>
    <row r="14711" spans="1:33" ht="14.5" x14ac:dyDescent="0.35">
      <c r="A14711" s="34"/>
      <c r="B14711" s="35"/>
      <c r="C14711" s="36"/>
      <c r="D14711" s="37"/>
      <c r="E14711" s="36"/>
      <c r="F14711" s="42"/>
      <c r="G14711" s="42"/>
      <c r="H14711" s="42"/>
      <c r="AG14711" s="19"/>
    </row>
    <row r="14712" spans="1:33" ht="14.5" x14ac:dyDescent="0.35">
      <c r="A14712" s="34"/>
      <c r="B14712" s="35"/>
      <c r="C14712" s="36"/>
      <c r="D14712" s="37"/>
      <c r="E14712" s="36"/>
      <c r="F14712" s="42"/>
      <c r="G14712" s="42"/>
      <c r="H14712" s="42"/>
      <c r="AG14712" s="19"/>
    </row>
    <row r="14713" spans="1:33" ht="14.5" x14ac:dyDescent="0.35">
      <c r="A14713" s="34"/>
      <c r="B14713" s="35"/>
      <c r="C14713" s="36"/>
      <c r="D14713" s="37"/>
      <c r="E14713" s="36"/>
      <c r="F14713" s="42"/>
      <c r="G14713" s="42"/>
      <c r="H14713" s="42"/>
      <c r="AG14713" s="19"/>
    </row>
    <row r="14714" spans="1:33" ht="14.5" x14ac:dyDescent="0.35">
      <c r="A14714" s="34"/>
      <c r="B14714" s="35"/>
      <c r="C14714" s="36"/>
      <c r="D14714" s="37"/>
      <c r="E14714" s="36"/>
      <c r="F14714" s="42"/>
      <c r="G14714" s="42"/>
      <c r="H14714" s="42"/>
      <c r="AG14714" s="19"/>
    </row>
    <row r="14715" spans="1:33" ht="14.5" x14ac:dyDescent="0.35">
      <c r="A14715" s="34"/>
      <c r="B14715" s="35"/>
      <c r="C14715" s="36"/>
      <c r="D14715" s="37"/>
      <c r="E14715" s="36"/>
      <c r="F14715" s="42"/>
      <c r="G14715" s="42"/>
      <c r="H14715" s="42"/>
      <c r="AG14715" s="19"/>
    </row>
    <row r="14716" spans="1:33" ht="14.5" x14ac:dyDescent="0.35">
      <c r="A14716" s="34"/>
      <c r="B14716" s="35"/>
      <c r="C14716" s="36"/>
      <c r="D14716" s="37"/>
      <c r="E14716" s="36"/>
      <c r="F14716" s="42"/>
      <c r="G14716" s="42"/>
      <c r="H14716" s="42"/>
      <c r="AG14716" s="19"/>
    </row>
    <row r="14717" spans="1:33" ht="14.5" x14ac:dyDescent="0.35">
      <c r="A14717" s="34"/>
      <c r="B14717" s="35"/>
      <c r="C14717" s="36"/>
      <c r="D14717" s="37"/>
      <c r="E14717" s="36"/>
      <c r="F14717" s="42"/>
      <c r="G14717" s="42"/>
      <c r="H14717" s="42"/>
      <c r="AG14717" s="19"/>
    </row>
    <row r="14718" spans="1:33" ht="14.5" x14ac:dyDescent="0.35">
      <c r="A14718" s="34"/>
      <c r="B14718" s="35"/>
      <c r="C14718" s="36"/>
      <c r="D14718" s="37"/>
      <c r="E14718" s="36"/>
      <c r="F14718" s="42"/>
      <c r="G14718" s="42"/>
      <c r="H14718" s="42"/>
      <c r="AG14718" s="19"/>
    </row>
    <row r="14719" spans="1:33" ht="14.5" x14ac:dyDescent="0.35">
      <c r="A14719" s="34"/>
      <c r="B14719" s="35"/>
      <c r="C14719" s="36"/>
      <c r="D14719" s="37"/>
      <c r="E14719" s="36"/>
      <c r="F14719" s="42"/>
      <c r="G14719" s="42"/>
      <c r="H14719" s="42"/>
      <c r="AG14719" s="19"/>
    </row>
    <row r="14720" spans="1:33" ht="14.5" x14ac:dyDescent="0.35">
      <c r="A14720" s="34"/>
      <c r="B14720" s="35"/>
      <c r="C14720" s="36"/>
      <c r="D14720" s="37"/>
      <c r="E14720" s="36"/>
      <c r="F14720" s="42"/>
      <c r="G14720" s="42"/>
      <c r="H14720" s="42"/>
      <c r="AG14720" s="19"/>
    </row>
    <row r="14721" spans="1:33" ht="14.5" x14ac:dyDescent="0.35">
      <c r="A14721" s="34"/>
      <c r="B14721" s="35"/>
      <c r="C14721" s="36"/>
      <c r="D14721" s="37"/>
      <c r="E14721" s="36"/>
      <c r="F14721" s="42"/>
      <c r="G14721" s="42"/>
      <c r="H14721" s="42"/>
      <c r="AG14721" s="19"/>
    </row>
    <row r="14722" spans="1:33" ht="14.5" x14ac:dyDescent="0.35">
      <c r="A14722" s="34"/>
      <c r="B14722" s="35"/>
      <c r="C14722" s="36"/>
      <c r="D14722" s="37"/>
      <c r="E14722" s="36"/>
      <c r="F14722" s="42"/>
      <c r="G14722" s="42"/>
      <c r="H14722" s="42"/>
      <c r="AG14722" s="19"/>
    </row>
    <row r="14723" spans="1:33" ht="14.5" x14ac:dyDescent="0.35">
      <c r="A14723" s="34"/>
      <c r="B14723" s="35"/>
      <c r="C14723" s="36"/>
      <c r="D14723" s="37"/>
      <c r="E14723" s="36"/>
      <c r="F14723" s="42"/>
      <c r="G14723" s="42"/>
      <c r="H14723" s="42"/>
      <c r="AG14723" s="19"/>
    </row>
    <row r="14724" spans="1:33" ht="14.5" x14ac:dyDescent="0.35">
      <c r="A14724" s="34"/>
      <c r="B14724" s="35"/>
      <c r="C14724" s="36"/>
      <c r="D14724" s="37"/>
      <c r="E14724" s="36"/>
      <c r="F14724" s="42"/>
      <c r="G14724" s="42"/>
      <c r="H14724" s="42"/>
      <c r="AG14724" s="19"/>
    </row>
    <row r="14725" spans="1:33" ht="14.5" x14ac:dyDescent="0.35">
      <c r="A14725" s="34"/>
      <c r="B14725" s="35"/>
      <c r="C14725" s="36"/>
      <c r="D14725" s="37"/>
      <c r="E14725" s="36"/>
      <c r="F14725" s="42"/>
      <c r="G14725" s="42"/>
      <c r="H14725" s="42"/>
      <c r="AG14725" s="19"/>
    </row>
    <row r="14726" spans="1:33" ht="14.5" x14ac:dyDescent="0.35">
      <c r="A14726" s="34"/>
      <c r="B14726" s="35"/>
      <c r="C14726" s="36"/>
      <c r="D14726" s="37"/>
      <c r="E14726" s="36"/>
      <c r="F14726" s="42"/>
      <c r="G14726" s="42"/>
      <c r="H14726" s="42"/>
      <c r="AG14726" s="19"/>
    </row>
    <row r="14727" spans="1:33" ht="14.5" x14ac:dyDescent="0.35">
      <c r="A14727" s="34"/>
      <c r="B14727" s="35"/>
      <c r="C14727" s="36"/>
      <c r="D14727" s="37"/>
      <c r="E14727" s="36"/>
      <c r="F14727" s="42"/>
      <c r="G14727" s="42"/>
      <c r="H14727" s="42"/>
      <c r="AG14727" s="19"/>
    </row>
    <row r="14728" spans="1:33" ht="14.5" x14ac:dyDescent="0.35">
      <c r="A14728" s="34"/>
      <c r="B14728" s="35"/>
      <c r="C14728" s="36"/>
      <c r="D14728" s="37"/>
      <c r="E14728" s="36"/>
      <c r="F14728" s="42"/>
      <c r="G14728" s="42"/>
      <c r="H14728" s="42"/>
      <c r="AG14728" s="19"/>
    </row>
    <row r="14729" spans="1:33" ht="14.5" x14ac:dyDescent="0.35">
      <c r="A14729" s="34"/>
      <c r="B14729" s="35"/>
      <c r="C14729" s="36"/>
      <c r="D14729" s="37"/>
      <c r="E14729" s="36"/>
      <c r="F14729" s="42"/>
      <c r="G14729" s="42"/>
      <c r="H14729" s="42"/>
      <c r="AG14729" s="19"/>
    </row>
    <row r="14730" spans="1:33" ht="14.5" x14ac:dyDescent="0.35">
      <c r="A14730" s="34"/>
      <c r="B14730" s="35"/>
      <c r="C14730" s="36"/>
      <c r="D14730" s="37"/>
      <c r="E14730" s="36"/>
      <c r="F14730" s="42"/>
      <c r="G14730" s="42"/>
      <c r="H14730" s="42"/>
      <c r="AG14730" s="19"/>
    </row>
    <row r="14731" spans="1:33" ht="14.5" x14ac:dyDescent="0.35">
      <c r="A14731" s="34"/>
      <c r="B14731" s="35"/>
      <c r="C14731" s="36"/>
      <c r="D14731" s="37"/>
      <c r="E14731" s="36"/>
      <c r="F14731" s="42"/>
      <c r="G14731" s="42"/>
      <c r="H14731" s="42"/>
      <c r="AG14731" s="19"/>
    </row>
    <row r="14732" spans="1:33" ht="14.5" x14ac:dyDescent="0.35">
      <c r="A14732" s="34"/>
      <c r="B14732" s="35"/>
      <c r="C14732" s="36"/>
      <c r="D14732" s="37"/>
      <c r="E14732" s="36"/>
      <c r="F14732" s="42"/>
      <c r="G14732" s="42"/>
      <c r="H14732" s="42"/>
      <c r="AG14732" s="19"/>
    </row>
    <row r="14733" spans="1:33" ht="14.5" x14ac:dyDescent="0.35">
      <c r="A14733" s="34"/>
      <c r="B14733" s="35"/>
      <c r="C14733" s="36"/>
      <c r="D14733" s="37"/>
      <c r="E14733" s="36"/>
      <c r="F14733" s="42"/>
      <c r="G14733" s="42"/>
      <c r="H14733" s="42"/>
      <c r="AG14733" s="19"/>
    </row>
    <row r="14734" spans="1:33" ht="14.5" x14ac:dyDescent="0.35">
      <c r="A14734" s="34"/>
      <c r="B14734" s="35"/>
      <c r="C14734" s="36"/>
      <c r="D14734" s="37"/>
      <c r="E14734" s="36"/>
      <c r="F14734" s="42"/>
      <c r="G14734" s="42"/>
      <c r="H14734" s="42"/>
      <c r="AG14734" s="19"/>
    </row>
    <row r="14735" spans="1:33" ht="14.5" x14ac:dyDescent="0.35">
      <c r="A14735" s="34"/>
      <c r="B14735" s="35"/>
      <c r="C14735" s="36"/>
      <c r="D14735" s="37"/>
      <c r="E14735" s="36"/>
      <c r="F14735" s="42"/>
      <c r="G14735" s="42"/>
      <c r="H14735" s="42"/>
      <c r="AG14735" s="19"/>
    </row>
    <row r="14736" spans="1:33" ht="14.5" x14ac:dyDescent="0.35">
      <c r="A14736" s="34"/>
      <c r="B14736" s="35"/>
      <c r="C14736" s="36"/>
      <c r="D14736" s="37"/>
      <c r="E14736" s="36"/>
      <c r="F14736" s="42"/>
      <c r="G14736" s="42"/>
      <c r="H14736" s="42"/>
      <c r="AG14736" s="19"/>
    </row>
    <row r="14737" spans="1:33" ht="14.5" x14ac:dyDescent="0.35">
      <c r="A14737" s="34"/>
      <c r="B14737" s="35"/>
      <c r="C14737" s="36"/>
      <c r="D14737" s="37"/>
      <c r="E14737" s="36"/>
      <c r="F14737" s="42"/>
      <c r="G14737" s="42"/>
      <c r="H14737" s="42"/>
      <c r="AG14737" s="19"/>
    </row>
    <row r="14738" spans="1:33" ht="14.5" x14ac:dyDescent="0.35">
      <c r="A14738" s="34"/>
      <c r="B14738" s="35"/>
      <c r="C14738" s="36"/>
      <c r="D14738" s="37"/>
      <c r="E14738" s="36"/>
      <c r="F14738" s="42"/>
      <c r="G14738" s="42"/>
      <c r="H14738" s="42"/>
      <c r="AG14738" s="19"/>
    </row>
    <row r="14739" spans="1:33" ht="14.5" x14ac:dyDescent="0.35">
      <c r="A14739" s="34"/>
      <c r="B14739" s="35"/>
      <c r="C14739" s="36"/>
      <c r="D14739" s="37"/>
      <c r="E14739" s="36"/>
      <c r="F14739" s="42"/>
      <c r="G14739" s="42"/>
      <c r="H14739" s="42"/>
      <c r="AG14739" s="19"/>
    </row>
    <row r="14740" spans="1:33" ht="14.5" x14ac:dyDescent="0.35">
      <c r="A14740" s="34"/>
      <c r="B14740" s="35"/>
      <c r="C14740" s="36"/>
      <c r="D14740" s="37"/>
      <c r="E14740" s="36"/>
      <c r="F14740" s="42"/>
      <c r="G14740" s="42"/>
      <c r="H14740" s="42"/>
      <c r="AG14740" s="19"/>
    </row>
    <row r="14741" spans="1:33" ht="14.5" x14ac:dyDescent="0.35">
      <c r="A14741" s="34"/>
      <c r="B14741" s="35"/>
      <c r="C14741" s="36"/>
      <c r="D14741" s="37"/>
      <c r="E14741" s="36"/>
      <c r="F14741" s="42"/>
      <c r="G14741" s="42"/>
      <c r="H14741" s="42"/>
      <c r="AG14741" s="19"/>
    </row>
    <row r="14742" spans="1:33" ht="14.5" x14ac:dyDescent="0.35">
      <c r="A14742" s="34"/>
      <c r="B14742" s="35"/>
      <c r="C14742" s="36"/>
      <c r="D14742" s="37"/>
      <c r="E14742" s="36"/>
      <c r="F14742" s="42"/>
      <c r="G14742" s="42"/>
      <c r="H14742" s="42"/>
      <c r="AG14742" s="19"/>
    </row>
    <row r="14743" spans="1:33" ht="14.5" x14ac:dyDescent="0.35">
      <c r="A14743" s="34"/>
      <c r="B14743" s="35"/>
      <c r="C14743" s="36"/>
      <c r="D14743" s="37"/>
      <c r="E14743" s="36"/>
      <c r="F14743" s="42"/>
      <c r="G14743" s="42"/>
      <c r="H14743" s="42"/>
      <c r="AG14743" s="19"/>
    </row>
    <row r="14744" spans="1:33" ht="14.5" x14ac:dyDescent="0.35">
      <c r="A14744" s="34"/>
      <c r="B14744" s="35"/>
      <c r="C14744" s="36"/>
      <c r="D14744" s="37"/>
      <c r="E14744" s="36"/>
      <c r="F14744" s="42"/>
      <c r="G14744" s="42"/>
      <c r="H14744" s="42"/>
      <c r="AG14744" s="19"/>
    </row>
    <row r="14745" spans="1:33" ht="14.5" x14ac:dyDescent="0.35">
      <c r="A14745" s="34"/>
      <c r="B14745" s="35"/>
      <c r="C14745" s="36"/>
      <c r="D14745" s="37"/>
      <c r="E14745" s="36"/>
      <c r="F14745" s="42"/>
      <c r="G14745" s="42"/>
      <c r="H14745" s="42"/>
      <c r="AG14745" s="19"/>
    </row>
    <row r="14746" spans="1:33" ht="14.5" x14ac:dyDescent="0.35">
      <c r="A14746" s="34"/>
      <c r="B14746" s="35"/>
      <c r="C14746" s="36"/>
      <c r="D14746" s="37"/>
      <c r="E14746" s="36"/>
      <c r="F14746" s="42"/>
      <c r="G14746" s="42"/>
      <c r="H14746" s="42"/>
      <c r="AG14746" s="19"/>
    </row>
    <row r="14747" spans="1:33" ht="14.5" x14ac:dyDescent="0.35">
      <c r="A14747" s="34"/>
      <c r="B14747" s="35"/>
      <c r="C14747" s="36"/>
      <c r="D14747" s="37"/>
      <c r="E14747" s="36"/>
      <c r="F14747" s="42"/>
      <c r="G14747" s="42"/>
      <c r="H14747" s="42"/>
      <c r="AG14747" s="19"/>
    </row>
    <row r="14748" spans="1:33" ht="14.5" x14ac:dyDescent="0.35">
      <c r="A14748" s="34"/>
      <c r="B14748" s="35"/>
      <c r="C14748" s="36"/>
      <c r="D14748" s="37"/>
      <c r="E14748" s="36"/>
      <c r="F14748" s="42"/>
      <c r="G14748" s="42"/>
      <c r="H14748" s="42"/>
      <c r="AG14748" s="19"/>
    </row>
    <row r="14749" spans="1:33" ht="14.5" x14ac:dyDescent="0.35">
      <c r="A14749" s="34"/>
      <c r="B14749" s="35"/>
      <c r="C14749" s="36"/>
      <c r="D14749" s="37"/>
      <c r="E14749" s="36"/>
      <c r="F14749" s="42"/>
      <c r="G14749" s="42"/>
      <c r="H14749" s="42"/>
      <c r="AG14749" s="19"/>
    </row>
    <row r="14750" spans="1:33" ht="14.5" x14ac:dyDescent="0.35">
      <c r="A14750" s="34"/>
      <c r="B14750" s="35"/>
      <c r="C14750" s="36"/>
      <c r="D14750" s="37"/>
      <c r="E14750" s="36"/>
      <c r="F14750" s="42"/>
      <c r="G14750" s="42"/>
      <c r="H14750" s="42"/>
      <c r="AG14750" s="19"/>
    </row>
    <row r="14751" spans="1:33" ht="14.5" x14ac:dyDescent="0.35">
      <c r="A14751" s="34"/>
      <c r="B14751" s="35"/>
      <c r="C14751" s="36"/>
      <c r="D14751" s="37"/>
      <c r="E14751" s="36"/>
      <c r="F14751" s="42"/>
      <c r="G14751" s="42"/>
      <c r="H14751" s="42"/>
      <c r="AG14751" s="19"/>
    </row>
    <row r="14752" spans="1:33" ht="14.5" x14ac:dyDescent="0.35">
      <c r="A14752" s="34"/>
      <c r="B14752" s="35"/>
      <c r="C14752" s="36"/>
      <c r="D14752" s="37"/>
      <c r="E14752" s="36"/>
      <c r="F14752" s="42"/>
      <c r="G14752" s="42"/>
      <c r="H14752" s="42"/>
      <c r="AG14752" s="19"/>
    </row>
    <row r="14753" spans="1:33" ht="14.5" x14ac:dyDescent="0.35">
      <c r="A14753" s="34"/>
      <c r="B14753" s="35"/>
      <c r="C14753" s="36"/>
      <c r="D14753" s="37"/>
      <c r="E14753" s="36"/>
      <c r="F14753" s="42"/>
      <c r="G14753" s="42"/>
      <c r="H14753" s="42"/>
      <c r="AG14753" s="19"/>
    </row>
    <row r="14754" spans="1:33" ht="14.5" x14ac:dyDescent="0.35">
      <c r="A14754" s="34"/>
      <c r="B14754" s="35"/>
      <c r="C14754" s="36"/>
      <c r="D14754" s="37"/>
      <c r="E14754" s="36"/>
      <c r="F14754" s="42"/>
      <c r="G14754" s="42"/>
      <c r="H14754" s="42"/>
      <c r="AG14754" s="19"/>
    </row>
    <row r="14755" spans="1:33" ht="14.5" x14ac:dyDescent="0.35">
      <c r="A14755" s="34"/>
      <c r="B14755" s="35"/>
      <c r="C14755" s="36"/>
      <c r="D14755" s="37"/>
      <c r="E14755" s="36"/>
      <c r="F14755" s="42"/>
      <c r="G14755" s="42"/>
      <c r="H14755" s="42"/>
      <c r="AG14755" s="19"/>
    </row>
    <row r="14756" spans="1:33" ht="14.5" x14ac:dyDescent="0.35">
      <c r="A14756" s="34"/>
      <c r="B14756" s="35"/>
      <c r="C14756" s="36"/>
      <c r="D14756" s="37"/>
      <c r="E14756" s="36"/>
      <c r="F14756" s="42"/>
      <c r="G14756" s="42"/>
      <c r="H14756" s="42"/>
      <c r="AG14756" s="19"/>
    </row>
    <row r="14757" spans="1:33" ht="14.5" x14ac:dyDescent="0.35">
      <c r="A14757" s="34"/>
      <c r="B14757" s="35"/>
      <c r="C14757" s="36"/>
      <c r="D14757" s="37"/>
      <c r="E14757" s="36"/>
      <c r="F14757" s="42"/>
      <c r="G14757" s="42"/>
      <c r="H14757" s="42"/>
      <c r="AG14757" s="19"/>
    </row>
    <row r="14758" spans="1:33" ht="14.5" x14ac:dyDescent="0.35">
      <c r="A14758" s="34"/>
      <c r="B14758" s="35"/>
      <c r="C14758" s="36"/>
      <c r="D14758" s="37"/>
      <c r="E14758" s="36"/>
      <c r="F14758" s="42"/>
      <c r="G14758" s="42"/>
      <c r="H14758" s="42"/>
      <c r="AG14758" s="19"/>
    </row>
    <row r="14759" spans="1:33" ht="14.5" x14ac:dyDescent="0.35">
      <c r="A14759" s="34"/>
      <c r="B14759" s="35"/>
      <c r="C14759" s="36"/>
      <c r="D14759" s="37"/>
      <c r="E14759" s="36"/>
      <c r="F14759" s="42"/>
      <c r="G14759" s="42"/>
      <c r="H14759" s="42"/>
      <c r="AG14759" s="19"/>
    </row>
    <row r="14760" spans="1:33" ht="14.5" x14ac:dyDescent="0.35">
      <c r="A14760" s="34"/>
      <c r="B14760" s="35"/>
      <c r="C14760" s="36"/>
      <c r="D14760" s="37"/>
      <c r="E14760" s="36"/>
      <c r="F14760" s="42"/>
      <c r="G14760" s="42"/>
      <c r="H14760" s="42"/>
      <c r="AG14760" s="19"/>
    </row>
    <row r="14761" spans="1:33" ht="14.5" x14ac:dyDescent="0.35">
      <c r="A14761" s="34"/>
      <c r="B14761" s="35"/>
      <c r="C14761" s="36"/>
      <c r="D14761" s="37"/>
      <c r="E14761" s="36"/>
      <c r="F14761" s="42"/>
      <c r="G14761" s="42"/>
      <c r="H14761" s="42"/>
      <c r="AG14761" s="19"/>
    </row>
    <row r="14762" spans="1:33" ht="14.5" x14ac:dyDescent="0.35">
      <c r="A14762" s="34"/>
      <c r="B14762" s="35"/>
      <c r="C14762" s="36"/>
      <c r="D14762" s="37"/>
      <c r="E14762" s="36"/>
      <c r="F14762" s="42"/>
      <c r="G14762" s="42"/>
      <c r="H14762" s="42"/>
      <c r="AG14762" s="19"/>
    </row>
    <row r="14763" spans="1:33" ht="14.5" x14ac:dyDescent="0.35">
      <c r="A14763" s="34"/>
      <c r="B14763" s="35"/>
      <c r="C14763" s="36"/>
      <c r="D14763" s="37"/>
      <c r="E14763" s="36"/>
      <c r="F14763" s="42"/>
      <c r="G14763" s="42"/>
      <c r="H14763" s="42"/>
      <c r="AG14763" s="19"/>
    </row>
    <row r="14764" spans="1:33" ht="14.5" x14ac:dyDescent="0.35">
      <c r="A14764" s="34"/>
      <c r="B14764" s="35"/>
      <c r="C14764" s="36"/>
      <c r="D14764" s="37"/>
      <c r="E14764" s="36"/>
      <c r="F14764" s="42"/>
      <c r="G14764" s="42"/>
      <c r="H14764" s="42"/>
      <c r="AG14764" s="19"/>
    </row>
    <row r="14765" spans="1:33" ht="14.5" x14ac:dyDescent="0.35">
      <c r="A14765" s="34"/>
      <c r="B14765" s="35"/>
      <c r="C14765" s="36"/>
      <c r="D14765" s="37"/>
      <c r="E14765" s="36"/>
      <c r="F14765" s="42"/>
      <c r="G14765" s="42"/>
      <c r="H14765" s="42"/>
      <c r="AG14765" s="19"/>
    </row>
    <row r="14766" spans="1:33" ht="14.5" x14ac:dyDescent="0.35">
      <c r="A14766" s="34"/>
      <c r="B14766" s="35"/>
      <c r="C14766" s="36"/>
      <c r="D14766" s="37"/>
      <c r="E14766" s="36"/>
      <c r="F14766" s="42"/>
      <c r="G14766" s="42"/>
      <c r="H14766" s="42"/>
      <c r="AG14766" s="19"/>
    </row>
    <row r="14767" spans="1:33" ht="14.5" x14ac:dyDescent="0.35">
      <c r="A14767" s="34"/>
      <c r="B14767" s="35"/>
      <c r="C14767" s="36"/>
      <c r="D14767" s="37"/>
      <c r="E14767" s="36"/>
      <c r="F14767" s="42"/>
      <c r="G14767" s="42"/>
      <c r="H14767" s="42"/>
      <c r="AG14767" s="19"/>
    </row>
    <row r="14768" spans="1:33" ht="14.5" x14ac:dyDescent="0.35">
      <c r="A14768" s="34"/>
      <c r="B14768" s="35"/>
      <c r="C14768" s="36"/>
      <c r="D14768" s="37"/>
      <c r="E14768" s="36"/>
      <c r="F14768" s="42"/>
      <c r="G14768" s="42"/>
      <c r="H14768" s="42"/>
      <c r="AG14768" s="19"/>
    </row>
    <row r="14769" spans="1:33" ht="14.5" x14ac:dyDescent="0.35">
      <c r="A14769" s="34"/>
      <c r="B14769" s="35"/>
      <c r="C14769" s="36"/>
      <c r="D14769" s="37"/>
      <c r="E14769" s="36"/>
      <c r="F14769" s="42"/>
      <c r="G14769" s="42"/>
      <c r="H14769" s="42"/>
      <c r="AG14769" s="19"/>
    </row>
    <row r="14770" spans="1:33" ht="14.5" x14ac:dyDescent="0.35">
      <c r="A14770" s="34"/>
      <c r="B14770" s="35"/>
      <c r="C14770" s="36"/>
      <c r="D14770" s="37"/>
      <c r="E14770" s="36"/>
      <c r="F14770" s="42"/>
      <c r="G14770" s="42"/>
      <c r="H14770" s="42"/>
      <c r="AG14770" s="19"/>
    </row>
    <row r="14771" spans="1:33" ht="14.5" x14ac:dyDescent="0.35">
      <c r="A14771" s="34"/>
      <c r="B14771" s="35"/>
      <c r="C14771" s="36"/>
      <c r="D14771" s="37"/>
      <c r="E14771" s="36"/>
      <c r="F14771" s="42"/>
      <c r="G14771" s="42"/>
      <c r="H14771" s="42"/>
      <c r="AG14771" s="19"/>
    </row>
    <row r="14772" spans="1:33" ht="14.5" x14ac:dyDescent="0.35">
      <c r="A14772" s="34"/>
      <c r="B14772" s="35"/>
      <c r="C14772" s="36"/>
      <c r="D14772" s="37"/>
      <c r="E14772" s="36"/>
      <c r="F14772" s="42"/>
      <c r="G14772" s="42"/>
      <c r="H14772" s="42"/>
      <c r="AG14772" s="19"/>
    </row>
    <row r="14773" spans="1:33" ht="14.5" x14ac:dyDescent="0.35">
      <c r="A14773" s="34"/>
      <c r="B14773" s="35"/>
      <c r="C14773" s="36"/>
      <c r="D14773" s="37"/>
      <c r="E14773" s="36"/>
      <c r="F14773" s="42"/>
      <c r="G14773" s="42"/>
      <c r="H14773" s="42"/>
      <c r="AG14773" s="19"/>
    </row>
    <row r="14774" spans="1:33" ht="14.5" x14ac:dyDescent="0.35">
      <c r="A14774" s="34"/>
      <c r="B14774" s="35"/>
      <c r="C14774" s="36"/>
      <c r="D14774" s="37"/>
      <c r="E14774" s="36"/>
      <c r="F14774" s="42"/>
      <c r="G14774" s="42"/>
      <c r="H14774" s="42"/>
      <c r="AG14774" s="19"/>
    </row>
    <row r="14775" spans="1:33" ht="14.5" x14ac:dyDescent="0.35">
      <c r="A14775" s="34"/>
      <c r="B14775" s="35"/>
      <c r="C14775" s="36"/>
      <c r="D14775" s="37"/>
      <c r="E14775" s="36"/>
      <c r="F14775" s="42"/>
      <c r="G14775" s="42"/>
      <c r="H14775" s="42"/>
      <c r="AG14775" s="19"/>
    </row>
    <row r="14776" spans="1:33" ht="14.5" x14ac:dyDescent="0.35">
      <c r="A14776" s="34"/>
      <c r="B14776" s="35"/>
      <c r="C14776" s="36"/>
      <c r="D14776" s="37"/>
      <c r="E14776" s="36"/>
      <c r="F14776" s="42"/>
      <c r="G14776" s="42"/>
      <c r="H14776" s="42"/>
      <c r="AG14776" s="19"/>
    </row>
    <row r="14777" spans="1:33" ht="14.5" x14ac:dyDescent="0.35">
      <c r="A14777" s="34"/>
      <c r="B14777" s="35"/>
      <c r="C14777" s="36"/>
      <c r="D14777" s="37"/>
      <c r="E14777" s="36"/>
      <c r="F14777" s="42"/>
      <c r="G14777" s="42"/>
      <c r="H14777" s="42"/>
      <c r="AG14777" s="19"/>
    </row>
    <row r="14778" spans="1:33" ht="14.5" x14ac:dyDescent="0.35">
      <c r="A14778" s="34"/>
      <c r="B14778" s="35"/>
      <c r="C14778" s="36"/>
      <c r="D14778" s="37"/>
      <c r="E14778" s="36"/>
      <c r="F14778" s="42"/>
      <c r="G14778" s="42"/>
      <c r="H14778" s="42"/>
      <c r="AG14778" s="19"/>
    </row>
    <row r="14779" spans="1:33" ht="14.5" x14ac:dyDescent="0.35">
      <c r="A14779" s="34"/>
      <c r="B14779" s="35"/>
      <c r="C14779" s="36"/>
      <c r="D14779" s="37"/>
      <c r="E14779" s="36"/>
      <c r="F14779" s="42"/>
      <c r="G14779" s="42"/>
      <c r="H14779" s="42"/>
      <c r="AG14779" s="19"/>
    </row>
    <row r="14780" spans="1:33" ht="14.5" x14ac:dyDescent="0.35">
      <c r="A14780" s="34"/>
      <c r="B14780" s="35"/>
      <c r="C14780" s="36"/>
      <c r="D14780" s="37"/>
      <c r="E14780" s="36"/>
      <c r="F14780" s="42"/>
      <c r="G14780" s="42"/>
      <c r="H14780" s="42"/>
      <c r="AG14780" s="19"/>
    </row>
    <row r="14781" spans="1:33" ht="14.5" x14ac:dyDescent="0.35">
      <c r="A14781" s="34"/>
      <c r="B14781" s="35"/>
      <c r="C14781" s="36"/>
      <c r="D14781" s="37"/>
      <c r="E14781" s="36"/>
      <c r="F14781" s="42"/>
      <c r="G14781" s="42"/>
      <c r="H14781" s="42"/>
      <c r="AG14781" s="19"/>
    </row>
    <row r="14782" spans="1:33" ht="14.5" x14ac:dyDescent="0.35">
      <c r="A14782" s="34"/>
      <c r="B14782" s="35"/>
      <c r="C14782" s="36"/>
      <c r="D14782" s="37"/>
      <c r="E14782" s="36"/>
      <c r="F14782" s="42"/>
      <c r="G14782" s="42"/>
      <c r="H14782" s="42"/>
      <c r="AG14782" s="19"/>
    </row>
    <row r="14783" spans="1:33" ht="14.5" x14ac:dyDescent="0.35">
      <c r="A14783" s="34"/>
      <c r="B14783" s="35"/>
      <c r="C14783" s="36"/>
      <c r="D14783" s="37"/>
      <c r="E14783" s="36"/>
      <c r="F14783" s="42"/>
      <c r="G14783" s="42"/>
      <c r="H14783" s="42"/>
      <c r="AG14783" s="19"/>
    </row>
    <row r="14784" spans="1:33" ht="14.5" x14ac:dyDescent="0.35">
      <c r="A14784" s="34"/>
      <c r="B14784" s="35"/>
      <c r="C14784" s="36"/>
      <c r="D14784" s="37"/>
      <c r="E14784" s="36"/>
      <c r="F14784" s="42"/>
      <c r="G14784" s="42"/>
      <c r="H14784" s="42"/>
      <c r="AG14784" s="19"/>
    </row>
    <row r="14785" spans="1:33" ht="14.5" x14ac:dyDescent="0.35">
      <c r="A14785" s="34"/>
      <c r="B14785" s="35"/>
      <c r="C14785" s="36"/>
      <c r="D14785" s="37"/>
      <c r="E14785" s="36"/>
      <c r="F14785" s="42"/>
      <c r="G14785" s="42"/>
      <c r="H14785" s="42"/>
      <c r="AG14785" s="19"/>
    </row>
    <row r="14786" spans="1:33" ht="14.5" x14ac:dyDescent="0.35">
      <c r="A14786" s="34"/>
      <c r="B14786" s="35"/>
      <c r="C14786" s="36"/>
      <c r="D14786" s="37"/>
      <c r="E14786" s="36"/>
      <c r="F14786" s="42"/>
      <c r="G14786" s="42"/>
      <c r="H14786" s="42"/>
      <c r="AG14786" s="19"/>
    </row>
    <row r="14787" spans="1:33" ht="14.5" x14ac:dyDescent="0.35">
      <c r="A14787" s="34"/>
      <c r="B14787" s="35"/>
      <c r="C14787" s="36"/>
      <c r="D14787" s="37"/>
      <c r="E14787" s="36"/>
      <c r="F14787" s="42"/>
      <c r="G14787" s="42"/>
      <c r="H14787" s="42"/>
      <c r="AG14787" s="19"/>
    </row>
    <row r="14788" spans="1:33" ht="14.5" x14ac:dyDescent="0.35">
      <c r="A14788" s="34"/>
      <c r="B14788" s="35"/>
      <c r="C14788" s="36"/>
      <c r="D14788" s="37"/>
      <c r="E14788" s="36"/>
      <c r="F14788" s="42"/>
      <c r="G14788" s="42"/>
      <c r="H14788" s="42"/>
      <c r="AG14788" s="19"/>
    </row>
    <row r="14789" spans="1:33" ht="14.5" x14ac:dyDescent="0.35">
      <c r="A14789" s="34"/>
      <c r="B14789" s="35"/>
      <c r="C14789" s="36"/>
      <c r="D14789" s="37"/>
      <c r="E14789" s="36"/>
      <c r="F14789" s="42"/>
      <c r="G14789" s="42"/>
      <c r="H14789" s="42"/>
      <c r="AG14789" s="19"/>
    </row>
    <row r="14790" spans="1:33" ht="14.5" x14ac:dyDescent="0.35">
      <c r="A14790" s="34"/>
      <c r="B14790" s="35"/>
      <c r="C14790" s="36"/>
      <c r="D14790" s="37"/>
      <c r="E14790" s="36"/>
      <c r="F14790" s="42"/>
      <c r="G14790" s="42"/>
      <c r="H14790" s="42"/>
      <c r="AG14790" s="19"/>
    </row>
    <row r="14791" spans="1:33" ht="14.5" x14ac:dyDescent="0.35">
      <c r="A14791" s="34"/>
      <c r="B14791" s="35"/>
      <c r="C14791" s="36"/>
      <c r="D14791" s="37"/>
      <c r="E14791" s="36"/>
      <c r="F14791" s="42"/>
      <c r="G14791" s="42"/>
      <c r="H14791" s="42"/>
      <c r="AG14791" s="19"/>
    </row>
    <row r="14792" spans="1:33" ht="14.5" x14ac:dyDescent="0.35">
      <c r="A14792" s="34"/>
      <c r="B14792" s="35"/>
      <c r="C14792" s="36"/>
      <c r="D14792" s="37"/>
      <c r="E14792" s="36"/>
      <c r="F14792" s="42"/>
      <c r="G14792" s="42"/>
      <c r="H14792" s="42"/>
      <c r="AG14792" s="19"/>
    </row>
    <row r="14793" spans="1:33" ht="14.5" x14ac:dyDescent="0.35">
      <c r="A14793" s="34"/>
      <c r="B14793" s="35"/>
      <c r="C14793" s="36"/>
      <c r="D14793" s="37"/>
      <c r="E14793" s="36"/>
      <c r="F14793" s="42"/>
      <c r="G14793" s="42"/>
      <c r="H14793" s="42"/>
      <c r="AG14793" s="19"/>
    </row>
    <row r="14794" spans="1:33" ht="14.5" x14ac:dyDescent="0.35">
      <c r="A14794" s="34"/>
      <c r="B14794" s="35"/>
      <c r="C14794" s="36"/>
      <c r="D14794" s="37"/>
      <c r="E14794" s="36"/>
      <c r="F14794" s="42"/>
      <c r="G14794" s="42"/>
      <c r="H14794" s="42"/>
      <c r="AG14794" s="19"/>
    </row>
    <row r="14795" spans="1:33" ht="14.5" x14ac:dyDescent="0.35">
      <c r="A14795" s="34"/>
      <c r="B14795" s="35"/>
      <c r="C14795" s="36"/>
      <c r="D14795" s="37"/>
      <c r="E14795" s="36"/>
      <c r="F14795" s="42"/>
      <c r="G14795" s="42"/>
      <c r="H14795" s="42"/>
      <c r="AG14795" s="19"/>
    </row>
    <row r="14796" spans="1:33" ht="14.5" x14ac:dyDescent="0.35">
      <c r="A14796" s="34"/>
      <c r="B14796" s="35"/>
      <c r="C14796" s="36"/>
      <c r="D14796" s="37"/>
      <c r="E14796" s="36"/>
      <c r="F14796" s="42"/>
      <c r="G14796" s="42"/>
      <c r="H14796" s="42"/>
      <c r="AG14796" s="19"/>
    </row>
    <row r="14797" spans="1:33" ht="14.5" x14ac:dyDescent="0.35">
      <c r="A14797" s="34"/>
      <c r="B14797" s="35"/>
      <c r="C14797" s="36"/>
      <c r="D14797" s="37"/>
      <c r="E14797" s="36"/>
      <c r="F14797" s="42"/>
      <c r="G14797" s="42"/>
      <c r="H14797" s="42"/>
      <c r="AG14797" s="19"/>
    </row>
    <row r="14798" spans="1:33" ht="14.5" x14ac:dyDescent="0.35">
      <c r="A14798" s="34"/>
      <c r="B14798" s="35"/>
      <c r="C14798" s="36"/>
      <c r="D14798" s="37"/>
      <c r="E14798" s="36"/>
      <c r="F14798" s="42"/>
      <c r="G14798" s="42"/>
      <c r="H14798" s="42"/>
      <c r="AG14798" s="19"/>
    </row>
    <row r="14799" spans="1:33" ht="14.5" x14ac:dyDescent="0.35">
      <c r="A14799" s="34"/>
      <c r="B14799" s="35"/>
      <c r="C14799" s="36"/>
      <c r="D14799" s="37"/>
      <c r="E14799" s="36"/>
      <c r="F14799" s="42"/>
      <c r="G14799" s="42"/>
      <c r="H14799" s="42"/>
      <c r="AG14799" s="19"/>
    </row>
    <row r="14800" spans="1:33" ht="14.5" x14ac:dyDescent="0.35">
      <c r="A14800" s="34"/>
      <c r="B14800" s="35"/>
      <c r="C14800" s="36"/>
      <c r="D14800" s="37"/>
      <c r="E14800" s="36"/>
      <c r="F14800" s="42"/>
      <c r="G14800" s="42"/>
      <c r="H14800" s="42"/>
      <c r="AG14800" s="19"/>
    </row>
    <row r="14801" spans="1:33" ht="14.5" x14ac:dyDescent="0.35">
      <c r="A14801" s="34"/>
      <c r="B14801" s="35"/>
      <c r="C14801" s="36"/>
      <c r="D14801" s="37"/>
      <c r="E14801" s="36"/>
      <c r="F14801" s="42"/>
      <c r="G14801" s="42"/>
      <c r="H14801" s="42"/>
      <c r="AG14801" s="19"/>
    </row>
    <row r="14802" spans="1:33" ht="14.5" x14ac:dyDescent="0.35">
      <c r="A14802" s="34"/>
      <c r="B14802" s="35"/>
      <c r="C14802" s="36"/>
      <c r="D14802" s="37"/>
      <c r="E14802" s="36"/>
      <c r="F14802" s="42"/>
      <c r="G14802" s="42"/>
      <c r="H14802" s="42"/>
      <c r="AG14802" s="19"/>
    </row>
    <row r="14803" spans="1:33" ht="14.5" x14ac:dyDescent="0.35">
      <c r="A14803" s="34"/>
      <c r="B14803" s="35"/>
      <c r="C14803" s="36"/>
      <c r="D14803" s="37"/>
      <c r="E14803" s="36"/>
      <c r="F14803" s="42"/>
      <c r="G14803" s="42"/>
      <c r="H14803" s="42"/>
      <c r="AG14803" s="19"/>
    </row>
    <row r="14804" spans="1:33" ht="14.5" x14ac:dyDescent="0.35">
      <c r="A14804" s="34"/>
      <c r="B14804" s="35"/>
      <c r="C14804" s="36"/>
      <c r="D14804" s="37"/>
      <c r="E14804" s="36"/>
      <c r="F14804" s="42"/>
      <c r="G14804" s="42"/>
      <c r="H14804" s="42"/>
      <c r="AG14804" s="19"/>
    </row>
    <row r="14805" spans="1:33" ht="14.5" x14ac:dyDescent="0.35">
      <c r="A14805" s="34"/>
      <c r="B14805" s="35"/>
      <c r="C14805" s="36"/>
      <c r="D14805" s="37"/>
      <c r="E14805" s="36"/>
      <c r="F14805" s="42"/>
      <c r="G14805" s="42"/>
      <c r="H14805" s="42"/>
      <c r="AG14805" s="19"/>
    </row>
    <row r="14806" spans="1:33" ht="14.5" x14ac:dyDescent="0.35">
      <c r="A14806" s="34"/>
      <c r="B14806" s="35"/>
      <c r="C14806" s="36"/>
      <c r="D14806" s="37"/>
      <c r="E14806" s="36"/>
      <c r="F14806" s="42"/>
      <c r="G14806" s="42"/>
      <c r="H14806" s="42"/>
      <c r="AG14806" s="19"/>
    </row>
    <row r="14807" spans="1:33" ht="14.5" x14ac:dyDescent="0.35">
      <c r="A14807" s="34"/>
      <c r="B14807" s="35"/>
      <c r="C14807" s="36"/>
      <c r="D14807" s="37"/>
      <c r="E14807" s="36"/>
      <c r="F14807" s="42"/>
      <c r="G14807" s="42"/>
      <c r="H14807" s="42"/>
      <c r="AG14807" s="19"/>
    </row>
    <row r="14808" spans="1:33" ht="14.5" x14ac:dyDescent="0.35">
      <c r="A14808" s="34"/>
      <c r="B14808" s="35"/>
      <c r="C14808" s="36"/>
      <c r="D14808" s="37"/>
      <c r="E14808" s="36"/>
      <c r="F14808" s="42"/>
      <c r="G14808" s="42"/>
      <c r="H14808" s="42"/>
      <c r="AG14808" s="19"/>
    </row>
    <row r="14809" spans="1:33" ht="14.5" x14ac:dyDescent="0.35">
      <c r="A14809" s="34"/>
      <c r="B14809" s="35"/>
      <c r="C14809" s="36"/>
      <c r="D14809" s="37"/>
      <c r="E14809" s="36"/>
      <c r="F14809" s="42"/>
      <c r="G14809" s="42"/>
      <c r="H14809" s="42"/>
      <c r="AG14809" s="19"/>
    </row>
    <row r="14810" spans="1:33" ht="14.5" x14ac:dyDescent="0.35">
      <c r="A14810" s="34"/>
      <c r="B14810" s="35"/>
      <c r="C14810" s="36"/>
      <c r="D14810" s="37"/>
      <c r="E14810" s="36"/>
      <c r="F14810" s="42"/>
      <c r="G14810" s="42"/>
      <c r="H14810" s="42"/>
      <c r="AG14810" s="19"/>
    </row>
    <row r="14811" spans="1:33" ht="14.5" x14ac:dyDescent="0.35">
      <c r="A14811" s="34"/>
      <c r="B14811" s="35"/>
      <c r="C14811" s="36"/>
      <c r="D14811" s="37"/>
      <c r="E14811" s="36"/>
      <c r="F14811" s="42"/>
      <c r="G14811" s="42"/>
      <c r="H14811" s="42"/>
      <c r="AG14811" s="19"/>
    </row>
    <row r="14812" spans="1:33" ht="14.5" x14ac:dyDescent="0.35">
      <c r="A14812" s="34"/>
      <c r="B14812" s="35"/>
      <c r="C14812" s="36"/>
      <c r="D14812" s="37"/>
      <c r="E14812" s="36"/>
      <c r="F14812" s="42"/>
      <c r="G14812" s="42"/>
      <c r="H14812" s="42"/>
      <c r="AG14812" s="19"/>
    </row>
    <row r="14813" spans="1:33" ht="14.5" x14ac:dyDescent="0.35">
      <c r="A14813" s="34"/>
      <c r="B14813" s="35"/>
      <c r="C14813" s="36"/>
      <c r="D14813" s="37"/>
      <c r="E14813" s="36"/>
      <c r="F14813" s="42"/>
      <c r="G14813" s="42"/>
      <c r="H14813" s="42"/>
      <c r="AG14813" s="19"/>
    </row>
    <row r="14814" spans="1:33" ht="14.5" x14ac:dyDescent="0.35">
      <c r="A14814" s="34"/>
      <c r="B14814" s="35"/>
      <c r="C14814" s="36"/>
      <c r="D14814" s="37"/>
      <c r="E14814" s="36"/>
      <c r="F14814" s="42"/>
      <c r="G14814" s="42"/>
      <c r="H14814" s="42"/>
      <c r="AG14814" s="19"/>
    </row>
    <row r="14815" spans="1:33" ht="14.5" x14ac:dyDescent="0.35">
      <c r="A14815" s="34"/>
      <c r="B14815" s="35"/>
      <c r="C14815" s="36"/>
      <c r="D14815" s="37"/>
      <c r="E14815" s="36"/>
      <c r="F14815" s="42"/>
      <c r="G14815" s="42"/>
      <c r="H14815" s="42"/>
      <c r="AG14815" s="19"/>
    </row>
    <row r="14816" spans="1:33" ht="14.5" x14ac:dyDescent="0.35">
      <c r="A14816" s="34"/>
      <c r="B14816" s="35"/>
      <c r="C14816" s="36"/>
      <c r="D14816" s="37"/>
      <c r="E14816" s="36"/>
      <c r="F14816" s="42"/>
      <c r="G14816" s="42"/>
      <c r="H14816" s="42"/>
      <c r="AG14816" s="19"/>
    </row>
    <row r="14817" spans="1:33" ht="14.5" x14ac:dyDescent="0.35">
      <c r="A14817" s="34"/>
      <c r="B14817" s="35"/>
      <c r="C14817" s="36"/>
      <c r="D14817" s="37"/>
      <c r="E14817" s="36"/>
      <c r="F14817" s="42"/>
      <c r="G14817" s="42"/>
      <c r="H14817" s="42"/>
      <c r="AG14817" s="19"/>
    </row>
    <row r="14818" spans="1:33" ht="14.5" x14ac:dyDescent="0.35">
      <c r="A14818" s="34"/>
      <c r="B14818" s="35"/>
      <c r="C14818" s="36"/>
      <c r="D14818" s="37"/>
      <c r="E14818" s="36"/>
      <c r="F14818" s="42"/>
      <c r="G14818" s="42"/>
      <c r="H14818" s="42"/>
      <c r="AG14818" s="19"/>
    </row>
    <row r="14819" spans="1:33" ht="14.5" x14ac:dyDescent="0.35">
      <c r="A14819" s="34"/>
      <c r="B14819" s="35"/>
      <c r="C14819" s="36"/>
      <c r="D14819" s="37"/>
      <c r="E14819" s="36"/>
      <c r="F14819" s="42"/>
      <c r="G14819" s="42"/>
      <c r="H14819" s="42"/>
      <c r="AG14819" s="19"/>
    </row>
    <row r="14820" spans="1:33" ht="14.5" x14ac:dyDescent="0.35">
      <c r="A14820" s="34"/>
      <c r="B14820" s="35"/>
      <c r="C14820" s="36"/>
      <c r="D14820" s="37"/>
      <c r="E14820" s="36"/>
      <c r="F14820" s="42"/>
      <c r="G14820" s="42"/>
      <c r="H14820" s="42"/>
      <c r="AG14820" s="19"/>
    </row>
    <row r="14821" spans="1:33" ht="14.5" x14ac:dyDescent="0.35">
      <c r="A14821" s="34"/>
      <c r="B14821" s="35"/>
      <c r="C14821" s="36"/>
      <c r="D14821" s="37"/>
      <c r="E14821" s="36"/>
      <c r="F14821" s="42"/>
      <c r="G14821" s="42"/>
      <c r="H14821" s="42"/>
      <c r="AG14821" s="19"/>
    </row>
    <row r="14822" spans="1:33" ht="14.5" x14ac:dyDescent="0.35">
      <c r="A14822" s="34"/>
      <c r="B14822" s="35"/>
      <c r="C14822" s="36"/>
      <c r="D14822" s="37"/>
      <c r="E14822" s="36"/>
      <c r="F14822" s="42"/>
      <c r="G14822" s="42"/>
      <c r="H14822" s="42"/>
      <c r="AG14822" s="19"/>
    </row>
    <row r="14823" spans="1:33" ht="14.5" x14ac:dyDescent="0.35">
      <c r="A14823" s="34"/>
      <c r="B14823" s="35"/>
      <c r="C14823" s="36"/>
      <c r="D14823" s="37"/>
      <c r="E14823" s="36"/>
      <c r="F14823" s="42"/>
      <c r="G14823" s="42"/>
      <c r="H14823" s="42"/>
      <c r="AG14823" s="19"/>
    </row>
    <row r="14824" spans="1:33" ht="14.5" x14ac:dyDescent="0.35">
      <c r="A14824" s="34"/>
      <c r="B14824" s="35"/>
      <c r="C14824" s="36"/>
      <c r="D14824" s="37"/>
      <c r="E14824" s="36"/>
      <c r="F14824" s="42"/>
      <c r="G14824" s="42"/>
      <c r="H14824" s="42"/>
      <c r="AG14824" s="19"/>
    </row>
    <row r="14825" spans="1:33" ht="14.5" x14ac:dyDescent="0.35">
      <c r="A14825" s="34"/>
      <c r="B14825" s="35"/>
      <c r="C14825" s="36"/>
      <c r="D14825" s="37"/>
      <c r="E14825" s="36"/>
      <c r="F14825" s="42"/>
      <c r="G14825" s="42"/>
      <c r="H14825" s="42"/>
      <c r="AG14825" s="19"/>
    </row>
    <row r="14826" spans="1:33" ht="14.5" x14ac:dyDescent="0.35">
      <c r="A14826" s="34"/>
      <c r="B14826" s="35"/>
      <c r="C14826" s="36"/>
      <c r="D14826" s="37"/>
      <c r="E14826" s="36"/>
      <c r="F14826" s="42"/>
      <c r="G14826" s="42"/>
      <c r="H14826" s="42"/>
      <c r="AG14826" s="19"/>
    </row>
    <row r="14827" spans="1:33" ht="14.5" x14ac:dyDescent="0.35">
      <c r="A14827" s="34"/>
      <c r="B14827" s="35"/>
      <c r="C14827" s="36"/>
      <c r="D14827" s="37"/>
      <c r="E14827" s="36"/>
      <c r="F14827" s="42"/>
      <c r="G14827" s="42"/>
      <c r="H14827" s="42"/>
      <c r="AG14827" s="19"/>
    </row>
    <row r="14828" spans="1:33" ht="14.5" x14ac:dyDescent="0.35">
      <c r="A14828" s="34"/>
      <c r="B14828" s="35"/>
      <c r="C14828" s="36"/>
      <c r="D14828" s="37"/>
      <c r="E14828" s="36"/>
      <c r="F14828" s="42"/>
      <c r="G14828" s="42"/>
      <c r="H14828" s="42"/>
      <c r="AG14828" s="19"/>
    </row>
    <row r="14829" spans="1:33" ht="14.5" x14ac:dyDescent="0.35">
      <c r="A14829" s="34"/>
      <c r="B14829" s="35"/>
      <c r="C14829" s="36"/>
      <c r="D14829" s="37"/>
      <c r="E14829" s="36"/>
      <c r="F14829" s="42"/>
      <c r="G14829" s="42"/>
      <c r="H14829" s="42"/>
      <c r="AG14829" s="19"/>
    </row>
    <row r="14830" spans="1:33" ht="14.5" x14ac:dyDescent="0.35">
      <c r="A14830" s="34"/>
      <c r="B14830" s="35"/>
      <c r="C14830" s="36"/>
      <c r="D14830" s="37"/>
      <c r="E14830" s="36"/>
      <c r="F14830" s="42"/>
      <c r="G14830" s="42"/>
      <c r="H14830" s="42"/>
      <c r="AG14830" s="19"/>
    </row>
    <row r="14831" spans="1:33" ht="14.5" x14ac:dyDescent="0.35">
      <c r="A14831" s="34"/>
      <c r="B14831" s="35"/>
      <c r="C14831" s="36"/>
      <c r="D14831" s="37"/>
      <c r="E14831" s="36"/>
      <c r="F14831" s="42"/>
      <c r="G14831" s="42"/>
      <c r="H14831" s="42"/>
      <c r="AG14831" s="19"/>
    </row>
    <row r="14832" spans="1:33" ht="14.5" x14ac:dyDescent="0.35">
      <c r="A14832" s="34"/>
      <c r="B14832" s="35"/>
      <c r="C14832" s="36"/>
      <c r="D14832" s="37"/>
      <c r="E14832" s="36"/>
      <c r="F14832" s="42"/>
      <c r="G14832" s="42"/>
      <c r="H14832" s="42"/>
      <c r="AG14832" s="19"/>
    </row>
    <row r="14833" spans="1:33" ht="14.5" x14ac:dyDescent="0.35">
      <c r="A14833" s="34"/>
      <c r="B14833" s="35"/>
      <c r="C14833" s="36"/>
      <c r="D14833" s="37"/>
      <c r="E14833" s="36"/>
      <c r="F14833" s="42"/>
      <c r="G14833" s="42"/>
      <c r="H14833" s="42"/>
      <c r="AG14833" s="19"/>
    </row>
    <row r="14834" spans="1:33" ht="14.5" x14ac:dyDescent="0.35">
      <c r="A14834" s="34"/>
      <c r="B14834" s="35"/>
      <c r="C14834" s="36"/>
      <c r="D14834" s="37"/>
      <c r="E14834" s="36"/>
      <c r="F14834" s="42"/>
      <c r="G14834" s="42"/>
      <c r="H14834" s="42"/>
      <c r="AG14834" s="19"/>
    </row>
    <row r="14835" spans="1:33" ht="14.5" x14ac:dyDescent="0.35">
      <c r="A14835" s="34"/>
      <c r="B14835" s="35"/>
      <c r="C14835" s="36"/>
      <c r="D14835" s="37"/>
      <c r="E14835" s="36"/>
      <c r="F14835" s="42"/>
      <c r="G14835" s="42"/>
      <c r="H14835" s="42"/>
      <c r="AG14835" s="19"/>
    </row>
    <row r="14836" spans="1:33" ht="14.5" x14ac:dyDescent="0.35">
      <c r="A14836" s="34"/>
      <c r="B14836" s="35"/>
      <c r="C14836" s="36"/>
      <c r="D14836" s="37"/>
      <c r="E14836" s="36"/>
      <c r="F14836" s="42"/>
      <c r="G14836" s="42"/>
      <c r="H14836" s="42"/>
      <c r="AG14836" s="19"/>
    </row>
    <row r="14837" spans="1:33" ht="14.5" x14ac:dyDescent="0.35">
      <c r="A14837" s="34"/>
      <c r="B14837" s="35"/>
      <c r="C14837" s="36"/>
      <c r="D14837" s="37"/>
      <c r="E14837" s="36"/>
      <c r="F14837" s="42"/>
      <c r="G14837" s="42"/>
      <c r="H14837" s="42"/>
      <c r="AG14837" s="19"/>
    </row>
    <row r="14838" spans="1:33" ht="14.5" x14ac:dyDescent="0.35">
      <c r="A14838" s="34"/>
      <c r="B14838" s="35"/>
      <c r="C14838" s="36"/>
      <c r="D14838" s="37"/>
      <c r="E14838" s="36"/>
      <c r="F14838" s="42"/>
      <c r="G14838" s="42"/>
      <c r="H14838" s="42"/>
      <c r="AG14838" s="19"/>
    </row>
    <row r="14839" spans="1:33" ht="14.5" x14ac:dyDescent="0.35">
      <c r="A14839" s="34"/>
      <c r="B14839" s="35"/>
      <c r="C14839" s="36"/>
      <c r="D14839" s="37"/>
      <c r="E14839" s="36"/>
      <c r="F14839" s="42"/>
      <c r="G14839" s="42"/>
      <c r="H14839" s="42"/>
      <c r="AG14839" s="19"/>
    </row>
    <row r="14840" spans="1:33" ht="14.5" x14ac:dyDescent="0.35">
      <c r="A14840" s="34"/>
      <c r="B14840" s="35"/>
      <c r="C14840" s="36"/>
      <c r="D14840" s="37"/>
      <c r="E14840" s="36"/>
      <c r="F14840" s="42"/>
      <c r="G14840" s="42"/>
      <c r="H14840" s="42"/>
      <c r="AG14840" s="19"/>
    </row>
    <row r="14841" spans="1:33" ht="14.5" x14ac:dyDescent="0.35">
      <c r="A14841" s="34"/>
      <c r="B14841" s="35"/>
      <c r="C14841" s="36"/>
      <c r="D14841" s="37"/>
      <c r="E14841" s="36"/>
      <c r="F14841" s="42"/>
      <c r="G14841" s="42"/>
      <c r="H14841" s="42"/>
      <c r="AG14841" s="19"/>
    </row>
    <row r="14842" spans="1:33" ht="14.5" x14ac:dyDescent="0.35">
      <c r="A14842" s="34"/>
      <c r="B14842" s="35"/>
      <c r="C14842" s="36"/>
      <c r="D14842" s="37"/>
      <c r="E14842" s="36"/>
      <c r="F14842" s="42"/>
      <c r="G14842" s="42"/>
      <c r="H14842" s="42"/>
      <c r="AG14842" s="19"/>
    </row>
    <row r="14843" spans="1:33" ht="14.5" x14ac:dyDescent="0.35">
      <c r="A14843" s="34"/>
      <c r="B14843" s="35"/>
      <c r="C14843" s="36"/>
      <c r="D14843" s="37"/>
      <c r="E14843" s="36"/>
      <c r="F14843" s="42"/>
      <c r="G14843" s="42"/>
      <c r="H14843" s="42"/>
      <c r="AG14843" s="19"/>
    </row>
    <row r="14844" spans="1:33" ht="14.5" x14ac:dyDescent="0.35">
      <c r="A14844" s="34"/>
      <c r="B14844" s="35"/>
      <c r="C14844" s="36"/>
      <c r="D14844" s="37"/>
      <c r="E14844" s="36"/>
      <c r="F14844" s="42"/>
      <c r="G14844" s="42"/>
      <c r="H14844" s="42"/>
      <c r="AG14844" s="19"/>
    </row>
    <row r="14845" spans="1:33" ht="14.5" x14ac:dyDescent="0.35">
      <c r="A14845" s="34"/>
      <c r="B14845" s="35"/>
      <c r="C14845" s="36"/>
      <c r="D14845" s="37"/>
      <c r="E14845" s="36"/>
      <c r="F14845" s="42"/>
      <c r="G14845" s="42"/>
      <c r="H14845" s="42"/>
      <c r="AG14845" s="19"/>
    </row>
    <row r="14846" spans="1:33" ht="14.5" x14ac:dyDescent="0.35">
      <c r="A14846" s="34"/>
      <c r="B14846" s="35"/>
      <c r="C14846" s="36"/>
      <c r="D14846" s="37"/>
      <c r="E14846" s="36"/>
      <c r="F14846" s="42"/>
      <c r="G14846" s="42"/>
      <c r="H14846" s="42"/>
      <c r="AG14846" s="19"/>
    </row>
    <row r="14847" spans="1:33" ht="14.5" x14ac:dyDescent="0.35">
      <c r="A14847" s="34"/>
      <c r="B14847" s="35"/>
      <c r="C14847" s="36"/>
      <c r="D14847" s="37"/>
      <c r="E14847" s="36"/>
      <c r="F14847" s="42"/>
      <c r="G14847" s="42"/>
      <c r="H14847" s="42"/>
      <c r="AG14847" s="19"/>
    </row>
    <row r="14848" spans="1:33" ht="14.5" x14ac:dyDescent="0.35">
      <c r="A14848" s="34"/>
      <c r="B14848" s="35"/>
      <c r="C14848" s="36"/>
      <c r="D14848" s="37"/>
      <c r="E14848" s="36"/>
      <c r="F14848" s="42"/>
      <c r="G14848" s="42"/>
      <c r="H14848" s="42"/>
      <c r="AG14848" s="19"/>
    </row>
    <row r="14849" spans="1:33" ht="14.5" x14ac:dyDescent="0.35">
      <c r="A14849" s="34"/>
      <c r="B14849" s="35"/>
      <c r="C14849" s="36"/>
      <c r="D14849" s="37"/>
      <c r="E14849" s="36"/>
      <c r="F14849" s="42"/>
      <c r="G14849" s="42"/>
      <c r="H14849" s="42"/>
      <c r="AG14849" s="19"/>
    </row>
    <row r="14850" spans="1:33" ht="14.5" x14ac:dyDescent="0.35">
      <c r="A14850" s="34"/>
      <c r="B14850" s="35"/>
      <c r="C14850" s="36"/>
      <c r="D14850" s="37"/>
      <c r="E14850" s="36"/>
      <c r="F14850" s="42"/>
      <c r="G14850" s="42"/>
      <c r="H14850" s="42"/>
      <c r="AG14850" s="19"/>
    </row>
    <row r="14851" spans="1:33" ht="14.5" x14ac:dyDescent="0.35">
      <c r="A14851" s="34"/>
      <c r="B14851" s="35"/>
      <c r="C14851" s="36"/>
      <c r="D14851" s="37"/>
      <c r="E14851" s="36"/>
      <c r="F14851" s="42"/>
      <c r="G14851" s="42"/>
      <c r="H14851" s="42"/>
      <c r="AG14851" s="19"/>
    </row>
    <row r="14852" spans="1:33" ht="14.5" x14ac:dyDescent="0.35">
      <c r="A14852" s="34"/>
      <c r="B14852" s="35"/>
      <c r="C14852" s="36"/>
      <c r="D14852" s="37"/>
      <c r="E14852" s="36"/>
      <c r="F14852" s="42"/>
      <c r="G14852" s="42"/>
      <c r="H14852" s="42"/>
      <c r="AG14852" s="19"/>
    </row>
    <row r="14853" spans="1:33" ht="14.5" x14ac:dyDescent="0.35">
      <c r="A14853" s="34"/>
      <c r="B14853" s="35"/>
      <c r="C14853" s="36"/>
      <c r="D14853" s="37"/>
      <c r="E14853" s="36"/>
      <c r="F14853" s="42"/>
      <c r="G14853" s="42"/>
      <c r="H14853" s="42"/>
      <c r="AG14853" s="19"/>
    </row>
    <row r="14854" spans="1:33" ht="14.5" x14ac:dyDescent="0.35">
      <c r="A14854" s="34"/>
      <c r="B14854" s="35"/>
      <c r="C14854" s="36"/>
      <c r="D14854" s="37"/>
      <c r="E14854" s="36"/>
      <c r="F14854" s="42"/>
      <c r="G14854" s="42"/>
      <c r="H14854" s="42"/>
      <c r="AG14854" s="19"/>
    </row>
    <row r="14855" spans="1:33" ht="14.5" x14ac:dyDescent="0.35">
      <c r="A14855" s="34"/>
      <c r="B14855" s="35"/>
      <c r="C14855" s="36"/>
      <c r="D14855" s="37"/>
      <c r="E14855" s="36"/>
      <c r="F14855" s="42"/>
      <c r="G14855" s="42"/>
      <c r="H14855" s="42"/>
      <c r="AG14855" s="19"/>
    </row>
    <row r="14856" spans="1:33" ht="14.5" x14ac:dyDescent="0.35">
      <c r="A14856" s="34"/>
      <c r="B14856" s="35"/>
      <c r="C14856" s="36"/>
      <c r="D14856" s="37"/>
      <c r="E14856" s="36"/>
      <c r="F14856" s="42"/>
      <c r="G14856" s="42"/>
      <c r="H14856" s="42"/>
      <c r="AG14856" s="19"/>
    </row>
    <row r="14857" spans="1:33" ht="14.5" x14ac:dyDescent="0.35">
      <c r="A14857" s="34"/>
      <c r="B14857" s="35"/>
      <c r="C14857" s="36"/>
      <c r="D14857" s="37"/>
      <c r="E14857" s="36"/>
      <c r="F14857" s="42"/>
      <c r="G14857" s="42"/>
      <c r="H14857" s="42"/>
      <c r="AG14857" s="19"/>
    </row>
    <row r="14858" spans="1:33" ht="14.5" x14ac:dyDescent="0.35">
      <c r="A14858" s="34"/>
      <c r="B14858" s="35"/>
      <c r="C14858" s="36"/>
      <c r="D14858" s="37"/>
      <c r="E14858" s="36"/>
      <c r="F14858" s="42"/>
      <c r="G14858" s="42"/>
      <c r="H14858" s="42"/>
      <c r="AG14858" s="19"/>
    </row>
    <row r="14859" spans="1:33" ht="14.5" x14ac:dyDescent="0.35">
      <c r="A14859" s="34"/>
      <c r="B14859" s="35"/>
      <c r="C14859" s="36"/>
      <c r="D14859" s="37"/>
      <c r="E14859" s="36"/>
      <c r="F14859" s="42"/>
      <c r="G14859" s="42"/>
      <c r="H14859" s="42"/>
      <c r="AG14859" s="19"/>
    </row>
    <row r="14860" spans="1:33" ht="14.5" x14ac:dyDescent="0.35">
      <c r="A14860" s="34"/>
      <c r="B14860" s="35"/>
      <c r="C14860" s="36"/>
      <c r="D14860" s="37"/>
      <c r="E14860" s="36"/>
      <c r="F14860" s="42"/>
      <c r="G14860" s="42"/>
      <c r="H14860" s="42"/>
      <c r="AG14860" s="19"/>
    </row>
    <row r="14861" spans="1:33" ht="14.5" x14ac:dyDescent="0.35">
      <c r="A14861" s="34"/>
      <c r="B14861" s="35"/>
      <c r="C14861" s="36"/>
      <c r="D14861" s="37"/>
      <c r="E14861" s="36"/>
      <c r="F14861" s="42"/>
      <c r="G14861" s="42"/>
      <c r="H14861" s="42"/>
      <c r="AG14861" s="19"/>
    </row>
    <row r="14862" spans="1:33" ht="14.5" x14ac:dyDescent="0.35">
      <c r="A14862" s="34"/>
      <c r="B14862" s="35"/>
      <c r="C14862" s="36"/>
      <c r="D14862" s="37"/>
      <c r="E14862" s="36"/>
      <c r="F14862" s="42"/>
      <c r="G14862" s="42"/>
      <c r="H14862" s="42"/>
      <c r="AG14862" s="19"/>
    </row>
    <row r="14863" spans="1:33" ht="14.5" x14ac:dyDescent="0.35">
      <c r="A14863" s="34"/>
      <c r="B14863" s="35"/>
      <c r="C14863" s="36"/>
      <c r="D14863" s="37"/>
      <c r="E14863" s="36"/>
      <c r="F14863" s="42"/>
      <c r="G14863" s="42"/>
      <c r="H14863" s="42"/>
      <c r="AG14863" s="19"/>
    </row>
    <row r="14864" spans="1:33" ht="14.5" x14ac:dyDescent="0.35">
      <c r="A14864" s="34"/>
      <c r="B14864" s="35"/>
      <c r="C14864" s="36"/>
      <c r="D14864" s="37"/>
      <c r="E14864" s="36"/>
      <c r="F14864" s="42"/>
      <c r="G14864" s="42"/>
      <c r="H14864" s="42"/>
      <c r="AG14864" s="19"/>
    </row>
    <row r="14865" spans="1:33" ht="14.5" x14ac:dyDescent="0.35">
      <c r="A14865" s="34"/>
      <c r="B14865" s="35"/>
      <c r="C14865" s="36"/>
      <c r="D14865" s="37"/>
      <c r="E14865" s="36"/>
      <c r="F14865" s="42"/>
      <c r="G14865" s="42"/>
      <c r="H14865" s="42"/>
      <c r="AG14865" s="19"/>
    </row>
    <row r="14866" spans="1:33" ht="14.5" x14ac:dyDescent="0.35">
      <c r="A14866" s="34"/>
      <c r="B14866" s="35"/>
      <c r="C14866" s="36"/>
      <c r="D14866" s="37"/>
      <c r="E14866" s="36"/>
      <c r="F14866" s="42"/>
      <c r="G14866" s="42"/>
      <c r="H14866" s="42"/>
      <c r="AG14866" s="19"/>
    </row>
    <row r="14867" spans="1:33" ht="14.5" x14ac:dyDescent="0.35">
      <c r="A14867" s="34"/>
      <c r="B14867" s="35"/>
      <c r="C14867" s="36"/>
      <c r="D14867" s="37"/>
      <c r="E14867" s="36"/>
      <c r="F14867" s="42"/>
      <c r="G14867" s="42"/>
      <c r="H14867" s="42"/>
      <c r="AG14867" s="19"/>
    </row>
    <row r="14868" spans="1:33" ht="14.5" x14ac:dyDescent="0.35">
      <c r="A14868" s="34"/>
      <c r="B14868" s="35"/>
      <c r="C14868" s="36"/>
      <c r="D14868" s="37"/>
      <c r="E14868" s="36"/>
      <c r="F14868" s="42"/>
      <c r="G14868" s="42"/>
      <c r="H14868" s="42"/>
      <c r="AG14868" s="19"/>
    </row>
    <row r="14869" spans="1:33" ht="14.5" x14ac:dyDescent="0.35">
      <c r="A14869" s="34"/>
      <c r="B14869" s="35"/>
      <c r="C14869" s="36"/>
      <c r="D14869" s="37"/>
      <c r="E14869" s="36"/>
      <c r="F14869" s="42"/>
      <c r="G14869" s="42"/>
      <c r="H14869" s="42"/>
      <c r="AG14869" s="19"/>
    </row>
    <row r="14870" spans="1:33" ht="14.5" x14ac:dyDescent="0.35">
      <c r="A14870" s="34"/>
      <c r="B14870" s="35"/>
      <c r="C14870" s="36"/>
      <c r="D14870" s="37"/>
      <c r="E14870" s="36"/>
      <c r="F14870" s="42"/>
      <c r="G14870" s="42"/>
      <c r="H14870" s="42"/>
      <c r="AG14870" s="19"/>
    </row>
    <row r="14871" spans="1:33" ht="14.5" x14ac:dyDescent="0.35">
      <c r="A14871" s="34"/>
      <c r="B14871" s="35"/>
      <c r="C14871" s="36"/>
      <c r="D14871" s="37"/>
      <c r="E14871" s="36"/>
      <c r="F14871" s="42"/>
      <c r="G14871" s="42"/>
      <c r="H14871" s="42"/>
      <c r="AG14871" s="19"/>
    </row>
    <row r="14872" spans="1:33" ht="14.5" x14ac:dyDescent="0.35">
      <c r="A14872" s="34"/>
      <c r="B14872" s="35"/>
      <c r="C14872" s="36"/>
      <c r="D14872" s="37"/>
      <c r="E14872" s="36"/>
      <c r="F14872" s="42"/>
      <c r="G14872" s="42"/>
      <c r="H14872" s="42"/>
      <c r="AG14872" s="19"/>
    </row>
    <row r="14873" spans="1:33" ht="14.5" x14ac:dyDescent="0.35">
      <c r="A14873" s="34"/>
      <c r="B14873" s="35"/>
      <c r="C14873" s="36"/>
      <c r="D14873" s="37"/>
      <c r="E14873" s="36"/>
      <c r="F14873" s="42"/>
      <c r="G14873" s="42"/>
      <c r="H14873" s="42"/>
      <c r="AG14873" s="19"/>
    </row>
    <row r="14874" spans="1:33" ht="14.5" x14ac:dyDescent="0.35">
      <c r="A14874" s="34"/>
      <c r="B14874" s="35"/>
      <c r="C14874" s="36"/>
      <c r="D14874" s="37"/>
      <c r="E14874" s="36"/>
      <c r="F14874" s="42"/>
      <c r="G14874" s="42"/>
      <c r="H14874" s="42"/>
      <c r="AG14874" s="19"/>
    </row>
    <row r="14875" spans="1:33" ht="14.5" x14ac:dyDescent="0.35">
      <c r="A14875" s="34"/>
      <c r="B14875" s="35"/>
      <c r="C14875" s="36"/>
      <c r="D14875" s="37"/>
      <c r="E14875" s="36"/>
      <c r="F14875" s="42"/>
      <c r="G14875" s="42"/>
      <c r="H14875" s="42"/>
      <c r="AG14875" s="19"/>
    </row>
    <row r="14876" spans="1:33" ht="14.5" x14ac:dyDescent="0.35">
      <c r="A14876" s="34"/>
      <c r="B14876" s="35"/>
      <c r="C14876" s="36"/>
      <c r="D14876" s="37"/>
      <c r="E14876" s="36"/>
      <c r="F14876" s="42"/>
      <c r="G14876" s="42"/>
      <c r="H14876" s="42"/>
      <c r="AG14876" s="19"/>
    </row>
    <row r="14877" spans="1:33" ht="14.5" x14ac:dyDescent="0.35">
      <c r="A14877" s="34"/>
      <c r="B14877" s="35"/>
      <c r="C14877" s="36"/>
      <c r="D14877" s="37"/>
      <c r="E14877" s="36"/>
      <c r="F14877" s="42"/>
      <c r="G14877" s="42"/>
      <c r="H14877" s="42"/>
      <c r="AG14877" s="19"/>
    </row>
    <row r="14878" spans="1:33" ht="14.5" x14ac:dyDescent="0.35">
      <c r="A14878" s="34"/>
      <c r="B14878" s="35"/>
      <c r="C14878" s="36"/>
      <c r="D14878" s="37"/>
      <c r="E14878" s="36"/>
      <c r="F14878" s="42"/>
      <c r="G14878" s="42"/>
      <c r="H14878" s="42"/>
      <c r="AG14878" s="19"/>
    </row>
    <row r="14879" spans="1:33" ht="14.5" x14ac:dyDescent="0.35">
      <c r="A14879" s="34"/>
      <c r="B14879" s="35"/>
      <c r="C14879" s="36"/>
      <c r="D14879" s="37"/>
      <c r="E14879" s="36"/>
      <c r="F14879" s="42"/>
      <c r="G14879" s="42"/>
      <c r="H14879" s="42"/>
      <c r="AG14879" s="19"/>
    </row>
    <row r="14880" spans="1:33" ht="14.5" x14ac:dyDescent="0.35">
      <c r="A14880" s="34"/>
      <c r="B14880" s="35"/>
      <c r="C14880" s="36"/>
      <c r="D14880" s="37"/>
      <c r="E14880" s="36"/>
      <c r="F14880" s="42"/>
      <c r="G14880" s="42"/>
      <c r="H14880" s="42"/>
      <c r="AG14880" s="19"/>
    </row>
    <row r="14881" spans="1:33" ht="14.5" x14ac:dyDescent="0.35">
      <c r="A14881" s="34"/>
      <c r="B14881" s="35"/>
      <c r="C14881" s="36"/>
      <c r="D14881" s="37"/>
      <c r="E14881" s="36"/>
      <c r="F14881" s="42"/>
      <c r="G14881" s="42"/>
      <c r="H14881" s="42"/>
      <c r="AG14881" s="19"/>
    </row>
    <row r="14882" spans="1:33" ht="14.5" x14ac:dyDescent="0.35">
      <c r="A14882" s="34"/>
      <c r="B14882" s="35"/>
      <c r="C14882" s="36"/>
      <c r="D14882" s="37"/>
      <c r="E14882" s="36"/>
      <c r="F14882" s="42"/>
      <c r="G14882" s="42"/>
      <c r="H14882" s="42"/>
      <c r="AG14882" s="19"/>
    </row>
    <row r="14883" spans="1:33" ht="14.5" x14ac:dyDescent="0.35">
      <c r="A14883" s="34"/>
      <c r="B14883" s="35"/>
      <c r="C14883" s="36"/>
      <c r="D14883" s="37"/>
      <c r="E14883" s="36"/>
      <c r="F14883" s="42"/>
      <c r="G14883" s="42"/>
      <c r="H14883" s="42"/>
      <c r="AG14883" s="19"/>
    </row>
    <row r="14884" spans="1:33" ht="14.5" x14ac:dyDescent="0.35">
      <c r="A14884" s="34"/>
      <c r="B14884" s="35"/>
      <c r="C14884" s="36"/>
      <c r="D14884" s="37"/>
      <c r="E14884" s="36"/>
      <c r="F14884" s="42"/>
      <c r="G14884" s="42"/>
      <c r="H14884" s="42"/>
      <c r="AG14884" s="19"/>
    </row>
    <row r="14885" spans="1:33" ht="14.5" x14ac:dyDescent="0.35">
      <c r="A14885" s="34"/>
      <c r="B14885" s="35"/>
      <c r="C14885" s="36"/>
      <c r="D14885" s="37"/>
      <c r="E14885" s="36"/>
      <c r="F14885" s="42"/>
      <c r="G14885" s="42"/>
      <c r="H14885" s="42"/>
      <c r="AG14885" s="19"/>
    </row>
    <row r="14886" spans="1:33" ht="14.5" x14ac:dyDescent="0.35">
      <c r="A14886" s="34"/>
      <c r="B14886" s="35"/>
      <c r="C14886" s="36"/>
      <c r="D14886" s="37"/>
      <c r="E14886" s="36"/>
      <c r="F14886" s="42"/>
      <c r="G14886" s="42"/>
      <c r="H14886" s="42"/>
      <c r="AG14886" s="19"/>
    </row>
    <row r="14887" spans="1:33" ht="14.5" x14ac:dyDescent="0.35">
      <c r="A14887" s="34"/>
      <c r="B14887" s="35"/>
      <c r="C14887" s="36"/>
      <c r="D14887" s="37"/>
      <c r="E14887" s="36"/>
      <c r="F14887" s="42"/>
      <c r="G14887" s="42"/>
      <c r="H14887" s="42"/>
      <c r="AG14887" s="19"/>
    </row>
    <row r="14888" spans="1:33" ht="14.5" x14ac:dyDescent="0.35">
      <c r="A14888" s="34"/>
      <c r="B14888" s="35"/>
      <c r="C14888" s="36"/>
      <c r="D14888" s="37"/>
      <c r="E14888" s="36"/>
      <c r="F14888" s="42"/>
      <c r="G14888" s="42"/>
      <c r="H14888" s="42"/>
      <c r="AG14888" s="19"/>
    </row>
    <row r="14889" spans="1:33" ht="14.5" x14ac:dyDescent="0.35">
      <c r="A14889" s="34"/>
      <c r="B14889" s="35"/>
      <c r="C14889" s="36"/>
      <c r="D14889" s="37"/>
      <c r="E14889" s="36"/>
      <c r="F14889" s="42"/>
      <c r="G14889" s="42"/>
      <c r="H14889" s="42"/>
      <c r="AG14889" s="19"/>
    </row>
    <row r="14890" spans="1:33" ht="14.5" x14ac:dyDescent="0.35">
      <c r="A14890" s="34"/>
      <c r="B14890" s="35"/>
      <c r="C14890" s="36"/>
      <c r="D14890" s="37"/>
      <c r="E14890" s="36"/>
      <c r="F14890" s="42"/>
      <c r="G14890" s="42"/>
      <c r="H14890" s="42"/>
      <c r="AG14890" s="19"/>
    </row>
    <row r="14891" spans="1:33" ht="14.5" x14ac:dyDescent="0.35">
      <c r="A14891" s="34"/>
      <c r="B14891" s="35"/>
      <c r="C14891" s="36"/>
      <c r="D14891" s="37"/>
      <c r="E14891" s="36"/>
      <c r="F14891" s="42"/>
      <c r="G14891" s="42"/>
      <c r="H14891" s="42"/>
      <c r="AG14891" s="19"/>
    </row>
    <row r="14892" spans="1:33" ht="14.5" x14ac:dyDescent="0.35">
      <c r="A14892" s="34"/>
      <c r="B14892" s="35"/>
      <c r="C14892" s="36"/>
      <c r="D14892" s="37"/>
      <c r="E14892" s="36"/>
      <c r="F14892" s="42"/>
      <c r="G14892" s="42"/>
      <c r="H14892" s="42"/>
      <c r="AG14892" s="19"/>
    </row>
    <row r="14893" spans="1:33" ht="14.5" x14ac:dyDescent="0.35">
      <c r="A14893" s="34"/>
      <c r="B14893" s="35"/>
      <c r="C14893" s="36"/>
      <c r="D14893" s="37"/>
      <c r="E14893" s="36"/>
      <c r="F14893" s="42"/>
      <c r="G14893" s="42"/>
      <c r="H14893" s="42"/>
      <c r="AG14893" s="19"/>
    </row>
    <row r="14894" spans="1:33" ht="14.5" x14ac:dyDescent="0.35">
      <c r="A14894" s="34"/>
      <c r="B14894" s="35"/>
      <c r="C14894" s="36"/>
      <c r="D14894" s="37"/>
      <c r="E14894" s="36"/>
      <c r="F14894" s="42"/>
      <c r="G14894" s="42"/>
      <c r="H14894" s="42"/>
      <c r="AG14894" s="19"/>
    </row>
    <row r="14895" spans="1:33" ht="14.5" x14ac:dyDescent="0.35">
      <c r="A14895" s="34"/>
      <c r="B14895" s="35"/>
      <c r="C14895" s="36"/>
      <c r="D14895" s="37"/>
      <c r="E14895" s="36"/>
      <c r="F14895" s="42"/>
      <c r="G14895" s="42"/>
      <c r="H14895" s="42"/>
      <c r="AG14895" s="19"/>
    </row>
    <row r="14896" spans="1:33" ht="14.5" x14ac:dyDescent="0.35">
      <c r="A14896" s="34"/>
      <c r="B14896" s="35"/>
      <c r="C14896" s="36"/>
      <c r="D14896" s="37"/>
      <c r="E14896" s="36"/>
      <c r="F14896" s="42"/>
      <c r="G14896" s="42"/>
      <c r="H14896" s="42"/>
      <c r="AG14896" s="19"/>
    </row>
    <row r="14897" spans="1:33" ht="14.5" x14ac:dyDescent="0.35">
      <c r="A14897" s="34"/>
      <c r="B14897" s="35"/>
      <c r="C14897" s="36"/>
      <c r="D14897" s="37"/>
      <c r="E14897" s="36"/>
      <c r="F14897" s="42"/>
      <c r="G14897" s="42"/>
      <c r="H14897" s="42"/>
      <c r="AG14897" s="19"/>
    </row>
    <row r="14898" spans="1:33" ht="14.5" x14ac:dyDescent="0.35">
      <c r="A14898" s="34"/>
      <c r="B14898" s="35"/>
      <c r="C14898" s="36"/>
      <c r="D14898" s="37"/>
      <c r="E14898" s="36"/>
      <c r="F14898" s="42"/>
      <c r="G14898" s="42"/>
      <c r="H14898" s="42"/>
      <c r="AG14898" s="19"/>
    </row>
    <row r="14899" spans="1:33" ht="14.5" x14ac:dyDescent="0.35">
      <c r="A14899" s="34"/>
      <c r="B14899" s="35"/>
      <c r="C14899" s="36"/>
      <c r="D14899" s="37"/>
      <c r="E14899" s="36"/>
      <c r="F14899" s="42"/>
      <c r="G14899" s="42"/>
      <c r="H14899" s="42"/>
      <c r="AG14899" s="19"/>
    </row>
    <row r="14900" spans="1:33" ht="14.5" x14ac:dyDescent="0.35">
      <c r="A14900" s="34"/>
      <c r="B14900" s="35"/>
      <c r="C14900" s="36"/>
      <c r="D14900" s="37"/>
      <c r="E14900" s="36"/>
      <c r="F14900" s="42"/>
      <c r="G14900" s="42"/>
      <c r="H14900" s="42"/>
      <c r="AG14900" s="19"/>
    </row>
    <row r="14901" spans="1:33" ht="14.5" x14ac:dyDescent="0.35">
      <c r="A14901" s="34"/>
      <c r="B14901" s="35"/>
      <c r="C14901" s="36"/>
      <c r="D14901" s="37"/>
      <c r="E14901" s="36"/>
      <c r="F14901" s="42"/>
      <c r="G14901" s="42"/>
      <c r="H14901" s="42"/>
      <c r="AG14901" s="19"/>
    </row>
    <row r="14902" spans="1:33" ht="14.5" x14ac:dyDescent="0.35">
      <c r="A14902" s="34"/>
      <c r="B14902" s="35"/>
      <c r="C14902" s="36"/>
      <c r="D14902" s="37"/>
      <c r="E14902" s="36"/>
      <c r="F14902" s="42"/>
      <c r="G14902" s="42"/>
      <c r="H14902" s="42"/>
      <c r="AG14902" s="19"/>
    </row>
    <row r="14903" spans="1:33" ht="14.5" x14ac:dyDescent="0.35">
      <c r="A14903" s="34"/>
      <c r="B14903" s="35"/>
      <c r="C14903" s="36"/>
      <c r="D14903" s="37"/>
      <c r="E14903" s="36"/>
      <c r="F14903" s="42"/>
      <c r="G14903" s="42"/>
      <c r="H14903" s="42"/>
      <c r="AG14903" s="19"/>
    </row>
    <row r="14904" spans="1:33" ht="14.5" x14ac:dyDescent="0.35">
      <c r="A14904" s="34"/>
      <c r="B14904" s="35"/>
      <c r="C14904" s="36"/>
      <c r="D14904" s="37"/>
      <c r="E14904" s="36"/>
      <c r="F14904" s="42"/>
      <c r="G14904" s="42"/>
      <c r="H14904" s="42"/>
      <c r="AG14904" s="19"/>
    </row>
    <row r="14905" spans="1:33" ht="14.5" x14ac:dyDescent="0.35">
      <c r="A14905" s="34"/>
      <c r="B14905" s="35"/>
      <c r="C14905" s="36"/>
      <c r="D14905" s="37"/>
      <c r="E14905" s="36"/>
      <c r="F14905" s="42"/>
      <c r="G14905" s="42"/>
      <c r="H14905" s="42"/>
      <c r="AG14905" s="19"/>
    </row>
    <row r="14906" spans="1:33" ht="14.5" x14ac:dyDescent="0.35">
      <c r="A14906" s="34"/>
      <c r="B14906" s="35"/>
      <c r="C14906" s="36"/>
      <c r="D14906" s="37"/>
      <c r="E14906" s="36"/>
      <c r="F14906" s="42"/>
      <c r="G14906" s="42"/>
      <c r="H14906" s="42"/>
      <c r="AG14906" s="19"/>
    </row>
    <row r="14907" spans="1:33" ht="14.5" x14ac:dyDescent="0.35">
      <c r="A14907" s="34"/>
      <c r="B14907" s="35"/>
      <c r="C14907" s="36"/>
      <c r="D14907" s="37"/>
      <c r="E14907" s="36"/>
      <c r="F14907" s="42"/>
      <c r="G14907" s="42"/>
      <c r="H14907" s="42"/>
      <c r="AG14907" s="19"/>
    </row>
    <row r="14908" spans="1:33" ht="14.5" x14ac:dyDescent="0.35">
      <c r="A14908" s="34"/>
      <c r="B14908" s="35"/>
      <c r="C14908" s="36"/>
      <c r="D14908" s="37"/>
      <c r="E14908" s="36"/>
      <c r="F14908" s="42"/>
      <c r="G14908" s="42"/>
      <c r="H14908" s="42"/>
      <c r="AG14908" s="19"/>
    </row>
    <row r="14909" spans="1:33" ht="14.5" x14ac:dyDescent="0.35">
      <c r="A14909" s="34"/>
      <c r="B14909" s="35"/>
      <c r="C14909" s="36"/>
      <c r="D14909" s="37"/>
      <c r="E14909" s="36"/>
      <c r="F14909" s="42"/>
      <c r="G14909" s="42"/>
      <c r="H14909" s="42"/>
      <c r="AG14909" s="19"/>
    </row>
    <row r="14910" spans="1:33" ht="14.5" x14ac:dyDescent="0.35">
      <c r="A14910" s="34"/>
      <c r="B14910" s="35"/>
      <c r="C14910" s="36"/>
      <c r="D14910" s="37"/>
      <c r="E14910" s="36"/>
      <c r="F14910" s="42"/>
      <c r="G14910" s="42"/>
      <c r="H14910" s="42"/>
      <c r="AG14910" s="19"/>
    </row>
    <row r="14911" spans="1:33" ht="14.5" x14ac:dyDescent="0.35">
      <c r="A14911" s="34"/>
      <c r="B14911" s="35"/>
      <c r="C14911" s="36"/>
      <c r="D14911" s="37"/>
      <c r="E14911" s="36"/>
      <c r="F14911" s="42"/>
      <c r="G14911" s="42"/>
      <c r="H14911" s="42"/>
      <c r="AG14911" s="19"/>
    </row>
    <row r="14912" spans="1:33" ht="14.5" x14ac:dyDescent="0.35">
      <c r="A14912" s="34"/>
      <c r="B14912" s="35"/>
      <c r="C14912" s="36"/>
      <c r="D14912" s="37"/>
      <c r="E14912" s="36"/>
      <c r="F14912" s="42"/>
      <c r="G14912" s="42"/>
      <c r="H14912" s="42"/>
      <c r="AG14912" s="19"/>
    </row>
    <row r="14913" spans="1:33" ht="14.5" x14ac:dyDescent="0.35">
      <c r="A14913" s="34"/>
      <c r="B14913" s="35"/>
      <c r="C14913" s="36"/>
      <c r="D14913" s="37"/>
      <c r="E14913" s="36"/>
      <c r="F14913" s="42"/>
      <c r="G14913" s="42"/>
      <c r="H14913" s="42"/>
      <c r="AG14913" s="19"/>
    </row>
    <row r="14914" spans="1:33" ht="14.5" x14ac:dyDescent="0.35">
      <c r="A14914" s="34"/>
      <c r="B14914" s="35"/>
      <c r="C14914" s="36"/>
      <c r="D14914" s="37"/>
      <c r="E14914" s="36"/>
      <c r="F14914" s="42"/>
      <c r="G14914" s="42"/>
      <c r="H14914" s="42"/>
      <c r="AG14914" s="19"/>
    </row>
    <row r="14915" spans="1:33" ht="14.5" x14ac:dyDescent="0.35">
      <c r="A14915" s="34"/>
      <c r="B14915" s="35"/>
      <c r="C14915" s="36"/>
      <c r="D14915" s="37"/>
      <c r="E14915" s="36"/>
      <c r="F14915" s="42"/>
      <c r="G14915" s="42"/>
      <c r="H14915" s="42"/>
      <c r="AG14915" s="19"/>
    </row>
    <row r="14916" spans="1:33" ht="14.5" x14ac:dyDescent="0.35">
      <c r="A14916" s="34"/>
      <c r="B14916" s="35"/>
      <c r="C14916" s="36"/>
      <c r="D14916" s="37"/>
      <c r="E14916" s="36"/>
      <c r="F14916" s="42"/>
      <c r="G14916" s="42"/>
      <c r="H14916" s="42"/>
      <c r="AG14916" s="19"/>
    </row>
    <row r="14917" spans="1:33" ht="14.5" x14ac:dyDescent="0.35">
      <c r="A14917" s="34"/>
      <c r="B14917" s="35"/>
      <c r="C14917" s="36"/>
      <c r="D14917" s="37"/>
      <c r="E14917" s="36"/>
      <c r="F14917" s="42"/>
      <c r="G14917" s="42"/>
      <c r="H14917" s="42"/>
      <c r="AG14917" s="19"/>
    </row>
    <row r="14918" spans="1:33" ht="14.5" x14ac:dyDescent="0.35">
      <c r="A14918" s="34"/>
      <c r="B14918" s="35"/>
      <c r="C14918" s="36"/>
      <c r="D14918" s="37"/>
      <c r="E14918" s="36"/>
      <c r="F14918" s="42"/>
      <c r="G14918" s="42"/>
      <c r="H14918" s="42"/>
      <c r="AG14918" s="19"/>
    </row>
    <row r="14919" spans="1:33" ht="14.5" x14ac:dyDescent="0.35">
      <c r="A14919" s="34"/>
      <c r="B14919" s="35"/>
      <c r="C14919" s="36"/>
      <c r="D14919" s="37"/>
      <c r="E14919" s="36"/>
      <c r="F14919" s="42"/>
      <c r="G14919" s="42"/>
      <c r="H14919" s="42"/>
      <c r="AG14919" s="19"/>
    </row>
    <row r="14920" spans="1:33" ht="14.5" x14ac:dyDescent="0.35">
      <c r="A14920" s="34"/>
      <c r="B14920" s="35"/>
      <c r="C14920" s="36"/>
      <c r="D14920" s="37"/>
      <c r="E14920" s="36"/>
      <c r="F14920" s="42"/>
      <c r="G14920" s="42"/>
      <c r="H14920" s="42"/>
      <c r="AG14920" s="19"/>
    </row>
    <row r="14921" spans="1:33" ht="14.5" x14ac:dyDescent="0.35">
      <c r="A14921" s="34"/>
      <c r="B14921" s="35"/>
      <c r="C14921" s="36"/>
      <c r="D14921" s="37"/>
      <c r="E14921" s="36"/>
      <c r="F14921" s="42"/>
      <c r="G14921" s="42"/>
      <c r="H14921" s="42"/>
      <c r="AG14921" s="19"/>
    </row>
    <row r="14922" spans="1:33" ht="14.5" x14ac:dyDescent="0.35">
      <c r="A14922" s="34"/>
      <c r="B14922" s="35"/>
      <c r="C14922" s="36"/>
      <c r="D14922" s="37"/>
      <c r="E14922" s="36"/>
      <c r="F14922" s="42"/>
      <c r="G14922" s="42"/>
      <c r="H14922" s="42"/>
      <c r="AG14922" s="19"/>
    </row>
    <row r="14923" spans="1:33" ht="14.5" x14ac:dyDescent="0.35">
      <c r="A14923" s="34"/>
      <c r="B14923" s="35"/>
      <c r="C14923" s="36"/>
      <c r="D14923" s="37"/>
      <c r="E14923" s="36"/>
      <c r="F14923" s="42"/>
      <c r="G14923" s="42"/>
      <c r="H14923" s="42"/>
      <c r="AG14923" s="19"/>
    </row>
    <row r="14924" spans="1:33" ht="14.5" x14ac:dyDescent="0.35">
      <c r="A14924" s="34"/>
      <c r="B14924" s="35"/>
      <c r="C14924" s="36"/>
      <c r="D14924" s="37"/>
      <c r="E14924" s="36"/>
      <c r="F14924" s="42"/>
      <c r="G14924" s="42"/>
      <c r="H14924" s="42"/>
      <c r="AG14924" s="19"/>
    </row>
    <row r="14925" spans="1:33" ht="14.5" x14ac:dyDescent="0.35">
      <c r="A14925" s="34"/>
      <c r="B14925" s="35"/>
      <c r="C14925" s="36"/>
      <c r="D14925" s="37"/>
      <c r="E14925" s="36"/>
      <c r="F14925" s="42"/>
      <c r="G14925" s="42"/>
      <c r="H14925" s="42"/>
      <c r="AG14925" s="19"/>
    </row>
    <row r="14926" spans="1:33" ht="14.5" x14ac:dyDescent="0.35">
      <c r="A14926" s="34"/>
      <c r="B14926" s="35"/>
      <c r="C14926" s="36"/>
      <c r="D14926" s="37"/>
      <c r="E14926" s="36"/>
      <c r="F14926" s="42"/>
      <c r="G14926" s="42"/>
      <c r="H14926" s="42"/>
      <c r="AG14926" s="19"/>
    </row>
    <row r="14927" spans="1:33" ht="14.5" x14ac:dyDescent="0.35">
      <c r="A14927" s="34"/>
      <c r="B14927" s="35"/>
      <c r="C14927" s="36"/>
      <c r="D14927" s="37"/>
      <c r="E14927" s="36"/>
      <c r="F14927" s="42"/>
      <c r="G14927" s="42"/>
      <c r="H14927" s="42"/>
      <c r="AG14927" s="19"/>
    </row>
    <row r="14928" spans="1:33" ht="14.5" x14ac:dyDescent="0.35">
      <c r="A14928" s="34"/>
      <c r="B14928" s="35"/>
      <c r="C14928" s="36"/>
      <c r="D14928" s="37"/>
      <c r="E14928" s="36"/>
      <c r="F14928" s="42"/>
      <c r="G14928" s="42"/>
      <c r="H14928" s="42"/>
      <c r="AG14928" s="19"/>
    </row>
    <row r="14929" spans="1:33" ht="14.5" x14ac:dyDescent="0.35">
      <c r="A14929" s="34"/>
      <c r="B14929" s="35"/>
      <c r="C14929" s="36"/>
      <c r="D14929" s="37"/>
      <c r="E14929" s="36"/>
      <c r="F14929" s="42"/>
      <c r="G14929" s="42"/>
      <c r="H14929" s="42"/>
      <c r="AG14929" s="19"/>
    </row>
    <row r="14930" spans="1:33" ht="14.5" x14ac:dyDescent="0.35">
      <c r="A14930" s="34"/>
      <c r="B14930" s="35"/>
      <c r="C14930" s="36"/>
      <c r="D14930" s="37"/>
      <c r="E14930" s="36"/>
      <c r="F14930" s="42"/>
      <c r="G14930" s="42"/>
      <c r="H14930" s="42"/>
      <c r="AG14930" s="19"/>
    </row>
    <row r="14931" spans="1:33" ht="14.5" x14ac:dyDescent="0.35">
      <c r="A14931" s="34"/>
      <c r="B14931" s="35"/>
      <c r="C14931" s="36"/>
      <c r="D14931" s="37"/>
      <c r="E14931" s="36"/>
      <c r="F14931" s="42"/>
      <c r="G14931" s="42"/>
      <c r="H14931" s="42"/>
      <c r="AG14931" s="19"/>
    </row>
    <row r="14932" spans="1:33" ht="14.5" x14ac:dyDescent="0.35">
      <c r="A14932" s="34"/>
      <c r="B14932" s="35"/>
      <c r="C14932" s="36"/>
      <c r="D14932" s="37"/>
      <c r="E14932" s="36"/>
      <c r="F14932" s="42"/>
      <c r="G14932" s="42"/>
      <c r="H14932" s="42"/>
      <c r="AG14932" s="19"/>
    </row>
    <row r="14933" spans="1:33" ht="14.5" x14ac:dyDescent="0.35">
      <c r="A14933" s="34"/>
      <c r="B14933" s="35"/>
      <c r="C14933" s="36"/>
      <c r="D14933" s="37"/>
      <c r="E14933" s="36"/>
      <c r="F14933" s="42"/>
      <c r="G14933" s="42"/>
      <c r="H14933" s="42"/>
      <c r="AG14933" s="19"/>
    </row>
    <row r="14934" spans="1:33" ht="14.5" x14ac:dyDescent="0.35">
      <c r="A14934" s="34"/>
      <c r="B14934" s="35"/>
      <c r="C14934" s="36"/>
      <c r="D14934" s="37"/>
      <c r="E14934" s="36"/>
      <c r="F14934" s="42"/>
      <c r="G14934" s="42"/>
      <c r="H14934" s="42"/>
      <c r="AG14934" s="19"/>
    </row>
    <row r="14935" spans="1:33" ht="14.5" x14ac:dyDescent="0.35">
      <c r="A14935" s="34"/>
      <c r="B14935" s="35"/>
      <c r="C14935" s="36"/>
      <c r="D14935" s="37"/>
      <c r="E14935" s="36"/>
      <c r="F14935" s="42"/>
      <c r="G14935" s="42"/>
      <c r="H14935" s="42"/>
      <c r="AG14935" s="19"/>
    </row>
    <row r="14936" spans="1:33" ht="14.5" x14ac:dyDescent="0.35">
      <c r="A14936" s="34"/>
      <c r="B14936" s="35"/>
      <c r="C14936" s="36"/>
      <c r="D14936" s="37"/>
      <c r="E14936" s="36"/>
      <c r="F14936" s="42"/>
      <c r="G14936" s="42"/>
      <c r="H14936" s="42"/>
      <c r="AG14936" s="19"/>
    </row>
    <row r="14937" spans="1:33" ht="14.5" x14ac:dyDescent="0.35">
      <c r="A14937" s="34"/>
      <c r="B14937" s="35"/>
      <c r="C14937" s="36"/>
      <c r="D14937" s="37"/>
      <c r="E14937" s="36"/>
      <c r="F14937" s="42"/>
      <c r="G14937" s="42"/>
      <c r="H14937" s="42"/>
      <c r="AG14937" s="19"/>
    </row>
    <row r="14938" spans="1:33" ht="14.5" x14ac:dyDescent="0.35">
      <c r="A14938" s="34"/>
      <c r="B14938" s="35"/>
      <c r="C14938" s="36"/>
      <c r="D14938" s="37"/>
      <c r="E14938" s="36"/>
      <c r="F14938" s="42"/>
      <c r="G14938" s="42"/>
      <c r="H14938" s="42"/>
      <c r="AG14938" s="19"/>
    </row>
    <row r="14939" spans="1:33" ht="14.5" x14ac:dyDescent="0.35">
      <c r="A14939" s="34"/>
      <c r="B14939" s="35"/>
      <c r="C14939" s="36"/>
      <c r="D14939" s="37"/>
      <c r="E14939" s="36"/>
      <c r="F14939" s="42"/>
      <c r="G14939" s="42"/>
      <c r="H14939" s="42"/>
      <c r="AG14939" s="19"/>
    </row>
    <row r="14940" spans="1:33" ht="14.5" x14ac:dyDescent="0.35">
      <c r="A14940" s="34"/>
      <c r="B14940" s="35"/>
      <c r="C14940" s="36"/>
      <c r="D14940" s="37"/>
      <c r="E14940" s="36"/>
      <c r="F14940" s="42"/>
      <c r="G14940" s="42"/>
      <c r="H14940" s="42"/>
      <c r="AG14940" s="19"/>
    </row>
    <row r="14941" spans="1:33" ht="14.5" x14ac:dyDescent="0.35">
      <c r="A14941" s="34"/>
      <c r="B14941" s="35"/>
      <c r="C14941" s="36"/>
      <c r="D14941" s="37"/>
      <c r="E14941" s="36"/>
      <c r="F14941" s="42"/>
      <c r="G14941" s="42"/>
      <c r="H14941" s="42"/>
      <c r="AG14941" s="19"/>
    </row>
    <row r="14942" spans="1:33" ht="14.5" x14ac:dyDescent="0.35">
      <c r="A14942" s="34"/>
      <c r="B14942" s="35"/>
      <c r="C14942" s="36"/>
      <c r="D14942" s="37"/>
      <c r="E14942" s="36"/>
      <c r="F14942" s="42"/>
      <c r="G14942" s="42"/>
      <c r="H14942" s="42"/>
      <c r="AG14942" s="19"/>
    </row>
    <row r="14943" spans="1:33" ht="14.5" x14ac:dyDescent="0.35">
      <c r="A14943" s="34"/>
      <c r="B14943" s="35"/>
      <c r="C14943" s="36"/>
      <c r="D14943" s="37"/>
      <c r="E14943" s="36"/>
      <c r="F14943" s="42"/>
      <c r="G14943" s="42"/>
      <c r="H14943" s="42"/>
      <c r="AG14943" s="19"/>
    </row>
    <row r="14944" spans="1:33" ht="14.5" x14ac:dyDescent="0.35">
      <c r="A14944" s="34"/>
      <c r="B14944" s="35"/>
      <c r="C14944" s="36"/>
      <c r="D14944" s="37"/>
      <c r="E14944" s="36"/>
      <c r="F14944" s="42"/>
      <c r="G14944" s="42"/>
      <c r="H14944" s="42"/>
      <c r="AG14944" s="19"/>
    </row>
    <row r="14945" spans="1:33" ht="14.5" x14ac:dyDescent="0.35">
      <c r="A14945" s="34"/>
      <c r="B14945" s="35"/>
      <c r="C14945" s="36"/>
      <c r="D14945" s="37"/>
      <c r="E14945" s="36"/>
      <c r="F14945" s="42"/>
      <c r="G14945" s="42"/>
      <c r="H14945" s="42"/>
      <c r="AG14945" s="19"/>
    </row>
    <row r="14946" spans="1:33" ht="14.5" x14ac:dyDescent="0.35">
      <c r="A14946" s="34"/>
      <c r="B14946" s="35"/>
      <c r="C14946" s="36"/>
      <c r="D14946" s="37"/>
      <c r="E14946" s="36"/>
      <c r="F14946" s="42"/>
      <c r="G14946" s="42"/>
      <c r="H14946" s="42"/>
      <c r="AG14946" s="19"/>
    </row>
    <row r="14947" spans="1:33" ht="14.5" x14ac:dyDescent="0.35">
      <c r="A14947" s="34"/>
      <c r="B14947" s="35"/>
      <c r="C14947" s="36"/>
      <c r="D14947" s="37"/>
      <c r="E14947" s="36"/>
      <c r="F14947" s="42"/>
      <c r="G14947" s="42"/>
      <c r="H14947" s="42"/>
      <c r="AG14947" s="19"/>
    </row>
    <row r="14948" spans="1:33" ht="14.5" x14ac:dyDescent="0.35">
      <c r="A14948" s="34"/>
      <c r="B14948" s="35"/>
      <c r="C14948" s="36"/>
      <c r="D14948" s="37"/>
      <c r="E14948" s="36"/>
      <c r="F14948" s="42"/>
      <c r="G14948" s="42"/>
      <c r="H14948" s="42"/>
      <c r="AG14948" s="19"/>
    </row>
    <row r="14949" spans="1:33" ht="14.5" x14ac:dyDescent="0.35">
      <c r="A14949" s="34"/>
      <c r="B14949" s="35"/>
      <c r="C14949" s="36"/>
      <c r="D14949" s="37"/>
      <c r="E14949" s="36"/>
      <c r="F14949" s="42"/>
      <c r="G14949" s="42"/>
      <c r="H14949" s="42"/>
      <c r="AG14949" s="19"/>
    </row>
    <row r="14950" spans="1:33" ht="14.5" x14ac:dyDescent="0.35">
      <c r="A14950" s="34"/>
      <c r="B14950" s="35"/>
      <c r="C14950" s="36"/>
      <c r="D14950" s="37"/>
      <c r="E14950" s="36"/>
      <c r="F14950" s="42"/>
      <c r="G14950" s="42"/>
      <c r="H14950" s="42"/>
      <c r="AG14950" s="19"/>
    </row>
    <row r="14951" spans="1:33" ht="14.5" x14ac:dyDescent="0.35">
      <c r="A14951" s="34"/>
      <c r="B14951" s="35"/>
      <c r="C14951" s="36"/>
      <c r="D14951" s="37"/>
      <c r="E14951" s="36"/>
      <c r="F14951" s="42"/>
      <c r="G14951" s="42"/>
      <c r="H14951" s="42"/>
      <c r="AG14951" s="19"/>
    </row>
    <row r="14952" spans="1:33" ht="14.5" x14ac:dyDescent="0.35">
      <c r="A14952" s="34"/>
      <c r="B14952" s="35"/>
      <c r="C14952" s="36"/>
      <c r="D14952" s="37"/>
      <c r="E14952" s="36"/>
      <c r="F14952" s="42"/>
      <c r="G14952" s="42"/>
      <c r="H14952" s="42"/>
      <c r="AG14952" s="19"/>
    </row>
    <row r="14953" spans="1:33" ht="14.5" x14ac:dyDescent="0.35">
      <c r="A14953" s="34"/>
      <c r="B14953" s="35"/>
      <c r="C14953" s="36"/>
      <c r="D14953" s="37"/>
      <c r="E14953" s="36"/>
      <c r="F14953" s="42"/>
      <c r="G14953" s="42"/>
      <c r="H14953" s="42"/>
      <c r="AG14953" s="19"/>
    </row>
    <row r="14954" spans="1:33" ht="14.5" x14ac:dyDescent="0.35">
      <c r="A14954" s="34"/>
      <c r="B14954" s="35"/>
      <c r="C14954" s="36"/>
      <c r="D14954" s="37"/>
      <c r="E14954" s="36"/>
      <c r="F14954" s="42"/>
      <c r="G14954" s="42"/>
      <c r="H14954" s="42"/>
      <c r="AG14954" s="19"/>
    </row>
    <row r="14955" spans="1:33" ht="14.5" x14ac:dyDescent="0.35">
      <c r="A14955" s="34"/>
      <c r="B14955" s="35"/>
      <c r="C14955" s="36"/>
      <c r="D14955" s="37"/>
      <c r="E14955" s="36"/>
      <c r="F14955" s="42"/>
      <c r="G14955" s="42"/>
      <c r="H14955" s="42"/>
      <c r="AG14955" s="19"/>
    </row>
    <row r="14956" spans="1:33" ht="14.5" x14ac:dyDescent="0.35">
      <c r="A14956" s="34"/>
      <c r="B14956" s="35"/>
      <c r="C14956" s="36"/>
      <c r="D14956" s="37"/>
      <c r="E14956" s="36"/>
      <c r="F14956" s="42"/>
      <c r="G14956" s="42"/>
      <c r="H14956" s="42"/>
      <c r="AG14956" s="19"/>
    </row>
    <row r="14957" spans="1:33" ht="14.5" x14ac:dyDescent="0.35">
      <c r="A14957" s="34"/>
      <c r="B14957" s="35"/>
      <c r="C14957" s="36"/>
      <c r="D14957" s="37"/>
      <c r="E14957" s="36"/>
      <c r="F14957" s="42"/>
      <c r="G14957" s="42"/>
      <c r="H14957" s="42"/>
      <c r="AG14957" s="19"/>
    </row>
    <row r="14958" spans="1:33" ht="14.5" x14ac:dyDescent="0.35">
      <c r="A14958" s="34"/>
      <c r="B14958" s="35"/>
      <c r="C14958" s="36"/>
      <c r="D14958" s="37"/>
      <c r="E14958" s="36"/>
      <c r="F14958" s="42"/>
      <c r="G14958" s="42"/>
      <c r="H14958" s="42"/>
      <c r="AG14958" s="19"/>
    </row>
    <row r="14959" spans="1:33" ht="14.5" x14ac:dyDescent="0.35">
      <c r="A14959" s="34"/>
      <c r="B14959" s="35"/>
      <c r="C14959" s="36"/>
      <c r="D14959" s="37"/>
      <c r="E14959" s="36"/>
      <c r="F14959" s="42"/>
      <c r="G14959" s="42"/>
      <c r="H14959" s="42"/>
      <c r="AG14959" s="19"/>
    </row>
    <row r="14960" spans="1:33" ht="14.5" x14ac:dyDescent="0.35">
      <c r="A14960" s="34"/>
      <c r="B14960" s="35"/>
      <c r="C14960" s="36"/>
      <c r="D14960" s="37"/>
      <c r="E14960" s="36"/>
      <c r="F14960" s="42"/>
      <c r="G14960" s="42"/>
      <c r="H14960" s="42"/>
      <c r="AG14960" s="19"/>
    </row>
    <row r="14961" spans="1:33" ht="14.5" x14ac:dyDescent="0.35">
      <c r="A14961" s="34"/>
      <c r="B14961" s="35"/>
      <c r="C14961" s="36"/>
      <c r="D14961" s="37"/>
      <c r="E14961" s="36"/>
      <c r="F14961" s="42"/>
      <c r="G14961" s="42"/>
      <c r="H14961" s="42"/>
      <c r="AG14961" s="19"/>
    </row>
    <row r="14962" spans="1:33" ht="14.5" x14ac:dyDescent="0.35">
      <c r="A14962" s="34"/>
      <c r="B14962" s="35"/>
      <c r="C14962" s="36"/>
      <c r="D14962" s="37"/>
      <c r="E14962" s="36"/>
      <c r="F14962" s="42"/>
      <c r="G14962" s="42"/>
      <c r="H14962" s="42"/>
      <c r="AG14962" s="19"/>
    </row>
    <row r="14963" spans="1:33" ht="14.5" x14ac:dyDescent="0.35">
      <c r="A14963" s="34"/>
      <c r="B14963" s="35"/>
      <c r="C14963" s="36"/>
      <c r="D14963" s="37"/>
      <c r="E14963" s="36"/>
      <c r="F14963" s="42"/>
      <c r="G14963" s="42"/>
      <c r="H14963" s="42"/>
      <c r="AG14963" s="19"/>
    </row>
    <row r="14964" spans="1:33" ht="14.5" x14ac:dyDescent="0.35">
      <c r="A14964" s="34"/>
      <c r="B14964" s="35"/>
      <c r="C14964" s="36"/>
      <c r="D14964" s="37"/>
      <c r="E14964" s="36"/>
      <c r="F14964" s="42"/>
      <c r="G14964" s="42"/>
      <c r="H14964" s="42"/>
      <c r="AG14964" s="19"/>
    </row>
    <row r="14965" spans="1:33" ht="14.5" x14ac:dyDescent="0.35">
      <c r="A14965" s="34"/>
      <c r="B14965" s="35"/>
      <c r="C14965" s="36"/>
      <c r="D14965" s="37"/>
      <c r="E14965" s="36"/>
      <c r="F14965" s="42"/>
      <c r="G14965" s="42"/>
      <c r="H14965" s="42"/>
      <c r="AG14965" s="19"/>
    </row>
    <row r="14966" spans="1:33" ht="14.5" x14ac:dyDescent="0.35">
      <c r="A14966" s="34"/>
      <c r="B14966" s="35"/>
      <c r="C14966" s="36"/>
      <c r="D14966" s="37"/>
      <c r="E14966" s="36"/>
      <c r="F14966" s="42"/>
      <c r="G14966" s="42"/>
      <c r="H14966" s="42"/>
      <c r="AG14966" s="19"/>
    </row>
    <row r="14967" spans="1:33" ht="14.5" x14ac:dyDescent="0.35">
      <c r="A14967" s="34"/>
      <c r="B14967" s="35"/>
      <c r="C14967" s="36"/>
      <c r="D14967" s="37"/>
      <c r="E14967" s="36"/>
      <c r="F14967" s="42"/>
      <c r="G14967" s="42"/>
      <c r="H14967" s="42"/>
      <c r="AG14967" s="19"/>
    </row>
    <row r="14968" spans="1:33" ht="14.5" x14ac:dyDescent="0.35">
      <c r="A14968" s="34"/>
      <c r="B14968" s="35"/>
      <c r="C14968" s="36"/>
      <c r="D14968" s="37"/>
      <c r="E14968" s="36"/>
      <c r="F14968" s="42"/>
      <c r="G14968" s="42"/>
      <c r="H14968" s="42"/>
      <c r="AG14968" s="19"/>
    </row>
    <row r="14969" spans="1:33" ht="14.5" x14ac:dyDescent="0.35">
      <c r="A14969" s="34"/>
      <c r="B14969" s="35"/>
      <c r="C14969" s="36"/>
      <c r="D14969" s="37"/>
      <c r="E14969" s="36"/>
      <c r="F14969" s="42"/>
      <c r="G14969" s="42"/>
      <c r="H14969" s="42"/>
      <c r="AG14969" s="19"/>
    </row>
    <row r="14970" spans="1:33" ht="14.5" x14ac:dyDescent="0.35">
      <c r="A14970" s="34"/>
      <c r="B14970" s="35"/>
      <c r="C14970" s="36"/>
      <c r="D14970" s="37"/>
      <c r="E14970" s="36"/>
      <c r="F14970" s="42"/>
      <c r="G14970" s="42"/>
      <c r="H14970" s="42"/>
      <c r="AG14970" s="19"/>
    </row>
    <row r="14971" spans="1:33" ht="14.5" x14ac:dyDescent="0.35">
      <c r="A14971" s="34"/>
      <c r="B14971" s="35"/>
      <c r="C14971" s="36"/>
      <c r="D14971" s="37"/>
      <c r="E14971" s="36"/>
      <c r="F14971" s="42"/>
      <c r="G14971" s="42"/>
      <c r="H14971" s="42"/>
      <c r="AG14971" s="19"/>
    </row>
    <row r="14972" spans="1:33" ht="14.5" x14ac:dyDescent="0.35">
      <c r="A14972" s="34"/>
      <c r="B14972" s="35"/>
      <c r="C14972" s="36"/>
      <c r="D14972" s="37"/>
      <c r="E14972" s="36"/>
      <c r="F14972" s="42"/>
      <c r="G14972" s="42"/>
      <c r="H14972" s="42"/>
      <c r="AG14972" s="19"/>
    </row>
    <row r="14973" spans="1:33" ht="14.5" x14ac:dyDescent="0.35">
      <c r="A14973" s="34"/>
      <c r="B14973" s="35"/>
      <c r="C14973" s="36"/>
      <c r="D14973" s="37"/>
      <c r="E14973" s="36"/>
      <c r="F14973" s="42"/>
      <c r="G14973" s="42"/>
      <c r="H14973" s="42"/>
      <c r="AG14973" s="19"/>
    </row>
    <row r="14974" spans="1:33" ht="14.5" x14ac:dyDescent="0.35">
      <c r="A14974" s="34"/>
      <c r="B14974" s="35"/>
      <c r="C14974" s="36"/>
      <c r="D14974" s="37"/>
      <c r="E14974" s="36"/>
      <c r="F14974" s="42"/>
      <c r="G14974" s="42"/>
      <c r="H14974" s="42"/>
      <c r="AG14974" s="19"/>
    </row>
    <row r="14975" spans="1:33" ht="14.5" x14ac:dyDescent="0.35">
      <c r="A14975" s="34"/>
      <c r="B14975" s="35"/>
      <c r="C14975" s="36"/>
      <c r="D14975" s="37"/>
      <c r="E14975" s="36"/>
      <c r="F14975" s="42"/>
      <c r="G14975" s="42"/>
      <c r="H14975" s="42"/>
      <c r="AG14975" s="19"/>
    </row>
    <row r="14976" spans="1:33" ht="14.5" x14ac:dyDescent="0.35">
      <c r="A14976" s="34"/>
      <c r="B14976" s="35"/>
      <c r="C14976" s="36"/>
      <c r="D14976" s="37"/>
      <c r="E14976" s="36"/>
      <c r="F14976" s="42"/>
      <c r="G14976" s="42"/>
      <c r="H14976" s="42"/>
      <c r="AG14976" s="19"/>
    </row>
    <row r="14977" spans="1:33" ht="14.5" x14ac:dyDescent="0.35">
      <c r="A14977" s="34"/>
      <c r="B14977" s="35"/>
      <c r="C14977" s="36"/>
      <c r="D14977" s="37"/>
      <c r="E14977" s="36"/>
      <c r="F14977" s="42"/>
      <c r="G14977" s="42"/>
      <c r="H14977" s="42"/>
      <c r="AG14977" s="19"/>
    </row>
    <row r="14978" spans="1:33" ht="14.5" x14ac:dyDescent="0.35">
      <c r="A14978" s="34"/>
      <c r="B14978" s="35"/>
      <c r="C14978" s="36"/>
      <c r="D14978" s="37"/>
      <c r="E14978" s="36"/>
      <c r="F14978" s="42"/>
      <c r="G14978" s="42"/>
      <c r="H14978" s="42"/>
      <c r="AG14978" s="19"/>
    </row>
    <row r="14979" spans="1:33" ht="14.5" x14ac:dyDescent="0.35">
      <c r="A14979" s="34"/>
      <c r="B14979" s="35"/>
      <c r="C14979" s="36"/>
      <c r="D14979" s="37"/>
      <c r="E14979" s="36"/>
      <c r="F14979" s="42"/>
      <c r="G14979" s="42"/>
      <c r="H14979" s="42"/>
      <c r="AG14979" s="19"/>
    </row>
    <row r="14980" spans="1:33" ht="14.5" x14ac:dyDescent="0.35">
      <c r="A14980" s="34"/>
      <c r="B14980" s="35"/>
      <c r="C14980" s="36"/>
      <c r="D14980" s="37"/>
      <c r="E14980" s="36"/>
      <c r="F14980" s="42"/>
      <c r="G14980" s="42"/>
      <c r="H14980" s="42"/>
      <c r="AG14980" s="19"/>
    </row>
    <row r="14981" spans="1:33" ht="14.5" x14ac:dyDescent="0.35">
      <c r="A14981" s="34"/>
      <c r="B14981" s="35"/>
      <c r="C14981" s="36"/>
      <c r="D14981" s="37"/>
      <c r="E14981" s="36"/>
      <c r="F14981" s="42"/>
      <c r="G14981" s="42"/>
      <c r="H14981" s="42"/>
      <c r="AG14981" s="19"/>
    </row>
    <row r="14982" spans="1:33" ht="14.5" x14ac:dyDescent="0.35">
      <c r="A14982" s="34"/>
      <c r="B14982" s="35"/>
      <c r="C14982" s="36"/>
      <c r="D14982" s="37"/>
      <c r="E14982" s="36"/>
      <c r="F14982" s="42"/>
      <c r="G14982" s="42"/>
      <c r="H14982" s="42"/>
      <c r="AG14982" s="19"/>
    </row>
    <row r="14983" spans="1:33" ht="14.5" x14ac:dyDescent="0.35">
      <c r="A14983" s="34"/>
      <c r="B14983" s="35"/>
      <c r="C14983" s="36"/>
      <c r="D14983" s="37"/>
      <c r="E14983" s="36"/>
      <c r="F14983" s="42"/>
      <c r="G14983" s="42"/>
      <c r="H14983" s="42"/>
      <c r="AG14983" s="19"/>
    </row>
    <row r="14984" spans="1:33" ht="14.5" x14ac:dyDescent="0.35">
      <c r="A14984" s="34"/>
      <c r="B14984" s="35"/>
      <c r="C14984" s="36"/>
      <c r="D14984" s="37"/>
      <c r="E14984" s="36"/>
      <c r="F14984" s="42"/>
      <c r="G14984" s="42"/>
      <c r="H14984" s="42"/>
      <c r="AG14984" s="19"/>
    </row>
    <row r="14985" spans="1:33" ht="14.5" x14ac:dyDescent="0.35">
      <c r="A14985" s="34"/>
      <c r="B14985" s="35"/>
      <c r="C14985" s="36"/>
      <c r="D14985" s="37"/>
      <c r="E14985" s="36"/>
      <c r="F14985" s="42"/>
      <c r="G14985" s="42"/>
      <c r="H14985" s="42"/>
      <c r="AG14985" s="19"/>
    </row>
    <row r="14986" spans="1:33" ht="14.5" x14ac:dyDescent="0.35">
      <c r="A14986" s="34"/>
      <c r="B14986" s="35"/>
      <c r="C14986" s="36"/>
      <c r="D14986" s="37"/>
      <c r="E14986" s="36"/>
      <c r="F14986" s="42"/>
      <c r="G14986" s="42"/>
      <c r="H14986" s="42"/>
      <c r="AG14986" s="19"/>
    </row>
    <row r="14987" spans="1:33" ht="14.5" x14ac:dyDescent="0.35">
      <c r="A14987" s="34"/>
      <c r="B14987" s="35"/>
      <c r="C14987" s="36"/>
      <c r="D14987" s="37"/>
      <c r="E14987" s="36"/>
      <c r="F14987" s="42"/>
      <c r="G14987" s="42"/>
      <c r="H14987" s="42"/>
      <c r="AG14987" s="19"/>
    </row>
    <row r="14988" spans="1:33" ht="14.5" x14ac:dyDescent="0.35">
      <c r="A14988" s="34"/>
      <c r="B14988" s="35"/>
      <c r="C14988" s="36"/>
      <c r="D14988" s="37"/>
      <c r="E14988" s="36"/>
      <c r="F14988" s="42"/>
      <c r="G14988" s="42"/>
      <c r="H14988" s="42"/>
      <c r="AG14988" s="19"/>
    </row>
    <row r="14989" spans="1:33" ht="14.5" x14ac:dyDescent="0.35">
      <c r="A14989" s="34"/>
      <c r="B14989" s="35"/>
      <c r="C14989" s="36"/>
      <c r="D14989" s="37"/>
      <c r="E14989" s="36"/>
      <c r="F14989" s="42"/>
      <c r="G14989" s="42"/>
      <c r="H14989" s="42"/>
      <c r="AG14989" s="19"/>
    </row>
    <row r="14990" spans="1:33" ht="14.5" x14ac:dyDescent="0.35">
      <c r="A14990" s="34"/>
      <c r="B14990" s="35"/>
      <c r="C14990" s="36"/>
      <c r="D14990" s="37"/>
      <c r="E14990" s="36"/>
      <c r="F14990" s="42"/>
      <c r="G14990" s="42"/>
      <c r="H14990" s="42"/>
      <c r="AG14990" s="19"/>
    </row>
    <row r="14991" spans="1:33" ht="14.5" x14ac:dyDescent="0.35">
      <c r="A14991" s="34"/>
      <c r="B14991" s="35"/>
      <c r="C14991" s="36"/>
      <c r="D14991" s="37"/>
      <c r="E14991" s="36"/>
      <c r="F14991" s="42"/>
      <c r="G14991" s="42"/>
      <c r="H14991" s="42"/>
      <c r="AG14991" s="19"/>
    </row>
    <row r="14992" spans="1:33" ht="14.5" x14ac:dyDescent="0.35">
      <c r="A14992" s="34"/>
      <c r="B14992" s="35"/>
      <c r="C14992" s="36"/>
      <c r="D14992" s="37"/>
      <c r="E14992" s="36"/>
      <c r="F14992" s="42"/>
      <c r="G14992" s="42"/>
      <c r="H14992" s="42"/>
      <c r="AG14992" s="19"/>
    </row>
    <row r="14993" spans="1:33" ht="14.5" x14ac:dyDescent="0.35">
      <c r="A14993" s="34"/>
      <c r="B14993" s="35"/>
      <c r="C14993" s="36"/>
      <c r="D14993" s="37"/>
      <c r="E14993" s="36"/>
      <c r="F14993" s="42"/>
      <c r="G14993" s="42"/>
      <c r="H14993" s="42"/>
      <c r="AG14993" s="19"/>
    </row>
    <row r="14994" spans="1:33" ht="14.5" x14ac:dyDescent="0.35">
      <c r="A14994" s="34"/>
      <c r="B14994" s="35"/>
      <c r="C14994" s="36"/>
      <c r="D14994" s="37"/>
      <c r="E14994" s="36"/>
      <c r="F14994" s="42"/>
      <c r="G14994" s="42"/>
      <c r="H14994" s="42"/>
      <c r="AG14994" s="19"/>
    </row>
    <row r="14995" spans="1:33" ht="14.5" x14ac:dyDescent="0.35">
      <c r="A14995" s="34"/>
      <c r="B14995" s="35"/>
      <c r="C14995" s="36"/>
      <c r="D14995" s="37"/>
      <c r="E14995" s="36"/>
      <c r="F14995" s="42"/>
      <c r="G14995" s="42"/>
      <c r="H14995" s="42"/>
      <c r="AG14995" s="19"/>
    </row>
    <row r="14996" spans="1:33" ht="14.5" x14ac:dyDescent="0.35">
      <c r="A14996" s="34"/>
      <c r="B14996" s="35"/>
      <c r="C14996" s="36"/>
      <c r="D14996" s="37"/>
      <c r="E14996" s="36"/>
      <c r="F14996" s="42"/>
      <c r="G14996" s="42"/>
      <c r="H14996" s="42"/>
      <c r="AG14996" s="19"/>
    </row>
    <row r="14997" spans="1:33" ht="14.5" x14ac:dyDescent="0.35">
      <c r="A14997" s="34"/>
      <c r="B14997" s="35"/>
      <c r="C14997" s="36"/>
      <c r="D14997" s="37"/>
      <c r="E14997" s="36"/>
      <c r="F14997" s="42"/>
      <c r="G14997" s="42"/>
      <c r="H14997" s="42"/>
      <c r="AG14997" s="19"/>
    </row>
    <row r="14998" spans="1:33" ht="14.5" x14ac:dyDescent="0.35">
      <c r="A14998" s="34"/>
      <c r="B14998" s="35"/>
      <c r="C14998" s="36"/>
      <c r="D14998" s="37"/>
      <c r="E14998" s="36"/>
      <c r="F14998" s="42"/>
      <c r="G14998" s="42"/>
      <c r="H14998" s="42"/>
      <c r="AG14998" s="19"/>
    </row>
    <row r="14999" spans="1:33" ht="14.5" x14ac:dyDescent="0.35">
      <c r="A14999" s="34"/>
      <c r="B14999" s="35"/>
      <c r="C14999" s="36"/>
      <c r="D14999" s="37"/>
      <c r="E14999" s="36"/>
      <c r="F14999" s="42"/>
      <c r="G14999" s="42"/>
      <c r="H14999" s="42"/>
      <c r="AG14999" s="19"/>
    </row>
    <row r="15000" spans="1:33" ht="14.5" x14ac:dyDescent="0.35">
      <c r="A15000" s="34"/>
      <c r="B15000" s="35"/>
      <c r="C15000" s="36"/>
      <c r="D15000" s="37"/>
      <c r="E15000" s="36"/>
      <c r="F15000" s="42"/>
      <c r="G15000" s="42"/>
      <c r="H15000" s="42"/>
      <c r="AG15000" s="19"/>
    </row>
    <row r="15001" spans="1:33" ht="14.5" x14ac:dyDescent="0.35">
      <c r="A15001" s="34"/>
      <c r="B15001" s="35"/>
      <c r="C15001" s="36"/>
      <c r="D15001" s="37"/>
      <c r="E15001" s="36"/>
      <c r="F15001" s="42"/>
      <c r="G15001" s="42"/>
      <c r="H15001" s="42"/>
      <c r="AG15001" s="19"/>
    </row>
    <row r="15002" spans="1:33" ht="14.5" x14ac:dyDescent="0.35">
      <c r="A15002" s="34"/>
      <c r="B15002" s="35"/>
      <c r="C15002" s="36"/>
      <c r="D15002" s="37"/>
      <c r="E15002" s="36"/>
      <c r="F15002" s="42"/>
      <c r="G15002" s="42"/>
      <c r="H15002" s="42"/>
      <c r="AG15002" s="19"/>
    </row>
    <row r="15003" spans="1:33" ht="14.5" x14ac:dyDescent="0.35">
      <c r="A15003" s="34"/>
      <c r="B15003" s="35"/>
      <c r="C15003" s="36"/>
      <c r="D15003" s="37"/>
      <c r="E15003" s="36"/>
      <c r="F15003" s="42"/>
      <c r="G15003" s="42"/>
      <c r="H15003" s="42"/>
      <c r="AG15003" s="19"/>
    </row>
    <row r="15004" spans="1:33" ht="14.5" x14ac:dyDescent="0.35">
      <c r="A15004" s="34"/>
      <c r="B15004" s="35"/>
      <c r="C15004" s="36"/>
      <c r="D15004" s="37"/>
      <c r="E15004" s="36"/>
      <c r="F15004" s="42"/>
      <c r="G15004" s="42"/>
      <c r="H15004" s="42"/>
      <c r="AG15004" s="19"/>
    </row>
    <row r="15005" spans="1:33" ht="14.5" x14ac:dyDescent="0.35">
      <c r="A15005" s="34"/>
      <c r="B15005" s="35"/>
      <c r="C15005" s="36"/>
      <c r="D15005" s="37"/>
      <c r="E15005" s="36"/>
      <c r="F15005" s="42"/>
      <c r="G15005" s="42"/>
      <c r="H15005" s="42"/>
      <c r="AG15005" s="19"/>
    </row>
    <row r="15006" spans="1:33" ht="14.5" x14ac:dyDescent="0.35">
      <c r="A15006" s="34"/>
      <c r="B15006" s="35"/>
      <c r="C15006" s="36"/>
      <c r="D15006" s="37"/>
      <c r="E15006" s="36"/>
      <c r="F15006" s="42"/>
      <c r="G15006" s="42"/>
      <c r="H15006" s="42"/>
      <c r="AG15006" s="19"/>
    </row>
    <row r="15007" spans="1:33" ht="14.5" x14ac:dyDescent="0.35">
      <c r="A15007" s="34"/>
      <c r="B15007" s="35"/>
      <c r="C15007" s="36"/>
      <c r="D15007" s="37"/>
      <c r="E15007" s="36"/>
      <c r="F15007" s="42"/>
      <c r="G15007" s="42"/>
      <c r="H15007" s="42"/>
      <c r="AG15007" s="19"/>
    </row>
    <row r="15008" spans="1:33" ht="14.5" x14ac:dyDescent="0.35">
      <c r="A15008" s="34"/>
      <c r="B15008" s="35"/>
      <c r="C15008" s="36"/>
      <c r="D15008" s="37"/>
      <c r="E15008" s="36"/>
      <c r="F15008" s="42"/>
      <c r="G15008" s="42"/>
      <c r="H15008" s="42"/>
      <c r="AG15008" s="19"/>
    </row>
    <row r="15009" spans="1:33" ht="14.5" x14ac:dyDescent="0.35">
      <c r="A15009" s="34"/>
      <c r="B15009" s="35"/>
      <c r="C15009" s="36"/>
      <c r="D15009" s="37"/>
      <c r="E15009" s="36"/>
      <c r="F15009" s="42"/>
      <c r="G15009" s="42"/>
      <c r="H15009" s="42"/>
      <c r="AG15009" s="19"/>
    </row>
    <row r="15010" spans="1:33" ht="14.5" x14ac:dyDescent="0.35">
      <c r="A15010" s="34"/>
      <c r="B15010" s="35"/>
      <c r="C15010" s="36"/>
      <c r="D15010" s="37"/>
      <c r="E15010" s="36"/>
      <c r="F15010" s="42"/>
      <c r="G15010" s="42"/>
      <c r="H15010" s="42"/>
      <c r="AG15010" s="19"/>
    </row>
    <row r="15011" spans="1:33" ht="14.5" x14ac:dyDescent="0.35">
      <c r="A15011" s="34"/>
      <c r="B15011" s="35"/>
      <c r="C15011" s="36"/>
      <c r="D15011" s="37"/>
      <c r="E15011" s="36"/>
      <c r="F15011" s="42"/>
      <c r="G15011" s="42"/>
      <c r="H15011" s="42"/>
      <c r="AG15011" s="19"/>
    </row>
    <row r="15012" spans="1:33" ht="14.5" x14ac:dyDescent="0.35">
      <c r="A15012" s="34"/>
      <c r="B15012" s="35"/>
      <c r="C15012" s="36"/>
      <c r="D15012" s="37"/>
      <c r="E15012" s="36"/>
      <c r="F15012" s="42"/>
      <c r="G15012" s="42"/>
      <c r="H15012" s="42"/>
      <c r="AG15012" s="19"/>
    </row>
    <row r="15013" spans="1:33" ht="14.5" x14ac:dyDescent="0.35">
      <c r="A15013" s="34"/>
      <c r="B15013" s="35"/>
      <c r="C15013" s="36"/>
      <c r="D15013" s="37"/>
      <c r="E15013" s="36"/>
      <c r="F15013" s="42"/>
      <c r="G15013" s="42"/>
      <c r="H15013" s="42"/>
      <c r="AG15013" s="19"/>
    </row>
    <row r="15014" spans="1:33" ht="14.5" x14ac:dyDescent="0.35">
      <c r="A15014" s="34"/>
      <c r="B15014" s="35"/>
      <c r="C15014" s="36"/>
      <c r="D15014" s="37"/>
      <c r="E15014" s="36"/>
      <c r="F15014" s="42"/>
      <c r="G15014" s="42"/>
      <c r="H15014" s="42"/>
      <c r="AG15014" s="19"/>
    </row>
    <row r="15015" spans="1:33" ht="14.5" x14ac:dyDescent="0.35">
      <c r="A15015" s="34"/>
      <c r="B15015" s="35"/>
      <c r="C15015" s="36"/>
      <c r="D15015" s="37"/>
      <c r="E15015" s="36"/>
      <c r="F15015" s="42"/>
      <c r="G15015" s="42"/>
      <c r="H15015" s="42"/>
      <c r="AG15015" s="19"/>
    </row>
    <row r="15016" spans="1:33" ht="14.5" x14ac:dyDescent="0.35">
      <c r="A15016" s="34"/>
      <c r="B15016" s="35"/>
      <c r="C15016" s="36"/>
      <c r="D15016" s="37"/>
      <c r="E15016" s="36"/>
      <c r="F15016" s="42"/>
      <c r="G15016" s="42"/>
      <c r="H15016" s="42"/>
      <c r="AG15016" s="19"/>
    </row>
    <row r="15017" spans="1:33" ht="14.5" x14ac:dyDescent="0.35">
      <c r="A15017" s="34"/>
      <c r="B15017" s="35"/>
      <c r="C15017" s="36"/>
      <c r="D15017" s="37"/>
      <c r="E15017" s="36"/>
      <c r="F15017" s="42"/>
      <c r="G15017" s="42"/>
      <c r="H15017" s="42"/>
      <c r="AG15017" s="19"/>
    </row>
    <row r="15018" spans="1:33" ht="14.5" x14ac:dyDescent="0.35">
      <c r="A15018" s="34"/>
      <c r="B15018" s="35"/>
      <c r="C15018" s="36"/>
      <c r="D15018" s="37"/>
      <c r="E15018" s="36"/>
      <c r="F15018" s="42"/>
      <c r="G15018" s="42"/>
      <c r="H15018" s="42"/>
      <c r="AG15018" s="19"/>
    </row>
    <row r="15019" spans="1:33" ht="14.5" x14ac:dyDescent="0.35">
      <c r="A15019" s="34"/>
      <c r="B15019" s="35"/>
      <c r="C15019" s="36"/>
      <c r="D15019" s="37"/>
      <c r="E15019" s="36"/>
      <c r="F15019" s="42"/>
      <c r="G15019" s="42"/>
      <c r="H15019" s="42"/>
      <c r="AG15019" s="19"/>
    </row>
    <row r="15020" spans="1:33" ht="14.5" x14ac:dyDescent="0.35">
      <c r="A15020" s="34"/>
      <c r="B15020" s="35"/>
      <c r="C15020" s="36"/>
      <c r="D15020" s="37"/>
      <c r="E15020" s="36"/>
      <c r="F15020" s="42"/>
      <c r="G15020" s="42"/>
      <c r="H15020" s="42"/>
      <c r="AG15020" s="19"/>
    </row>
    <row r="15021" spans="1:33" ht="14.5" x14ac:dyDescent="0.35">
      <c r="A15021" s="34"/>
      <c r="B15021" s="35"/>
      <c r="C15021" s="36"/>
      <c r="D15021" s="37"/>
      <c r="E15021" s="36"/>
      <c r="F15021" s="42"/>
      <c r="G15021" s="42"/>
      <c r="H15021" s="42"/>
      <c r="AG15021" s="19"/>
    </row>
    <row r="15022" spans="1:33" ht="14.5" x14ac:dyDescent="0.35">
      <c r="A15022" s="34"/>
      <c r="B15022" s="35"/>
      <c r="C15022" s="36"/>
      <c r="D15022" s="37"/>
      <c r="E15022" s="36"/>
      <c r="F15022" s="42"/>
      <c r="G15022" s="42"/>
      <c r="H15022" s="42"/>
      <c r="AG15022" s="19"/>
    </row>
    <row r="15023" spans="1:33" ht="14.5" x14ac:dyDescent="0.35">
      <c r="A15023" s="34"/>
      <c r="B15023" s="35"/>
      <c r="C15023" s="36"/>
      <c r="D15023" s="37"/>
      <c r="E15023" s="36"/>
      <c r="F15023" s="42"/>
      <c r="G15023" s="42"/>
      <c r="H15023" s="42"/>
      <c r="AG15023" s="19"/>
    </row>
    <row r="15024" spans="1:33" ht="14.5" x14ac:dyDescent="0.35">
      <c r="A15024" s="34"/>
      <c r="B15024" s="35"/>
      <c r="C15024" s="36"/>
      <c r="D15024" s="37"/>
      <c r="E15024" s="36"/>
      <c r="F15024" s="42"/>
      <c r="G15024" s="42"/>
      <c r="H15024" s="42"/>
      <c r="AG15024" s="19"/>
    </row>
    <row r="15025" spans="1:33" ht="14.5" x14ac:dyDescent="0.35">
      <c r="A15025" s="34"/>
      <c r="B15025" s="35"/>
      <c r="C15025" s="36"/>
      <c r="D15025" s="37"/>
      <c r="E15025" s="36"/>
      <c r="F15025" s="42"/>
      <c r="G15025" s="42"/>
      <c r="H15025" s="42"/>
      <c r="AG15025" s="19"/>
    </row>
    <row r="15026" spans="1:33" ht="14.5" x14ac:dyDescent="0.35">
      <c r="A15026" s="34"/>
      <c r="B15026" s="35"/>
      <c r="C15026" s="36"/>
      <c r="D15026" s="37"/>
      <c r="E15026" s="36"/>
      <c r="F15026" s="42"/>
      <c r="G15026" s="42"/>
      <c r="H15026" s="42"/>
      <c r="AG15026" s="19"/>
    </row>
    <row r="15027" spans="1:33" ht="14.5" x14ac:dyDescent="0.35">
      <c r="A15027" s="34"/>
      <c r="B15027" s="35"/>
      <c r="C15027" s="36"/>
      <c r="D15027" s="37"/>
      <c r="E15027" s="36"/>
      <c r="F15027" s="42"/>
      <c r="G15027" s="42"/>
      <c r="H15027" s="42"/>
      <c r="AG15027" s="19"/>
    </row>
    <row r="15028" spans="1:33" ht="14.5" x14ac:dyDescent="0.35">
      <c r="A15028" s="34"/>
      <c r="B15028" s="35"/>
      <c r="C15028" s="36"/>
      <c r="D15028" s="37"/>
      <c r="E15028" s="36"/>
      <c r="F15028" s="42"/>
      <c r="G15028" s="42"/>
      <c r="H15028" s="42"/>
      <c r="AG15028" s="19"/>
    </row>
    <row r="15029" spans="1:33" ht="14.5" x14ac:dyDescent="0.35">
      <c r="A15029" s="34"/>
      <c r="B15029" s="35"/>
      <c r="C15029" s="36"/>
      <c r="D15029" s="37"/>
      <c r="E15029" s="36"/>
      <c r="F15029" s="42"/>
      <c r="G15029" s="42"/>
      <c r="H15029" s="42"/>
      <c r="AG15029" s="19"/>
    </row>
    <row r="15030" spans="1:33" ht="14.5" x14ac:dyDescent="0.35">
      <c r="A15030" s="34"/>
      <c r="B15030" s="35"/>
      <c r="C15030" s="36"/>
      <c r="D15030" s="37"/>
      <c r="E15030" s="36"/>
      <c r="F15030" s="42"/>
      <c r="G15030" s="42"/>
      <c r="H15030" s="42"/>
      <c r="AG15030" s="19"/>
    </row>
    <row r="15031" spans="1:33" ht="14.5" x14ac:dyDescent="0.35">
      <c r="A15031" s="34"/>
      <c r="B15031" s="35"/>
      <c r="C15031" s="36"/>
      <c r="D15031" s="37"/>
      <c r="E15031" s="36"/>
      <c r="F15031" s="42"/>
      <c r="G15031" s="42"/>
      <c r="H15031" s="42"/>
      <c r="AG15031" s="19"/>
    </row>
    <row r="15032" spans="1:33" ht="14.5" x14ac:dyDescent="0.35">
      <c r="A15032" s="34"/>
      <c r="B15032" s="35"/>
      <c r="C15032" s="36"/>
      <c r="D15032" s="37"/>
      <c r="E15032" s="36"/>
      <c r="F15032" s="42"/>
      <c r="G15032" s="42"/>
      <c r="H15032" s="42"/>
      <c r="AG15032" s="19"/>
    </row>
    <row r="15033" spans="1:33" ht="14.5" x14ac:dyDescent="0.35">
      <c r="A15033" s="34"/>
      <c r="B15033" s="35"/>
      <c r="C15033" s="36"/>
      <c r="D15033" s="37"/>
      <c r="E15033" s="36"/>
      <c r="F15033" s="42"/>
      <c r="G15033" s="42"/>
      <c r="H15033" s="42"/>
      <c r="AG15033" s="19"/>
    </row>
    <row r="15034" spans="1:33" ht="14.5" x14ac:dyDescent="0.35">
      <c r="A15034" s="34"/>
      <c r="B15034" s="35"/>
      <c r="C15034" s="36"/>
      <c r="D15034" s="37"/>
      <c r="E15034" s="36"/>
      <c r="F15034" s="42"/>
      <c r="G15034" s="42"/>
      <c r="H15034" s="42"/>
      <c r="AG15034" s="19"/>
    </row>
    <row r="15035" spans="1:33" ht="14.5" x14ac:dyDescent="0.35">
      <c r="A15035" s="34"/>
      <c r="B15035" s="35"/>
      <c r="C15035" s="36"/>
      <c r="D15035" s="37"/>
      <c r="E15035" s="36"/>
      <c r="F15035" s="42"/>
      <c r="G15035" s="42"/>
      <c r="H15035" s="42"/>
      <c r="AG15035" s="19"/>
    </row>
    <row r="15036" spans="1:33" ht="14.5" x14ac:dyDescent="0.35">
      <c r="A15036" s="34"/>
      <c r="B15036" s="35"/>
      <c r="C15036" s="36"/>
      <c r="D15036" s="37"/>
      <c r="E15036" s="36"/>
      <c r="F15036" s="42"/>
      <c r="G15036" s="42"/>
      <c r="H15036" s="42"/>
      <c r="AG15036" s="19"/>
    </row>
    <row r="15037" spans="1:33" ht="14.5" x14ac:dyDescent="0.35">
      <c r="A15037" s="34"/>
      <c r="B15037" s="35"/>
      <c r="C15037" s="36"/>
      <c r="D15037" s="37"/>
      <c r="E15037" s="36"/>
      <c r="F15037" s="42"/>
      <c r="G15037" s="42"/>
      <c r="H15037" s="42"/>
      <c r="AG15037" s="19"/>
    </row>
    <row r="15038" spans="1:33" ht="14.5" x14ac:dyDescent="0.35">
      <c r="A15038" s="34"/>
      <c r="B15038" s="35"/>
      <c r="C15038" s="36"/>
      <c r="D15038" s="37"/>
      <c r="E15038" s="36"/>
      <c r="F15038" s="42"/>
      <c r="G15038" s="42"/>
      <c r="H15038" s="42"/>
      <c r="AG15038" s="19"/>
    </row>
    <row r="15039" spans="1:33" ht="14.5" x14ac:dyDescent="0.35">
      <c r="A15039" s="34"/>
      <c r="B15039" s="35"/>
      <c r="C15039" s="36"/>
      <c r="D15039" s="37"/>
      <c r="E15039" s="36"/>
      <c r="F15039" s="42"/>
      <c r="G15039" s="42"/>
      <c r="H15039" s="42"/>
      <c r="AG15039" s="19"/>
    </row>
    <row r="15040" spans="1:33" ht="14.5" x14ac:dyDescent="0.35">
      <c r="A15040" s="34"/>
      <c r="B15040" s="35"/>
      <c r="C15040" s="36"/>
      <c r="D15040" s="37"/>
      <c r="E15040" s="36"/>
      <c r="F15040" s="42"/>
      <c r="G15040" s="42"/>
      <c r="H15040" s="42"/>
      <c r="AG15040" s="19"/>
    </row>
    <row r="15041" spans="1:33" ht="14.5" x14ac:dyDescent="0.35">
      <c r="A15041" s="34"/>
      <c r="B15041" s="35"/>
      <c r="C15041" s="36"/>
      <c r="D15041" s="37"/>
      <c r="E15041" s="36"/>
      <c r="F15041" s="42"/>
      <c r="G15041" s="42"/>
      <c r="H15041" s="42"/>
      <c r="AG15041" s="19"/>
    </row>
    <row r="15042" spans="1:33" ht="14.5" x14ac:dyDescent="0.35">
      <c r="A15042" s="34"/>
      <c r="B15042" s="35"/>
      <c r="C15042" s="36"/>
      <c r="D15042" s="37"/>
      <c r="E15042" s="36"/>
      <c r="F15042" s="42"/>
      <c r="G15042" s="42"/>
      <c r="H15042" s="42"/>
      <c r="AG15042" s="19"/>
    </row>
    <row r="15043" spans="1:33" ht="14.5" x14ac:dyDescent="0.35">
      <c r="A15043" s="34"/>
      <c r="B15043" s="35"/>
      <c r="C15043" s="36"/>
      <c r="D15043" s="37"/>
      <c r="E15043" s="36"/>
      <c r="F15043" s="42"/>
      <c r="G15043" s="42"/>
      <c r="H15043" s="42"/>
      <c r="AG15043" s="19"/>
    </row>
    <row r="15044" spans="1:33" ht="14.5" x14ac:dyDescent="0.35">
      <c r="A15044" s="34"/>
      <c r="B15044" s="35"/>
      <c r="C15044" s="36"/>
      <c r="D15044" s="37"/>
      <c r="E15044" s="36"/>
      <c r="F15044" s="42"/>
      <c r="G15044" s="42"/>
      <c r="H15044" s="42"/>
      <c r="AG15044" s="19"/>
    </row>
    <row r="15045" spans="1:33" ht="14.5" x14ac:dyDescent="0.35">
      <c r="A15045" s="34"/>
      <c r="B15045" s="35"/>
      <c r="C15045" s="36"/>
      <c r="D15045" s="37"/>
      <c r="E15045" s="36"/>
      <c r="F15045" s="42"/>
      <c r="G15045" s="42"/>
      <c r="H15045" s="42"/>
      <c r="AG15045" s="19"/>
    </row>
    <row r="15046" spans="1:33" ht="14.5" x14ac:dyDescent="0.35">
      <c r="A15046" s="34"/>
      <c r="B15046" s="35"/>
      <c r="C15046" s="36"/>
      <c r="D15046" s="37"/>
      <c r="E15046" s="36"/>
      <c r="F15046" s="42"/>
      <c r="G15046" s="42"/>
      <c r="H15046" s="42"/>
      <c r="AG15046" s="19"/>
    </row>
    <row r="15047" spans="1:33" ht="14.5" x14ac:dyDescent="0.35">
      <c r="A15047" s="34"/>
      <c r="B15047" s="35"/>
      <c r="C15047" s="36"/>
      <c r="D15047" s="37"/>
      <c r="E15047" s="36"/>
      <c r="F15047" s="42"/>
      <c r="G15047" s="42"/>
      <c r="H15047" s="42"/>
      <c r="AG15047" s="19"/>
    </row>
    <row r="15048" spans="1:33" ht="14.5" x14ac:dyDescent="0.35">
      <c r="A15048" s="34"/>
      <c r="B15048" s="35"/>
      <c r="C15048" s="36"/>
      <c r="D15048" s="37"/>
      <c r="E15048" s="36"/>
      <c r="F15048" s="42"/>
      <c r="G15048" s="42"/>
      <c r="H15048" s="42"/>
      <c r="AG15048" s="19"/>
    </row>
    <row r="15049" spans="1:33" ht="14.5" x14ac:dyDescent="0.35">
      <c r="A15049" s="34"/>
      <c r="B15049" s="35"/>
      <c r="C15049" s="36"/>
      <c r="D15049" s="37"/>
      <c r="E15049" s="36"/>
      <c r="F15049" s="42"/>
      <c r="G15049" s="42"/>
      <c r="H15049" s="42"/>
      <c r="AG15049" s="19"/>
    </row>
    <row r="15050" spans="1:33" ht="14.5" x14ac:dyDescent="0.35">
      <c r="A15050" s="34"/>
      <c r="B15050" s="35"/>
      <c r="C15050" s="36"/>
      <c r="D15050" s="37"/>
      <c r="E15050" s="36"/>
      <c r="F15050" s="42"/>
      <c r="G15050" s="42"/>
      <c r="H15050" s="42"/>
      <c r="AG15050" s="19"/>
    </row>
    <row r="15051" spans="1:33" ht="14.5" x14ac:dyDescent="0.35">
      <c r="A15051" s="34"/>
      <c r="B15051" s="35"/>
      <c r="C15051" s="36"/>
      <c r="D15051" s="37"/>
      <c r="E15051" s="36"/>
      <c r="F15051" s="42"/>
      <c r="G15051" s="42"/>
      <c r="H15051" s="42"/>
      <c r="AG15051" s="19"/>
    </row>
    <row r="15052" spans="1:33" ht="14.5" x14ac:dyDescent="0.35">
      <c r="A15052" s="34"/>
      <c r="B15052" s="35"/>
      <c r="C15052" s="36"/>
      <c r="D15052" s="37"/>
      <c r="E15052" s="36"/>
      <c r="F15052" s="42"/>
      <c r="G15052" s="42"/>
      <c r="H15052" s="42"/>
      <c r="AG15052" s="19"/>
    </row>
    <row r="15053" spans="1:33" ht="14.5" x14ac:dyDescent="0.35">
      <c r="A15053" s="34"/>
      <c r="B15053" s="35"/>
      <c r="C15053" s="36"/>
      <c r="D15053" s="37"/>
      <c r="E15053" s="36"/>
      <c r="F15053" s="42"/>
      <c r="G15053" s="42"/>
      <c r="H15053" s="42"/>
      <c r="AG15053" s="19"/>
    </row>
    <row r="15054" spans="1:33" ht="14.5" x14ac:dyDescent="0.35">
      <c r="A15054" s="34"/>
      <c r="B15054" s="35"/>
      <c r="C15054" s="36"/>
      <c r="D15054" s="37"/>
      <c r="E15054" s="36"/>
      <c r="F15054" s="42"/>
      <c r="G15054" s="42"/>
      <c r="H15054" s="42"/>
      <c r="AG15054" s="19"/>
    </row>
    <row r="15055" spans="1:33" ht="14.5" x14ac:dyDescent="0.35">
      <c r="A15055" s="34"/>
      <c r="B15055" s="35"/>
      <c r="C15055" s="36"/>
      <c r="D15055" s="37"/>
      <c r="E15055" s="36"/>
      <c r="F15055" s="42"/>
      <c r="G15055" s="42"/>
      <c r="H15055" s="42"/>
      <c r="AG15055" s="19"/>
    </row>
    <row r="15056" spans="1:33" ht="14.5" x14ac:dyDescent="0.35">
      <c r="A15056" s="34"/>
      <c r="B15056" s="35"/>
      <c r="C15056" s="36"/>
      <c r="D15056" s="37"/>
      <c r="E15056" s="36"/>
      <c r="F15056" s="42"/>
      <c r="G15056" s="42"/>
      <c r="H15056" s="42"/>
      <c r="AG15056" s="19"/>
    </row>
    <row r="15057" spans="1:33" ht="14.5" x14ac:dyDescent="0.35">
      <c r="A15057" s="34"/>
      <c r="B15057" s="35"/>
      <c r="C15057" s="36"/>
      <c r="D15057" s="37"/>
      <c r="E15057" s="36"/>
      <c r="F15057" s="42"/>
      <c r="G15057" s="42"/>
      <c r="H15057" s="42"/>
      <c r="AG15057" s="19"/>
    </row>
    <row r="15058" spans="1:33" ht="14.5" x14ac:dyDescent="0.35">
      <c r="A15058" s="34"/>
      <c r="B15058" s="35"/>
      <c r="C15058" s="36"/>
      <c r="D15058" s="37"/>
      <c r="E15058" s="36"/>
      <c r="F15058" s="42"/>
      <c r="G15058" s="42"/>
      <c r="H15058" s="42"/>
      <c r="AG15058" s="19"/>
    </row>
    <row r="15059" spans="1:33" ht="14.5" x14ac:dyDescent="0.35">
      <c r="A15059" s="34"/>
      <c r="B15059" s="35"/>
      <c r="C15059" s="36"/>
      <c r="D15059" s="37"/>
      <c r="E15059" s="36"/>
      <c r="F15059" s="42"/>
      <c r="G15059" s="42"/>
      <c r="H15059" s="42"/>
      <c r="AG15059" s="19"/>
    </row>
    <row r="15060" spans="1:33" ht="14.5" x14ac:dyDescent="0.35">
      <c r="A15060" s="34"/>
      <c r="B15060" s="35"/>
      <c r="C15060" s="36"/>
      <c r="D15060" s="37"/>
      <c r="E15060" s="36"/>
      <c r="F15060" s="42"/>
      <c r="G15060" s="42"/>
      <c r="H15060" s="42"/>
      <c r="AG15060" s="19"/>
    </row>
    <row r="15061" spans="1:33" ht="14.5" x14ac:dyDescent="0.35">
      <c r="A15061" s="34"/>
      <c r="B15061" s="35"/>
      <c r="C15061" s="36"/>
      <c r="D15061" s="37"/>
      <c r="E15061" s="36"/>
      <c r="F15061" s="42"/>
      <c r="G15061" s="42"/>
      <c r="H15061" s="42"/>
      <c r="AG15061" s="19"/>
    </row>
    <row r="15062" spans="1:33" ht="14.5" x14ac:dyDescent="0.35">
      <c r="A15062" s="34"/>
      <c r="B15062" s="35"/>
      <c r="C15062" s="36"/>
      <c r="D15062" s="37"/>
      <c r="E15062" s="36"/>
      <c r="F15062" s="42"/>
      <c r="G15062" s="42"/>
      <c r="H15062" s="42"/>
      <c r="AG15062" s="19"/>
    </row>
    <row r="15063" spans="1:33" ht="14.5" x14ac:dyDescent="0.35">
      <c r="A15063" s="34"/>
      <c r="B15063" s="35"/>
      <c r="C15063" s="36"/>
      <c r="D15063" s="37"/>
      <c r="E15063" s="36"/>
      <c r="F15063" s="42"/>
      <c r="G15063" s="42"/>
      <c r="H15063" s="42"/>
      <c r="AG15063" s="19"/>
    </row>
    <row r="15064" spans="1:33" ht="14.5" x14ac:dyDescent="0.35">
      <c r="A15064" s="34"/>
      <c r="B15064" s="35"/>
      <c r="C15064" s="36"/>
      <c r="D15064" s="37"/>
      <c r="E15064" s="36"/>
      <c r="F15064" s="42"/>
      <c r="G15064" s="42"/>
      <c r="H15064" s="42"/>
      <c r="AG15064" s="19"/>
    </row>
    <row r="15065" spans="1:33" ht="14.5" x14ac:dyDescent="0.35">
      <c r="A15065" s="34"/>
      <c r="B15065" s="35"/>
      <c r="C15065" s="36"/>
      <c r="D15065" s="37"/>
      <c r="E15065" s="36"/>
      <c r="F15065" s="42"/>
      <c r="G15065" s="42"/>
      <c r="H15065" s="42"/>
      <c r="AG15065" s="19"/>
    </row>
    <row r="15066" spans="1:33" ht="14.5" x14ac:dyDescent="0.35">
      <c r="A15066" s="34"/>
      <c r="B15066" s="35"/>
      <c r="C15066" s="36"/>
      <c r="D15066" s="37"/>
      <c r="E15066" s="36"/>
      <c r="F15066" s="42"/>
      <c r="G15066" s="42"/>
      <c r="H15066" s="42"/>
      <c r="AG15066" s="19"/>
    </row>
    <row r="15067" spans="1:33" ht="14.5" x14ac:dyDescent="0.35">
      <c r="A15067" s="34"/>
      <c r="B15067" s="35"/>
      <c r="C15067" s="36"/>
      <c r="D15067" s="37"/>
      <c r="E15067" s="36"/>
      <c r="F15067" s="42"/>
      <c r="G15067" s="42"/>
      <c r="H15067" s="42"/>
      <c r="AG15067" s="19"/>
    </row>
    <row r="15068" spans="1:33" ht="14.5" x14ac:dyDescent="0.35">
      <c r="A15068" s="34"/>
      <c r="B15068" s="35"/>
      <c r="C15068" s="36"/>
      <c r="D15068" s="37"/>
      <c r="E15068" s="36"/>
      <c r="F15068" s="42"/>
      <c r="G15068" s="42"/>
      <c r="H15068" s="42"/>
      <c r="AG15068" s="19"/>
    </row>
    <row r="15069" spans="1:33" ht="14.5" x14ac:dyDescent="0.35">
      <c r="A15069" s="34"/>
      <c r="B15069" s="35"/>
      <c r="C15069" s="36"/>
      <c r="D15069" s="37"/>
      <c r="E15069" s="36"/>
      <c r="F15069" s="42"/>
      <c r="G15069" s="42"/>
      <c r="H15069" s="42"/>
      <c r="AG15069" s="19"/>
    </row>
    <row r="15070" spans="1:33" ht="14.5" x14ac:dyDescent="0.35">
      <c r="A15070" s="34"/>
      <c r="B15070" s="35"/>
      <c r="C15070" s="36"/>
      <c r="D15070" s="37"/>
      <c r="E15070" s="36"/>
      <c r="F15070" s="42"/>
      <c r="G15070" s="42"/>
      <c r="H15070" s="42"/>
      <c r="AG15070" s="19"/>
    </row>
    <row r="15071" spans="1:33" ht="14.5" x14ac:dyDescent="0.35">
      <c r="A15071" s="34"/>
      <c r="B15071" s="35"/>
      <c r="C15071" s="36"/>
      <c r="D15071" s="37"/>
      <c r="E15071" s="36"/>
      <c r="F15071" s="42"/>
      <c r="G15071" s="42"/>
      <c r="H15071" s="42"/>
      <c r="AG15071" s="19"/>
    </row>
    <row r="15072" spans="1:33" ht="14.5" x14ac:dyDescent="0.35">
      <c r="A15072" s="34"/>
      <c r="B15072" s="35"/>
      <c r="C15072" s="36"/>
      <c r="D15072" s="37"/>
      <c r="E15072" s="36"/>
      <c r="F15072" s="42"/>
      <c r="G15072" s="42"/>
      <c r="H15072" s="42"/>
      <c r="AG15072" s="19"/>
    </row>
    <row r="15073" spans="1:33" ht="14.5" x14ac:dyDescent="0.35">
      <c r="A15073" s="34"/>
      <c r="B15073" s="35"/>
      <c r="C15073" s="36"/>
      <c r="D15073" s="37"/>
      <c r="E15073" s="36"/>
      <c r="F15073" s="42"/>
      <c r="G15073" s="42"/>
      <c r="H15073" s="42"/>
      <c r="AG15073" s="19"/>
    </row>
    <row r="15074" spans="1:33" ht="14.5" x14ac:dyDescent="0.35">
      <c r="A15074" s="34"/>
      <c r="B15074" s="35"/>
      <c r="C15074" s="36"/>
      <c r="D15074" s="37"/>
      <c r="E15074" s="36"/>
      <c r="F15074" s="42"/>
      <c r="G15074" s="42"/>
      <c r="H15074" s="42"/>
      <c r="AG15074" s="19"/>
    </row>
    <row r="15075" spans="1:33" ht="14.5" x14ac:dyDescent="0.35">
      <c r="A15075" s="34"/>
      <c r="B15075" s="35"/>
      <c r="C15075" s="36"/>
      <c r="D15075" s="37"/>
      <c r="E15075" s="36"/>
      <c r="F15075" s="42"/>
      <c r="G15075" s="42"/>
      <c r="H15075" s="42"/>
      <c r="AG15075" s="19"/>
    </row>
    <row r="15076" spans="1:33" ht="14.5" x14ac:dyDescent="0.35">
      <c r="A15076" s="34"/>
      <c r="B15076" s="35"/>
      <c r="C15076" s="36"/>
      <c r="D15076" s="37"/>
      <c r="E15076" s="36"/>
      <c r="F15076" s="42"/>
      <c r="G15076" s="42"/>
      <c r="H15076" s="42"/>
      <c r="AG15076" s="19"/>
    </row>
    <row r="15077" spans="1:33" ht="14.5" x14ac:dyDescent="0.35">
      <c r="A15077" s="34"/>
      <c r="B15077" s="35"/>
      <c r="C15077" s="36"/>
      <c r="D15077" s="37"/>
      <c r="E15077" s="36"/>
      <c r="F15077" s="42"/>
      <c r="G15077" s="42"/>
      <c r="H15077" s="42"/>
      <c r="AG15077" s="19"/>
    </row>
    <row r="15078" spans="1:33" ht="14.5" x14ac:dyDescent="0.35">
      <c r="A15078" s="34"/>
      <c r="B15078" s="35"/>
      <c r="C15078" s="36"/>
      <c r="D15078" s="37"/>
      <c r="E15078" s="36"/>
      <c r="F15078" s="42"/>
      <c r="G15078" s="42"/>
      <c r="H15078" s="42"/>
      <c r="AG15078" s="19"/>
    </row>
    <row r="15079" spans="1:33" ht="14.5" x14ac:dyDescent="0.35">
      <c r="A15079" s="34"/>
      <c r="B15079" s="35"/>
      <c r="C15079" s="36"/>
      <c r="D15079" s="37"/>
      <c r="E15079" s="36"/>
      <c r="F15079" s="42"/>
      <c r="G15079" s="42"/>
      <c r="H15079" s="42"/>
      <c r="AG15079" s="19"/>
    </row>
    <row r="15080" spans="1:33" ht="14.5" x14ac:dyDescent="0.35">
      <c r="A15080" s="34"/>
      <c r="B15080" s="35"/>
      <c r="C15080" s="36"/>
      <c r="D15080" s="37"/>
      <c r="E15080" s="36"/>
      <c r="F15080" s="42"/>
      <c r="G15080" s="42"/>
      <c r="H15080" s="42"/>
      <c r="AG15080" s="19"/>
    </row>
    <row r="15081" spans="1:33" ht="14.5" x14ac:dyDescent="0.35">
      <c r="A15081" s="34"/>
      <c r="B15081" s="35"/>
      <c r="C15081" s="36"/>
      <c r="D15081" s="37"/>
      <c r="E15081" s="36"/>
      <c r="F15081" s="42"/>
      <c r="G15081" s="42"/>
      <c r="H15081" s="42"/>
      <c r="AG15081" s="19"/>
    </row>
    <row r="15082" spans="1:33" ht="14.5" x14ac:dyDescent="0.35">
      <c r="A15082" s="34"/>
      <c r="B15082" s="35"/>
      <c r="C15082" s="36"/>
      <c r="D15082" s="37"/>
      <c r="E15082" s="36"/>
      <c r="F15082" s="42"/>
      <c r="G15082" s="42"/>
      <c r="H15082" s="42"/>
      <c r="AG15082" s="19"/>
    </row>
    <row r="15083" spans="1:33" ht="14.5" x14ac:dyDescent="0.35">
      <c r="A15083" s="34"/>
      <c r="B15083" s="35"/>
      <c r="C15083" s="36"/>
      <c r="D15083" s="37"/>
      <c r="E15083" s="36"/>
      <c r="F15083" s="42"/>
      <c r="G15083" s="42"/>
      <c r="H15083" s="42"/>
      <c r="AG15083" s="19"/>
    </row>
    <row r="15084" spans="1:33" ht="14.5" x14ac:dyDescent="0.35">
      <c r="A15084" s="34"/>
      <c r="B15084" s="35"/>
      <c r="C15084" s="36"/>
      <c r="D15084" s="37"/>
      <c r="E15084" s="36"/>
      <c r="F15084" s="42"/>
      <c r="G15084" s="42"/>
      <c r="H15084" s="42"/>
      <c r="AG15084" s="19"/>
    </row>
    <row r="15085" spans="1:33" ht="14.5" x14ac:dyDescent="0.35">
      <c r="A15085" s="34"/>
      <c r="B15085" s="35"/>
      <c r="C15085" s="36"/>
      <c r="D15085" s="37"/>
      <c r="E15085" s="36"/>
      <c r="F15085" s="42"/>
      <c r="G15085" s="42"/>
      <c r="H15085" s="42"/>
      <c r="AG15085" s="19"/>
    </row>
    <row r="15086" spans="1:33" ht="14.5" x14ac:dyDescent="0.35">
      <c r="A15086" s="34"/>
      <c r="B15086" s="35"/>
      <c r="C15086" s="36"/>
      <c r="D15086" s="37"/>
      <c r="E15086" s="36"/>
      <c r="F15086" s="42"/>
      <c r="G15086" s="42"/>
      <c r="H15086" s="42"/>
      <c r="AG15086" s="19"/>
    </row>
    <row r="15087" spans="1:33" ht="14.5" x14ac:dyDescent="0.35">
      <c r="A15087" s="34"/>
      <c r="B15087" s="35"/>
      <c r="C15087" s="36"/>
      <c r="D15087" s="37"/>
      <c r="E15087" s="36"/>
      <c r="F15087" s="42"/>
      <c r="G15087" s="42"/>
      <c r="H15087" s="42"/>
      <c r="AG15087" s="19"/>
    </row>
    <row r="15088" spans="1:33" ht="14.5" x14ac:dyDescent="0.35">
      <c r="A15088" s="34"/>
      <c r="B15088" s="35"/>
      <c r="C15088" s="36"/>
      <c r="D15088" s="37"/>
      <c r="E15088" s="36"/>
      <c r="F15088" s="42"/>
      <c r="G15088" s="42"/>
      <c r="H15088" s="42"/>
      <c r="AG15088" s="19"/>
    </row>
    <row r="15089" spans="1:33" ht="14.5" x14ac:dyDescent="0.35">
      <c r="A15089" s="34"/>
      <c r="B15089" s="35"/>
      <c r="C15089" s="36"/>
      <c r="D15089" s="37"/>
      <c r="E15089" s="36"/>
      <c r="F15089" s="42"/>
      <c r="G15089" s="42"/>
      <c r="H15089" s="42"/>
      <c r="AG15089" s="19"/>
    </row>
    <row r="15090" spans="1:33" ht="14.5" x14ac:dyDescent="0.35">
      <c r="A15090" s="34"/>
      <c r="B15090" s="35"/>
      <c r="C15090" s="36"/>
      <c r="D15090" s="37"/>
      <c r="E15090" s="36"/>
      <c r="F15090" s="42"/>
      <c r="G15090" s="42"/>
      <c r="H15090" s="42"/>
      <c r="AG15090" s="19"/>
    </row>
    <row r="15091" spans="1:33" ht="14.5" x14ac:dyDescent="0.35">
      <c r="A15091" s="34"/>
      <c r="B15091" s="35"/>
      <c r="C15091" s="36"/>
      <c r="D15091" s="37"/>
      <c r="E15091" s="36"/>
      <c r="F15091" s="42"/>
      <c r="G15091" s="42"/>
      <c r="H15091" s="42"/>
      <c r="AG15091" s="19"/>
    </row>
    <row r="15092" spans="1:33" ht="14.5" x14ac:dyDescent="0.35">
      <c r="A15092" s="34"/>
      <c r="B15092" s="35"/>
      <c r="C15092" s="36"/>
      <c r="D15092" s="37"/>
      <c r="E15092" s="36"/>
      <c r="F15092" s="42"/>
      <c r="G15092" s="42"/>
      <c r="H15092" s="42"/>
      <c r="AG15092" s="19"/>
    </row>
    <row r="15093" spans="1:33" ht="14.5" x14ac:dyDescent="0.35">
      <c r="A15093" s="34"/>
      <c r="B15093" s="35"/>
      <c r="C15093" s="36"/>
      <c r="D15093" s="37"/>
      <c r="E15093" s="36"/>
      <c r="F15093" s="42"/>
      <c r="G15093" s="42"/>
      <c r="H15093" s="42"/>
      <c r="AG15093" s="19"/>
    </row>
    <row r="15094" spans="1:33" ht="14.5" x14ac:dyDescent="0.35">
      <c r="A15094" s="34"/>
      <c r="B15094" s="35"/>
      <c r="C15094" s="36"/>
      <c r="D15094" s="37"/>
      <c r="E15094" s="36"/>
      <c r="F15094" s="42"/>
      <c r="G15094" s="42"/>
      <c r="H15094" s="42"/>
      <c r="AG15094" s="19"/>
    </row>
    <row r="15095" spans="1:33" ht="14.5" x14ac:dyDescent="0.35">
      <c r="A15095" s="34"/>
      <c r="B15095" s="35"/>
      <c r="C15095" s="36"/>
      <c r="D15095" s="37"/>
      <c r="E15095" s="36"/>
      <c r="F15095" s="42"/>
      <c r="G15095" s="42"/>
      <c r="H15095" s="42"/>
      <c r="AG15095" s="19"/>
    </row>
    <row r="15096" spans="1:33" ht="14.5" x14ac:dyDescent="0.35">
      <c r="A15096" s="34"/>
      <c r="B15096" s="35"/>
      <c r="C15096" s="36"/>
      <c r="D15096" s="37"/>
      <c r="E15096" s="36"/>
      <c r="F15096" s="42"/>
      <c r="G15096" s="42"/>
      <c r="H15096" s="42"/>
      <c r="AG15096" s="19"/>
    </row>
    <row r="15097" spans="1:33" ht="14.5" x14ac:dyDescent="0.35">
      <c r="A15097" s="34"/>
      <c r="B15097" s="35"/>
      <c r="C15097" s="36"/>
      <c r="D15097" s="37"/>
      <c r="E15097" s="36"/>
      <c r="F15097" s="42"/>
      <c r="G15097" s="42"/>
      <c r="H15097" s="42"/>
      <c r="AG15097" s="19"/>
    </row>
    <row r="15098" spans="1:33" ht="14.5" x14ac:dyDescent="0.35">
      <c r="A15098" s="34"/>
      <c r="B15098" s="35"/>
      <c r="C15098" s="36"/>
      <c r="D15098" s="37"/>
      <c r="E15098" s="36"/>
      <c r="F15098" s="42"/>
      <c r="G15098" s="42"/>
      <c r="H15098" s="42"/>
      <c r="AG15098" s="19"/>
    </row>
    <row r="15099" spans="1:33" ht="14.5" x14ac:dyDescent="0.35">
      <c r="A15099" s="34"/>
      <c r="B15099" s="35"/>
      <c r="C15099" s="36"/>
      <c r="D15099" s="37"/>
      <c r="E15099" s="36"/>
      <c r="F15099" s="42"/>
      <c r="G15099" s="42"/>
      <c r="H15099" s="42"/>
      <c r="AG15099" s="19"/>
    </row>
    <row r="15100" spans="1:33" ht="14.5" x14ac:dyDescent="0.35">
      <c r="A15100" s="34"/>
      <c r="B15100" s="35"/>
      <c r="C15100" s="36"/>
      <c r="D15100" s="37"/>
      <c r="E15100" s="36"/>
      <c r="F15100" s="42"/>
      <c r="G15100" s="42"/>
      <c r="H15100" s="42"/>
      <c r="AG15100" s="19"/>
    </row>
    <row r="15101" spans="1:33" ht="14.5" x14ac:dyDescent="0.35">
      <c r="A15101" s="34"/>
      <c r="B15101" s="35"/>
      <c r="C15101" s="36"/>
      <c r="D15101" s="37"/>
      <c r="E15101" s="36"/>
      <c r="F15101" s="42"/>
      <c r="G15101" s="42"/>
      <c r="H15101" s="42"/>
      <c r="AG15101" s="19"/>
    </row>
    <row r="15102" spans="1:33" ht="14.5" x14ac:dyDescent="0.35">
      <c r="A15102" s="34"/>
      <c r="B15102" s="35"/>
      <c r="C15102" s="36"/>
      <c r="D15102" s="37"/>
      <c r="E15102" s="36"/>
      <c r="F15102" s="42"/>
      <c r="G15102" s="42"/>
      <c r="H15102" s="42"/>
      <c r="AG15102" s="19"/>
    </row>
    <row r="15103" spans="1:33" ht="14.5" x14ac:dyDescent="0.35">
      <c r="A15103" s="34"/>
      <c r="B15103" s="35"/>
      <c r="C15103" s="36"/>
      <c r="D15103" s="37"/>
      <c r="E15103" s="36"/>
      <c r="F15103" s="42"/>
      <c r="G15103" s="42"/>
      <c r="H15103" s="42"/>
      <c r="AG15103" s="19"/>
    </row>
    <row r="15104" spans="1:33" ht="14.5" x14ac:dyDescent="0.35">
      <c r="A15104" s="34"/>
      <c r="B15104" s="35"/>
      <c r="C15104" s="36"/>
      <c r="D15104" s="37"/>
      <c r="E15104" s="36"/>
      <c r="F15104" s="42"/>
      <c r="G15104" s="42"/>
      <c r="H15104" s="42"/>
      <c r="AG15104" s="19"/>
    </row>
    <row r="15105" spans="1:33" ht="14.5" x14ac:dyDescent="0.35">
      <c r="A15105" s="34"/>
      <c r="B15105" s="35"/>
      <c r="C15105" s="36"/>
      <c r="D15105" s="37"/>
      <c r="E15105" s="36"/>
      <c r="F15105" s="42"/>
      <c r="G15105" s="42"/>
      <c r="H15105" s="42"/>
      <c r="AG15105" s="19"/>
    </row>
    <row r="15106" spans="1:33" ht="14.5" x14ac:dyDescent="0.35">
      <c r="A15106" s="34"/>
      <c r="B15106" s="35"/>
      <c r="C15106" s="36"/>
      <c r="D15106" s="37"/>
      <c r="E15106" s="36"/>
      <c r="F15106" s="42"/>
      <c r="G15106" s="42"/>
      <c r="H15106" s="42"/>
      <c r="AG15106" s="19"/>
    </row>
    <row r="15107" spans="1:33" ht="14.5" x14ac:dyDescent="0.35">
      <c r="A15107" s="34"/>
      <c r="B15107" s="35"/>
      <c r="C15107" s="36"/>
      <c r="D15107" s="37"/>
      <c r="E15107" s="36"/>
      <c r="F15107" s="42"/>
      <c r="G15107" s="42"/>
      <c r="H15107" s="42"/>
      <c r="AG15107" s="19"/>
    </row>
    <row r="15108" spans="1:33" ht="14.5" x14ac:dyDescent="0.35">
      <c r="A15108" s="34"/>
      <c r="B15108" s="35"/>
      <c r="C15108" s="36"/>
      <c r="D15108" s="37"/>
      <c r="E15108" s="36"/>
      <c r="F15108" s="42"/>
      <c r="G15108" s="42"/>
      <c r="H15108" s="42"/>
      <c r="AG15108" s="19"/>
    </row>
    <row r="15109" spans="1:33" ht="14.5" x14ac:dyDescent="0.35">
      <c r="A15109" s="34"/>
      <c r="B15109" s="35"/>
      <c r="C15109" s="36"/>
      <c r="D15109" s="37"/>
      <c r="E15109" s="36"/>
      <c r="F15109" s="42"/>
      <c r="G15109" s="42"/>
      <c r="H15109" s="42"/>
      <c r="AG15109" s="19"/>
    </row>
    <row r="15110" spans="1:33" ht="14.5" x14ac:dyDescent="0.35">
      <c r="A15110" s="34"/>
      <c r="B15110" s="35"/>
      <c r="C15110" s="36"/>
      <c r="D15110" s="37"/>
      <c r="E15110" s="36"/>
      <c r="F15110" s="42"/>
      <c r="G15110" s="42"/>
      <c r="H15110" s="42"/>
      <c r="AG15110" s="19"/>
    </row>
    <row r="15111" spans="1:33" ht="14.5" x14ac:dyDescent="0.35">
      <c r="A15111" s="34"/>
      <c r="B15111" s="35"/>
      <c r="C15111" s="36"/>
      <c r="D15111" s="37"/>
      <c r="E15111" s="36"/>
      <c r="F15111" s="42"/>
      <c r="G15111" s="42"/>
      <c r="H15111" s="42"/>
      <c r="AG15111" s="19"/>
    </row>
    <row r="15112" spans="1:33" ht="14.5" x14ac:dyDescent="0.35">
      <c r="A15112" s="34"/>
      <c r="B15112" s="35"/>
      <c r="C15112" s="36"/>
      <c r="D15112" s="37"/>
      <c r="E15112" s="36"/>
      <c r="F15112" s="42"/>
      <c r="G15112" s="42"/>
      <c r="H15112" s="42"/>
      <c r="AG15112" s="19"/>
    </row>
    <row r="15113" spans="1:33" ht="14.5" x14ac:dyDescent="0.35">
      <c r="A15113" s="34"/>
      <c r="B15113" s="35"/>
      <c r="C15113" s="36"/>
      <c r="D15113" s="37"/>
      <c r="E15113" s="36"/>
      <c r="F15113" s="42"/>
      <c r="G15113" s="42"/>
      <c r="H15113" s="42"/>
      <c r="AG15113" s="19"/>
    </row>
    <row r="15114" spans="1:33" ht="14.5" x14ac:dyDescent="0.35">
      <c r="A15114" s="34"/>
      <c r="B15114" s="35"/>
      <c r="C15114" s="36"/>
      <c r="D15114" s="37"/>
      <c r="E15114" s="36"/>
      <c r="F15114" s="42"/>
      <c r="G15114" s="42"/>
      <c r="H15114" s="42"/>
      <c r="AG15114" s="19"/>
    </row>
    <row r="15115" spans="1:33" ht="14.5" x14ac:dyDescent="0.35">
      <c r="A15115" s="34"/>
      <c r="B15115" s="35"/>
      <c r="C15115" s="36"/>
      <c r="D15115" s="37"/>
      <c r="E15115" s="36"/>
      <c r="F15115" s="42"/>
      <c r="G15115" s="42"/>
      <c r="H15115" s="42"/>
      <c r="AG15115" s="19"/>
    </row>
    <row r="15116" spans="1:33" ht="14.5" x14ac:dyDescent="0.35">
      <c r="A15116" s="34"/>
      <c r="B15116" s="35"/>
      <c r="C15116" s="36"/>
      <c r="D15116" s="37"/>
      <c r="E15116" s="36"/>
      <c r="F15116" s="42"/>
      <c r="G15116" s="42"/>
      <c r="H15116" s="42"/>
      <c r="AG15116" s="19"/>
    </row>
    <row r="15117" spans="1:33" ht="14.5" x14ac:dyDescent="0.35">
      <c r="A15117" s="34"/>
      <c r="B15117" s="35"/>
      <c r="C15117" s="36"/>
      <c r="D15117" s="37"/>
      <c r="E15117" s="36"/>
      <c r="F15117" s="42"/>
      <c r="G15117" s="42"/>
      <c r="H15117" s="42"/>
      <c r="AG15117" s="19"/>
    </row>
    <row r="15118" spans="1:33" ht="14.5" x14ac:dyDescent="0.35">
      <c r="A15118" s="34"/>
      <c r="B15118" s="35"/>
      <c r="C15118" s="36"/>
      <c r="D15118" s="37"/>
      <c r="E15118" s="36"/>
      <c r="F15118" s="42"/>
      <c r="G15118" s="42"/>
      <c r="H15118" s="42"/>
      <c r="AG15118" s="19"/>
    </row>
    <row r="15119" spans="1:33" ht="14.5" x14ac:dyDescent="0.35">
      <c r="A15119" s="34"/>
      <c r="B15119" s="35"/>
      <c r="C15119" s="36"/>
      <c r="D15119" s="37"/>
      <c r="E15119" s="36"/>
      <c r="F15119" s="42"/>
      <c r="G15119" s="42"/>
      <c r="H15119" s="42"/>
      <c r="AG15119" s="19"/>
    </row>
    <row r="15120" spans="1:33" ht="14.5" x14ac:dyDescent="0.35">
      <c r="A15120" s="34"/>
      <c r="B15120" s="35"/>
      <c r="C15120" s="36"/>
      <c r="D15120" s="37"/>
      <c r="E15120" s="36"/>
      <c r="F15120" s="42"/>
      <c r="G15120" s="42"/>
      <c r="H15120" s="42"/>
      <c r="AG15120" s="19"/>
    </row>
    <row r="15121" spans="1:33" ht="14.5" x14ac:dyDescent="0.35">
      <c r="A15121" s="34"/>
      <c r="B15121" s="35"/>
      <c r="C15121" s="36"/>
      <c r="D15121" s="37"/>
      <c r="E15121" s="36"/>
      <c r="F15121" s="42"/>
      <c r="G15121" s="42"/>
      <c r="H15121" s="42"/>
      <c r="AG15121" s="19"/>
    </row>
    <row r="15122" spans="1:33" ht="14.5" x14ac:dyDescent="0.35">
      <c r="A15122" s="34"/>
      <c r="B15122" s="35"/>
      <c r="C15122" s="36"/>
      <c r="D15122" s="37"/>
      <c r="E15122" s="36"/>
      <c r="F15122" s="42"/>
      <c r="G15122" s="42"/>
      <c r="H15122" s="42"/>
      <c r="AG15122" s="19"/>
    </row>
    <row r="15123" spans="1:33" ht="14.5" x14ac:dyDescent="0.35">
      <c r="A15123" s="34"/>
      <c r="B15123" s="35"/>
      <c r="C15123" s="36"/>
      <c r="D15123" s="37"/>
      <c r="E15123" s="36"/>
      <c r="F15123" s="42"/>
      <c r="G15123" s="42"/>
      <c r="H15123" s="42"/>
      <c r="AG15123" s="19"/>
    </row>
    <row r="15124" spans="1:33" ht="14.5" x14ac:dyDescent="0.35">
      <c r="A15124" s="34"/>
      <c r="B15124" s="35"/>
      <c r="C15124" s="36"/>
      <c r="D15124" s="37"/>
      <c r="E15124" s="36"/>
      <c r="F15124" s="42"/>
      <c r="G15124" s="42"/>
      <c r="H15124" s="42"/>
      <c r="AG15124" s="19"/>
    </row>
    <row r="15125" spans="1:33" ht="14.5" x14ac:dyDescent="0.35">
      <c r="A15125" s="34"/>
      <c r="B15125" s="35"/>
      <c r="C15125" s="36"/>
      <c r="D15125" s="37"/>
      <c r="E15125" s="36"/>
      <c r="F15125" s="42"/>
      <c r="G15125" s="42"/>
      <c r="H15125" s="42"/>
      <c r="AG15125" s="19"/>
    </row>
    <row r="15126" spans="1:33" ht="14.5" x14ac:dyDescent="0.35">
      <c r="A15126" s="34"/>
      <c r="B15126" s="35"/>
      <c r="C15126" s="36"/>
      <c r="D15126" s="37"/>
      <c r="E15126" s="36"/>
      <c r="F15126" s="42"/>
      <c r="G15126" s="42"/>
      <c r="H15126" s="42"/>
      <c r="AG15126" s="19"/>
    </row>
    <row r="15127" spans="1:33" ht="14.5" x14ac:dyDescent="0.35">
      <c r="A15127" s="34"/>
      <c r="B15127" s="35"/>
      <c r="C15127" s="36"/>
      <c r="D15127" s="37"/>
      <c r="E15127" s="36"/>
      <c r="F15127" s="42"/>
      <c r="G15127" s="42"/>
      <c r="H15127" s="42"/>
      <c r="AG15127" s="19"/>
    </row>
    <row r="15128" spans="1:33" ht="14.5" x14ac:dyDescent="0.35">
      <c r="A15128" s="34"/>
      <c r="B15128" s="35"/>
      <c r="C15128" s="36"/>
      <c r="D15128" s="37"/>
      <c r="E15128" s="36"/>
      <c r="F15128" s="42"/>
      <c r="G15128" s="42"/>
      <c r="H15128" s="42"/>
      <c r="AG15128" s="19"/>
    </row>
    <row r="15129" spans="1:33" ht="14.5" x14ac:dyDescent="0.35">
      <c r="A15129" s="34"/>
      <c r="B15129" s="35"/>
      <c r="C15129" s="36"/>
      <c r="D15129" s="37"/>
      <c r="E15129" s="36"/>
      <c r="F15129" s="42"/>
      <c r="G15129" s="42"/>
      <c r="H15129" s="42"/>
      <c r="AG15129" s="19"/>
    </row>
    <row r="15130" spans="1:33" ht="14.5" x14ac:dyDescent="0.35">
      <c r="A15130" s="34"/>
      <c r="B15130" s="35"/>
      <c r="C15130" s="36"/>
      <c r="D15130" s="37"/>
      <c r="E15130" s="36"/>
      <c r="F15130" s="42"/>
      <c r="G15130" s="42"/>
      <c r="H15130" s="42"/>
      <c r="AG15130" s="19"/>
    </row>
    <row r="15131" spans="1:33" ht="14.5" x14ac:dyDescent="0.35">
      <c r="A15131" s="34"/>
      <c r="B15131" s="35"/>
      <c r="C15131" s="36"/>
      <c r="D15131" s="37"/>
      <c r="E15131" s="36"/>
      <c r="F15131" s="42"/>
      <c r="G15131" s="42"/>
      <c r="H15131" s="42"/>
      <c r="AG15131" s="19"/>
    </row>
    <row r="15132" spans="1:33" ht="14.5" x14ac:dyDescent="0.35">
      <c r="A15132" s="34"/>
      <c r="B15132" s="35"/>
      <c r="C15132" s="36"/>
      <c r="D15132" s="37"/>
      <c r="E15132" s="36"/>
      <c r="F15132" s="42"/>
      <c r="G15132" s="42"/>
      <c r="H15132" s="42"/>
      <c r="AG15132" s="19"/>
    </row>
    <row r="15133" spans="1:33" ht="14.5" x14ac:dyDescent="0.35">
      <c r="A15133" s="34"/>
      <c r="B15133" s="35"/>
      <c r="C15133" s="36"/>
      <c r="D15133" s="37"/>
      <c r="E15133" s="36"/>
      <c r="F15133" s="42"/>
      <c r="G15133" s="42"/>
      <c r="H15133" s="42"/>
      <c r="AG15133" s="19"/>
    </row>
    <row r="15134" spans="1:33" ht="14.5" x14ac:dyDescent="0.35">
      <c r="A15134" s="34"/>
      <c r="B15134" s="35"/>
      <c r="C15134" s="36"/>
      <c r="D15134" s="37"/>
      <c r="E15134" s="36"/>
      <c r="F15134" s="42"/>
      <c r="G15134" s="42"/>
      <c r="H15134" s="42"/>
      <c r="AG15134" s="19"/>
    </row>
    <row r="15135" spans="1:33" ht="14.5" x14ac:dyDescent="0.35">
      <c r="A15135" s="34"/>
      <c r="B15135" s="35"/>
      <c r="C15135" s="36"/>
      <c r="D15135" s="37"/>
      <c r="E15135" s="36"/>
      <c r="F15135" s="42"/>
      <c r="G15135" s="42"/>
      <c r="H15135" s="42"/>
      <c r="AG15135" s="19"/>
    </row>
    <row r="15136" spans="1:33" ht="14.5" x14ac:dyDescent="0.35">
      <c r="A15136" s="34"/>
      <c r="B15136" s="35"/>
      <c r="C15136" s="36"/>
      <c r="D15136" s="37"/>
      <c r="E15136" s="36"/>
      <c r="F15136" s="42"/>
      <c r="G15136" s="42"/>
      <c r="H15136" s="42"/>
      <c r="AG15136" s="19"/>
    </row>
    <row r="15137" spans="1:33" ht="14.5" x14ac:dyDescent="0.35">
      <c r="A15137" s="34"/>
      <c r="B15137" s="35"/>
      <c r="C15137" s="36"/>
      <c r="D15137" s="37"/>
      <c r="E15137" s="36"/>
      <c r="F15137" s="42"/>
      <c r="G15137" s="42"/>
      <c r="H15137" s="42"/>
      <c r="AG15137" s="19"/>
    </row>
    <row r="15138" spans="1:33" ht="14.5" x14ac:dyDescent="0.35">
      <c r="A15138" s="34"/>
      <c r="B15138" s="35"/>
      <c r="C15138" s="36"/>
      <c r="D15138" s="37"/>
      <c r="E15138" s="36"/>
      <c r="F15138" s="42"/>
      <c r="G15138" s="42"/>
      <c r="H15138" s="42"/>
      <c r="AG15138" s="19"/>
    </row>
    <row r="15139" spans="1:33" ht="14.5" x14ac:dyDescent="0.35">
      <c r="A15139" s="34"/>
      <c r="B15139" s="35"/>
      <c r="C15139" s="36"/>
      <c r="D15139" s="37"/>
      <c r="E15139" s="36"/>
      <c r="F15139" s="42"/>
      <c r="G15139" s="42"/>
      <c r="H15139" s="42"/>
      <c r="AG15139" s="19"/>
    </row>
    <row r="15140" spans="1:33" ht="14.5" x14ac:dyDescent="0.35">
      <c r="A15140" s="34"/>
      <c r="B15140" s="35"/>
      <c r="C15140" s="36"/>
      <c r="D15140" s="37"/>
      <c r="E15140" s="36"/>
      <c r="F15140" s="42"/>
      <c r="G15140" s="42"/>
      <c r="H15140" s="42"/>
      <c r="AG15140" s="19"/>
    </row>
    <row r="15141" spans="1:33" ht="14.5" x14ac:dyDescent="0.35">
      <c r="A15141" s="34"/>
      <c r="B15141" s="35"/>
      <c r="C15141" s="36"/>
      <c r="D15141" s="37"/>
      <c r="E15141" s="36"/>
      <c r="F15141" s="42"/>
      <c r="G15141" s="42"/>
      <c r="H15141" s="42"/>
      <c r="AG15141" s="19"/>
    </row>
    <row r="15142" spans="1:33" ht="14.5" x14ac:dyDescent="0.35">
      <c r="A15142" s="34"/>
      <c r="B15142" s="35"/>
      <c r="C15142" s="36"/>
      <c r="D15142" s="37"/>
      <c r="E15142" s="36"/>
      <c r="F15142" s="42"/>
      <c r="G15142" s="42"/>
      <c r="H15142" s="42"/>
      <c r="AG15142" s="19"/>
    </row>
    <row r="15143" spans="1:33" ht="14.5" x14ac:dyDescent="0.35">
      <c r="A15143" s="34"/>
      <c r="B15143" s="35"/>
      <c r="C15143" s="36"/>
      <c r="D15143" s="37"/>
      <c r="E15143" s="36"/>
      <c r="F15143" s="42"/>
      <c r="G15143" s="42"/>
      <c r="H15143" s="42"/>
      <c r="AG15143" s="19"/>
    </row>
    <row r="15144" spans="1:33" ht="14.5" x14ac:dyDescent="0.35">
      <c r="A15144" s="34"/>
      <c r="B15144" s="35"/>
      <c r="C15144" s="36"/>
      <c r="D15144" s="37"/>
      <c r="E15144" s="36"/>
      <c r="F15144" s="42"/>
      <c r="G15144" s="42"/>
      <c r="H15144" s="42"/>
      <c r="AG15144" s="19"/>
    </row>
    <row r="15145" spans="1:33" ht="14.5" x14ac:dyDescent="0.35">
      <c r="A15145" s="34"/>
      <c r="B15145" s="35"/>
      <c r="C15145" s="36"/>
      <c r="D15145" s="37"/>
      <c r="E15145" s="36"/>
      <c r="F15145" s="42"/>
      <c r="G15145" s="42"/>
      <c r="H15145" s="42"/>
      <c r="AG15145" s="19"/>
    </row>
    <row r="15146" spans="1:33" ht="14.5" x14ac:dyDescent="0.35">
      <c r="A15146" s="34"/>
      <c r="B15146" s="35"/>
      <c r="C15146" s="36"/>
      <c r="D15146" s="37"/>
      <c r="E15146" s="36"/>
      <c r="F15146" s="42"/>
      <c r="G15146" s="42"/>
      <c r="H15146" s="42"/>
      <c r="AG15146" s="19"/>
    </row>
    <row r="15147" spans="1:33" ht="14.5" x14ac:dyDescent="0.35">
      <c r="A15147" s="34"/>
      <c r="B15147" s="35"/>
      <c r="C15147" s="36"/>
      <c r="D15147" s="37"/>
      <c r="E15147" s="36"/>
      <c r="F15147" s="42"/>
      <c r="G15147" s="42"/>
      <c r="H15147" s="42"/>
      <c r="AG15147" s="19"/>
    </row>
    <row r="15148" spans="1:33" ht="14.5" x14ac:dyDescent="0.35">
      <c r="A15148" s="34"/>
      <c r="B15148" s="35"/>
      <c r="C15148" s="36"/>
      <c r="D15148" s="37"/>
      <c r="E15148" s="36"/>
      <c r="F15148" s="42"/>
      <c r="G15148" s="42"/>
      <c r="H15148" s="42"/>
      <c r="AG15148" s="19"/>
    </row>
    <row r="15149" spans="1:33" ht="14.5" x14ac:dyDescent="0.35">
      <c r="A15149" s="34"/>
      <c r="B15149" s="35"/>
      <c r="C15149" s="36"/>
      <c r="D15149" s="37"/>
      <c r="E15149" s="36"/>
      <c r="F15149" s="42"/>
      <c r="G15149" s="42"/>
      <c r="H15149" s="42"/>
      <c r="AG15149" s="19"/>
    </row>
    <row r="15150" spans="1:33" ht="14.5" x14ac:dyDescent="0.35">
      <c r="A15150" s="34"/>
      <c r="B15150" s="35"/>
      <c r="C15150" s="36"/>
      <c r="D15150" s="37"/>
      <c r="E15150" s="36"/>
      <c r="F15150" s="42"/>
      <c r="G15150" s="42"/>
      <c r="H15150" s="42"/>
      <c r="AG15150" s="19"/>
    </row>
    <row r="15151" spans="1:33" ht="14.5" x14ac:dyDescent="0.35">
      <c r="A15151" s="34"/>
      <c r="B15151" s="35"/>
      <c r="C15151" s="36"/>
      <c r="D15151" s="37"/>
      <c r="E15151" s="36"/>
      <c r="F15151" s="42"/>
      <c r="G15151" s="42"/>
      <c r="H15151" s="42"/>
      <c r="AG15151" s="19"/>
    </row>
    <row r="15152" spans="1:33" ht="14.5" x14ac:dyDescent="0.35">
      <c r="A15152" s="34"/>
      <c r="B15152" s="35"/>
      <c r="C15152" s="36"/>
      <c r="D15152" s="37"/>
      <c r="E15152" s="36"/>
      <c r="F15152" s="42"/>
      <c r="G15152" s="42"/>
      <c r="H15152" s="42"/>
      <c r="AG15152" s="19"/>
    </row>
    <row r="15153" spans="1:33" ht="14.5" x14ac:dyDescent="0.35">
      <c r="A15153" s="34"/>
      <c r="B15153" s="35"/>
      <c r="C15153" s="36"/>
      <c r="D15153" s="37"/>
      <c r="E15153" s="36"/>
      <c r="F15153" s="42"/>
      <c r="G15153" s="42"/>
      <c r="H15153" s="42"/>
      <c r="AG15153" s="19"/>
    </row>
    <row r="15154" spans="1:33" ht="14.5" x14ac:dyDescent="0.35">
      <c r="A15154" s="34"/>
      <c r="B15154" s="35"/>
      <c r="C15154" s="36"/>
      <c r="D15154" s="37"/>
      <c r="E15154" s="36"/>
      <c r="F15154" s="42"/>
      <c r="G15154" s="42"/>
      <c r="H15154" s="42"/>
      <c r="AG15154" s="19"/>
    </row>
    <row r="15155" spans="1:33" ht="14.5" x14ac:dyDescent="0.35">
      <c r="A15155" s="34"/>
      <c r="B15155" s="35"/>
      <c r="C15155" s="36"/>
      <c r="D15155" s="37"/>
      <c r="E15155" s="36"/>
      <c r="F15155" s="42"/>
      <c r="G15155" s="42"/>
      <c r="H15155" s="42"/>
      <c r="AG15155" s="19"/>
    </row>
    <row r="15156" spans="1:33" ht="14.5" x14ac:dyDescent="0.35">
      <c r="A15156" s="34"/>
      <c r="B15156" s="35"/>
      <c r="C15156" s="36"/>
      <c r="D15156" s="37"/>
      <c r="E15156" s="36"/>
      <c r="F15156" s="42"/>
      <c r="G15156" s="42"/>
      <c r="H15156" s="42"/>
      <c r="AG15156" s="19"/>
    </row>
    <row r="15157" spans="1:33" ht="14.5" x14ac:dyDescent="0.35">
      <c r="A15157" s="34"/>
      <c r="B15157" s="35"/>
      <c r="C15157" s="36"/>
      <c r="D15157" s="37"/>
      <c r="E15157" s="36"/>
      <c r="F15157" s="42"/>
      <c r="G15157" s="42"/>
      <c r="H15157" s="42"/>
      <c r="AG15157" s="19"/>
    </row>
    <row r="15158" spans="1:33" ht="14.5" x14ac:dyDescent="0.35">
      <c r="A15158" s="34"/>
      <c r="B15158" s="35"/>
      <c r="C15158" s="36"/>
      <c r="D15158" s="37"/>
      <c r="E15158" s="36"/>
      <c r="F15158" s="42"/>
      <c r="G15158" s="42"/>
      <c r="H15158" s="42"/>
      <c r="AG15158" s="19"/>
    </row>
    <row r="15159" spans="1:33" ht="14.5" x14ac:dyDescent="0.35">
      <c r="A15159" s="34"/>
      <c r="B15159" s="35"/>
      <c r="C15159" s="36"/>
      <c r="D15159" s="37"/>
      <c r="E15159" s="36"/>
      <c r="F15159" s="42"/>
      <c r="G15159" s="42"/>
      <c r="H15159" s="42"/>
      <c r="AG15159" s="19"/>
    </row>
    <row r="15160" spans="1:33" ht="14.5" x14ac:dyDescent="0.35">
      <c r="A15160" s="34"/>
      <c r="B15160" s="35"/>
      <c r="C15160" s="36"/>
      <c r="D15160" s="37"/>
      <c r="E15160" s="36"/>
      <c r="F15160" s="42"/>
      <c r="G15160" s="42"/>
      <c r="H15160" s="42"/>
      <c r="AG15160" s="19"/>
    </row>
    <row r="15161" spans="1:33" ht="14.5" x14ac:dyDescent="0.35">
      <c r="A15161" s="34"/>
      <c r="B15161" s="35"/>
      <c r="C15161" s="36"/>
      <c r="D15161" s="37"/>
      <c r="E15161" s="36"/>
      <c r="F15161" s="42"/>
      <c r="G15161" s="42"/>
      <c r="H15161" s="42"/>
      <c r="AG15161" s="19"/>
    </row>
    <row r="15162" spans="1:33" ht="14.5" x14ac:dyDescent="0.35">
      <c r="A15162" s="34"/>
      <c r="B15162" s="35"/>
      <c r="C15162" s="36"/>
      <c r="D15162" s="37"/>
      <c r="E15162" s="36"/>
      <c r="F15162" s="42"/>
      <c r="G15162" s="42"/>
      <c r="H15162" s="42"/>
      <c r="AG15162" s="19"/>
    </row>
    <row r="15163" spans="1:33" ht="14.5" x14ac:dyDescent="0.35">
      <c r="A15163" s="34"/>
      <c r="B15163" s="35"/>
      <c r="C15163" s="36"/>
      <c r="D15163" s="37"/>
      <c r="E15163" s="36"/>
      <c r="F15163" s="42"/>
      <c r="G15163" s="42"/>
      <c r="H15163" s="42"/>
      <c r="AG15163" s="19"/>
    </row>
    <row r="15164" spans="1:33" ht="14.5" x14ac:dyDescent="0.35">
      <c r="A15164" s="34"/>
      <c r="B15164" s="35"/>
      <c r="C15164" s="36"/>
      <c r="D15164" s="37"/>
      <c r="E15164" s="36"/>
      <c r="F15164" s="42"/>
      <c r="G15164" s="42"/>
      <c r="H15164" s="42"/>
      <c r="AG15164" s="19"/>
    </row>
    <row r="15165" spans="1:33" ht="14.5" x14ac:dyDescent="0.35">
      <c r="A15165" s="34"/>
      <c r="B15165" s="35"/>
      <c r="C15165" s="36"/>
      <c r="D15165" s="37"/>
      <c r="E15165" s="36"/>
      <c r="F15165" s="42"/>
      <c r="G15165" s="42"/>
      <c r="H15165" s="42"/>
      <c r="AG15165" s="19"/>
    </row>
    <row r="15166" spans="1:33" ht="14.5" x14ac:dyDescent="0.35">
      <c r="A15166" s="34"/>
      <c r="B15166" s="35"/>
      <c r="C15166" s="36"/>
      <c r="D15166" s="37"/>
      <c r="E15166" s="36"/>
      <c r="F15166" s="42"/>
      <c r="G15166" s="42"/>
      <c r="H15166" s="42"/>
      <c r="AG15166" s="19"/>
    </row>
    <row r="15167" spans="1:33" ht="14.5" x14ac:dyDescent="0.35">
      <c r="A15167" s="34"/>
      <c r="B15167" s="35"/>
      <c r="C15167" s="36"/>
      <c r="D15167" s="37"/>
      <c r="E15167" s="36"/>
      <c r="F15167" s="42"/>
      <c r="G15167" s="42"/>
      <c r="H15167" s="42"/>
      <c r="AG15167" s="19"/>
    </row>
    <row r="15168" spans="1:33" ht="14.5" x14ac:dyDescent="0.35">
      <c r="A15168" s="34"/>
      <c r="B15168" s="35"/>
      <c r="C15168" s="36"/>
      <c r="D15168" s="37"/>
      <c r="E15168" s="36"/>
      <c r="F15168" s="42"/>
      <c r="G15168" s="42"/>
      <c r="H15168" s="42"/>
      <c r="AG15168" s="19"/>
    </row>
    <row r="15169" spans="1:33" ht="14.5" x14ac:dyDescent="0.35">
      <c r="A15169" s="34"/>
      <c r="B15169" s="35"/>
      <c r="C15169" s="36"/>
      <c r="D15169" s="37"/>
      <c r="E15169" s="36"/>
      <c r="F15169" s="42"/>
      <c r="G15169" s="42"/>
      <c r="H15169" s="42"/>
      <c r="AG15169" s="19"/>
    </row>
    <row r="15170" spans="1:33" ht="14.5" x14ac:dyDescent="0.35">
      <c r="A15170" s="34"/>
      <c r="B15170" s="35"/>
      <c r="C15170" s="36"/>
      <c r="D15170" s="37"/>
      <c r="E15170" s="36"/>
      <c r="F15170" s="42"/>
      <c r="G15170" s="42"/>
      <c r="H15170" s="42"/>
      <c r="AG15170" s="19"/>
    </row>
    <row r="15171" spans="1:33" ht="14.5" x14ac:dyDescent="0.35">
      <c r="A15171" s="34"/>
      <c r="B15171" s="35"/>
      <c r="C15171" s="36"/>
      <c r="D15171" s="37"/>
      <c r="E15171" s="36"/>
      <c r="F15171" s="42"/>
      <c r="G15171" s="42"/>
      <c r="H15171" s="42"/>
      <c r="AG15171" s="19"/>
    </row>
    <row r="15172" spans="1:33" ht="14.5" x14ac:dyDescent="0.35">
      <c r="A15172" s="34"/>
      <c r="B15172" s="35"/>
      <c r="C15172" s="36"/>
      <c r="D15172" s="37"/>
      <c r="E15172" s="36"/>
      <c r="F15172" s="42"/>
      <c r="G15172" s="42"/>
      <c r="H15172" s="42"/>
      <c r="AG15172" s="19"/>
    </row>
    <row r="15173" spans="1:33" ht="14.5" x14ac:dyDescent="0.35">
      <c r="A15173" s="34"/>
      <c r="B15173" s="35"/>
      <c r="C15173" s="36"/>
      <c r="D15173" s="37"/>
      <c r="E15173" s="36"/>
      <c r="F15173" s="42"/>
      <c r="G15173" s="42"/>
      <c r="H15173" s="42"/>
      <c r="AG15173" s="19"/>
    </row>
    <row r="15174" spans="1:33" ht="14.5" x14ac:dyDescent="0.35">
      <c r="A15174" s="34"/>
      <c r="B15174" s="35"/>
      <c r="C15174" s="36"/>
      <c r="D15174" s="37"/>
      <c r="E15174" s="36"/>
      <c r="F15174" s="42"/>
      <c r="G15174" s="42"/>
      <c r="H15174" s="42"/>
      <c r="AG15174" s="19"/>
    </row>
    <row r="15175" spans="1:33" ht="14.5" x14ac:dyDescent="0.35">
      <c r="A15175" s="34"/>
      <c r="B15175" s="35"/>
      <c r="C15175" s="36"/>
      <c r="D15175" s="37"/>
      <c r="E15175" s="36"/>
      <c r="F15175" s="42"/>
      <c r="G15175" s="42"/>
      <c r="H15175" s="42"/>
      <c r="AG15175" s="19"/>
    </row>
    <row r="15176" spans="1:33" ht="14.5" x14ac:dyDescent="0.35">
      <c r="A15176" s="34"/>
      <c r="B15176" s="35"/>
      <c r="C15176" s="36"/>
      <c r="D15176" s="37"/>
      <c r="E15176" s="36"/>
      <c r="F15176" s="42"/>
      <c r="G15176" s="42"/>
      <c r="H15176" s="42"/>
      <c r="AG15176" s="19"/>
    </row>
    <row r="15177" spans="1:33" ht="14.5" x14ac:dyDescent="0.35">
      <c r="A15177" s="34"/>
      <c r="B15177" s="35"/>
      <c r="C15177" s="36"/>
      <c r="D15177" s="37"/>
      <c r="E15177" s="36"/>
      <c r="F15177" s="42"/>
      <c r="G15177" s="42"/>
      <c r="H15177" s="42"/>
      <c r="AG15177" s="19"/>
    </row>
    <row r="15178" spans="1:33" ht="14.5" x14ac:dyDescent="0.35">
      <c r="A15178" s="34"/>
      <c r="B15178" s="35"/>
      <c r="C15178" s="36"/>
      <c r="D15178" s="37"/>
      <c r="E15178" s="36"/>
      <c r="F15178" s="42"/>
      <c r="G15178" s="42"/>
      <c r="H15178" s="42"/>
      <c r="AG15178" s="19"/>
    </row>
    <row r="15179" spans="1:33" ht="14.5" x14ac:dyDescent="0.35">
      <c r="A15179" s="34"/>
      <c r="B15179" s="35"/>
      <c r="C15179" s="36"/>
      <c r="D15179" s="37"/>
      <c r="E15179" s="36"/>
      <c r="F15179" s="42"/>
      <c r="G15179" s="42"/>
      <c r="H15179" s="42"/>
      <c r="AG15179" s="19"/>
    </row>
    <row r="15180" spans="1:33" ht="14.5" x14ac:dyDescent="0.35">
      <c r="A15180" s="34"/>
      <c r="B15180" s="35"/>
      <c r="C15180" s="36"/>
      <c r="D15180" s="37"/>
      <c r="E15180" s="36"/>
      <c r="F15180" s="42"/>
      <c r="G15180" s="42"/>
      <c r="H15180" s="42"/>
      <c r="AG15180" s="19"/>
    </row>
    <row r="15181" spans="1:33" ht="14.5" x14ac:dyDescent="0.35">
      <c r="A15181" s="34"/>
      <c r="B15181" s="35"/>
      <c r="C15181" s="36"/>
      <c r="D15181" s="37"/>
      <c r="E15181" s="36"/>
      <c r="F15181" s="42"/>
      <c r="G15181" s="42"/>
      <c r="H15181" s="42"/>
      <c r="AG15181" s="19"/>
    </row>
    <row r="15182" spans="1:33" ht="14.5" x14ac:dyDescent="0.35">
      <c r="A15182" s="34"/>
      <c r="B15182" s="35"/>
      <c r="C15182" s="36"/>
      <c r="D15182" s="37"/>
      <c r="E15182" s="36"/>
      <c r="F15182" s="42"/>
      <c r="G15182" s="42"/>
      <c r="H15182" s="42"/>
      <c r="AG15182" s="19"/>
    </row>
    <row r="15183" spans="1:33" ht="14.5" x14ac:dyDescent="0.35">
      <c r="A15183" s="34"/>
      <c r="B15183" s="35"/>
      <c r="C15183" s="36"/>
      <c r="D15183" s="37"/>
      <c r="E15183" s="36"/>
      <c r="F15183" s="42"/>
      <c r="G15183" s="42"/>
      <c r="H15183" s="42"/>
      <c r="AG15183" s="19"/>
    </row>
    <row r="15184" spans="1:33" ht="14.5" x14ac:dyDescent="0.35">
      <c r="A15184" s="34"/>
      <c r="B15184" s="35"/>
      <c r="C15184" s="36"/>
      <c r="D15184" s="37"/>
      <c r="E15184" s="36"/>
      <c r="F15184" s="42"/>
      <c r="G15184" s="42"/>
      <c r="H15184" s="42"/>
      <c r="AG15184" s="19"/>
    </row>
    <row r="15185" spans="1:33" ht="14.5" x14ac:dyDescent="0.35">
      <c r="A15185" s="34"/>
      <c r="B15185" s="35"/>
      <c r="C15185" s="36"/>
      <c r="D15185" s="37"/>
      <c r="E15185" s="36"/>
      <c r="F15185" s="42"/>
      <c r="G15185" s="42"/>
      <c r="H15185" s="42"/>
      <c r="AG15185" s="19"/>
    </row>
    <row r="15186" spans="1:33" ht="14.5" x14ac:dyDescent="0.35">
      <c r="A15186" s="34"/>
      <c r="B15186" s="35"/>
      <c r="C15186" s="36"/>
      <c r="D15186" s="37"/>
      <c r="E15186" s="36"/>
      <c r="F15186" s="42"/>
      <c r="G15186" s="42"/>
      <c r="H15186" s="42"/>
      <c r="AG15186" s="19"/>
    </row>
    <row r="15187" spans="1:33" ht="14.5" x14ac:dyDescent="0.35">
      <c r="A15187" s="34"/>
      <c r="B15187" s="35"/>
      <c r="C15187" s="36"/>
      <c r="D15187" s="37"/>
      <c r="E15187" s="36"/>
      <c r="F15187" s="42"/>
      <c r="G15187" s="42"/>
      <c r="H15187" s="42"/>
      <c r="AG15187" s="19"/>
    </row>
    <row r="15188" spans="1:33" ht="14.5" x14ac:dyDescent="0.35">
      <c r="A15188" s="34"/>
      <c r="B15188" s="35"/>
      <c r="C15188" s="36"/>
      <c r="D15188" s="37"/>
      <c r="E15188" s="36"/>
      <c r="F15188" s="42"/>
      <c r="G15188" s="42"/>
      <c r="H15188" s="42"/>
      <c r="AG15188" s="19"/>
    </row>
    <row r="15189" spans="1:33" ht="14.5" x14ac:dyDescent="0.35">
      <c r="A15189" s="34"/>
      <c r="B15189" s="35"/>
      <c r="C15189" s="36"/>
      <c r="D15189" s="37"/>
      <c r="E15189" s="36"/>
      <c r="F15189" s="42"/>
      <c r="G15189" s="42"/>
      <c r="H15189" s="42"/>
      <c r="AG15189" s="19"/>
    </row>
    <row r="15190" spans="1:33" ht="14.5" x14ac:dyDescent="0.35">
      <c r="A15190" s="34"/>
      <c r="B15190" s="35"/>
      <c r="C15190" s="36"/>
      <c r="D15190" s="37"/>
      <c r="E15190" s="36"/>
      <c r="F15190" s="42"/>
      <c r="G15190" s="42"/>
      <c r="H15190" s="42"/>
      <c r="AG15190" s="19"/>
    </row>
    <row r="15191" spans="1:33" ht="14.5" x14ac:dyDescent="0.35">
      <c r="A15191" s="34"/>
      <c r="B15191" s="35"/>
      <c r="C15191" s="36"/>
      <c r="D15191" s="37"/>
      <c r="E15191" s="36"/>
      <c r="F15191" s="42"/>
      <c r="G15191" s="42"/>
      <c r="H15191" s="42"/>
      <c r="AG15191" s="19"/>
    </row>
    <row r="15192" spans="1:33" ht="14.5" x14ac:dyDescent="0.35">
      <c r="A15192" s="34"/>
      <c r="B15192" s="35"/>
      <c r="C15192" s="36"/>
      <c r="D15192" s="37"/>
      <c r="E15192" s="36"/>
      <c r="F15192" s="42"/>
      <c r="G15192" s="42"/>
      <c r="H15192" s="42"/>
      <c r="AG15192" s="19"/>
    </row>
    <row r="15193" spans="1:33" ht="14.5" x14ac:dyDescent="0.35">
      <c r="A15193" s="34"/>
      <c r="B15193" s="35"/>
      <c r="C15193" s="36"/>
      <c r="D15193" s="37"/>
      <c r="E15193" s="36"/>
      <c r="F15193" s="42"/>
      <c r="G15193" s="42"/>
      <c r="H15193" s="42"/>
      <c r="AG15193" s="19"/>
    </row>
    <row r="15194" spans="1:33" ht="14.5" x14ac:dyDescent="0.35">
      <c r="A15194" s="34"/>
      <c r="B15194" s="35"/>
      <c r="C15194" s="36"/>
      <c r="D15194" s="37"/>
      <c r="E15194" s="36"/>
      <c r="F15194" s="42"/>
      <c r="G15194" s="42"/>
      <c r="H15194" s="42"/>
      <c r="AG15194" s="19"/>
    </row>
    <row r="15195" spans="1:33" ht="14.5" x14ac:dyDescent="0.35">
      <c r="A15195" s="34"/>
      <c r="B15195" s="35"/>
      <c r="C15195" s="36"/>
      <c r="D15195" s="37"/>
      <c r="E15195" s="36"/>
      <c r="F15195" s="42"/>
      <c r="G15195" s="42"/>
      <c r="H15195" s="42"/>
      <c r="AG15195" s="19"/>
    </row>
    <row r="15196" spans="1:33" ht="14.5" x14ac:dyDescent="0.35">
      <c r="A15196" s="34"/>
      <c r="B15196" s="35"/>
      <c r="C15196" s="36"/>
      <c r="D15196" s="37"/>
      <c r="E15196" s="36"/>
      <c r="F15196" s="42"/>
      <c r="G15196" s="42"/>
      <c r="H15196" s="42"/>
      <c r="AG15196" s="19"/>
    </row>
    <row r="15197" spans="1:33" ht="14.5" x14ac:dyDescent="0.35">
      <c r="A15197" s="34"/>
      <c r="B15197" s="35"/>
      <c r="C15197" s="36"/>
      <c r="D15197" s="37"/>
      <c r="E15197" s="36"/>
      <c r="F15197" s="42"/>
      <c r="G15197" s="42"/>
      <c r="H15197" s="42"/>
      <c r="AG15197" s="19"/>
    </row>
    <row r="15198" spans="1:33" ht="14.5" x14ac:dyDescent="0.35">
      <c r="A15198" s="34"/>
      <c r="B15198" s="35"/>
      <c r="C15198" s="36"/>
      <c r="D15198" s="37"/>
      <c r="E15198" s="36"/>
      <c r="F15198" s="42"/>
      <c r="G15198" s="42"/>
      <c r="H15198" s="42"/>
      <c r="AG15198" s="19"/>
    </row>
    <row r="15199" spans="1:33" ht="14.5" x14ac:dyDescent="0.35">
      <c r="A15199" s="34"/>
      <c r="B15199" s="35"/>
      <c r="C15199" s="36"/>
      <c r="D15199" s="37"/>
      <c r="E15199" s="36"/>
      <c r="F15199" s="42"/>
      <c r="G15199" s="42"/>
      <c r="H15199" s="42"/>
      <c r="AG15199" s="19"/>
    </row>
    <row r="15200" spans="1:33" ht="14.5" x14ac:dyDescent="0.35">
      <c r="A15200" s="34"/>
      <c r="B15200" s="35"/>
      <c r="C15200" s="36"/>
      <c r="D15200" s="37"/>
      <c r="E15200" s="36"/>
      <c r="F15200" s="42"/>
      <c r="G15200" s="42"/>
      <c r="H15200" s="42"/>
      <c r="AG15200" s="19"/>
    </row>
    <row r="15201" spans="1:33" ht="14.5" x14ac:dyDescent="0.35">
      <c r="A15201" s="34"/>
      <c r="B15201" s="35"/>
      <c r="C15201" s="36"/>
      <c r="D15201" s="37"/>
      <c r="E15201" s="36"/>
      <c r="F15201" s="42"/>
      <c r="G15201" s="42"/>
      <c r="H15201" s="42"/>
      <c r="AG15201" s="19"/>
    </row>
    <row r="15202" spans="1:33" ht="14.5" x14ac:dyDescent="0.35">
      <c r="A15202" s="34"/>
      <c r="B15202" s="35"/>
      <c r="C15202" s="36"/>
      <c r="D15202" s="37"/>
      <c r="E15202" s="36"/>
      <c r="F15202" s="42"/>
      <c r="G15202" s="42"/>
      <c r="H15202" s="42"/>
      <c r="AG15202" s="19"/>
    </row>
    <row r="15203" spans="1:33" ht="14.5" x14ac:dyDescent="0.35">
      <c r="A15203" s="34"/>
      <c r="B15203" s="35"/>
      <c r="C15203" s="36"/>
      <c r="D15203" s="37"/>
      <c r="E15203" s="36"/>
      <c r="F15203" s="42"/>
      <c r="G15203" s="42"/>
      <c r="H15203" s="42"/>
      <c r="AG15203" s="19"/>
    </row>
    <row r="15204" spans="1:33" ht="14.5" x14ac:dyDescent="0.35">
      <c r="A15204" s="34"/>
      <c r="B15204" s="35"/>
      <c r="C15204" s="36"/>
      <c r="D15204" s="37"/>
      <c r="E15204" s="36"/>
      <c r="F15204" s="42"/>
      <c r="G15204" s="42"/>
      <c r="H15204" s="42"/>
      <c r="AG15204" s="19"/>
    </row>
    <row r="15205" spans="1:33" ht="14.5" x14ac:dyDescent="0.35">
      <c r="A15205" s="34"/>
      <c r="B15205" s="35"/>
      <c r="C15205" s="36"/>
      <c r="D15205" s="37"/>
      <c r="E15205" s="36"/>
      <c r="F15205" s="42"/>
      <c r="G15205" s="42"/>
      <c r="H15205" s="42"/>
      <c r="AG15205" s="19"/>
    </row>
    <row r="15206" spans="1:33" ht="14.5" x14ac:dyDescent="0.35">
      <c r="A15206" s="34"/>
      <c r="B15206" s="35"/>
      <c r="C15206" s="36"/>
      <c r="D15206" s="37"/>
      <c r="E15206" s="36"/>
      <c r="F15206" s="42"/>
      <c r="G15206" s="42"/>
      <c r="H15206" s="42"/>
      <c r="AG15206" s="19"/>
    </row>
    <row r="15207" spans="1:33" ht="14.5" x14ac:dyDescent="0.35">
      <c r="A15207" s="34"/>
      <c r="B15207" s="35"/>
      <c r="C15207" s="36"/>
      <c r="D15207" s="37"/>
      <c r="E15207" s="36"/>
      <c r="F15207" s="42"/>
      <c r="G15207" s="42"/>
      <c r="H15207" s="42"/>
      <c r="AG15207" s="19"/>
    </row>
    <row r="15208" spans="1:33" ht="14.5" x14ac:dyDescent="0.35">
      <c r="A15208" s="34"/>
      <c r="B15208" s="35"/>
      <c r="C15208" s="36"/>
      <c r="D15208" s="37"/>
      <c r="E15208" s="36"/>
      <c r="F15208" s="42"/>
      <c r="G15208" s="42"/>
      <c r="H15208" s="42"/>
      <c r="AG15208" s="19"/>
    </row>
    <row r="15209" spans="1:33" ht="14.5" x14ac:dyDescent="0.35">
      <c r="A15209" s="34"/>
      <c r="B15209" s="35"/>
      <c r="C15209" s="36"/>
      <c r="D15209" s="37"/>
      <c r="E15209" s="36"/>
      <c r="F15209" s="42"/>
      <c r="G15209" s="42"/>
      <c r="H15209" s="42"/>
      <c r="AG15209" s="19"/>
    </row>
    <row r="15210" spans="1:33" ht="14.5" x14ac:dyDescent="0.35">
      <c r="A15210" s="34"/>
      <c r="B15210" s="35"/>
      <c r="C15210" s="36"/>
      <c r="D15210" s="37"/>
      <c r="E15210" s="36"/>
      <c r="F15210" s="42"/>
      <c r="G15210" s="42"/>
      <c r="H15210" s="42"/>
      <c r="AG15210" s="19"/>
    </row>
    <row r="15211" spans="1:33" ht="14.5" x14ac:dyDescent="0.35">
      <c r="A15211" s="34"/>
      <c r="B15211" s="35"/>
      <c r="C15211" s="36"/>
      <c r="D15211" s="37"/>
      <c r="E15211" s="36"/>
      <c r="F15211" s="42"/>
      <c r="G15211" s="42"/>
      <c r="H15211" s="42"/>
      <c r="AG15211" s="19"/>
    </row>
    <row r="15212" spans="1:33" ht="14.5" x14ac:dyDescent="0.35">
      <c r="A15212" s="34"/>
      <c r="B15212" s="35"/>
      <c r="C15212" s="36"/>
      <c r="D15212" s="37"/>
      <c r="E15212" s="36"/>
      <c r="F15212" s="42"/>
      <c r="G15212" s="42"/>
      <c r="H15212" s="42"/>
      <c r="AG15212" s="19"/>
    </row>
    <row r="15213" spans="1:33" ht="14.5" x14ac:dyDescent="0.35">
      <c r="A15213" s="34"/>
      <c r="B15213" s="35"/>
      <c r="C15213" s="36"/>
      <c r="D15213" s="37"/>
      <c r="E15213" s="36"/>
      <c r="F15213" s="42"/>
      <c r="G15213" s="42"/>
      <c r="H15213" s="42"/>
      <c r="AG15213" s="19"/>
    </row>
    <row r="15214" spans="1:33" ht="14.5" x14ac:dyDescent="0.35">
      <c r="A15214" s="34"/>
      <c r="B15214" s="35"/>
      <c r="C15214" s="36"/>
      <c r="D15214" s="37"/>
      <c r="E15214" s="36"/>
      <c r="F15214" s="42"/>
      <c r="G15214" s="42"/>
      <c r="H15214" s="42"/>
      <c r="AG15214" s="19"/>
    </row>
    <row r="15215" spans="1:33" ht="14.5" x14ac:dyDescent="0.35">
      <c r="A15215" s="34"/>
      <c r="B15215" s="35"/>
      <c r="C15215" s="36"/>
      <c r="D15215" s="37"/>
      <c r="E15215" s="36"/>
      <c r="F15215" s="42"/>
      <c r="G15215" s="42"/>
      <c r="H15215" s="42"/>
      <c r="AG15215" s="19"/>
    </row>
    <row r="15216" spans="1:33" ht="14.5" x14ac:dyDescent="0.35">
      <c r="A15216" s="34"/>
      <c r="B15216" s="35"/>
      <c r="C15216" s="36"/>
      <c r="D15216" s="37"/>
      <c r="E15216" s="36"/>
      <c r="F15216" s="42"/>
      <c r="G15216" s="42"/>
      <c r="H15216" s="42"/>
      <c r="AG15216" s="19"/>
    </row>
    <row r="15217" spans="1:33" ht="14.5" x14ac:dyDescent="0.35">
      <c r="A15217" s="34"/>
      <c r="B15217" s="35"/>
      <c r="C15217" s="36"/>
      <c r="D15217" s="37"/>
      <c r="E15217" s="36"/>
      <c r="F15217" s="42"/>
      <c r="G15217" s="42"/>
      <c r="H15217" s="42"/>
      <c r="AG15217" s="19"/>
    </row>
    <row r="15218" spans="1:33" ht="14.5" x14ac:dyDescent="0.35">
      <c r="A15218" s="34"/>
      <c r="B15218" s="35"/>
      <c r="C15218" s="36"/>
      <c r="D15218" s="37"/>
      <c r="E15218" s="36"/>
      <c r="F15218" s="42"/>
      <c r="G15218" s="42"/>
      <c r="H15218" s="42"/>
      <c r="AG15218" s="19"/>
    </row>
    <row r="15219" spans="1:33" ht="14.5" x14ac:dyDescent="0.35">
      <c r="A15219" s="34"/>
      <c r="B15219" s="35"/>
      <c r="C15219" s="36"/>
      <c r="D15219" s="37"/>
      <c r="E15219" s="36"/>
      <c r="F15219" s="42"/>
      <c r="G15219" s="42"/>
      <c r="H15219" s="42"/>
      <c r="AG15219" s="19"/>
    </row>
    <row r="15220" spans="1:33" ht="14.5" x14ac:dyDescent="0.35">
      <c r="A15220" s="34"/>
      <c r="B15220" s="35"/>
      <c r="C15220" s="36"/>
      <c r="D15220" s="37"/>
      <c r="E15220" s="36"/>
      <c r="F15220" s="42"/>
      <c r="G15220" s="42"/>
      <c r="H15220" s="42"/>
      <c r="AG15220" s="19"/>
    </row>
    <row r="15221" spans="1:33" ht="14.5" x14ac:dyDescent="0.35">
      <c r="A15221" s="34"/>
      <c r="B15221" s="35"/>
      <c r="C15221" s="36"/>
      <c r="D15221" s="37"/>
      <c r="E15221" s="36"/>
      <c r="F15221" s="42"/>
      <c r="G15221" s="42"/>
      <c r="H15221" s="42"/>
      <c r="AG15221" s="19"/>
    </row>
    <row r="15222" spans="1:33" ht="14.5" x14ac:dyDescent="0.35">
      <c r="A15222" s="34"/>
      <c r="B15222" s="35"/>
      <c r="C15222" s="36"/>
      <c r="D15222" s="37"/>
      <c r="E15222" s="36"/>
      <c r="F15222" s="42"/>
      <c r="G15222" s="42"/>
      <c r="H15222" s="42"/>
      <c r="AG15222" s="19"/>
    </row>
    <row r="15223" spans="1:33" ht="14.5" x14ac:dyDescent="0.35">
      <c r="A15223" s="34"/>
      <c r="B15223" s="35"/>
      <c r="C15223" s="36"/>
      <c r="D15223" s="37"/>
      <c r="E15223" s="36"/>
      <c r="F15223" s="42"/>
      <c r="G15223" s="42"/>
      <c r="H15223" s="42"/>
      <c r="AG15223" s="19"/>
    </row>
    <row r="15224" spans="1:33" ht="14.5" x14ac:dyDescent="0.35">
      <c r="A15224" s="34"/>
      <c r="B15224" s="35"/>
      <c r="C15224" s="36"/>
      <c r="D15224" s="37"/>
      <c r="E15224" s="36"/>
      <c r="F15224" s="42"/>
      <c r="G15224" s="42"/>
      <c r="H15224" s="42"/>
      <c r="AG15224" s="19"/>
    </row>
    <row r="15225" spans="1:33" ht="14.5" x14ac:dyDescent="0.35">
      <c r="A15225" s="34"/>
      <c r="B15225" s="35"/>
      <c r="C15225" s="36"/>
      <c r="D15225" s="37"/>
      <c r="E15225" s="36"/>
      <c r="F15225" s="42"/>
      <c r="G15225" s="42"/>
      <c r="H15225" s="42"/>
      <c r="AG15225" s="19"/>
    </row>
    <row r="15226" spans="1:33" ht="14.5" x14ac:dyDescent="0.35">
      <c r="A15226" s="34"/>
      <c r="B15226" s="35"/>
      <c r="C15226" s="36"/>
      <c r="D15226" s="37"/>
      <c r="E15226" s="36"/>
      <c r="F15226" s="42"/>
      <c r="G15226" s="42"/>
      <c r="H15226" s="42"/>
      <c r="AG15226" s="19"/>
    </row>
    <row r="15227" spans="1:33" ht="14.5" x14ac:dyDescent="0.35">
      <c r="A15227" s="34"/>
      <c r="B15227" s="35"/>
      <c r="C15227" s="36"/>
      <c r="D15227" s="37"/>
      <c r="E15227" s="36"/>
      <c r="F15227" s="42"/>
      <c r="G15227" s="42"/>
      <c r="H15227" s="42"/>
      <c r="AG15227" s="19"/>
    </row>
    <row r="15228" spans="1:33" ht="14.5" x14ac:dyDescent="0.35">
      <c r="A15228" s="34"/>
      <c r="B15228" s="35"/>
      <c r="C15228" s="36"/>
      <c r="D15228" s="37"/>
      <c r="E15228" s="36"/>
      <c r="F15228" s="42"/>
      <c r="G15228" s="42"/>
      <c r="H15228" s="42"/>
      <c r="AG15228" s="19"/>
    </row>
    <row r="15229" spans="1:33" ht="14.5" x14ac:dyDescent="0.35">
      <c r="A15229" s="34"/>
      <c r="B15229" s="35"/>
      <c r="C15229" s="36"/>
      <c r="D15229" s="37"/>
      <c r="E15229" s="36"/>
      <c r="F15229" s="42"/>
      <c r="G15229" s="42"/>
      <c r="H15229" s="42"/>
      <c r="AG15229" s="19"/>
    </row>
    <row r="15230" spans="1:33" ht="14.5" x14ac:dyDescent="0.35">
      <c r="A15230" s="34"/>
      <c r="B15230" s="35"/>
      <c r="C15230" s="36"/>
      <c r="D15230" s="37"/>
      <c r="E15230" s="36"/>
      <c r="F15230" s="42"/>
      <c r="G15230" s="42"/>
      <c r="H15230" s="42"/>
      <c r="AG15230" s="19"/>
    </row>
    <row r="15231" spans="1:33" ht="14.5" x14ac:dyDescent="0.35">
      <c r="A15231" s="34"/>
      <c r="B15231" s="35"/>
      <c r="C15231" s="36"/>
      <c r="D15231" s="37"/>
      <c r="E15231" s="36"/>
      <c r="F15231" s="42"/>
      <c r="G15231" s="42"/>
      <c r="H15231" s="42"/>
      <c r="AG15231" s="19"/>
    </row>
    <row r="15232" spans="1:33" ht="14.5" x14ac:dyDescent="0.35">
      <c r="A15232" s="34"/>
      <c r="B15232" s="35"/>
      <c r="C15232" s="36"/>
      <c r="D15232" s="37"/>
      <c r="E15232" s="36"/>
      <c r="F15232" s="42"/>
      <c r="G15232" s="42"/>
      <c r="H15232" s="42"/>
      <c r="AG15232" s="19"/>
    </row>
    <row r="15233" spans="1:33" ht="14.5" x14ac:dyDescent="0.35">
      <c r="A15233" s="34"/>
      <c r="B15233" s="35"/>
      <c r="C15233" s="36"/>
      <c r="D15233" s="37"/>
      <c r="E15233" s="36"/>
      <c r="F15233" s="42"/>
      <c r="G15233" s="42"/>
      <c r="H15233" s="42"/>
      <c r="AG15233" s="19"/>
    </row>
    <row r="15234" spans="1:33" ht="14.5" x14ac:dyDescent="0.35">
      <c r="A15234" s="34"/>
      <c r="B15234" s="35"/>
      <c r="C15234" s="36"/>
      <c r="D15234" s="37"/>
      <c r="E15234" s="36"/>
      <c r="F15234" s="42"/>
      <c r="G15234" s="42"/>
      <c r="H15234" s="42"/>
      <c r="AG15234" s="19"/>
    </row>
    <row r="15235" spans="1:33" ht="14.5" x14ac:dyDescent="0.35">
      <c r="A15235" s="34"/>
      <c r="B15235" s="35"/>
      <c r="C15235" s="36"/>
      <c r="D15235" s="37"/>
      <c r="E15235" s="36"/>
      <c r="F15235" s="42"/>
      <c r="G15235" s="42"/>
      <c r="H15235" s="42"/>
      <c r="AG15235" s="19"/>
    </row>
    <row r="15236" spans="1:33" ht="14.5" x14ac:dyDescent="0.35">
      <c r="A15236" s="34"/>
      <c r="B15236" s="35"/>
      <c r="C15236" s="36"/>
      <c r="D15236" s="37"/>
      <c r="E15236" s="36"/>
      <c r="F15236" s="42"/>
      <c r="G15236" s="42"/>
      <c r="H15236" s="42"/>
      <c r="AG15236" s="19"/>
    </row>
    <row r="15237" spans="1:33" ht="14.5" x14ac:dyDescent="0.35">
      <c r="A15237" s="34"/>
      <c r="B15237" s="35"/>
      <c r="C15237" s="36"/>
      <c r="D15237" s="37"/>
      <c r="E15237" s="36"/>
      <c r="F15237" s="42"/>
      <c r="G15237" s="42"/>
      <c r="H15237" s="42"/>
      <c r="AG15237" s="19"/>
    </row>
    <row r="15238" spans="1:33" ht="14.5" x14ac:dyDescent="0.35">
      <c r="A15238" s="34"/>
      <c r="B15238" s="35"/>
      <c r="C15238" s="36"/>
      <c r="D15238" s="37"/>
      <c r="E15238" s="36"/>
      <c r="F15238" s="42"/>
      <c r="G15238" s="42"/>
      <c r="H15238" s="42"/>
      <c r="AG15238" s="19"/>
    </row>
    <row r="15239" spans="1:33" ht="14.5" x14ac:dyDescent="0.35">
      <c r="A15239" s="34"/>
      <c r="B15239" s="35"/>
      <c r="C15239" s="36"/>
      <c r="D15239" s="37"/>
      <c r="E15239" s="36"/>
      <c r="F15239" s="42"/>
      <c r="G15239" s="42"/>
      <c r="H15239" s="42"/>
      <c r="AG15239" s="19"/>
    </row>
    <row r="15240" spans="1:33" ht="14.5" x14ac:dyDescent="0.35">
      <c r="A15240" s="34"/>
      <c r="B15240" s="35"/>
      <c r="C15240" s="36"/>
      <c r="D15240" s="37"/>
      <c r="E15240" s="36"/>
      <c r="F15240" s="42"/>
      <c r="G15240" s="42"/>
      <c r="H15240" s="42"/>
      <c r="AG15240" s="19"/>
    </row>
    <row r="15241" spans="1:33" ht="14.5" x14ac:dyDescent="0.35">
      <c r="A15241" s="34"/>
      <c r="B15241" s="35"/>
      <c r="C15241" s="36"/>
      <c r="D15241" s="37"/>
      <c r="E15241" s="36"/>
      <c r="F15241" s="42"/>
      <c r="G15241" s="42"/>
      <c r="H15241" s="42"/>
      <c r="AG15241" s="19"/>
    </row>
    <row r="15242" spans="1:33" ht="14.5" x14ac:dyDescent="0.35">
      <c r="A15242" s="34"/>
      <c r="B15242" s="35"/>
      <c r="C15242" s="36"/>
      <c r="D15242" s="37"/>
      <c r="E15242" s="36"/>
      <c r="F15242" s="42"/>
      <c r="G15242" s="42"/>
      <c r="H15242" s="42"/>
      <c r="AG15242" s="19"/>
    </row>
    <row r="15243" spans="1:33" ht="14.5" x14ac:dyDescent="0.35">
      <c r="A15243" s="34"/>
      <c r="B15243" s="35"/>
      <c r="C15243" s="36"/>
      <c r="D15243" s="37"/>
      <c r="E15243" s="36"/>
      <c r="F15243" s="42"/>
      <c r="G15243" s="42"/>
      <c r="H15243" s="42"/>
      <c r="AG15243" s="19"/>
    </row>
    <row r="15244" spans="1:33" ht="14.5" x14ac:dyDescent="0.35">
      <c r="A15244" s="34"/>
      <c r="B15244" s="35"/>
      <c r="C15244" s="36"/>
      <c r="D15244" s="37"/>
      <c r="E15244" s="36"/>
      <c r="F15244" s="42"/>
      <c r="G15244" s="42"/>
      <c r="H15244" s="42"/>
      <c r="AG15244" s="19"/>
    </row>
    <row r="15245" spans="1:33" ht="14.5" x14ac:dyDescent="0.35">
      <c r="A15245" s="34"/>
      <c r="B15245" s="35"/>
      <c r="C15245" s="36"/>
      <c r="D15245" s="37"/>
      <c r="E15245" s="36"/>
      <c r="F15245" s="42"/>
      <c r="G15245" s="42"/>
      <c r="H15245" s="42"/>
      <c r="AG15245" s="19"/>
    </row>
    <row r="15246" spans="1:33" ht="14.5" x14ac:dyDescent="0.35">
      <c r="A15246" s="34"/>
      <c r="B15246" s="35"/>
      <c r="C15246" s="36"/>
      <c r="D15246" s="37"/>
      <c r="E15246" s="36"/>
      <c r="F15246" s="42"/>
      <c r="G15246" s="42"/>
      <c r="H15246" s="42"/>
      <c r="AG15246" s="19"/>
    </row>
    <row r="15247" spans="1:33" ht="14.5" x14ac:dyDescent="0.35">
      <c r="A15247" s="34"/>
      <c r="B15247" s="35"/>
      <c r="C15247" s="36"/>
      <c r="D15247" s="37"/>
      <c r="E15247" s="36"/>
      <c r="F15247" s="42"/>
      <c r="G15247" s="42"/>
      <c r="H15247" s="42"/>
      <c r="AG15247" s="19"/>
    </row>
    <row r="15248" spans="1:33" ht="14.5" x14ac:dyDescent="0.35">
      <c r="A15248" s="34"/>
      <c r="B15248" s="35"/>
      <c r="C15248" s="36"/>
      <c r="D15248" s="37"/>
      <c r="E15248" s="36"/>
      <c r="F15248" s="42"/>
      <c r="G15248" s="42"/>
      <c r="H15248" s="42"/>
      <c r="AG15248" s="19"/>
    </row>
    <row r="15249" spans="1:33" ht="14.5" x14ac:dyDescent="0.35">
      <c r="A15249" s="34"/>
      <c r="B15249" s="35"/>
      <c r="C15249" s="36"/>
      <c r="D15249" s="37"/>
      <c r="E15249" s="36"/>
      <c r="F15249" s="42"/>
      <c r="G15249" s="42"/>
      <c r="H15249" s="42"/>
      <c r="AG15249" s="19"/>
    </row>
    <row r="15250" spans="1:33" ht="14.5" x14ac:dyDescent="0.35">
      <c r="A15250" s="34"/>
      <c r="B15250" s="35"/>
      <c r="C15250" s="36"/>
      <c r="D15250" s="37"/>
      <c r="E15250" s="36"/>
      <c r="F15250" s="42"/>
      <c r="G15250" s="42"/>
      <c r="H15250" s="42"/>
      <c r="AG15250" s="19"/>
    </row>
    <row r="15251" spans="1:33" ht="14.5" x14ac:dyDescent="0.35">
      <c r="A15251" s="34"/>
      <c r="B15251" s="35"/>
      <c r="C15251" s="36"/>
      <c r="D15251" s="37"/>
      <c r="E15251" s="36"/>
      <c r="F15251" s="42"/>
      <c r="G15251" s="42"/>
      <c r="H15251" s="42"/>
      <c r="AG15251" s="19"/>
    </row>
    <row r="15252" spans="1:33" ht="14.5" x14ac:dyDescent="0.35">
      <c r="A15252" s="34"/>
      <c r="B15252" s="35"/>
      <c r="C15252" s="36"/>
      <c r="D15252" s="37"/>
      <c r="E15252" s="36"/>
      <c r="F15252" s="42"/>
      <c r="G15252" s="42"/>
      <c r="H15252" s="42"/>
      <c r="AG15252" s="19"/>
    </row>
    <row r="15253" spans="1:33" ht="14.5" x14ac:dyDescent="0.35">
      <c r="A15253" s="34"/>
      <c r="B15253" s="35"/>
      <c r="C15253" s="36"/>
      <c r="D15253" s="37"/>
      <c r="E15253" s="36"/>
      <c r="F15253" s="42"/>
      <c r="G15253" s="42"/>
      <c r="H15253" s="42"/>
      <c r="AG15253" s="19"/>
    </row>
    <row r="15254" spans="1:33" ht="14.5" x14ac:dyDescent="0.35">
      <c r="A15254" s="34"/>
      <c r="B15254" s="35"/>
      <c r="C15254" s="36"/>
      <c r="D15254" s="37"/>
      <c r="E15254" s="36"/>
      <c r="F15254" s="42"/>
      <c r="G15254" s="42"/>
      <c r="H15254" s="42"/>
      <c r="AG15254" s="19"/>
    </row>
    <row r="15255" spans="1:33" ht="14.5" x14ac:dyDescent="0.35">
      <c r="A15255" s="34"/>
      <c r="B15255" s="35"/>
      <c r="C15255" s="36"/>
      <c r="D15255" s="37"/>
      <c r="E15255" s="36"/>
      <c r="F15255" s="42"/>
      <c r="G15255" s="42"/>
      <c r="H15255" s="42"/>
      <c r="AG15255" s="19"/>
    </row>
    <row r="15256" spans="1:33" ht="14.5" x14ac:dyDescent="0.35">
      <c r="A15256" s="34"/>
      <c r="B15256" s="35"/>
      <c r="C15256" s="36"/>
      <c r="D15256" s="37"/>
      <c r="E15256" s="36"/>
      <c r="F15256" s="42"/>
      <c r="G15256" s="42"/>
      <c r="H15256" s="42"/>
      <c r="AG15256" s="19"/>
    </row>
    <row r="15257" spans="1:33" ht="14.5" x14ac:dyDescent="0.35">
      <c r="A15257" s="34"/>
      <c r="B15257" s="35"/>
      <c r="C15257" s="36"/>
      <c r="D15257" s="37"/>
      <c r="E15257" s="36"/>
      <c r="F15257" s="42"/>
      <c r="G15257" s="42"/>
      <c r="H15257" s="42"/>
      <c r="AG15257" s="19"/>
    </row>
    <row r="15258" spans="1:33" ht="14.5" x14ac:dyDescent="0.35">
      <c r="A15258" s="34"/>
      <c r="B15258" s="35"/>
      <c r="C15258" s="36"/>
      <c r="D15258" s="37"/>
      <c r="E15258" s="36"/>
      <c r="F15258" s="42"/>
      <c r="G15258" s="42"/>
      <c r="H15258" s="42"/>
      <c r="AG15258" s="19"/>
    </row>
    <row r="15259" spans="1:33" ht="14.5" x14ac:dyDescent="0.35">
      <c r="A15259" s="34"/>
      <c r="B15259" s="35"/>
      <c r="C15259" s="36"/>
      <c r="D15259" s="37"/>
      <c r="E15259" s="36"/>
      <c r="F15259" s="42"/>
      <c r="G15259" s="42"/>
      <c r="H15259" s="42"/>
      <c r="AG15259" s="19"/>
    </row>
    <row r="15260" spans="1:33" ht="14.5" x14ac:dyDescent="0.35">
      <c r="A15260" s="34"/>
      <c r="B15260" s="35"/>
      <c r="C15260" s="36"/>
      <c r="D15260" s="37"/>
      <c r="E15260" s="36"/>
      <c r="F15260" s="42"/>
      <c r="G15260" s="42"/>
      <c r="H15260" s="42"/>
      <c r="AG15260" s="19"/>
    </row>
    <row r="15261" spans="1:33" ht="14.5" x14ac:dyDescent="0.35">
      <c r="A15261" s="34"/>
      <c r="B15261" s="35"/>
      <c r="C15261" s="36"/>
      <c r="D15261" s="37"/>
      <c r="E15261" s="36"/>
      <c r="F15261" s="42"/>
      <c r="G15261" s="42"/>
      <c r="H15261" s="42"/>
      <c r="AG15261" s="19"/>
    </row>
    <row r="15262" spans="1:33" ht="14.5" x14ac:dyDescent="0.35">
      <c r="A15262" s="34"/>
      <c r="B15262" s="35"/>
      <c r="C15262" s="36"/>
      <c r="D15262" s="37"/>
      <c r="E15262" s="36"/>
      <c r="F15262" s="42"/>
      <c r="G15262" s="42"/>
      <c r="H15262" s="42"/>
      <c r="AG15262" s="19"/>
    </row>
    <row r="15263" spans="1:33" ht="14.5" x14ac:dyDescent="0.35">
      <c r="A15263" s="34"/>
      <c r="B15263" s="35"/>
      <c r="C15263" s="36"/>
      <c r="D15263" s="37"/>
      <c r="E15263" s="36"/>
      <c r="F15263" s="42"/>
      <c r="G15263" s="42"/>
      <c r="H15263" s="42"/>
      <c r="AG15263" s="19"/>
    </row>
    <row r="15264" spans="1:33" ht="14.5" x14ac:dyDescent="0.35">
      <c r="A15264" s="34"/>
      <c r="B15264" s="35"/>
      <c r="C15264" s="36"/>
      <c r="D15264" s="37"/>
      <c r="E15264" s="36"/>
      <c r="F15264" s="42"/>
      <c r="G15264" s="42"/>
      <c r="H15264" s="42"/>
      <c r="AG15264" s="19"/>
    </row>
    <row r="15265" spans="1:33" ht="14.5" x14ac:dyDescent="0.35">
      <c r="A15265" s="34"/>
      <c r="B15265" s="35"/>
      <c r="C15265" s="36"/>
      <c r="D15265" s="37"/>
      <c r="E15265" s="36"/>
      <c r="F15265" s="42"/>
      <c r="G15265" s="42"/>
      <c r="H15265" s="42"/>
      <c r="AG15265" s="19"/>
    </row>
    <row r="15266" spans="1:33" ht="14.5" x14ac:dyDescent="0.35">
      <c r="A15266" s="34"/>
      <c r="B15266" s="35"/>
      <c r="C15266" s="36"/>
      <c r="D15266" s="37"/>
      <c r="E15266" s="36"/>
      <c r="F15266" s="42"/>
      <c r="G15266" s="42"/>
      <c r="H15266" s="42"/>
      <c r="AG15266" s="19"/>
    </row>
    <row r="15267" spans="1:33" ht="14.5" x14ac:dyDescent="0.35">
      <c r="A15267" s="34"/>
      <c r="B15267" s="35"/>
      <c r="C15267" s="36"/>
      <c r="D15267" s="37"/>
      <c r="E15267" s="36"/>
      <c r="F15267" s="42"/>
      <c r="G15267" s="42"/>
      <c r="H15267" s="42"/>
      <c r="AG15267" s="19"/>
    </row>
    <row r="15268" spans="1:33" ht="14.5" x14ac:dyDescent="0.35">
      <c r="A15268" s="34"/>
      <c r="B15268" s="35"/>
      <c r="C15268" s="36"/>
      <c r="D15268" s="37"/>
      <c r="E15268" s="36"/>
      <c r="F15268" s="42"/>
      <c r="G15268" s="42"/>
      <c r="H15268" s="42"/>
      <c r="AG15268" s="19"/>
    </row>
    <row r="15269" spans="1:33" ht="14.5" x14ac:dyDescent="0.35">
      <c r="A15269" s="34"/>
      <c r="B15269" s="35"/>
      <c r="C15269" s="36"/>
      <c r="D15269" s="37"/>
      <c r="E15269" s="36"/>
      <c r="F15269" s="42"/>
      <c r="G15269" s="42"/>
      <c r="H15269" s="42"/>
      <c r="AG15269" s="19"/>
    </row>
    <row r="15270" spans="1:33" ht="14.5" x14ac:dyDescent="0.35">
      <c r="A15270" s="34"/>
      <c r="B15270" s="35"/>
      <c r="C15270" s="36"/>
      <c r="D15270" s="37"/>
      <c r="E15270" s="36"/>
      <c r="F15270" s="42"/>
      <c r="G15270" s="42"/>
      <c r="H15270" s="42"/>
      <c r="AG15270" s="19"/>
    </row>
    <row r="15271" spans="1:33" ht="14.5" x14ac:dyDescent="0.35">
      <c r="A15271" s="34"/>
      <c r="B15271" s="35"/>
      <c r="C15271" s="36"/>
      <c r="D15271" s="37"/>
      <c r="E15271" s="36"/>
      <c r="F15271" s="42"/>
      <c r="G15271" s="42"/>
      <c r="H15271" s="42"/>
      <c r="AG15271" s="19"/>
    </row>
    <row r="15272" spans="1:33" ht="14.5" x14ac:dyDescent="0.35">
      <c r="A15272" s="34"/>
      <c r="B15272" s="35"/>
      <c r="C15272" s="36"/>
      <c r="D15272" s="37"/>
      <c r="E15272" s="36"/>
      <c r="F15272" s="42"/>
      <c r="G15272" s="42"/>
      <c r="H15272" s="42"/>
      <c r="AG15272" s="19"/>
    </row>
    <row r="15273" spans="1:33" ht="14.5" x14ac:dyDescent="0.35">
      <c r="A15273" s="34"/>
      <c r="B15273" s="35"/>
      <c r="C15273" s="36"/>
      <c r="D15273" s="37"/>
      <c r="E15273" s="36"/>
      <c r="F15273" s="42"/>
      <c r="G15273" s="42"/>
      <c r="H15273" s="42"/>
      <c r="AG15273" s="19"/>
    </row>
    <row r="15274" spans="1:33" ht="14.5" x14ac:dyDescent="0.35">
      <c r="A15274" s="34"/>
      <c r="B15274" s="35"/>
      <c r="C15274" s="36"/>
      <c r="D15274" s="37"/>
      <c r="E15274" s="36"/>
      <c r="F15274" s="42"/>
      <c r="G15274" s="42"/>
      <c r="H15274" s="42"/>
      <c r="AG15274" s="19"/>
    </row>
    <row r="15275" spans="1:33" ht="14.5" x14ac:dyDescent="0.35">
      <c r="A15275" s="34"/>
      <c r="B15275" s="35"/>
      <c r="C15275" s="36"/>
      <c r="D15275" s="37"/>
      <c r="E15275" s="36"/>
      <c r="F15275" s="42"/>
      <c r="G15275" s="42"/>
      <c r="H15275" s="42"/>
      <c r="AG15275" s="19"/>
    </row>
    <row r="15276" spans="1:33" ht="14.5" x14ac:dyDescent="0.35">
      <c r="A15276" s="34"/>
      <c r="B15276" s="35"/>
      <c r="C15276" s="36"/>
      <c r="D15276" s="37"/>
      <c r="E15276" s="36"/>
      <c r="F15276" s="42"/>
      <c r="G15276" s="42"/>
      <c r="H15276" s="42"/>
      <c r="AG15276" s="19"/>
    </row>
    <row r="15277" spans="1:33" ht="14.5" x14ac:dyDescent="0.35">
      <c r="A15277" s="34"/>
      <c r="B15277" s="35"/>
      <c r="C15277" s="36"/>
      <c r="D15277" s="37"/>
      <c r="E15277" s="36"/>
      <c r="F15277" s="42"/>
      <c r="G15277" s="42"/>
      <c r="H15277" s="42"/>
      <c r="AG15277" s="19"/>
    </row>
    <row r="15278" spans="1:33" ht="14.5" x14ac:dyDescent="0.35">
      <c r="A15278" s="34"/>
      <c r="B15278" s="35"/>
      <c r="C15278" s="36"/>
      <c r="D15278" s="37"/>
      <c r="E15278" s="36"/>
      <c r="F15278" s="42"/>
      <c r="G15278" s="42"/>
      <c r="H15278" s="42"/>
      <c r="AG15278" s="19"/>
    </row>
    <row r="15279" spans="1:33" ht="14.5" x14ac:dyDescent="0.35">
      <c r="A15279" s="34"/>
      <c r="B15279" s="35"/>
      <c r="C15279" s="36"/>
      <c r="D15279" s="37"/>
      <c r="E15279" s="36"/>
      <c r="F15279" s="42"/>
      <c r="G15279" s="42"/>
      <c r="H15279" s="42"/>
      <c r="AG15279" s="19"/>
    </row>
    <row r="15280" spans="1:33" ht="14.5" x14ac:dyDescent="0.35">
      <c r="A15280" s="34"/>
      <c r="B15280" s="35"/>
      <c r="C15280" s="36"/>
      <c r="D15280" s="37"/>
      <c r="E15280" s="36"/>
      <c r="F15280" s="42"/>
      <c r="G15280" s="42"/>
      <c r="H15280" s="42"/>
      <c r="AG15280" s="19"/>
    </row>
    <row r="15281" spans="1:33" ht="14.5" x14ac:dyDescent="0.35">
      <c r="A15281" s="34"/>
      <c r="B15281" s="35"/>
      <c r="C15281" s="36"/>
      <c r="D15281" s="37"/>
      <c r="E15281" s="36"/>
      <c r="F15281" s="42"/>
      <c r="G15281" s="42"/>
      <c r="H15281" s="42"/>
      <c r="AG15281" s="19"/>
    </row>
    <row r="15282" spans="1:33" ht="14.5" x14ac:dyDescent="0.35">
      <c r="A15282" s="34"/>
      <c r="B15282" s="35"/>
      <c r="C15282" s="36"/>
      <c r="D15282" s="37"/>
      <c r="E15282" s="36"/>
      <c r="F15282" s="42"/>
      <c r="G15282" s="42"/>
      <c r="H15282" s="42"/>
      <c r="AG15282" s="19"/>
    </row>
    <row r="15283" spans="1:33" ht="14.5" x14ac:dyDescent="0.35">
      <c r="A15283" s="34"/>
      <c r="B15283" s="35"/>
      <c r="C15283" s="36"/>
      <c r="D15283" s="37"/>
      <c r="E15283" s="36"/>
      <c r="F15283" s="42"/>
      <c r="G15283" s="42"/>
      <c r="H15283" s="42"/>
      <c r="AG15283" s="19"/>
    </row>
    <row r="15284" spans="1:33" ht="14.5" x14ac:dyDescent="0.35">
      <c r="A15284" s="34"/>
      <c r="B15284" s="35"/>
      <c r="C15284" s="36"/>
      <c r="D15284" s="37"/>
      <c r="E15284" s="36"/>
      <c r="F15284" s="42"/>
      <c r="G15284" s="42"/>
      <c r="H15284" s="42"/>
      <c r="AG15284" s="19"/>
    </row>
    <row r="15285" spans="1:33" ht="14.5" x14ac:dyDescent="0.35">
      <c r="A15285" s="34"/>
      <c r="B15285" s="35"/>
      <c r="C15285" s="36"/>
      <c r="D15285" s="37"/>
      <c r="E15285" s="36"/>
      <c r="F15285" s="42"/>
      <c r="G15285" s="42"/>
      <c r="H15285" s="42"/>
      <c r="AG15285" s="19"/>
    </row>
    <row r="15286" spans="1:33" ht="14.5" x14ac:dyDescent="0.35">
      <c r="A15286" s="34"/>
      <c r="B15286" s="35"/>
      <c r="C15286" s="36"/>
      <c r="D15286" s="37"/>
      <c r="E15286" s="36"/>
      <c r="F15286" s="42"/>
      <c r="G15286" s="42"/>
      <c r="H15286" s="42"/>
      <c r="AG15286" s="19"/>
    </row>
    <row r="15287" spans="1:33" ht="14.5" x14ac:dyDescent="0.35">
      <c r="A15287" s="34"/>
      <c r="B15287" s="35"/>
      <c r="C15287" s="36"/>
      <c r="D15287" s="37"/>
      <c r="E15287" s="36"/>
      <c r="F15287" s="42"/>
      <c r="G15287" s="42"/>
      <c r="H15287" s="42"/>
      <c r="AG15287" s="19"/>
    </row>
    <row r="15288" spans="1:33" ht="14.5" x14ac:dyDescent="0.35">
      <c r="A15288" s="34"/>
      <c r="B15288" s="35"/>
      <c r="C15288" s="36"/>
      <c r="D15288" s="37"/>
      <c r="E15288" s="36"/>
      <c r="F15288" s="42"/>
      <c r="G15288" s="42"/>
      <c r="H15288" s="42"/>
      <c r="AG15288" s="19"/>
    </row>
    <row r="15289" spans="1:33" ht="14.5" x14ac:dyDescent="0.35">
      <c r="A15289" s="34"/>
      <c r="B15289" s="35"/>
      <c r="C15289" s="36"/>
      <c r="D15289" s="37"/>
      <c r="E15289" s="36"/>
      <c r="F15289" s="42"/>
      <c r="G15289" s="42"/>
      <c r="H15289" s="42"/>
      <c r="AG15289" s="19"/>
    </row>
    <row r="15290" spans="1:33" ht="14.5" x14ac:dyDescent="0.35">
      <c r="A15290" s="34"/>
      <c r="B15290" s="35"/>
      <c r="C15290" s="36"/>
      <c r="D15290" s="37"/>
      <c r="E15290" s="36"/>
      <c r="F15290" s="42"/>
      <c r="G15290" s="42"/>
      <c r="H15290" s="42"/>
      <c r="AG15290" s="19"/>
    </row>
    <row r="15291" spans="1:33" ht="14.5" x14ac:dyDescent="0.35">
      <c r="A15291" s="34"/>
      <c r="B15291" s="35"/>
      <c r="C15291" s="36"/>
      <c r="D15291" s="37"/>
      <c r="E15291" s="36"/>
      <c r="F15291" s="42"/>
      <c r="G15291" s="42"/>
      <c r="H15291" s="42"/>
      <c r="AG15291" s="19"/>
    </row>
    <row r="15292" spans="1:33" ht="14.5" x14ac:dyDescent="0.35">
      <c r="A15292" s="34"/>
      <c r="B15292" s="35"/>
      <c r="C15292" s="36"/>
      <c r="D15292" s="37"/>
      <c r="E15292" s="36"/>
      <c r="F15292" s="42"/>
      <c r="G15292" s="42"/>
      <c r="H15292" s="42"/>
      <c r="AG15292" s="19"/>
    </row>
    <row r="15293" spans="1:33" ht="14.5" x14ac:dyDescent="0.35">
      <c r="A15293" s="34"/>
      <c r="B15293" s="35"/>
      <c r="C15293" s="36"/>
      <c r="D15293" s="37"/>
      <c r="E15293" s="36"/>
      <c r="F15293" s="42"/>
      <c r="G15293" s="42"/>
      <c r="H15293" s="42"/>
      <c r="AG15293" s="19"/>
    </row>
    <row r="15294" spans="1:33" ht="14.5" x14ac:dyDescent="0.35">
      <c r="A15294" s="34"/>
      <c r="B15294" s="35"/>
      <c r="C15294" s="36"/>
      <c r="D15294" s="37"/>
      <c r="E15294" s="36"/>
      <c r="F15294" s="42"/>
      <c r="G15294" s="42"/>
      <c r="H15294" s="42"/>
      <c r="AG15294" s="19"/>
    </row>
    <row r="15295" spans="1:33" ht="14.5" x14ac:dyDescent="0.35">
      <c r="A15295" s="34"/>
      <c r="B15295" s="35"/>
      <c r="C15295" s="36"/>
      <c r="D15295" s="37"/>
      <c r="E15295" s="36"/>
      <c r="F15295" s="42"/>
      <c r="G15295" s="42"/>
      <c r="H15295" s="42"/>
      <c r="AG15295" s="19"/>
    </row>
    <row r="15296" spans="1:33" ht="14.5" x14ac:dyDescent="0.35">
      <c r="A15296" s="34"/>
      <c r="B15296" s="35"/>
      <c r="C15296" s="36"/>
      <c r="D15296" s="37"/>
      <c r="E15296" s="36"/>
      <c r="F15296" s="42"/>
      <c r="G15296" s="42"/>
      <c r="H15296" s="42"/>
      <c r="AG15296" s="19"/>
    </row>
    <row r="15297" spans="1:33" ht="14.5" x14ac:dyDescent="0.35">
      <c r="A15297" s="34"/>
      <c r="B15297" s="35"/>
      <c r="C15297" s="36"/>
      <c r="D15297" s="37"/>
      <c r="E15297" s="36"/>
      <c r="F15297" s="42"/>
      <c r="G15297" s="42"/>
      <c r="H15297" s="42"/>
      <c r="AG15297" s="19"/>
    </row>
    <row r="15298" spans="1:33" ht="14.5" x14ac:dyDescent="0.35">
      <c r="A15298" s="34"/>
      <c r="B15298" s="35"/>
      <c r="C15298" s="36"/>
      <c r="D15298" s="37"/>
      <c r="E15298" s="36"/>
      <c r="F15298" s="42"/>
      <c r="G15298" s="42"/>
      <c r="H15298" s="42"/>
      <c r="AG15298" s="19"/>
    </row>
    <row r="15299" spans="1:33" ht="14.5" x14ac:dyDescent="0.35">
      <c r="A15299" s="34"/>
      <c r="B15299" s="35"/>
      <c r="C15299" s="36"/>
      <c r="D15299" s="37"/>
      <c r="E15299" s="36"/>
      <c r="F15299" s="42"/>
      <c r="G15299" s="42"/>
      <c r="H15299" s="42"/>
      <c r="AG15299" s="19"/>
    </row>
    <row r="15300" spans="1:33" ht="14.5" x14ac:dyDescent="0.35">
      <c r="A15300" s="34"/>
      <c r="B15300" s="35"/>
      <c r="C15300" s="36"/>
      <c r="D15300" s="37"/>
      <c r="E15300" s="36"/>
      <c r="F15300" s="42"/>
      <c r="G15300" s="42"/>
      <c r="H15300" s="42"/>
      <c r="AG15300" s="19"/>
    </row>
    <row r="15301" spans="1:33" ht="14.5" x14ac:dyDescent="0.35">
      <c r="A15301" s="34"/>
      <c r="B15301" s="35"/>
      <c r="C15301" s="36"/>
      <c r="D15301" s="37"/>
      <c r="E15301" s="36"/>
      <c r="F15301" s="42"/>
      <c r="G15301" s="42"/>
      <c r="H15301" s="42"/>
      <c r="AG15301" s="19"/>
    </row>
    <row r="15302" spans="1:33" ht="14.5" x14ac:dyDescent="0.35">
      <c r="A15302" s="34"/>
      <c r="B15302" s="35"/>
      <c r="C15302" s="36"/>
      <c r="D15302" s="37"/>
      <c r="E15302" s="36"/>
      <c r="F15302" s="42"/>
      <c r="G15302" s="42"/>
      <c r="H15302" s="42"/>
      <c r="AG15302" s="19"/>
    </row>
    <row r="15303" spans="1:33" ht="14.5" x14ac:dyDescent="0.35">
      <c r="A15303" s="34"/>
      <c r="B15303" s="35"/>
      <c r="C15303" s="36"/>
      <c r="D15303" s="37"/>
      <c r="E15303" s="36"/>
      <c r="F15303" s="42"/>
      <c r="G15303" s="42"/>
      <c r="H15303" s="42"/>
      <c r="AG15303" s="19"/>
    </row>
    <row r="15304" spans="1:33" ht="14.5" x14ac:dyDescent="0.35">
      <c r="A15304" s="34"/>
      <c r="B15304" s="35"/>
      <c r="C15304" s="36"/>
      <c r="D15304" s="37"/>
      <c r="E15304" s="36"/>
      <c r="F15304" s="42"/>
      <c r="G15304" s="42"/>
      <c r="H15304" s="42"/>
      <c r="AG15304" s="19"/>
    </row>
    <row r="15305" spans="1:33" ht="14.5" x14ac:dyDescent="0.35">
      <c r="A15305" s="34"/>
      <c r="B15305" s="35"/>
      <c r="C15305" s="36"/>
      <c r="D15305" s="37"/>
      <c r="E15305" s="36"/>
      <c r="F15305" s="42"/>
      <c r="G15305" s="42"/>
      <c r="H15305" s="42"/>
      <c r="AG15305" s="19"/>
    </row>
    <row r="15306" spans="1:33" ht="14.5" x14ac:dyDescent="0.35">
      <c r="A15306" s="34"/>
      <c r="B15306" s="35"/>
      <c r="C15306" s="36"/>
      <c r="D15306" s="37"/>
      <c r="E15306" s="36"/>
      <c r="F15306" s="42"/>
      <c r="G15306" s="42"/>
      <c r="H15306" s="42"/>
      <c r="AG15306" s="19"/>
    </row>
    <row r="15307" spans="1:33" ht="14.5" x14ac:dyDescent="0.35">
      <c r="A15307" s="34"/>
      <c r="B15307" s="35"/>
      <c r="C15307" s="36"/>
      <c r="D15307" s="37"/>
      <c r="E15307" s="36"/>
      <c r="F15307" s="42"/>
      <c r="G15307" s="42"/>
      <c r="H15307" s="42"/>
      <c r="AG15307" s="19"/>
    </row>
    <row r="15308" spans="1:33" ht="14.5" x14ac:dyDescent="0.35">
      <c r="A15308" s="34"/>
      <c r="B15308" s="35"/>
      <c r="C15308" s="36"/>
      <c r="D15308" s="37"/>
      <c r="E15308" s="36"/>
      <c r="F15308" s="42"/>
      <c r="G15308" s="42"/>
      <c r="H15308" s="42"/>
      <c r="AG15308" s="19"/>
    </row>
    <row r="15309" spans="1:33" ht="14.5" x14ac:dyDescent="0.35">
      <c r="A15309" s="34"/>
      <c r="B15309" s="35"/>
      <c r="C15309" s="36"/>
      <c r="D15309" s="37"/>
      <c r="E15309" s="36"/>
      <c r="F15309" s="42"/>
      <c r="G15309" s="42"/>
      <c r="H15309" s="42"/>
      <c r="AG15309" s="19"/>
    </row>
    <row r="15310" spans="1:33" ht="14.5" x14ac:dyDescent="0.35">
      <c r="A15310" s="34"/>
      <c r="B15310" s="35"/>
      <c r="C15310" s="36"/>
      <c r="D15310" s="37"/>
      <c r="E15310" s="36"/>
      <c r="F15310" s="42"/>
      <c r="G15310" s="42"/>
      <c r="H15310" s="42"/>
      <c r="AG15310" s="19"/>
    </row>
    <row r="15311" spans="1:33" ht="14.5" x14ac:dyDescent="0.35">
      <c r="A15311" s="34"/>
      <c r="B15311" s="35"/>
      <c r="C15311" s="36"/>
      <c r="D15311" s="37"/>
      <c r="E15311" s="36"/>
      <c r="F15311" s="42"/>
      <c r="G15311" s="42"/>
      <c r="H15311" s="42"/>
      <c r="AG15311" s="19"/>
    </row>
    <row r="15312" spans="1:33" ht="14.5" x14ac:dyDescent="0.35">
      <c r="A15312" s="34"/>
      <c r="B15312" s="35"/>
      <c r="C15312" s="36"/>
      <c r="D15312" s="37"/>
      <c r="E15312" s="36"/>
      <c r="F15312" s="42"/>
      <c r="G15312" s="42"/>
      <c r="H15312" s="42"/>
      <c r="AG15312" s="19"/>
    </row>
    <row r="15313" spans="1:33" ht="14.5" x14ac:dyDescent="0.35">
      <c r="A15313" s="34"/>
      <c r="B15313" s="35"/>
      <c r="C15313" s="36"/>
      <c r="D15313" s="37"/>
      <c r="E15313" s="36"/>
      <c r="F15313" s="42"/>
      <c r="G15313" s="42"/>
      <c r="H15313" s="42"/>
      <c r="AG15313" s="19"/>
    </row>
    <row r="15314" spans="1:33" ht="14.5" x14ac:dyDescent="0.35">
      <c r="A15314" s="34"/>
      <c r="B15314" s="35"/>
      <c r="C15314" s="36"/>
      <c r="D15314" s="37"/>
      <c r="E15314" s="36"/>
      <c r="F15314" s="42"/>
      <c r="G15314" s="42"/>
      <c r="H15314" s="42"/>
      <c r="AG15314" s="19"/>
    </row>
    <row r="15315" spans="1:33" ht="14.5" x14ac:dyDescent="0.35">
      <c r="A15315" s="34"/>
      <c r="B15315" s="35"/>
      <c r="C15315" s="36"/>
      <c r="D15315" s="37"/>
      <c r="E15315" s="36"/>
      <c r="F15315" s="42"/>
      <c r="G15315" s="42"/>
      <c r="H15315" s="42"/>
      <c r="AG15315" s="19"/>
    </row>
    <row r="15316" spans="1:33" ht="14.5" x14ac:dyDescent="0.35">
      <c r="A15316" s="34"/>
      <c r="B15316" s="35"/>
      <c r="C15316" s="36"/>
      <c r="D15316" s="37"/>
      <c r="E15316" s="36"/>
      <c r="F15316" s="42"/>
      <c r="G15316" s="42"/>
      <c r="H15316" s="42"/>
      <c r="AG15316" s="19"/>
    </row>
    <row r="15317" spans="1:33" ht="14.5" x14ac:dyDescent="0.35">
      <c r="A15317" s="34"/>
      <c r="B15317" s="35"/>
      <c r="C15317" s="36"/>
      <c r="D15317" s="37"/>
      <c r="E15317" s="36"/>
      <c r="F15317" s="42"/>
      <c r="G15317" s="42"/>
      <c r="H15317" s="42"/>
      <c r="AG15317" s="19"/>
    </row>
    <row r="15318" spans="1:33" ht="14.5" x14ac:dyDescent="0.35">
      <c r="A15318" s="34"/>
      <c r="B15318" s="35"/>
      <c r="C15318" s="36"/>
      <c r="D15318" s="37"/>
      <c r="E15318" s="36"/>
      <c r="F15318" s="42"/>
      <c r="G15318" s="42"/>
      <c r="H15318" s="42"/>
      <c r="AG15318" s="19"/>
    </row>
    <row r="15319" spans="1:33" ht="14.5" x14ac:dyDescent="0.35">
      <c r="A15319" s="34"/>
      <c r="B15319" s="35"/>
      <c r="C15319" s="36"/>
      <c r="D15319" s="37"/>
      <c r="E15319" s="36"/>
      <c r="F15319" s="42"/>
      <c r="G15319" s="42"/>
      <c r="H15319" s="42"/>
      <c r="AG15319" s="19"/>
    </row>
    <row r="15320" spans="1:33" ht="14.5" x14ac:dyDescent="0.35">
      <c r="A15320" s="34"/>
      <c r="B15320" s="35"/>
      <c r="C15320" s="36"/>
      <c r="D15320" s="37"/>
      <c r="E15320" s="36"/>
      <c r="F15320" s="42"/>
      <c r="G15320" s="42"/>
      <c r="H15320" s="42"/>
      <c r="AG15320" s="19"/>
    </row>
    <row r="15321" spans="1:33" ht="14.5" x14ac:dyDescent="0.35">
      <c r="A15321" s="34"/>
      <c r="B15321" s="35"/>
      <c r="C15321" s="36"/>
      <c r="D15321" s="37"/>
      <c r="E15321" s="36"/>
      <c r="F15321" s="42"/>
      <c r="G15321" s="42"/>
      <c r="H15321" s="42"/>
      <c r="AG15321" s="19"/>
    </row>
    <row r="15322" spans="1:33" ht="14.5" x14ac:dyDescent="0.35">
      <c r="A15322" s="34"/>
      <c r="B15322" s="35"/>
      <c r="C15322" s="36"/>
      <c r="D15322" s="37"/>
      <c r="E15322" s="36"/>
      <c r="F15322" s="42"/>
      <c r="G15322" s="42"/>
      <c r="H15322" s="42"/>
      <c r="AG15322" s="19"/>
    </row>
    <row r="15323" spans="1:33" ht="14.5" x14ac:dyDescent="0.35">
      <c r="A15323" s="34"/>
      <c r="B15323" s="35"/>
      <c r="C15323" s="36"/>
      <c r="D15323" s="37"/>
      <c r="E15323" s="36"/>
      <c r="F15323" s="42"/>
      <c r="G15323" s="42"/>
      <c r="H15323" s="42"/>
      <c r="AG15323" s="19"/>
    </row>
    <row r="15324" spans="1:33" ht="14.5" x14ac:dyDescent="0.35">
      <c r="A15324" s="34"/>
      <c r="B15324" s="35"/>
      <c r="C15324" s="36"/>
      <c r="D15324" s="37"/>
      <c r="E15324" s="36"/>
      <c r="F15324" s="42"/>
      <c r="G15324" s="42"/>
      <c r="H15324" s="42"/>
      <c r="AG15324" s="19"/>
    </row>
    <row r="15325" spans="1:33" ht="14.5" x14ac:dyDescent="0.35">
      <c r="A15325" s="34"/>
      <c r="B15325" s="35"/>
      <c r="C15325" s="36"/>
      <c r="D15325" s="37"/>
      <c r="E15325" s="36"/>
      <c r="F15325" s="42"/>
      <c r="G15325" s="42"/>
      <c r="H15325" s="42"/>
      <c r="AG15325" s="19"/>
    </row>
    <row r="15326" spans="1:33" ht="14.5" x14ac:dyDescent="0.35">
      <c r="A15326" s="34"/>
      <c r="B15326" s="35"/>
      <c r="C15326" s="36"/>
      <c r="D15326" s="37"/>
      <c r="E15326" s="36"/>
      <c r="F15326" s="42"/>
      <c r="G15326" s="42"/>
      <c r="H15326" s="42"/>
      <c r="AG15326" s="19"/>
    </row>
    <row r="15327" spans="1:33" ht="14.5" x14ac:dyDescent="0.35">
      <c r="A15327" s="34"/>
      <c r="B15327" s="35"/>
      <c r="C15327" s="36"/>
      <c r="D15327" s="37"/>
      <c r="E15327" s="36"/>
      <c r="F15327" s="42"/>
      <c r="G15327" s="42"/>
      <c r="H15327" s="42"/>
      <c r="AG15327" s="19"/>
    </row>
    <row r="15328" spans="1:33" ht="14.5" x14ac:dyDescent="0.35">
      <c r="A15328" s="34"/>
      <c r="B15328" s="35"/>
      <c r="C15328" s="36"/>
      <c r="D15328" s="37"/>
      <c r="E15328" s="36"/>
      <c r="F15328" s="42"/>
      <c r="G15328" s="42"/>
      <c r="H15328" s="42"/>
      <c r="AG15328" s="19"/>
    </row>
    <row r="15329" spans="1:33" ht="14.5" x14ac:dyDescent="0.35">
      <c r="A15329" s="34"/>
      <c r="B15329" s="35"/>
      <c r="C15329" s="36"/>
      <c r="D15329" s="37"/>
      <c r="E15329" s="36"/>
      <c r="F15329" s="42"/>
      <c r="G15329" s="42"/>
      <c r="H15329" s="42"/>
      <c r="AG15329" s="19"/>
    </row>
    <row r="15330" spans="1:33" ht="14.5" x14ac:dyDescent="0.35">
      <c r="A15330" s="34"/>
      <c r="B15330" s="35"/>
      <c r="C15330" s="36"/>
      <c r="D15330" s="37"/>
      <c r="E15330" s="36"/>
      <c r="F15330" s="42"/>
      <c r="G15330" s="42"/>
      <c r="H15330" s="42"/>
      <c r="AG15330" s="19"/>
    </row>
    <row r="15331" spans="1:33" ht="14.5" x14ac:dyDescent="0.35">
      <c r="A15331" s="34"/>
      <c r="B15331" s="35"/>
      <c r="C15331" s="36"/>
      <c r="D15331" s="37"/>
      <c r="E15331" s="36"/>
      <c r="F15331" s="42"/>
      <c r="G15331" s="42"/>
      <c r="H15331" s="42"/>
      <c r="AG15331" s="19"/>
    </row>
    <row r="15332" spans="1:33" ht="14.5" x14ac:dyDescent="0.35">
      <c r="A15332" s="34"/>
      <c r="B15332" s="35"/>
      <c r="C15332" s="36"/>
      <c r="D15332" s="37"/>
      <c r="E15332" s="36"/>
      <c r="F15332" s="42"/>
      <c r="G15332" s="42"/>
      <c r="H15332" s="42"/>
      <c r="AG15332" s="19"/>
    </row>
    <row r="15333" spans="1:33" ht="14.5" x14ac:dyDescent="0.35">
      <c r="A15333" s="34"/>
      <c r="B15333" s="35"/>
      <c r="C15333" s="36"/>
      <c r="D15333" s="37"/>
      <c r="E15333" s="36"/>
      <c r="F15333" s="42"/>
      <c r="G15333" s="42"/>
      <c r="H15333" s="42"/>
      <c r="AG15333" s="19"/>
    </row>
    <row r="15334" spans="1:33" ht="14.5" x14ac:dyDescent="0.35">
      <c r="A15334" s="34"/>
      <c r="B15334" s="35"/>
      <c r="C15334" s="36"/>
      <c r="D15334" s="37"/>
      <c r="E15334" s="36"/>
      <c r="F15334" s="42"/>
      <c r="G15334" s="42"/>
      <c r="H15334" s="42"/>
      <c r="AG15334" s="19"/>
    </row>
    <row r="15335" spans="1:33" ht="14.5" x14ac:dyDescent="0.35">
      <c r="A15335" s="34"/>
      <c r="B15335" s="35"/>
      <c r="C15335" s="36"/>
      <c r="D15335" s="37"/>
      <c r="E15335" s="36"/>
      <c r="F15335" s="42"/>
      <c r="G15335" s="42"/>
      <c r="H15335" s="42"/>
      <c r="AG15335" s="19"/>
    </row>
    <row r="15336" spans="1:33" ht="14.5" x14ac:dyDescent="0.35">
      <c r="A15336" s="34"/>
      <c r="B15336" s="35"/>
      <c r="C15336" s="36"/>
      <c r="D15336" s="37"/>
      <c r="E15336" s="36"/>
      <c r="F15336" s="42"/>
      <c r="G15336" s="42"/>
      <c r="H15336" s="42"/>
      <c r="AG15336" s="19"/>
    </row>
    <row r="15337" spans="1:33" ht="14.5" x14ac:dyDescent="0.35">
      <c r="A15337" s="34"/>
      <c r="B15337" s="35"/>
      <c r="C15337" s="36"/>
      <c r="D15337" s="37"/>
      <c r="E15337" s="36"/>
      <c r="F15337" s="42"/>
      <c r="G15337" s="42"/>
      <c r="H15337" s="42"/>
      <c r="AG15337" s="19"/>
    </row>
    <row r="15338" spans="1:33" ht="14.5" x14ac:dyDescent="0.35">
      <c r="A15338" s="34"/>
      <c r="B15338" s="35"/>
      <c r="C15338" s="36"/>
      <c r="D15338" s="37"/>
      <c r="E15338" s="36"/>
      <c r="F15338" s="42"/>
      <c r="G15338" s="42"/>
      <c r="H15338" s="42"/>
      <c r="AG15338" s="19"/>
    </row>
    <row r="15339" spans="1:33" ht="14.5" x14ac:dyDescent="0.35">
      <c r="A15339" s="34"/>
      <c r="B15339" s="35"/>
      <c r="C15339" s="36"/>
      <c r="D15339" s="37"/>
      <c r="E15339" s="36"/>
      <c r="F15339" s="42"/>
      <c r="G15339" s="42"/>
      <c r="H15339" s="42"/>
      <c r="AG15339" s="19"/>
    </row>
    <row r="15340" spans="1:33" ht="14.5" x14ac:dyDescent="0.35">
      <c r="A15340" s="34"/>
      <c r="B15340" s="35"/>
      <c r="C15340" s="36"/>
      <c r="D15340" s="37"/>
      <c r="E15340" s="36"/>
      <c r="F15340" s="42"/>
      <c r="G15340" s="42"/>
      <c r="H15340" s="42"/>
      <c r="AG15340" s="19"/>
    </row>
    <row r="15341" spans="1:33" ht="14.5" x14ac:dyDescent="0.35">
      <c r="A15341" s="34"/>
      <c r="B15341" s="35"/>
      <c r="C15341" s="36"/>
      <c r="D15341" s="37"/>
      <c r="E15341" s="36"/>
      <c r="F15341" s="42"/>
      <c r="G15341" s="42"/>
      <c r="H15341" s="42"/>
      <c r="AG15341" s="19"/>
    </row>
    <row r="15342" spans="1:33" ht="14.5" x14ac:dyDescent="0.35">
      <c r="A15342" s="34"/>
      <c r="B15342" s="35"/>
      <c r="C15342" s="36"/>
      <c r="D15342" s="37"/>
      <c r="E15342" s="36"/>
      <c r="F15342" s="42"/>
      <c r="G15342" s="42"/>
      <c r="H15342" s="42"/>
      <c r="AG15342" s="19"/>
    </row>
    <row r="15343" spans="1:33" ht="14.5" x14ac:dyDescent="0.35">
      <c r="A15343" s="34"/>
      <c r="B15343" s="35"/>
      <c r="C15343" s="36"/>
      <c r="D15343" s="37"/>
      <c r="E15343" s="36"/>
      <c r="F15343" s="42"/>
      <c r="G15343" s="42"/>
      <c r="H15343" s="42"/>
      <c r="AG15343" s="19"/>
    </row>
    <row r="15344" spans="1:33" ht="14.5" x14ac:dyDescent="0.35">
      <c r="A15344" s="34"/>
      <c r="B15344" s="35"/>
      <c r="C15344" s="36"/>
      <c r="D15344" s="37"/>
      <c r="E15344" s="36"/>
      <c r="F15344" s="42"/>
      <c r="G15344" s="42"/>
      <c r="H15344" s="42"/>
      <c r="AG15344" s="19"/>
    </row>
    <row r="15345" spans="1:33" ht="14.5" x14ac:dyDescent="0.35">
      <c r="A15345" s="34"/>
      <c r="B15345" s="35"/>
      <c r="C15345" s="36"/>
      <c r="D15345" s="37"/>
      <c r="E15345" s="36"/>
      <c r="F15345" s="42"/>
      <c r="G15345" s="42"/>
      <c r="H15345" s="42"/>
      <c r="AG15345" s="19"/>
    </row>
    <row r="15346" spans="1:33" ht="14.5" x14ac:dyDescent="0.35">
      <c r="A15346" s="34"/>
      <c r="B15346" s="35"/>
      <c r="C15346" s="36"/>
      <c r="D15346" s="37"/>
      <c r="E15346" s="36"/>
      <c r="F15346" s="42"/>
      <c r="G15346" s="42"/>
      <c r="H15346" s="42"/>
      <c r="AG15346" s="19"/>
    </row>
    <row r="15347" spans="1:33" ht="14.5" x14ac:dyDescent="0.35">
      <c r="A15347" s="34"/>
      <c r="B15347" s="35"/>
      <c r="C15347" s="36"/>
      <c r="D15347" s="37"/>
      <c r="E15347" s="36"/>
      <c r="F15347" s="42"/>
      <c r="G15347" s="42"/>
      <c r="H15347" s="42"/>
      <c r="AG15347" s="19"/>
    </row>
    <row r="15348" spans="1:33" ht="14.5" x14ac:dyDescent="0.35">
      <c r="A15348" s="34"/>
      <c r="B15348" s="35"/>
      <c r="C15348" s="36"/>
      <c r="D15348" s="37"/>
      <c r="E15348" s="36"/>
      <c r="F15348" s="42"/>
      <c r="G15348" s="42"/>
      <c r="H15348" s="42"/>
      <c r="AG15348" s="19"/>
    </row>
    <row r="15349" spans="1:33" ht="14.5" x14ac:dyDescent="0.35">
      <c r="A15349" s="34"/>
      <c r="B15349" s="35"/>
      <c r="C15349" s="36"/>
      <c r="D15349" s="37"/>
      <c r="E15349" s="36"/>
      <c r="F15349" s="42"/>
      <c r="G15349" s="42"/>
      <c r="H15349" s="42"/>
      <c r="AG15349" s="19"/>
    </row>
    <row r="15350" spans="1:33" ht="14.5" x14ac:dyDescent="0.35">
      <c r="A15350" s="34"/>
      <c r="B15350" s="35"/>
      <c r="C15350" s="36"/>
      <c r="D15350" s="37"/>
      <c r="E15350" s="36"/>
      <c r="F15350" s="42"/>
      <c r="G15350" s="42"/>
      <c r="H15350" s="42"/>
      <c r="AG15350" s="19"/>
    </row>
    <row r="15351" spans="1:33" ht="14.5" x14ac:dyDescent="0.35">
      <c r="A15351" s="34"/>
      <c r="B15351" s="35"/>
      <c r="C15351" s="36"/>
      <c r="D15351" s="37"/>
      <c r="E15351" s="36"/>
      <c r="F15351" s="42"/>
      <c r="G15351" s="42"/>
      <c r="H15351" s="42"/>
      <c r="AG15351" s="19"/>
    </row>
    <row r="15352" spans="1:33" ht="14.5" x14ac:dyDescent="0.35">
      <c r="A15352" s="34"/>
      <c r="B15352" s="35"/>
      <c r="C15352" s="36"/>
      <c r="D15352" s="37"/>
      <c r="E15352" s="36"/>
      <c r="F15352" s="42"/>
      <c r="G15352" s="42"/>
      <c r="H15352" s="42"/>
      <c r="AG15352" s="19"/>
    </row>
    <row r="15353" spans="1:33" ht="14.5" x14ac:dyDescent="0.35">
      <c r="A15353" s="34"/>
      <c r="B15353" s="35"/>
      <c r="C15353" s="36"/>
      <c r="D15353" s="37"/>
      <c r="E15353" s="36"/>
      <c r="F15353" s="42"/>
      <c r="G15353" s="42"/>
      <c r="H15353" s="42"/>
      <c r="AG15353" s="19"/>
    </row>
    <row r="15354" spans="1:33" ht="14.5" x14ac:dyDescent="0.35">
      <c r="A15354" s="34"/>
      <c r="B15354" s="35"/>
      <c r="C15354" s="36"/>
      <c r="D15354" s="37"/>
      <c r="E15354" s="36"/>
      <c r="F15354" s="42"/>
      <c r="G15354" s="42"/>
      <c r="H15354" s="42"/>
      <c r="AG15354" s="19"/>
    </row>
    <row r="15355" spans="1:33" ht="14.5" x14ac:dyDescent="0.35">
      <c r="A15355" s="34"/>
      <c r="B15355" s="35"/>
      <c r="C15355" s="36"/>
      <c r="D15355" s="37"/>
      <c r="E15355" s="36"/>
      <c r="F15355" s="42"/>
      <c r="G15355" s="42"/>
      <c r="H15355" s="42"/>
      <c r="AG15355" s="19"/>
    </row>
    <row r="15356" spans="1:33" ht="14.5" x14ac:dyDescent="0.35">
      <c r="A15356" s="34"/>
      <c r="B15356" s="35"/>
      <c r="C15356" s="36"/>
      <c r="D15356" s="37"/>
      <c r="E15356" s="36"/>
      <c r="F15356" s="42"/>
      <c r="G15356" s="42"/>
      <c r="H15356" s="42"/>
      <c r="AG15356" s="19"/>
    </row>
    <row r="15357" spans="1:33" ht="14.5" x14ac:dyDescent="0.35">
      <c r="A15357" s="34"/>
      <c r="B15357" s="35"/>
      <c r="C15357" s="36"/>
      <c r="D15357" s="37"/>
      <c r="E15357" s="36"/>
      <c r="F15357" s="42"/>
      <c r="G15357" s="42"/>
      <c r="H15357" s="42"/>
      <c r="AG15357" s="19"/>
    </row>
    <row r="15358" spans="1:33" ht="14.5" x14ac:dyDescent="0.35">
      <c r="A15358" s="34"/>
      <c r="B15358" s="35"/>
      <c r="C15358" s="36"/>
      <c r="D15358" s="37"/>
      <c r="E15358" s="36"/>
      <c r="F15358" s="42"/>
      <c r="G15358" s="42"/>
      <c r="H15358" s="42"/>
      <c r="AG15358" s="19"/>
    </row>
    <row r="15359" spans="1:33" ht="14.5" x14ac:dyDescent="0.35">
      <c r="A15359" s="34"/>
      <c r="B15359" s="35"/>
      <c r="C15359" s="36"/>
      <c r="D15359" s="37"/>
      <c r="E15359" s="36"/>
      <c r="F15359" s="42"/>
      <c r="G15359" s="42"/>
      <c r="H15359" s="42"/>
      <c r="AG15359" s="19"/>
    </row>
    <row r="15360" spans="1:33" ht="14.5" x14ac:dyDescent="0.35">
      <c r="A15360" s="34"/>
      <c r="B15360" s="35"/>
      <c r="C15360" s="36"/>
      <c r="D15360" s="37"/>
      <c r="E15360" s="36"/>
      <c r="F15360" s="42"/>
      <c r="G15360" s="42"/>
      <c r="H15360" s="42"/>
      <c r="AG15360" s="19"/>
    </row>
    <row r="15361" spans="1:33" ht="14.5" x14ac:dyDescent="0.35">
      <c r="A15361" s="34"/>
      <c r="B15361" s="35"/>
      <c r="C15361" s="36"/>
      <c r="D15361" s="37"/>
      <c r="E15361" s="36"/>
      <c r="F15361" s="42"/>
      <c r="G15361" s="42"/>
      <c r="H15361" s="42"/>
      <c r="AG15361" s="19"/>
    </row>
    <row r="15362" spans="1:33" ht="14.5" x14ac:dyDescent="0.35">
      <c r="A15362" s="34"/>
      <c r="B15362" s="35"/>
      <c r="C15362" s="36"/>
      <c r="D15362" s="37"/>
      <c r="E15362" s="36"/>
      <c r="F15362" s="42"/>
      <c r="G15362" s="42"/>
      <c r="H15362" s="42"/>
      <c r="AG15362" s="19"/>
    </row>
    <row r="15363" spans="1:33" ht="14.5" x14ac:dyDescent="0.35">
      <c r="A15363" s="34"/>
      <c r="B15363" s="35"/>
      <c r="C15363" s="36"/>
      <c r="D15363" s="37"/>
      <c r="E15363" s="36"/>
      <c r="F15363" s="42"/>
      <c r="G15363" s="42"/>
      <c r="H15363" s="42"/>
      <c r="AG15363" s="19"/>
    </row>
    <row r="15364" spans="1:33" ht="14.5" x14ac:dyDescent="0.35">
      <c r="A15364" s="34"/>
      <c r="B15364" s="35"/>
      <c r="C15364" s="36"/>
      <c r="D15364" s="37"/>
      <c r="E15364" s="36"/>
      <c r="F15364" s="42"/>
      <c r="G15364" s="42"/>
      <c r="H15364" s="42"/>
      <c r="AG15364" s="19"/>
    </row>
    <row r="15365" spans="1:33" ht="14.5" x14ac:dyDescent="0.35">
      <c r="A15365" s="34"/>
      <c r="B15365" s="35"/>
      <c r="C15365" s="36"/>
      <c r="D15365" s="37"/>
      <c r="E15365" s="36"/>
      <c r="F15365" s="42"/>
      <c r="G15365" s="42"/>
      <c r="H15365" s="42"/>
      <c r="AG15365" s="19"/>
    </row>
    <row r="15366" spans="1:33" ht="14.5" x14ac:dyDescent="0.35">
      <c r="A15366" s="34"/>
      <c r="B15366" s="35"/>
      <c r="C15366" s="36"/>
      <c r="D15366" s="37"/>
      <c r="E15366" s="36"/>
      <c r="F15366" s="42"/>
      <c r="G15366" s="42"/>
      <c r="H15366" s="42"/>
      <c r="AG15366" s="19"/>
    </row>
    <row r="15367" spans="1:33" ht="14.5" x14ac:dyDescent="0.35">
      <c r="A15367" s="34"/>
      <c r="B15367" s="35"/>
      <c r="C15367" s="36"/>
      <c r="D15367" s="37"/>
      <c r="E15367" s="36"/>
      <c r="F15367" s="42"/>
      <c r="G15367" s="42"/>
      <c r="H15367" s="42"/>
      <c r="AG15367" s="19"/>
    </row>
    <row r="15368" spans="1:33" ht="14.5" x14ac:dyDescent="0.35">
      <c r="A15368" s="34"/>
      <c r="B15368" s="35"/>
      <c r="C15368" s="36"/>
      <c r="D15368" s="37"/>
      <c r="E15368" s="36"/>
      <c r="F15368" s="42"/>
      <c r="G15368" s="42"/>
      <c r="H15368" s="42"/>
      <c r="AG15368" s="19"/>
    </row>
    <row r="15369" spans="1:33" ht="14.5" x14ac:dyDescent="0.35">
      <c r="A15369" s="34"/>
      <c r="B15369" s="35"/>
      <c r="C15369" s="36"/>
      <c r="D15369" s="37"/>
      <c r="E15369" s="36"/>
      <c r="F15369" s="42"/>
      <c r="G15369" s="42"/>
      <c r="H15369" s="42"/>
      <c r="AG15369" s="19"/>
    </row>
    <row r="15370" spans="1:33" ht="14.5" x14ac:dyDescent="0.35">
      <c r="A15370" s="34"/>
      <c r="B15370" s="35"/>
      <c r="C15370" s="36"/>
      <c r="D15370" s="37"/>
      <c r="E15370" s="36"/>
      <c r="F15370" s="42"/>
      <c r="G15370" s="42"/>
      <c r="H15370" s="42"/>
      <c r="AG15370" s="19"/>
    </row>
    <row r="15371" spans="1:33" ht="14.5" x14ac:dyDescent="0.35">
      <c r="A15371" s="34"/>
      <c r="B15371" s="35"/>
      <c r="C15371" s="36"/>
      <c r="D15371" s="37"/>
      <c r="E15371" s="36"/>
      <c r="F15371" s="42"/>
      <c r="G15371" s="42"/>
      <c r="H15371" s="42"/>
      <c r="AG15371" s="19"/>
    </row>
    <row r="15372" spans="1:33" ht="14.5" x14ac:dyDescent="0.35">
      <c r="A15372" s="34"/>
      <c r="B15372" s="35"/>
      <c r="C15372" s="36"/>
      <c r="D15372" s="37"/>
      <c r="E15372" s="36"/>
      <c r="F15372" s="42"/>
      <c r="G15372" s="42"/>
      <c r="H15372" s="42"/>
      <c r="AG15372" s="19"/>
    </row>
    <row r="15373" spans="1:33" ht="14.5" x14ac:dyDescent="0.35">
      <c r="A15373" s="34"/>
      <c r="B15373" s="35"/>
      <c r="C15373" s="36"/>
      <c r="D15373" s="37"/>
      <c r="E15373" s="36"/>
      <c r="F15373" s="42"/>
      <c r="G15373" s="42"/>
      <c r="H15373" s="42"/>
      <c r="AG15373" s="19"/>
    </row>
    <row r="15374" spans="1:33" ht="14.5" x14ac:dyDescent="0.35">
      <c r="A15374" s="34"/>
      <c r="B15374" s="35"/>
      <c r="C15374" s="36"/>
      <c r="D15374" s="37"/>
      <c r="E15374" s="36"/>
      <c r="F15374" s="42"/>
      <c r="G15374" s="42"/>
      <c r="H15374" s="42"/>
      <c r="AG15374" s="19"/>
    </row>
    <row r="15375" spans="1:33" ht="14.5" x14ac:dyDescent="0.35">
      <c r="A15375" s="34"/>
      <c r="B15375" s="35"/>
      <c r="C15375" s="36"/>
      <c r="D15375" s="37"/>
      <c r="E15375" s="36"/>
      <c r="F15375" s="42"/>
      <c r="G15375" s="42"/>
      <c r="H15375" s="42"/>
      <c r="AG15375" s="19"/>
    </row>
    <row r="15376" spans="1:33" ht="14.5" x14ac:dyDescent="0.35">
      <c r="A15376" s="34"/>
      <c r="B15376" s="35"/>
      <c r="C15376" s="36"/>
      <c r="D15376" s="37"/>
      <c r="E15376" s="36"/>
      <c r="F15376" s="42"/>
      <c r="G15376" s="42"/>
      <c r="H15376" s="42"/>
      <c r="AG15376" s="19"/>
    </row>
    <row r="15377" spans="1:33" ht="14.5" x14ac:dyDescent="0.35">
      <c r="A15377" s="34"/>
      <c r="B15377" s="35"/>
      <c r="C15377" s="36"/>
      <c r="D15377" s="37"/>
      <c r="E15377" s="36"/>
      <c r="F15377" s="42"/>
      <c r="G15377" s="42"/>
      <c r="H15377" s="42"/>
      <c r="AG15377" s="19"/>
    </row>
    <row r="15378" spans="1:33" ht="14.5" x14ac:dyDescent="0.35">
      <c r="A15378" s="34"/>
      <c r="B15378" s="35"/>
      <c r="C15378" s="36"/>
      <c r="D15378" s="37"/>
      <c r="E15378" s="36"/>
      <c r="F15378" s="42"/>
      <c r="G15378" s="42"/>
      <c r="H15378" s="42"/>
      <c r="AG15378" s="19"/>
    </row>
    <row r="15379" spans="1:33" ht="14.5" x14ac:dyDescent="0.35">
      <c r="A15379" s="34"/>
      <c r="B15379" s="35"/>
      <c r="C15379" s="36"/>
      <c r="D15379" s="37"/>
      <c r="E15379" s="36"/>
      <c r="F15379" s="42"/>
      <c r="G15379" s="42"/>
      <c r="H15379" s="42"/>
      <c r="AG15379" s="19"/>
    </row>
    <row r="15380" spans="1:33" ht="14.5" x14ac:dyDescent="0.35">
      <c r="A15380" s="34"/>
      <c r="B15380" s="35"/>
      <c r="C15380" s="36"/>
      <c r="D15380" s="37"/>
      <c r="E15380" s="36"/>
      <c r="F15380" s="42"/>
      <c r="G15380" s="42"/>
      <c r="H15380" s="42"/>
      <c r="AG15380" s="19"/>
    </row>
    <row r="15381" spans="1:33" ht="14.5" x14ac:dyDescent="0.35">
      <c r="A15381" s="34"/>
      <c r="B15381" s="35"/>
      <c r="C15381" s="36"/>
      <c r="D15381" s="37"/>
      <c r="E15381" s="36"/>
      <c r="F15381" s="42"/>
      <c r="G15381" s="42"/>
      <c r="H15381" s="42"/>
      <c r="AG15381" s="19"/>
    </row>
    <row r="15382" spans="1:33" ht="14.5" x14ac:dyDescent="0.35">
      <c r="A15382" s="34"/>
      <c r="B15382" s="35"/>
      <c r="C15382" s="36"/>
      <c r="D15382" s="37"/>
      <c r="E15382" s="36"/>
      <c r="F15382" s="42"/>
      <c r="G15382" s="42"/>
      <c r="H15382" s="42"/>
      <c r="AG15382" s="19"/>
    </row>
    <row r="15383" spans="1:33" ht="14.5" x14ac:dyDescent="0.35">
      <c r="A15383" s="34"/>
      <c r="B15383" s="35"/>
      <c r="C15383" s="36"/>
      <c r="D15383" s="37"/>
      <c r="E15383" s="36"/>
      <c r="F15383" s="42"/>
      <c r="G15383" s="42"/>
      <c r="H15383" s="42"/>
      <c r="AG15383" s="19"/>
    </row>
    <row r="15384" spans="1:33" ht="14.5" x14ac:dyDescent="0.35">
      <c r="A15384" s="34"/>
      <c r="B15384" s="35"/>
      <c r="C15384" s="36"/>
      <c r="D15384" s="37"/>
      <c r="E15384" s="36"/>
      <c r="F15384" s="42"/>
      <c r="G15384" s="42"/>
      <c r="H15384" s="42"/>
      <c r="AG15384" s="19"/>
    </row>
    <row r="15385" spans="1:33" ht="14.5" x14ac:dyDescent="0.35">
      <c r="A15385" s="34"/>
      <c r="B15385" s="35"/>
      <c r="C15385" s="36"/>
      <c r="D15385" s="37"/>
      <c r="E15385" s="36"/>
      <c r="F15385" s="42"/>
      <c r="G15385" s="42"/>
      <c r="H15385" s="42"/>
      <c r="AG15385" s="19"/>
    </row>
    <row r="15386" spans="1:33" ht="14.5" x14ac:dyDescent="0.35">
      <c r="A15386" s="34"/>
      <c r="B15386" s="35"/>
      <c r="C15386" s="36"/>
      <c r="D15386" s="37"/>
      <c r="E15386" s="36"/>
      <c r="F15386" s="42"/>
      <c r="G15386" s="42"/>
      <c r="H15386" s="42"/>
      <c r="AG15386" s="19"/>
    </row>
    <row r="15387" spans="1:33" ht="14.5" x14ac:dyDescent="0.35">
      <c r="A15387" s="34"/>
      <c r="B15387" s="35"/>
      <c r="C15387" s="36"/>
      <c r="D15387" s="37"/>
      <c r="E15387" s="36"/>
      <c r="F15387" s="42"/>
      <c r="G15387" s="42"/>
      <c r="H15387" s="42"/>
      <c r="AG15387" s="19"/>
    </row>
    <row r="15388" spans="1:33" ht="14.5" x14ac:dyDescent="0.35">
      <c r="A15388" s="34"/>
      <c r="B15388" s="35"/>
      <c r="C15388" s="36"/>
      <c r="D15388" s="37"/>
      <c r="E15388" s="36"/>
      <c r="F15388" s="42"/>
      <c r="G15388" s="42"/>
      <c r="H15388" s="42"/>
      <c r="AG15388" s="19"/>
    </row>
    <row r="15389" spans="1:33" ht="14.5" x14ac:dyDescent="0.35">
      <c r="A15389" s="34"/>
      <c r="B15389" s="35"/>
      <c r="C15389" s="36"/>
      <c r="D15389" s="37"/>
      <c r="E15389" s="36"/>
      <c r="F15389" s="42"/>
      <c r="G15389" s="42"/>
      <c r="H15389" s="42"/>
      <c r="AG15389" s="19"/>
    </row>
    <row r="15390" spans="1:33" ht="14.5" x14ac:dyDescent="0.35">
      <c r="A15390" s="34"/>
      <c r="B15390" s="35"/>
      <c r="C15390" s="36"/>
      <c r="D15390" s="37"/>
      <c r="E15390" s="36"/>
      <c r="F15390" s="42"/>
      <c r="G15390" s="42"/>
      <c r="H15390" s="42"/>
      <c r="AG15390" s="19"/>
    </row>
    <row r="15391" spans="1:33" ht="14.5" x14ac:dyDescent="0.35">
      <c r="A15391" s="34"/>
      <c r="B15391" s="35"/>
      <c r="C15391" s="36"/>
      <c r="D15391" s="37"/>
      <c r="E15391" s="36"/>
      <c r="F15391" s="42"/>
      <c r="G15391" s="42"/>
      <c r="H15391" s="42"/>
      <c r="AG15391" s="19"/>
    </row>
    <row r="15392" spans="1:33" ht="14.5" x14ac:dyDescent="0.35">
      <c r="A15392" s="34"/>
      <c r="B15392" s="35"/>
      <c r="C15392" s="36"/>
      <c r="D15392" s="37"/>
      <c r="E15392" s="36"/>
      <c r="F15392" s="42"/>
      <c r="G15392" s="42"/>
      <c r="H15392" s="42"/>
      <c r="AG15392" s="19"/>
    </row>
    <row r="15393" spans="1:33" ht="14.5" x14ac:dyDescent="0.35">
      <c r="A15393" s="34"/>
      <c r="B15393" s="35"/>
      <c r="C15393" s="36"/>
      <c r="D15393" s="37"/>
      <c r="E15393" s="36"/>
      <c r="F15393" s="42"/>
      <c r="G15393" s="42"/>
      <c r="H15393" s="42"/>
      <c r="AG15393" s="19"/>
    </row>
    <row r="15394" spans="1:33" ht="14.5" x14ac:dyDescent="0.35">
      <c r="A15394" s="34"/>
      <c r="B15394" s="35"/>
      <c r="C15394" s="36"/>
      <c r="D15394" s="37"/>
      <c r="E15394" s="36"/>
      <c r="F15394" s="42"/>
      <c r="G15394" s="42"/>
      <c r="H15394" s="42"/>
      <c r="AG15394" s="19"/>
    </row>
    <row r="15395" spans="1:33" ht="14.5" x14ac:dyDescent="0.35">
      <c r="A15395" s="34"/>
      <c r="B15395" s="35"/>
      <c r="C15395" s="36"/>
      <c r="D15395" s="37"/>
      <c r="E15395" s="36"/>
      <c r="F15395" s="42"/>
      <c r="G15395" s="42"/>
      <c r="H15395" s="42"/>
      <c r="AG15395" s="19"/>
    </row>
    <row r="15396" spans="1:33" ht="14.5" x14ac:dyDescent="0.35">
      <c r="A15396" s="34"/>
      <c r="B15396" s="35"/>
      <c r="C15396" s="36"/>
      <c r="D15396" s="37"/>
      <c r="E15396" s="36"/>
      <c r="F15396" s="42"/>
      <c r="G15396" s="42"/>
      <c r="H15396" s="42"/>
      <c r="AG15396" s="19"/>
    </row>
    <row r="15397" spans="1:33" ht="14.5" x14ac:dyDescent="0.35">
      <c r="A15397" s="34"/>
      <c r="B15397" s="35"/>
      <c r="C15397" s="36"/>
      <c r="D15397" s="37"/>
      <c r="E15397" s="36"/>
      <c r="F15397" s="42"/>
      <c r="G15397" s="42"/>
      <c r="H15397" s="42"/>
      <c r="AG15397" s="19"/>
    </row>
    <row r="15398" spans="1:33" ht="14.5" x14ac:dyDescent="0.35">
      <c r="A15398" s="34"/>
      <c r="B15398" s="35"/>
      <c r="C15398" s="36"/>
      <c r="D15398" s="37"/>
      <c r="E15398" s="36"/>
      <c r="F15398" s="42"/>
      <c r="G15398" s="42"/>
      <c r="H15398" s="42"/>
      <c r="AG15398" s="19"/>
    </row>
    <row r="15399" spans="1:33" ht="14.5" x14ac:dyDescent="0.35">
      <c r="A15399" s="34"/>
      <c r="B15399" s="35"/>
      <c r="C15399" s="36"/>
      <c r="D15399" s="37"/>
      <c r="E15399" s="36"/>
      <c r="F15399" s="42"/>
      <c r="G15399" s="42"/>
      <c r="H15399" s="42"/>
      <c r="AG15399" s="19"/>
    </row>
    <row r="15400" spans="1:33" ht="14.5" x14ac:dyDescent="0.35">
      <c r="A15400" s="34"/>
      <c r="B15400" s="35"/>
      <c r="C15400" s="36"/>
      <c r="D15400" s="37"/>
      <c r="E15400" s="36"/>
      <c r="F15400" s="42"/>
      <c r="G15400" s="42"/>
      <c r="H15400" s="42"/>
      <c r="AG15400" s="19"/>
    </row>
    <row r="15401" spans="1:33" ht="14.5" x14ac:dyDescent="0.35">
      <c r="A15401" s="34"/>
      <c r="B15401" s="35"/>
      <c r="C15401" s="36"/>
      <c r="D15401" s="37"/>
      <c r="E15401" s="36"/>
      <c r="F15401" s="42"/>
      <c r="G15401" s="42"/>
      <c r="H15401" s="42"/>
      <c r="AG15401" s="19"/>
    </row>
    <row r="15402" spans="1:33" ht="14.5" x14ac:dyDescent="0.35">
      <c r="A15402" s="34"/>
      <c r="B15402" s="35"/>
      <c r="C15402" s="36"/>
      <c r="D15402" s="37"/>
      <c r="E15402" s="36"/>
      <c r="F15402" s="42"/>
      <c r="G15402" s="42"/>
      <c r="H15402" s="42"/>
      <c r="AG15402" s="19"/>
    </row>
    <row r="15403" spans="1:33" ht="14.5" x14ac:dyDescent="0.35">
      <c r="A15403" s="34"/>
      <c r="B15403" s="35"/>
      <c r="C15403" s="36"/>
      <c r="D15403" s="37"/>
      <c r="E15403" s="36"/>
      <c r="F15403" s="42"/>
      <c r="G15403" s="42"/>
      <c r="H15403" s="42"/>
      <c r="AG15403" s="19"/>
    </row>
    <row r="15404" spans="1:33" ht="14.5" x14ac:dyDescent="0.35">
      <c r="A15404" s="34"/>
      <c r="B15404" s="35"/>
      <c r="C15404" s="36"/>
      <c r="D15404" s="37"/>
      <c r="E15404" s="36"/>
      <c r="F15404" s="42"/>
      <c r="G15404" s="42"/>
      <c r="H15404" s="42"/>
      <c r="AG15404" s="19"/>
    </row>
    <row r="15405" spans="1:33" ht="14.5" x14ac:dyDescent="0.35">
      <c r="A15405" s="34"/>
      <c r="B15405" s="35"/>
      <c r="C15405" s="36"/>
      <c r="D15405" s="37"/>
      <c r="E15405" s="36"/>
      <c r="F15405" s="42"/>
      <c r="G15405" s="42"/>
      <c r="H15405" s="42"/>
      <c r="AG15405" s="19"/>
    </row>
    <row r="15406" spans="1:33" ht="14.5" x14ac:dyDescent="0.35">
      <c r="A15406" s="34"/>
      <c r="B15406" s="35"/>
      <c r="C15406" s="36"/>
      <c r="D15406" s="37"/>
      <c r="E15406" s="36"/>
      <c r="F15406" s="42"/>
      <c r="G15406" s="42"/>
      <c r="H15406" s="42"/>
      <c r="AG15406" s="19"/>
    </row>
    <row r="15407" spans="1:33" ht="14.5" x14ac:dyDescent="0.35">
      <c r="A15407" s="34"/>
      <c r="B15407" s="35"/>
      <c r="C15407" s="36"/>
      <c r="D15407" s="37"/>
      <c r="E15407" s="36"/>
      <c r="F15407" s="42"/>
      <c r="G15407" s="42"/>
      <c r="H15407" s="42"/>
      <c r="AG15407" s="19"/>
    </row>
    <row r="15408" spans="1:33" ht="14.5" x14ac:dyDescent="0.35">
      <c r="A15408" s="34"/>
      <c r="B15408" s="35"/>
      <c r="C15408" s="36"/>
      <c r="D15408" s="37"/>
      <c r="E15408" s="36"/>
      <c r="F15408" s="42"/>
      <c r="G15408" s="42"/>
      <c r="H15408" s="42"/>
      <c r="AG15408" s="19"/>
    </row>
    <row r="15409" spans="1:33" ht="14.5" x14ac:dyDescent="0.35">
      <c r="A15409" s="34"/>
      <c r="B15409" s="35"/>
      <c r="C15409" s="36"/>
      <c r="D15409" s="37"/>
      <c r="E15409" s="36"/>
      <c r="F15409" s="42"/>
      <c r="G15409" s="42"/>
      <c r="H15409" s="42"/>
      <c r="AG15409" s="19"/>
    </row>
    <row r="15410" spans="1:33" ht="14.5" x14ac:dyDescent="0.35">
      <c r="A15410" s="34"/>
      <c r="B15410" s="35"/>
      <c r="C15410" s="36"/>
      <c r="D15410" s="37"/>
      <c r="E15410" s="36"/>
      <c r="F15410" s="42"/>
      <c r="G15410" s="42"/>
      <c r="H15410" s="42"/>
      <c r="AG15410" s="19"/>
    </row>
    <row r="15411" spans="1:33" ht="14.5" x14ac:dyDescent="0.35">
      <c r="A15411" s="34"/>
      <c r="B15411" s="35"/>
      <c r="C15411" s="36"/>
      <c r="D15411" s="37"/>
      <c r="E15411" s="36"/>
      <c r="F15411" s="42"/>
      <c r="G15411" s="42"/>
      <c r="H15411" s="42"/>
      <c r="AG15411" s="19"/>
    </row>
    <row r="15412" spans="1:33" ht="14.5" x14ac:dyDescent="0.35">
      <c r="A15412" s="34"/>
      <c r="B15412" s="35"/>
      <c r="C15412" s="36"/>
      <c r="D15412" s="37"/>
      <c r="E15412" s="36"/>
      <c r="F15412" s="42"/>
      <c r="G15412" s="42"/>
      <c r="H15412" s="42"/>
      <c r="AG15412" s="19"/>
    </row>
    <row r="15413" spans="1:33" ht="14.5" x14ac:dyDescent="0.35">
      <c r="A15413" s="34"/>
      <c r="B15413" s="35"/>
      <c r="C15413" s="36"/>
      <c r="D15413" s="37"/>
      <c r="E15413" s="36"/>
      <c r="F15413" s="42"/>
      <c r="G15413" s="42"/>
      <c r="H15413" s="42"/>
      <c r="AG15413" s="19"/>
    </row>
    <row r="15414" spans="1:33" ht="14.5" x14ac:dyDescent="0.35">
      <c r="A15414" s="34"/>
      <c r="B15414" s="35"/>
      <c r="C15414" s="36"/>
      <c r="D15414" s="37"/>
      <c r="E15414" s="36"/>
      <c r="F15414" s="42"/>
      <c r="G15414" s="42"/>
      <c r="H15414" s="42"/>
      <c r="AG15414" s="19"/>
    </row>
    <row r="15415" spans="1:33" ht="14.5" x14ac:dyDescent="0.35">
      <c r="A15415" s="34"/>
      <c r="B15415" s="35"/>
      <c r="C15415" s="36"/>
      <c r="D15415" s="37"/>
      <c r="E15415" s="36"/>
      <c r="F15415" s="42"/>
      <c r="G15415" s="42"/>
      <c r="H15415" s="42"/>
      <c r="AG15415" s="19"/>
    </row>
    <row r="15416" spans="1:33" ht="14.5" x14ac:dyDescent="0.35">
      <c r="A15416" s="34"/>
      <c r="B15416" s="35"/>
      <c r="C15416" s="36"/>
      <c r="D15416" s="37"/>
      <c r="E15416" s="36"/>
      <c r="F15416" s="42"/>
      <c r="G15416" s="42"/>
      <c r="H15416" s="42"/>
      <c r="AG15416" s="19"/>
    </row>
    <row r="15417" spans="1:33" ht="14.5" x14ac:dyDescent="0.35">
      <c r="A15417" s="34"/>
      <c r="B15417" s="35"/>
      <c r="C15417" s="36"/>
      <c r="D15417" s="37"/>
      <c r="E15417" s="36"/>
      <c r="F15417" s="42"/>
      <c r="G15417" s="42"/>
      <c r="H15417" s="42"/>
      <c r="AG15417" s="19"/>
    </row>
    <row r="15418" spans="1:33" ht="14.5" x14ac:dyDescent="0.35">
      <c r="A15418" s="34"/>
      <c r="B15418" s="35"/>
      <c r="C15418" s="36"/>
      <c r="D15418" s="37"/>
      <c r="E15418" s="36"/>
      <c r="F15418" s="42"/>
      <c r="G15418" s="42"/>
      <c r="H15418" s="42"/>
      <c r="AG15418" s="19"/>
    </row>
    <row r="15419" spans="1:33" ht="14.5" x14ac:dyDescent="0.35">
      <c r="A15419" s="34"/>
      <c r="B15419" s="35"/>
      <c r="C15419" s="36"/>
      <c r="D15419" s="37"/>
      <c r="E15419" s="36"/>
      <c r="F15419" s="42"/>
      <c r="G15419" s="42"/>
      <c r="H15419" s="42"/>
      <c r="AG15419" s="19"/>
    </row>
    <row r="15420" spans="1:33" ht="14.5" x14ac:dyDescent="0.35">
      <c r="A15420" s="34"/>
      <c r="B15420" s="35"/>
      <c r="C15420" s="36"/>
      <c r="D15420" s="37"/>
      <c r="E15420" s="36"/>
      <c r="F15420" s="42"/>
      <c r="G15420" s="42"/>
      <c r="H15420" s="42"/>
      <c r="AG15420" s="19"/>
    </row>
    <row r="15421" spans="1:33" ht="14.5" x14ac:dyDescent="0.35">
      <c r="A15421" s="34"/>
      <c r="B15421" s="35"/>
      <c r="C15421" s="36"/>
      <c r="D15421" s="37"/>
      <c r="E15421" s="36"/>
      <c r="F15421" s="42"/>
      <c r="G15421" s="42"/>
      <c r="H15421" s="42"/>
      <c r="AG15421" s="19"/>
    </row>
    <row r="15422" spans="1:33" ht="14.5" x14ac:dyDescent="0.35">
      <c r="A15422" s="34"/>
      <c r="B15422" s="35"/>
      <c r="C15422" s="36"/>
      <c r="D15422" s="37"/>
      <c r="E15422" s="36"/>
      <c r="F15422" s="42"/>
      <c r="G15422" s="42"/>
      <c r="H15422" s="42"/>
      <c r="AG15422" s="19"/>
    </row>
    <row r="15423" spans="1:33" ht="14.5" x14ac:dyDescent="0.35">
      <c r="A15423" s="34"/>
      <c r="B15423" s="35"/>
      <c r="C15423" s="36"/>
      <c r="D15423" s="37"/>
      <c r="E15423" s="36"/>
      <c r="F15423" s="42"/>
      <c r="G15423" s="42"/>
      <c r="H15423" s="42"/>
      <c r="AG15423" s="19"/>
    </row>
    <row r="15424" spans="1:33" ht="14.5" x14ac:dyDescent="0.35">
      <c r="A15424" s="34"/>
      <c r="B15424" s="35"/>
      <c r="C15424" s="36"/>
      <c r="D15424" s="37"/>
      <c r="E15424" s="36"/>
      <c r="F15424" s="42"/>
      <c r="G15424" s="42"/>
      <c r="H15424" s="42"/>
      <c r="AG15424" s="19"/>
    </row>
    <row r="15425" spans="1:33" ht="14.5" x14ac:dyDescent="0.35">
      <c r="A15425" s="34"/>
      <c r="B15425" s="35"/>
      <c r="C15425" s="36"/>
      <c r="D15425" s="37"/>
      <c r="E15425" s="36"/>
      <c r="F15425" s="42"/>
      <c r="G15425" s="42"/>
      <c r="H15425" s="42"/>
      <c r="AG15425" s="19"/>
    </row>
    <row r="15426" spans="1:33" ht="14.5" x14ac:dyDescent="0.35">
      <c r="A15426" s="34"/>
      <c r="B15426" s="35"/>
      <c r="C15426" s="36"/>
      <c r="D15426" s="37"/>
      <c r="E15426" s="36"/>
      <c r="F15426" s="42"/>
      <c r="G15426" s="42"/>
      <c r="H15426" s="42"/>
      <c r="AG15426" s="19"/>
    </row>
    <row r="15427" spans="1:33" ht="14.5" x14ac:dyDescent="0.35">
      <c r="A15427" s="34"/>
      <c r="B15427" s="35"/>
      <c r="C15427" s="36"/>
      <c r="D15427" s="37"/>
      <c r="E15427" s="36"/>
      <c r="F15427" s="42"/>
      <c r="G15427" s="42"/>
      <c r="H15427" s="42"/>
      <c r="AG15427" s="19"/>
    </row>
    <row r="15428" spans="1:33" ht="14.5" x14ac:dyDescent="0.35">
      <c r="A15428" s="34"/>
      <c r="B15428" s="35"/>
      <c r="C15428" s="36"/>
      <c r="D15428" s="37"/>
      <c r="E15428" s="36"/>
      <c r="F15428" s="42"/>
      <c r="G15428" s="42"/>
      <c r="H15428" s="42"/>
      <c r="AG15428" s="19"/>
    </row>
    <row r="15429" spans="1:33" ht="14.5" x14ac:dyDescent="0.35">
      <c r="A15429" s="34"/>
      <c r="B15429" s="35"/>
      <c r="C15429" s="36"/>
      <c r="D15429" s="37"/>
      <c r="E15429" s="36"/>
      <c r="F15429" s="42"/>
      <c r="G15429" s="42"/>
      <c r="H15429" s="42"/>
      <c r="AG15429" s="19"/>
    </row>
    <row r="15430" spans="1:33" ht="14.5" x14ac:dyDescent="0.35">
      <c r="A15430" s="34"/>
      <c r="B15430" s="35"/>
      <c r="C15430" s="36"/>
      <c r="D15430" s="37"/>
      <c r="E15430" s="36"/>
      <c r="F15430" s="42"/>
      <c r="G15430" s="42"/>
      <c r="H15430" s="42"/>
      <c r="AG15430" s="19"/>
    </row>
    <row r="15431" spans="1:33" ht="14.5" x14ac:dyDescent="0.35">
      <c r="A15431" s="34"/>
      <c r="B15431" s="35"/>
      <c r="C15431" s="36"/>
      <c r="D15431" s="37"/>
      <c r="E15431" s="36"/>
      <c r="F15431" s="42"/>
      <c r="G15431" s="42"/>
      <c r="H15431" s="42"/>
      <c r="AG15431" s="19"/>
    </row>
    <row r="15432" spans="1:33" ht="14.5" x14ac:dyDescent="0.35">
      <c r="A15432" s="34"/>
      <c r="B15432" s="35"/>
      <c r="C15432" s="36"/>
      <c r="D15432" s="37"/>
      <c r="E15432" s="36"/>
      <c r="F15432" s="42"/>
      <c r="G15432" s="42"/>
      <c r="H15432" s="42"/>
      <c r="AG15432" s="19"/>
    </row>
    <row r="15433" spans="1:33" ht="14.5" x14ac:dyDescent="0.35">
      <c r="A15433" s="34"/>
      <c r="B15433" s="35"/>
      <c r="C15433" s="36"/>
      <c r="D15433" s="37"/>
      <c r="E15433" s="36"/>
      <c r="F15433" s="42"/>
      <c r="G15433" s="42"/>
      <c r="H15433" s="42"/>
      <c r="AG15433" s="19"/>
    </row>
    <row r="15434" spans="1:33" ht="14.5" x14ac:dyDescent="0.35">
      <c r="A15434" s="34"/>
      <c r="B15434" s="35"/>
      <c r="C15434" s="36"/>
      <c r="D15434" s="37"/>
      <c r="E15434" s="36"/>
      <c r="F15434" s="42"/>
      <c r="G15434" s="42"/>
      <c r="H15434" s="42"/>
      <c r="AG15434" s="19"/>
    </row>
    <row r="15435" spans="1:33" ht="14.5" x14ac:dyDescent="0.35">
      <c r="A15435" s="34"/>
      <c r="B15435" s="35"/>
      <c r="C15435" s="36"/>
      <c r="D15435" s="37"/>
      <c r="E15435" s="36"/>
      <c r="F15435" s="42"/>
      <c r="G15435" s="42"/>
      <c r="H15435" s="42"/>
      <c r="AG15435" s="19"/>
    </row>
    <row r="15436" spans="1:33" ht="14.5" x14ac:dyDescent="0.35">
      <c r="A15436" s="34"/>
      <c r="B15436" s="35"/>
      <c r="C15436" s="36"/>
      <c r="D15436" s="37"/>
      <c r="E15436" s="36"/>
      <c r="F15436" s="42"/>
      <c r="G15436" s="42"/>
      <c r="H15436" s="42"/>
      <c r="AG15436" s="19"/>
    </row>
    <row r="15437" spans="1:33" ht="14.5" x14ac:dyDescent="0.35">
      <c r="A15437" s="34"/>
      <c r="B15437" s="35"/>
      <c r="C15437" s="36"/>
      <c r="D15437" s="37"/>
      <c r="E15437" s="36"/>
      <c r="F15437" s="42"/>
      <c r="G15437" s="42"/>
      <c r="H15437" s="42"/>
      <c r="AG15437" s="19"/>
    </row>
    <row r="15438" spans="1:33" ht="14.5" x14ac:dyDescent="0.35">
      <c r="A15438" s="34"/>
      <c r="B15438" s="35"/>
      <c r="C15438" s="36"/>
      <c r="D15438" s="37"/>
      <c r="E15438" s="36"/>
      <c r="F15438" s="42"/>
      <c r="G15438" s="42"/>
      <c r="H15438" s="42"/>
      <c r="AG15438" s="19"/>
    </row>
    <row r="15439" spans="1:33" ht="14.5" x14ac:dyDescent="0.35">
      <c r="A15439" s="34"/>
      <c r="B15439" s="35"/>
      <c r="C15439" s="36"/>
      <c r="D15439" s="37"/>
      <c r="E15439" s="36"/>
      <c r="F15439" s="42"/>
      <c r="G15439" s="42"/>
      <c r="H15439" s="42"/>
      <c r="AG15439" s="19"/>
    </row>
    <row r="15440" spans="1:33" ht="14.5" x14ac:dyDescent="0.35">
      <c r="A15440" s="34"/>
      <c r="B15440" s="35"/>
      <c r="C15440" s="36"/>
      <c r="D15440" s="37"/>
      <c r="E15440" s="36"/>
      <c r="F15440" s="42"/>
      <c r="G15440" s="42"/>
      <c r="H15440" s="42"/>
      <c r="AG15440" s="19"/>
    </row>
    <row r="15441" spans="1:33" ht="14.5" x14ac:dyDescent="0.35">
      <c r="A15441" s="34"/>
      <c r="B15441" s="35"/>
      <c r="C15441" s="36"/>
      <c r="D15441" s="37"/>
      <c r="E15441" s="36"/>
      <c r="F15441" s="42"/>
      <c r="G15441" s="42"/>
      <c r="H15441" s="42"/>
      <c r="AG15441" s="19"/>
    </row>
    <row r="15442" spans="1:33" ht="14.5" x14ac:dyDescent="0.35">
      <c r="A15442" s="34"/>
      <c r="B15442" s="35"/>
      <c r="C15442" s="36"/>
      <c r="D15442" s="37"/>
      <c r="E15442" s="36"/>
      <c r="F15442" s="42"/>
      <c r="G15442" s="42"/>
      <c r="H15442" s="42"/>
      <c r="AG15442" s="19"/>
    </row>
    <row r="15443" spans="1:33" ht="14.5" x14ac:dyDescent="0.35">
      <c r="A15443" s="34"/>
      <c r="B15443" s="35"/>
      <c r="C15443" s="36"/>
      <c r="D15443" s="37"/>
      <c r="E15443" s="36"/>
      <c r="F15443" s="42"/>
      <c r="G15443" s="42"/>
      <c r="H15443" s="42"/>
      <c r="AG15443" s="19"/>
    </row>
    <row r="15444" spans="1:33" ht="14.5" x14ac:dyDescent="0.35">
      <c r="A15444" s="34"/>
      <c r="B15444" s="35"/>
      <c r="C15444" s="36"/>
      <c r="D15444" s="37"/>
      <c r="E15444" s="36"/>
      <c r="F15444" s="42"/>
      <c r="G15444" s="42"/>
      <c r="H15444" s="42"/>
      <c r="AG15444" s="19"/>
    </row>
    <row r="15445" spans="1:33" ht="14.5" x14ac:dyDescent="0.35">
      <c r="A15445" s="34"/>
      <c r="B15445" s="35"/>
      <c r="C15445" s="36"/>
      <c r="D15445" s="37"/>
      <c r="E15445" s="36"/>
      <c r="F15445" s="42"/>
      <c r="G15445" s="42"/>
      <c r="H15445" s="42"/>
      <c r="AG15445" s="19"/>
    </row>
    <row r="15446" spans="1:33" ht="14.5" x14ac:dyDescent="0.35">
      <c r="A15446" s="34"/>
      <c r="B15446" s="35"/>
      <c r="C15446" s="36"/>
      <c r="D15446" s="37"/>
      <c r="E15446" s="36"/>
      <c r="F15446" s="42"/>
      <c r="G15446" s="42"/>
      <c r="H15446" s="42"/>
      <c r="AG15446" s="19"/>
    </row>
    <row r="15447" spans="1:33" ht="14.5" x14ac:dyDescent="0.35">
      <c r="A15447" s="34"/>
      <c r="B15447" s="35"/>
      <c r="C15447" s="36"/>
      <c r="D15447" s="37"/>
      <c r="E15447" s="36"/>
      <c r="F15447" s="42"/>
      <c r="G15447" s="42"/>
      <c r="H15447" s="42"/>
      <c r="AG15447" s="19"/>
    </row>
    <row r="15448" spans="1:33" ht="14.5" x14ac:dyDescent="0.35">
      <c r="A15448" s="34"/>
      <c r="B15448" s="35"/>
      <c r="C15448" s="36"/>
      <c r="D15448" s="37"/>
      <c r="E15448" s="36"/>
      <c r="F15448" s="42"/>
      <c r="G15448" s="42"/>
      <c r="H15448" s="42"/>
      <c r="AG15448" s="19"/>
    </row>
    <row r="15449" spans="1:33" ht="14.5" x14ac:dyDescent="0.35">
      <c r="A15449" s="34"/>
      <c r="B15449" s="35"/>
      <c r="C15449" s="36"/>
      <c r="D15449" s="37"/>
      <c r="E15449" s="36"/>
      <c r="F15449" s="42"/>
      <c r="G15449" s="42"/>
      <c r="H15449" s="42"/>
      <c r="AG15449" s="19"/>
    </row>
    <row r="15450" spans="1:33" ht="14.5" x14ac:dyDescent="0.35">
      <c r="A15450" s="34"/>
      <c r="B15450" s="35"/>
      <c r="C15450" s="36"/>
      <c r="D15450" s="37"/>
      <c r="E15450" s="36"/>
      <c r="F15450" s="42"/>
      <c r="G15450" s="42"/>
      <c r="H15450" s="42"/>
      <c r="AG15450" s="19"/>
    </row>
    <row r="15451" spans="1:33" ht="14.5" x14ac:dyDescent="0.35">
      <c r="A15451" s="34"/>
      <c r="B15451" s="35"/>
      <c r="C15451" s="36"/>
      <c r="D15451" s="37"/>
      <c r="E15451" s="36"/>
      <c r="F15451" s="42"/>
      <c r="G15451" s="42"/>
      <c r="H15451" s="42"/>
      <c r="AG15451" s="19"/>
    </row>
    <row r="15452" spans="1:33" ht="14.5" x14ac:dyDescent="0.35">
      <c r="A15452" s="34"/>
      <c r="B15452" s="35"/>
      <c r="C15452" s="36"/>
      <c r="D15452" s="37"/>
      <c r="E15452" s="36"/>
      <c r="F15452" s="42"/>
      <c r="G15452" s="42"/>
      <c r="H15452" s="42"/>
      <c r="AG15452" s="19"/>
    </row>
    <row r="15453" spans="1:33" ht="14.5" x14ac:dyDescent="0.35">
      <c r="A15453" s="34"/>
      <c r="B15453" s="35"/>
      <c r="C15453" s="36"/>
      <c r="D15453" s="37"/>
      <c r="E15453" s="36"/>
      <c r="F15453" s="42"/>
      <c r="G15453" s="42"/>
      <c r="H15453" s="42"/>
      <c r="AG15453" s="19"/>
    </row>
    <row r="15454" spans="1:33" ht="14.5" x14ac:dyDescent="0.35">
      <c r="A15454" s="34"/>
      <c r="B15454" s="35"/>
      <c r="C15454" s="36"/>
      <c r="D15454" s="37"/>
      <c r="E15454" s="36"/>
      <c r="F15454" s="42"/>
      <c r="G15454" s="42"/>
      <c r="H15454" s="42"/>
      <c r="AG15454" s="19"/>
    </row>
    <row r="15455" spans="1:33" ht="14.5" x14ac:dyDescent="0.35">
      <c r="A15455" s="34"/>
      <c r="B15455" s="35"/>
      <c r="C15455" s="36"/>
      <c r="D15455" s="37"/>
      <c r="E15455" s="36"/>
      <c r="F15455" s="42"/>
      <c r="G15455" s="42"/>
      <c r="H15455" s="42"/>
      <c r="AG15455" s="19"/>
    </row>
    <row r="15456" spans="1:33" ht="14.5" x14ac:dyDescent="0.35">
      <c r="A15456" s="34"/>
      <c r="B15456" s="35"/>
      <c r="C15456" s="36"/>
      <c r="D15456" s="37"/>
      <c r="E15456" s="36"/>
      <c r="F15456" s="42"/>
      <c r="G15456" s="42"/>
      <c r="H15456" s="42"/>
      <c r="AG15456" s="19"/>
    </row>
    <row r="15457" spans="1:33" ht="14.5" x14ac:dyDescent="0.35">
      <c r="A15457" s="34"/>
      <c r="B15457" s="35"/>
      <c r="C15457" s="36"/>
      <c r="D15457" s="37"/>
      <c r="E15457" s="36"/>
      <c r="F15457" s="42"/>
      <c r="G15457" s="42"/>
      <c r="H15457" s="42"/>
      <c r="AG15457" s="19"/>
    </row>
    <row r="15458" spans="1:33" ht="14.5" x14ac:dyDescent="0.35">
      <c r="A15458" s="34"/>
      <c r="B15458" s="35"/>
      <c r="C15458" s="36"/>
      <c r="D15458" s="37"/>
      <c r="E15458" s="36"/>
      <c r="F15458" s="42"/>
      <c r="G15458" s="42"/>
      <c r="H15458" s="42"/>
      <c r="AG15458" s="19"/>
    </row>
    <row r="15459" spans="1:33" ht="14.5" x14ac:dyDescent="0.35">
      <c r="A15459" s="34"/>
      <c r="B15459" s="35"/>
      <c r="C15459" s="36"/>
      <c r="D15459" s="37"/>
      <c r="E15459" s="36"/>
      <c r="F15459" s="42"/>
      <c r="G15459" s="42"/>
      <c r="H15459" s="42"/>
      <c r="AG15459" s="19"/>
    </row>
    <row r="15460" spans="1:33" ht="14.5" x14ac:dyDescent="0.35">
      <c r="A15460" s="34"/>
      <c r="B15460" s="35"/>
      <c r="C15460" s="36"/>
      <c r="D15460" s="37"/>
      <c r="E15460" s="36"/>
      <c r="F15460" s="42"/>
      <c r="G15460" s="42"/>
      <c r="H15460" s="42"/>
      <c r="AG15460" s="19"/>
    </row>
    <row r="15461" spans="1:33" ht="14.5" x14ac:dyDescent="0.35">
      <c r="A15461" s="34"/>
      <c r="B15461" s="35"/>
      <c r="C15461" s="36"/>
      <c r="D15461" s="37"/>
      <c r="E15461" s="36"/>
      <c r="F15461" s="42"/>
      <c r="G15461" s="42"/>
      <c r="H15461" s="42"/>
      <c r="AG15461" s="19"/>
    </row>
    <row r="15462" spans="1:33" ht="14.5" x14ac:dyDescent="0.35">
      <c r="A15462" s="34"/>
      <c r="B15462" s="35"/>
      <c r="C15462" s="36"/>
      <c r="D15462" s="37"/>
      <c r="E15462" s="36"/>
      <c r="F15462" s="42"/>
      <c r="G15462" s="42"/>
      <c r="H15462" s="42"/>
      <c r="AG15462" s="19"/>
    </row>
    <row r="15463" spans="1:33" ht="14.5" x14ac:dyDescent="0.35">
      <c r="A15463" s="34"/>
      <c r="B15463" s="35"/>
      <c r="C15463" s="36"/>
      <c r="D15463" s="37"/>
      <c r="E15463" s="36"/>
      <c r="F15463" s="42"/>
      <c r="G15463" s="42"/>
      <c r="H15463" s="42"/>
      <c r="AG15463" s="19"/>
    </row>
    <row r="15464" spans="1:33" ht="14.5" x14ac:dyDescent="0.35">
      <c r="A15464" s="34"/>
      <c r="B15464" s="35"/>
      <c r="C15464" s="36"/>
      <c r="D15464" s="37"/>
      <c r="E15464" s="36"/>
      <c r="F15464" s="42"/>
      <c r="G15464" s="42"/>
      <c r="H15464" s="42"/>
      <c r="AG15464" s="19"/>
    </row>
    <row r="15465" spans="1:33" ht="14.5" x14ac:dyDescent="0.35">
      <c r="A15465" s="34"/>
      <c r="B15465" s="35"/>
      <c r="C15465" s="36"/>
      <c r="D15465" s="37"/>
      <c r="E15465" s="36"/>
      <c r="F15465" s="42"/>
      <c r="G15465" s="42"/>
      <c r="H15465" s="42"/>
      <c r="AG15465" s="19"/>
    </row>
    <row r="15466" spans="1:33" ht="14.5" x14ac:dyDescent="0.35">
      <c r="A15466" s="34"/>
      <c r="B15466" s="35"/>
      <c r="C15466" s="36"/>
      <c r="D15466" s="37"/>
      <c r="E15466" s="36"/>
      <c r="F15466" s="42"/>
      <c r="G15466" s="42"/>
      <c r="H15466" s="42"/>
      <c r="AG15466" s="19"/>
    </row>
    <row r="15467" spans="1:33" ht="14.5" x14ac:dyDescent="0.35">
      <c r="A15467" s="34"/>
      <c r="B15467" s="35"/>
      <c r="C15467" s="36"/>
      <c r="D15467" s="37"/>
      <c r="E15467" s="36"/>
      <c r="F15467" s="42"/>
      <c r="G15467" s="42"/>
      <c r="H15467" s="42"/>
      <c r="AG15467" s="19"/>
    </row>
    <row r="15468" spans="1:33" ht="14.5" x14ac:dyDescent="0.35">
      <c r="A15468" s="34"/>
      <c r="B15468" s="35"/>
      <c r="C15468" s="36"/>
      <c r="D15468" s="37"/>
      <c r="E15468" s="36"/>
      <c r="F15468" s="42"/>
      <c r="G15468" s="42"/>
      <c r="H15468" s="42"/>
      <c r="AG15468" s="19"/>
    </row>
    <row r="15469" spans="1:33" ht="14.5" x14ac:dyDescent="0.35">
      <c r="A15469" s="34"/>
      <c r="B15469" s="35"/>
      <c r="C15469" s="36"/>
      <c r="D15469" s="37"/>
      <c r="E15469" s="36"/>
      <c r="F15469" s="42"/>
      <c r="G15469" s="42"/>
      <c r="H15469" s="42"/>
      <c r="AG15469" s="19"/>
    </row>
    <row r="15470" spans="1:33" ht="14.5" x14ac:dyDescent="0.35">
      <c r="A15470" s="34"/>
      <c r="B15470" s="35"/>
      <c r="C15470" s="36"/>
      <c r="D15470" s="37"/>
      <c r="E15470" s="36"/>
      <c r="F15470" s="42"/>
      <c r="G15470" s="42"/>
      <c r="H15470" s="42"/>
      <c r="AG15470" s="19"/>
    </row>
    <row r="15471" spans="1:33" ht="14.5" x14ac:dyDescent="0.35">
      <c r="A15471" s="34"/>
      <c r="B15471" s="35"/>
      <c r="C15471" s="36"/>
      <c r="D15471" s="37"/>
      <c r="E15471" s="36"/>
      <c r="F15471" s="42"/>
      <c r="G15471" s="42"/>
      <c r="H15471" s="42"/>
      <c r="AG15471" s="19"/>
    </row>
    <row r="15472" spans="1:33" ht="14.5" x14ac:dyDescent="0.35">
      <c r="A15472" s="34"/>
      <c r="B15472" s="35"/>
      <c r="C15472" s="36"/>
      <c r="D15472" s="37"/>
      <c r="E15472" s="36"/>
      <c r="F15472" s="42"/>
      <c r="G15472" s="42"/>
      <c r="H15472" s="42"/>
      <c r="AG15472" s="19"/>
    </row>
    <row r="15473" spans="1:33" ht="14.5" x14ac:dyDescent="0.35">
      <c r="A15473" s="34"/>
      <c r="B15473" s="35"/>
      <c r="C15473" s="36"/>
      <c r="D15473" s="37"/>
      <c r="E15473" s="36"/>
      <c r="F15473" s="42"/>
      <c r="G15473" s="42"/>
      <c r="H15473" s="42"/>
      <c r="AG15473" s="19"/>
    </row>
    <row r="15474" spans="1:33" ht="14.5" x14ac:dyDescent="0.35">
      <c r="A15474" s="34"/>
      <c r="B15474" s="35"/>
      <c r="C15474" s="36"/>
      <c r="D15474" s="37"/>
      <c r="E15474" s="36"/>
      <c r="F15474" s="42"/>
      <c r="G15474" s="42"/>
      <c r="H15474" s="42"/>
      <c r="AG15474" s="19"/>
    </row>
    <row r="15475" spans="1:33" ht="14.5" x14ac:dyDescent="0.35">
      <c r="A15475" s="34"/>
      <c r="B15475" s="35"/>
      <c r="C15475" s="36"/>
      <c r="D15475" s="37"/>
      <c r="E15475" s="36"/>
      <c r="F15475" s="42"/>
      <c r="G15475" s="42"/>
      <c r="H15475" s="42"/>
      <c r="AG15475" s="19"/>
    </row>
    <row r="15476" spans="1:33" ht="14.5" x14ac:dyDescent="0.35">
      <c r="A15476" s="34"/>
      <c r="B15476" s="35"/>
      <c r="C15476" s="36"/>
      <c r="D15476" s="37"/>
      <c r="E15476" s="36"/>
      <c r="F15476" s="42"/>
      <c r="G15476" s="42"/>
      <c r="H15476" s="42"/>
      <c r="AG15476" s="19"/>
    </row>
    <row r="15477" spans="1:33" ht="14.5" x14ac:dyDescent="0.35">
      <c r="A15477" s="34"/>
      <c r="B15477" s="35"/>
      <c r="C15477" s="36"/>
      <c r="D15477" s="37"/>
      <c r="E15477" s="36"/>
      <c r="F15477" s="42"/>
      <c r="G15477" s="42"/>
      <c r="H15477" s="42"/>
      <c r="AG15477" s="19"/>
    </row>
    <row r="15478" spans="1:33" ht="14.5" x14ac:dyDescent="0.35">
      <c r="A15478" s="34"/>
      <c r="B15478" s="35"/>
      <c r="C15478" s="36"/>
      <c r="D15478" s="37"/>
      <c r="E15478" s="36"/>
      <c r="F15478" s="42"/>
      <c r="G15478" s="42"/>
      <c r="H15478" s="42"/>
      <c r="AG15478" s="19"/>
    </row>
    <row r="15479" spans="1:33" ht="14.5" x14ac:dyDescent="0.35">
      <c r="A15479" s="34"/>
      <c r="B15479" s="35"/>
      <c r="C15479" s="36"/>
      <c r="D15479" s="37"/>
      <c r="E15479" s="36"/>
      <c r="F15479" s="42"/>
      <c r="G15479" s="42"/>
      <c r="H15479" s="42"/>
      <c r="AG15479" s="19"/>
    </row>
    <row r="15480" spans="1:33" ht="14.5" x14ac:dyDescent="0.35">
      <c r="A15480" s="34"/>
      <c r="B15480" s="35"/>
      <c r="C15480" s="36"/>
      <c r="D15480" s="37"/>
      <c r="E15480" s="36"/>
      <c r="F15480" s="42"/>
      <c r="G15480" s="42"/>
      <c r="H15480" s="42"/>
      <c r="AG15480" s="19"/>
    </row>
    <row r="15481" spans="1:33" ht="14.5" x14ac:dyDescent="0.35">
      <c r="A15481" s="34"/>
      <c r="B15481" s="35"/>
      <c r="C15481" s="36"/>
      <c r="D15481" s="37"/>
      <c r="E15481" s="36"/>
      <c r="F15481" s="42"/>
      <c r="G15481" s="42"/>
      <c r="H15481" s="42"/>
      <c r="AG15481" s="19"/>
    </row>
    <row r="15482" spans="1:33" ht="14.5" x14ac:dyDescent="0.35">
      <c r="A15482" s="34"/>
      <c r="B15482" s="35"/>
      <c r="C15482" s="36"/>
      <c r="D15482" s="37"/>
      <c r="E15482" s="36"/>
      <c r="F15482" s="42"/>
      <c r="G15482" s="42"/>
      <c r="H15482" s="42"/>
      <c r="AG15482" s="19"/>
    </row>
    <row r="15483" spans="1:33" ht="14.5" x14ac:dyDescent="0.35">
      <c r="A15483" s="34"/>
      <c r="B15483" s="35"/>
      <c r="C15483" s="36"/>
      <c r="D15483" s="37"/>
      <c r="E15483" s="36"/>
      <c r="F15483" s="42"/>
      <c r="G15483" s="42"/>
      <c r="H15483" s="42"/>
      <c r="AG15483" s="19"/>
    </row>
    <row r="15484" spans="1:33" ht="14.5" x14ac:dyDescent="0.35">
      <c r="A15484" s="34"/>
      <c r="B15484" s="35"/>
      <c r="C15484" s="36"/>
      <c r="D15484" s="37"/>
      <c r="E15484" s="36"/>
      <c r="F15484" s="42"/>
      <c r="G15484" s="42"/>
      <c r="H15484" s="42"/>
      <c r="AG15484" s="19"/>
    </row>
    <row r="15485" spans="1:33" ht="14.5" x14ac:dyDescent="0.35">
      <c r="A15485" s="34"/>
      <c r="B15485" s="35"/>
      <c r="C15485" s="36"/>
      <c r="D15485" s="37"/>
      <c r="E15485" s="36"/>
      <c r="F15485" s="42"/>
      <c r="G15485" s="42"/>
      <c r="H15485" s="42"/>
      <c r="AG15485" s="19"/>
    </row>
    <row r="15486" spans="1:33" ht="14.5" x14ac:dyDescent="0.35">
      <c r="A15486" s="34"/>
      <c r="B15486" s="35"/>
      <c r="C15486" s="36"/>
      <c r="D15486" s="37"/>
      <c r="E15486" s="36"/>
      <c r="F15486" s="42"/>
      <c r="G15486" s="42"/>
      <c r="H15486" s="42"/>
      <c r="AG15486" s="19"/>
    </row>
    <row r="15487" spans="1:33" ht="14.5" x14ac:dyDescent="0.35">
      <c r="A15487" s="34"/>
      <c r="B15487" s="35"/>
      <c r="C15487" s="36"/>
      <c r="D15487" s="37"/>
      <c r="E15487" s="36"/>
      <c r="F15487" s="42"/>
      <c r="G15487" s="42"/>
      <c r="H15487" s="42"/>
      <c r="AG15487" s="19"/>
    </row>
    <row r="15488" spans="1:33" ht="14.5" x14ac:dyDescent="0.35">
      <c r="A15488" s="34"/>
      <c r="B15488" s="35"/>
      <c r="C15488" s="36"/>
      <c r="D15488" s="37"/>
      <c r="E15488" s="36"/>
      <c r="F15488" s="42"/>
      <c r="G15488" s="42"/>
      <c r="H15488" s="42"/>
      <c r="AG15488" s="19"/>
    </row>
    <row r="15489" spans="1:33" ht="14.5" x14ac:dyDescent="0.35">
      <c r="A15489" s="34"/>
      <c r="B15489" s="35"/>
      <c r="C15489" s="36"/>
      <c r="D15489" s="37"/>
      <c r="E15489" s="36"/>
      <c r="F15489" s="42"/>
      <c r="G15489" s="42"/>
      <c r="H15489" s="42"/>
      <c r="AG15489" s="19"/>
    </row>
    <row r="15490" spans="1:33" ht="14.5" x14ac:dyDescent="0.35">
      <c r="A15490" s="34"/>
      <c r="B15490" s="35"/>
      <c r="C15490" s="36"/>
      <c r="D15490" s="37"/>
      <c r="E15490" s="36"/>
      <c r="F15490" s="42"/>
      <c r="G15490" s="42"/>
      <c r="H15490" s="42"/>
      <c r="AG15490" s="19"/>
    </row>
    <row r="15491" spans="1:33" ht="14.5" x14ac:dyDescent="0.35">
      <c r="A15491" s="34"/>
      <c r="B15491" s="35"/>
      <c r="C15491" s="36"/>
      <c r="D15491" s="37"/>
      <c r="E15491" s="36"/>
      <c r="F15491" s="42"/>
      <c r="G15491" s="42"/>
      <c r="H15491" s="42"/>
      <c r="AG15491" s="19"/>
    </row>
    <row r="15492" spans="1:33" ht="14.5" x14ac:dyDescent="0.35">
      <c r="A15492" s="34"/>
      <c r="B15492" s="35"/>
      <c r="C15492" s="36"/>
      <c r="D15492" s="37"/>
      <c r="E15492" s="36"/>
      <c r="F15492" s="42"/>
      <c r="G15492" s="42"/>
      <c r="H15492" s="42"/>
      <c r="AG15492" s="19"/>
    </row>
    <row r="15493" spans="1:33" ht="14.5" x14ac:dyDescent="0.35">
      <c r="A15493" s="34"/>
      <c r="B15493" s="35"/>
      <c r="C15493" s="36"/>
      <c r="D15493" s="37"/>
      <c r="E15493" s="36"/>
      <c r="F15493" s="42"/>
      <c r="G15493" s="42"/>
      <c r="H15493" s="42"/>
      <c r="AG15493" s="19"/>
    </row>
    <row r="15494" spans="1:33" ht="14.5" x14ac:dyDescent="0.35">
      <c r="A15494" s="34"/>
      <c r="B15494" s="35"/>
      <c r="C15494" s="36"/>
      <c r="D15494" s="37"/>
      <c r="E15494" s="36"/>
      <c r="F15494" s="42"/>
      <c r="G15494" s="42"/>
      <c r="H15494" s="42"/>
      <c r="AG15494" s="19"/>
    </row>
    <row r="15495" spans="1:33" ht="14.5" x14ac:dyDescent="0.35">
      <c r="A15495" s="34"/>
      <c r="B15495" s="35"/>
      <c r="C15495" s="36"/>
      <c r="D15495" s="37"/>
      <c r="E15495" s="36"/>
      <c r="F15495" s="42"/>
      <c r="G15495" s="42"/>
      <c r="H15495" s="42"/>
      <c r="AG15495" s="19"/>
    </row>
    <row r="15496" spans="1:33" ht="14.5" x14ac:dyDescent="0.35">
      <c r="A15496" s="34"/>
      <c r="B15496" s="35"/>
      <c r="C15496" s="36"/>
      <c r="D15496" s="37"/>
      <c r="E15496" s="36"/>
      <c r="F15496" s="42"/>
      <c r="G15496" s="42"/>
      <c r="H15496" s="42"/>
      <c r="AG15496" s="19"/>
    </row>
    <row r="15497" spans="1:33" ht="14.5" x14ac:dyDescent="0.35">
      <c r="A15497" s="34"/>
      <c r="B15497" s="35"/>
      <c r="C15497" s="36"/>
      <c r="D15497" s="37"/>
      <c r="E15497" s="36"/>
      <c r="F15497" s="42"/>
      <c r="G15497" s="42"/>
      <c r="H15497" s="42"/>
      <c r="AG15497" s="19"/>
    </row>
    <row r="15498" spans="1:33" ht="14.5" x14ac:dyDescent="0.35">
      <c r="A15498" s="34"/>
      <c r="B15498" s="35"/>
      <c r="C15498" s="36"/>
      <c r="D15498" s="37"/>
      <c r="E15498" s="36"/>
      <c r="F15498" s="42"/>
      <c r="G15498" s="42"/>
      <c r="H15498" s="42"/>
      <c r="AG15498" s="19"/>
    </row>
    <row r="15499" spans="1:33" ht="14.5" x14ac:dyDescent="0.35">
      <c r="A15499" s="34"/>
      <c r="B15499" s="35"/>
      <c r="C15499" s="36"/>
      <c r="D15499" s="37"/>
      <c r="E15499" s="36"/>
      <c r="F15499" s="42"/>
      <c r="G15499" s="42"/>
      <c r="H15499" s="42"/>
      <c r="AG15499" s="19"/>
    </row>
    <row r="15500" spans="1:33" ht="14.5" x14ac:dyDescent="0.35">
      <c r="A15500" s="34"/>
      <c r="B15500" s="35"/>
      <c r="C15500" s="36"/>
      <c r="D15500" s="37"/>
      <c r="E15500" s="36"/>
      <c r="F15500" s="42"/>
      <c r="G15500" s="42"/>
      <c r="H15500" s="42"/>
      <c r="AG15500" s="19"/>
    </row>
    <row r="15501" spans="1:33" ht="14.5" x14ac:dyDescent="0.35">
      <c r="A15501" s="34"/>
      <c r="B15501" s="35"/>
      <c r="C15501" s="36"/>
      <c r="D15501" s="37"/>
      <c r="E15501" s="36"/>
      <c r="F15501" s="42"/>
      <c r="G15501" s="42"/>
      <c r="H15501" s="42"/>
      <c r="AG15501" s="19"/>
    </row>
    <row r="15502" spans="1:33" ht="14.5" x14ac:dyDescent="0.35">
      <c r="A15502" s="34"/>
      <c r="B15502" s="35"/>
      <c r="C15502" s="36"/>
      <c r="D15502" s="37"/>
      <c r="E15502" s="36"/>
      <c r="F15502" s="42"/>
      <c r="G15502" s="42"/>
      <c r="H15502" s="42"/>
      <c r="AG15502" s="19"/>
    </row>
    <row r="15503" spans="1:33" ht="14.5" x14ac:dyDescent="0.35">
      <c r="A15503" s="34"/>
      <c r="B15503" s="35"/>
      <c r="C15503" s="36"/>
      <c r="D15503" s="37"/>
      <c r="E15503" s="36"/>
      <c r="F15503" s="42"/>
      <c r="G15503" s="42"/>
      <c r="H15503" s="42"/>
      <c r="AG15503" s="19"/>
    </row>
    <row r="15504" spans="1:33" ht="14.5" x14ac:dyDescent="0.35">
      <c r="A15504" s="34"/>
      <c r="B15504" s="35"/>
      <c r="C15504" s="36"/>
      <c r="D15504" s="37"/>
      <c r="E15504" s="36"/>
      <c r="F15504" s="42"/>
      <c r="G15504" s="42"/>
      <c r="H15504" s="42"/>
      <c r="AG15504" s="19"/>
    </row>
    <row r="15505" spans="1:33" ht="14.5" x14ac:dyDescent="0.35">
      <c r="A15505" s="34"/>
      <c r="B15505" s="35"/>
      <c r="C15505" s="36"/>
      <c r="D15505" s="37"/>
      <c r="E15505" s="36"/>
      <c r="F15505" s="42"/>
      <c r="G15505" s="42"/>
      <c r="H15505" s="42"/>
      <c r="AG15505" s="19"/>
    </row>
    <row r="15506" spans="1:33" ht="14.5" x14ac:dyDescent="0.35">
      <c r="A15506" s="34"/>
      <c r="B15506" s="35"/>
      <c r="C15506" s="36"/>
      <c r="D15506" s="37"/>
      <c r="E15506" s="36"/>
      <c r="F15506" s="42"/>
      <c r="G15506" s="42"/>
      <c r="H15506" s="42"/>
      <c r="AG15506" s="19"/>
    </row>
    <row r="15507" spans="1:33" ht="14.5" x14ac:dyDescent="0.35">
      <c r="A15507" s="34"/>
      <c r="B15507" s="35"/>
      <c r="C15507" s="36"/>
      <c r="D15507" s="37"/>
      <c r="E15507" s="36"/>
      <c r="F15507" s="42"/>
      <c r="G15507" s="42"/>
      <c r="H15507" s="42"/>
      <c r="AG15507" s="19"/>
    </row>
    <row r="15508" spans="1:33" ht="14.5" x14ac:dyDescent="0.35">
      <c r="A15508" s="34"/>
      <c r="B15508" s="35"/>
      <c r="C15508" s="36"/>
      <c r="D15508" s="37"/>
      <c r="E15508" s="36"/>
      <c r="F15508" s="42"/>
      <c r="G15508" s="42"/>
      <c r="H15508" s="42"/>
      <c r="AG15508" s="19"/>
    </row>
    <row r="15509" spans="1:33" ht="14.5" x14ac:dyDescent="0.35">
      <c r="A15509" s="34"/>
      <c r="B15509" s="35"/>
      <c r="C15509" s="36"/>
      <c r="D15509" s="37"/>
      <c r="E15509" s="36"/>
      <c r="F15509" s="42"/>
      <c r="G15509" s="42"/>
      <c r="H15509" s="42"/>
      <c r="AG15509" s="19"/>
    </row>
    <row r="15510" spans="1:33" ht="14.5" x14ac:dyDescent="0.35">
      <c r="A15510" s="34"/>
      <c r="B15510" s="35"/>
      <c r="C15510" s="36"/>
      <c r="D15510" s="37"/>
      <c r="E15510" s="36"/>
      <c r="F15510" s="42"/>
      <c r="G15510" s="42"/>
      <c r="H15510" s="42"/>
      <c r="AG15510" s="19"/>
    </row>
    <row r="15511" spans="1:33" ht="14.5" x14ac:dyDescent="0.35">
      <c r="A15511" s="34"/>
      <c r="B15511" s="35"/>
      <c r="C15511" s="36"/>
      <c r="D15511" s="37"/>
      <c r="E15511" s="36"/>
      <c r="F15511" s="42"/>
      <c r="G15511" s="42"/>
      <c r="H15511" s="42"/>
      <c r="AG15511" s="19"/>
    </row>
    <row r="15512" spans="1:33" ht="14.5" x14ac:dyDescent="0.35">
      <c r="A15512" s="34"/>
      <c r="B15512" s="35"/>
      <c r="C15512" s="36"/>
      <c r="D15512" s="37"/>
      <c r="E15512" s="36"/>
      <c r="F15512" s="42"/>
      <c r="G15512" s="42"/>
      <c r="H15512" s="42"/>
      <c r="AG15512" s="19"/>
    </row>
    <row r="15513" spans="1:33" ht="14.5" x14ac:dyDescent="0.35">
      <c r="A15513" s="34"/>
      <c r="B15513" s="35"/>
      <c r="C15513" s="36"/>
      <c r="D15513" s="37"/>
      <c r="E15513" s="36"/>
      <c r="F15513" s="42"/>
      <c r="G15513" s="42"/>
      <c r="H15513" s="42"/>
      <c r="AG15513" s="19"/>
    </row>
    <row r="15514" spans="1:33" ht="14.5" x14ac:dyDescent="0.35">
      <c r="A15514" s="34"/>
      <c r="B15514" s="35"/>
      <c r="C15514" s="36"/>
      <c r="D15514" s="37"/>
      <c r="E15514" s="36"/>
      <c r="F15514" s="42"/>
      <c r="G15514" s="42"/>
      <c r="H15514" s="42"/>
      <c r="AG15514" s="19"/>
    </row>
    <row r="15515" spans="1:33" ht="14.5" x14ac:dyDescent="0.35">
      <c r="A15515" s="34"/>
      <c r="B15515" s="35"/>
      <c r="C15515" s="36"/>
      <c r="D15515" s="37"/>
      <c r="E15515" s="36"/>
      <c r="F15515" s="42"/>
      <c r="G15515" s="42"/>
      <c r="H15515" s="42"/>
      <c r="AG15515" s="19"/>
    </row>
    <row r="15516" spans="1:33" ht="14.5" x14ac:dyDescent="0.35">
      <c r="A15516" s="34"/>
      <c r="B15516" s="35"/>
      <c r="C15516" s="36"/>
      <c r="D15516" s="37"/>
      <c r="E15516" s="36"/>
      <c r="F15516" s="42"/>
      <c r="G15516" s="42"/>
      <c r="H15516" s="42"/>
      <c r="AG15516" s="19"/>
    </row>
    <row r="15517" spans="1:33" ht="14.5" x14ac:dyDescent="0.35">
      <c r="A15517" s="34"/>
      <c r="B15517" s="35"/>
      <c r="C15517" s="36"/>
      <c r="D15517" s="37"/>
      <c r="E15517" s="36"/>
      <c r="F15517" s="42"/>
      <c r="G15517" s="42"/>
      <c r="H15517" s="42"/>
      <c r="AG15517" s="19"/>
    </row>
    <row r="15518" spans="1:33" ht="14.5" x14ac:dyDescent="0.35">
      <c r="A15518" s="34"/>
      <c r="B15518" s="35"/>
      <c r="C15518" s="36"/>
      <c r="D15518" s="37"/>
      <c r="E15518" s="36"/>
      <c r="F15518" s="42"/>
      <c r="G15518" s="42"/>
      <c r="H15518" s="42"/>
      <c r="AG15518" s="19"/>
    </row>
    <row r="15519" spans="1:33" ht="14.5" x14ac:dyDescent="0.35">
      <c r="A15519" s="34"/>
      <c r="B15519" s="35"/>
      <c r="C15519" s="36"/>
      <c r="D15519" s="37"/>
      <c r="E15519" s="36"/>
      <c r="F15519" s="42"/>
      <c r="G15519" s="42"/>
      <c r="H15519" s="42"/>
      <c r="AG15519" s="19"/>
    </row>
    <row r="15520" spans="1:33" ht="14.5" x14ac:dyDescent="0.35">
      <c r="A15520" s="34"/>
      <c r="B15520" s="35"/>
      <c r="C15520" s="36"/>
      <c r="D15520" s="37"/>
      <c r="E15520" s="36"/>
      <c r="F15520" s="42"/>
      <c r="G15520" s="42"/>
      <c r="H15520" s="42"/>
      <c r="AG15520" s="19"/>
    </row>
    <row r="15521" spans="1:33" ht="14.5" x14ac:dyDescent="0.35">
      <c r="A15521" s="34"/>
      <c r="B15521" s="35"/>
      <c r="C15521" s="36"/>
      <c r="D15521" s="37"/>
      <c r="E15521" s="36"/>
      <c r="F15521" s="42"/>
      <c r="G15521" s="42"/>
      <c r="H15521" s="42"/>
      <c r="AG15521" s="19"/>
    </row>
    <row r="15522" spans="1:33" ht="14.5" x14ac:dyDescent="0.35">
      <c r="A15522" s="34"/>
      <c r="B15522" s="35"/>
      <c r="C15522" s="36"/>
      <c r="D15522" s="37"/>
      <c r="E15522" s="36"/>
      <c r="F15522" s="42"/>
      <c r="G15522" s="42"/>
      <c r="H15522" s="42"/>
      <c r="AG15522" s="19"/>
    </row>
    <row r="15523" spans="1:33" ht="14.5" x14ac:dyDescent="0.35">
      <c r="A15523" s="34"/>
      <c r="B15523" s="35"/>
      <c r="C15523" s="36"/>
      <c r="D15523" s="37"/>
      <c r="E15523" s="36"/>
      <c r="F15523" s="42"/>
      <c r="G15523" s="42"/>
      <c r="H15523" s="42"/>
      <c r="AG15523" s="19"/>
    </row>
    <row r="15524" spans="1:33" ht="14.5" x14ac:dyDescent="0.35">
      <c r="A15524" s="34"/>
      <c r="B15524" s="35"/>
      <c r="C15524" s="36"/>
      <c r="D15524" s="37"/>
      <c r="E15524" s="36"/>
      <c r="F15524" s="42"/>
      <c r="G15524" s="42"/>
      <c r="H15524" s="42"/>
      <c r="AG15524" s="19"/>
    </row>
    <row r="15525" spans="1:33" ht="14.5" x14ac:dyDescent="0.35">
      <c r="A15525" s="34"/>
      <c r="B15525" s="35"/>
      <c r="C15525" s="36"/>
      <c r="D15525" s="37"/>
      <c r="E15525" s="36"/>
      <c r="F15525" s="42"/>
      <c r="G15525" s="42"/>
      <c r="H15525" s="42"/>
      <c r="AG15525" s="19"/>
    </row>
    <row r="15526" spans="1:33" ht="14.5" x14ac:dyDescent="0.35">
      <c r="A15526" s="34"/>
      <c r="B15526" s="35"/>
      <c r="C15526" s="36"/>
      <c r="D15526" s="37"/>
      <c r="E15526" s="36"/>
      <c r="F15526" s="42"/>
      <c r="G15526" s="42"/>
      <c r="H15526" s="42"/>
      <c r="AG15526" s="19"/>
    </row>
    <row r="15527" spans="1:33" ht="14.5" x14ac:dyDescent="0.35">
      <c r="A15527" s="34"/>
      <c r="B15527" s="35"/>
      <c r="C15527" s="36"/>
      <c r="D15527" s="37"/>
      <c r="E15527" s="36"/>
      <c r="F15527" s="42"/>
      <c r="G15527" s="42"/>
      <c r="H15527" s="42"/>
      <c r="AG15527" s="19"/>
    </row>
    <row r="15528" spans="1:33" ht="14.5" x14ac:dyDescent="0.35">
      <c r="A15528" s="34"/>
      <c r="B15528" s="35"/>
      <c r="C15528" s="36"/>
      <c r="D15528" s="37"/>
      <c r="E15528" s="36"/>
      <c r="F15528" s="42"/>
      <c r="G15528" s="42"/>
      <c r="H15528" s="42"/>
      <c r="AG15528" s="19"/>
    </row>
    <row r="15529" spans="1:33" ht="14.5" x14ac:dyDescent="0.35">
      <c r="A15529" s="34"/>
      <c r="B15529" s="35"/>
      <c r="C15529" s="36"/>
      <c r="D15529" s="37"/>
      <c r="E15529" s="36"/>
      <c r="F15529" s="42"/>
      <c r="G15529" s="42"/>
      <c r="H15529" s="42"/>
      <c r="AG15529" s="19"/>
    </row>
    <row r="15530" spans="1:33" ht="14.5" x14ac:dyDescent="0.35">
      <c r="A15530" s="34"/>
      <c r="B15530" s="35"/>
      <c r="C15530" s="36"/>
      <c r="D15530" s="37"/>
      <c r="E15530" s="36"/>
      <c r="F15530" s="42"/>
      <c r="G15530" s="42"/>
      <c r="H15530" s="42"/>
      <c r="AG15530" s="19"/>
    </row>
    <row r="15531" spans="1:33" ht="14.5" x14ac:dyDescent="0.35">
      <c r="A15531" s="34"/>
      <c r="B15531" s="35"/>
      <c r="C15531" s="36"/>
      <c r="D15531" s="37"/>
      <c r="E15531" s="36"/>
      <c r="F15531" s="42"/>
      <c r="G15531" s="42"/>
      <c r="H15531" s="42"/>
      <c r="AG15531" s="19"/>
    </row>
    <row r="15532" spans="1:33" ht="14.5" x14ac:dyDescent="0.35">
      <c r="A15532" s="34"/>
      <c r="B15532" s="35"/>
      <c r="C15532" s="36"/>
      <c r="D15532" s="37"/>
      <c r="E15532" s="36"/>
      <c r="F15532" s="42"/>
      <c r="G15532" s="42"/>
      <c r="H15532" s="42"/>
      <c r="AG15532" s="19"/>
    </row>
    <row r="15533" spans="1:33" ht="14.5" x14ac:dyDescent="0.35">
      <c r="A15533" s="34"/>
      <c r="B15533" s="35"/>
      <c r="C15533" s="36"/>
      <c r="D15533" s="37"/>
      <c r="E15533" s="36"/>
      <c r="F15533" s="42"/>
      <c r="G15533" s="42"/>
      <c r="H15533" s="42"/>
      <c r="AG15533" s="19"/>
    </row>
    <row r="15534" spans="1:33" ht="14.5" x14ac:dyDescent="0.35">
      <c r="A15534" s="34"/>
      <c r="B15534" s="35"/>
      <c r="C15534" s="36"/>
      <c r="D15534" s="37"/>
      <c r="E15534" s="36"/>
      <c r="F15534" s="42"/>
      <c r="G15534" s="42"/>
      <c r="H15534" s="42"/>
      <c r="AG15534" s="19"/>
    </row>
    <row r="15535" spans="1:33" ht="14.5" x14ac:dyDescent="0.35">
      <c r="A15535" s="34"/>
      <c r="B15535" s="35"/>
      <c r="C15535" s="36"/>
      <c r="D15535" s="37"/>
      <c r="E15535" s="36"/>
      <c r="F15535" s="42"/>
      <c r="G15535" s="42"/>
      <c r="H15535" s="42"/>
      <c r="AG15535" s="19"/>
    </row>
    <row r="15536" spans="1:33" ht="14.5" x14ac:dyDescent="0.35">
      <c r="A15536" s="34"/>
      <c r="B15536" s="35"/>
      <c r="C15536" s="36"/>
      <c r="D15536" s="37"/>
      <c r="E15536" s="36"/>
      <c r="F15536" s="42"/>
      <c r="G15536" s="42"/>
      <c r="H15536" s="42"/>
      <c r="AG15536" s="19"/>
    </row>
    <row r="15537" spans="1:33" ht="14.5" x14ac:dyDescent="0.35">
      <c r="A15537" s="34"/>
      <c r="B15537" s="35"/>
      <c r="C15537" s="36"/>
      <c r="D15537" s="37"/>
      <c r="E15537" s="36"/>
      <c r="F15537" s="42"/>
      <c r="G15537" s="42"/>
      <c r="H15537" s="42"/>
      <c r="AG15537" s="19"/>
    </row>
    <row r="15538" spans="1:33" ht="14.5" x14ac:dyDescent="0.35">
      <c r="A15538" s="34"/>
      <c r="B15538" s="35"/>
      <c r="C15538" s="36"/>
      <c r="D15538" s="37"/>
      <c r="E15538" s="36"/>
      <c r="F15538" s="42"/>
      <c r="G15538" s="42"/>
      <c r="H15538" s="42"/>
      <c r="AG15538" s="19"/>
    </row>
    <row r="15539" spans="1:33" ht="14.5" x14ac:dyDescent="0.35">
      <c r="A15539" s="34"/>
      <c r="B15539" s="35"/>
      <c r="C15539" s="36"/>
      <c r="D15539" s="37"/>
      <c r="E15539" s="36"/>
      <c r="F15539" s="42"/>
      <c r="G15539" s="42"/>
      <c r="H15539" s="42"/>
      <c r="AG15539" s="19"/>
    </row>
    <row r="15540" spans="1:33" ht="14.5" x14ac:dyDescent="0.35">
      <c r="A15540" s="34"/>
      <c r="B15540" s="35"/>
      <c r="C15540" s="36"/>
      <c r="D15540" s="37"/>
      <c r="E15540" s="36"/>
      <c r="F15540" s="42"/>
      <c r="G15540" s="42"/>
      <c r="H15540" s="42"/>
      <c r="AG15540" s="19"/>
    </row>
    <row r="15541" spans="1:33" ht="14.5" x14ac:dyDescent="0.35">
      <c r="A15541" s="34"/>
      <c r="B15541" s="35"/>
      <c r="C15541" s="36"/>
      <c r="D15541" s="37"/>
      <c r="E15541" s="36"/>
      <c r="F15541" s="42"/>
      <c r="G15541" s="42"/>
      <c r="H15541" s="42"/>
      <c r="AG15541" s="19"/>
    </row>
    <row r="15542" spans="1:33" ht="14.5" x14ac:dyDescent="0.35">
      <c r="A15542" s="34"/>
      <c r="B15542" s="35"/>
      <c r="C15542" s="36"/>
      <c r="D15542" s="37"/>
      <c r="E15542" s="36"/>
      <c r="F15542" s="42"/>
      <c r="G15542" s="42"/>
      <c r="H15542" s="42"/>
      <c r="AG15542" s="19"/>
    </row>
    <row r="15543" spans="1:33" ht="14.5" x14ac:dyDescent="0.35">
      <c r="A15543" s="34"/>
      <c r="B15543" s="35"/>
      <c r="C15543" s="36"/>
      <c r="D15543" s="37"/>
      <c r="E15543" s="36"/>
      <c r="F15543" s="42"/>
      <c r="G15543" s="42"/>
      <c r="H15543" s="42"/>
      <c r="AG15543" s="19"/>
    </row>
    <row r="15544" spans="1:33" ht="14.5" x14ac:dyDescent="0.35">
      <c r="A15544" s="34"/>
      <c r="B15544" s="35"/>
      <c r="C15544" s="36"/>
      <c r="D15544" s="37"/>
      <c r="E15544" s="36"/>
      <c r="F15544" s="42"/>
      <c r="G15544" s="42"/>
      <c r="H15544" s="42"/>
      <c r="AG15544" s="19"/>
    </row>
    <row r="15545" spans="1:33" ht="14.5" x14ac:dyDescent="0.35">
      <c r="A15545" s="34"/>
      <c r="B15545" s="35"/>
      <c r="C15545" s="36"/>
      <c r="D15545" s="37"/>
      <c r="E15545" s="36"/>
      <c r="F15545" s="42"/>
      <c r="G15545" s="42"/>
      <c r="H15545" s="42"/>
      <c r="AG15545" s="19"/>
    </row>
    <row r="15546" spans="1:33" ht="14.5" x14ac:dyDescent="0.35">
      <c r="A15546" s="34"/>
      <c r="B15546" s="35"/>
      <c r="C15546" s="36"/>
      <c r="D15546" s="37"/>
      <c r="E15546" s="36"/>
      <c r="F15546" s="42"/>
      <c r="G15546" s="42"/>
      <c r="H15546" s="42"/>
      <c r="AG15546" s="19"/>
    </row>
    <row r="15547" spans="1:33" ht="14.5" x14ac:dyDescent="0.35">
      <c r="A15547" s="34"/>
      <c r="B15547" s="35"/>
      <c r="C15547" s="36"/>
      <c r="D15547" s="37"/>
      <c r="E15547" s="36"/>
      <c r="F15547" s="42"/>
      <c r="G15547" s="42"/>
      <c r="H15547" s="42"/>
      <c r="AG15547" s="19"/>
    </row>
    <row r="15548" spans="1:33" ht="14.5" x14ac:dyDescent="0.35">
      <c r="A15548" s="34"/>
      <c r="B15548" s="35"/>
      <c r="C15548" s="36"/>
      <c r="D15548" s="37"/>
      <c r="E15548" s="36"/>
      <c r="F15548" s="42"/>
      <c r="G15548" s="42"/>
      <c r="H15548" s="42"/>
      <c r="AG15548" s="19"/>
    </row>
    <row r="15549" spans="1:33" ht="14.5" x14ac:dyDescent="0.35">
      <c r="A15549" s="34"/>
      <c r="B15549" s="35"/>
      <c r="C15549" s="36"/>
      <c r="D15549" s="37"/>
      <c r="E15549" s="36"/>
      <c r="F15549" s="42"/>
      <c r="G15549" s="42"/>
      <c r="H15549" s="42"/>
      <c r="AG15549" s="19"/>
    </row>
    <row r="15550" spans="1:33" ht="14.5" x14ac:dyDescent="0.35">
      <c r="A15550" s="34"/>
      <c r="B15550" s="35"/>
      <c r="C15550" s="36"/>
      <c r="D15550" s="37"/>
      <c r="E15550" s="36"/>
      <c r="F15550" s="42"/>
      <c r="G15550" s="42"/>
      <c r="H15550" s="42"/>
      <c r="AG15550" s="19"/>
    </row>
    <row r="15551" spans="1:33" ht="14.5" x14ac:dyDescent="0.35">
      <c r="A15551" s="34"/>
      <c r="B15551" s="35"/>
      <c r="C15551" s="36"/>
      <c r="D15551" s="37"/>
      <c r="E15551" s="36"/>
      <c r="F15551" s="42"/>
      <c r="G15551" s="42"/>
      <c r="H15551" s="42"/>
      <c r="AG15551" s="19"/>
    </row>
    <row r="15552" spans="1:33" ht="14.5" x14ac:dyDescent="0.35">
      <c r="A15552" s="34"/>
      <c r="B15552" s="35"/>
      <c r="C15552" s="36"/>
      <c r="D15552" s="37"/>
      <c r="E15552" s="36"/>
      <c r="F15552" s="42"/>
      <c r="G15552" s="42"/>
      <c r="H15552" s="42"/>
      <c r="AG15552" s="19"/>
    </row>
    <row r="15553" spans="1:33" ht="14.5" x14ac:dyDescent="0.35">
      <c r="A15553" s="34"/>
      <c r="B15553" s="35"/>
      <c r="C15553" s="36"/>
      <c r="D15553" s="37"/>
      <c r="E15553" s="36"/>
      <c r="F15553" s="42"/>
      <c r="G15553" s="42"/>
      <c r="H15553" s="42"/>
      <c r="AG15553" s="19"/>
    </row>
    <row r="15554" spans="1:33" ht="14.5" x14ac:dyDescent="0.35">
      <c r="A15554" s="34"/>
      <c r="B15554" s="35"/>
      <c r="C15554" s="36"/>
      <c r="D15554" s="37"/>
      <c r="E15554" s="36"/>
      <c r="F15554" s="42"/>
      <c r="G15554" s="42"/>
      <c r="H15554" s="42"/>
      <c r="AG15554" s="19"/>
    </row>
    <row r="15555" spans="1:33" ht="14.5" x14ac:dyDescent="0.35">
      <c r="A15555" s="34"/>
      <c r="B15555" s="35"/>
      <c r="C15555" s="36"/>
      <c r="D15555" s="37"/>
      <c r="E15555" s="36"/>
      <c r="F15555" s="42"/>
      <c r="G15555" s="42"/>
      <c r="H15555" s="42"/>
      <c r="AG15555" s="19"/>
    </row>
    <row r="15556" spans="1:33" ht="14.5" x14ac:dyDescent="0.35">
      <c r="A15556" s="34"/>
      <c r="B15556" s="35"/>
      <c r="C15556" s="36"/>
      <c r="D15556" s="37"/>
      <c r="E15556" s="36"/>
      <c r="F15556" s="42"/>
      <c r="G15556" s="42"/>
      <c r="H15556" s="42"/>
      <c r="AG15556" s="19"/>
    </row>
    <row r="15557" spans="1:33" ht="14.5" x14ac:dyDescent="0.35">
      <c r="A15557" s="34"/>
      <c r="B15557" s="35"/>
      <c r="C15557" s="36"/>
      <c r="D15557" s="37"/>
      <c r="E15557" s="36"/>
      <c r="F15557" s="42"/>
      <c r="G15557" s="42"/>
      <c r="H15557" s="42"/>
      <c r="AG15557" s="19"/>
    </row>
    <row r="15558" spans="1:33" ht="14.5" x14ac:dyDescent="0.35">
      <c r="A15558" s="34"/>
      <c r="B15558" s="35"/>
      <c r="C15558" s="36"/>
      <c r="D15558" s="37"/>
      <c r="E15558" s="36"/>
      <c r="F15558" s="42"/>
      <c r="G15558" s="42"/>
      <c r="H15558" s="42"/>
      <c r="AG15558" s="19"/>
    </row>
    <row r="15559" spans="1:33" ht="14.5" x14ac:dyDescent="0.35">
      <c r="A15559" s="34"/>
      <c r="B15559" s="35"/>
      <c r="C15559" s="36"/>
      <c r="D15559" s="37"/>
      <c r="E15559" s="36"/>
      <c r="F15559" s="42"/>
      <c r="G15559" s="42"/>
      <c r="H15559" s="42"/>
      <c r="AG15559" s="19"/>
    </row>
    <row r="15560" spans="1:33" ht="14.5" x14ac:dyDescent="0.35">
      <c r="A15560" s="34"/>
      <c r="B15560" s="35"/>
      <c r="C15560" s="36"/>
      <c r="D15560" s="37"/>
      <c r="E15560" s="36"/>
      <c r="F15560" s="42"/>
      <c r="G15560" s="42"/>
      <c r="H15560" s="42"/>
      <c r="AG15560" s="19"/>
    </row>
    <row r="15561" spans="1:33" ht="14.5" x14ac:dyDescent="0.35">
      <c r="A15561" s="34"/>
      <c r="B15561" s="35"/>
      <c r="C15561" s="36"/>
      <c r="D15561" s="37"/>
      <c r="E15561" s="36"/>
      <c r="F15561" s="42"/>
      <c r="G15561" s="42"/>
      <c r="H15561" s="42"/>
      <c r="AG15561" s="19"/>
    </row>
    <row r="15562" spans="1:33" ht="14.5" x14ac:dyDescent="0.35">
      <c r="A15562" s="34"/>
      <c r="B15562" s="35"/>
      <c r="C15562" s="36"/>
      <c r="D15562" s="37"/>
      <c r="E15562" s="36"/>
      <c r="F15562" s="42"/>
      <c r="G15562" s="42"/>
      <c r="H15562" s="42"/>
      <c r="AG15562" s="19"/>
    </row>
    <row r="15563" spans="1:33" ht="14.5" x14ac:dyDescent="0.35">
      <c r="A15563" s="34"/>
      <c r="B15563" s="35"/>
      <c r="C15563" s="36"/>
      <c r="D15563" s="37"/>
      <c r="E15563" s="36"/>
      <c r="F15563" s="42"/>
      <c r="G15563" s="42"/>
      <c r="H15563" s="42"/>
      <c r="AG15563" s="19"/>
    </row>
    <row r="15564" spans="1:33" ht="14.5" x14ac:dyDescent="0.35">
      <c r="A15564" s="34"/>
      <c r="B15564" s="35"/>
      <c r="C15564" s="36"/>
      <c r="D15564" s="37"/>
      <c r="E15564" s="36"/>
      <c r="F15564" s="42"/>
      <c r="G15564" s="42"/>
      <c r="H15564" s="42"/>
      <c r="AG15564" s="19"/>
    </row>
    <row r="15565" spans="1:33" ht="14.5" x14ac:dyDescent="0.35">
      <c r="A15565" s="34"/>
      <c r="B15565" s="35"/>
      <c r="C15565" s="36"/>
      <c r="D15565" s="37"/>
      <c r="E15565" s="36"/>
      <c r="F15565" s="42"/>
      <c r="G15565" s="42"/>
      <c r="H15565" s="42"/>
      <c r="AG15565" s="19"/>
    </row>
    <row r="15566" spans="1:33" ht="14.5" x14ac:dyDescent="0.35">
      <c r="A15566" s="34"/>
      <c r="B15566" s="35"/>
      <c r="C15566" s="36"/>
      <c r="D15566" s="37"/>
      <c r="E15566" s="36"/>
      <c r="F15566" s="42"/>
      <c r="G15566" s="42"/>
      <c r="H15566" s="42"/>
      <c r="AG15566" s="19"/>
    </row>
    <row r="15567" spans="1:33" ht="14.5" x14ac:dyDescent="0.35">
      <c r="A15567" s="34"/>
      <c r="B15567" s="35"/>
      <c r="C15567" s="36"/>
      <c r="D15567" s="37"/>
      <c r="E15567" s="36"/>
      <c r="F15567" s="42"/>
      <c r="G15567" s="42"/>
      <c r="H15567" s="42"/>
      <c r="AG15567" s="19"/>
    </row>
    <row r="15568" spans="1:33" ht="14.5" x14ac:dyDescent="0.35">
      <c r="A15568" s="34"/>
      <c r="B15568" s="35"/>
      <c r="C15568" s="36"/>
      <c r="D15568" s="37"/>
      <c r="E15568" s="36"/>
      <c r="F15568" s="42"/>
      <c r="G15568" s="42"/>
      <c r="H15568" s="42"/>
      <c r="AG15568" s="19"/>
    </row>
    <row r="15569" spans="1:33" ht="14.5" x14ac:dyDescent="0.35">
      <c r="A15569" s="34"/>
      <c r="B15569" s="35"/>
      <c r="C15569" s="36"/>
      <c r="D15569" s="37"/>
      <c r="E15569" s="36"/>
      <c r="F15569" s="42"/>
      <c r="G15569" s="42"/>
      <c r="H15569" s="42"/>
      <c r="AG15569" s="19"/>
    </row>
    <row r="15570" spans="1:33" ht="14.5" x14ac:dyDescent="0.35">
      <c r="A15570" s="34"/>
      <c r="B15570" s="35"/>
      <c r="C15570" s="36"/>
      <c r="D15570" s="37"/>
      <c r="E15570" s="36"/>
      <c r="F15570" s="42"/>
      <c r="G15570" s="42"/>
      <c r="H15570" s="42"/>
      <c r="AG15570" s="19"/>
    </row>
    <row r="15571" spans="1:33" ht="14.5" x14ac:dyDescent="0.35">
      <c r="A15571" s="34"/>
      <c r="B15571" s="35"/>
      <c r="C15571" s="36"/>
      <c r="D15571" s="37"/>
      <c r="E15571" s="36"/>
      <c r="F15571" s="42"/>
      <c r="G15571" s="42"/>
      <c r="H15571" s="42"/>
      <c r="AG15571" s="19"/>
    </row>
    <row r="15572" spans="1:33" ht="14.5" x14ac:dyDescent="0.35">
      <c r="A15572" s="34"/>
      <c r="B15572" s="35"/>
      <c r="C15572" s="36"/>
      <c r="D15572" s="37"/>
      <c r="E15572" s="36"/>
      <c r="F15572" s="42"/>
      <c r="G15572" s="42"/>
      <c r="H15572" s="42"/>
      <c r="AG15572" s="19"/>
    </row>
    <row r="15573" spans="1:33" ht="14.5" x14ac:dyDescent="0.35">
      <c r="A15573" s="34"/>
      <c r="B15573" s="35"/>
      <c r="C15573" s="36"/>
      <c r="D15573" s="37"/>
      <c r="E15573" s="36"/>
      <c r="F15573" s="42"/>
      <c r="G15573" s="42"/>
      <c r="H15573" s="42"/>
      <c r="AG15573" s="19"/>
    </row>
    <row r="15574" spans="1:33" ht="14.5" x14ac:dyDescent="0.35">
      <c r="A15574" s="34"/>
      <c r="B15574" s="35"/>
      <c r="C15574" s="36"/>
      <c r="D15574" s="37"/>
      <c r="E15574" s="36"/>
      <c r="F15574" s="42"/>
      <c r="G15574" s="42"/>
      <c r="H15574" s="42"/>
      <c r="AG15574" s="19"/>
    </row>
    <row r="15575" spans="1:33" ht="14.5" x14ac:dyDescent="0.35">
      <c r="A15575" s="34"/>
      <c r="B15575" s="35"/>
      <c r="C15575" s="36"/>
      <c r="D15575" s="37"/>
      <c r="E15575" s="36"/>
      <c r="F15575" s="42"/>
      <c r="G15575" s="42"/>
      <c r="H15575" s="42"/>
      <c r="AG15575" s="19"/>
    </row>
    <row r="15576" spans="1:33" ht="14.5" x14ac:dyDescent="0.35">
      <c r="A15576" s="34"/>
      <c r="B15576" s="35"/>
      <c r="C15576" s="36"/>
      <c r="D15576" s="37"/>
      <c r="E15576" s="36"/>
      <c r="F15576" s="42"/>
      <c r="G15576" s="42"/>
      <c r="H15576" s="42"/>
      <c r="AG15576" s="19"/>
    </row>
    <row r="15577" spans="1:33" ht="14.5" x14ac:dyDescent="0.35">
      <c r="A15577" s="34"/>
      <c r="B15577" s="35"/>
      <c r="C15577" s="36"/>
      <c r="D15577" s="37"/>
      <c r="E15577" s="36"/>
      <c r="F15577" s="42"/>
      <c r="G15577" s="42"/>
      <c r="H15577" s="42"/>
      <c r="AG15577" s="19"/>
    </row>
    <row r="15578" spans="1:33" ht="14.5" x14ac:dyDescent="0.35">
      <c r="A15578" s="34"/>
      <c r="B15578" s="35"/>
      <c r="C15578" s="36"/>
      <c r="D15578" s="37"/>
      <c r="E15578" s="36"/>
      <c r="F15578" s="42"/>
      <c r="G15578" s="42"/>
      <c r="H15578" s="42"/>
      <c r="AG15578" s="19"/>
    </row>
    <row r="15579" spans="1:33" ht="14.5" x14ac:dyDescent="0.35">
      <c r="A15579" s="34"/>
      <c r="B15579" s="35"/>
      <c r="C15579" s="36"/>
      <c r="D15579" s="37"/>
      <c r="E15579" s="36"/>
      <c r="F15579" s="42"/>
      <c r="G15579" s="42"/>
      <c r="H15579" s="42"/>
      <c r="AG15579" s="19"/>
    </row>
    <row r="15580" spans="1:33" ht="14.5" x14ac:dyDescent="0.35">
      <c r="A15580" s="34"/>
      <c r="B15580" s="35"/>
      <c r="C15580" s="36"/>
      <c r="D15580" s="37"/>
      <c r="E15580" s="36"/>
      <c r="F15580" s="42"/>
      <c r="G15580" s="42"/>
      <c r="H15580" s="42"/>
      <c r="AG15580" s="19"/>
    </row>
    <row r="15581" spans="1:33" ht="14.5" x14ac:dyDescent="0.35">
      <c r="A15581" s="34"/>
      <c r="B15581" s="35"/>
      <c r="C15581" s="36"/>
      <c r="D15581" s="37"/>
      <c r="E15581" s="36"/>
      <c r="F15581" s="42"/>
      <c r="G15581" s="42"/>
      <c r="H15581" s="42"/>
      <c r="AG15581" s="19"/>
    </row>
    <row r="15582" spans="1:33" ht="14.5" x14ac:dyDescent="0.35">
      <c r="A15582" s="34"/>
      <c r="B15582" s="35"/>
      <c r="C15582" s="36"/>
      <c r="D15582" s="37"/>
      <c r="E15582" s="36"/>
      <c r="F15582" s="42"/>
      <c r="G15582" s="42"/>
      <c r="H15582" s="42"/>
      <c r="AG15582" s="19"/>
    </row>
    <row r="15583" spans="1:33" ht="14.5" x14ac:dyDescent="0.35">
      <c r="A15583" s="34"/>
      <c r="B15583" s="35"/>
      <c r="C15583" s="36"/>
      <c r="D15583" s="37"/>
      <c r="E15583" s="36"/>
      <c r="F15583" s="42"/>
      <c r="G15583" s="42"/>
      <c r="H15583" s="42"/>
      <c r="AG15583" s="19"/>
    </row>
    <row r="15584" spans="1:33" ht="14.5" x14ac:dyDescent="0.35">
      <c r="A15584" s="34"/>
      <c r="B15584" s="35"/>
      <c r="C15584" s="36"/>
      <c r="D15584" s="37"/>
      <c r="E15584" s="36"/>
      <c r="F15584" s="42"/>
      <c r="G15584" s="42"/>
      <c r="H15584" s="42"/>
      <c r="AG15584" s="19"/>
    </row>
    <row r="15585" spans="1:33" ht="14.5" x14ac:dyDescent="0.35">
      <c r="A15585" s="34"/>
      <c r="B15585" s="35"/>
      <c r="C15585" s="36"/>
      <c r="D15585" s="37"/>
      <c r="E15585" s="36"/>
      <c r="F15585" s="42"/>
      <c r="G15585" s="42"/>
      <c r="H15585" s="42"/>
      <c r="AG15585" s="19"/>
    </row>
    <row r="15586" spans="1:33" ht="14.5" x14ac:dyDescent="0.35">
      <c r="A15586" s="34"/>
      <c r="B15586" s="35"/>
      <c r="C15586" s="36"/>
      <c r="D15586" s="37"/>
      <c r="E15586" s="36"/>
      <c r="F15586" s="42"/>
      <c r="G15586" s="42"/>
      <c r="H15586" s="42"/>
      <c r="AG15586" s="19"/>
    </row>
    <row r="15587" spans="1:33" ht="14.5" x14ac:dyDescent="0.35">
      <c r="A15587" s="34"/>
      <c r="B15587" s="35"/>
      <c r="C15587" s="36"/>
      <c r="D15587" s="37"/>
      <c r="E15587" s="36"/>
      <c r="F15587" s="42"/>
      <c r="G15587" s="42"/>
      <c r="H15587" s="42"/>
      <c r="AG15587" s="19"/>
    </row>
    <row r="15588" spans="1:33" ht="14.5" x14ac:dyDescent="0.35">
      <c r="A15588" s="34"/>
      <c r="B15588" s="35"/>
      <c r="C15588" s="36"/>
      <c r="D15588" s="37"/>
      <c r="E15588" s="36"/>
      <c r="F15588" s="42"/>
      <c r="G15588" s="42"/>
      <c r="H15588" s="42"/>
      <c r="AG15588" s="19"/>
    </row>
    <row r="15589" spans="1:33" ht="14.5" x14ac:dyDescent="0.35">
      <c r="A15589" s="34"/>
      <c r="B15589" s="35"/>
      <c r="C15589" s="36"/>
      <c r="D15589" s="37"/>
      <c r="E15589" s="36"/>
      <c r="F15589" s="42"/>
      <c r="G15589" s="42"/>
      <c r="H15589" s="42"/>
      <c r="AG15589" s="19"/>
    </row>
    <row r="15590" spans="1:33" ht="14.5" x14ac:dyDescent="0.35">
      <c r="A15590" s="34"/>
      <c r="B15590" s="35"/>
      <c r="C15590" s="36"/>
      <c r="D15590" s="37"/>
      <c r="E15590" s="36"/>
      <c r="F15590" s="42"/>
      <c r="G15590" s="42"/>
      <c r="H15590" s="42"/>
      <c r="AG15590" s="19"/>
    </row>
    <row r="15591" spans="1:33" ht="14.5" x14ac:dyDescent="0.35">
      <c r="A15591" s="34"/>
      <c r="B15591" s="35"/>
      <c r="C15591" s="36"/>
      <c r="D15591" s="37"/>
      <c r="E15591" s="36"/>
      <c r="F15591" s="42"/>
      <c r="G15591" s="42"/>
      <c r="H15591" s="42"/>
      <c r="AG15591" s="19"/>
    </row>
    <row r="15592" spans="1:33" ht="14.5" x14ac:dyDescent="0.35">
      <c r="A15592" s="34"/>
      <c r="B15592" s="35"/>
      <c r="C15592" s="36"/>
      <c r="D15592" s="37"/>
      <c r="E15592" s="36"/>
      <c r="F15592" s="42"/>
      <c r="G15592" s="42"/>
      <c r="H15592" s="42"/>
      <c r="AG15592" s="19"/>
    </row>
    <row r="15593" spans="1:33" ht="14.5" x14ac:dyDescent="0.35">
      <c r="A15593" s="34"/>
      <c r="B15593" s="35"/>
      <c r="C15593" s="36"/>
      <c r="D15593" s="37"/>
      <c r="E15593" s="36"/>
      <c r="F15593" s="42"/>
      <c r="G15593" s="42"/>
      <c r="H15593" s="42"/>
      <c r="AG15593" s="19"/>
    </row>
    <row r="15594" spans="1:33" ht="14.5" x14ac:dyDescent="0.35">
      <c r="A15594" s="34"/>
      <c r="B15594" s="35"/>
      <c r="C15594" s="36"/>
      <c r="D15594" s="37"/>
      <c r="E15594" s="36"/>
      <c r="F15594" s="42"/>
      <c r="G15594" s="42"/>
      <c r="H15594" s="42"/>
      <c r="AG15594" s="19"/>
    </row>
    <row r="15595" spans="1:33" ht="14.5" x14ac:dyDescent="0.35">
      <c r="A15595" s="34"/>
      <c r="B15595" s="35"/>
      <c r="C15595" s="36"/>
      <c r="D15595" s="37"/>
      <c r="E15595" s="36"/>
      <c r="F15595" s="42"/>
      <c r="G15595" s="42"/>
      <c r="H15595" s="42"/>
      <c r="AG15595" s="19"/>
    </row>
    <row r="15596" spans="1:33" ht="14.5" x14ac:dyDescent="0.35">
      <c r="A15596" s="34"/>
      <c r="B15596" s="35"/>
      <c r="C15596" s="36"/>
      <c r="D15596" s="37"/>
      <c r="E15596" s="36"/>
      <c r="F15596" s="42"/>
      <c r="G15596" s="42"/>
      <c r="H15596" s="42"/>
      <c r="AG15596" s="19"/>
    </row>
    <row r="15597" spans="1:33" ht="14.5" x14ac:dyDescent="0.35">
      <c r="A15597" s="34"/>
      <c r="B15597" s="35"/>
      <c r="C15597" s="36"/>
      <c r="D15597" s="37"/>
      <c r="E15597" s="36"/>
      <c r="F15597" s="42"/>
      <c r="G15597" s="42"/>
      <c r="H15597" s="42"/>
      <c r="AG15597" s="19"/>
    </row>
    <row r="15598" spans="1:33" ht="14.5" x14ac:dyDescent="0.35">
      <c r="A15598" s="34"/>
      <c r="B15598" s="35"/>
      <c r="C15598" s="36"/>
      <c r="D15598" s="37"/>
      <c r="E15598" s="36"/>
      <c r="F15598" s="42"/>
      <c r="G15598" s="42"/>
      <c r="H15598" s="42"/>
      <c r="AG15598" s="19"/>
    </row>
    <row r="15599" spans="1:33" ht="14.5" x14ac:dyDescent="0.35">
      <c r="A15599" s="34"/>
      <c r="B15599" s="35"/>
      <c r="C15599" s="36"/>
      <c r="D15599" s="37"/>
      <c r="E15599" s="36"/>
      <c r="F15599" s="42"/>
      <c r="G15599" s="42"/>
      <c r="H15599" s="42"/>
      <c r="AG15599" s="19"/>
    </row>
    <row r="15600" spans="1:33" ht="14.5" x14ac:dyDescent="0.35">
      <c r="A15600" s="34"/>
      <c r="B15600" s="35"/>
      <c r="C15600" s="36"/>
      <c r="D15600" s="37"/>
      <c r="E15600" s="36"/>
      <c r="F15600" s="42"/>
      <c r="G15600" s="42"/>
      <c r="H15600" s="42"/>
      <c r="AG15600" s="19"/>
    </row>
    <row r="15601" spans="1:33" ht="14.5" x14ac:dyDescent="0.35">
      <c r="A15601" s="34"/>
      <c r="B15601" s="35"/>
      <c r="C15601" s="36"/>
      <c r="D15601" s="37"/>
      <c r="E15601" s="36"/>
      <c r="F15601" s="42"/>
      <c r="G15601" s="42"/>
      <c r="H15601" s="42"/>
      <c r="AG15601" s="19"/>
    </row>
    <row r="15602" spans="1:33" ht="14.5" x14ac:dyDescent="0.35">
      <c r="A15602" s="34"/>
      <c r="B15602" s="35"/>
      <c r="C15602" s="36"/>
      <c r="D15602" s="37"/>
      <c r="E15602" s="36"/>
      <c r="F15602" s="42"/>
      <c r="G15602" s="42"/>
      <c r="H15602" s="42"/>
      <c r="AG15602" s="19"/>
    </row>
    <row r="15603" spans="1:33" ht="14.5" x14ac:dyDescent="0.35">
      <c r="A15603" s="34"/>
      <c r="B15603" s="35"/>
      <c r="C15603" s="36"/>
      <c r="D15603" s="37"/>
      <c r="E15603" s="36"/>
      <c r="F15603" s="42"/>
      <c r="G15603" s="42"/>
      <c r="H15603" s="42"/>
      <c r="AG15603" s="19"/>
    </row>
    <row r="15604" spans="1:33" ht="14.5" x14ac:dyDescent="0.35">
      <c r="A15604" s="34"/>
      <c r="B15604" s="35"/>
      <c r="C15604" s="36"/>
      <c r="D15604" s="37"/>
      <c r="E15604" s="36"/>
      <c r="F15604" s="42"/>
      <c r="G15604" s="42"/>
      <c r="H15604" s="42"/>
      <c r="AG15604" s="19"/>
    </row>
    <row r="15605" spans="1:33" ht="14.5" x14ac:dyDescent="0.35">
      <c r="A15605" s="34"/>
      <c r="B15605" s="35"/>
      <c r="C15605" s="36"/>
      <c r="D15605" s="37"/>
      <c r="E15605" s="36"/>
      <c r="F15605" s="42"/>
      <c r="G15605" s="42"/>
      <c r="H15605" s="42"/>
      <c r="AG15605" s="19"/>
    </row>
    <row r="15606" spans="1:33" ht="14.5" x14ac:dyDescent="0.35">
      <c r="A15606" s="34"/>
      <c r="B15606" s="35"/>
      <c r="C15606" s="36"/>
      <c r="D15606" s="37"/>
      <c r="E15606" s="36"/>
      <c r="F15606" s="42"/>
      <c r="G15606" s="42"/>
      <c r="H15606" s="42"/>
      <c r="AG15606" s="19"/>
    </row>
    <row r="15607" spans="1:33" ht="14.5" x14ac:dyDescent="0.35">
      <c r="A15607" s="34"/>
      <c r="B15607" s="35"/>
      <c r="C15607" s="36"/>
      <c r="D15607" s="37"/>
      <c r="E15607" s="36"/>
      <c r="F15607" s="42"/>
      <c r="G15607" s="42"/>
      <c r="H15607" s="42"/>
      <c r="AG15607" s="19"/>
    </row>
    <row r="15608" spans="1:33" ht="14.5" x14ac:dyDescent="0.35">
      <c r="A15608" s="34"/>
      <c r="B15608" s="35"/>
      <c r="C15608" s="36"/>
      <c r="D15608" s="37"/>
      <c r="E15608" s="36"/>
      <c r="F15608" s="42"/>
      <c r="G15608" s="42"/>
      <c r="H15608" s="42"/>
      <c r="AG15608" s="19"/>
    </row>
    <row r="15609" spans="1:33" ht="14.5" x14ac:dyDescent="0.35">
      <c r="A15609" s="34"/>
      <c r="B15609" s="35"/>
      <c r="C15609" s="36"/>
      <c r="D15609" s="37"/>
      <c r="E15609" s="36"/>
      <c r="F15609" s="42"/>
      <c r="G15609" s="42"/>
      <c r="H15609" s="42"/>
      <c r="AG15609" s="19"/>
    </row>
    <row r="15610" spans="1:33" ht="14.5" x14ac:dyDescent="0.35">
      <c r="A15610" s="34"/>
      <c r="B15610" s="35"/>
      <c r="C15610" s="36"/>
      <c r="D15610" s="37"/>
      <c r="E15610" s="36"/>
      <c r="F15610" s="42"/>
      <c r="G15610" s="42"/>
      <c r="H15610" s="42"/>
      <c r="AG15610" s="19"/>
    </row>
    <row r="15611" spans="1:33" ht="14.5" x14ac:dyDescent="0.35">
      <c r="A15611" s="34"/>
      <c r="B15611" s="35"/>
      <c r="C15611" s="36"/>
      <c r="D15611" s="37"/>
      <c r="E15611" s="36"/>
      <c r="F15611" s="42"/>
      <c r="G15611" s="42"/>
      <c r="H15611" s="42"/>
      <c r="AG15611" s="19"/>
    </row>
    <row r="15612" spans="1:33" ht="14.5" x14ac:dyDescent="0.35">
      <c r="A15612" s="34"/>
      <c r="B15612" s="35"/>
      <c r="C15612" s="36"/>
      <c r="D15612" s="37"/>
      <c r="E15612" s="36"/>
      <c r="F15612" s="42"/>
      <c r="G15612" s="42"/>
      <c r="H15612" s="42"/>
      <c r="AG15612" s="19"/>
    </row>
    <row r="15613" spans="1:33" ht="14.5" x14ac:dyDescent="0.35">
      <c r="A15613" s="34"/>
      <c r="B15613" s="35"/>
      <c r="C15613" s="36"/>
      <c r="D15613" s="37"/>
      <c r="E15613" s="36"/>
      <c r="F15613" s="42"/>
      <c r="G15613" s="42"/>
      <c r="H15613" s="42"/>
      <c r="AG15613" s="19"/>
    </row>
    <row r="15614" spans="1:33" ht="14.5" x14ac:dyDescent="0.35">
      <c r="A15614" s="34"/>
      <c r="B15614" s="35"/>
      <c r="C15614" s="36"/>
      <c r="D15614" s="37"/>
      <c r="E15614" s="36"/>
      <c r="F15614" s="42"/>
      <c r="G15614" s="42"/>
      <c r="H15614" s="42"/>
      <c r="AG15614" s="19"/>
    </row>
    <row r="15615" spans="1:33" ht="14.5" x14ac:dyDescent="0.35">
      <c r="A15615" s="34"/>
      <c r="B15615" s="35"/>
      <c r="C15615" s="36"/>
      <c r="D15615" s="37"/>
      <c r="E15615" s="36"/>
      <c r="F15615" s="42"/>
      <c r="G15615" s="42"/>
      <c r="H15615" s="42"/>
      <c r="AG15615" s="19"/>
    </row>
    <row r="15616" spans="1:33" ht="14.5" x14ac:dyDescent="0.35">
      <c r="A15616" s="34"/>
      <c r="B15616" s="35"/>
      <c r="C15616" s="36"/>
      <c r="D15616" s="37"/>
      <c r="E15616" s="36"/>
      <c r="F15616" s="42"/>
      <c r="G15616" s="42"/>
      <c r="H15616" s="42"/>
      <c r="AG15616" s="19"/>
    </row>
    <row r="15617" spans="1:33" ht="14.5" x14ac:dyDescent="0.35">
      <c r="A15617" s="34"/>
      <c r="B15617" s="35"/>
      <c r="C15617" s="36"/>
      <c r="D15617" s="37"/>
      <c r="E15617" s="36"/>
      <c r="F15617" s="42"/>
      <c r="G15617" s="42"/>
      <c r="H15617" s="42"/>
      <c r="AG15617" s="19"/>
    </row>
    <row r="15618" spans="1:33" ht="14.5" x14ac:dyDescent="0.35">
      <c r="A15618" s="34"/>
      <c r="B15618" s="35"/>
      <c r="C15618" s="36"/>
      <c r="D15618" s="37"/>
      <c r="E15618" s="36"/>
      <c r="F15618" s="42"/>
      <c r="G15618" s="42"/>
      <c r="H15618" s="42"/>
      <c r="AG15618" s="19"/>
    </row>
    <row r="15619" spans="1:33" ht="14.5" x14ac:dyDescent="0.35">
      <c r="A15619" s="34"/>
      <c r="B15619" s="35"/>
      <c r="C15619" s="36"/>
      <c r="D15619" s="37"/>
      <c r="E15619" s="36"/>
      <c r="F15619" s="42"/>
      <c r="G15619" s="42"/>
      <c r="H15619" s="42"/>
      <c r="AG15619" s="19"/>
    </row>
    <row r="15620" spans="1:33" ht="14.5" x14ac:dyDescent="0.35">
      <c r="A15620" s="34"/>
      <c r="B15620" s="35"/>
      <c r="C15620" s="36"/>
      <c r="D15620" s="37"/>
      <c r="E15620" s="36"/>
      <c r="F15620" s="42"/>
      <c r="G15620" s="42"/>
      <c r="H15620" s="42"/>
      <c r="AG15620" s="19"/>
    </row>
    <row r="15621" spans="1:33" ht="14.5" x14ac:dyDescent="0.35">
      <c r="A15621" s="34"/>
      <c r="B15621" s="35"/>
      <c r="C15621" s="36"/>
      <c r="D15621" s="37"/>
      <c r="E15621" s="36"/>
      <c r="F15621" s="42"/>
      <c r="G15621" s="42"/>
      <c r="H15621" s="42"/>
      <c r="AG15621" s="19"/>
    </row>
    <row r="15622" spans="1:33" ht="14.5" x14ac:dyDescent="0.35">
      <c r="A15622" s="34"/>
      <c r="B15622" s="35"/>
      <c r="C15622" s="36"/>
      <c r="D15622" s="37"/>
      <c r="E15622" s="36"/>
      <c r="F15622" s="42"/>
      <c r="G15622" s="42"/>
      <c r="H15622" s="42"/>
      <c r="AG15622" s="19"/>
    </row>
    <row r="15623" spans="1:33" ht="14.5" x14ac:dyDescent="0.35">
      <c r="A15623" s="34"/>
      <c r="B15623" s="35"/>
      <c r="C15623" s="36"/>
      <c r="D15623" s="37"/>
      <c r="E15623" s="36"/>
      <c r="F15623" s="42"/>
      <c r="G15623" s="42"/>
      <c r="H15623" s="42"/>
      <c r="AG15623" s="19"/>
    </row>
    <row r="15624" spans="1:33" ht="14.5" x14ac:dyDescent="0.35">
      <c r="A15624" s="34"/>
      <c r="B15624" s="35"/>
      <c r="C15624" s="36"/>
      <c r="D15624" s="37"/>
      <c r="E15624" s="36"/>
      <c r="F15624" s="42"/>
      <c r="G15624" s="42"/>
      <c r="H15624" s="42"/>
      <c r="AG15624" s="19"/>
    </row>
    <row r="15625" spans="1:33" ht="14.5" x14ac:dyDescent="0.35">
      <c r="A15625" s="34"/>
      <c r="B15625" s="35"/>
      <c r="C15625" s="36"/>
      <c r="D15625" s="37"/>
      <c r="E15625" s="36"/>
      <c r="F15625" s="42"/>
      <c r="G15625" s="42"/>
      <c r="H15625" s="42"/>
      <c r="AG15625" s="19"/>
    </row>
    <row r="15626" spans="1:33" ht="14.5" x14ac:dyDescent="0.35">
      <c r="A15626" s="34"/>
      <c r="B15626" s="35"/>
      <c r="C15626" s="36"/>
      <c r="D15626" s="37"/>
      <c r="E15626" s="36"/>
      <c r="F15626" s="42"/>
      <c r="G15626" s="42"/>
      <c r="H15626" s="42"/>
      <c r="AG15626" s="19"/>
    </row>
    <row r="15627" spans="1:33" ht="14.5" x14ac:dyDescent="0.35">
      <c r="A15627" s="34"/>
      <c r="B15627" s="35"/>
      <c r="C15627" s="36"/>
      <c r="D15627" s="37"/>
      <c r="E15627" s="36"/>
      <c r="F15627" s="42"/>
      <c r="G15627" s="42"/>
      <c r="H15627" s="42"/>
      <c r="AG15627" s="19"/>
    </row>
    <row r="15628" spans="1:33" ht="14.5" x14ac:dyDescent="0.35">
      <c r="A15628" s="34"/>
      <c r="B15628" s="35"/>
      <c r="C15628" s="36"/>
      <c r="D15628" s="37"/>
      <c r="E15628" s="36"/>
      <c r="F15628" s="42"/>
      <c r="G15628" s="42"/>
      <c r="H15628" s="42"/>
      <c r="AG15628" s="19"/>
    </row>
    <row r="15629" spans="1:33" ht="14.5" x14ac:dyDescent="0.35">
      <c r="A15629" s="34"/>
      <c r="B15629" s="35"/>
      <c r="C15629" s="36"/>
      <c r="D15629" s="37"/>
      <c r="E15629" s="36"/>
      <c r="F15629" s="42"/>
      <c r="G15629" s="42"/>
      <c r="H15629" s="42"/>
      <c r="AG15629" s="19"/>
    </row>
    <row r="15630" spans="1:33" ht="14.5" x14ac:dyDescent="0.35">
      <c r="A15630" s="34"/>
      <c r="B15630" s="35"/>
      <c r="C15630" s="36"/>
      <c r="D15630" s="37"/>
      <c r="E15630" s="36"/>
      <c r="F15630" s="42"/>
      <c r="G15630" s="42"/>
      <c r="H15630" s="42"/>
      <c r="AG15630" s="19"/>
    </row>
    <row r="15631" spans="1:33" ht="14.5" x14ac:dyDescent="0.35">
      <c r="A15631" s="34"/>
      <c r="B15631" s="35"/>
      <c r="C15631" s="36"/>
      <c r="D15631" s="37"/>
      <c r="E15631" s="36"/>
      <c r="F15631" s="42"/>
      <c r="G15631" s="42"/>
      <c r="H15631" s="42"/>
      <c r="AG15631" s="19"/>
    </row>
    <row r="15632" spans="1:33" ht="14.5" x14ac:dyDescent="0.35">
      <c r="A15632" s="34"/>
      <c r="B15632" s="35"/>
      <c r="C15632" s="36"/>
      <c r="D15632" s="37"/>
      <c r="E15632" s="36"/>
      <c r="F15632" s="42"/>
      <c r="G15632" s="42"/>
      <c r="H15632" s="42"/>
      <c r="AG15632" s="19"/>
    </row>
    <row r="15633" spans="1:33" ht="14.5" x14ac:dyDescent="0.35">
      <c r="A15633" s="34"/>
      <c r="B15633" s="35"/>
      <c r="C15633" s="36"/>
      <c r="D15633" s="37"/>
      <c r="E15633" s="36"/>
      <c r="F15633" s="42"/>
      <c r="G15633" s="42"/>
      <c r="H15633" s="42"/>
      <c r="AG15633" s="19"/>
    </row>
    <row r="15634" spans="1:33" ht="14.5" x14ac:dyDescent="0.35">
      <c r="A15634" s="34"/>
      <c r="B15634" s="35"/>
      <c r="C15634" s="36"/>
      <c r="D15634" s="37"/>
      <c r="E15634" s="36"/>
      <c r="F15634" s="42"/>
      <c r="G15634" s="42"/>
      <c r="H15634" s="42"/>
      <c r="AG15634" s="19"/>
    </row>
    <row r="15635" spans="1:33" ht="14.5" x14ac:dyDescent="0.35">
      <c r="A15635" s="34"/>
      <c r="B15635" s="35"/>
      <c r="C15635" s="36"/>
      <c r="D15635" s="37"/>
      <c r="E15635" s="36"/>
      <c r="F15635" s="42"/>
      <c r="G15635" s="42"/>
      <c r="H15635" s="42"/>
      <c r="AG15635" s="19"/>
    </row>
    <row r="15636" spans="1:33" ht="14.5" x14ac:dyDescent="0.35">
      <c r="A15636" s="34"/>
      <c r="B15636" s="35"/>
      <c r="C15636" s="36"/>
      <c r="D15636" s="37"/>
      <c r="E15636" s="36"/>
      <c r="F15636" s="42"/>
      <c r="G15636" s="42"/>
      <c r="H15636" s="42"/>
      <c r="AG15636" s="19"/>
    </row>
    <row r="15637" spans="1:33" ht="14.5" x14ac:dyDescent="0.35">
      <c r="A15637" s="34"/>
      <c r="B15637" s="35"/>
      <c r="C15637" s="36"/>
      <c r="D15637" s="37"/>
      <c r="E15637" s="36"/>
      <c r="F15637" s="42"/>
      <c r="G15637" s="42"/>
      <c r="H15637" s="42"/>
      <c r="AG15637" s="19"/>
    </row>
    <row r="15638" spans="1:33" ht="14.5" x14ac:dyDescent="0.35">
      <c r="A15638" s="34"/>
      <c r="B15638" s="35"/>
      <c r="C15638" s="36"/>
      <c r="D15638" s="37"/>
      <c r="E15638" s="36"/>
      <c r="F15638" s="42"/>
      <c r="G15638" s="42"/>
      <c r="H15638" s="42"/>
      <c r="AG15638" s="19"/>
    </row>
    <row r="15639" spans="1:33" ht="14.5" x14ac:dyDescent="0.35">
      <c r="A15639" s="34"/>
      <c r="B15639" s="35"/>
      <c r="C15639" s="36"/>
      <c r="D15639" s="37"/>
      <c r="E15639" s="36"/>
      <c r="F15639" s="42"/>
      <c r="G15639" s="42"/>
      <c r="H15639" s="42"/>
      <c r="AG15639" s="19"/>
    </row>
    <row r="15640" spans="1:33" ht="14.5" x14ac:dyDescent="0.35">
      <c r="A15640" s="34"/>
      <c r="B15640" s="35"/>
      <c r="C15640" s="36"/>
      <c r="D15640" s="37"/>
      <c r="E15640" s="36"/>
      <c r="F15640" s="42"/>
      <c r="G15640" s="42"/>
      <c r="H15640" s="42"/>
      <c r="AG15640" s="19"/>
    </row>
    <row r="15641" spans="1:33" ht="14.5" x14ac:dyDescent="0.35">
      <c r="A15641" s="34"/>
      <c r="B15641" s="35"/>
      <c r="C15641" s="36"/>
      <c r="D15641" s="37"/>
      <c r="E15641" s="36"/>
      <c r="F15641" s="42"/>
      <c r="G15641" s="42"/>
      <c r="H15641" s="42"/>
      <c r="AG15641" s="19"/>
    </row>
    <row r="15642" spans="1:33" ht="14.5" x14ac:dyDescent="0.35">
      <c r="A15642" s="34"/>
      <c r="B15642" s="35"/>
      <c r="C15642" s="36"/>
      <c r="D15642" s="37"/>
      <c r="E15642" s="36"/>
      <c r="F15642" s="42"/>
      <c r="G15642" s="42"/>
      <c r="H15642" s="42"/>
      <c r="AG15642" s="19"/>
    </row>
    <row r="15643" spans="1:33" ht="14.5" x14ac:dyDescent="0.35">
      <c r="A15643" s="34"/>
      <c r="B15643" s="35"/>
      <c r="C15643" s="36"/>
      <c r="D15643" s="37"/>
      <c r="E15643" s="36"/>
      <c r="F15643" s="42"/>
      <c r="G15643" s="42"/>
      <c r="H15643" s="42"/>
      <c r="AG15643" s="19"/>
    </row>
    <row r="15644" spans="1:33" ht="14.5" x14ac:dyDescent="0.35">
      <c r="A15644" s="34"/>
      <c r="B15644" s="35"/>
      <c r="C15644" s="36"/>
      <c r="D15644" s="37"/>
      <c r="E15644" s="36"/>
      <c r="F15644" s="42"/>
      <c r="G15644" s="42"/>
      <c r="H15644" s="42"/>
      <c r="AG15644" s="19"/>
    </row>
    <row r="15645" spans="1:33" ht="14.5" x14ac:dyDescent="0.35">
      <c r="A15645" s="34"/>
      <c r="B15645" s="35"/>
      <c r="C15645" s="36"/>
      <c r="D15645" s="37"/>
      <c r="E15645" s="36"/>
      <c r="F15645" s="42"/>
      <c r="G15645" s="42"/>
      <c r="H15645" s="42"/>
      <c r="AG15645" s="19"/>
    </row>
    <row r="15646" spans="1:33" ht="14.5" x14ac:dyDescent="0.35">
      <c r="A15646" s="34"/>
      <c r="B15646" s="35"/>
      <c r="C15646" s="36"/>
      <c r="D15646" s="37"/>
      <c r="E15646" s="36"/>
      <c r="F15646" s="42"/>
      <c r="G15646" s="42"/>
      <c r="H15646" s="42"/>
      <c r="AG15646" s="19"/>
    </row>
    <row r="15647" spans="1:33" ht="14.5" x14ac:dyDescent="0.35">
      <c r="A15647" s="34"/>
      <c r="B15647" s="35"/>
      <c r="C15647" s="36"/>
      <c r="D15647" s="37"/>
      <c r="E15647" s="36"/>
      <c r="F15647" s="42"/>
      <c r="G15647" s="42"/>
      <c r="H15647" s="42"/>
      <c r="AG15647" s="19"/>
    </row>
    <row r="15648" spans="1:33" ht="14.5" x14ac:dyDescent="0.35">
      <c r="A15648" s="34"/>
      <c r="B15648" s="35"/>
      <c r="C15648" s="36"/>
      <c r="D15648" s="37"/>
      <c r="E15648" s="36"/>
      <c r="F15648" s="42"/>
      <c r="G15648" s="42"/>
      <c r="H15648" s="42"/>
      <c r="AG15648" s="19"/>
    </row>
    <row r="15649" spans="1:33" ht="14.5" x14ac:dyDescent="0.35">
      <c r="A15649" s="34"/>
      <c r="B15649" s="35"/>
      <c r="C15649" s="36"/>
      <c r="D15649" s="37"/>
      <c r="E15649" s="36"/>
      <c r="F15649" s="42"/>
      <c r="G15649" s="42"/>
      <c r="H15649" s="42"/>
      <c r="AG15649" s="19"/>
    </row>
    <row r="15650" spans="1:33" ht="14.5" x14ac:dyDescent="0.35">
      <c r="A15650" s="34"/>
      <c r="B15650" s="35"/>
      <c r="C15650" s="36"/>
      <c r="D15650" s="37"/>
      <c r="E15650" s="36"/>
      <c r="F15650" s="42"/>
      <c r="G15650" s="42"/>
      <c r="H15650" s="42"/>
      <c r="AG15650" s="19"/>
    </row>
    <row r="15651" spans="1:33" ht="14.5" x14ac:dyDescent="0.35">
      <c r="A15651" s="34"/>
      <c r="B15651" s="35"/>
      <c r="C15651" s="36"/>
      <c r="D15651" s="37"/>
      <c r="E15651" s="36"/>
      <c r="F15651" s="42"/>
      <c r="G15651" s="42"/>
      <c r="H15651" s="42"/>
      <c r="AG15651" s="19"/>
    </row>
    <row r="15652" spans="1:33" ht="14.5" x14ac:dyDescent="0.35">
      <c r="A15652" s="34"/>
      <c r="B15652" s="35"/>
      <c r="C15652" s="36"/>
      <c r="D15652" s="37"/>
      <c r="E15652" s="36"/>
      <c r="F15652" s="42"/>
      <c r="G15652" s="42"/>
      <c r="H15652" s="42"/>
      <c r="AG15652" s="19"/>
    </row>
    <row r="15653" spans="1:33" ht="14.5" x14ac:dyDescent="0.35">
      <c r="A15653" s="34"/>
      <c r="B15653" s="35"/>
      <c r="C15653" s="36"/>
      <c r="D15653" s="37"/>
      <c r="E15653" s="36"/>
      <c r="F15653" s="42"/>
      <c r="G15653" s="42"/>
      <c r="H15653" s="42"/>
      <c r="AG15653" s="19"/>
    </row>
    <row r="15654" spans="1:33" ht="14.5" x14ac:dyDescent="0.35">
      <c r="A15654" s="34"/>
      <c r="B15654" s="35"/>
      <c r="C15654" s="36"/>
      <c r="D15654" s="37"/>
      <c r="E15654" s="36"/>
      <c r="F15654" s="42"/>
      <c r="G15654" s="42"/>
      <c r="H15654" s="42"/>
      <c r="AG15654" s="19"/>
    </row>
    <row r="15655" spans="1:33" ht="14.5" x14ac:dyDescent="0.35">
      <c r="A15655" s="34"/>
      <c r="B15655" s="35"/>
      <c r="C15655" s="36"/>
      <c r="D15655" s="37"/>
      <c r="E15655" s="36"/>
      <c r="F15655" s="42"/>
      <c r="G15655" s="42"/>
      <c r="H15655" s="42"/>
      <c r="AG15655" s="19"/>
    </row>
    <row r="15656" spans="1:33" ht="14.5" x14ac:dyDescent="0.35">
      <c r="A15656" s="34"/>
      <c r="B15656" s="35"/>
      <c r="C15656" s="36"/>
      <c r="D15656" s="37"/>
      <c r="E15656" s="36"/>
      <c r="F15656" s="42"/>
      <c r="G15656" s="42"/>
      <c r="H15656" s="42"/>
      <c r="AG15656" s="19"/>
    </row>
    <row r="15657" spans="1:33" ht="14.5" x14ac:dyDescent="0.35">
      <c r="A15657" s="34"/>
      <c r="B15657" s="35"/>
      <c r="C15657" s="36"/>
      <c r="D15657" s="37"/>
      <c r="E15657" s="36"/>
      <c r="F15657" s="42"/>
      <c r="G15657" s="42"/>
      <c r="H15657" s="42"/>
      <c r="AG15657" s="19"/>
    </row>
    <row r="15658" spans="1:33" ht="14.5" x14ac:dyDescent="0.35">
      <c r="A15658" s="34"/>
      <c r="B15658" s="35"/>
      <c r="C15658" s="36"/>
      <c r="D15658" s="37"/>
      <c r="E15658" s="36"/>
      <c r="F15658" s="42"/>
      <c r="G15658" s="42"/>
      <c r="H15658" s="42"/>
      <c r="AG15658" s="19"/>
    </row>
    <row r="15659" spans="1:33" ht="14.5" x14ac:dyDescent="0.35">
      <c r="A15659" s="34"/>
      <c r="B15659" s="35"/>
      <c r="C15659" s="36"/>
      <c r="D15659" s="37"/>
      <c r="E15659" s="36"/>
      <c r="F15659" s="42"/>
      <c r="G15659" s="42"/>
      <c r="H15659" s="42"/>
      <c r="AG15659" s="19"/>
    </row>
    <row r="15660" spans="1:33" ht="14.5" x14ac:dyDescent="0.35">
      <c r="A15660" s="34"/>
      <c r="B15660" s="35"/>
      <c r="C15660" s="36"/>
      <c r="D15660" s="37"/>
      <c r="E15660" s="36"/>
      <c r="F15660" s="42"/>
      <c r="G15660" s="42"/>
      <c r="H15660" s="42"/>
      <c r="AG15660" s="19"/>
    </row>
    <row r="15661" spans="1:33" ht="14.5" x14ac:dyDescent="0.35">
      <c r="A15661" s="34"/>
      <c r="B15661" s="35"/>
      <c r="C15661" s="36"/>
      <c r="D15661" s="37"/>
      <c r="E15661" s="36"/>
      <c r="F15661" s="42"/>
      <c r="G15661" s="42"/>
      <c r="H15661" s="42"/>
      <c r="AG15661" s="19"/>
    </row>
    <row r="15662" spans="1:33" ht="14.5" x14ac:dyDescent="0.35">
      <c r="A15662" s="34"/>
      <c r="B15662" s="35"/>
      <c r="C15662" s="36"/>
      <c r="D15662" s="37"/>
      <c r="E15662" s="36"/>
      <c r="F15662" s="42"/>
      <c r="G15662" s="42"/>
      <c r="H15662" s="42"/>
      <c r="AG15662" s="19"/>
    </row>
    <row r="15663" spans="1:33" ht="14.5" x14ac:dyDescent="0.35">
      <c r="A15663" s="34"/>
      <c r="B15663" s="35"/>
      <c r="C15663" s="36"/>
      <c r="D15663" s="37"/>
      <c r="E15663" s="36"/>
      <c r="F15663" s="42"/>
      <c r="G15663" s="42"/>
      <c r="H15663" s="42"/>
      <c r="AG15663" s="19"/>
    </row>
    <row r="15664" spans="1:33" ht="14.5" x14ac:dyDescent="0.35">
      <c r="A15664" s="34"/>
      <c r="B15664" s="35"/>
      <c r="C15664" s="36"/>
      <c r="D15664" s="37"/>
      <c r="E15664" s="36"/>
      <c r="F15664" s="42"/>
      <c r="G15664" s="42"/>
      <c r="H15664" s="42"/>
      <c r="AG15664" s="19"/>
    </row>
    <row r="15665" spans="1:33" ht="14.5" x14ac:dyDescent="0.35">
      <c r="A15665" s="34"/>
      <c r="B15665" s="35"/>
      <c r="C15665" s="36"/>
      <c r="D15665" s="37"/>
      <c r="E15665" s="36"/>
      <c r="F15665" s="42"/>
      <c r="G15665" s="42"/>
      <c r="H15665" s="42"/>
      <c r="AG15665" s="19"/>
    </row>
    <row r="15666" spans="1:33" ht="14.5" x14ac:dyDescent="0.35">
      <c r="A15666" s="34"/>
      <c r="B15666" s="35"/>
      <c r="C15666" s="36"/>
      <c r="D15666" s="37"/>
      <c r="E15666" s="36"/>
      <c r="F15666" s="42"/>
      <c r="G15666" s="42"/>
      <c r="H15666" s="42"/>
      <c r="AG15666" s="19"/>
    </row>
    <row r="15667" spans="1:33" ht="14.5" x14ac:dyDescent="0.35">
      <c r="A15667" s="34"/>
      <c r="B15667" s="35"/>
      <c r="C15667" s="36"/>
      <c r="D15667" s="37"/>
      <c r="E15667" s="36"/>
      <c r="F15667" s="42"/>
      <c r="G15667" s="42"/>
      <c r="H15667" s="42"/>
      <c r="AG15667" s="19"/>
    </row>
    <row r="15668" spans="1:33" ht="14.5" x14ac:dyDescent="0.35">
      <c r="A15668" s="34"/>
      <c r="B15668" s="35"/>
      <c r="C15668" s="36"/>
      <c r="D15668" s="37"/>
      <c r="E15668" s="36"/>
      <c r="F15668" s="42"/>
      <c r="G15668" s="42"/>
      <c r="H15668" s="42"/>
      <c r="AG15668" s="19"/>
    </row>
    <row r="15669" spans="1:33" ht="14.5" x14ac:dyDescent="0.35">
      <c r="A15669" s="34"/>
      <c r="B15669" s="35"/>
      <c r="C15669" s="36"/>
      <c r="D15669" s="37"/>
      <c r="E15669" s="36"/>
      <c r="F15669" s="42"/>
      <c r="G15669" s="42"/>
      <c r="H15669" s="42"/>
      <c r="AG15669" s="19"/>
    </row>
    <row r="15670" spans="1:33" ht="14.5" x14ac:dyDescent="0.35">
      <c r="A15670" s="34"/>
      <c r="B15670" s="35"/>
      <c r="C15670" s="36"/>
      <c r="D15670" s="37"/>
      <c r="E15670" s="36"/>
      <c r="F15670" s="42"/>
      <c r="G15670" s="42"/>
      <c r="H15670" s="42"/>
      <c r="AG15670" s="19"/>
    </row>
    <row r="15671" spans="1:33" ht="14.5" x14ac:dyDescent="0.35">
      <c r="A15671" s="34"/>
      <c r="B15671" s="35"/>
      <c r="C15671" s="36"/>
      <c r="D15671" s="37"/>
      <c r="E15671" s="36"/>
      <c r="F15671" s="42"/>
      <c r="G15671" s="42"/>
      <c r="H15671" s="42"/>
      <c r="AG15671" s="19"/>
    </row>
    <row r="15672" spans="1:33" ht="14.5" x14ac:dyDescent="0.35">
      <c r="A15672" s="34"/>
      <c r="B15672" s="35"/>
      <c r="C15672" s="36"/>
      <c r="D15672" s="37"/>
      <c r="E15672" s="36"/>
      <c r="F15672" s="42"/>
      <c r="G15672" s="42"/>
      <c r="H15672" s="42"/>
      <c r="AG15672" s="19"/>
    </row>
    <row r="15673" spans="1:33" ht="14.5" x14ac:dyDescent="0.35">
      <c r="A15673" s="34"/>
      <c r="B15673" s="35"/>
      <c r="C15673" s="36"/>
      <c r="D15673" s="37"/>
      <c r="E15673" s="36"/>
      <c r="F15673" s="42"/>
      <c r="G15673" s="42"/>
      <c r="H15673" s="42"/>
      <c r="AG15673" s="19"/>
    </row>
    <row r="15674" spans="1:33" ht="14.5" x14ac:dyDescent="0.35">
      <c r="A15674" s="34"/>
      <c r="B15674" s="35"/>
      <c r="C15674" s="36"/>
      <c r="D15674" s="37"/>
      <c r="E15674" s="36"/>
      <c r="F15674" s="42"/>
      <c r="G15674" s="42"/>
      <c r="H15674" s="42"/>
      <c r="AG15674" s="19"/>
    </row>
    <row r="15675" spans="1:33" ht="14.5" x14ac:dyDescent="0.35">
      <c r="A15675" s="34"/>
      <c r="B15675" s="35"/>
      <c r="C15675" s="36"/>
      <c r="D15675" s="37"/>
      <c r="E15675" s="36"/>
      <c r="F15675" s="42"/>
      <c r="G15675" s="42"/>
      <c r="H15675" s="42"/>
      <c r="AG15675" s="19"/>
    </row>
    <row r="15676" spans="1:33" ht="14.5" x14ac:dyDescent="0.35">
      <c r="A15676" s="34"/>
      <c r="B15676" s="35"/>
      <c r="C15676" s="36"/>
      <c r="D15676" s="37"/>
      <c r="E15676" s="36"/>
      <c r="F15676" s="42"/>
      <c r="G15676" s="42"/>
      <c r="H15676" s="42"/>
      <c r="AG15676" s="19"/>
    </row>
    <row r="15677" spans="1:33" ht="14.5" x14ac:dyDescent="0.35">
      <c r="A15677" s="34"/>
      <c r="B15677" s="35"/>
      <c r="C15677" s="36"/>
      <c r="D15677" s="37"/>
      <c r="E15677" s="36"/>
      <c r="F15677" s="42"/>
      <c r="G15677" s="42"/>
      <c r="H15677" s="42"/>
      <c r="AG15677" s="19"/>
    </row>
    <row r="15678" spans="1:33" ht="14.5" x14ac:dyDescent="0.35">
      <c r="A15678" s="34"/>
      <c r="B15678" s="35"/>
      <c r="C15678" s="36"/>
      <c r="D15678" s="37"/>
      <c r="E15678" s="36"/>
      <c r="F15678" s="42"/>
      <c r="G15678" s="42"/>
      <c r="H15678" s="42"/>
      <c r="AG15678" s="19"/>
    </row>
    <row r="15679" spans="1:33" ht="14.5" x14ac:dyDescent="0.35">
      <c r="A15679" s="34"/>
      <c r="B15679" s="35"/>
      <c r="C15679" s="36"/>
      <c r="D15679" s="37"/>
      <c r="E15679" s="36"/>
      <c r="F15679" s="42"/>
      <c r="G15679" s="42"/>
      <c r="H15679" s="42"/>
      <c r="AG15679" s="19"/>
    </row>
    <row r="15680" spans="1:33" ht="14.5" x14ac:dyDescent="0.35">
      <c r="A15680" s="34"/>
      <c r="B15680" s="35"/>
      <c r="C15680" s="36"/>
      <c r="D15680" s="37"/>
      <c r="E15680" s="36"/>
      <c r="F15680" s="42"/>
      <c r="G15680" s="42"/>
      <c r="H15680" s="42"/>
      <c r="AG15680" s="19"/>
    </row>
    <row r="15681" spans="1:33" ht="14.5" x14ac:dyDescent="0.35">
      <c r="A15681" s="34"/>
      <c r="B15681" s="35"/>
      <c r="C15681" s="36"/>
      <c r="D15681" s="37"/>
      <c r="E15681" s="36"/>
      <c r="F15681" s="42"/>
      <c r="G15681" s="42"/>
      <c r="H15681" s="42"/>
      <c r="AG15681" s="19"/>
    </row>
    <row r="15682" spans="1:33" ht="14.5" x14ac:dyDescent="0.35">
      <c r="A15682" s="34"/>
      <c r="B15682" s="35"/>
      <c r="C15682" s="36"/>
      <c r="D15682" s="37"/>
      <c r="E15682" s="36"/>
      <c r="F15682" s="42"/>
      <c r="G15682" s="42"/>
      <c r="H15682" s="42"/>
      <c r="AG15682" s="19"/>
    </row>
    <row r="15683" spans="1:33" ht="14.5" x14ac:dyDescent="0.35">
      <c r="A15683" s="34"/>
      <c r="B15683" s="35"/>
      <c r="C15683" s="36"/>
      <c r="D15683" s="37"/>
      <c r="E15683" s="36"/>
      <c r="F15683" s="42"/>
      <c r="G15683" s="42"/>
      <c r="H15683" s="42"/>
      <c r="AG15683" s="19"/>
    </row>
    <row r="15684" spans="1:33" ht="14.5" x14ac:dyDescent="0.35">
      <c r="A15684" s="34"/>
      <c r="B15684" s="35"/>
      <c r="C15684" s="36"/>
      <c r="D15684" s="37"/>
      <c r="E15684" s="36"/>
      <c r="F15684" s="42"/>
      <c r="G15684" s="42"/>
      <c r="H15684" s="42"/>
      <c r="AG15684" s="19"/>
    </row>
    <row r="15685" spans="1:33" ht="14.5" x14ac:dyDescent="0.35">
      <c r="A15685" s="34"/>
      <c r="B15685" s="35"/>
      <c r="C15685" s="36"/>
      <c r="D15685" s="37"/>
      <c r="E15685" s="36"/>
      <c r="F15685" s="42"/>
      <c r="G15685" s="42"/>
      <c r="H15685" s="42"/>
      <c r="AG15685" s="19"/>
    </row>
    <row r="15686" spans="1:33" ht="14.5" x14ac:dyDescent="0.35">
      <c r="A15686" s="34"/>
      <c r="B15686" s="35"/>
      <c r="C15686" s="36"/>
      <c r="D15686" s="37"/>
      <c r="E15686" s="36"/>
      <c r="F15686" s="42"/>
      <c r="G15686" s="42"/>
      <c r="H15686" s="42"/>
      <c r="AG15686" s="19"/>
    </row>
    <row r="15687" spans="1:33" ht="14.5" x14ac:dyDescent="0.35">
      <c r="A15687" s="34"/>
      <c r="B15687" s="35"/>
      <c r="C15687" s="36"/>
      <c r="D15687" s="37"/>
      <c r="E15687" s="36"/>
      <c r="F15687" s="42"/>
      <c r="G15687" s="42"/>
      <c r="H15687" s="42"/>
      <c r="AG15687" s="19"/>
    </row>
    <row r="15688" spans="1:33" ht="14.5" x14ac:dyDescent="0.35">
      <c r="A15688" s="34"/>
      <c r="B15688" s="35"/>
      <c r="C15688" s="36"/>
      <c r="D15688" s="37"/>
      <c r="E15688" s="36"/>
      <c r="F15688" s="42"/>
      <c r="G15688" s="42"/>
      <c r="H15688" s="42"/>
      <c r="AG15688" s="19"/>
    </row>
    <row r="15689" spans="1:33" ht="14.5" x14ac:dyDescent="0.35">
      <c r="A15689" s="34"/>
      <c r="B15689" s="35"/>
      <c r="C15689" s="36"/>
      <c r="D15689" s="37"/>
      <c r="E15689" s="36"/>
      <c r="F15689" s="42"/>
      <c r="G15689" s="42"/>
      <c r="H15689" s="42"/>
      <c r="AG15689" s="19"/>
    </row>
    <row r="15690" spans="1:33" ht="14.5" x14ac:dyDescent="0.35">
      <c r="A15690" s="34"/>
      <c r="B15690" s="35"/>
      <c r="C15690" s="36"/>
      <c r="D15690" s="37"/>
      <c r="E15690" s="36"/>
      <c r="F15690" s="42"/>
      <c r="G15690" s="42"/>
      <c r="H15690" s="42"/>
      <c r="AG15690" s="19"/>
    </row>
    <row r="15691" spans="1:33" ht="14.5" x14ac:dyDescent="0.35">
      <c r="A15691" s="34"/>
      <c r="B15691" s="35"/>
      <c r="C15691" s="36"/>
      <c r="D15691" s="37"/>
      <c r="E15691" s="36"/>
      <c r="F15691" s="42"/>
      <c r="G15691" s="42"/>
      <c r="H15691" s="42"/>
      <c r="AG15691" s="19"/>
    </row>
    <row r="15692" spans="1:33" ht="14.5" x14ac:dyDescent="0.35">
      <c r="A15692" s="34"/>
      <c r="B15692" s="35"/>
      <c r="C15692" s="36"/>
      <c r="D15692" s="37"/>
      <c r="E15692" s="36"/>
      <c r="F15692" s="42"/>
      <c r="G15692" s="42"/>
      <c r="H15692" s="42"/>
      <c r="AG15692" s="19"/>
    </row>
    <row r="15693" spans="1:33" ht="14.5" x14ac:dyDescent="0.35">
      <c r="A15693" s="34"/>
      <c r="B15693" s="35"/>
      <c r="C15693" s="36"/>
      <c r="D15693" s="37"/>
      <c r="E15693" s="36"/>
      <c r="F15693" s="42"/>
      <c r="G15693" s="42"/>
      <c r="H15693" s="42"/>
      <c r="AG15693" s="19"/>
    </row>
    <row r="15694" spans="1:33" ht="14.5" x14ac:dyDescent="0.35">
      <c r="A15694" s="34"/>
      <c r="B15694" s="35"/>
      <c r="C15694" s="36"/>
      <c r="D15694" s="37"/>
      <c r="E15694" s="36"/>
      <c r="F15694" s="42"/>
      <c r="G15694" s="42"/>
      <c r="H15694" s="42"/>
      <c r="AG15694" s="19"/>
    </row>
    <row r="15695" spans="1:33" ht="14.5" x14ac:dyDescent="0.35">
      <c r="A15695" s="34"/>
      <c r="B15695" s="35"/>
      <c r="C15695" s="36"/>
      <c r="D15695" s="37"/>
      <c r="E15695" s="36"/>
      <c r="F15695" s="42"/>
      <c r="G15695" s="42"/>
      <c r="H15695" s="42"/>
      <c r="AG15695" s="19"/>
    </row>
    <row r="15696" spans="1:33" ht="14.5" x14ac:dyDescent="0.35">
      <c r="A15696" s="34"/>
      <c r="B15696" s="35"/>
      <c r="C15696" s="36"/>
      <c r="D15696" s="37"/>
      <c r="E15696" s="36"/>
      <c r="F15696" s="42"/>
      <c r="G15696" s="42"/>
      <c r="H15696" s="42"/>
      <c r="AG15696" s="19"/>
    </row>
    <row r="15697" spans="1:33" ht="14.5" x14ac:dyDescent="0.35">
      <c r="A15697" s="34"/>
      <c r="B15697" s="35"/>
      <c r="C15697" s="36"/>
      <c r="D15697" s="37"/>
      <c r="E15697" s="36"/>
      <c r="F15697" s="42"/>
      <c r="G15697" s="42"/>
      <c r="H15697" s="42"/>
      <c r="AG15697" s="19"/>
    </row>
    <row r="15698" spans="1:33" ht="14.5" x14ac:dyDescent="0.35">
      <c r="A15698" s="34"/>
      <c r="B15698" s="35"/>
      <c r="C15698" s="36"/>
      <c r="D15698" s="37"/>
      <c r="E15698" s="36"/>
      <c r="F15698" s="42"/>
      <c r="G15698" s="42"/>
      <c r="H15698" s="42"/>
      <c r="AG15698" s="19"/>
    </row>
    <row r="15699" spans="1:33" ht="14.5" x14ac:dyDescent="0.35">
      <c r="A15699" s="34"/>
      <c r="B15699" s="35"/>
      <c r="C15699" s="36"/>
      <c r="D15699" s="37"/>
      <c r="E15699" s="36"/>
      <c r="F15699" s="42"/>
      <c r="G15699" s="42"/>
      <c r="H15699" s="42"/>
      <c r="AG15699" s="19"/>
    </row>
    <row r="15700" spans="1:33" ht="14.5" x14ac:dyDescent="0.35">
      <c r="A15700" s="34"/>
      <c r="B15700" s="35"/>
      <c r="C15700" s="36"/>
      <c r="D15700" s="37"/>
      <c r="E15700" s="36"/>
      <c r="F15700" s="42"/>
      <c r="G15700" s="42"/>
      <c r="H15700" s="42"/>
      <c r="AG15700" s="19"/>
    </row>
    <row r="15701" spans="1:33" ht="14.5" x14ac:dyDescent="0.35">
      <c r="A15701" s="34"/>
      <c r="B15701" s="35"/>
      <c r="C15701" s="36"/>
      <c r="D15701" s="37"/>
      <c r="E15701" s="36"/>
      <c r="F15701" s="42"/>
      <c r="G15701" s="42"/>
      <c r="H15701" s="42"/>
      <c r="AG15701" s="19"/>
    </row>
    <row r="15702" spans="1:33" ht="14.5" x14ac:dyDescent="0.35">
      <c r="A15702" s="34"/>
      <c r="B15702" s="35"/>
      <c r="C15702" s="36"/>
      <c r="D15702" s="37"/>
      <c r="E15702" s="36"/>
      <c r="F15702" s="42"/>
      <c r="G15702" s="42"/>
      <c r="H15702" s="42"/>
      <c r="AG15702" s="19"/>
    </row>
    <row r="15703" spans="1:33" ht="14.5" x14ac:dyDescent="0.35">
      <c r="A15703" s="34"/>
      <c r="B15703" s="35"/>
      <c r="C15703" s="36"/>
      <c r="D15703" s="37"/>
      <c r="E15703" s="36"/>
      <c r="F15703" s="42"/>
      <c r="G15703" s="42"/>
      <c r="H15703" s="42"/>
      <c r="AG15703" s="19"/>
    </row>
    <row r="15704" spans="1:33" ht="14.5" x14ac:dyDescent="0.35">
      <c r="A15704" s="34"/>
      <c r="B15704" s="35"/>
      <c r="C15704" s="36"/>
      <c r="D15704" s="37"/>
      <c r="E15704" s="36"/>
      <c r="F15704" s="42"/>
      <c r="G15704" s="42"/>
      <c r="H15704" s="42"/>
      <c r="AG15704" s="19"/>
    </row>
    <row r="15705" spans="1:33" ht="14.5" x14ac:dyDescent="0.35">
      <c r="A15705" s="34"/>
      <c r="B15705" s="35"/>
      <c r="C15705" s="36"/>
      <c r="D15705" s="37"/>
      <c r="E15705" s="36"/>
      <c r="F15705" s="42"/>
      <c r="G15705" s="42"/>
      <c r="H15705" s="42"/>
      <c r="AG15705" s="19"/>
    </row>
    <row r="15706" spans="1:33" ht="14.5" x14ac:dyDescent="0.35">
      <c r="A15706" s="34"/>
      <c r="B15706" s="35"/>
      <c r="C15706" s="36"/>
      <c r="D15706" s="37"/>
      <c r="E15706" s="36"/>
      <c r="F15706" s="42"/>
      <c r="G15706" s="42"/>
      <c r="H15706" s="42"/>
      <c r="AG15706" s="19"/>
    </row>
    <row r="15707" spans="1:33" ht="14.5" x14ac:dyDescent="0.35">
      <c r="A15707" s="34"/>
      <c r="B15707" s="35"/>
      <c r="C15707" s="36"/>
      <c r="D15707" s="37"/>
      <c r="E15707" s="36"/>
      <c r="F15707" s="42"/>
      <c r="G15707" s="42"/>
      <c r="H15707" s="42"/>
      <c r="AG15707" s="19"/>
    </row>
    <row r="15708" spans="1:33" ht="14.5" x14ac:dyDescent="0.35">
      <c r="A15708" s="34"/>
      <c r="B15708" s="35"/>
      <c r="C15708" s="36"/>
      <c r="D15708" s="37"/>
      <c r="E15708" s="36"/>
      <c r="F15708" s="42"/>
      <c r="G15708" s="42"/>
      <c r="H15708" s="42"/>
      <c r="AG15708" s="19"/>
    </row>
    <row r="15709" spans="1:33" ht="14.5" x14ac:dyDescent="0.35">
      <c r="A15709" s="34"/>
      <c r="B15709" s="35"/>
      <c r="C15709" s="36"/>
      <c r="D15709" s="37"/>
      <c r="E15709" s="36"/>
      <c r="F15709" s="42"/>
      <c r="G15709" s="42"/>
      <c r="H15709" s="42"/>
      <c r="AG15709" s="19"/>
    </row>
    <row r="15710" spans="1:33" ht="14.5" x14ac:dyDescent="0.35">
      <c r="A15710" s="34"/>
      <c r="B15710" s="35"/>
      <c r="C15710" s="36"/>
      <c r="D15710" s="37"/>
      <c r="E15710" s="36"/>
      <c r="F15710" s="42"/>
      <c r="G15710" s="42"/>
      <c r="H15710" s="42"/>
      <c r="AG15710" s="19"/>
    </row>
    <row r="15711" spans="1:33" ht="14.5" x14ac:dyDescent="0.35">
      <c r="A15711" s="34"/>
      <c r="B15711" s="35"/>
      <c r="C15711" s="36"/>
      <c r="D15711" s="37"/>
      <c r="E15711" s="36"/>
      <c r="F15711" s="42"/>
      <c r="G15711" s="42"/>
      <c r="H15711" s="42"/>
      <c r="AG15711" s="19"/>
    </row>
    <row r="15712" spans="1:33" ht="14.5" x14ac:dyDescent="0.35">
      <c r="A15712" s="34"/>
      <c r="B15712" s="35"/>
      <c r="C15712" s="36"/>
      <c r="D15712" s="37"/>
      <c r="E15712" s="36"/>
      <c r="F15712" s="42"/>
      <c r="G15712" s="42"/>
      <c r="H15712" s="42"/>
      <c r="AG15712" s="19"/>
    </row>
    <row r="15713" spans="1:33" ht="14.5" x14ac:dyDescent="0.35">
      <c r="A15713" s="34"/>
      <c r="B15713" s="35"/>
      <c r="C15713" s="36"/>
      <c r="D15713" s="37"/>
      <c r="E15713" s="36"/>
      <c r="F15713" s="42"/>
      <c r="G15713" s="42"/>
      <c r="H15713" s="42"/>
      <c r="AG15713" s="19"/>
    </row>
    <row r="15714" spans="1:33" ht="14.5" x14ac:dyDescent="0.35">
      <c r="A15714" s="34"/>
      <c r="B15714" s="35"/>
      <c r="C15714" s="36"/>
      <c r="D15714" s="37"/>
      <c r="E15714" s="36"/>
      <c r="F15714" s="42"/>
      <c r="G15714" s="42"/>
      <c r="H15714" s="42"/>
      <c r="AG15714" s="19"/>
    </row>
    <row r="15715" spans="1:33" ht="14.5" x14ac:dyDescent="0.35">
      <c r="A15715" s="34"/>
      <c r="B15715" s="35"/>
      <c r="C15715" s="36"/>
      <c r="D15715" s="37"/>
      <c r="E15715" s="36"/>
      <c r="F15715" s="42"/>
      <c r="G15715" s="42"/>
      <c r="H15715" s="42"/>
      <c r="AG15715" s="19"/>
    </row>
    <row r="15716" spans="1:33" ht="14.5" x14ac:dyDescent="0.35">
      <c r="A15716" s="34"/>
      <c r="B15716" s="35"/>
      <c r="C15716" s="36"/>
      <c r="D15716" s="37"/>
      <c r="E15716" s="36"/>
      <c r="F15716" s="42"/>
      <c r="G15716" s="42"/>
      <c r="H15716" s="42"/>
      <c r="AG15716" s="19"/>
    </row>
    <row r="15717" spans="1:33" ht="14.5" x14ac:dyDescent="0.35">
      <c r="A15717" s="34"/>
      <c r="B15717" s="35"/>
      <c r="C15717" s="36"/>
      <c r="D15717" s="37"/>
      <c r="E15717" s="36"/>
      <c r="F15717" s="42"/>
      <c r="G15717" s="42"/>
      <c r="H15717" s="42"/>
      <c r="AG15717" s="19"/>
    </row>
    <row r="15718" spans="1:33" ht="14.5" x14ac:dyDescent="0.35">
      <c r="A15718" s="34"/>
      <c r="B15718" s="35"/>
      <c r="C15718" s="36"/>
      <c r="D15718" s="37"/>
      <c r="E15718" s="36"/>
      <c r="F15718" s="42"/>
      <c r="G15718" s="42"/>
      <c r="H15718" s="42"/>
      <c r="AG15718" s="19"/>
    </row>
    <row r="15719" spans="1:33" ht="14.5" x14ac:dyDescent="0.35">
      <c r="A15719" s="34"/>
      <c r="B15719" s="35"/>
      <c r="C15719" s="36"/>
      <c r="D15719" s="37"/>
      <c r="E15719" s="36"/>
      <c r="F15719" s="42"/>
      <c r="G15719" s="42"/>
      <c r="H15719" s="42"/>
      <c r="AG15719" s="19"/>
    </row>
    <row r="15720" spans="1:33" ht="14.5" x14ac:dyDescent="0.35">
      <c r="A15720" s="34"/>
      <c r="B15720" s="35"/>
      <c r="C15720" s="36"/>
      <c r="D15720" s="37"/>
      <c r="E15720" s="36"/>
      <c r="F15720" s="42"/>
      <c r="G15720" s="42"/>
      <c r="H15720" s="42"/>
      <c r="AG15720" s="19"/>
    </row>
    <row r="15721" spans="1:33" ht="14.5" x14ac:dyDescent="0.35">
      <c r="A15721" s="34"/>
      <c r="B15721" s="35"/>
      <c r="C15721" s="36"/>
      <c r="D15721" s="37"/>
      <c r="E15721" s="36"/>
      <c r="F15721" s="42"/>
      <c r="G15721" s="42"/>
      <c r="H15721" s="42"/>
      <c r="AG15721" s="19"/>
    </row>
    <row r="15722" spans="1:33" ht="14.5" x14ac:dyDescent="0.35">
      <c r="A15722" s="34"/>
      <c r="B15722" s="35"/>
      <c r="C15722" s="36"/>
      <c r="D15722" s="37"/>
      <c r="E15722" s="36"/>
      <c r="F15722" s="42"/>
      <c r="G15722" s="42"/>
      <c r="H15722" s="42"/>
      <c r="AG15722" s="19"/>
    </row>
    <row r="15723" spans="1:33" ht="14.5" x14ac:dyDescent="0.35">
      <c r="A15723" s="34"/>
      <c r="B15723" s="35"/>
      <c r="C15723" s="36"/>
      <c r="D15723" s="37"/>
      <c r="E15723" s="36"/>
      <c r="F15723" s="42"/>
      <c r="G15723" s="42"/>
      <c r="H15723" s="42"/>
      <c r="AG15723" s="19"/>
    </row>
    <row r="15724" spans="1:33" ht="14.5" x14ac:dyDescent="0.35">
      <c r="A15724" s="34"/>
      <c r="B15724" s="35"/>
      <c r="C15724" s="36"/>
      <c r="D15724" s="37"/>
      <c r="E15724" s="36"/>
      <c r="F15724" s="42"/>
      <c r="G15724" s="42"/>
      <c r="H15724" s="42"/>
      <c r="AG15724" s="19"/>
    </row>
    <row r="15725" spans="1:33" ht="14.5" x14ac:dyDescent="0.35">
      <c r="A15725" s="34"/>
      <c r="B15725" s="35"/>
      <c r="C15725" s="36"/>
      <c r="D15725" s="37"/>
      <c r="E15725" s="36"/>
      <c r="F15725" s="42"/>
      <c r="G15725" s="42"/>
      <c r="H15725" s="42"/>
      <c r="AG15725" s="19"/>
    </row>
    <row r="15726" spans="1:33" ht="14.5" x14ac:dyDescent="0.35">
      <c r="A15726" s="34"/>
      <c r="B15726" s="35"/>
      <c r="C15726" s="36"/>
      <c r="D15726" s="37"/>
      <c r="E15726" s="36"/>
      <c r="F15726" s="42"/>
      <c r="G15726" s="42"/>
      <c r="H15726" s="42"/>
      <c r="AG15726" s="19"/>
    </row>
    <row r="15727" spans="1:33" ht="14.5" x14ac:dyDescent="0.35">
      <c r="A15727" s="34"/>
      <c r="B15727" s="35"/>
      <c r="C15727" s="36"/>
      <c r="D15727" s="37"/>
      <c r="E15727" s="36"/>
      <c r="F15727" s="42"/>
      <c r="G15727" s="42"/>
      <c r="H15727" s="42"/>
      <c r="AG15727" s="19"/>
    </row>
    <row r="15728" spans="1:33" ht="14.5" x14ac:dyDescent="0.35">
      <c r="A15728" s="34"/>
      <c r="B15728" s="35"/>
      <c r="C15728" s="36"/>
      <c r="D15728" s="37"/>
      <c r="E15728" s="36"/>
      <c r="F15728" s="42"/>
      <c r="G15728" s="42"/>
      <c r="H15728" s="42"/>
      <c r="AG15728" s="19"/>
    </row>
    <row r="15729" spans="1:33" ht="14.5" x14ac:dyDescent="0.35">
      <c r="A15729" s="34"/>
      <c r="B15729" s="35"/>
      <c r="C15729" s="36"/>
      <c r="D15729" s="37"/>
      <c r="E15729" s="36"/>
      <c r="F15729" s="42"/>
      <c r="G15729" s="42"/>
      <c r="H15729" s="42"/>
      <c r="AG15729" s="19"/>
    </row>
    <row r="15730" spans="1:33" ht="14.5" x14ac:dyDescent="0.35">
      <c r="A15730" s="34"/>
      <c r="B15730" s="35"/>
      <c r="C15730" s="36"/>
      <c r="D15730" s="37"/>
      <c r="E15730" s="36"/>
      <c r="F15730" s="42"/>
      <c r="G15730" s="42"/>
      <c r="H15730" s="42"/>
      <c r="AG15730" s="19"/>
    </row>
    <row r="15731" spans="1:33" ht="14.5" x14ac:dyDescent="0.35">
      <c r="A15731" s="34"/>
      <c r="B15731" s="35"/>
      <c r="C15731" s="36"/>
      <c r="D15731" s="37"/>
      <c r="E15731" s="36"/>
      <c r="F15731" s="42"/>
      <c r="G15731" s="42"/>
      <c r="H15731" s="42"/>
      <c r="AG15731" s="19"/>
    </row>
    <row r="15732" spans="1:33" ht="14.5" x14ac:dyDescent="0.35">
      <c r="A15732" s="34"/>
      <c r="B15732" s="35"/>
      <c r="C15732" s="36"/>
      <c r="D15732" s="37"/>
      <c r="E15732" s="36"/>
      <c r="F15732" s="42"/>
      <c r="G15732" s="42"/>
      <c r="H15732" s="42"/>
      <c r="AG15732" s="19"/>
    </row>
    <row r="15733" spans="1:33" ht="14.5" x14ac:dyDescent="0.35">
      <c r="A15733" s="34"/>
      <c r="B15733" s="35"/>
      <c r="C15733" s="36"/>
      <c r="D15733" s="37"/>
      <c r="E15733" s="36"/>
      <c r="F15733" s="42"/>
      <c r="G15733" s="42"/>
      <c r="H15733" s="42"/>
      <c r="AG15733" s="19"/>
    </row>
    <row r="15734" spans="1:33" ht="14.5" x14ac:dyDescent="0.35">
      <c r="A15734" s="34"/>
      <c r="B15734" s="35"/>
      <c r="C15734" s="36"/>
      <c r="D15734" s="37"/>
      <c r="E15734" s="36"/>
      <c r="F15734" s="42"/>
      <c r="G15734" s="42"/>
      <c r="H15734" s="42"/>
      <c r="AG15734" s="19"/>
    </row>
    <row r="15735" spans="1:33" ht="14.5" x14ac:dyDescent="0.35">
      <c r="A15735" s="34"/>
      <c r="B15735" s="35"/>
      <c r="C15735" s="36"/>
      <c r="D15735" s="37"/>
      <c r="E15735" s="36"/>
      <c r="F15735" s="42"/>
      <c r="G15735" s="42"/>
      <c r="H15735" s="42"/>
      <c r="AG15735" s="19"/>
    </row>
    <row r="15736" spans="1:33" ht="14.5" x14ac:dyDescent="0.35">
      <c r="A15736" s="34"/>
      <c r="B15736" s="35"/>
      <c r="C15736" s="36"/>
      <c r="D15736" s="37"/>
      <c r="E15736" s="36"/>
      <c r="F15736" s="42"/>
      <c r="G15736" s="42"/>
      <c r="H15736" s="42"/>
      <c r="AG15736" s="19"/>
    </row>
    <row r="15737" spans="1:33" ht="14.5" x14ac:dyDescent="0.35">
      <c r="A15737" s="34"/>
      <c r="B15737" s="35"/>
      <c r="C15737" s="36"/>
      <c r="D15737" s="37"/>
      <c r="E15737" s="36"/>
      <c r="F15737" s="42"/>
      <c r="G15737" s="42"/>
      <c r="H15737" s="42"/>
      <c r="AG15737" s="19"/>
    </row>
    <row r="15738" spans="1:33" ht="14.5" x14ac:dyDescent="0.35">
      <c r="A15738" s="34"/>
      <c r="B15738" s="35"/>
      <c r="C15738" s="36"/>
      <c r="D15738" s="37"/>
      <c r="E15738" s="36"/>
      <c r="F15738" s="42"/>
      <c r="G15738" s="42"/>
      <c r="H15738" s="42"/>
      <c r="AG15738" s="19"/>
    </row>
    <row r="15739" spans="1:33" ht="14.5" x14ac:dyDescent="0.35">
      <c r="A15739" s="34"/>
      <c r="B15739" s="35"/>
      <c r="C15739" s="36"/>
      <c r="D15739" s="37"/>
      <c r="E15739" s="36"/>
      <c r="F15739" s="42"/>
      <c r="G15739" s="42"/>
      <c r="H15739" s="42"/>
      <c r="AG15739" s="19"/>
    </row>
    <row r="15740" spans="1:33" ht="14.5" x14ac:dyDescent="0.35">
      <c r="A15740" s="34"/>
      <c r="B15740" s="35"/>
      <c r="C15740" s="36"/>
      <c r="D15740" s="37"/>
      <c r="E15740" s="36"/>
      <c r="F15740" s="42"/>
      <c r="G15740" s="42"/>
      <c r="H15740" s="42"/>
      <c r="AG15740" s="19"/>
    </row>
    <row r="15741" spans="1:33" ht="14.5" x14ac:dyDescent="0.35">
      <c r="A15741" s="34"/>
      <c r="B15741" s="35"/>
      <c r="C15741" s="36"/>
      <c r="D15741" s="37"/>
      <c r="E15741" s="36"/>
      <c r="F15741" s="42"/>
      <c r="G15741" s="42"/>
      <c r="H15741" s="42"/>
      <c r="AG15741" s="19"/>
    </row>
    <row r="15742" spans="1:33" ht="14.5" x14ac:dyDescent="0.35">
      <c r="A15742" s="34"/>
      <c r="B15742" s="35"/>
      <c r="C15742" s="36"/>
      <c r="D15742" s="37"/>
      <c r="E15742" s="36"/>
      <c r="F15742" s="42"/>
      <c r="G15742" s="42"/>
      <c r="H15742" s="42"/>
      <c r="AG15742" s="19"/>
    </row>
    <row r="15743" spans="1:33" ht="14.5" x14ac:dyDescent="0.35">
      <c r="A15743" s="34"/>
      <c r="B15743" s="35"/>
      <c r="C15743" s="36"/>
      <c r="D15743" s="37"/>
      <c r="E15743" s="36"/>
      <c r="F15743" s="42"/>
      <c r="G15743" s="42"/>
      <c r="H15743" s="42"/>
      <c r="AG15743" s="19"/>
    </row>
    <row r="15744" spans="1:33" ht="14.5" x14ac:dyDescent="0.35">
      <c r="A15744" s="34"/>
      <c r="B15744" s="35"/>
      <c r="C15744" s="36"/>
      <c r="D15744" s="37"/>
      <c r="E15744" s="36"/>
      <c r="F15744" s="42"/>
      <c r="G15744" s="42"/>
      <c r="H15744" s="42"/>
      <c r="AG15744" s="19"/>
    </row>
    <row r="15745" spans="1:33" ht="14.5" x14ac:dyDescent="0.35">
      <c r="A15745" s="34"/>
      <c r="B15745" s="35"/>
      <c r="C15745" s="36"/>
      <c r="D15745" s="37"/>
      <c r="E15745" s="36"/>
      <c r="F15745" s="42"/>
      <c r="G15745" s="42"/>
      <c r="H15745" s="42"/>
      <c r="AG15745" s="19"/>
    </row>
    <row r="15746" spans="1:33" ht="14.5" x14ac:dyDescent="0.35">
      <c r="A15746" s="34"/>
      <c r="B15746" s="35"/>
      <c r="C15746" s="36"/>
      <c r="D15746" s="37"/>
      <c r="E15746" s="36"/>
      <c r="F15746" s="42"/>
      <c r="G15746" s="42"/>
      <c r="H15746" s="42"/>
      <c r="AG15746" s="19"/>
    </row>
    <row r="15747" spans="1:33" ht="14.5" x14ac:dyDescent="0.35">
      <c r="A15747" s="34"/>
      <c r="B15747" s="35"/>
      <c r="C15747" s="36"/>
      <c r="D15747" s="37"/>
      <c r="E15747" s="36"/>
      <c r="F15747" s="42"/>
      <c r="G15747" s="42"/>
      <c r="H15747" s="42"/>
      <c r="AG15747" s="19"/>
    </row>
    <row r="15748" spans="1:33" ht="14.5" x14ac:dyDescent="0.35">
      <c r="A15748" s="34"/>
      <c r="B15748" s="35"/>
      <c r="C15748" s="36"/>
      <c r="D15748" s="37"/>
      <c r="E15748" s="36"/>
      <c r="F15748" s="42"/>
      <c r="G15748" s="42"/>
      <c r="H15748" s="42"/>
      <c r="AG15748" s="19"/>
    </row>
    <row r="15749" spans="1:33" ht="14.5" x14ac:dyDescent="0.35">
      <c r="A15749" s="34"/>
      <c r="B15749" s="35"/>
      <c r="C15749" s="36"/>
      <c r="D15749" s="37"/>
      <c r="E15749" s="36"/>
      <c r="F15749" s="42"/>
      <c r="G15749" s="42"/>
      <c r="H15749" s="42"/>
      <c r="AG15749" s="19"/>
    </row>
    <row r="15750" spans="1:33" ht="14.5" x14ac:dyDescent="0.35">
      <c r="A15750" s="34"/>
      <c r="B15750" s="35"/>
      <c r="C15750" s="36"/>
      <c r="D15750" s="37"/>
      <c r="E15750" s="36"/>
      <c r="F15750" s="42"/>
      <c r="G15750" s="42"/>
      <c r="H15750" s="42"/>
      <c r="AG15750" s="19"/>
    </row>
    <row r="15751" spans="1:33" ht="14.5" x14ac:dyDescent="0.35">
      <c r="A15751" s="34"/>
      <c r="B15751" s="35"/>
      <c r="C15751" s="36"/>
      <c r="D15751" s="37"/>
      <c r="E15751" s="36"/>
      <c r="F15751" s="42"/>
      <c r="G15751" s="42"/>
      <c r="H15751" s="42"/>
      <c r="AG15751" s="19"/>
    </row>
    <row r="15752" spans="1:33" ht="14.5" x14ac:dyDescent="0.35">
      <c r="A15752" s="34"/>
      <c r="B15752" s="35"/>
      <c r="C15752" s="36"/>
      <c r="D15752" s="37"/>
      <c r="E15752" s="36"/>
      <c r="F15752" s="42"/>
      <c r="G15752" s="42"/>
      <c r="H15752" s="42"/>
      <c r="AG15752" s="19"/>
    </row>
    <row r="15753" spans="1:33" ht="14.5" x14ac:dyDescent="0.35">
      <c r="A15753" s="34"/>
      <c r="B15753" s="35"/>
      <c r="C15753" s="36"/>
      <c r="D15753" s="37"/>
      <c r="E15753" s="36"/>
      <c r="F15753" s="42"/>
      <c r="G15753" s="42"/>
      <c r="H15753" s="42"/>
      <c r="AG15753" s="19"/>
    </row>
    <row r="15754" spans="1:33" ht="14.5" x14ac:dyDescent="0.35">
      <c r="A15754" s="34"/>
      <c r="B15754" s="35"/>
      <c r="C15754" s="36"/>
      <c r="D15754" s="37"/>
      <c r="E15754" s="36"/>
      <c r="F15754" s="42"/>
      <c r="G15754" s="42"/>
      <c r="H15754" s="42"/>
      <c r="AG15754" s="19"/>
    </row>
    <row r="15755" spans="1:33" ht="14.5" x14ac:dyDescent="0.35">
      <c r="A15755" s="34"/>
      <c r="B15755" s="35"/>
      <c r="C15755" s="36"/>
      <c r="D15755" s="37"/>
      <c r="E15755" s="36"/>
      <c r="F15755" s="42"/>
      <c r="G15755" s="42"/>
      <c r="H15755" s="42"/>
      <c r="AG15755" s="19"/>
    </row>
    <row r="15756" spans="1:33" ht="14.5" x14ac:dyDescent="0.35">
      <c r="A15756" s="34"/>
      <c r="B15756" s="35"/>
      <c r="C15756" s="36"/>
      <c r="D15756" s="37"/>
      <c r="E15756" s="36"/>
      <c r="F15756" s="42"/>
      <c r="G15756" s="42"/>
      <c r="H15756" s="42"/>
      <c r="AG15756" s="19"/>
    </row>
    <row r="15757" spans="1:33" ht="14.5" x14ac:dyDescent="0.35">
      <c r="A15757" s="34"/>
      <c r="B15757" s="35"/>
      <c r="C15757" s="36"/>
      <c r="D15757" s="37"/>
      <c r="E15757" s="36"/>
      <c r="F15757" s="42"/>
      <c r="G15757" s="42"/>
      <c r="H15757" s="42"/>
      <c r="AG15757" s="19"/>
    </row>
    <row r="15758" spans="1:33" ht="14.5" x14ac:dyDescent="0.35">
      <c r="A15758" s="34"/>
      <c r="B15758" s="35"/>
      <c r="C15758" s="36"/>
      <c r="D15758" s="37"/>
      <c r="E15758" s="36"/>
      <c r="F15758" s="42"/>
      <c r="G15758" s="42"/>
      <c r="H15758" s="42"/>
      <c r="AG15758" s="19"/>
    </row>
    <row r="15759" spans="1:33" ht="14.5" x14ac:dyDescent="0.35">
      <c r="A15759" s="34"/>
      <c r="B15759" s="35"/>
      <c r="C15759" s="36"/>
      <c r="D15759" s="37"/>
      <c r="E15759" s="36"/>
      <c r="F15759" s="42"/>
      <c r="G15759" s="42"/>
      <c r="H15759" s="42"/>
      <c r="AG15759" s="19"/>
    </row>
    <row r="15760" spans="1:33" ht="14.5" x14ac:dyDescent="0.35">
      <c r="A15760" s="34"/>
      <c r="B15760" s="35"/>
      <c r="C15760" s="36"/>
      <c r="D15760" s="37"/>
      <c r="E15760" s="36"/>
      <c r="F15760" s="42"/>
      <c r="G15760" s="42"/>
      <c r="H15760" s="42"/>
      <c r="AG15760" s="19"/>
    </row>
    <row r="15761" spans="1:33" ht="14.5" x14ac:dyDescent="0.35">
      <c r="A15761" s="34"/>
      <c r="B15761" s="35"/>
      <c r="C15761" s="36"/>
      <c r="D15761" s="37"/>
      <c r="E15761" s="36"/>
      <c r="F15761" s="42"/>
      <c r="G15761" s="42"/>
      <c r="H15761" s="42"/>
      <c r="AG15761" s="19"/>
    </row>
    <row r="15762" spans="1:33" ht="14.5" x14ac:dyDescent="0.35">
      <c r="A15762" s="34"/>
      <c r="B15762" s="35"/>
      <c r="C15762" s="36"/>
      <c r="D15762" s="37"/>
      <c r="E15762" s="36"/>
      <c r="F15762" s="42"/>
      <c r="G15762" s="42"/>
      <c r="H15762" s="42"/>
      <c r="AG15762" s="19"/>
    </row>
    <row r="15763" spans="1:33" ht="14.5" x14ac:dyDescent="0.35">
      <c r="A15763" s="34"/>
      <c r="B15763" s="35"/>
      <c r="C15763" s="36"/>
      <c r="D15763" s="37"/>
      <c r="E15763" s="36"/>
      <c r="F15763" s="42"/>
      <c r="G15763" s="42"/>
      <c r="H15763" s="42"/>
      <c r="AG15763" s="19"/>
    </row>
    <row r="15764" spans="1:33" ht="14.5" x14ac:dyDescent="0.35">
      <c r="A15764" s="34"/>
      <c r="B15764" s="35"/>
      <c r="C15764" s="36"/>
      <c r="D15764" s="37"/>
      <c r="E15764" s="36"/>
      <c r="F15764" s="42"/>
      <c r="G15764" s="42"/>
      <c r="H15764" s="42"/>
      <c r="AG15764" s="19"/>
    </row>
    <row r="15765" spans="1:33" ht="14.5" x14ac:dyDescent="0.35">
      <c r="A15765" s="34"/>
      <c r="B15765" s="35"/>
      <c r="C15765" s="36"/>
      <c r="D15765" s="37"/>
      <c r="E15765" s="36"/>
      <c r="F15765" s="42"/>
      <c r="G15765" s="42"/>
      <c r="H15765" s="42"/>
      <c r="AG15765" s="19"/>
    </row>
    <row r="15766" spans="1:33" ht="14.5" x14ac:dyDescent="0.35">
      <c r="A15766" s="34"/>
      <c r="B15766" s="35"/>
      <c r="C15766" s="36"/>
      <c r="D15766" s="37"/>
      <c r="E15766" s="36"/>
      <c r="F15766" s="42"/>
      <c r="G15766" s="42"/>
      <c r="H15766" s="42"/>
      <c r="AG15766" s="19"/>
    </row>
    <row r="15767" spans="1:33" ht="14.5" x14ac:dyDescent="0.35">
      <c r="A15767" s="34"/>
      <c r="B15767" s="35"/>
      <c r="C15767" s="36"/>
      <c r="D15767" s="37"/>
      <c r="E15767" s="36"/>
      <c r="F15767" s="42"/>
      <c r="G15767" s="42"/>
      <c r="H15767" s="42"/>
      <c r="AG15767" s="19"/>
    </row>
    <row r="15768" spans="1:33" ht="14.5" x14ac:dyDescent="0.35">
      <c r="A15768" s="34"/>
      <c r="B15768" s="35"/>
      <c r="C15768" s="36"/>
      <c r="D15768" s="37"/>
      <c r="E15768" s="36"/>
      <c r="F15768" s="42"/>
      <c r="G15768" s="42"/>
      <c r="H15768" s="42"/>
      <c r="AG15768" s="19"/>
    </row>
    <row r="15769" spans="1:33" ht="14.5" x14ac:dyDescent="0.35">
      <c r="A15769" s="34"/>
      <c r="B15769" s="35"/>
      <c r="C15769" s="36"/>
      <c r="D15769" s="37"/>
      <c r="E15769" s="36"/>
      <c r="F15769" s="42"/>
      <c r="G15769" s="42"/>
      <c r="H15769" s="42"/>
      <c r="AG15769" s="19"/>
    </row>
    <row r="15770" spans="1:33" ht="14.5" x14ac:dyDescent="0.35">
      <c r="A15770" s="34"/>
      <c r="B15770" s="35"/>
      <c r="C15770" s="36"/>
      <c r="D15770" s="37"/>
      <c r="E15770" s="36"/>
      <c r="F15770" s="42"/>
      <c r="G15770" s="42"/>
      <c r="H15770" s="42"/>
      <c r="AG15770" s="19"/>
    </row>
    <row r="15771" spans="1:33" ht="14.5" x14ac:dyDescent="0.35">
      <c r="A15771" s="34"/>
      <c r="B15771" s="35"/>
      <c r="C15771" s="36"/>
      <c r="D15771" s="37"/>
      <c r="E15771" s="36"/>
      <c r="F15771" s="42"/>
      <c r="G15771" s="42"/>
      <c r="H15771" s="42"/>
      <c r="AG15771" s="19"/>
    </row>
    <row r="15772" spans="1:33" ht="14.5" x14ac:dyDescent="0.35">
      <c r="A15772" s="34"/>
      <c r="B15772" s="35"/>
      <c r="C15772" s="36"/>
      <c r="D15772" s="37"/>
      <c r="E15772" s="36"/>
      <c r="F15772" s="42"/>
      <c r="G15772" s="42"/>
      <c r="H15772" s="42"/>
      <c r="AG15772" s="19"/>
    </row>
    <row r="15773" spans="1:33" ht="14.5" x14ac:dyDescent="0.35">
      <c r="A15773" s="34"/>
      <c r="B15773" s="35"/>
      <c r="C15773" s="36"/>
      <c r="D15773" s="37"/>
      <c r="E15773" s="36"/>
      <c r="F15773" s="42"/>
      <c r="G15773" s="42"/>
      <c r="H15773" s="42"/>
      <c r="AG15773" s="19"/>
    </row>
    <row r="15774" spans="1:33" ht="14.5" x14ac:dyDescent="0.35">
      <c r="A15774" s="34"/>
      <c r="B15774" s="35"/>
      <c r="C15774" s="36"/>
      <c r="D15774" s="37"/>
      <c r="E15774" s="36"/>
      <c r="F15774" s="42"/>
      <c r="G15774" s="42"/>
      <c r="H15774" s="42"/>
      <c r="AG15774" s="19"/>
    </row>
    <row r="15775" spans="1:33" ht="14.5" x14ac:dyDescent="0.35">
      <c r="A15775" s="34"/>
      <c r="B15775" s="35"/>
      <c r="C15775" s="36"/>
      <c r="D15775" s="37"/>
      <c r="E15775" s="36"/>
      <c r="F15775" s="42"/>
      <c r="G15775" s="42"/>
      <c r="H15775" s="42"/>
      <c r="AG15775" s="19"/>
    </row>
    <row r="15776" spans="1:33" ht="14.5" x14ac:dyDescent="0.35">
      <c r="A15776" s="34"/>
      <c r="B15776" s="35"/>
      <c r="C15776" s="36"/>
      <c r="D15776" s="37"/>
      <c r="E15776" s="36"/>
      <c r="F15776" s="42"/>
      <c r="G15776" s="42"/>
      <c r="H15776" s="42"/>
      <c r="AG15776" s="19"/>
    </row>
    <row r="15777" spans="1:33" ht="14.5" x14ac:dyDescent="0.35">
      <c r="A15777" s="34"/>
      <c r="B15777" s="35"/>
      <c r="C15777" s="36"/>
      <c r="D15777" s="37"/>
      <c r="E15777" s="36"/>
      <c r="F15777" s="42"/>
      <c r="G15777" s="42"/>
      <c r="H15777" s="42"/>
      <c r="AG15777" s="19"/>
    </row>
    <row r="15778" spans="1:33" ht="14.5" x14ac:dyDescent="0.35">
      <c r="A15778" s="34"/>
      <c r="B15778" s="35"/>
      <c r="C15778" s="36"/>
      <c r="D15778" s="37"/>
      <c r="E15778" s="36"/>
      <c r="F15778" s="42"/>
      <c r="G15778" s="42"/>
      <c r="H15778" s="42"/>
      <c r="AG15778" s="19"/>
    </row>
    <row r="15779" spans="1:33" ht="14.5" x14ac:dyDescent="0.35">
      <c r="A15779" s="34"/>
      <c r="B15779" s="35"/>
      <c r="C15779" s="36"/>
      <c r="D15779" s="37"/>
      <c r="E15779" s="36"/>
      <c r="F15779" s="42"/>
      <c r="G15779" s="42"/>
      <c r="H15779" s="42"/>
      <c r="AG15779" s="19"/>
    </row>
    <row r="15780" spans="1:33" ht="14.5" x14ac:dyDescent="0.35">
      <c r="A15780" s="34"/>
      <c r="B15780" s="35"/>
      <c r="C15780" s="36"/>
      <c r="D15780" s="37"/>
      <c r="E15780" s="36"/>
      <c r="F15780" s="42"/>
      <c r="G15780" s="42"/>
      <c r="H15780" s="42"/>
      <c r="AG15780" s="19"/>
    </row>
    <row r="15781" spans="1:33" ht="14.5" x14ac:dyDescent="0.35">
      <c r="A15781" s="34"/>
      <c r="B15781" s="35"/>
      <c r="C15781" s="36"/>
      <c r="D15781" s="37"/>
      <c r="E15781" s="36"/>
      <c r="F15781" s="42"/>
      <c r="G15781" s="42"/>
      <c r="H15781" s="42"/>
      <c r="AG15781" s="19"/>
    </row>
    <row r="15782" spans="1:33" ht="14.5" x14ac:dyDescent="0.35">
      <c r="A15782" s="34"/>
      <c r="B15782" s="35"/>
      <c r="C15782" s="36"/>
      <c r="D15782" s="37"/>
      <c r="E15782" s="36"/>
      <c r="F15782" s="42"/>
      <c r="G15782" s="42"/>
      <c r="H15782" s="42"/>
      <c r="AG15782" s="19"/>
    </row>
    <row r="15783" spans="1:33" ht="14.5" x14ac:dyDescent="0.35">
      <c r="A15783" s="34"/>
      <c r="B15783" s="35"/>
      <c r="C15783" s="36"/>
      <c r="D15783" s="37"/>
      <c r="E15783" s="36"/>
      <c r="F15783" s="42"/>
      <c r="G15783" s="42"/>
      <c r="H15783" s="42"/>
      <c r="AG15783" s="19"/>
    </row>
    <row r="15784" spans="1:33" ht="14.5" x14ac:dyDescent="0.35">
      <c r="A15784" s="34"/>
      <c r="B15784" s="35"/>
      <c r="C15784" s="36"/>
      <c r="D15784" s="37"/>
      <c r="E15784" s="36"/>
      <c r="F15784" s="42"/>
      <c r="G15784" s="42"/>
      <c r="H15784" s="42"/>
      <c r="AG15784" s="19"/>
    </row>
    <row r="15785" spans="1:33" ht="14.5" x14ac:dyDescent="0.35">
      <c r="A15785" s="34"/>
      <c r="B15785" s="35"/>
      <c r="C15785" s="36"/>
      <c r="D15785" s="37"/>
      <c r="E15785" s="36"/>
      <c r="F15785" s="42"/>
      <c r="G15785" s="42"/>
      <c r="H15785" s="42"/>
      <c r="AG15785" s="19"/>
    </row>
    <row r="15786" spans="1:33" ht="14.5" x14ac:dyDescent="0.35">
      <c r="A15786" s="34"/>
      <c r="B15786" s="35"/>
      <c r="C15786" s="36"/>
      <c r="D15786" s="37"/>
      <c r="E15786" s="36"/>
      <c r="F15786" s="42"/>
      <c r="G15786" s="42"/>
      <c r="H15786" s="42"/>
      <c r="AG15786" s="19"/>
    </row>
    <row r="15787" spans="1:33" ht="14.5" x14ac:dyDescent="0.35">
      <c r="A15787" s="34"/>
      <c r="B15787" s="35"/>
      <c r="C15787" s="36"/>
      <c r="D15787" s="37"/>
      <c r="E15787" s="36"/>
      <c r="F15787" s="42"/>
      <c r="G15787" s="42"/>
      <c r="H15787" s="42"/>
      <c r="AG15787" s="19"/>
    </row>
    <row r="15788" spans="1:33" ht="14.5" x14ac:dyDescent="0.35">
      <c r="A15788" s="34"/>
      <c r="B15788" s="35"/>
      <c r="C15788" s="36"/>
      <c r="D15788" s="37"/>
      <c r="E15788" s="36"/>
      <c r="F15788" s="42"/>
      <c r="G15788" s="42"/>
      <c r="H15788" s="42"/>
      <c r="AG15788" s="19"/>
    </row>
    <row r="15789" spans="1:33" ht="14.5" x14ac:dyDescent="0.35">
      <c r="A15789" s="34"/>
      <c r="B15789" s="35"/>
      <c r="C15789" s="36"/>
      <c r="D15789" s="37"/>
      <c r="E15789" s="36"/>
      <c r="F15789" s="42"/>
      <c r="G15789" s="42"/>
      <c r="H15789" s="42"/>
      <c r="AG15789" s="19"/>
    </row>
    <row r="15790" spans="1:33" ht="14.5" x14ac:dyDescent="0.35">
      <c r="A15790" s="34"/>
      <c r="B15790" s="35"/>
      <c r="C15790" s="36"/>
      <c r="D15790" s="37"/>
      <c r="E15790" s="36"/>
      <c r="F15790" s="42"/>
      <c r="G15790" s="42"/>
      <c r="H15790" s="42"/>
      <c r="AG15790" s="19"/>
    </row>
    <row r="15791" spans="1:33" ht="14.5" x14ac:dyDescent="0.35">
      <c r="A15791" s="34"/>
      <c r="B15791" s="35"/>
      <c r="C15791" s="36"/>
      <c r="D15791" s="37"/>
      <c r="E15791" s="36"/>
      <c r="F15791" s="42"/>
      <c r="G15791" s="42"/>
      <c r="H15791" s="42"/>
      <c r="AG15791" s="19"/>
    </row>
    <row r="15792" spans="1:33" ht="14.5" x14ac:dyDescent="0.35">
      <c r="A15792" s="34"/>
      <c r="B15792" s="35"/>
      <c r="C15792" s="36"/>
      <c r="D15792" s="37"/>
      <c r="E15792" s="36"/>
      <c r="F15792" s="42"/>
      <c r="G15792" s="42"/>
      <c r="H15792" s="42"/>
      <c r="AG15792" s="19"/>
    </row>
    <row r="15793" spans="1:33" ht="14.5" x14ac:dyDescent="0.35">
      <c r="A15793" s="34"/>
      <c r="B15793" s="35"/>
      <c r="C15793" s="36"/>
      <c r="D15793" s="37"/>
      <c r="E15793" s="36"/>
      <c r="F15793" s="42"/>
      <c r="G15793" s="42"/>
      <c r="H15793" s="42"/>
      <c r="AG15793" s="19"/>
    </row>
    <row r="15794" spans="1:33" ht="14.5" x14ac:dyDescent="0.35">
      <c r="A15794" s="34"/>
      <c r="B15794" s="35"/>
      <c r="C15794" s="36"/>
      <c r="D15794" s="37"/>
      <c r="E15794" s="36"/>
      <c r="F15794" s="42"/>
      <c r="G15794" s="42"/>
      <c r="H15794" s="42"/>
      <c r="AG15794" s="19"/>
    </row>
    <row r="15795" spans="1:33" ht="14.5" x14ac:dyDescent="0.35">
      <c r="A15795" s="34"/>
      <c r="B15795" s="35"/>
      <c r="C15795" s="36"/>
      <c r="D15795" s="37"/>
      <c r="E15795" s="36"/>
      <c r="F15795" s="42"/>
      <c r="G15795" s="42"/>
      <c r="H15795" s="42"/>
      <c r="AG15795" s="19"/>
    </row>
    <row r="15796" spans="1:33" ht="14.5" x14ac:dyDescent="0.35">
      <c r="A15796" s="34"/>
      <c r="B15796" s="35"/>
      <c r="C15796" s="36"/>
      <c r="D15796" s="37"/>
      <c r="E15796" s="36"/>
      <c r="F15796" s="42"/>
      <c r="G15796" s="42"/>
      <c r="H15796" s="42"/>
      <c r="AG15796" s="19"/>
    </row>
    <row r="15797" spans="1:33" ht="14.5" x14ac:dyDescent="0.35">
      <c r="A15797" s="34"/>
      <c r="B15797" s="35"/>
      <c r="C15797" s="36"/>
      <c r="D15797" s="37"/>
      <c r="E15797" s="36"/>
      <c r="F15797" s="42"/>
      <c r="G15797" s="42"/>
      <c r="H15797" s="42"/>
      <c r="AG15797" s="19"/>
    </row>
    <row r="15798" spans="1:33" ht="14.5" x14ac:dyDescent="0.35">
      <c r="A15798" s="34"/>
      <c r="B15798" s="35"/>
      <c r="C15798" s="36"/>
      <c r="D15798" s="37"/>
      <c r="E15798" s="36"/>
      <c r="F15798" s="42"/>
      <c r="G15798" s="42"/>
      <c r="H15798" s="42"/>
      <c r="AG15798" s="19"/>
    </row>
    <row r="15799" spans="1:33" ht="14.5" x14ac:dyDescent="0.35">
      <c r="A15799" s="34"/>
      <c r="B15799" s="35"/>
      <c r="C15799" s="36"/>
      <c r="D15799" s="37"/>
      <c r="E15799" s="36"/>
      <c r="F15799" s="42"/>
      <c r="G15799" s="42"/>
      <c r="H15799" s="42"/>
      <c r="AG15799" s="19"/>
    </row>
    <row r="15800" spans="1:33" ht="14.5" x14ac:dyDescent="0.35">
      <c r="A15800" s="34"/>
      <c r="B15800" s="35"/>
      <c r="C15800" s="36"/>
      <c r="D15800" s="37"/>
      <c r="E15800" s="36"/>
      <c r="F15800" s="42"/>
      <c r="G15800" s="42"/>
      <c r="H15800" s="42"/>
      <c r="AG15800" s="19"/>
    </row>
    <row r="15801" spans="1:33" ht="14.5" x14ac:dyDescent="0.35">
      <c r="A15801" s="34"/>
      <c r="B15801" s="35"/>
      <c r="C15801" s="36"/>
      <c r="D15801" s="37"/>
      <c r="E15801" s="36"/>
      <c r="F15801" s="42"/>
      <c r="G15801" s="42"/>
      <c r="H15801" s="42"/>
      <c r="AG15801" s="19"/>
    </row>
    <row r="15802" spans="1:33" ht="14.5" x14ac:dyDescent="0.35">
      <c r="A15802" s="34"/>
      <c r="B15802" s="35"/>
      <c r="C15802" s="36"/>
      <c r="D15802" s="37"/>
      <c r="E15802" s="36"/>
      <c r="F15802" s="42"/>
      <c r="G15802" s="42"/>
      <c r="H15802" s="42"/>
      <c r="AG15802" s="19"/>
    </row>
    <row r="15803" spans="1:33" ht="14.5" x14ac:dyDescent="0.35">
      <c r="A15803" s="34"/>
      <c r="B15803" s="35"/>
      <c r="C15803" s="36"/>
      <c r="D15803" s="37"/>
      <c r="E15803" s="36"/>
      <c r="F15803" s="42"/>
      <c r="G15803" s="42"/>
      <c r="H15803" s="42"/>
      <c r="AG15803" s="19"/>
    </row>
    <row r="15804" spans="1:33" ht="14.5" x14ac:dyDescent="0.35">
      <c r="A15804" s="34"/>
      <c r="B15804" s="35"/>
      <c r="C15804" s="36"/>
      <c r="D15804" s="37"/>
      <c r="E15804" s="36"/>
      <c r="F15804" s="42"/>
      <c r="G15804" s="42"/>
      <c r="H15804" s="42"/>
      <c r="AG15804" s="19"/>
    </row>
    <row r="15805" spans="1:33" ht="14.5" x14ac:dyDescent="0.35">
      <c r="A15805" s="34"/>
      <c r="B15805" s="35"/>
      <c r="C15805" s="36"/>
      <c r="D15805" s="37"/>
      <c r="E15805" s="36"/>
      <c r="F15805" s="42"/>
      <c r="G15805" s="42"/>
      <c r="H15805" s="42"/>
      <c r="AG15805" s="19"/>
    </row>
    <row r="15806" spans="1:33" ht="14.5" x14ac:dyDescent="0.35">
      <c r="A15806" s="34"/>
      <c r="B15806" s="35"/>
      <c r="C15806" s="36"/>
      <c r="D15806" s="37"/>
      <c r="E15806" s="36"/>
      <c r="F15806" s="42"/>
      <c r="G15806" s="42"/>
      <c r="H15806" s="42"/>
      <c r="AG15806" s="19"/>
    </row>
    <row r="15807" spans="1:33" ht="14.5" x14ac:dyDescent="0.35">
      <c r="A15807" s="34"/>
      <c r="B15807" s="35"/>
      <c r="C15807" s="36"/>
      <c r="D15807" s="37"/>
      <c r="E15807" s="36"/>
      <c r="F15807" s="42"/>
      <c r="G15807" s="42"/>
      <c r="H15807" s="42"/>
      <c r="AG15807" s="19"/>
    </row>
    <row r="15808" spans="1:33" ht="14.5" x14ac:dyDescent="0.35">
      <c r="A15808" s="34"/>
      <c r="B15808" s="35"/>
      <c r="C15808" s="36"/>
      <c r="D15808" s="37"/>
      <c r="E15808" s="36"/>
      <c r="F15808" s="42"/>
      <c r="G15808" s="42"/>
      <c r="H15808" s="42"/>
      <c r="AG15808" s="19"/>
    </row>
    <row r="15809" spans="1:33" ht="14.5" x14ac:dyDescent="0.35">
      <c r="A15809" s="34"/>
      <c r="B15809" s="35"/>
      <c r="C15809" s="36"/>
      <c r="D15809" s="37"/>
      <c r="E15809" s="36"/>
      <c r="F15809" s="42"/>
      <c r="G15809" s="42"/>
      <c r="H15809" s="42"/>
      <c r="AG15809" s="19"/>
    </row>
    <row r="15810" spans="1:33" ht="14.5" x14ac:dyDescent="0.35">
      <c r="A15810" s="34"/>
      <c r="B15810" s="35"/>
      <c r="C15810" s="36"/>
      <c r="D15810" s="37"/>
      <c r="E15810" s="36"/>
      <c r="F15810" s="42"/>
      <c r="G15810" s="42"/>
      <c r="H15810" s="42"/>
      <c r="AG15810" s="19"/>
    </row>
    <row r="15811" spans="1:33" ht="14.5" x14ac:dyDescent="0.35">
      <c r="A15811" s="34"/>
      <c r="B15811" s="35"/>
      <c r="C15811" s="36"/>
      <c r="D15811" s="37"/>
      <c r="E15811" s="36"/>
      <c r="F15811" s="42"/>
      <c r="G15811" s="42"/>
      <c r="H15811" s="42"/>
      <c r="AG15811" s="19"/>
    </row>
    <row r="15812" spans="1:33" ht="14.5" x14ac:dyDescent="0.35">
      <c r="A15812" s="34"/>
      <c r="B15812" s="35"/>
      <c r="C15812" s="36"/>
      <c r="D15812" s="37"/>
      <c r="E15812" s="36"/>
      <c r="F15812" s="42"/>
      <c r="G15812" s="42"/>
      <c r="H15812" s="42"/>
      <c r="AG15812" s="19"/>
    </row>
    <row r="15813" spans="1:33" ht="14.5" x14ac:dyDescent="0.35">
      <c r="A15813" s="34"/>
      <c r="B15813" s="35"/>
      <c r="C15813" s="36"/>
      <c r="D15813" s="37"/>
      <c r="E15813" s="36"/>
      <c r="F15813" s="42"/>
      <c r="G15813" s="42"/>
      <c r="H15813" s="42"/>
      <c r="AG15813" s="19"/>
    </row>
    <row r="15814" spans="1:33" ht="14.5" x14ac:dyDescent="0.35">
      <c r="A15814" s="34"/>
      <c r="B15814" s="35"/>
      <c r="C15814" s="36"/>
      <c r="D15814" s="37"/>
      <c r="E15814" s="36"/>
      <c r="F15814" s="42"/>
      <c r="G15814" s="42"/>
      <c r="H15814" s="42"/>
      <c r="AG15814" s="19"/>
    </row>
    <row r="15815" spans="1:33" ht="14.5" x14ac:dyDescent="0.35">
      <c r="A15815" s="34"/>
      <c r="B15815" s="35"/>
      <c r="C15815" s="36"/>
      <c r="D15815" s="37"/>
      <c r="E15815" s="36"/>
      <c r="F15815" s="42"/>
      <c r="G15815" s="42"/>
      <c r="H15815" s="42"/>
      <c r="AG15815" s="19"/>
    </row>
    <row r="15816" spans="1:33" ht="14.5" x14ac:dyDescent="0.35">
      <c r="A15816" s="34"/>
      <c r="B15816" s="35"/>
      <c r="C15816" s="36"/>
      <c r="D15816" s="37"/>
      <c r="E15816" s="36"/>
      <c r="F15816" s="42"/>
      <c r="G15816" s="42"/>
      <c r="H15816" s="42"/>
      <c r="AG15816" s="19"/>
    </row>
    <row r="15817" spans="1:33" ht="14.5" x14ac:dyDescent="0.35">
      <c r="A15817" s="34"/>
      <c r="B15817" s="35"/>
      <c r="C15817" s="36"/>
      <c r="D15817" s="37"/>
      <c r="E15817" s="36"/>
      <c r="F15817" s="42"/>
      <c r="G15817" s="42"/>
      <c r="H15817" s="42"/>
      <c r="AG15817" s="19"/>
    </row>
    <row r="15818" spans="1:33" ht="14.5" x14ac:dyDescent="0.35">
      <c r="A15818" s="34"/>
      <c r="B15818" s="35"/>
      <c r="C15818" s="36"/>
      <c r="D15818" s="37"/>
      <c r="E15818" s="36"/>
      <c r="F15818" s="42"/>
      <c r="G15818" s="42"/>
      <c r="H15818" s="42"/>
      <c r="AG15818" s="19"/>
    </row>
    <row r="15819" spans="1:33" ht="14.5" x14ac:dyDescent="0.35">
      <c r="A15819" s="34"/>
      <c r="B15819" s="35"/>
      <c r="C15819" s="36"/>
      <c r="D15819" s="37"/>
      <c r="E15819" s="36"/>
      <c r="F15819" s="42"/>
      <c r="G15819" s="42"/>
      <c r="H15819" s="42"/>
      <c r="AG15819" s="19"/>
    </row>
    <row r="15820" spans="1:33" ht="14.5" x14ac:dyDescent="0.35">
      <c r="A15820" s="34"/>
      <c r="B15820" s="35"/>
      <c r="C15820" s="36"/>
      <c r="D15820" s="37"/>
      <c r="E15820" s="36"/>
      <c r="F15820" s="42"/>
      <c r="G15820" s="42"/>
      <c r="H15820" s="42"/>
      <c r="AG15820" s="19"/>
    </row>
    <row r="15821" spans="1:33" ht="14.5" x14ac:dyDescent="0.35">
      <c r="A15821" s="34"/>
      <c r="B15821" s="35"/>
      <c r="C15821" s="36"/>
      <c r="D15821" s="37"/>
      <c r="E15821" s="36"/>
      <c r="F15821" s="42"/>
      <c r="G15821" s="42"/>
      <c r="H15821" s="42"/>
      <c r="AG15821" s="19"/>
    </row>
    <row r="15822" spans="1:33" ht="14.5" x14ac:dyDescent="0.35">
      <c r="A15822" s="34"/>
      <c r="B15822" s="35"/>
      <c r="C15822" s="36"/>
      <c r="D15822" s="37"/>
      <c r="E15822" s="36"/>
      <c r="F15822" s="42"/>
      <c r="G15822" s="42"/>
      <c r="H15822" s="42"/>
      <c r="AG15822" s="19"/>
    </row>
    <row r="15823" spans="1:33" ht="14.5" x14ac:dyDescent="0.35">
      <c r="A15823" s="34"/>
      <c r="B15823" s="35"/>
      <c r="C15823" s="36"/>
      <c r="D15823" s="37"/>
      <c r="E15823" s="36"/>
      <c r="F15823" s="42"/>
      <c r="G15823" s="42"/>
      <c r="H15823" s="42"/>
      <c r="AG15823" s="19"/>
    </row>
    <row r="15824" spans="1:33" ht="14.5" x14ac:dyDescent="0.35">
      <c r="A15824" s="34"/>
      <c r="B15824" s="35"/>
      <c r="C15824" s="36"/>
      <c r="D15824" s="37"/>
      <c r="E15824" s="36"/>
      <c r="F15824" s="42"/>
      <c r="G15824" s="42"/>
      <c r="H15824" s="42"/>
      <c r="AG15824" s="19"/>
    </row>
    <row r="15825" spans="1:33" ht="14.5" x14ac:dyDescent="0.35">
      <c r="A15825" s="34"/>
      <c r="B15825" s="35"/>
      <c r="C15825" s="36"/>
      <c r="D15825" s="37"/>
      <c r="E15825" s="36"/>
      <c r="F15825" s="42"/>
      <c r="G15825" s="42"/>
      <c r="H15825" s="42"/>
      <c r="AG15825" s="19"/>
    </row>
    <row r="15826" spans="1:33" ht="14.5" x14ac:dyDescent="0.35">
      <c r="A15826" s="34"/>
      <c r="B15826" s="35"/>
      <c r="C15826" s="36"/>
      <c r="D15826" s="37"/>
      <c r="E15826" s="36"/>
      <c r="F15826" s="42"/>
      <c r="G15826" s="42"/>
      <c r="H15826" s="42"/>
      <c r="AG15826" s="19"/>
    </row>
    <row r="15827" spans="1:33" ht="14.5" x14ac:dyDescent="0.35">
      <c r="A15827" s="34"/>
      <c r="B15827" s="35"/>
      <c r="C15827" s="36"/>
      <c r="D15827" s="37"/>
      <c r="E15827" s="36"/>
      <c r="F15827" s="42"/>
      <c r="G15827" s="42"/>
      <c r="H15827" s="42"/>
      <c r="AG15827" s="19"/>
    </row>
    <row r="15828" spans="1:33" ht="14.5" x14ac:dyDescent="0.35">
      <c r="A15828" s="34"/>
      <c r="B15828" s="35"/>
      <c r="C15828" s="36"/>
      <c r="D15828" s="37"/>
      <c r="E15828" s="36"/>
      <c r="F15828" s="42"/>
      <c r="G15828" s="42"/>
      <c r="H15828" s="42"/>
      <c r="AG15828" s="19"/>
    </row>
    <row r="15829" spans="1:33" ht="14.5" x14ac:dyDescent="0.35">
      <c r="A15829" s="34"/>
      <c r="B15829" s="35"/>
      <c r="C15829" s="36"/>
      <c r="D15829" s="37"/>
      <c r="E15829" s="36"/>
      <c r="F15829" s="42"/>
      <c r="G15829" s="42"/>
      <c r="H15829" s="42"/>
      <c r="AG15829" s="19"/>
    </row>
    <row r="15830" spans="1:33" ht="14.5" x14ac:dyDescent="0.35">
      <c r="A15830" s="34"/>
      <c r="B15830" s="35"/>
      <c r="C15830" s="36"/>
      <c r="D15830" s="37"/>
      <c r="E15830" s="36"/>
      <c r="F15830" s="42"/>
      <c r="G15830" s="42"/>
      <c r="H15830" s="42"/>
      <c r="AG15830" s="19"/>
    </row>
    <row r="15831" spans="1:33" ht="14.5" x14ac:dyDescent="0.35">
      <c r="A15831" s="34"/>
      <c r="B15831" s="35"/>
      <c r="C15831" s="36"/>
      <c r="D15831" s="37"/>
      <c r="E15831" s="36"/>
      <c r="F15831" s="42"/>
      <c r="G15831" s="42"/>
      <c r="H15831" s="42"/>
      <c r="AG15831" s="19"/>
    </row>
    <row r="15832" spans="1:33" ht="14.5" x14ac:dyDescent="0.35">
      <c r="A15832" s="34"/>
      <c r="B15832" s="35"/>
      <c r="C15832" s="36"/>
      <c r="D15832" s="37"/>
      <c r="E15832" s="36"/>
      <c r="F15832" s="42"/>
      <c r="G15832" s="42"/>
      <c r="H15832" s="42"/>
      <c r="AG15832" s="19"/>
    </row>
    <row r="15833" spans="1:33" ht="14.5" x14ac:dyDescent="0.35">
      <c r="A15833" s="34"/>
      <c r="B15833" s="35"/>
      <c r="C15833" s="36"/>
      <c r="D15833" s="37"/>
      <c r="E15833" s="36"/>
      <c r="F15833" s="42"/>
      <c r="G15833" s="42"/>
      <c r="H15833" s="42"/>
      <c r="AG15833" s="19"/>
    </row>
    <row r="15834" spans="1:33" ht="14.5" x14ac:dyDescent="0.35">
      <c r="A15834" s="34"/>
      <c r="B15834" s="35"/>
      <c r="C15834" s="36"/>
      <c r="D15834" s="37"/>
      <c r="E15834" s="36"/>
      <c r="F15834" s="42"/>
      <c r="G15834" s="42"/>
      <c r="H15834" s="42"/>
      <c r="AG15834" s="19"/>
    </row>
    <row r="15835" spans="1:33" ht="14.5" x14ac:dyDescent="0.35">
      <c r="A15835" s="34"/>
      <c r="B15835" s="35"/>
      <c r="C15835" s="36"/>
      <c r="D15835" s="37"/>
      <c r="E15835" s="36"/>
      <c r="F15835" s="42"/>
      <c r="G15835" s="42"/>
      <c r="H15835" s="42"/>
      <c r="AG15835" s="19"/>
    </row>
    <row r="15836" spans="1:33" ht="14.5" x14ac:dyDescent="0.35">
      <c r="A15836" s="34"/>
      <c r="B15836" s="35"/>
      <c r="C15836" s="36"/>
      <c r="D15836" s="37"/>
      <c r="E15836" s="36"/>
      <c r="F15836" s="42"/>
      <c r="G15836" s="42"/>
      <c r="H15836" s="42"/>
      <c r="AG15836" s="19"/>
    </row>
    <row r="15837" spans="1:33" ht="14.5" x14ac:dyDescent="0.35">
      <c r="A15837" s="34"/>
      <c r="B15837" s="35"/>
      <c r="C15837" s="36"/>
      <c r="D15837" s="37"/>
      <c r="E15837" s="36"/>
      <c r="F15837" s="42"/>
      <c r="G15837" s="42"/>
      <c r="H15837" s="42"/>
      <c r="AG15837" s="19"/>
    </row>
    <row r="15838" spans="1:33" ht="14.5" x14ac:dyDescent="0.35">
      <c r="A15838" s="34"/>
      <c r="B15838" s="35"/>
      <c r="C15838" s="36"/>
      <c r="D15838" s="37"/>
      <c r="E15838" s="36"/>
      <c r="F15838" s="42"/>
      <c r="G15838" s="42"/>
      <c r="H15838" s="42"/>
      <c r="AG15838" s="19"/>
    </row>
    <row r="15839" spans="1:33" ht="14.5" x14ac:dyDescent="0.35">
      <c r="A15839" s="34"/>
      <c r="B15839" s="35"/>
      <c r="C15839" s="36"/>
      <c r="D15839" s="37"/>
      <c r="E15839" s="36"/>
      <c r="F15839" s="42"/>
      <c r="G15839" s="42"/>
      <c r="H15839" s="42"/>
      <c r="AG15839" s="19"/>
    </row>
    <row r="15840" spans="1:33" ht="14.5" x14ac:dyDescent="0.35">
      <c r="A15840" s="34"/>
      <c r="B15840" s="35"/>
      <c r="C15840" s="36"/>
      <c r="D15840" s="37"/>
      <c r="E15840" s="36"/>
      <c r="F15840" s="42"/>
      <c r="G15840" s="42"/>
      <c r="H15840" s="42"/>
      <c r="AG15840" s="19"/>
    </row>
    <row r="15841" spans="1:33" ht="14.5" x14ac:dyDescent="0.35">
      <c r="A15841" s="34"/>
      <c r="B15841" s="35"/>
      <c r="C15841" s="36"/>
      <c r="D15841" s="37"/>
      <c r="E15841" s="36"/>
      <c r="F15841" s="42"/>
      <c r="G15841" s="42"/>
      <c r="H15841" s="42"/>
      <c r="AG15841" s="19"/>
    </row>
    <row r="15842" spans="1:33" ht="14.5" x14ac:dyDescent="0.35">
      <c r="A15842" s="34"/>
      <c r="B15842" s="35"/>
      <c r="C15842" s="36"/>
      <c r="D15842" s="37"/>
      <c r="E15842" s="36"/>
      <c r="F15842" s="42"/>
      <c r="G15842" s="42"/>
      <c r="H15842" s="42"/>
      <c r="AG15842" s="19"/>
    </row>
    <row r="15843" spans="1:33" ht="14.5" x14ac:dyDescent="0.35">
      <c r="A15843" s="34"/>
      <c r="B15843" s="35"/>
      <c r="C15843" s="36"/>
      <c r="D15843" s="37"/>
      <c r="E15843" s="36"/>
      <c r="F15843" s="42"/>
      <c r="G15843" s="42"/>
      <c r="H15843" s="42"/>
      <c r="AG15843" s="19"/>
    </row>
    <row r="15844" spans="1:33" ht="14.5" x14ac:dyDescent="0.35">
      <c r="A15844" s="34"/>
      <c r="B15844" s="35"/>
      <c r="C15844" s="36"/>
      <c r="D15844" s="37"/>
      <c r="E15844" s="36"/>
      <c r="F15844" s="42"/>
      <c r="G15844" s="42"/>
      <c r="H15844" s="42"/>
      <c r="AG15844" s="19"/>
    </row>
    <row r="15845" spans="1:33" ht="14.5" x14ac:dyDescent="0.35">
      <c r="A15845" s="34"/>
      <c r="B15845" s="35"/>
      <c r="C15845" s="36"/>
      <c r="D15845" s="37"/>
      <c r="E15845" s="36"/>
      <c r="F15845" s="42"/>
      <c r="G15845" s="42"/>
      <c r="H15845" s="42"/>
      <c r="AG15845" s="19"/>
    </row>
    <row r="15846" spans="1:33" ht="14.5" x14ac:dyDescent="0.35">
      <c r="A15846" s="34"/>
      <c r="B15846" s="35"/>
      <c r="C15846" s="36"/>
      <c r="D15846" s="37"/>
      <c r="E15846" s="36"/>
      <c r="F15846" s="42"/>
      <c r="G15846" s="42"/>
      <c r="H15846" s="42"/>
      <c r="AG15846" s="19"/>
    </row>
    <row r="15847" spans="1:33" ht="14.5" x14ac:dyDescent="0.35">
      <c r="A15847" s="34"/>
      <c r="B15847" s="35"/>
      <c r="C15847" s="36"/>
      <c r="D15847" s="37"/>
      <c r="E15847" s="36"/>
      <c r="F15847" s="42"/>
      <c r="G15847" s="42"/>
      <c r="H15847" s="42"/>
      <c r="AG15847" s="19"/>
    </row>
    <row r="15848" spans="1:33" ht="14.5" x14ac:dyDescent="0.35">
      <c r="A15848" s="34"/>
      <c r="B15848" s="35"/>
      <c r="C15848" s="36"/>
      <c r="D15848" s="37"/>
      <c r="E15848" s="36"/>
      <c r="F15848" s="42"/>
      <c r="G15848" s="42"/>
      <c r="H15848" s="42"/>
      <c r="AG15848" s="19"/>
    </row>
    <row r="15849" spans="1:33" ht="14.5" x14ac:dyDescent="0.35">
      <c r="A15849" s="34"/>
      <c r="B15849" s="35"/>
      <c r="C15849" s="36"/>
      <c r="D15849" s="37"/>
      <c r="E15849" s="36"/>
      <c r="F15849" s="42"/>
      <c r="G15849" s="42"/>
      <c r="H15849" s="42"/>
      <c r="AG15849" s="19"/>
    </row>
    <row r="15850" spans="1:33" ht="14.5" x14ac:dyDescent="0.35">
      <c r="A15850" s="34"/>
      <c r="B15850" s="35"/>
      <c r="C15850" s="36"/>
      <c r="D15850" s="37"/>
      <c r="E15850" s="36"/>
      <c r="F15850" s="42"/>
      <c r="G15850" s="42"/>
      <c r="H15850" s="42"/>
      <c r="AG15850" s="19"/>
    </row>
    <row r="15851" spans="1:33" ht="14.5" x14ac:dyDescent="0.35">
      <c r="A15851" s="34"/>
      <c r="B15851" s="35"/>
      <c r="C15851" s="36"/>
      <c r="D15851" s="37"/>
      <c r="E15851" s="36"/>
      <c r="F15851" s="42"/>
      <c r="G15851" s="42"/>
      <c r="H15851" s="42"/>
      <c r="AG15851" s="19"/>
    </row>
    <row r="15852" spans="1:33" ht="14.5" x14ac:dyDescent="0.35">
      <c r="A15852" s="34"/>
      <c r="B15852" s="35"/>
      <c r="C15852" s="36"/>
      <c r="D15852" s="37"/>
      <c r="E15852" s="36"/>
      <c r="F15852" s="42"/>
      <c r="G15852" s="42"/>
      <c r="H15852" s="42"/>
      <c r="AG15852" s="19"/>
    </row>
    <row r="15853" spans="1:33" ht="14.5" x14ac:dyDescent="0.35">
      <c r="A15853" s="34"/>
      <c r="B15853" s="35"/>
      <c r="C15853" s="36"/>
      <c r="D15853" s="37"/>
      <c r="E15853" s="36"/>
      <c r="F15853" s="42"/>
      <c r="G15853" s="42"/>
      <c r="H15853" s="42"/>
      <c r="AG15853" s="19"/>
    </row>
    <row r="15854" spans="1:33" ht="14.5" x14ac:dyDescent="0.35">
      <c r="A15854" s="34"/>
      <c r="B15854" s="35"/>
      <c r="C15854" s="36"/>
      <c r="D15854" s="37"/>
      <c r="E15854" s="36"/>
      <c r="F15854" s="42"/>
      <c r="G15854" s="42"/>
      <c r="H15854" s="42"/>
      <c r="AG15854" s="19"/>
    </row>
    <row r="15855" spans="1:33" ht="14.5" x14ac:dyDescent="0.35">
      <c r="A15855" s="34"/>
      <c r="B15855" s="35"/>
      <c r="C15855" s="36"/>
      <c r="D15855" s="37"/>
      <c r="E15855" s="36"/>
      <c r="F15855" s="42"/>
      <c r="G15855" s="42"/>
      <c r="H15855" s="42"/>
      <c r="AG15855" s="19"/>
    </row>
    <row r="15856" spans="1:33" ht="14.5" x14ac:dyDescent="0.35">
      <c r="A15856" s="34"/>
      <c r="B15856" s="35"/>
      <c r="C15856" s="36"/>
      <c r="D15856" s="37"/>
      <c r="E15856" s="36"/>
      <c r="F15856" s="42"/>
      <c r="G15856" s="42"/>
      <c r="H15856" s="42"/>
      <c r="AG15856" s="19"/>
    </row>
    <row r="15857" spans="1:33" ht="14.5" x14ac:dyDescent="0.35">
      <c r="A15857" s="34"/>
      <c r="B15857" s="35"/>
      <c r="C15857" s="36"/>
      <c r="D15857" s="37"/>
      <c r="E15857" s="36"/>
      <c r="F15857" s="42"/>
      <c r="G15857" s="42"/>
      <c r="H15857" s="42"/>
      <c r="AG15857" s="19"/>
    </row>
    <row r="15858" spans="1:33" ht="14.5" x14ac:dyDescent="0.35">
      <c r="A15858" s="34"/>
      <c r="B15858" s="35"/>
      <c r="C15858" s="36"/>
      <c r="D15858" s="37"/>
      <c r="E15858" s="36"/>
      <c r="F15858" s="42"/>
      <c r="G15858" s="42"/>
      <c r="H15858" s="42"/>
      <c r="AG15858" s="19"/>
    </row>
    <row r="15859" spans="1:33" ht="14.5" x14ac:dyDescent="0.35">
      <c r="A15859" s="34"/>
      <c r="B15859" s="35"/>
      <c r="C15859" s="36"/>
      <c r="D15859" s="37"/>
      <c r="E15859" s="36"/>
      <c r="F15859" s="42"/>
      <c r="G15859" s="42"/>
      <c r="H15859" s="42"/>
      <c r="AG15859" s="19"/>
    </row>
    <row r="15860" spans="1:33" ht="14.5" x14ac:dyDescent="0.35">
      <c r="A15860" s="34"/>
      <c r="B15860" s="35"/>
      <c r="C15860" s="36"/>
      <c r="D15860" s="37"/>
      <c r="E15860" s="36"/>
      <c r="F15860" s="42"/>
      <c r="G15860" s="42"/>
      <c r="H15860" s="42"/>
      <c r="AG15860" s="19"/>
    </row>
    <row r="15861" spans="1:33" ht="14.5" x14ac:dyDescent="0.35">
      <c r="A15861" s="34"/>
      <c r="B15861" s="35"/>
      <c r="C15861" s="36"/>
      <c r="D15861" s="37"/>
      <c r="E15861" s="36"/>
      <c r="F15861" s="42"/>
      <c r="G15861" s="42"/>
      <c r="H15861" s="42"/>
      <c r="AG15861" s="19"/>
    </row>
    <row r="15862" spans="1:33" ht="14.5" x14ac:dyDescent="0.35">
      <c r="A15862" s="34"/>
      <c r="B15862" s="35"/>
      <c r="C15862" s="36"/>
      <c r="D15862" s="37"/>
      <c r="E15862" s="36"/>
      <c r="F15862" s="42"/>
      <c r="G15862" s="42"/>
      <c r="H15862" s="42"/>
      <c r="AG15862" s="19"/>
    </row>
    <row r="15863" spans="1:33" ht="14.5" x14ac:dyDescent="0.35">
      <c r="A15863" s="34"/>
      <c r="B15863" s="35"/>
      <c r="C15863" s="36"/>
      <c r="D15863" s="37"/>
      <c r="E15863" s="36"/>
      <c r="F15863" s="42"/>
      <c r="G15863" s="42"/>
      <c r="H15863" s="42"/>
      <c r="AG15863" s="19"/>
    </row>
    <row r="15864" spans="1:33" ht="14.5" x14ac:dyDescent="0.35">
      <c r="A15864" s="34"/>
      <c r="B15864" s="35"/>
      <c r="C15864" s="36"/>
      <c r="D15864" s="37"/>
      <c r="E15864" s="36"/>
      <c r="F15864" s="42"/>
      <c r="G15864" s="42"/>
      <c r="H15864" s="42"/>
      <c r="AG15864" s="19"/>
    </row>
    <row r="15865" spans="1:33" ht="14.5" x14ac:dyDescent="0.35">
      <c r="A15865" s="34"/>
      <c r="B15865" s="35"/>
      <c r="C15865" s="36"/>
      <c r="D15865" s="37"/>
      <c r="E15865" s="36"/>
      <c r="F15865" s="42"/>
      <c r="G15865" s="42"/>
      <c r="H15865" s="42"/>
      <c r="AG15865" s="19"/>
    </row>
    <row r="15866" spans="1:33" ht="14.5" x14ac:dyDescent="0.35">
      <c r="A15866" s="34"/>
      <c r="B15866" s="35"/>
      <c r="C15866" s="36"/>
      <c r="D15866" s="37"/>
      <c r="E15866" s="36"/>
      <c r="F15866" s="42"/>
      <c r="G15866" s="42"/>
      <c r="H15866" s="42"/>
      <c r="AG15866" s="19"/>
    </row>
    <row r="15867" spans="1:33" ht="14.5" x14ac:dyDescent="0.35">
      <c r="A15867" s="34"/>
      <c r="B15867" s="35"/>
      <c r="C15867" s="36"/>
      <c r="D15867" s="37"/>
      <c r="E15867" s="36"/>
      <c r="F15867" s="42"/>
      <c r="G15867" s="42"/>
      <c r="H15867" s="42"/>
      <c r="AG15867" s="19"/>
    </row>
    <row r="15868" spans="1:33" ht="14.5" x14ac:dyDescent="0.35">
      <c r="A15868" s="34"/>
      <c r="B15868" s="35"/>
      <c r="C15868" s="36"/>
      <c r="D15868" s="37"/>
      <c r="E15868" s="36"/>
      <c r="F15868" s="42"/>
      <c r="G15868" s="42"/>
      <c r="H15868" s="42"/>
      <c r="AG15868" s="19"/>
    </row>
    <row r="15869" spans="1:33" ht="14.5" x14ac:dyDescent="0.35">
      <c r="A15869" s="34"/>
      <c r="B15869" s="35"/>
      <c r="C15869" s="36"/>
      <c r="D15869" s="37"/>
      <c r="E15869" s="36"/>
      <c r="F15869" s="42"/>
      <c r="G15869" s="42"/>
      <c r="H15869" s="42"/>
      <c r="AG15869" s="19"/>
    </row>
    <row r="15870" spans="1:33" ht="14.5" x14ac:dyDescent="0.35">
      <c r="A15870" s="34"/>
      <c r="B15870" s="35"/>
      <c r="C15870" s="36"/>
      <c r="D15870" s="37"/>
      <c r="E15870" s="36"/>
      <c r="F15870" s="42"/>
      <c r="G15870" s="42"/>
      <c r="H15870" s="42"/>
      <c r="AG15870" s="19"/>
    </row>
    <row r="15871" spans="1:33" ht="14.5" x14ac:dyDescent="0.35">
      <c r="A15871" s="34"/>
      <c r="B15871" s="35"/>
      <c r="C15871" s="36"/>
      <c r="D15871" s="37"/>
      <c r="E15871" s="36"/>
      <c r="F15871" s="42"/>
      <c r="G15871" s="42"/>
      <c r="H15871" s="42"/>
      <c r="AG15871" s="19"/>
    </row>
    <row r="15872" spans="1:33" ht="14.5" x14ac:dyDescent="0.35">
      <c r="A15872" s="34"/>
      <c r="B15872" s="35"/>
      <c r="C15872" s="36"/>
      <c r="D15872" s="37"/>
      <c r="E15872" s="36"/>
      <c r="F15872" s="42"/>
      <c r="G15872" s="42"/>
      <c r="H15872" s="42"/>
      <c r="AG15872" s="19"/>
    </row>
    <row r="15873" spans="1:33" ht="14.5" x14ac:dyDescent="0.35">
      <c r="A15873" s="34"/>
      <c r="B15873" s="35"/>
      <c r="C15873" s="36"/>
      <c r="D15873" s="37"/>
      <c r="E15873" s="36"/>
      <c r="F15873" s="42"/>
      <c r="G15873" s="42"/>
      <c r="H15873" s="42"/>
      <c r="AG15873" s="19"/>
    </row>
    <row r="15874" spans="1:33" ht="14.5" x14ac:dyDescent="0.35">
      <c r="A15874" s="34"/>
      <c r="B15874" s="35"/>
      <c r="C15874" s="36"/>
      <c r="D15874" s="37"/>
      <c r="E15874" s="36"/>
      <c r="F15874" s="42"/>
      <c r="G15874" s="42"/>
      <c r="H15874" s="42"/>
      <c r="AG15874" s="19"/>
    </row>
    <row r="15875" spans="1:33" ht="14.5" x14ac:dyDescent="0.35">
      <c r="A15875" s="34"/>
      <c r="B15875" s="35"/>
      <c r="C15875" s="36"/>
      <c r="D15875" s="37"/>
      <c r="E15875" s="36"/>
      <c r="F15875" s="42"/>
      <c r="G15875" s="42"/>
      <c r="H15875" s="42"/>
      <c r="AG15875" s="19"/>
    </row>
    <row r="15876" spans="1:33" ht="14.5" x14ac:dyDescent="0.35">
      <c r="A15876" s="34"/>
      <c r="B15876" s="35"/>
      <c r="C15876" s="36"/>
      <c r="D15876" s="37"/>
      <c r="E15876" s="36"/>
      <c r="F15876" s="42"/>
      <c r="G15876" s="42"/>
      <c r="H15876" s="42"/>
      <c r="AG15876" s="19"/>
    </row>
    <row r="15877" spans="1:33" ht="14.5" x14ac:dyDescent="0.35">
      <c r="A15877" s="34"/>
      <c r="B15877" s="35"/>
      <c r="C15877" s="36"/>
      <c r="D15877" s="37"/>
      <c r="E15877" s="36"/>
      <c r="F15877" s="42"/>
      <c r="G15877" s="42"/>
      <c r="H15877" s="42"/>
      <c r="AG15877" s="19"/>
    </row>
    <row r="15878" spans="1:33" ht="14.5" x14ac:dyDescent="0.35">
      <c r="A15878" s="34"/>
      <c r="B15878" s="35"/>
      <c r="C15878" s="36"/>
      <c r="D15878" s="37"/>
      <c r="E15878" s="36"/>
      <c r="F15878" s="42"/>
      <c r="G15878" s="42"/>
      <c r="H15878" s="42"/>
      <c r="AG15878" s="19"/>
    </row>
    <row r="15879" spans="1:33" ht="14.5" x14ac:dyDescent="0.35">
      <c r="A15879" s="34"/>
      <c r="B15879" s="35"/>
      <c r="C15879" s="36"/>
      <c r="D15879" s="37"/>
      <c r="E15879" s="36"/>
      <c r="F15879" s="42"/>
      <c r="G15879" s="42"/>
      <c r="H15879" s="42"/>
      <c r="AG15879" s="19"/>
    </row>
    <row r="15880" spans="1:33" ht="14.5" x14ac:dyDescent="0.35">
      <c r="A15880" s="34"/>
      <c r="B15880" s="35"/>
      <c r="C15880" s="36"/>
      <c r="D15880" s="37"/>
      <c r="E15880" s="36"/>
      <c r="F15880" s="42"/>
      <c r="G15880" s="42"/>
      <c r="H15880" s="42"/>
      <c r="AG15880" s="19"/>
    </row>
    <row r="15881" spans="1:33" ht="14.5" x14ac:dyDescent="0.35">
      <c r="A15881" s="34"/>
      <c r="B15881" s="35"/>
      <c r="C15881" s="36"/>
      <c r="D15881" s="37"/>
      <c r="E15881" s="36"/>
      <c r="F15881" s="42"/>
      <c r="G15881" s="42"/>
      <c r="H15881" s="42"/>
      <c r="AG15881" s="19"/>
    </row>
    <row r="15882" spans="1:33" ht="14.5" x14ac:dyDescent="0.35">
      <c r="A15882" s="34"/>
      <c r="B15882" s="35"/>
      <c r="C15882" s="36"/>
      <c r="D15882" s="37"/>
      <c r="E15882" s="36"/>
      <c r="F15882" s="42"/>
      <c r="G15882" s="42"/>
      <c r="H15882" s="42"/>
      <c r="AG15882" s="19"/>
    </row>
    <row r="15883" spans="1:33" ht="14.5" x14ac:dyDescent="0.35">
      <c r="A15883" s="34"/>
      <c r="B15883" s="35"/>
      <c r="C15883" s="36"/>
      <c r="D15883" s="37"/>
      <c r="E15883" s="36"/>
      <c r="F15883" s="42"/>
      <c r="G15883" s="42"/>
      <c r="H15883" s="42"/>
      <c r="AG15883" s="19"/>
    </row>
    <row r="15884" spans="1:33" ht="14.5" x14ac:dyDescent="0.35">
      <c r="A15884" s="34"/>
      <c r="B15884" s="35"/>
      <c r="C15884" s="36"/>
      <c r="D15884" s="37"/>
      <c r="E15884" s="36"/>
      <c r="F15884" s="42"/>
      <c r="G15884" s="42"/>
      <c r="H15884" s="42"/>
      <c r="AG15884" s="19"/>
    </row>
    <row r="15885" spans="1:33" ht="14.5" x14ac:dyDescent="0.35">
      <c r="A15885" s="34"/>
      <c r="B15885" s="35"/>
      <c r="C15885" s="36"/>
      <c r="D15885" s="37"/>
      <c r="E15885" s="36"/>
      <c r="F15885" s="42"/>
      <c r="G15885" s="42"/>
      <c r="H15885" s="42"/>
      <c r="AG15885" s="19"/>
    </row>
    <row r="15886" spans="1:33" ht="14.5" x14ac:dyDescent="0.35">
      <c r="A15886" s="34"/>
      <c r="B15886" s="35"/>
      <c r="C15886" s="36"/>
      <c r="D15886" s="37"/>
      <c r="E15886" s="36"/>
      <c r="F15886" s="42"/>
      <c r="G15886" s="42"/>
      <c r="H15886" s="42"/>
      <c r="AG15886" s="19"/>
    </row>
    <row r="15887" spans="1:33" ht="14.5" x14ac:dyDescent="0.35">
      <c r="A15887" s="34"/>
      <c r="B15887" s="35"/>
      <c r="C15887" s="36"/>
      <c r="D15887" s="37"/>
      <c r="E15887" s="36"/>
      <c r="F15887" s="42"/>
      <c r="G15887" s="42"/>
      <c r="H15887" s="42"/>
      <c r="AG15887" s="19"/>
    </row>
    <row r="15888" spans="1:33" ht="14.5" x14ac:dyDescent="0.35">
      <c r="A15888" s="34"/>
      <c r="B15888" s="35"/>
      <c r="C15888" s="36"/>
      <c r="D15888" s="37"/>
      <c r="E15888" s="36"/>
      <c r="F15888" s="42"/>
      <c r="G15888" s="42"/>
      <c r="H15888" s="42"/>
      <c r="AG15888" s="19"/>
    </row>
    <row r="15889" spans="1:33" ht="14.5" x14ac:dyDescent="0.35">
      <c r="A15889" s="34"/>
      <c r="B15889" s="35"/>
      <c r="C15889" s="36"/>
      <c r="D15889" s="37"/>
      <c r="E15889" s="36"/>
      <c r="F15889" s="42"/>
      <c r="G15889" s="42"/>
      <c r="H15889" s="42"/>
      <c r="AG15889" s="19"/>
    </row>
    <row r="15890" spans="1:33" ht="14.5" x14ac:dyDescent="0.35">
      <c r="A15890" s="34"/>
      <c r="B15890" s="35"/>
      <c r="C15890" s="36"/>
      <c r="D15890" s="37"/>
      <c r="E15890" s="36"/>
      <c r="F15890" s="42"/>
      <c r="G15890" s="42"/>
      <c r="H15890" s="42"/>
      <c r="AG15890" s="19"/>
    </row>
    <row r="15891" spans="1:33" ht="14.5" x14ac:dyDescent="0.35">
      <c r="A15891" s="34"/>
      <c r="B15891" s="35"/>
      <c r="C15891" s="36"/>
      <c r="D15891" s="37"/>
      <c r="E15891" s="36"/>
      <c r="F15891" s="42"/>
      <c r="G15891" s="42"/>
      <c r="H15891" s="42"/>
      <c r="AG15891" s="19"/>
    </row>
    <row r="15892" spans="1:33" ht="14.5" x14ac:dyDescent="0.35">
      <c r="A15892" s="34"/>
      <c r="B15892" s="35"/>
      <c r="C15892" s="36"/>
      <c r="D15892" s="37"/>
      <c r="E15892" s="36"/>
      <c r="F15892" s="42"/>
      <c r="G15892" s="42"/>
      <c r="H15892" s="42"/>
      <c r="AG15892" s="19"/>
    </row>
    <row r="15893" spans="1:33" ht="14.5" x14ac:dyDescent="0.35">
      <c r="A15893" s="34"/>
      <c r="B15893" s="35"/>
      <c r="C15893" s="36"/>
      <c r="D15893" s="37"/>
      <c r="E15893" s="36"/>
      <c r="F15893" s="42"/>
      <c r="G15893" s="42"/>
      <c r="H15893" s="42"/>
      <c r="AG15893" s="19"/>
    </row>
    <row r="15894" spans="1:33" ht="14.5" x14ac:dyDescent="0.35">
      <c r="A15894" s="34"/>
      <c r="B15894" s="35"/>
      <c r="C15894" s="36"/>
      <c r="D15894" s="37"/>
      <c r="E15894" s="36"/>
      <c r="F15894" s="42"/>
      <c r="G15894" s="42"/>
      <c r="H15894" s="42"/>
      <c r="AG15894" s="19"/>
    </row>
    <row r="15895" spans="1:33" ht="14.5" x14ac:dyDescent="0.35">
      <c r="A15895" s="34"/>
      <c r="B15895" s="35"/>
      <c r="C15895" s="36"/>
      <c r="D15895" s="37"/>
      <c r="E15895" s="36"/>
      <c r="F15895" s="42"/>
      <c r="G15895" s="42"/>
      <c r="H15895" s="42"/>
      <c r="AG15895" s="19"/>
    </row>
    <row r="15896" spans="1:33" ht="14.5" x14ac:dyDescent="0.35">
      <c r="A15896" s="34"/>
      <c r="B15896" s="35"/>
      <c r="C15896" s="36"/>
      <c r="D15896" s="37"/>
      <c r="E15896" s="36"/>
      <c r="F15896" s="42"/>
      <c r="G15896" s="42"/>
      <c r="H15896" s="42"/>
      <c r="AG15896" s="19"/>
    </row>
    <row r="15897" spans="1:33" ht="14.5" x14ac:dyDescent="0.35">
      <c r="A15897" s="34"/>
      <c r="B15897" s="35"/>
      <c r="C15897" s="36"/>
      <c r="D15897" s="37"/>
      <c r="E15897" s="36"/>
      <c r="F15897" s="42"/>
      <c r="G15897" s="42"/>
      <c r="H15897" s="42"/>
      <c r="AG15897" s="19"/>
    </row>
    <row r="15898" spans="1:33" ht="14.5" x14ac:dyDescent="0.35">
      <c r="A15898" s="34"/>
      <c r="B15898" s="35"/>
      <c r="C15898" s="36"/>
      <c r="D15898" s="37"/>
      <c r="E15898" s="36"/>
      <c r="F15898" s="42"/>
      <c r="G15898" s="42"/>
      <c r="H15898" s="42"/>
      <c r="AG15898" s="19"/>
    </row>
    <row r="15899" spans="1:33" ht="14.5" x14ac:dyDescent="0.35">
      <c r="A15899" s="34"/>
      <c r="B15899" s="35"/>
      <c r="C15899" s="36"/>
      <c r="D15899" s="37"/>
      <c r="E15899" s="36"/>
      <c r="F15899" s="42"/>
      <c r="G15899" s="42"/>
      <c r="H15899" s="42"/>
      <c r="AG15899" s="19"/>
    </row>
    <row r="15900" spans="1:33" ht="14.5" x14ac:dyDescent="0.35">
      <c r="A15900" s="34"/>
      <c r="B15900" s="35"/>
      <c r="C15900" s="36"/>
      <c r="D15900" s="37"/>
      <c r="E15900" s="36"/>
      <c r="F15900" s="42"/>
      <c r="G15900" s="42"/>
      <c r="H15900" s="42"/>
      <c r="AG15900" s="19"/>
    </row>
    <row r="15901" spans="1:33" ht="14.5" x14ac:dyDescent="0.35">
      <c r="A15901" s="34"/>
      <c r="B15901" s="35"/>
      <c r="C15901" s="36"/>
      <c r="D15901" s="37"/>
      <c r="E15901" s="36"/>
      <c r="F15901" s="42"/>
      <c r="G15901" s="42"/>
      <c r="H15901" s="42"/>
      <c r="AG15901" s="19"/>
    </row>
    <row r="15902" spans="1:33" ht="14.5" x14ac:dyDescent="0.35">
      <c r="A15902" s="34"/>
      <c r="B15902" s="35"/>
      <c r="C15902" s="36"/>
      <c r="D15902" s="37"/>
      <c r="E15902" s="36"/>
      <c r="F15902" s="42"/>
      <c r="G15902" s="42"/>
      <c r="H15902" s="42"/>
      <c r="AG15902" s="19"/>
    </row>
    <row r="15903" spans="1:33" ht="14.5" x14ac:dyDescent="0.35">
      <c r="A15903" s="34"/>
      <c r="B15903" s="35"/>
      <c r="C15903" s="36"/>
      <c r="D15903" s="37"/>
      <c r="E15903" s="36"/>
      <c r="F15903" s="42"/>
      <c r="G15903" s="42"/>
      <c r="H15903" s="42"/>
      <c r="AG15903" s="19"/>
    </row>
    <row r="15904" spans="1:33" ht="14.5" x14ac:dyDescent="0.35">
      <c r="A15904" s="34"/>
      <c r="B15904" s="35"/>
      <c r="C15904" s="36"/>
      <c r="D15904" s="37"/>
      <c r="E15904" s="36"/>
      <c r="F15904" s="42"/>
      <c r="G15904" s="42"/>
      <c r="H15904" s="42"/>
      <c r="AG15904" s="19"/>
    </row>
    <row r="15905" spans="1:33" ht="14.5" x14ac:dyDescent="0.35">
      <c r="A15905" s="34"/>
      <c r="B15905" s="35"/>
      <c r="C15905" s="36"/>
      <c r="D15905" s="37"/>
      <c r="E15905" s="36"/>
      <c r="F15905" s="42"/>
      <c r="G15905" s="42"/>
      <c r="H15905" s="42"/>
      <c r="AG15905" s="19"/>
    </row>
    <row r="15906" spans="1:33" ht="14.5" x14ac:dyDescent="0.35">
      <c r="A15906" s="34"/>
      <c r="B15906" s="35"/>
      <c r="C15906" s="36"/>
      <c r="D15906" s="37"/>
      <c r="E15906" s="36"/>
      <c r="F15906" s="42"/>
      <c r="G15906" s="42"/>
      <c r="H15906" s="42"/>
      <c r="AG15906" s="19"/>
    </row>
    <row r="15907" spans="1:33" ht="14.5" x14ac:dyDescent="0.35">
      <c r="A15907" s="34"/>
      <c r="B15907" s="35"/>
      <c r="C15907" s="36"/>
      <c r="D15907" s="37"/>
      <c r="E15907" s="36"/>
      <c r="F15907" s="42"/>
      <c r="G15907" s="42"/>
      <c r="H15907" s="42"/>
      <c r="AG15907" s="19"/>
    </row>
    <row r="15908" spans="1:33" ht="14.5" x14ac:dyDescent="0.35">
      <c r="A15908" s="34"/>
      <c r="B15908" s="35"/>
      <c r="C15908" s="36"/>
      <c r="D15908" s="37"/>
      <c r="E15908" s="36"/>
      <c r="F15908" s="42"/>
      <c r="G15908" s="42"/>
      <c r="H15908" s="42"/>
      <c r="AG15908" s="19"/>
    </row>
    <row r="15909" spans="1:33" ht="14.5" x14ac:dyDescent="0.35">
      <c r="A15909" s="34"/>
      <c r="B15909" s="35"/>
      <c r="C15909" s="36"/>
      <c r="D15909" s="37"/>
      <c r="E15909" s="36"/>
      <c r="F15909" s="42"/>
      <c r="G15909" s="42"/>
      <c r="H15909" s="42"/>
      <c r="AG15909" s="19"/>
    </row>
    <row r="15910" spans="1:33" ht="14.5" x14ac:dyDescent="0.35">
      <c r="A15910" s="34"/>
      <c r="B15910" s="35"/>
      <c r="C15910" s="36"/>
      <c r="D15910" s="37"/>
      <c r="E15910" s="36"/>
      <c r="F15910" s="42"/>
      <c r="G15910" s="42"/>
      <c r="H15910" s="42"/>
      <c r="AG15910" s="19"/>
    </row>
    <row r="15911" spans="1:33" ht="14.5" x14ac:dyDescent="0.35">
      <c r="A15911" s="34"/>
      <c r="B15911" s="35"/>
      <c r="C15911" s="36"/>
      <c r="D15911" s="37"/>
      <c r="E15911" s="36"/>
      <c r="F15911" s="42"/>
      <c r="G15911" s="42"/>
      <c r="H15911" s="42"/>
      <c r="AG15911" s="19"/>
    </row>
    <row r="15912" spans="1:33" ht="14.5" x14ac:dyDescent="0.35">
      <c r="A15912" s="34"/>
      <c r="B15912" s="35"/>
      <c r="C15912" s="36"/>
      <c r="D15912" s="37"/>
      <c r="E15912" s="36"/>
      <c r="F15912" s="42"/>
      <c r="G15912" s="42"/>
      <c r="H15912" s="42"/>
      <c r="AG15912" s="19"/>
    </row>
    <row r="15913" spans="1:33" ht="14.5" x14ac:dyDescent="0.35">
      <c r="A15913" s="34"/>
      <c r="B15913" s="35"/>
      <c r="C15913" s="36"/>
      <c r="D15913" s="37"/>
      <c r="E15913" s="36"/>
      <c r="F15913" s="42"/>
      <c r="G15913" s="42"/>
      <c r="H15913" s="42"/>
      <c r="AG15913" s="19"/>
    </row>
    <row r="15914" spans="1:33" ht="14.5" x14ac:dyDescent="0.35">
      <c r="A15914" s="34"/>
      <c r="B15914" s="35"/>
      <c r="C15914" s="36"/>
      <c r="D15914" s="37"/>
      <c r="E15914" s="36"/>
      <c r="F15914" s="42"/>
      <c r="G15914" s="42"/>
      <c r="H15914" s="42"/>
      <c r="AG15914" s="19"/>
    </row>
    <row r="15915" spans="1:33" ht="14.5" x14ac:dyDescent="0.35">
      <c r="A15915" s="34"/>
      <c r="B15915" s="35"/>
      <c r="C15915" s="36"/>
      <c r="D15915" s="37"/>
      <c r="E15915" s="36"/>
      <c r="F15915" s="42"/>
      <c r="G15915" s="42"/>
      <c r="H15915" s="42"/>
      <c r="AG15915" s="19"/>
    </row>
    <row r="15916" spans="1:33" ht="14.5" x14ac:dyDescent="0.35">
      <c r="A15916" s="34"/>
      <c r="B15916" s="35"/>
      <c r="C15916" s="36"/>
      <c r="D15916" s="37"/>
      <c r="E15916" s="36"/>
      <c r="F15916" s="42"/>
      <c r="G15916" s="42"/>
      <c r="H15916" s="42"/>
      <c r="AG15916" s="19"/>
    </row>
    <row r="15917" spans="1:33" ht="14.5" x14ac:dyDescent="0.35">
      <c r="A15917" s="34"/>
      <c r="B15917" s="35"/>
      <c r="C15917" s="36"/>
      <c r="D15917" s="37"/>
      <c r="E15917" s="36"/>
      <c r="F15917" s="42"/>
      <c r="G15917" s="42"/>
      <c r="H15917" s="42"/>
      <c r="AG15917" s="19"/>
    </row>
    <row r="15918" spans="1:33" ht="14.5" x14ac:dyDescent="0.35">
      <c r="A15918" s="34"/>
      <c r="B15918" s="35"/>
      <c r="C15918" s="36"/>
      <c r="D15918" s="37"/>
      <c r="E15918" s="36"/>
      <c r="F15918" s="42"/>
      <c r="G15918" s="42"/>
      <c r="H15918" s="42"/>
      <c r="AG15918" s="19"/>
    </row>
    <row r="15919" spans="1:33" ht="14.5" x14ac:dyDescent="0.35">
      <c r="A15919" s="34"/>
      <c r="B15919" s="35"/>
      <c r="C15919" s="36"/>
      <c r="D15919" s="37"/>
      <c r="E15919" s="36"/>
      <c r="F15919" s="42"/>
      <c r="G15919" s="42"/>
      <c r="H15919" s="42"/>
      <c r="AG15919" s="19"/>
    </row>
    <row r="15920" spans="1:33" ht="14.5" x14ac:dyDescent="0.35">
      <c r="A15920" s="34"/>
      <c r="B15920" s="35"/>
      <c r="C15920" s="36"/>
      <c r="D15920" s="37"/>
      <c r="E15920" s="36"/>
      <c r="F15920" s="42"/>
      <c r="G15920" s="42"/>
      <c r="H15920" s="42"/>
      <c r="AG15920" s="19"/>
    </row>
    <row r="15921" spans="1:33" ht="14.5" x14ac:dyDescent="0.35">
      <c r="A15921" s="34"/>
      <c r="B15921" s="35"/>
      <c r="C15921" s="36"/>
      <c r="D15921" s="37"/>
      <c r="E15921" s="36"/>
      <c r="F15921" s="42"/>
      <c r="G15921" s="42"/>
      <c r="H15921" s="42"/>
      <c r="AG15921" s="19"/>
    </row>
    <row r="15922" spans="1:33" ht="14.5" x14ac:dyDescent="0.35">
      <c r="A15922" s="34"/>
      <c r="B15922" s="35"/>
      <c r="C15922" s="36"/>
      <c r="D15922" s="37"/>
      <c r="E15922" s="36"/>
      <c r="F15922" s="42"/>
      <c r="G15922" s="42"/>
      <c r="H15922" s="42"/>
      <c r="AG15922" s="19"/>
    </row>
    <row r="15923" spans="1:33" ht="14.5" x14ac:dyDescent="0.35">
      <c r="A15923" s="34"/>
      <c r="B15923" s="35"/>
      <c r="C15923" s="36"/>
      <c r="D15923" s="37"/>
      <c r="E15923" s="36"/>
      <c r="F15923" s="42"/>
      <c r="G15923" s="42"/>
      <c r="H15923" s="42"/>
      <c r="AG15923" s="19"/>
    </row>
    <row r="15924" spans="1:33" ht="14.5" x14ac:dyDescent="0.35">
      <c r="A15924" s="34"/>
      <c r="B15924" s="35"/>
      <c r="C15924" s="36"/>
      <c r="D15924" s="37"/>
      <c r="E15924" s="36"/>
      <c r="F15924" s="42"/>
      <c r="G15924" s="42"/>
      <c r="H15924" s="42"/>
      <c r="AG15924" s="19"/>
    </row>
    <row r="15925" spans="1:33" ht="14.5" x14ac:dyDescent="0.35">
      <c r="A15925" s="34"/>
      <c r="B15925" s="35"/>
      <c r="C15925" s="36"/>
      <c r="D15925" s="37"/>
      <c r="E15925" s="36"/>
      <c r="F15925" s="42"/>
      <c r="G15925" s="42"/>
      <c r="H15925" s="42"/>
      <c r="AG15925" s="19"/>
    </row>
    <row r="15926" spans="1:33" ht="14.5" x14ac:dyDescent="0.35">
      <c r="A15926" s="34"/>
      <c r="B15926" s="35"/>
      <c r="C15926" s="36"/>
      <c r="D15926" s="37"/>
      <c r="E15926" s="36"/>
      <c r="F15926" s="42"/>
      <c r="G15926" s="42"/>
      <c r="H15926" s="42"/>
      <c r="AG15926" s="19"/>
    </row>
    <row r="15927" spans="1:33" ht="14.5" x14ac:dyDescent="0.35">
      <c r="A15927" s="34"/>
      <c r="B15927" s="35"/>
      <c r="C15927" s="36"/>
      <c r="D15927" s="37"/>
      <c r="E15927" s="36"/>
      <c r="F15927" s="42"/>
      <c r="G15927" s="42"/>
      <c r="H15927" s="42"/>
      <c r="AG15927" s="19"/>
    </row>
    <row r="15928" spans="1:33" ht="14.5" x14ac:dyDescent="0.35">
      <c r="A15928" s="34"/>
      <c r="B15928" s="35"/>
      <c r="C15928" s="36"/>
      <c r="D15928" s="37"/>
      <c r="E15928" s="36"/>
      <c r="F15928" s="42"/>
      <c r="G15928" s="42"/>
      <c r="H15928" s="42"/>
      <c r="AG15928" s="19"/>
    </row>
    <row r="15929" spans="1:33" ht="14.5" x14ac:dyDescent="0.35">
      <c r="A15929" s="34"/>
      <c r="B15929" s="35"/>
      <c r="C15929" s="36"/>
      <c r="D15929" s="37"/>
      <c r="E15929" s="36"/>
      <c r="F15929" s="42"/>
      <c r="G15929" s="42"/>
      <c r="H15929" s="42"/>
      <c r="AG15929" s="19"/>
    </row>
    <row r="15930" spans="1:33" ht="14.5" x14ac:dyDescent="0.35">
      <c r="A15930" s="34"/>
      <c r="B15930" s="35"/>
      <c r="C15930" s="36"/>
      <c r="D15930" s="37"/>
      <c r="E15930" s="36"/>
      <c r="F15930" s="42"/>
      <c r="G15930" s="42"/>
      <c r="H15930" s="42"/>
      <c r="AG15930" s="19"/>
    </row>
    <row r="15931" spans="1:33" ht="14.5" x14ac:dyDescent="0.35">
      <c r="A15931" s="34"/>
      <c r="B15931" s="35"/>
      <c r="C15931" s="36"/>
      <c r="D15931" s="37"/>
      <c r="E15931" s="36"/>
      <c r="F15931" s="42"/>
      <c r="G15931" s="42"/>
      <c r="H15931" s="42"/>
      <c r="AG15931" s="19"/>
    </row>
    <row r="15932" spans="1:33" ht="14.5" x14ac:dyDescent="0.35">
      <c r="A15932" s="34"/>
      <c r="B15932" s="35"/>
      <c r="C15932" s="36"/>
      <c r="D15932" s="37"/>
      <c r="E15932" s="36"/>
      <c r="F15932" s="42"/>
      <c r="G15932" s="42"/>
      <c r="H15932" s="42"/>
      <c r="AG15932" s="19"/>
    </row>
    <row r="15933" spans="1:33" ht="14.5" x14ac:dyDescent="0.35">
      <c r="A15933" s="34"/>
      <c r="B15933" s="35"/>
      <c r="C15933" s="36"/>
      <c r="D15933" s="37"/>
      <c r="E15933" s="36"/>
      <c r="F15933" s="42"/>
      <c r="G15933" s="42"/>
      <c r="H15933" s="42"/>
      <c r="AG15933" s="19"/>
    </row>
    <row r="15934" spans="1:33" ht="14.5" x14ac:dyDescent="0.35">
      <c r="A15934" s="34"/>
      <c r="B15934" s="35"/>
      <c r="C15934" s="36"/>
      <c r="D15934" s="37"/>
      <c r="E15934" s="36"/>
      <c r="F15934" s="42"/>
      <c r="G15934" s="42"/>
      <c r="H15934" s="42"/>
      <c r="AG15934" s="19"/>
    </row>
    <row r="15935" spans="1:33" ht="14.5" x14ac:dyDescent="0.35">
      <c r="A15935" s="34"/>
      <c r="B15935" s="35"/>
      <c r="C15935" s="36"/>
      <c r="D15935" s="37"/>
      <c r="E15935" s="36"/>
      <c r="F15935" s="42"/>
      <c r="G15935" s="42"/>
      <c r="H15935" s="42"/>
      <c r="AG15935" s="19"/>
    </row>
    <row r="15936" spans="1:33" ht="14.5" x14ac:dyDescent="0.35">
      <c r="A15936" s="34"/>
      <c r="B15936" s="35"/>
      <c r="C15936" s="36"/>
      <c r="D15936" s="37"/>
      <c r="E15936" s="36"/>
      <c r="F15936" s="42"/>
      <c r="G15936" s="42"/>
      <c r="H15936" s="42"/>
      <c r="AG15936" s="19"/>
    </row>
    <row r="15937" spans="1:33" ht="14.5" x14ac:dyDescent="0.35">
      <c r="A15937" s="34"/>
      <c r="B15937" s="35"/>
      <c r="C15937" s="36"/>
      <c r="D15937" s="37"/>
      <c r="E15937" s="36"/>
      <c r="F15937" s="42"/>
      <c r="G15937" s="42"/>
      <c r="H15937" s="42"/>
      <c r="AG15937" s="19"/>
    </row>
    <row r="15938" spans="1:33" ht="14.5" x14ac:dyDescent="0.35">
      <c r="A15938" s="34"/>
      <c r="B15938" s="35"/>
      <c r="C15938" s="36"/>
      <c r="D15938" s="37"/>
      <c r="E15938" s="36"/>
      <c r="F15938" s="42"/>
      <c r="G15938" s="42"/>
      <c r="H15938" s="42"/>
      <c r="AG15938" s="19"/>
    </row>
    <row r="15939" spans="1:33" ht="14.5" x14ac:dyDescent="0.35">
      <c r="A15939" s="34"/>
      <c r="B15939" s="35"/>
      <c r="C15939" s="36"/>
      <c r="D15939" s="37"/>
      <c r="E15939" s="36"/>
      <c r="F15939" s="42"/>
      <c r="G15939" s="42"/>
      <c r="H15939" s="42"/>
      <c r="AG15939" s="19"/>
    </row>
    <row r="15940" spans="1:33" ht="14.5" x14ac:dyDescent="0.35">
      <c r="A15940" s="34"/>
      <c r="B15940" s="35"/>
      <c r="C15940" s="36"/>
      <c r="D15940" s="37"/>
      <c r="E15940" s="36"/>
      <c r="F15940" s="42"/>
      <c r="G15940" s="42"/>
      <c r="H15940" s="42"/>
      <c r="AG15940" s="19"/>
    </row>
    <row r="15941" spans="1:33" ht="14.5" x14ac:dyDescent="0.35">
      <c r="A15941" s="34"/>
      <c r="B15941" s="35"/>
      <c r="C15941" s="36"/>
      <c r="D15941" s="37"/>
      <c r="E15941" s="36"/>
      <c r="F15941" s="42"/>
      <c r="G15941" s="42"/>
      <c r="H15941" s="42"/>
      <c r="AG15941" s="19"/>
    </row>
    <row r="15942" spans="1:33" ht="14.5" x14ac:dyDescent="0.35">
      <c r="A15942" s="34"/>
      <c r="B15942" s="35"/>
      <c r="C15942" s="36"/>
      <c r="D15942" s="37"/>
      <c r="E15942" s="36"/>
      <c r="F15942" s="42"/>
      <c r="G15942" s="42"/>
      <c r="H15942" s="42"/>
      <c r="AG15942" s="19"/>
    </row>
    <row r="15943" spans="1:33" ht="14.5" x14ac:dyDescent="0.35">
      <c r="A15943" s="34"/>
      <c r="B15943" s="35"/>
      <c r="C15943" s="36"/>
      <c r="D15943" s="37"/>
      <c r="E15943" s="36"/>
      <c r="F15943" s="42"/>
      <c r="G15943" s="42"/>
      <c r="H15943" s="42"/>
      <c r="AG15943" s="19"/>
    </row>
    <row r="15944" spans="1:33" ht="14.5" x14ac:dyDescent="0.35">
      <c r="A15944" s="34"/>
      <c r="B15944" s="35"/>
      <c r="C15944" s="36"/>
      <c r="D15944" s="37"/>
      <c r="E15944" s="36"/>
      <c r="F15944" s="42"/>
      <c r="G15944" s="42"/>
      <c r="H15944" s="42"/>
      <c r="AG15944" s="19"/>
    </row>
    <row r="15945" spans="1:33" ht="14.5" x14ac:dyDescent="0.35">
      <c r="A15945" s="34"/>
      <c r="B15945" s="35"/>
      <c r="C15945" s="36"/>
      <c r="D15945" s="37"/>
      <c r="E15945" s="36"/>
      <c r="F15945" s="42"/>
      <c r="G15945" s="42"/>
      <c r="H15945" s="42"/>
      <c r="AG15945" s="19"/>
    </row>
    <row r="15946" spans="1:33" ht="14.5" x14ac:dyDescent="0.35">
      <c r="A15946" s="34"/>
      <c r="B15946" s="35"/>
      <c r="C15946" s="36"/>
      <c r="D15946" s="37"/>
      <c r="E15946" s="36"/>
      <c r="F15946" s="42"/>
      <c r="G15946" s="42"/>
      <c r="H15946" s="42"/>
      <c r="AG15946" s="19"/>
    </row>
    <row r="15947" spans="1:33" ht="14.5" x14ac:dyDescent="0.35">
      <c r="A15947" s="34"/>
      <c r="B15947" s="35"/>
      <c r="C15947" s="36"/>
      <c r="D15947" s="37"/>
      <c r="E15947" s="36"/>
      <c r="F15947" s="42"/>
      <c r="G15947" s="42"/>
      <c r="H15947" s="42"/>
      <c r="AG15947" s="19"/>
    </row>
    <row r="15948" spans="1:33" ht="14.5" x14ac:dyDescent="0.35">
      <c r="A15948" s="34"/>
      <c r="B15948" s="35"/>
      <c r="C15948" s="36"/>
      <c r="D15948" s="37"/>
      <c r="E15948" s="36"/>
      <c r="F15948" s="42"/>
      <c r="G15948" s="42"/>
      <c r="H15948" s="42"/>
      <c r="AG15948" s="19"/>
    </row>
    <row r="15949" spans="1:33" ht="14.5" x14ac:dyDescent="0.35">
      <c r="A15949" s="34"/>
      <c r="B15949" s="35"/>
      <c r="C15949" s="36"/>
      <c r="D15949" s="37"/>
      <c r="E15949" s="36"/>
      <c r="F15949" s="42"/>
      <c r="G15949" s="42"/>
      <c r="H15949" s="42"/>
      <c r="AG15949" s="19"/>
    </row>
    <row r="15950" spans="1:33" ht="14.5" x14ac:dyDescent="0.35">
      <c r="A15950" s="34"/>
      <c r="B15950" s="35"/>
      <c r="C15950" s="36"/>
      <c r="D15950" s="37"/>
      <c r="E15950" s="36"/>
      <c r="F15950" s="42"/>
      <c r="G15950" s="42"/>
      <c r="H15950" s="42"/>
      <c r="AG15950" s="19"/>
    </row>
    <row r="15951" spans="1:33" ht="14.5" x14ac:dyDescent="0.35">
      <c r="A15951" s="34"/>
      <c r="B15951" s="35"/>
      <c r="C15951" s="36"/>
      <c r="D15951" s="37"/>
      <c r="E15951" s="36"/>
      <c r="F15951" s="42"/>
      <c r="G15951" s="42"/>
      <c r="H15951" s="42"/>
      <c r="AG15951" s="19"/>
    </row>
    <row r="15952" spans="1:33" ht="14.5" x14ac:dyDescent="0.35">
      <c r="A15952" s="34"/>
      <c r="B15952" s="35"/>
      <c r="C15952" s="36"/>
      <c r="D15952" s="37"/>
      <c r="E15952" s="36"/>
      <c r="F15952" s="42"/>
      <c r="G15952" s="42"/>
      <c r="H15952" s="42"/>
      <c r="AG15952" s="19"/>
    </row>
    <row r="15953" spans="1:33" ht="14.5" x14ac:dyDescent="0.35">
      <c r="A15953" s="34"/>
      <c r="B15953" s="35"/>
      <c r="C15953" s="36"/>
      <c r="D15953" s="37"/>
      <c r="E15953" s="36"/>
      <c r="F15953" s="42"/>
      <c r="G15953" s="42"/>
      <c r="H15953" s="42"/>
      <c r="AG15953" s="19"/>
    </row>
    <row r="15954" spans="1:33" ht="14.5" x14ac:dyDescent="0.35">
      <c r="A15954" s="34"/>
      <c r="B15954" s="35"/>
      <c r="C15954" s="36"/>
      <c r="D15954" s="37"/>
      <c r="E15954" s="36"/>
      <c r="F15954" s="42"/>
      <c r="G15954" s="42"/>
      <c r="H15954" s="42"/>
      <c r="AG15954" s="19"/>
    </row>
    <row r="15955" spans="1:33" ht="14.5" x14ac:dyDescent="0.35">
      <c r="A15955" s="34"/>
      <c r="B15955" s="35"/>
      <c r="C15955" s="36"/>
      <c r="D15955" s="37"/>
      <c r="E15955" s="36"/>
      <c r="F15955" s="42"/>
      <c r="G15955" s="42"/>
      <c r="H15955" s="42"/>
      <c r="AG15955" s="19"/>
    </row>
    <row r="15956" spans="1:33" ht="14.5" x14ac:dyDescent="0.35">
      <c r="A15956" s="34"/>
      <c r="B15956" s="35"/>
      <c r="C15956" s="36"/>
      <c r="D15956" s="37"/>
      <c r="E15956" s="36"/>
      <c r="F15956" s="42"/>
      <c r="G15956" s="42"/>
      <c r="H15956" s="42"/>
      <c r="AG15956" s="19"/>
    </row>
    <row r="15957" spans="1:33" ht="14.5" x14ac:dyDescent="0.35">
      <c r="A15957" s="34"/>
      <c r="B15957" s="35"/>
      <c r="C15957" s="36"/>
      <c r="D15957" s="37"/>
      <c r="E15957" s="36"/>
      <c r="F15957" s="42"/>
      <c r="G15957" s="42"/>
      <c r="H15957" s="42"/>
      <c r="AG15957" s="19"/>
    </row>
    <row r="15958" spans="1:33" ht="14.5" x14ac:dyDescent="0.35">
      <c r="A15958" s="34"/>
      <c r="B15958" s="35"/>
      <c r="C15958" s="36"/>
      <c r="D15958" s="37"/>
      <c r="E15958" s="36"/>
      <c r="F15958" s="42"/>
      <c r="G15958" s="42"/>
      <c r="H15958" s="42"/>
      <c r="AG15958" s="19"/>
    </row>
    <row r="15959" spans="1:33" ht="14.5" x14ac:dyDescent="0.35">
      <c r="A15959" s="34"/>
      <c r="B15959" s="35"/>
      <c r="C15959" s="36"/>
      <c r="D15959" s="37"/>
      <c r="E15959" s="36"/>
      <c r="F15959" s="42"/>
      <c r="G15959" s="42"/>
      <c r="H15959" s="42"/>
      <c r="AG15959" s="19"/>
    </row>
    <row r="15960" spans="1:33" ht="14.5" x14ac:dyDescent="0.35">
      <c r="A15960" s="34"/>
      <c r="B15960" s="35"/>
      <c r="C15960" s="36"/>
      <c r="D15960" s="37"/>
      <c r="E15960" s="36"/>
      <c r="F15960" s="42"/>
      <c r="G15960" s="42"/>
      <c r="H15960" s="42"/>
      <c r="AG15960" s="19"/>
    </row>
    <row r="15961" spans="1:33" ht="14.5" x14ac:dyDescent="0.35">
      <c r="A15961" s="34"/>
      <c r="B15961" s="35"/>
      <c r="C15961" s="36"/>
      <c r="D15961" s="37"/>
      <c r="E15961" s="36"/>
      <c r="F15961" s="42"/>
      <c r="G15961" s="42"/>
      <c r="H15961" s="42"/>
      <c r="AG15961" s="19"/>
    </row>
    <row r="15962" spans="1:33" ht="14.5" x14ac:dyDescent="0.35">
      <c r="A15962" s="34"/>
      <c r="B15962" s="35"/>
      <c r="C15962" s="36"/>
      <c r="D15962" s="37"/>
      <c r="E15962" s="36"/>
      <c r="F15962" s="42"/>
      <c r="G15962" s="42"/>
      <c r="H15962" s="42"/>
      <c r="AG15962" s="19"/>
    </row>
    <row r="15963" spans="1:33" ht="14.5" x14ac:dyDescent="0.35">
      <c r="A15963" s="34"/>
      <c r="B15963" s="35"/>
      <c r="C15963" s="36"/>
      <c r="D15963" s="37"/>
      <c r="E15963" s="36"/>
      <c r="F15963" s="42"/>
      <c r="G15963" s="42"/>
      <c r="H15963" s="42"/>
      <c r="AG15963" s="19"/>
    </row>
    <row r="15964" spans="1:33" ht="14.5" x14ac:dyDescent="0.35">
      <c r="A15964" s="34"/>
      <c r="B15964" s="35"/>
      <c r="C15964" s="36"/>
      <c r="D15964" s="37"/>
      <c r="E15964" s="36"/>
      <c r="F15964" s="42"/>
      <c r="G15964" s="42"/>
      <c r="H15964" s="42"/>
      <c r="AG15964" s="19"/>
    </row>
    <row r="15965" spans="1:33" ht="14.5" x14ac:dyDescent="0.35">
      <c r="A15965" s="34"/>
      <c r="B15965" s="35"/>
      <c r="C15965" s="36"/>
      <c r="D15965" s="37"/>
      <c r="E15965" s="36"/>
      <c r="F15965" s="42"/>
      <c r="G15965" s="42"/>
      <c r="H15965" s="42"/>
      <c r="AG15965" s="19"/>
    </row>
    <row r="15966" spans="1:33" ht="14.5" x14ac:dyDescent="0.35">
      <c r="A15966" s="34"/>
      <c r="B15966" s="35"/>
      <c r="C15966" s="36"/>
      <c r="D15966" s="37"/>
      <c r="E15966" s="36"/>
      <c r="F15966" s="42"/>
      <c r="G15966" s="42"/>
      <c r="H15966" s="42"/>
      <c r="AG15966" s="19"/>
    </row>
    <row r="15967" spans="1:33" ht="14.5" x14ac:dyDescent="0.35">
      <c r="A15967" s="34"/>
      <c r="B15967" s="35"/>
      <c r="C15967" s="36"/>
      <c r="D15967" s="37"/>
      <c r="E15967" s="36"/>
      <c r="F15967" s="42"/>
      <c r="G15967" s="42"/>
      <c r="H15967" s="42"/>
      <c r="AG15967" s="19"/>
    </row>
    <row r="15968" spans="1:33" ht="14.5" x14ac:dyDescent="0.35">
      <c r="A15968" s="34"/>
      <c r="B15968" s="35"/>
      <c r="C15968" s="36"/>
      <c r="D15968" s="37"/>
      <c r="E15968" s="36"/>
      <c r="F15968" s="42"/>
      <c r="G15968" s="42"/>
      <c r="H15968" s="42"/>
      <c r="AG15968" s="19"/>
    </row>
    <row r="15969" spans="1:33" ht="14.5" x14ac:dyDescent="0.35">
      <c r="A15969" s="34"/>
      <c r="B15969" s="35"/>
      <c r="C15969" s="36"/>
      <c r="D15969" s="37"/>
      <c r="E15969" s="36"/>
      <c r="F15969" s="42"/>
      <c r="G15969" s="42"/>
      <c r="H15969" s="42"/>
      <c r="AG15969" s="19"/>
    </row>
    <row r="15970" spans="1:33" ht="14.5" x14ac:dyDescent="0.35">
      <c r="A15970" s="34"/>
      <c r="B15970" s="35"/>
      <c r="C15970" s="36"/>
      <c r="D15970" s="37"/>
      <c r="E15970" s="36"/>
      <c r="F15970" s="42"/>
      <c r="G15970" s="42"/>
      <c r="H15970" s="42"/>
      <c r="AG15970" s="19"/>
    </row>
    <row r="15971" spans="1:33" ht="14.5" x14ac:dyDescent="0.35">
      <c r="A15971" s="34"/>
      <c r="B15971" s="35"/>
      <c r="C15971" s="36"/>
      <c r="D15971" s="37"/>
      <c r="E15971" s="36"/>
      <c r="F15971" s="42"/>
      <c r="G15971" s="42"/>
      <c r="H15971" s="42"/>
      <c r="AG15971" s="19"/>
    </row>
    <row r="15972" spans="1:33" ht="14.5" x14ac:dyDescent="0.35">
      <c r="A15972" s="34"/>
      <c r="B15972" s="35"/>
      <c r="C15972" s="36"/>
      <c r="D15972" s="37"/>
      <c r="E15972" s="36"/>
      <c r="F15972" s="42"/>
      <c r="G15972" s="42"/>
      <c r="H15972" s="42"/>
      <c r="AG15972" s="19"/>
    </row>
    <row r="15973" spans="1:33" ht="14.5" x14ac:dyDescent="0.35">
      <c r="A15973" s="34"/>
      <c r="B15973" s="35"/>
      <c r="C15973" s="36"/>
      <c r="D15973" s="37"/>
      <c r="E15973" s="36"/>
      <c r="F15973" s="42"/>
      <c r="G15973" s="42"/>
      <c r="H15973" s="42"/>
      <c r="AG15973" s="19"/>
    </row>
    <row r="15974" spans="1:33" ht="14.5" x14ac:dyDescent="0.35">
      <c r="A15974" s="34"/>
      <c r="B15974" s="35"/>
      <c r="C15974" s="36"/>
      <c r="D15974" s="37"/>
      <c r="E15974" s="36"/>
      <c r="F15974" s="42"/>
      <c r="G15974" s="42"/>
      <c r="H15974" s="42"/>
      <c r="AG15974" s="19"/>
    </row>
    <row r="15975" spans="1:33" ht="14.5" x14ac:dyDescent="0.35">
      <c r="A15975" s="34"/>
      <c r="B15975" s="35"/>
      <c r="C15975" s="36"/>
      <c r="D15975" s="37"/>
      <c r="E15975" s="36"/>
      <c r="F15975" s="42"/>
      <c r="G15975" s="42"/>
      <c r="H15975" s="42"/>
      <c r="AG15975" s="19"/>
    </row>
    <row r="15976" spans="1:33" ht="14.5" x14ac:dyDescent="0.35">
      <c r="A15976" s="34"/>
      <c r="B15976" s="35"/>
      <c r="C15976" s="36"/>
      <c r="D15976" s="37"/>
      <c r="E15976" s="36"/>
      <c r="F15976" s="42"/>
      <c r="G15976" s="42"/>
      <c r="H15976" s="42"/>
      <c r="AG15976" s="19"/>
    </row>
    <row r="15977" spans="1:33" ht="14.5" x14ac:dyDescent="0.35">
      <c r="A15977" s="34"/>
      <c r="B15977" s="35"/>
      <c r="C15977" s="36"/>
      <c r="D15977" s="37"/>
      <c r="E15977" s="36"/>
      <c r="F15977" s="42"/>
      <c r="G15977" s="42"/>
      <c r="H15977" s="42"/>
      <c r="AG15977" s="19"/>
    </row>
    <row r="15978" spans="1:33" ht="14.5" x14ac:dyDescent="0.35">
      <c r="A15978" s="34"/>
      <c r="B15978" s="35"/>
      <c r="C15978" s="36"/>
      <c r="D15978" s="37"/>
      <c r="E15978" s="36"/>
      <c r="F15978" s="42"/>
      <c r="G15978" s="42"/>
      <c r="H15978" s="42"/>
      <c r="AG15978" s="19"/>
    </row>
    <row r="15979" spans="1:33" ht="14.5" x14ac:dyDescent="0.35">
      <c r="A15979" s="34"/>
      <c r="B15979" s="35"/>
      <c r="C15979" s="36"/>
      <c r="D15979" s="37"/>
      <c r="E15979" s="36"/>
      <c r="F15979" s="42"/>
      <c r="G15979" s="42"/>
      <c r="H15979" s="42"/>
      <c r="AG15979" s="19"/>
    </row>
    <row r="15980" spans="1:33" ht="14.5" x14ac:dyDescent="0.35">
      <c r="A15980" s="34"/>
      <c r="B15980" s="35"/>
      <c r="C15980" s="36"/>
      <c r="D15980" s="37"/>
      <c r="E15980" s="36"/>
      <c r="F15980" s="42"/>
      <c r="G15980" s="42"/>
      <c r="H15980" s="42"/>
      <c r="AG15980" s="19"/>
    </row>
    <row r="15981" spans="1:33" ht="14.5" x14ac:dyDescent="0.35">
      <c r="A15981" s="34"/>
      <c r="B15981" s="35"/>
      <c r="C15981" s="36"/>
      <c r="D15981" s="37"/>
      <c r="E15981" s="36"/>
      <c r="F15981" s="42"/>
      <c r="G15981" s="42"/>
      <c r="H15981" s="42"/>
      <c r="AG15981" s="19"/>
    </row>
    <row r="15982" spans="1:33" ht="14.5" x14ac:dyDescent="0.35">
      <c r="A15982" s="34"/>
      <c r="B15982" s="35"/>
      <c r="C15982" s="36"/>
      <c r="D15982" s="37"/>
      <c r="E15982" s="36"/>
      <c r="F15982" s="42"/>
      <c r="G15982" s="42"/>
      <c r="H15982" s="42"/>
      <c r="AG15982" s="19"/>
    </row>
    <row r="15983" spans="1:33" ht="14.5" x14ac:dyDescent="0.35">
      <c r="A15983" s="34"/>
      <c r="B15983" s="35"/>
      <c r="C15983" s="36"/>
      <c r="D15983" s="37"/>
      <c r="E15983" s="36"/>
      <c r="F15983" s="42"/>
      <c r="G15983" s="42"/>
      <c r="H15983" s="42"/>
      <c r="AG15983" s="19"/>
    </row>
    <row r="15984" spans="1:33" ht="14.5" x14ac:dyDescent="0.35">
      <c r="A15984" s="34"/>
      <c r="B15984" s="35"/>
      <c r="C15984" s="36"/>
      <c r="D15984" s="37"/>
      <c r="E15984" s="36"/>
      <c r="F15984" s="42"/>
      <c r="G15984" s="42"/>
      <c r="H15984" s="42"/>
      <c r="AG15984" s="19"/>
    </row>
    <row r="15985" spans="1:33" ht="14.5" x14ac:dyDescent="0.35">
      <c r="A15985" s="34"/>
      <c r="B15985" s="35"/>
      <c r="C15985" s="36"/>
      <c r="D15985" s="37"/>
      <c r="E15985" s="36"/>
      <c r="F15985" s="42"/>
      <c r="G15985" s="42"/>
      <c r="H15985" s="42"/>
      <c r="AG15985" s="19"/>
    </row>
    <row r="15986" spans="1:33" ht="14.5" x14ac:dyDescent="0.35">
      <c r="A15986" s="34"/>
      <c r="B15986" s="35"/>
      <c r="C15986" s="36"/>
      <c r="D15986" s="37"/>
      <c r="E15986" s="36"/>
      <c r="F15986" s="42"/>
      <c r="G15986" s="42"/>
      <c r="H15986" s="42"/>
      <c r="AG15986" s="19"/>
    </row>
    <row r="15987" spans="1:33" ht="14.5" x14ac:dyDescent="0.35">
      <c r="A15987" s="34"/>
      <c r="B15987" s="35"/>
      <c r="C15987" s="36"/>
      <c r="D15987" s="37"/>
      <c r="E15987" s="36"/>
      <c r="F15987" s="42"/>
      <c r="G15987" s="42"/>
      <c r="H15987" s="42"/>
      <c r="AG15987" s="19"/>
    </row>
    <row r="15988" spans="1:33" ht="14.5" x14ac:dyDescent="0.35">
      <c r="A15988" s="34"/>
      <c r="B15988" s="35"/>
      <c r="C15988" s="36"/>
      <c r="D15988" s="37"/>
      <c r="E15988" s="36"/>
      <c r="F15988" s="42"/>
      <c r="G15988" s="42"/>
      <c r="H15988" s="42"/>
      <c r="AG15988" s="19"/>
    </row>
    <row r="15989" spans="1:33" ht="14.5" x14ac:dyDescent="0.35">
      <c r="A15989" s="34"/>
      <c r="B15989" s="35"/>
      <c r="C15989" s="36"/>
      <c r="D15989" s="37"/>
      <c r="E15989" s="36"/>
      <c r="F15989" s="42"/>
      <c r="G15989" s="42"/>
      <c r="H15989" s="42"/>
      <c r="AG15989" s="19"/>
    </row>
    <row r="15990" spans="1:33" ht="14.5" x14ac:dyDescent="0.35">
      <c r="A15990" s="34"/>
      <c r="B15990" s="35"/>
      <c r="C15990" s="36"/>
      <c r="D15990" s="37"/>
      <c r="E15990" s="36"/>
      <c r="F15990" s="42"/>
      <c r="G15990" s="42"/>
      <c r="H15990" s="42"/>
      <c r="AG15990" s="19"/>
    </row>
    <row r="15991" spans="1:33" ht="14.5" x14ac:dyDescent="0.35">
      <c r="A15991" s="34"/>
      <c r="B15991" s="35"/>
      <c r="C15991" s="36"/>
      <c r="D15991" s="37"/>
      <c r="E15991" s="36"/>
      <c r="F15991" s="42"/>
      <c r="G15991" s="42"/>
      <c r="H15991" s="42"/>
      <c r="AG15991" s="19"/>
    </row>
    <row r="15992" spans="1:33" ht="14.5" x14ac:dyDescent="0.35">
      <c r="A15992" s="34"/>
      <c r="B15992" s="35"/>
      <c r="C15992" s="36"/>
      <c r="D15992" s="37"/>
      <c r="E15992" s="36"/>
      <c r="F15992" s="42"/>
      <c r="G15992" s="42"/>
      <c r="H15992" s="42"/>
      <c r="AG15992" s="19"/>
    </row>
    <row r="15993" spans="1:33" ht="14.5" x14ac:dyDescent="0.35">
      <c r="A15993" s="34"/>
      <c r="B15993" s="35"/>
      <c r="C15993" s="36"/>
      <c r="D15993" s="37"/>
      <c r="E15993" s="36"/>
      <c r="F15993" s="42"/>
      <c r="G15993" s="42"/>
      <c r="H15993" s="42"/>
      <c r="AG15993" s="19"/>
    </row>
    <row r="15994" spans="1:33" ht="14.5" x14ac:dyDescent="0.35">
      <c r="A15994" s="34"/>
      <c r="B15994" s="35"/>
      <c r="C15994" s="36"/>
      <c r="D15994" s="37"/>
      <c r="E15994" s="36"/>
      <c r="F15994" s="42"/>
      <c r="G15994" s="42"/>
      <c r="H15994" s="42"/>
      <c r="AG15994" s="19"/>
    </row>
    <row r="15995" spans="1:33" ht="14.5" x14ac:dyDescent="0.35">
      <c r="A15995" s="34"/>
      <c r="B15995" s="35"/>
      <c r="C15995" s="36"/>
      <c r="D15995" s="37"/>
      <c r="E15995" s="36"/>
      <c r="F15995" s="42"/>
      <c r="G15995" s="42"/>
      <c r="H15995" s="42"/>
      <c r="AG15995" s="19"/>
    </row>
    <row r="15996" spans="1:33" ht="14.5" x14ac:dyDescent="0.35">
      <c r="A15996" s="34"/>
      <c r="B15996" s="35"/>
      <c r="C15996" s="36"/>
      <c r="D15996" s="37"/>
      <c r="E15996" s="36"/>
      <c r="F15996" s="42"/>
      <c r="G15996" s="42"/>
      <c r="H15996" s="42"/>
      <c r="AG15996" s="19"/>
    </row>
    <row r="15997" spans="1:33" ht="14.5" x14ac:dyDescent="0.35">
      <c r="A15997" s="34"/>
      <c r="B15997" s="35"/>
      <c r="C15997" s="36"/>
      <c r="D15997" s="37"/>
      <c r="E15997" s="36"/>
      <c r="F15997" s="42"/>
      <c r="G15997" s="42"/>
      <c r="H15997" s="42"/>
      <c r="AG15997" s="19"/>
    </row>
    <row r="15998" spans="1:33" ht="14.5" x14ac:dyDescent="0.35">
      <c r="A15998" s="34"/>
      <c r="B15998" s="35"/>
      <c r="C15998" s="36"/>
      <c r="D15998" s="37"/>
      <c r="E15998" s="36"/>
      <c r="F15998" s="42"/>
      <c r="G15998" s="42"/>
      <c r="H15998" s="42"/>
      <c r="AG15998" s="19"/>
    </row>
    <row r="15999" spans="1:33" ht="14.5" x14ac:dyDescent="0.35">
      <c r="A15999" s="34"/>
      <c r="B15999" s="35"/>
      <c r="C15999" s="36"/>
      <c r="D15999" s="37"/>
      <c r="E15999" s="36"/>
      <c r="F15999" s="42"/>
      <c r="G15999" s="42"/>
      <c r="H15999" s="42"/>
      <c r="AG15999" s="19"/>
    </row>
    <row r="16000" spans="1:33" ht="14.5" x14ac:dyDescent="0.35">
      <c r="A16000" s="34"/>
      <c r="B16000" s="35"/>
      <c r="C16000" s="36"/>
      <c r="D16000" s="37"/>
      <c r="E16000" s="36"/>
      <c r="F16000" s="42"/>
      <c r="G16000" s="42"/>
      <c r="H16000" s="42"/>
      <c r="AG16000" s="19"/>
    </row>
    <row r="16001" spans="1:33" ht="14.5" x14ac:dyDescent="0.35">
      <c r="A16001" s="34"/>
      <c r="B16001" s="35"/>
      <c r="C16001" s="36"/>
      <c r="D16001" s="37"/>
      <c r="E16001" s="36"/>
      <c r="F16001" s="42"/>
      <c r="G16001" s="42"/>
      <c r="H16001" s="42"/>
      <c r="AG16001" s="19"/>
    </row>
    <row r="16002" spans="1:33" ht="14.5" x14ac:dyDescent="0.35">
      <c r="A16002" s="34"/>
      <c r="B16002" s="35"/>
      <c r="C16002" s="36"/>
      <c r="D16002" s="37"/>
      <c r="E16002" s="36"/>
      <c r="F16002" s="42"/>
      <c r="G16002" s="42"/>
      <c r="H16002" s="42"/>
      <c r="AG16002" s="19"/>
    </row>
    <row r="16003" spans="1:33" ht="14.5" x14ac:dyDescent="0.35">
      <c r="A16003" s="34"/>
      <c r="B16003" s="35"/>
      <c r="C16003" s="36"/>
      <c r="D16003" s="37"/>
      <c r="E16003" s="36"/>
      <c r="F16003" s="42"/>
      <c r="G16003" s="42"/>
      <c r="H16003" s="42"/>
      <c r="AG16003" s="19"/>
    </row>
    <row r="16004" spans="1:33" ht="14.5" x14ac:dyDescent="0.35">
      <c r="A16004" s="34"/>
      <c r="B16004" s="35"/>
      <c r="C16004" s="36"/>
      <c r="D16004" s="37"/>
      <c r="E16004" s="36"/>
      <c r="F16004" s="42"/>
      <c r="G16004" s="42"/>
      <c r="H16004" s="42"/>
      <c r="AG16004" s="19"/>
    </row>
    <row r="16005" spans="1:33" ht="14.5" x14ac:dyDescent="0.35">
      <c r="A16005" s="34"/>
      <c r="B16005" s="35"/>
      <c r="C16005" s="36"/>
      <c r="D16005" s="37"/>
      <c r="E16005" s="36"/>
      <c r="F16005" s="42"/>
      <c r="G16005" s="42"/>
      <c r="H16005" s="42"/>
      <c r="AG16005" s="19"/>
    </row>
    <row r="16006" spans="1:33" ht="14.5" x14ac:dyDescent="0.35">
      <c r="A16006" s="34"/>
      <c r="B16006" s="35"/>
      <c r="C16006" s="36"/>
      <c r="D16006" s="37"/>
      <c r="E16006" s="36"/>
      <c r="F16006" s="42"/>
      <c r="G16006" s="42"/>
      <c r="H16006" s="42"/>
      <c r="AG16006" s="19"/>
    </row>
    <row r="16007" spans="1:33" ht="14.5" x14ac:dyDescent="0.35">
      <c r="A16007" s="34"/>
      <c r="B16007" s="35"/>
      <c r="C16007" s="36"/>
      <c r="D16007" s="37"/>
      <c r="E16007" s="36"/>
      <c r="F16007" s="42"/>
      <c r="G16007" s="42"/>
      <c r="H16007" s="42"/>
      <c r="AG16007" s="19"/>
    </row>
    <row r="16008" spans="1:33" ht="14.5" x14ac:dyDescent="0.35">
      <c r="A16008" s="34"/>
      <c r="B16008" s="35"/>
      <c r="C16008" s="36"/>
      <c r="D16008" s="37"/>
      <c r="E16008" s="36"/>
      <c r="F16008" s="42"/>
      <c r="G16008" s="42"/>
      <c r="H16008" s="42"/>
      <c r="AG16008" s="19"/>
    </row>
    <row r="16009" spans="1:33" ht="14.5" x14ac:dyDescent="0.35">
      <c r="A16009" s="34"/>
      <c r="B16009" s="35"/>
      <c r="C16009" s="36"/>
      <c r="D16009" s="37"/>
      <c r="E16009" s="36"/>
      <c r="F16009" s="42"/>
      <c r="G16009" s="42"/>
      <c r="H16009" s="42"/>
      <c r="AG16009" s="19"/>
    </row>
    <row r="16010" spans="1:33" ht="14.5" x14ac:dyDescent="0.35">
      <c r="A16010" s="34"/>
      <c r="B16010" s="35"/>
      <c r="C16010" s="36"/>
      <c r="D16010" s="37"/>
      <c r="E16010" s="36"/>
      <c r="F16010" s="42"/>
      <c r="G16010" s="42"/>
      <c r="H16010" s="42"/>
      <c r="AG16010" s="19"/>
    </row>
    <row r="16011" spans="1:33" ht="14.5" x14ac:dyDescent="0.35">
      <c r="A16011" s="34"/>
      <c r="B16011" s="35"/>
      <c r="C16011" s="36"/>
      <c r="D16011" s="37"/>
      <c r="E16011" s="36"/>
      <c r="F16011" s="42"/>
      <c r="G16011" s="42"/>
      <c r="H16011" s="42"/>
      <c r="AG16011" s="19"/>
    </row>
    <row r="16012" spans="1:33" ht="14.5" x14ac:dyDescent="0.35">
      <c r="A16012" s="34"/>
      <c r="B16012" s="35"/>
      <c r="C16012" s="36"/>
      <c r="D16012" s="37"/>
      <c r="E16012" s="36"/>
      <c r="F16012" s="42"/>
      <c r="G16012" s="42"/>
      <c r="H16012" s="42"/>
      <c r="AG16012" s="19"/>
    </row>
    <row r="16013" spans="1:33" ht="14.5" x14ac:dyDescent="0.35">
      <c r="A16013" s="34"/>
      <c r="B16013" s="35"/>
      <c r="C16013" s="36"/>
      <c r="D16013" s="37"/>
      <c r="E16013" s="36"/>
      <c r="F16013" s="42"/>
      <c r="G16013" s="42"/>
      <c r="H16013" s="42"/>
      <c r="AG16013" s="19"/>
    </row>
    <row r="16014" spans="1:33" ht="14.5" x14ac:dyDescent="0.35">
      <c r="A16014" s="34"/>
      <c r="B16014" s="35"/>
      <c r="C16014" s="36"/>
      <c r="D16014" s="37"/>
      <c r="E16014" s="36"/>
      <c r="F16014" s="42"/>
      <c r="G16014" s="42"/>
      <c r="H16014" s="42"/>
      <c r="AG16014" s="19"/>
    </row>
    <row r="16015" spans="1:33" ht="14.5" x14ac:dyDescent="0.35">
      <c r="A16015" s="34"/>
      <c r="B16015" s="35"/>
      <c r="C16015" s="36"/>
      <c r="D16015" s="37"/>
      <c r="E16015" s="36"/>
      <c r="F16015" s="42"/>
      <c r="G16015" s="42"/>
      <c r="H16015" s="42"/>
      <c r="AG16015" s="19"/>
    </row>
    <row r="16016" spans="1:33" ht="14.5" x14ac:dyDescent="0.35">
      <c r="A16016" s="34"/>
      <c r="B16016" s="35"/>
      <c r="C16016" s="36"/>
      <c r="D16016" s="37"/>
      <c r="E16016" s="36"/>
      <c r="F16016" s="42"/>
      <c r="G16016" s="42"/>
      <c r="H16016" s="42"/>
      <c r="AG16016" s="19"/>
    </row>
    <row r="16017" spans="1:33" ht="14.5" x14ac:dyDescent="0.35">
      <c r="A16017" s="34"/>
      <c r="B16017" s="35"/>
      <c r="C16017" s="36"/>
      <c r="D16017" s="37"/>
      <c r="E16017" s="36"/>
      <c r="F16017" s="42"/>
      <c r="G16017" s="42"/>
      <c r="H16017" s="42"/>
      <c r="AG16017" s="19"/>
    </row>
    <row r="16018" spans="1:33" ht="14.5" x14ac:dyDescent="0.35">
      <c r="A16018" s="34"/>
      <c r="B16018" s="35"/>
      <c r="C16018" s="36"/>
      <c r="D16018" s="37"/>
      <c r="E16018" s="36"/>
      <c r="F16018" s="42"/>
      <c r="G16018" s="42"/>
      <c r="H16018" s="42"/>
      <c r="AG16018" s="19"/>
    </row>
    <row r="16019" spans="1:33" ht="14.5" x14ac:dyDescent="0.35">
      <c r="A16019" s="34"/>
      <c r="B16019" s="35"/>
      <c r="C16019" s="36"/>
      <c r="D16019" s="37"/>
      <c r="E16019" s="36"/>
      <c r="F16019" s="42"/>
      <c r="G16019" s="42"/>
      <c r="H16019" s="42"/>
      <c r="AG16019" s="19"/>
    </row>
    <row r="16020" spans="1:33" ht="14.5" x14ac:dyDescent="0.35">
      <c r="A16020" s="34"/>
      <c r="B16020" s="35"/>
      <c r="C16020" s="36"/>
      <c r="D16020" s="37"/>
      <c r="E16020" s="36"/>
      <c r="F16020" s="42"/>
      <c r="G16020" s="42"/>
      <c r="H16020" s="42"/>
      <c r="AG16020" s="19"/>
    </row>
    <row r="16021" spans="1:33" ht="14.5" x14ac:dyDescent="0.35">
      <c r="A16021" s="34"/>
      <c r="B16021" s="35"/>
      <c r="C16021" s="36"/>
      <c r="D16021" s="37"/>
      <c r="E16021" s="36"/>
      <c r="F16021" s="42"/>
      <c r="G16021" s="42"/>
      <c r="H16021" s="42"/>
      <c r="AG16021" s="19"/>
    </row>
    <row r="16022" spans="1:33" ht="14.5" x14ac:dyDescent="0.35">
      <c r="A16022" s="34"/>
      <c r="B16022" s="35"/>
      <c r="C16022" s="36"/>
      <c r="D16022" s="37"/>
      <c r="E16022" s="36"/>
      <c r="F16022" s="42"/>
      <c r="G16022" s="42"/>
      <c r="H16022" s="42"/>
      <c r="AG16022" s="19"/>
    </row>
    <row r="16023" spans="1:33" ht="14.5" x14ac:dyDescent="0.35">
      <c r="A16023" s="34"/>
      <c r="B16023" s="35"/>
      <c r="C16023" s="36"/>
      <c r="D16023" s="37"/>
      <c r="E16023" s="36"/>
      <c r="F16023" s="42"/>
      <c r="G16023" s="42"/>
      <c r="H16023" s="42"/>
      <c r="AG16023" s="19"/>
    </row>
    <row r="16024" spans="1:33" ht="14.5" x14ac:dyDescent="0.35">
      <c r="A16024" s="34"/>
      <c r="B16024" s="35"/>
      <c r="C16024" s="36"/>
      <c r="D16024" s="37"/>
      <c r="E16024" s="36"/>
      <c r="F16024" s="42"/>
      <c r="G16024" s="42"/>
      <c r="H16024" s="42"/>
      <c r="AG16024" s="19"/>
    </row>
    <row r="16025" spans="1:33" ht="14.5" x14ac:dyDescent="0.35">
      <c r="A16025" s="34"/>
      <c r="B16025" s="35"/>
      <c r="C16025" s="36"/>
      <c r="D16025" s="37"/>
      <c r="E16025" s="36"/>
      <c r="F16025" s="42"/>
      <c r="G16025" s="42"/>
      <c r="H16025" s="42"/>
      <c r="AG16025" s="19"/>
    </row>
    <row r="16026" spans="1:33" ht="14.5" x14ac:dyDescent="0.35">
      <c r="A16026" s="34"/>
      <c r="B16026" s="35"/>
      <c r="C16026" s="36"/>
      <c r="D16026" s="37"/>
      <c r="E16026" s="36"/>
      <c r="F16026" s="42"/>
      <c r="G16026" s="42"/>
      <c r="H16026" s="42"/>
      <c r="AG16026" s="19"/>
    </row>
    <row r="16027" spans="1:33" ht="14.5" x14ac:dyDescent="0.35">
      <c r="A16027" s="34"/>
      <c r="B16027" s="35"/>
      <c r="C16027" s="36"/>
      <c r="D16027" s="37"/>
      <c r="E16027" s="36"/>
      <c r="F16027" s="42"/>
      <c r="G16027" s="42"/>
      <c r="H16027" s="42"/>
      <c r="AG16027" s="19"/>
    </row>
    <row r="16028" spans="1:33" ht="14.5" x14ac:dyDescent="0.35">
      <c r="A16028" s="34"/>
      <c r="B16028" s="35"/>
      <c r="C16028" s="36"/>
      <c r="D16028" s="37"/>
      <c r="E16028" s="36"/>
      <c r="F16028" s="42"/>
      <c r="G16028" s="42"/>
      <c r="H16028" s="42"/>
      <c r="AG16028" s="19"/>
    </row>
    <row r="16029" spans="1:33" ht="14.5" x14ac:dyDescent="0.35">
      <c r="A16029" s="34"/>
      <c r="B16029" s="35"/>
      <c r="C16029" s="36"/>
      <c r="D16029" s="37"/>
      <c r="E16029" s="36"/>
      <c r="F16029" s="42"/>
      <c r="G16029" s="42"/>
      <c r="H16029" s="42"/>
      <c r="AG16029" s="19"/>
    </row>
    <row r="16030" spans="1:33" ht="14.5" x14ac:dyDescent="0.35">
      <c r="A16030" s="34"/>
      <c r="B16030" s="35"/>
      <c r="C16030" s="36"/>
      <c r="D16030" s="37"/>
      <c r="E16030" s="36"/>
      <c r="F16030" s="42"/>
      <c r="G16030" s="42"/>
      <c r="H16030" s="42"/>
      <c r="AG16030" s="19"/>
    </row>
    <row r="16031" spans="1:33" ht="14.5" x14ac:dyDescent="0.35">
      <c r="A16031" s="34"/>
      <c r="B16031" s="35"/>
      <c r="C16031" s="36"/>
      <c r="D16031" s="37"/>
      <c r="E16031" s="36"/>
      <c r="F16031" s="42"/>
      <c r="G16031" s="42"/>
      <c r="H16031" s="42"/>
      <c r="AG16031" s="19"/>
    </row>
    <row r="16032" spans="1:33" ht="14.5" x14ac:dyDescent="0.35">
      <c r="A16032" s="34"/>
      <c r="B16032" s="35"/>
      <c r="C16032" s="36"/>
      <c r="D16032" s="37"/>
      <c r="E16032" s="36"/>
      <c r="F16032" s="42"/>
      <c r="G16032" s="42"/>
      <c r="H16032" s="42"/>
      <c r="AG16032" s="19"/>
    </row>
    <row r="16033" spans="1:33" ht="14.5" x14ac:dyDescent="0.35">
      <c r="A16033" s="34"/>
      <c r="B16033" s="35"/>
      <c r="C16033" s="36"/>
      <c r="D16033" s="37"/>
      <c r="E16033" s="36"/>
      <c r="F16033" s="42"/>
      <c r="G16033" s="42"/>
      <c r="H16033" s="42"/>
      <c r="AG16033" s="19"/>
    </row>
    <row r="16034" spans="1:33" ht="14.5" x14ac:dyDescent="0.35">
      <c r="A16034" s="34"/>
      <c r="B16034" s="35"/>
      <c r="C16034" s="36"/>
      <c r="D16034" s="37"/>
      <c r="E16034" s="36"/>
      <c r="F16034" s="42"/>
      <c r="G16034" s="42"/>
      <c r="H16034" s="42"/>
      <c r="AG16034" s="19"/>
    </row>
    <row r="16035" spans="1:33" ht="14.5" x14ac:dyDescent="0.35">
      <c r="A16035" s="34"/>
      <c r="B16035" s="35"/>
      <c r="C16035" s="36"/>
      <c r="D16035" s="37"/>
      <c r="E16035" s="36"/>
      <c r="F16035" s="42"/>
      <c r="G16035" s="42"/>
      <c r="H16035" s="42"/>
      <c r="AG16035" s="19"/>
    </row>
    <row r="16036" spans="1:33" ht="14.5" x14ac:dyDescent="0.35">
      <c r="A16036" s="34"/>
      <c r="B16036" s="35"/>
      <c r="C16036" s="36"/>
      <c r="D16036" s="37"/>
      <c r="E16036" s="36"/>
      <c r="F16036" s="42"/>
      <c r="G16036" s="42"/>
      <c r="H16036" s="42"/>
      <c r="AG16036" s="19"/>
    </row>
    <row r="16037" spans="1:33" ht="14.5" x14ac:dyDescent="0.35">
      <c r="A16037" s="34"/>
      <c r="B16037" s="35"/>
      <c r="C16037" s="36"/>
      <c r="D16037" s="37"/>
      <c r="E16037" s="36"/>
      <c r="F16037" s="42"/>
      <c r="G16037" s="42"/>
      <c r="H16037" s="42"/>
      <c r="AG16037" s="19"/>
    </row>
    <row r="16038" spans="1:33" ht="14.5" x14ac:dyDescent="0.35">
      <c r="A16038" s="34"/>
      <c r="B16038" s="35"/>
      <c r="C16038" s="36"/>
      <c r="D16038" s="37"/>
      <c r="E16038" s="36"/>
      <c r="F16038" s="42"/>
      <c r="G16038" s="42"/>
      <c r="H16038" s="42"/>
      <c r="AG16038" s="19"/>
    </row>
    <row r="16039" spans="1:33" ht="14.5" x14ac:dyDescent="0.35">
      <c r="A16039" s="34"/>
      <c r="B16039" s="35"/>
      <c r="C16039" s="36"/>
      <c r="D16039" s="37"/>
      <c r="E16039" s="36"/>
      <c r="F16039" s="42"/>
      <c r="G16039" s="42"/>
      <c r="H16039" s="42"/>
      <c r="AG16039" s="19"/>
    </row>
    <row r="16040" spans="1:33" ht="14.5" x14ac:dyDescent="0.35">
      <c r="A16040" s="34"/>
      <c r="B16040" s="35"/>
      <c r="C16040" s="36"/>
      <c r="D16040" s="37"/>
      <c r="E16040" s="36"/>
      <c r="F16040" s="42"/>
      <c r="G16040" s="42"/>
      <c r="H16040" s="42"/>
      <c r="AG16040" s="19"/>
    </row>
    <row r="16041" spans="1:33" ht="14.5" x14ac:dyDescent="0.35">
      <c r="A16041" s="34"/>
      <c r="B16041" s="35"/>
      <c r="C16041" s="36"/>
      <c r="D16041" s="37"/>
      <c r="E16041" s="36"/>
      <c r="F16041" s="42"/>
      <c r="G16041" s="42"/>
      <c r="H16041" s="42"/>
      <c r="AG16041" s="19"/>
    </row>
    <row r="16042" spans="1:33" ht="14.5" x14ac:dyDescent="0.35">
      <c r="A16042" s="34"/>
      <c r="B16042" s="35"/>
      <c r="C16042" s="36"/>
      <c r="D16042" s="37"/>
      <c r="E16042" s="36"/>
      <c r="F16042" s="42"/>
      <c r="G16042" s="42"/>
      <c r="H16042" s="42"/>
      <c r="AG16042" s="19"/>
    </row>
    <row r="16043" spans="1:33" ht="14.5" x14ac:dyDescent="0.35">
      <c r="A16043" s="34"/>
      <c r="B16043" s="35"/>
      <c r="C16043" s="36"/>
      <c r="D16043" s="37"/>
      <c r="E16043" s="36"/>
      <c r="F16043" s="42"/>
      <c r="G16043" s="42"/>
      <c r="H16043" s="42"/>
      <c r="AG16043" s="19"/>
    </row>
    <row r="16044" spans="1:33" ht="14.5" x14ac:dyDescent="0.35">
      <c r="A16044" s="34"/>
      <c r="B16044" s="35"/>
      <c r="C16044" s="36"/>
      <c r="D16044" s="37"/>
      <c r="E16044" s="36"/>
      <c r="F16044" s="42"/>
      <c r="G16044" s="42"/>
      <c r="H16044" s="42"/>
      <c r="AG16044" s="19"/>
    </row>
    <row r="16045" spans="1:33" ht="14.5" x14ac:dyDescent="0.35">
      <c r="A16045" s="34"/>
      <c r="B16045" s="35"/>
      <c r="C16045" s="36"/>
      <c r="D16045" s="37"/>
      <c r="E16045" s="36"/>
      <c r="F16045" s="42"/>
      <c r="G16045" s="42"/>
      <c r="H16045" s="42"/>
      <c r="AG16045" s="19"/>
    </row>
    <row r="16046" spans="1:33" ht="14.5" x14ac:dyDescent="0.35">
      <c r="A16046" s="34"/>
      <c r="B16046" s="35"/>
      <c r="C16046" s="36"/>
      <c r="D16046" s="37"/>
      <c r="E16046" s="36"/>
      <c r="F16046" s="42"/>
      <c r="G16046" s="42"/>
      <c r="H16046" s="42"/>
      <c r="AG16046" s="19"/>
    </row>
    <row r="16047" spans="1:33" ht="14.5" x14ac:dyDescent="0.35">
      <c r="A16047" s="34"/>
      <c r="B16047" s="35"/>
      <c r="C16047" s="36"/>
      <c r="D16047" s="37"/>
      <c r="E16047" s="36"/>
      <c r="F16047" s="42"/>
      <c r="G16047" s="42"/>
      <c r="H16047" s="42"/>
      <c r="AG16047" s="19"/>
    </row>
    <row r="16048" spans="1:33" ht="14.5" x14ac:dyDescent="0.35">
      <c r="A16048" s="34"/>
      <c r="B16048" s="35"/>
      <c r="C16048" s="36"/>
      <c r="D16048" s="37"/>
      <c r="E16048" s="36"/>
      <c r="F16048" s="42"/>
      <c r="G16048" s="42"/>
      <c r="H16048" s="42"/>
      <c r="AG16048" s="19"/>
    </row>
    <row r="16049" spans="1:33" ht="14.5" x14ac:dyDescent="0.35">
      <c r="A16049" s="34"/>
      <c r="B16049" s="35"/>
      <c r="C16049" s="36"/>
      <c r="D16049" s="37"/>
      <c r="E16049" s="36"/>
      <c r="F16049" s="42"/>
      <c r="G16049" s="42"/>
      <c r="H16049" s="42"/>
      <c r="AG16049" s="19"/>
    </row>
    <row r="16050" spans="1:33" ht="14.5" x14ac:dyDescent="0.35">
      <c r="A16050" s="34"/>
      <c r="B16050" s="35"/>
      <c r="C16050" s="36"/>
      <c r="D16050" s="37"/>
      <c r="E16050" s="36"/>
      <c r="F16050" s="42"/>
      <c r="G16050" s="42"/>
      <c r="H16050" s="42"/>
      <c r="AG16050" s="19"/>
    </row>
    <row r="16051" spans="1:33" ht="14.5" x14ac:dyDescent="0.35">
      <c r="A16051" s="34"/>
      <c r="B16051" s="35"/>
      <c r="C16051" s="36"/>
      <c r="D16051" s="37"/>
      <c r="E16051" s="36"/>
      <c r="F16051" s="42"/>
      <c r="G16051" s="42"/>
      <c r="H16051" s="42"/>
      <c r="AG16051" s="19"/>
    </row>
    <row r="16052" spans="1:33" ht="14.5" x14ac:dyDescent="0.35">
      <c r="A16052" s="34"/>
      <c r="B16052" s="35"/>
      <c r="C16052" s="36"/>
      <c r="D16052" s="37"/>
      <c r="E16052" s="36"/>
      <c r="F16052" s="42"/>
      <c r="G16052" s="42"/>
      <c r="H16052" s="42"/>
      <c r="AG16052" s="19"/>
    </row>
    <row r="16053" spans="1:33" ht="14.5" x14ac:dyDescent="0.35">
      <c r="A16053" s="34"/>
      <c r="B16053" s="35"/>
      <c r="C16053" s="36"/>
      <c r="D16053" s="37"/>
      <c r="E16053" s="36"/>
      <c r="F16053" s="42"/>
      <c r="G16053" s="42"/>
      <c r="H16053" s="42"/>
      <c r="AG16053" s="19"/>
    </row>
    <row r="16054" spans="1:33" ht="14.5" x14ac:dyDescent="0.35">
      <c r="A16054" s="34"/>
      <c r="B16054" s="35"/>
      <c r="C16054" s="36"/>
      <c r="D16054" s="37"/>
      <c r="E16054" s="36"/>
      <c r="F16054" s="42"/>
      <c r="G16054" s="42"/>
      <c r="H16054" s="42"/>
      <c r="AG16054" s="19"/>
    </row>
    <row r="16055" spans="1:33" ht="14.5" x14ac:dyDescent="0.35">
      <c r="A16055" s="34"/>
      <c r="B16055" s="35"/>
      <c r="C16055" s="36"/>
      <c r="D16055" s="37"/>
      <c r="E16055" s="36"/>
      <c r="F16055" s="42"/>
      <c r="G16055" s="42"/>
      <c r="H16055" s="42"/>
      <c r="AG16055" s="19"/>
    </row>
    <row r="16056" spans="1:33" ht="14.5" x14ac:dyDescent="0.35">
      <c r="A16056" s="34"/>
      <c r="B16056" s="35"/>
      <c r="C16056" s="36"/>
      <c r="D16056" s="37"/>
      <c r="E16056" s="36"/>
      <c r="F16056" s="42"/>
      <c r="G16056" s="42"/>
      <c r="H16056" s="42"/>
      <c r="AG16056" s="19"/>
    </row>
    <row r="16057" spans="1:33" ht="14.5" x14ac:dyDescent="0.35">
      <c r="A16057" s="34"/>
      <c r="B16057" s="35"/>
      <c r="C16057" s="36"/>
      <c r="D16057" s="37"/>
      <c r="E16057" s="36"/>
      <c r="F16057" s="42"/>
      <c r="G16057" s="42"/>
      <c r="H16057" s="42"/>
      <c r="AG16057" s="19"/>
    </row>
    <row r="16058" spans="1:33" ht="14.5" x14ac:dyDescent="0.35">
      <c r="A16058" s="34"/>
      <c r="B16058" s="35"/>
      <c r="C16058" s="36"/>
      <c r="D16058" s="37"/>
      <c r="E16058" s="36"/>
      <c r="F16058" s="42"/>
      <c r="G16058" s="42"/>
      <c r="H16058" s="42"/>
      <c r="AG16058" s="19"/>
    </row>
    <row r="16059" spans="1:33" ht="14.5" x14ac:dyDescent="0.35">
      <c r="A16059" s="34"/>
      <c r="B16059" s="35"/>
      <c r="C16059" s="36"/>
      <c r="D16059" s="37"/>
      <c r="E16059" s="36"/>
      <c r="F16059" s="42"/>
      <c r="G16059" s="42"/>
      <c r="H16059" s="42"/>
      <c r="AG16059" s="19"/>
    </row>
    <row r="16060" spans="1:33" ht="14.5" x14ac:dyDescent="0.35">
      <c r="A16060" s="34"/>
      <c r="B16060" s="35"/>
      <c r="C16060" s="36"/>
      <c r="D16060" s="37"/>
      <c r="E16060" s="36"/>
      <c r="F16060" s="42"/>
      <c r="G16060" s="42"/>
      <c r="H16060" s="42"/>
      <c r="AG16060" s="19"/>
    </row>
    <row r="16061" spans="1:33" ht="14.5" x14ac:dyDescent="0.35">
      <c r="A16061" s="34"/>
      <c r="B16061" s="35"/>
      <c r="C16061" s="36"/>
      <c r="D16061" s="37"/>
      <c r="E16061" s="36"/>
      <c r="F16061" s="42"/>
      <c r="G16061" s="42"/>
      <c r="H16061" s="42"/>
      <c r="AG16061" s="19"/>
    </row>
    <row r="16062" spans="1:33" ht="14.5" x14ac:dyDescent="0.35">
      <c r="A16062" s="34"/>
      <c r="B16062" s="35"/>
      <c r="C16062" s="36"/>
      <c r="D16062" s="37"/>
      <c r="E16062" s="36"/>
      <c r="F16062" s="42"/>
      <c r="G16062" s="42"/>
      <c r="H16062" s="42"/>
      <c r="AG16062" s="19"/>
    </row>
    <row r="16063" spans="1:33" ht="14.5" x14ac:dyDescent="0.35">
      <c r="A16063" s="34"/>
      <c r="B16063" s="35"/>
      <c r="C16063" s="36"/>
      <c r="D16063" s="37"/>
      <c r="E16063" s="36"/>
      <c r="F16063" s="42"/>
      <c r="G16063" s="42"/>
      <c r="H16063" s="42"/>
      <c r="AG16063" s="19"/>
    </row>
    <row r="16064" spans="1:33" ht="14.5" x14ac:dyDescent="0.35">
      <c r="A16064" s="34"/>
      <c r="B16064" s="35"/>
      <c r="C16064" s="36"/>
      <c r="D16064" s="37"/>
      <c r="E16064" s="36"/>
      <c r="F16064" s="42"/>
      <c r="G16064" s="42"/>
      <c r="H16064" s="42"/>
      <c r="AG16064" s="19"/>
    </row>
    <row r="16065" spans="1:33" ht="14.5" x14ac:dyDescent="0.35">
      <c r="A16065" s="34"/>
      <c r="B16065" s="35"/>
      <c r="C16065" s="36"/>
      <c r="D16065" s="37"/>
      <c r="E16065" s="36"/>
      <c r="F16065" s="42"/>
      <c r="G16065" s="42"/>
      <c r="H16065" s="42"/>
      <c r="AG16065" s="19"/>
    </row>
    <row r="16066" spans="1:33" ht="14.5" x14ac:dyDescent="0.35">
      <c r="A16066" s="34"/>
      <c r="B16066" s="35"/>
      <c r="C16066" s="36"/>
      <c r="D16066" s="37"/>
      <c r="E16066" s="36"/>
      <c r="F16066" s="42"/>
      <c r="G16066" s="42"/>
      <c r="H16066" s="42"/>
      <c r="AG16066" s="19"/>
    </row>
    <row r="16067" spans="1:33" ht="14.5" x14ac:dyDescent="0.35">
      <c r="A16067" s="34"/>
      <c r="B16067" s="35"/>
      <c r="C16067" s="36"/>
      <c r="D16067" s="37"/>
      <c r="E16067" s="36"/>
      <c r="F16067" s="42"/>
      <c r="G16067" s="42"/>
      <c r="H16067" s="42"/>
      <c r="AG16067" s="19"/>
    </row>
    <row r="16068" spans="1:33" ht="14.5" x14ac:dyDescent="0.35">
      <c r="A16068" s="34"/>
      <c r="B16068" s="35"/>
      <c r="C16068" s="36"/>
      <c r="D16068" s="37"/>
      <c r="E16068" s="36"/>
      <c r="F16068" s="42"/>
      <c r="G16068" s="42"/>
      <c r="H16068" s="42"/>
      <c r="AG16068" s="19"/>
    </row>
    <row r="16069" spans="1:33" ht="14.5" x14ac:dyDescent="0.35">
      <c r="A16069" s="34"/>
      <c r="B16069" s="35"/>
      <c r="C16069" s="36"/>
      <c r="D16069" s="37"/>
      <c r="E16069" s="36"/>
      <c r="F16069" s="42"/>
      <c r="G16069" s="42"/>
      <c r="H16069" s="42"/>
      <c r="AG16069" s="19"/>
    </row>
    <row r="16070" spans="1:33" ht="14.5" x14ac:dyDescent="0.35">
      <c r="A16070" s="34"/>
      <c r="B16070" s="35"/>
      <c r="C16070" s="36"/>
      <c r="D16070" s="37"/>
      <c r="E16070" s="36"/>
      <c r="F16070" s="42"/>
      <c r="G16070" s="42"/>
      <c r="H16070" s="42"/>
      <c r="AG16070" s="19"/>
    </row>
    <row r="16071" spans="1:33" ht="14.5" x14ac:dyDescent="0.35">
      <c r="A16071" s="34"/>
      <c r="B16071" s="35"/>
      <c r="C16071" s="36"/>
      <c r="D16071" s="37"/>
      <c r="E16071" s="36"/>
      <c r="F16071" s="42"/>
      <c r="G16071" s="42"/>
      <c r="H16071" s="42"/>
      <c r="AG16071" s="19"/>
    </row>
    <row r="16072" spans="1:33" ht="14.5" x14ac:dyDescent="0.35">
      <c r="A16072" s="34"/>
      <c r="B16072" s="35"/>
      <c r="C16072" s="36"/>
      <c r="D16072" s="37"/>
      <c r="E16072" s="36"/>
      <c r="F16072" s="42"/>
      <c r="G16072" s="42"/>
      <c r="H16072" s="42"/>
      <c r="AG16072" s="19"/>
    </row>
    <row r="16073" spans="1:33" ht="14.5" x14ac:dyDescent="0.35">
      <c r="A16073" s="34"/>
      <c r="B16073" s="35"/>
      <c r="C16073" s="36"/>
      <c r="D16073" s="37"/>
      <c r="E16073" s="36"/>
      <c r="F16073" s="42"/>
      <c r="G16073" s="42"/>
      <c r="H16073" s="42"/>
      <c r="AG16073" s="19"/>
    </row>
    <row r="16074" spans="1:33" ht="14.5" x14ac:dyDescent="0.35">
      <c r="A16074" s="34"/>
      <c r="B16074" s="35"/>
      <c r="C16074" s="36"/>
      <c r="D16074" s="37"/>
      <c r="E16074" s="36"/>
      <c r="F16074" s="42"/>
      <c r="G16074" s="42"/>
      <c r="H16074" s="42"/>
      <c r="AG16074" s="19"/>
    </row>
    <row r="16075" spans="1:33" ht="14.5" x14ac:dyDescent="0.35">
      <c r="A16075" s="34"/>
      <c r="B16075" s="35"/>
      <c r="C16075" s="36"/>
      <c r="D16075" s="37"/>
      <c r="E16075" s="36"/>
      <c r="F16075" s="42"/>
      <c r="G16075" s="42"/>
      <c r="H16075" s="42"/>
      <c r="AG16075" s="19"/>
    </row>
    <row r="16076" spans="1:33" ht="14.5" x14ac:dyDescent="0.35">
      <c r="A16076" s="34"/>
      <c r="B16076" s="35"/>
      <c r="C16076" s="36"/>
      <c r="D16076" s="37"/>
      <c r="E16076" s="36"/>
      <c r="F16076" s="42"/>
      <c r="G16076" s="42"/>
      <c r="H16076" s="42"/>
      <c r="AG16076" s="19"/>
    </row>
    <row r="16077" spans="1:33" ht="14.5" x14ac:dyDescent="0.35">
      <c r="A16077" s="34"/>
      <c r="B16077" s="35"/>
      <c r="C16077" s="36"/>
      <c r="D16077" s="37"/>
      <c r="E16077" s="36"/>
      <c r="F16077" s="42"/>
      <c r="G16077" s="42"/>
      <c r="H16077" s="42"/>
      <c r="AG16077" s="19"/>
    </row>
    <row r="16078" spans="1:33" ht="14.5" x14ac:dyDescent="0.35">
      <c r="A16078" s="34"/>
      <c r="B16078" s="35"/>
      <c r="C16078" s="36"/>
      <c r="D16078" s="37"/>
      <c r="E16078" s="36"/>
      <c r="F16078" s="42"/>
      <c r="G16078" s="42"/>
      <c r="H16078" s="42"/>
      <c r="AG16078" s="19"/>
    </row>
    <row r="16079" spans="1:33" ht="14.5" x14ac:dyDescent="0.35">
      <c r="A16079" s="34"/>
      <c r="B16079" s="35"/>
      <c r="C16079" s="36"/>
      <c r="D16079" s="37"/>
      <c r="E16079" s="36"/>
      <c r="F16079" s="42"/>
      <c r="G16079" s="42"/>
      <c r="H16079" s="42"/>
      <c r="AG16079" s="19"/>
    </row>
    <row r="16080" spans="1:33" ht="14.5" x14ac:dyDescent="0.35">
      <c r="A16080" s="34"/>
      <c r="B16080" s="35"/>
      <c r="C16080" s="36"/>
      <c r="D16080" s="37"/>
      <c r="E16080" s="36"/>
      <c r="F16080" s="42"/>
      <c r="G16080" s="42"/>
      <c r="H16080" s="42"/>
      <c r="AG16080" s="19"/>
    </row>
    <row r="16081" spans="1:33" ht="14.5" x14ac:dyDescent="0.35">
      <c r="A16081" s="34"/>
      <c r="B16081" s="35"/>
      <c r="C16081" s="36"/>
      <c r="D16081" s="37"/>
      <c r="E16081" s="36"/>
      <c r="F16081" s="42"/>
      <c r="G16081" s="42"/>
      <c r="H16081" s="42"/>
      <c r="AG16081" s="19"/>
    </row>
    <row r="16082" spans="1:33" ht="14.5" x14ac:dyDescent="0.35">
      <c r="A16082" s="34"/>
      <c r="B16082" s="35"/>
      <c r="C16082" s="36"/>
      <c r="D16082" s="37"/>
      <c r="E16082" s="36"/>
      <c r="F16082" s="42"/>
      <c r="G16082" s="42"/>
      <c r="H16082" s="42"/>
      <c r="AG16082" s="19"/>
    </row>
    <row r="16083" spans="1:33" ht="14.5" x14ac:dyDescent="0.35">
      <c r="A16083" s="34"/>
      <c r="B16083" s="35"/>
      <c r="C16083" s="36"/>
      <c r="D16083" s="37"/>
      <c r="E16083" s="36"/>
      <c r="F16083" s="42"/>
      <c r="G16083" s="42"/>
      <c r="H16083" s="42"/>
      <c r="AG16083" s="19"/>
    </row>
    <row r="16084" spans="1:33" ht="14.5" x14ac:dyDescent="0.35">
      <c r="A16084" s="34"/>
      <c r="B16084" s="35"/>
      <c r="C16084" s="36"/>
      <c r="D16084" s="37"/>
      <c r="E16084" s="36"/>
      <c r="F16084" s="42"/>
      <c r="G16084" s="42"/>
      <c r="H16084" s="42"/>
      <c r="AG16084" s="19"/>
    </row>
    <row r="16085" spans="1:33" ht="14.5" x14ac:dyDescent="0.35">
      <c r="A16085" s="34"/>
      <c r="B16085" s="35"/>
      <c r="C16085" s="36"/>
      <c r="D16085" s="37"/>
      <c r="E16085" s="36"/>
      <c r="F16085" s="42"/>
      <c r="G16085" s="42"/>
      <c r="H16085" s="42"/>
      <c r="AG16085" s="19"/>
    </row>
    <row r="16086" spans="1:33" ht="14.5" x14ac:dyDescent="0.35">
      <c r="A16086" s="34"/>
      <c r="B16086" s="35"/>
      <c r="C16086" s="36"/>
      <c r="D16086" s="37"/>
      <c r="E16086" s="36"/>
      <c r="F16086" s="42"/>
      <c r="G16086" s="42"/>
      <c r="H16086" s="42"/>
      <c r="AG16086" s="19"/>
    </row>
    <row r="16087" spans="1:33" ht="14.5" x14ac:dyDescent="0.35">
      <c r="A16087" s="34"/>
      <c r="B16087" s="35"/>
      <c r="C16087" s="36"/>
      <c r="D16087" s="37"/>
      <c r="E16087" s="36"/>
      <c r="F16087" s="42"/>
      <c r="G16087" s="42"/>
      <c r="H16087" s="42"/>
      <c r="AG16087" s="19"/>
    </row>
    <row r="16088" spans="1:33" ht="14.5" x14ac:dyDescent="0.35">
      <c r="A16088" s="34"/>
      <c r="B16088" s="35"/>
      <c r="C16088" s="36"/>
      <c r="D16088" s="37"/>
      <c r="E16088" s="36"/>
      <c r="F16088" s="42"/>
      <c r="G16088" s="42"/>
      <c r="H16088" s="42"/>
      <c r="AG16088" s="19"/>
    </row>
    <row r="16089" spans="1:33" ht="14.5" x14ac:dyDescent="0.35">
      <c r="A16089" s="34"/>
      <c r="B16089" s="35"/>
      <c r="C16089" s="36"/>
      <c r="D16089" s="37"/>
      <c r="E16089" s="36"/>
      <c r="F16089" s="42"/>
      <c r="G16089" s="42"/>
      <c r="H16089" s="42"/>
      <c r="AG16089" s="19"/>
    </row>
    <row r="16090" spans="1:33" ht="14.5" x14ac:dyDescent="0.35">
      <c r="A16090" s="34"/>
      <c r="B16090" s="35"/>
      <c r="C16090" s="36"/>
      <c r="D16090" s="37"/>
      <c r="E16090" s="36"/>
      <c r="F16090" s="42"/>
      <c r="G16090" s="42"/>
      <c r="H16090" s="42"/>
      <c r="AG16090" s="19"/>
    </row>
    <row r="16091" spans="1:33" ht="14.5" x14ac:dyDescent="0.35">
      <c r="A16091" s="34"/>
      <c r="B16091" s="35"/>
      <c r="C16091" s="36"/>
      <c r="D16091" s="37"/>
      <c r="E16091" s="36"/>
      <c r="F16091" s="42"/>
      <c r="G16091" s="42"/>
      <c r="H16091" s="42"/>
      <c r="AG16091" s="19"/>
    </row>
    <row r="16092" spans="1:33" ht="14.5" x14ac:dyDescent="0.35">
      <c r="A16092" s="34"/>
      <c r="B16092" s="35"/>
      <c r="C16092" s="36"/>
      <c r="D16092" s="37"/>
      <c r="E16092" s="36"/>
      <c r="F16092" s="42"/>
      <c r="G16092" s="42"/>
      <c r="H16092" s="42"/>
      <c r="AG16092" s="19"/>
    </row>
    <row r="16093" spans="1:33" ht="14.5" x14ac:dyDescent="0.35">
      <c r="A16093" s="34"/>
      <c r="B16093" s="35"/>
      <c r="C16093" s="36"/>
      <c r="D16093" s="37"/>
      <c r="E16093" s="36"/>
      <c r="F16093" s="42"/>
      <c r="G16093" s="42"/>
      <c r="H16093" s="42"/>
      <c r="AG16093" s="19"/>
    </row>
    <row r="16094" spans="1:33" ht="14.5" x14ac:dyDescent="0.35">
      <c r="A16094" s="34"/>
      <c r="B16094" s="35"/>
      <c r="C16094" s="36"/>
      <c r="D16094" s="37"/>
      <c r="E16094" s="36"/>
      <c r="F16094" s="42"/>
      <c r="G16094" s="42"/>
      <c r="H16094" s="42"/>
      <c r="AG16094" s="19"/>
    </row>
    <row r="16095" spans="1:33" ht="14.5" x14ac:dyDescent="0.35">
      <c r="A16095" s="34"/>
      <c r="B16095" s="35"/>
      <c r="C16095" s="36"/>
      <c r="D16095" s="37"/>
      <c r="E16095" s="36"/>
      <c r="F16095" s="42"/>
      <c r="G16095" s="42"/>
      <c r="H16095" s="42"/>
      <c r="AG16095" s="19"/>
    </row>
    <row r="16096" spans="1:33" ht="14.5" x14ac:dyDescent="0.35">
      <c r="A16096" s="34"/>
      <c r="B16096" s="35"/>
      <c r="C16096" s="36"/>
      <c r="D16096" s="37"/>
      <c r="E16096" s="36"/>
      <c r="F16096" s="42"/>
      <c r="G16096" s="42"/>
      <c r="H16096" s="42"/>
      <c r="AG16096" s="19"/>
    </row>
    <row r="16097" spans="1:33" ht="14.5" x14ac:dyDescent="0.35">
      <c r="A16097" s="34"/>
      <c r="B16097" s="35"/>
      <c r="C16097" s="36"/>
      <c r="D16097" s="37"/>
      <c r="E16097" s="36"/>
      <c r="F16097" s="42"/>
      <c r="G16097" s="42"/>
      <c r="H16097" s="42"/>
      <c r="AG16097" s="19"/>
    </row>
    <row r="16098" spans="1:33" ht="14.5" x14ac:dyDescent="0.35">
      <c r="A16098" s="34"/>
      <c r="B16098" s="35"/>
      <c r="C16098" s="36"/>
      <c r="D16098" s="37"/>
      <c r="E16098" s="36"/>
      <c r="F16098" s="42"/>
      <c r="G16098" s="42"/>
      <c r="H16098" s="42"/>
      <c r="AG16098" s="19"/>
    </row>
    <row r="16099" spans="1:33" ht="14.5" x14ac:dyDescent="0.35">
      <c r="A16099" s="34"/>
      <c r="B16099" s="35"/>
      <c r="C16099" s="36"/>
      <c r="D16099" s="37"/>
      <c r="E16099" s="36"/>
      <c r="F16099" s="42"/>
      <c r="G16099" s="42"/>
      <c r="H16099" s="42"/>
      <c r="AG16099" s="19"/>
    </row>
    <row r="16100" spans="1:33" ht="14.5" x14ac:dyDescent="0.35">
      <c r="A16100" s="34"/>
      <c r="B16100" s="35"/>
      <c r="C16100" s="36"/>
      <c r="D16100" s="37"/>
      <c r="E16100" s="36"/>
      <c r="F16100" s="42"/>
      <c r="G16100" s="42"/>
      <c r="H16100" s="42"/>
      <c r="AG16100" s="19"/>
    </row>
    <row r="16101" spans="1:33" ht="14.5" x14ac:dyDescent="0.35">
      <c r="A16101" s="34"/>
      <c r="B16101" s="35"/>
      <c r="C16101" s="36"/>
      <c r="D16101" s="37"/>
      <c r="E16101" s="36"/>
      <c r="F16101" s="42"/>
      <c r="G16101" s="42"/>
      <c r="H16101" s="42"/>
      <c r="AG16101" s="19"/>
    </row>
    <row r="16102" spans="1:33" ht="14.5" x14ac:dyDescent="0.35">
      <c r="A16102" s="34"/>
      <c r="B16102" s="35"/>
      <c r="C16102" s="36"/>
      <c r="D16102" s="37"/>
      <c r="E16102" s="36"/>
      <c r="F16102" s="42"/>
      <c r="G16102" s="42"/>
      <c r="H16102" s="42"/>
      <c r="AG16102" s="19"/>
    </row>
    <row r="16103" spans="1:33" ht="14.5" x14ac:dyDescent="0.35">
      <c r="A16103" s="34"/>
      <c r="B16103" s="35"/>
      <c r="C16103" s="36"/>
      <c r="D16103" s="37"/>
      <c r="E16103" s="36"/>
      <c r="F16103" s="42"/>
      <c r="G16103" s="42"/>
      <c r="H16103" s="42"/>
      <c r="AG16103" s="19"/>
    </row>
    <row r="16104" spans="1:33" ht="14.5" x14ac:dyDescent="0.35">
      <c r="A16104" s="34"/>
      <c r="B16104" s="35"/>
      <c r="C16104" s="36"/>
      <c r="D16104" s="37"/>
      <c r="E16104" s="36"/>
      <c r="F16104" s="42"/>
      <c r="G16104" s="42"/>
      <c r="H16104" s="42"/>
      <c r="AG16104" s="19"/>
    </row>
    <row r="16105" spans="1:33" ht="14.5" x14ac:dyDescent="0.35">
      <c r="A16105" s="34"/>
      <c r="B16105" s="35"/>
      <c r="C16105" s="36"/>
      <c r="D16105" s="37"/>
      <c r="E16105" s="36"/>
      <c r="F16105" s="42"/>
      <c r="G16105" s="42"/>
      <c r="H16105" s="42"/>
      <c r="AG16105" s="19"/>
    </row>
    <row r="16106" spans="1:33" ht="14.5" x14ac:dyDescent="0.35">
      <c r="A16106" s="34"/>
      <c r="B16106" s="35"/>
      <c r="C16106" s="36"/>
      <c r="D16106" s="37"/>
      <c r="E16106" s="36"/>
      <c r="F16106" s="42"/>
      <c r="G16106" s="42"/>
      <c r="H16106" s="42"/>
      <c r="AG16106" s="19"/>
    </row>
    <row r="16107" spans="1:33" ht="14.5" x14ac:dyDescent="0.35">
      <c r="A16107" s="34"/>
      <c r="B16107" s="35"/>
      <c r="C16107" s="36"/>
      <c r="D16107" s="37"/>
      <c r="E16107" s="36"/>
      <c r="F16107" s="42"/>
      <c r="G16107" s="42"/>
      <c r="H16107" s="42"/>
      <c r="AG16107" s="19"/>
    </row>
    <row r="16108" spans="1:33" ht="14.5" x14ac:dyDescent="0.35">
      <c r="A16108" s="34"/>
      <c r="B16108" s="35"/>
      <c r="C16108" s="36"/>
      <c r="D16108" s="37"/>
      <c r="E16108" s="36"/>
      <c r="F16108" s="42"/>
      <c r="G16108" s="42"/>
      <c r="H16108" s="42"/>
      <c r="AG16108" s="19"/>
    </row>
    <row r="16109" spans="1:33" ht="14.5" x14ac:dyDescent="0.35">
      <c r="A16109" s="34"/>
      <c r="B16109" s="35"/>
      <c r="C16109" s="36"/>
      <c r="D16109" s="37"/>
      <c r="E16109" s="36"/>
      <c r="F16109" s="42"/>
      <c r="G16109" s="42"/>
      <c r="H16109" s="42"/>
      <c r="AG16109" s="19"/>
    </row>
    <row r="16110" spans="1:33" ht="14.5" x14ac:dyDescent="0.35">
      <c r="A16110" s="34"/>
      <c r="B16110" s="35"/>
      <c r="C16110" s="36"/>
      <c r="D16110" s="37"/>
      <c r="E16110" s="36"/>
      <c r="F16110" s="42"/>
      <c r="G16110" s="42"/>
      <c r="H16110" s="42"/>
      <c r="AG16110" s="19"/>
    </row>
    <row r="16111" spans="1:33" ht="14.5" x14ac:dyDescent="0.35">
      <c r="A16111" s="34"/>
      <c r="B16111" s="35"/>
      <c r="C16111" s="36"/>
      <c r="D16111" s="37"/>
      <c r="E16111" s="36"/>
      <c r="F16111" s="42"/>
      <c r="G16111" s="42"/>
      <c r="H16111" s="42"/>
      <c r="AG16111" s="19"/>
    </row>
    <row r="16112" spans="1:33" ht="14.5" x14ac:dyDescent="0.35">
      <c r="A16112" s="34"/>
      <c r="B16112" s="35"/>
      <c r="C16112" s="36"/>
      <c r="D16112" s="37"/>
      <c r="E16112" s="36"/>
      <c r="F16112" s="42"/>
      <c r="G16112" s="42"/>
      <c r="H16112" s="42"/>
      <c r="AG16112" s="19"/>
    </row>
    <row r="16113" spans="1:33" ht="14.5" x14ac:dyDescent="0.35">
      <c r="A16113" s="34"/>
      <c r="B16113" s="35"/>
      <c r="C16113" s="36"/>
      <c r="D16113" s="37"/>
      <c r="E16113" s="36"/>
      <c r="F16113" s="42"/>
      <c r="G16113" s="42"/>
      <c r="H16113" s="42"/>
      <c r="AG16113" s="19"/>
    </row>
    <row r="16114" spans="1:33" ht="14.5" x14ac:dyDescent="0.35">
      <c r="A16114" s="34"/>
      <c r="B16114" s="35"/>
      <c r="C16114" s="36"/>
      <c r="D16114" s="37"/>
      <c r="E16114" s="36"/>
      <c r="F16114" s="42"/>
      <c r="G16114" s="42"/>
      <c r="H16114" s="42"/>
      <c r="AG16114" s="19"/>
    </row>
    <row r="16115" spans="1:33" ht="14.5" x14ac:dyDescent="0.35">
      <c r="A16115" s="34"/>
      <c r="B16115" s="35"/>
      <c r="C16115" s="36"/>
      <c r="D16115" s="37"/>
      <c r="E16115" s="36"/>
      <c r="F16115" s="42"/>
      <c r="G16115" s="42"/>
      <c r="H16115" s="42"/>
      <c r="AG16115" s="19"/>
    </row>
    <row r="16116" spans="1:33" ht="14.5" x14ac:dyDescent="0.35">
      <c r="A16116" s="34"/>
      <c r="B16116" s="35"/>
      <c r="C16116" s="36"/>
      <c r="D16116" s="37"/>
      <c r="E16116" s="36"/>
      <c r="F16116" s="42"/>
      <c r="G16116" s="42"/>
      <c r="H16116" s="42"/>
      <c r="AG16116" s="19"/>
    </row>
    <row r="16117" spans="1:33" ht="14.5" x14ac:dyDescent="0.35">
      <c r="A16117" s="34"/>
      <c r="B16117" s="35"/>
      <c r="C16117" s="36"/>
      <c r="D16117" s="37"/>
      <c r="E16117" s="36"/>
      <c r="F16117" s="42"/>
      <c r="G16117" s="42"/>
      <c r="H16117" s="42"/>
      <c r="AG16117" s="19"/>
    </row>
    <row r="16118" spans="1:33" ht="14.5" x14ac:dyDescent="0.35">
      <c r="A16118" s="34"/>
      <c r="B16118" s="35"/>
      <c r="C16118" s="36"/>
      <c r="D16118" s="37"/>
      <c r="E16118" s="36"/>
      <c r="F16118" s="42"/>
      <c r="G16118" s="42"/>
      <c r="H16118" s="42"/>
      <c r="AG16118" s="19"/>
    </row>
    <row r="16119" spans="1:33" ht="14.5" x14ac:dyDescent="0.35">
      <c r="A16119" s="34"/>
      <c r="B16119" s="35"/>
      <c r="C16119" s="36"/>
      <c r="D16119" s="37"/>
      <c r="E16119" s="36"/>
      <c r="F16119" s="42"/>
      <c r="G16119" s="42"/>
      <c r="H16119" s="42"/>
      <c r="AG16119" s="19"/>
    </row>
    <row r="16120" spans="1:33" ht="14.5" x14ac:dyDescent="0.35">
      <c r="A16120" s="34"/>
      <c r="B16120" s="35"/>
      <c r="C16120" s="36"/>
      <c r="D16120" s="37"/>
      <c r="E16120" s="36"/>
      <c r="F16120" s="42"/>
      <c r="G16120" s="42"/>
      <c r="H16120" s="42"/>
      <c r="AG16120" s="19"/>
    </row>
    <row r="16121" spans="1:33" ht="14.5" x14ac:dyDescent="0.35">
      <c r="A16121" s="34"/>
      <c r="B16121" s="35"/>
      <c r="C16121" s="36"/>
      <c r="D16121" s="37"/>
      <c r="E16121" s="36"/>
      <c r="F16121" s="42"/>
      <c r="G16121" s="42"/>
      <c r="H16121" s="42"/>
      <c r="AG16121" s="19"/>
    </row>
    <row r="16122" spans="1:33" ht="14.5" x14ac:dyDescent="0.35">
      <c r="A16122" s="34"/>
      <c r="B16122" s="35"/>
      <c r="C16122" s="36"/>
      <c r="D16122" s="37"/>
      <c r="E16122" s="36"/>
      <c r="F16122" s="42"/>
      <c r="G16122" s="42"/>
      <c r="H16122" s="42"/>
      <c r="AG16122" s="19"/>
    </row>
    <row r="16123" spans="1:33" ht="14.5" x14ac:dyDescent="0.35">
      <c r="A16123" s="34"/>
      <c r="B16123" s="35"/>
      <c r="C16123" s="36"/>
      <c r="D16123" s="37"/>
      <c r="E16123" s="36"/>
      <c r="F16123" s="42"/>
      <c r="G16123" s="42"/>
      <c r="H16123" s="42"/>
      <c r="AG16123" s="19"/>
    </row>
    <row r="16124" spans="1:33" ht="14.5" x14ac:dyDescent="0.35">
      <c r="A16124" s="34"/>
      <c r="B16124" s="35"/>
      <c r="C16124" s="36"/>
      <c r="D16124" s="37"/>
      <c r="E16124" s="36"/>
      <c r="F16124" s="42"/>
      <c r="G16124" s="42"/>
      <c r="H16124" s="42"/>
      <c r="AG16124" s="19"/>
    </row>
    <row r="16125" spans="1:33" ht="14.5" x14ac:dyDescent="0.35">
      <c r="A16125" s="34"/>
      <c r="B16125" s="35"/>
      <c r="C16125" s="36"/>
      <c r="D16125" s="37"/>
      <c r="E16125" s="36"/>
      <c r="F16125" s="42"/>
      <c r="G16125" s="42"/>
      <c r="H16125" s="42"/>
      <c r="AG16125" s="19"/>
    </row>
    <row r="16126" spans="1:33" ht="14.5" x14ac:dyDescent="0.35">
      <c r="A16126" s="34"/>
      <c r="B16126" s="35"/>
      <c r="C16126" s="36"/>
      <c r="D16126" s="37"/>
      <c r="E16126" s="36"/>
      <c r="F16126" s="42"/>
      <c r="G16126" s="42"/>
      <c r="H16126" s="42"/>
      <c r="AG16126" s="19"/>
    </row>
    <row r="16127" spans="1:33" ht="14.5" x14ac:dyDescent="0.35">
      <c r="A16127" s="34"/>
      <c r="B16127" s="35"/>
      <c r="C16127" s="36"/>
      <c r="D16127" s="37"/>
      <c r="E16127" s="36"/>
      <c r="F16127" s="42"/>
      <c r="G16127" s="42"/>
      <c r="H16127" s="42"/>
      <c r="AG16127" s="19"/>
    </row>
    <row r="16128" spans="1:33" ht="14.5" x14ac:dyDescent="0.35">
      <c r="A16128" s="34"/>
      <c r="B16128" s="35"/>
      <c r="C16128" s="36"/>
      <c r="D16128" s="37"/>
      <c r="E16128" s="36"/>
      <c r="F16128" s="42"/>
      <c r="G16128" s="42"/>
      <c r="H16128" s="42"/>
      <c r="AG16128" s="19"/>
    </row>
    <row r="16129" spans="1:33" ht="14.5" x14ac:dyDescent="0.35">
      <c r="A16129" s="34"/>
      <c r="B16129" s="35"/>
      <c r="C16129" s="36"/>
      <c r="D16129" s="37"/>
      <c r="E16129" s="36"/>
      <c r="F16129" s="42"/>
      <c r="G16129" s="42"/>
      <c r="H16129" s="42"/>
      <c r="AG16129" s="19"/>
    </row>
    <row r="16130" spans="1:33" ht="14.5" x14ac:dyDescent="0.35">
      <c r="A16130" s="34"/>
      <c r="B16130" s="35"/>
      <c r="C16130" s="36"/>
      <c r="D16130" s="37"/>
      <c r="E16130" s="36"/>
      <c r="F16130" s="42"/>
      <c r="G16130" s="42"/>
      <c r="H16130" s="42"/>
      <c r="AG16130" s="19"/>
    </row>
    <row r="16131" spans="1:33" ht="14.5" x14ac:dyDescent="0.35">
      <c r="A16131" s="34"/>
      <c r="B16131" s="35"/>
      <c r="C16131" s="36"/>
      <c r="D16131" s="37"/>
      <c r="E16131" s="36"/>
      <c r="F16131" s="42"/>
      <c r="G16131" s="42"/>
      <c r="H16131" s="42"/>
      <c r="AG16131" s="19"/>
    </row>
    <row r="16132" spans="1:33" ht="14.5" x14ac:dyDescent="0.35">
      <c r="A16132" s="34"/>
      <c r="B16132" s="35"/>
      <c r="C16132" s="36"/>
      <c r="D16132" s="37"/>
      <c r="E16132" s="36"/>
      <c r="F16132" s="42"/>
      <c r="G16132" s="42"/>
      <c r="H16132" s="42"/>
      <c r="AG16132" s="19"/>
    </row>
    <row r="16133" spans="1:33" ht="14.5" x14ac:dyDescent="0.35">
      <c r="A16133" s="34"/>
      <c r="B16133" s="35"/>
      <c r="C16133" s="36"/>
      <c r="D16133" s="37"/>
      <c r="E16133" s="36"/>
      <c r="F16133" s="42"/>
      <c r="G16133" s="42"/>
      <c r="H16133" s="42"/>
      <c r="AG16133" s="19"/>
    </row>
    <row r="16134" spans="1:33" ht="14.5" x14ac:dyDescent="0.35">
      <c r="A16134" s="34"/>
      <c r="B16134" s="35"/>
      <c r="C16134" s="36"/>
      <c r="D16134" s="37"/>
      <c r="E16134" s="36"/>
      <c r="F16134" s="42"/>
      <c r="G16134" s="42"/>
      <c r="H16134" s="42"/>
      <c r="AG16134" s="19"/>
    </row>
    <row r="16135" spans="1:33" ht="14.5" x14ac:dyDescent="0.35">
      <c r="A16135" s="34"/>
      <c r="B16135" s="35"/>
      <c r="C16135" s="36"/>
      <c r="D16135" s="37"/>
      <c r="E16135" s="36"/>
      <c r="F16135" s="42"/>
      <c r="G16135" s="42"/>
      <c r="H16135" s="42"/>
      <c r="AG16135" s="19"/>
    </row>
    <row r="16136" spans="1:33" ht="14.5" x14ac:dyDescent="0.35">
      <c r="A16136" s="34"/>
      <c r="B16136" s="35"/>
      <c r="C16136" s="36"/>
      <c r="D16136" s="37"/>
      <c r="E16136" s="36"/>
      <c r="F16136" s="42"/>
      <c r="G16136" s="42"/>
      <c r="H16136" s="42"/>
      <c r="AG16136" s="19"/>
    </row>
    <row r="16137" spans="1:33" ht="14.5" x14ac:dyDescent="0.35">
      <c r="A16137" s="34"/>
      <c r="B16137" s="35"/>
      <c r="C16137" s="36"/>
      <c r="D16137" s="37"/>
      <c r="E16137" s="36"/>
      <c r="F16137" s="42"/>
      <c r="G16137" s="42"/>
      <c r="H16137" s="42"/>
      <c r="AG16137" s="19"/>
    </row>
    <row r="16138" spans="1:33" ht="14.5" x14ac:dyDescent="0.35">
      <c r="A16138" s="34"/>
      <c r="B16138" s="35"/>
      <c r="C16138" s="36"/>
      <c r="D16138" s="37"/>
      <c r="E16138" s="36"/>
      <c r="F16138" s="42"/>
      <c r="G16138" s="42"/>
      <c r="H16138" s="42"/>
      <c r="AG16138" s="19"/>
    </row>
    <row r="16139" spans="1:33" ht="14.5" x14ac:dyDescent="0.35">
      <c r="A16139" s="34"/>
      <c r="B16139" s="35"/>
      <c r="C16139" s="36"/>
      <c r="D16139" s="37"/>
      <c r="E16139" s="36"/>
      <c r="F16139" s="42"/>
      <c r="G16139" s="42"/>
      <c r="H16139" s="42"/>
      <c r="AG16139" s="19"/>
    </row>
    <row r="16140" spans="1:33" ht="14.5" x14ac:dyDescent="0.35">
      <c r="A16140" s="34"/>
      <c r="B16140" s="35"/>
      <c r="C16140" s="36"/>
      <c r="D16140" s="37"/>
      <c r="E16140" s="36"/>
      <c r="F16140" s="42"/>
      <c r="G16140" s="42"/>
      <c r="H16140" s="42"/>
      <c r="AG16140" s="19"/>
    </row>
    <row r="16141" spans="1:33" ht="14.5" x14ac:dyDescent="0.35">
      <c r="A16141" s="34"/>
      <c r="B16141" s="35"/>
      <c r="C16141" s="36"/>
      <c r="D16141" s="37"/>
      <c r="E16141" s="36"/>
      <c r="F16141" s="42"/>
      <c r="G16141" s="42"/>
      <c r="H16141" s="42"/>
      <c r="AG16141" s="19"/>
    </row>
    <row r="16142" spans="1:33" ht="14.5" x14ac:dyDescent="0.35">
      <c r="A16142" s="34"/>
      <c r="B16142" s="35"/>
      <c r="C16142" s="36"/>
      <c r="D16142" s="37"/>
      <c r="E16142" s="36"/>
      <c r="F16142" s="42"/>
      <c r="G16142" s="42"/>
      <c r="H16142" s="42"/>
      <c r="AG16142" s="19"/>
    </row>
    <row r="16143" spans="1:33" ht="14.5" x14ac:dyDescent="0.35">
      <c r="A16143" s="34"/>
      <c r="B16143" s="35"/>
      <c r="C16143" s="36"/>
      <c r="D16143" s="37"/>
      <c r="E16143" s="36"/>
      <c r="F16143" s="42"/>
      <c r="G16143" s="42"/>
      <c r="H16143" s="42"/>
      <c r="AG16143" s="19"/>
    </row>
    <row r="16144" spans="1:33" ht="14.5" x14ac:dyDescent="0.35">
      <c r="A16144" s="34"/>
      <c r="B16144" s="35"/>
      <c r="C16144" s="36"/>
      <c r="D16144" s="37"/>
      <c r="E16144" s="36"/>
      <c r="F16144" s="42"/>
      <c r="G16144" s="42"/>
      <c r="H16144" s="42"/>
      <c r="AG16144" s="19"/>
    </row>
    <row r="16145" spans="1:33" ht="14.5" x14ac:dyDescent="0.35">
      <c r="A16145" s="34"/>
      <c r="B16145" s="35"/>
      <c r="C16145" s="36"/>
      <c r="D16145" s="37"/>
      <c r="E16145" s="36"/>
      <c r="F16145" s="42"/>
      <c r="G16145" s="42"/>
      <c r="H16145" s="42"/>
      <c r="AG16145" s="19"/>
    </row>
    <row r="16146" spans="1:33" ht="14.5" x14ac:dyDescent="0.35">
      <c r="A16146" s="34"/>
      <c r="B16146" s="35"/>
      <c r="C16146" s="36"/>
      <c r="D16146" s="37"/>
      <c r="E16146" s="36"/>
      <c r="F16146" s="42"/>
      <c r="G16146" s="42"/>
      <c r="H16146" s="42"/>
      <c r="AG16146" s="19"/>
    </row>
    <row r="16147" spans="1:33" ht="14.5" x14ac:dyDescent="0.35">
      <c r="A16147" s="34"/>
      <c r="B16147" s="35"/>
      <c r="C16147" s="36"/>
      <c r="D16147" s="37"/>
      <c r="E16147" s="36"/>
      <c r="F16147" s="42"/>
      <c r="G16147" s="42"/>
      <c r="H16147" s="42"/>
      <c r="AG16147" s="19"/>
    </row>
    <row r="16148" spans="1:33" ht="14.5" x14ac:dyDescent="0.35">
      <c r="A16148" s="34"/>
      <c r="B16148" s="35"/>
      <c r="C16148" s="36"/>
      <c r="D16148" s="37"/>
      <c r="E16148" s="36"/>
      <c r="F16148" s="42"/>
      <c r="G16148" s="42"/>
      <c r="H16148" s="42"/>
      <c r="AG16148" s="19"/>
    </row>
    <row r="16149" spans="1:33" ht="14.5" x14ac:dyDescent="0.35">
      <c r="A16149" s="34"/>
      <c r="B16149" s="35"/>
      <c r="C16149" s="36"/>
      <c r="D16149" s="37"/>
      <c r="E16149" s="36"/>
      <c r="F16149" s="42"/>
      <c r="G16149" s="42"/>
      <c r="H16149" s="42"/>
      <c r="AG16149" s="19"/>
    </row>
    <row r="16150" spans="1:33" ht="14.5" x14ac:dyDescent="0.35">
      <c r="A16150" s="34"/>
      <c r="B16150" s="35"/>
      <c r="C16150" s="36"/>
      <c r="D16150" s="37"/>
      <c r="E16150" s="36"/>
      <c r="F16150" s="42"/>
      <c r="G16150" s="42"/>
      <c r="H16150" s="42"/>
      <c r="AG16150" s="19"/>
    </row>
    <row r="16151" spans="1:33" ht="14.5" x14ac:dyDescent="0.35">
      <c r="A16151" s="34"/>
      <c r="B16151" s="35"/>
      <c r="C16151" s="36"/>
      <c r="D16151" s="37"/>
      <c r="E16151" s="36"/>
      <c r="F16151" s="42"/>
      <c r="G16151" s="42"/>
      <c r="H16151" s="42"/>
      <c r="AG16151" s="19"/>
    </row>
    <row r="16152" spans="1:33" ht="14.5" x14ac:dyDescent="0.35">
      <c r="A16152" s="34"/>
      <c r="B16152" s="35"/>
      <c r="C16152" s="36"/>
      <c r="D16152" s="37"/>
      <c r="E16152" s="36"/>
      <c r="F16152" s="42"/>
      <c r="G16152" s="42"/>
      <c r="H16152" s="42"/>
      <c r="AG16152" s="19"/>
    </row>
    <row r="16153" spans="1:33" ht="14.5" x14ac:dyDescent="0.35">
      <c r="A16153" s="34"/>
      <c r="B16153" s="35"/>
      <c r="C16153" s="36"/>
      <c r="D16153" s="37"/>
      <c r="E16153" s="36"/>
      <c r="F16153" s="42"/>
      <c r="G16153" s="42"/>
      <c r="H16153" s="42"/>
      <c r="AG16153" s="19"/>
    </row>
    <row r="16154" spans="1:33" ht="14.5" x14ac:dyDescent="0.35">
      <c r="A16154" s="34"/>
      <c r="B16154" s="35"/>
      <c r="C16154" s="36"/>
      <c r="D16154" s="37"/>
      <c r="E16154" s="36"/>
      <c r="F16154" s="42"/>
      <c r="G16154" s="42"/>
      <c r="H16154" s="42"/>
      <c r="AG16154" s="19"/>
    </row>
    <row r="16155" spans="1:33" ht="14.5" x14ac:dyDescent="0.35">
      <c r="A16155" s="34"/>
      <c r="B16155" s="35"/>
      <c r="C16155" s="36"/>
      <c r="D16155" s="37"/>
      <c r="E16155" s="36"/>
      <c r="F16155" s="42"/>
      <c r="G16155" s="42"/>
      <c r="H16155" s="42"/>
      <c r="AG16155" s="19"/>
    </row>
    <row r="16156" spans="1:33" ht="14.5" x14ac:dyDescent="0.35">
      <c r="A16156" s="34"/>
      <c r="B16156" s="35"/>
      <c r="C16156" s="36"/>
      <c r="D16156" s="37"/>
      <c r="E16156" s="36"/>
      <c r="F16156" s="42"/>
      <c r="G16156" s="42"/>
      <c r="H16156" s="42"/>
      <c r="AG16156" s="19"/>
    </row>
    <row r="16157" spans="1:33" ht="14.5" x14ac:dyDescent="0.35">
      <c r="A16157" s="34"/>
      <c r="B16157" s="35"/>
      <c r="C16157" s="36"/>
      <c r="D16157" s="37"/>
      <c r="E16157" s="36"/>
      <c r="F16157" s="42"/>
      <c r="G16157" s="42"/>
      <c r="H16157" s="42"/>
      <c r="AG16157" s="19"/>
    </row>
    <row r="16158" spans="1:33" ht="14.5" x14ac:dyDescent="0.35">
      <c r="A16158" s="34"/>
      <c r="B16158" s="35"/>
      <c r="C16158" s="36"/>
      <c r="D16158" s="37"/>
      <c r="E16158" s="36"/>
      <c r="F16158" s="42"/>
      <c r="G16158" s="42"/>
      <c r="H16158" s="42"/>
      <c r="AG16158" s="19"/>
    </row>
    <row r="16159" spans="1:33" ht="14.5" x14ac:dyDescent="0.35">
      <c r="A16159" s="34"/>
      <c r="B16159" s="35"/>
      <c r="C16159" s="36"/>
      <c r="D16159" s="37"/>
      <c r="E16159" s="36"/>
      <c r="F16159" s="42"/>
      <c r="G16159" s="42"/>
      <c r="H16159" s="42"/>
      <c r="AG16159" s="19"/>
    </row>
    <row r="16160" spans="1:33" ht="14.5" x14ac:dyDescent="0.35">
      <c r="A16160" s="34"/>
      <c r="B16160" s="35"/>
      <c r="C16160" s="36"/>
      <c r="D16160" s="37"/>
      <c r="E16160" s="36"/>
      <c r="F16160" s="42"/>
      <c r="G16160" s="42"/>
      <c r="H16160" s="42"/>
      <c r="AG16160" s="19"/>
    </row>
    <row r="16161" spans="1:33" ht="14.5" x14ac:dyDescent="0.35">
      <c r="A16161" s="34"/>
      <c r="B16161" s="35"/>
      <c r="C16161" s="36"/>
      <c r="D16161" s="37"/>
      <c r="E16161" s="36"/>
      <c r="F16161" s="42"/>
      <c r="G16161" s="42"/>
      <c r="H16161" s="42"/>
      <c r="AG16161" s="19"/>
    </row>
    <row r="16162" spans="1:33" ht="14.5" x14ac:dyDescent="0.35">
      <c r="A16162" s="34"/>
      <c r="B16162" s="35"/>
      <c r="C16162" s="36"/>
      <c r="D16162" s="37"/>
      <c r="E16162" s="36"/>
      <c r="F16162" s="42"/>
      <c r="G16162" s="42"/>
      <c r="H16162" s="42"/>
      <c r="AG16162" s="19"/>
    </row>
    <row r="16163" spans="1:33" ht="14.5" x14ac:dyDescent="0.35">
      <c r="A16163" s="34"/>
      <c r="B16163" s="35"/>
      <c r="C16163" s="36"/>
      <c r="D16163" s="37"/>
      <c r="E16163" s="36"/>
      <c r="F16163" s="42"/>
      <c r="G16163" s="42"/>
      <c r="H16163" s="42"/>
      <c r="AG16163" s="19"/>
    </row>
    <row r="16164" spans="1:33" ht="14.5" x14ac:dyDescent="0.35">
      <c r="A16164" s="34"/>
      <c r="B16164" s="35"/>
      <c r="C16164" s="36"/>
      <c r="D16164" s="37"/>
      <c r="E16164" s="36"/>
      <c r="F16164" s="42"/>
      <c r="G16164" s="42"/>
      <c r="H16164" s="42"/>
      <c r="AG16164" s="19"/>
    </row>
    <row r="16165" spans="1:33" ht="14.5" x14ac:dyDescent="0.35">
      <c r="A16165" s="34"/>
      <c r="B16165" s="35"/>
      <c r="C16165" s="36"/>
      <c r="D16165" s="37"/>
      <c r="E16165" s="36"/>
      <c r="F16165" s="42"/>
      <c r="G16165" s="42"/>
      <c r="H16165" s="42"/>
      <c r="AG16165" s="19"/>
    </row>
    <row r="16166" spans="1:33" ht="14.5" x14ac:dyDescent="0.35">
      <c r="A16166" s="34"/>
      <c r="B16166" s="35"/>
      <c r="C16166" s="36"/>
      <c r="D16166" s="37"/>
      <c r="E16166" s="36"/>
      <c r="F16166" s="42"/>
      <c r="G16166" s="42"/>
      <c r="H16166" s="42"/>
      <c r="AG16166" s="19"/>
    </row>
    <row r="16167" spans="1:33" ht="14.5" x14ac:dyDescent="0.35">
      <c r="A16167" s="34"/>
      <c r="B16167" s="35"/>
      <c r="C16167" s="36"/>
      <c r="D16167" s="37"/>
      <c r="E16167" s="36"/>
      <c r="F16167" s="42"/>
      <c r="G16167" s="42"/>
      <c r="H16167" s="42"/>
      <c r="AG16167" s="19"/>
    </row>
    <row r="16168" spans="1:33" ht="14.5" x14ac:dyDescent="0.35">
      <c r="A16168" s="34"/>
      <c r="B16168" s="35"/>
      <c r="C16168" s="36"/>
      <c r="D16168" s="37"/>
      <c r="E16168" s="36"/>
      <c r="F16168" s="42"/>
      <c r="G16168" s="42"/>
      <c r="H16168" s="42"/>
      <c r="AG16168" s="19"/>
    </row>
    <row r="16169" spans="1:33" ht="14.5" x14ac:dyDescent="0.35">
      <c r="A16169" s="34"/>
      <c r="B16169" s="35"/>
      <c r="C16169" s="36"/>
      <c r="D16169" s="37"/>
      <c r="E16169" s="36"/>
      <c r="F16169" s="42"/>
      <c r="G16169" s="42"/>
      <c r="H16169" s="42"/>
      <c r="AG16169" s="19"/>
    </row>
    <row r="16170" spans="1:33" ht="14.5" x14ac:dyDescent="0.35">
      <c r="A16170" s="34"/>
      <c r="B16170" s="35"/>
      <c r="C16170" s="36"/>
      <c r="D16170" s="37"/>
      <c r="E16170" s="36"/>
      <c r="F16170" s="42"/>
      <c r="G16170" s="42"/>
      <c r="H16170" s="42"/>
      <c r="AG16170" s="19"/>
    </row>
    <row r="16171" spans="1:33" ht="14.5" x14ac:dyDescent="0.35">
      <c r="A16171" s="34"/>
      <c r="B16171" s="35"/>
      <c r="C16171" s="36"/>
      <c r="D16171" s="37"/>
      <c r="E16171" s="36"/>
      <c r="F16171" s="42"/>
      <c r="G16171" s="42"/>
      <c r="H16171" s="42"/>
      <c r="AG16171" s="19"/>
    </row>
    <row r="16172" spans="1:33" ht="14.5" x14ac:dyDescent="0.35">
      <c r="A16172" s="34"/>
      <c r="B16172" s="35"/>
      <c r="C16172" s="36"/>
      <c r="D16172" s="37"/>
      <c r="E16172" s="36"/>
      <c r="F16172" s="42"/>
      <c r="G16172" s="42"/>
      <c r="H16172" s="42"/>
      <c r="AG16172" s="19"/>
    </row>
    <row r="16173" spans="1:33" ht="14.5" x14ac:dyDescent="0.35">
      <c r="A16173" s="34"/>
      <c r="B16173" s="35"/>
      <c r="C16173" s="36"/>
      <c r="D16173" s="37"/>
      <c r="E16173" s="36"/>
      <c r="F16173" s="42"/>
      <c r="G16173" s="42"/>
      <c r="H16173" s="42"/>
      <c r="AG16173" s="19"/>
    </row>
    <row r="16174" spans="1:33" ht="14.5" x14ac:dyDescent="0.35">
      <c r="A16174" s="34"/>
      <c r="B16174" s="35"/>
      <c r="C16174" s="36"/>
      <c r="D16174" s="37"/>
      <c r="E16174" s="36"/>
      <c r="F16174" s="42"/>
      <c r="G16174" s="42"/>
      <c r="H16174" s="42"/>
      <c r="AG16174" s="19"/>
    </row>
    <row r="16175" spans="1:33" ht="14.5" x14ac:dyDescent="0.35">
      <c r="A16175" s="34"/>
      <c r="B16175" s="35"/>
      <c r="C16175" s="36"/>
      <c r="D16175" s="37"/>
      <c r="E16175" s="36"/>
      <c r="F16175" s="42"/>
      <c r="G16175" s="42"/>
      <c r="H16175" s="42"/>
      <c r="AG16175" s="19"/>
    </row>
    <row r="16176" spans="1:33" ht="14.5" x14ac:dyDescent="0.35">
      <c r="A16176" s="34"/>
      <c r="B16176" s="35"/>
      <c r="C16176" s="36"/>
      <c r="D16176" s="37"/>
      <c r="E16176" s="36"/>
      <c r="F16176" s="42"/>
      <c r="G16176" s="42"/>
      <c r="H16176" s="42"/>
      <c r="AG16176" s="19"/>
    </row>
    <row r="16177" spans="1:33" ht="14.5" x14ac:dyDescent="0.35">
      <c r="A16177" s="34"/>
      <c r="B16177" s="35"/>
      <c r="C16177" s="36"/>
      <c r="D16177" s="37"/>
      <c r="E16177" s="36"/>
      <c r="F16177" s="42"/>
      <c r="G16177" s="42"/>
      <c r="H16177" s="42"/>
      <c r="AG16177" s="19"/>
    </row>
    <row r="16178" spans="1:33" ht="14.5" x14ac:dyDescent="0.35">
      <c r="A16178" s="34"/>
      <c r="B16178" s="35"/>
      <c r="C16178" s="36"/>
      <c r="D16178" s="37"/>
      <c r="E16178" s="36"/>
      <c r="F16178" s="42"/>
      <c r="G16178" s="42"/>
      <c r="H16178" s="42"/>
      <c r="AG16178" s="19"/>
    </row>
    <row r="16179" spans="1:33" ht="14.5" x14ac:dyDescent="0.35">
      <c r="A16179" s="34"/>
      <c r="B16179" s="35"/>
      <c r="C16179" s="36"/>
      <c r="D16179" s="37"/>
      <c r="E16179" s="36"/>
      <c r="F16179" s="42"/>
      <c r="G16179" s="42"/>
      <c r="H16179" s="42"/>
      <c r="AG16179" s="19"/>
    </row>
    <row r="16180" spans="1:33" ht="14.5" x14ac:dyDescent="0.35">
      <c r="A16180" s="34"/>
      <c r="B16180" s="35"/>
      <c r="C16180" s="36"/>
      <c r="D16180" s="37"/>
      <c r="E16180" s="36"/>
      <c r="F16180" s="42"/>
      <c r="G16180" s="42"/>
      <c r="H16180" s="42"/>
      <c r="AG16180" s="19"/>
    </row>
    <row r="16181" spans="1:33" ht="14.5" x14ac:dyDescent="0.35">
      <c r="A16181" s="34"/>
      <c r="B16181" s="35"/>
      <c r="C16181" s="36"/>
      <c r="D16181" s="37"/>
      <c r="E16181" s="36"/>
      <c r="F16181" s="42"/>
      <c r="G16181" s="42"/>
      <c r="H16181" s="42"/>
      <c r="AG16181" s="19"/>
    </row>
    <row r="16182" spans="1:33" ht="14.5" x14ac:dyDescent="0.35">
      <c r="A16182" s="34"/>
      <c r="B16182" s="35"/>
      <c r="C16182" s="36"/>
      <c r="D16182" s="37"/>
      <c r="E16182" s="36"/>
      <c r="F16182" s="42"/>
      <c r="G16182" s="42"/>
      <c r="H16182" s="42"/>
      <c r="AG16182" s="19"/>
    </row>
    <row r="16183" spans="1:33" ht="14.5" x14ac:dyDescent="0.35">
      <c r="A16183" s="34"/>
      <c r="B16183" s="35"/>
      <c r="C16183" s="36"/>
      <c r="D16183" s="37"/>
      <c r="E16183" s="36"/>
      <c r="F16183" s="42"/>
      <c r="G16183" s="42"/>
      <c r="H16183" s="42"/>
      <c r="AG16183" s="19"/>
    </row>
    <row r="16184" spans="1:33" ht="14.5" x14ac:dyDescent="0.35">
      <c r="A16184" s="34"/>
      <c r="B16184" s="35"/>
      <c r="C16184" s="36"/>
      <c r="D16184" s="37"/>
      <c r="E16184" s="36"/>
      <c r="F16184" s="42"/>
      <c r="G16184" s="42"/>
      <c r="H16184" s="42"/>
      <c r="AG16184" s="19"/>
    </row>
    <row r="16185" spans="1:33" ht="14.5" x14ac:dyDescent="0.35">
      <c r="A16185" s="34"/>
      <c r="B16185" s="35"/>
      <c r="C16185" s="36"/>
      <c r="D16185" s="37"/>
      <c r="E16185" s="36"/>
      <c r="F16185" s="42"/>
      <c r="G16185" s="42"/>
      <c r="H16185" s="42"/>
      <c r="AG16185" s="19"/>
    </row>
    <row r="16186" spans="1:33" ht="14.5" x14ac:dyDescent="0.35">
      <c r="A16186" s="34"/>
      <c r="B16186" s="35"/>
      <c r="C16186" s="36"/>
      <c r="D16186" s="37"/>
      <c r="E16186" s="36"/>
      <c r="F16186" s="42"/>
      <c r="G16186" s="42"/>
      <c r="H16186" s="42"/>
      <c r="AG16186" s="19"/>
    </row>
    <row r="16187" spans="1:33" ht="14.5" x14ac:dyDescent="0.35">
      <c r="A16187" s="34"/>
      <c r="B16187" s="35"/>
      <c r="C16187" s="36"/>
      <c r="D16187" s="37"/>
      <c r="E16187" s="36"/>
      <c r="F16187" s="42"/>
      <c r="G16187" s="42"/>
      <c r="H16187" s="42"/>
      <c r="AG16187" s="19"/>
    </row>
    <row r="16188" spans="1:33" ht="14.5" x14ac:dyDescent="0.35">
      <c r="A16188" s="34"/>
      <c r="B16188" s="35"/>
      <c r="C16188" s="36"/>
      <c r="D16188" s="37"/>
      <c r="E16188" s="36"/>
      <c r="F16188" s="42"/>
      <c r="G16188" s="42"/>
      <c r="H16188" s="42"/>
      <c r="AG16188" s="19"/>
    </row>
    <row r="16189" spans="1:33" ht="14.5" x14ac:dyDescent="0.35">
      <c r="A16189" s="34"/>
      <c r="B16189" s="35"/>
      <c r="C16189" s="36"/>
      <c r="D16189" s="37"/>
      <c r="E16189" s="36"/>
      <c r="F16189" s="42"/>
      <c r="G16189" s="42"/>
      <c r="H16189" s="42"/>
      <c r="AG16189" s="19"/>
    </row>
    <row r="16190" spans="1:33" ht="14.5" x14ac:dyDescent="0.35">
      <c r="A16190" s="34"/>
      <c r="B16190" s="35"/>
      <c r="C16190" s="36"/>
      <c r="D16190" s="37"/>
      <c r="E16190" s="36"/>
      <c r="F16190" s="42"/>
      <c r="G16190" s="42"/>
      <c r="H16190" s="42"/>
      <c r="AG16190" s="19"/>
    </row>
    <row r="16191" spans="1:33" ht="14.5" x14ac:dyDescent="0.35">
      <c r="A16191" s="34"/>
      <c r="B16191" s="35"/>
      <c r="C16191" s="36"/>
      <c r="D16191" s="37"/>
      <c r="E16191" s="36"/>
      <c r="F16191" s="42"/>
      <c r="G16191" s="42"/>
      <c r="H16191" s="42"/>
      <c r="AG16191" s="19"/>
    </row>
    <row r="16192" spans="1:33" ht="14.5" x14ac:dyDescent="0.35">
      <c r="A16192" s="34"/>
      <c r="B16192" s="35"/>
      <c r="C16192" s="36"/>
      <c r="D16192" s="37"/>
      <c r="E16192" s="36"/>
      <c r="F16192" s="42"/>
      <c r="G16192" s="42"/>
      <c r="H16192" s="42"/>
      <c r="AG16192" s="19"/>
    </row>
    <row r="16193" spans="1:33" ht="14.5" x14ac:dyDescent="0.35">
      <c r="A16193" s="34"/>
      <c r="B16193" s="35"/>
      <c r="C16193" s="36"/>
      <c r="D16193" s="37"/>
      <c r="E16193" s="36"/>
      <c r="F16193" s="42"/>
      <c r="G16193" s="42"/>
      <c r="H16193" s="42"/>
      <c r="AG16193" s="19"/>
    </row>
    <row r="16194" spans="1:33" ht="14.5" x14ac:dyDescent="0.35">
      <c r="A16194" s="34"/>
      <c r="B16194" s="35"/>
      <c r="C16194" s="36"/>
      <c r="D16194" s="37"/>
      <c r="E16194" s="36"/>
      <c r="F16194" s="42"/>
      <c r="G16194" s="42"/>
      <c r="H16194" s="42"/>
      <c r="AG16194" s="19"/>
    </row>
    <row r="16195" spans="1:33" ht="14.5" x14ac:dyDescent="0.35">
      <c r="A16195" s="34"/>
      <c r="B16195" s="35"/>
      <c r="C16195" s="36"/>
      <c r="D16195" s="37"/>
      <c r="E16195" s="36"/>
      <c r="F16195" s="42"/>
      <c r="G16195" s="42"/>
      <c r="H16195" s="42"/>
      <c r="AG16195" s="19"/>
    </row>
    <row r="16196" spans="1:33" ht="14.5" x14ac:dyDescent="0.35">
      <c r="A16196" s="34"/>
      <c r="B16196" s="35"/>
      <c r="C16196" s="36"/>
      <c r="D16196" s="37"/>
      <c r="E16196" s="36"/>
      <c r="F16196" s="42"/>
      <c r="G16196" s="42"/>
      <c r="H16196" s="42"/>
      <c r="AG16196" s="19"/>
    </row>
    <row r="16197" spans="1:33" ht="14.5" x14ac:dyDescent="0.35">
      <c r="A16197" s="34"/>
      <c r="B16197" s="35"/>
      <c r="C16197" s="36"/>
      <c r="D16197" s="37"/>
      <c r="E16197" s="36"/>
      <c r="F16197" s="42"/>
      <c r="G16197" s="42"/>
      <c r="H16197" s="42"/>
      <c r="AG16197" s="19"/>
    </row>
    <row r="16198" spans="1:33" ht="14.5" x14ac:dyDescent="0.35">
      <c r="A16198" s="34"/>
      <c r="B16198" s="35"/>
      <c r="C16198" s="36"/>
      <c r="D16198" s="37"/>
      <c r="E16198" s="36"/>
      <c r="F16198" s="42"/>
      <c r="G16198" s="42"/>
      <c r="H16198" s="42"/>
      <c r="AG16198" s="19"/>
    </row>
    <row r="16199" spans="1:33" ht="14.5" x14ac:dyDescent="0.35">
      <c r="A16199" s="34"/>
      <c r="B16199" s="35"/>
      <c r="C16199" s="36"/>
      <c r="D16199" s="37"/>
      <c r="E16199" s="36"/>
      <c r="F16199" s="42"/>
      <c r="G16199" s="42"/>
      <c r="H16199" s="42"/>
      <c r="AG16199" s="19"/>
    </row>
    <row r="16200" spans="1:33" ht="14.5" x14ac:dyDescent="0.35">
      <c r="A16200" s="34"/>
      <c r="B16200" s="35"/>
      <c r="C16200" s="36"/>
      <c r="D16200" s="37"/>
      <c r="E16200" s="36"/>
      <c r="F16200" s="42"/>
      <c r="G16200" s="42"/>
      <c r="H16200" s="42"/>
      <c r="AG16200" s="19"/>
    </row>
    <row r="16201" spans="1:33" ht="14.5" x14ac:dyDescent="0.35">
      <c r="A16201" s="34"/>
      <c r="B16201" s="35"/>
      <c r="C16201" s="36"/>
      <c r="D16201" s="37"/>
      <c r="E16201" s="36"/>
      <c r="F16201" s="42"/>
      <c r="G16201" s="42"/>
      <c r="H16201" s="42"/>
      <c r="AG16201" s="19"/>
    </row>
    <row r="16202" spans="1:33" ht="14.5" x14ac:dyDescent="0.35">
      <c r="A16202" s="34"/>
      <c r="B16202" s="35"/>
      <c r="C16202" s="36"/>
      <c r="D16202" s="37"/>
      <c r="E16202" s="36"/>
      <c r="F16202" s="42"/>
      <c r="G16202" s="42"/>
      <c r="H16202" s="42"/>
      <c r="AG16202" s="19"/>
    </row>
    <row r="16203" spans="1:33" ht="14.5" x14ac:dyDescent="0.35">
      <c r="A16203" s="34"/>
      <c r="B16203" s="35"/>
      <c r="C16203" s="36"/>
      <c r="D16203" s="37"/>
      <c r="E16203" s="36"/>
      <c r="F16203" s="42"/>
      <c r="G16203" s="42"/>
      <c r="H16203" s="42"/>
      <c r="AG16203" s="19"/>
    </row>
    <row r="16204" spans="1:33" ht="14.5" x14ac:dyDescent="0.35">
      <c r="A16204" s="34"/>
      <c r="B16204" s="35"/>
      <c r="C16204" s="36"/>
      <c r="D16204" s="37"/>
      <c r="E16204" s="36"/>
      <c r="F16204" s="42"/>
      <c r="G16204" s="42"/>
      <c r="H16204" s="42"/>
      <c r="AG16204" s="19"/>
    </row>
    <row r="16205" spans="1:33" ht="14.5" x14ac:dyDescent="0.35">
      <c r="A16205" s="34"/>
      <c r="B16205" s="35"/>
      <c r="C16205" s="36"/>
      <c r="D16205" s="37"/>
      <c r="E16205" s="36"/>
      <c r="F16205" s="42"/>
      <c r="G16205" s="42"/>
      <c r="H16205" s="42"/>
      <c r="AG16205" s="19"/>
    </row>
    <row r="16206" spans="1:33" ht="14.5" x14ac:dyDescent="0.35">
      <c r="A16206" s="34"/>
      <c r="B16206" s="35"/>
      <c r="C16206" s="36"/>
      <c r="D16206" s="37"/>
      <c r="E16206" s="36"/>
      <c r="F16206" s="42"/>
      <c r="G16206" s="42"/>
      <c r="H16206" s="42"/>
      <c r="AG16206" s="19"/>
    </row>
    <row r="16207" spans="1:33" ht="14.5" x14ac:dyDescent="0.35">
      <c r="A16207" s="34"/>
      <c r="B16207" s="35"/>
      <c r="C16207" s="36"/>
      <c r="D16207" s="37"/>
      <c r="E16207" s="36"/>
      <c r="F16207" s="42"/>
      <c r="G16207" s="42"/>
      <c r="H16207" s="42"/>
      <c r="AG16207" s="19"/>
    </row>
    <row r="16208" spans="1:33" ht="14.5" x14ac:dyDescent="0.35">
      <c r="A16208" s="34"/>
      <c r="B16208" s="35"/>
      <c r="C16208" s="36"/>
      <c r="D16208" s="37"/>
      <c r="E16208" s="36"/>
      <c r="F16208" s="42"/>
      <c r="G16208" s="42"/>
      <c r="H16208" s="42"/>
      <c r="AG16208" s="19"/>
    </row>
    <row r="16209" spans="1:33" ht="14.5" x14ac:dyDescent="0.35">
      <c r="A16209" s="34"/>
      <c r="B16209" s="35"/>
      <c r="C16209" s="36"/>
      <c r="D16209" s="37"/>
      <c r="E16209" s="36"/>
      <c r="F16209" s="42"/>
      <c r="G16209" s="42"/>
      <c r="H16209" s="42"/>
      <c r="AG16209" s="19"/>
    </row>
    <row r="16210" spans="1:33" ht="14.5" x14ac:dyDescent="0.35">
      <c r="A16210" s="34"/>
      <c r="B16210" s="35"/>
      <c r="C16210" s="36"/>
      <c r="D16210" s="37"/>
      <c r="E16210" s="36"/>
      <c r="F16210" s="42"/>
      <c r="G16210" s="42"/>
      <c r="H16210" s="42"/>
      <c r="AG16210" s="19"/>
    </row>
    <row r="16211" spans="1:33" ht="14.5" x14ac:dyDescent="0.35">
      <c r="A16211" s="34"/>
      <c r="B16211" s="35"/>
      <c r="C16211" s="36"/>
      <c r="D16211" s="37"/>
      <c r="E16211" s="36"/>
      <c r="F16211" s="42"/>
      <c r="G16211" s="42"/>
      <c r="H16211" s="42"/>
      <c r="AG16211" s="19"/>
    </row>
    <row r="16212" spans="1:33" ht="14.5" x14ac:dyDescent="0.35">
      <c r="A16212" s="34"/>
      <c r="B16212" s="35"/>
      <c r="C16212" s="36"/>
      <c r="D16212" s="37"/>
      <c r="E16212" s="36"/>
      <c r="F16212" s="42"/>
      <c r="G16212" s="42"/>
      <c r="H16212" s="42"/>
      <c r="AG16212" s="19"/>
    </row>
    <row r="16213" spans="1:33" ht="14.5" x14ac:dyDescent="0.35">
      <c r="A16213" s="34"/>
      <c r="B16213" s="35"/>
      <c r="C16213" s="36"/>
      <c r="D16213" s="37"/>
      <c r="E16213" s="36"/>
      <c r="F16213" s="42"/>
      <c r="G16213" s="42"/>
      <c r="H16213" s="42"/>
      <c r="AG16213" s="19"/>
    </row>
    <row r="16214" spans="1:33" ht="14.5" x14ac:dyDescent="0.35">
      <c r="A16214" s="34"/>
      <c r="B16214" s="35"/>
      <c r="C16214" s="36"/>
      <c r="D16214" s="37"/>
      <c r="E16214" s="36"/>
      <c r="F16214" s="42"/>
      <c r="G16214" s="42"/>
      <c r="H16214" s="42"/>
      <c r="AG16214" s="19"/>
    </row>
    <row r="16215" spans="1:33" ht="14.5" x14ac:dyDescent="0.35">
      <c r="A16215" s="34"/>
      <c r="B16215" s="35"/>
      <c r="C16215" s="36"/>
      <c r="D16215" s="37"/>
      <c r="E16215" s="36"/>
      <c r="F16215" s="42"/>
      <c r="G16215" s="42"/>
      <c r="H16215" s="42"/>
      <c r="AG16215" s="19"/>
    </row>
    <row r="16216" spans="1:33" ht="14.5" x14ac:dyDescent="0.35">
      <c r="A16216" s="34"/>
      <c r="B16216" s="35"/>
      <c r="C16216" s="36"/>
      <c r="D16216" s="37"/>
      <c r="E16216" s="36"/>
      <c r="F16216" s="42"/>
      <c r="G16216" s="42"/>
      <c r="H16216" s="42"/>
      <c r="AG16216" s="19"/>
    </row>
    <row r="16217" spans="1:33" ht="14.5" x14ac:dyDescent="0.35">
      <c r="A16217" s="34"/>
      <c r="B16217" s="35"/>
      <c r="C16217" s="36"/>
      <c r="D16217" s="37"/>
      <c r="E16217" s="36"/>
      <c r="F16217" s="42"/>
      <c r="G16217" s="42"/>
      <c r="H16217" s="42"/>
      <c r="AG16217" s="19"/>
    </row>
    <row r="16218" spans="1:33" ht="14.5" x14ac:dyDescent="0.35">
      <c r="A16218" s="34"/>
      <c r="B16218" s="35"/>
      <c r="C16218" s="36"/>
      <c r="D16218" s="37"/>
      <c r="E16218" s="36"/>
      <c r="F16218" s="42"/>
      <c r="G16218" s="42"/>
      <c r="H16218" s="42"/>
      <c r="AG16218" s="19"/>
    </row>
    <row r="16219" spans="1:33" ht="14.5" x14ac:dyDescent="0.35">
      <c r="A16219" s="34"/>
      <c r="B16219" s="35"/>
      <c r="C16219" s="36"/>
      <c r="D16219" s="37"/>
      <c r="E16219" s="36"/>
      <c r="F16219" s="42"/>
      <c r="G16219" s="42"/>
      <c r="H16219" s="42"/>
      <c r="AG16219" s="19"/>
    </row>
    <row r="16220" spans="1:33" ht="14.5" x14ac:dyDescent="0.35">
      <c r="A16220" s="34"/>
      <c r="B16220" s="35"/>
      <c r="C16220" s="36"/>
      <c r="D16220" s="37"/>
      <c r="E16220" s="36"/>
      <c r="F16220" s="42"/>
      <c r="G16220" s="42"/>
      <c r="H16220" s="42"/>
      <c r="AG16220" s="19"/>
    </row>
    <row r="16221" spans="1:33" ht="14.5" x14ac:dyDescent="0.35">
      <c r="A16221" s="34"/>
      <c r="B16221" s="35"/>
      <c r="C16221" s="36"/>
      <c r="D16221" s="37"/>
      <c r="E16221" s="36"/>
      <c r="F16221" s="42"/>
      <c r="G16221" s="42"/>
      <c r="H16221" s="42"/>
      <c r="AG16221" s="19"/>
    </row>
    <row r="16222" spans="1:33" ht="14.5" x14ac:dyDescent="0.35">
      <c r="A16222" s="34"/>
      <c r="B16222" s="35"/>
      <c r="C16222" s="36"/>
      <c r="D16222" s="37"/>
      <c r="E16222" s="36"/>
      <c r="F16222" s="42"/>
      <c r="G16222" s="42"/>
      <c r="H16222" s="42"/>
      <c r="AG16222" s="19"/>
    </row>
    <row r="16223" spans="1:33" ht="14.5" x14ac:dyDescent="0.35">
      <c r="A16223" s="34"/>
      <c r="B16223" s="35"/>
      <c r="C16223" s="36"/>
      <c r="D16223" s="37"/>
      <c r="E16223" s="36"/>
      <c r="F16223" s="42"/>
      <c r="G16223" s="42"/>
      <c r="H16223" s="42"/>
      <c r="AG16223" s="19"/>
    </row>
    <row r="16224" spans="1:33" ht="14.5" x14ac:dyDescent="0.35">
      <c r="A16224" s="34"/>
      <c r="B16224" s="35"/>
      <c r="C16224" s="36"/>
      <c r="D16224" s="37"/>
      <c r="E16224" s="36"/>
      <c r="F16224" s="42"/>
      <c r="G16224" s="42"/>
      <c r="H16224" s="42"/>
      <c r="AG16224" s="19"/>
    </row>
    <row r="16225" spans="1:33" ht="14.5" x14ac:dyDescent="0.35">
      <c r="A16225" s="34"/>
      <c r="B16225" s="35"/>
      <c r="C16225" s="36"/>
      <c r="D16225" s="37"/>
      <c r="E16225" s="36"/>
      <c r="F16225" s="42"/>
      <c r="G16225" s="42"/>
      <c r="H16225" s="42"/>
      <c r="AG16225" s="19"/>
    </row>
    <row r="16226" spans="1:33" ht="14.5" x14ac:dyDescent="0.35">
      <c r="A16226" s="34"/>
      <c r="B16226" s="35"/>
      <c r="C16226" s="36"/>
      <c r="D16226" s="37"/>
      <c r="E16226" s="36"/>
      <c r="F16226" s="42"/>
      <c r="G16226" s="42"/>
      <c r="H16226" s="42"/>
      <c r="AG16226" s="19"/>
    </row>
    <row r="16227" spans="1:33" ht="14.5" x14ac:dyDescent="0.35">
      <c r="A16227" s="34"/>
      <c r="B16227" s="35"/>
      <c r="C16227" s="36"/>
      <c r="D16227" s="37"/>
      <c r="E16227" s="36"/>
      <c r="F16227" s="42"/>
      <c r="G16227" s="42"/>
      <c r="H16227" s="42"/>
      <c r="AG16227" s="19"/>
    </row>
    <row r="16228" spans="1:33" ht="14.5" x14ac:dyDescent="0.35">
      <c r="A16228" s="34"/>
      <c r="B16228" s="35"/>
      <c r="C16228" s="36"/>
      <c r="D16228" s="37"/>
      <c r="E16228" s="36"/>
      <c r="F16228" s="42"/>
      <c r="G16228" s="42"/>
      <c r="H16228" s="42"/>
      <c r="AG16228" s="19"/>
    </row>
    <row r="16229" spans="1:33" ht="14.5" x14ac:dyDescent="0.35">
      <c r="A16229" s="34"/>
      <c r="B16229" s="35"/>
      <c r="C16229" s="36"/>
      <c r="D16229" s="37"/>
      <c r="E16229" s="36"/>
      <c r="F16229" s="42"/>
      <c r="G16229" s="42"/>
      <c r="H16229" s="42"/>
      <c r="AG16229" s="19"/>
    </row>
    <row r="16230" spans="1:33" ht="14.5" x14ac:dyDescent="0.35">
      <c r="A16230" s="34"/>
      <c r="B16230" s="35"/>
      <c r="C16230" s="36"/>
      <c r="D16230" s="37"/>
      <c r="E16230" s="36"/>
      <c r="F16230" s="42"/>
      <c r="G16230" s="42"/>
      <c r="H16230" s="42"/>
      <c r="AG16230" s="19"/>
    </row>
    <row r="16231" spans="1:33" ht="14.5" x14ac:dyDescent="0.35">
      <c r="A16231" s="34"/>
      <c r="B16231" s="35"/>
      <c r="C16231" s="36"/>
      <c r="D16231" s="37"/>
      <c r="E16231" s="36"/>
      <c r="F16231" s="42"/>
      <c r="G16231" s="42"/>
      <c r="H16231" s="42"/>
      <c r="AG16231" s="19"/>
    </row>
    <row r="16232" spans="1:33" ht="14.5" x14ac:dyDescent="0.35">
      <c r="A16232" s="34"/>
      <c r="B16232" s="35"/>
      <c r="C16232" s="36"/>
      <c r="D16232" s="37"/>
      <c r="E16232" s="36"/>
      <c r="F16232" s="42"/>
      <c r="G16232" s="42"/>
      <c r="H16232" s="42"/>
      <c r="AG16232" s="19"/>
    </row>
    <row r="16233" spans="1:33" ht="14.5" x14ac:dyDescent="0.35">
      <c r="A16233" s="34"/>
      <c r="B16233" s="35"/>
      <c r="C16233" s="36"/>
      <c r="D16233" s="37"/>
      <c r="E16233" s="36"/>
      <c r="F16233" s="42"/>
      <c r="G16233" s="42"/>
      <c r="H16233" s="42"/>
      <c r="AG16233" s="19"/>
    </row>
    <row r="16234" spans="1:33" ht="14.5" x14ac:dyDescent="0.35">
      <c r="A16234" s="34"/>
      <c r="B16234" s="35"/>
      <c r="C16234" s="36"/>
      <c r="D16234" s="37"/>
      <c r="E16234" s="36"/>
      <c r="F16234" s="42"/>
      <c r="G16234" s="42"/>
      <c r="H16234" s="42"/>
      <c r="AG16234" s="19"/>
    </row>
    <row r="16235" spans="1:33" ht="14.5" x14ac:dyDescent="0.35">
      <c r="A16235" s="34"/>
      <c r="B16235" s="35"/>
      <c r="C16235" s="36"/>
      <c r="D16235" s="37"/>
      <c r="E16235" s="36"/>
      <c r="F16235" s="42"/>
      <c r="G16235" s="42"/>
      <c r="H16235" s="42"/>
      <c r="AG16235" s="19"/>
    </row>
    <row r="16236" spans="1:33" ht="14.5" x14ac:dyDescent="0.35">
      <c r="A16236" s="34"/>
      <c r="B16236" s="35"/>
      <c r="C16236" s="36"/>
      <c r="D16236" s="37"/>
      <c r="E16236" s="36"/>
      <c r="F16236" s="42"/>
      <c r="G16236" s="42"/>
      <c r="H16236" s="42"/>
      <c r="AG16236" s="19"/>
    </row>
    <row r="16237" spans="1:33" ht="14.5" x14ac:dyDescent="0.35">
      <c r="A16237" s="34"/>
      <c r="B16237" s="35"/>
      <c r="C16237" s="36"/>
      <c r="D16237" s="37"/>
      <c r="E16237" s="36"/>
      <c r="F16237" s="42"/>
      <c r="G16237" s="42"/>
      <c r="H16237" s="42"/>
      <c r="AG16237" s="19"/>
    </row>
    <row r="16238" spans="1:33" ht="14.5" x14ac:dyDescent="0.35">
      <c r="A16238" s="34"/>
      <c r="B16238" s="35"/>
      <c r="C16238" s="36"/>
      <c r="D16238" s="37"/>
      <c r="E16238" s="36"/>
      <c r="F16238" s="42"/>
      <c r="G16238" s="42"/>
      <c r="H16238" s="42"/>
      <c r="AG16238" s="19"/>
    </row>
    <row r="16239" spans="1:33" ht="14.5" x14ac:dyDescent="0.35">
      <c r="A16239" s="34"/>
      <c r="B16239" s="35"/>
      <c r="C16239" s="36"/>
      <c r="D16239" s="37"/>
      <c r="E16239" s="36"/>
      <c r="F16239" s="42"/>
      <c r="G16239" s="42"/>
      <c r="H16239" s="42"/>
      <c r="AG16239" s="19"/>
    </row>
    <row r="16240" spans="1:33" ht="14.5" x14ac:dyDescent="0.35">
      <c r="A16240" s="34"/>
      <c r="B16240" s="35"/>
      <c r="C16240" s="36"/>
      <c r="D16240" s="37"/>
      <c r="E16240" s="36"/>
      <c r="F16240" s="42"/>
      <c r="G16240" s="42"/>
      <c r="H16240" s="42"/>
      <c r="AG16240" s="19"/>
    </row>
    <row r="16241" spans="1:33" ht="14.5" x14ac:dyDescent="0.35">
      <c r="A16241" s="34"/>
      <c r="B16241" s="35"/>
      <c r="C16241" s="36"/>
      <c r="D16241" s="37"/>
      <c r="E16241" s="36"/>
      <c r="F16241" s="42"/>
      <c r="G16241" s="42"/>
      <c r="H16241" s="42"/>
      <c r="AG16241" s="19"/>
    </row>
    <row r="16242" spans="1:33" ht="14.5" x14ac:dyDescent="0.35">
      <c r="A16242" s="34"/>
      <c r="B16242" s="35"/>
      <c r="C16242" s="36"/>
      <c r="D16242" s="37"/>
      <c r="E16242" s="36"/>
      <c r="F16242" s="42"/>
      <c r="G16242" s="42"/>
      <c r="H16242" s="42"/>
      <c r="AG16242" s="19"/>
    </row>
    <row r="16243" spans="1:33" ht="14.5" x14ac:dyDescent="0.35">
      <c r="A16243" s="34"/>
      <c r="B16243" s="35"/>
      <c r="C16243" s="36"/>
      <c r="D16243" s="37"/>
      <c r="E16243" s="36"/>
      <c r="F16243" s="42"/>
      <c r="G16243" s="42"/>
      <c r="H16243" s="42"/>
      <c r="AG16243" s="19"/>
    </row>
    <row r="16244" spans="1:33" ht="14.5" x14ac:dyDescent="0.35">
      <c r="A16244" s="34"/>
      <c r="B16244" s="35"/>
      <c r="C16244" s="36"/>
      <c r="D16244" s="37"/>
      <c r="E16244" s="36"/>
      <c r="F16244" s="42"/>
      <c r="G16244" s="42"/>
      <c r="H16244" s="42"/>
      <c r="AG16244" s="19"/>
    </row>
    <row r="16245" spans="1:33" ht="14.5" x14ac:dyDescent="0.35">
      <c r="A16245" s="34"/>
      <c r="B16245" s="35"/>
      <c r="C16245" s="36"/>
      <c r="D16245" s="37"/>
      <c r="E16245" s="36"/>
      <c r="F16245" s="42"/>
      <c r="G16245" s="42"/>
      <c r="H16245" s="42"/>
      <c r="AG16245" s="19"/>
    </row>
    <row r="16246" spans="1:33" ht="14.5" x14ac:dyDescent="0.35">
      <c r="A16246" s="34"/>
      <c r="B16246" s="35"/>
      <c r="C16246" s="36"/>
      <c r="D16246" s="37"/>
      <c r="E16246" s="36"/>
      <c r="F16246" s="42"/>
      <c r="G16246" s="42"/>
      <c r="H16246" s="42"/>
      <c r="AG16246" s="19"/>
    </row>
    <row r="16247" spans="1:33" ht="14.5" x14ac:dyDescent="0.35">
      <c r="A16247" s="34"/>
      <c r="B16247" s="35"/>
      <c r="C16247" s="36"/>
      <c r="D16247" s="37"/>
      <c r="E16247" s="36"/>
      <c r="F16247" s="42"/>
      <c r="G16247" s="42"/>
      <c r="H16247" s="42"/>
      <c r="AG16247" s="19"/>
    </row>
    <row r="16248" spans="1:33" ht="14.5" x14ac:dyDescent="0.35">
      <c r="A16248" s="34"/>
      <c r="B16248" s="35"/>
      <c r="C16248" s="36"/>
      <c r="D16248" s="37"/>
      <c r="E16248" s="36"/>
      <c r="F16248" s="42"/>
      <c r="G16248" s="42"/>
      <c r="H16248" s="42"/>
      <c r="AG16248" s="19"/>
    </row>
    <row r="16249" spans="1:33" ht="14.5" x14ac:dyDescent="0.35">
      <c r="A16249" s="34"/>
      <c r="B16249" s="35"/>
      <c r="C16249" s="36"/>
      <c r="D16249" s="37"/>
      <c r="E16249" s="36"/>
      <c r="F16249" s="42"/>
      <c r="G16249" s="42"/>
      <c r="H16249" s="42"/>
      <c r="AG16249" s="19"/>
    </row>
    <row r="16250" spans="1:33" ht="14.5" x14ac:dyDescent="0.35">
      <c r="A16250" s="34"/>
      <c r="B16250" s="35"/>
      <c r="C16250" s="36"/>
      <c r="D16250" s="37"/>
      <c r="E16250" s="36"/>
      <c r="F16250" s="42"/>
      <c r="G16250" s="42"/>
      <c r="H16250" s="42"/>
      <c r="AG16250" s="19"/>
    </row>
    <row r="16251" spans="1:33" ht="14.5" x14ac:dyDescent="0.35">
      <c r="A16251" s="34"/>
      <c r="B16251" s="35"/>
      <c r="C16251" s="36"/>
      <c r="D16251" s="37"/>
      <c r="E16251" s="36"/>
      <c r="F16251" s="42"/>
      <c r="G16251" s="42"/>
      <c r="H16251" s="42"/>
      <c r="AG16251" s="19"/>
    </row>
    <row r="16252" spans="1:33" ht="14.5" x14ac:dyDescent="0.35">
      <c r="A16252" s="34"/>
      <c r="B16252" s="35"/>
      <c r="C16252" s="36"/>
      <c r="D16252" s="37"/>
      <c r="E16252" s="36"/>
      <c r="F16252" s="42"/>
      <c r="G16252" s="42"/>
      <c r="H16252" s="42"/>
      <c r="AG16252" s="19"/>
    </row>
    <row r="16253" spans="1:33" ht="14.5" x14ac:dyDescent="0.35">
      <c r="A16253" s="34"/>
      <c r="B16253" s="35"/>
      <c r="C16253" s="36"/>
      <c r="D16253" s="37"/>
      <c r="E16253" s="36"/>
      <c r="F16253" s="42"/>
      <c r="G16253" s="42"/>
      <c r="H16253" s="42"/>
      <c r="AG16253" s="19"/>
    </row>
    <row r="16254" spans="1:33" ht="14.5" x14ac:dyDescent="0.35">
      <c r="A16254" s="34"/>
      <c r="B16254" s="35"/>
      <c r="C16254" s="36"/>
      <c r="D16254" s="37"/>
      <c r="E16254" s="36"/>
      <c r="F16254" s="42"/>
      <c r="G16254" s="42"/>
      <c r="H16254" s="42"/>
      <c r="AG16254" s="19"/>
    </row>
    <row r="16255" spans="1:33" ht="14.5" x14ac:dyDescent="0.35">
      <c r="A16255" s="34"/>
      <c r="B16255" s="35"/>
      <c r="C16255" s="36"/>
      <c r="D16255" s="37"/>
      <c r="E16255" s="36"/>
      <c r="F16255" s="42"/>
      <c r="G16255" s="42"/>
      <c r="H16255" s="42"/>
      <c r="AG16255" s="19"/>
    </row>
    <row r="16256" spans="1:33" ht="14.5" x14ac:dyDescent="0.35">
      <c r="A16256" s="34"/>
      <c r="B16256" s="35"/>
      <c r="C16256" s="36"/>
      <c r="D16256" s="37"/>
      <c r="E16256" s="36"/>
      <c r="F16256" s="42"/>
      <c r="G16256" s="42"/>
      <c r="H16256" s="42"/>
      <c r="AG16256" s="19"/>
    </row>
    <row r="16257" spans="1:33" ht="14.5" x14ac:dyDescent="0.35">
      <c r="A16257" s="34"/>
      <c r="B16257" s="35"/>
      <c r="C16257" s="36"/>
      <c r="D16257" s="37"/>
      <c r="E16257" s="36"/>
      <c r="F16257" s="42"/>
      <c r="G16257" s="42"/>
      <c r="H16257" s="42"/>
      <c r="AG16257" s="19"/>
    </row>
    <row r="16258" spans="1:33" ht="14.5" x14ac:dyDescent="0.35">
      <c r="A16258" s="34"/>
      <c r="B16258" s="35"/>
      <c r="C16258" s="36"/>
      <c r="D16258" s="37"/>
      <c r="E16258" s="36"/>
      <c r="F16258" s="42"/>
      <c r="G16258" s="42"/>
      <c r="H16258" s="42"/>
      <c r="AG16258" s="19"/>
    </row>
    <row r="16259" spans="1:33" ht="14.5" x14ac:dyDescent="0.35">
      <c r="A16259" s="34"/>
      <c r="B16259" s="35"/>
      <c r="C16259" s="36"/>
      <c r="D16259" s="37"/>
      <c r="E16259" s="36"/>
      <c r="F16259" s="42"/>
      <c r="G16259" s="42"/>
      <c r="H16259" s="42"/>
      <c r="AG16259" s="19"/>
    </row>
    <row r="16260" spans="1:33" ht="14.5" x14ac:dyDescent="0.35">
      <c r="A16260" s="34"/>
      <c r="B16260" s="35"/>
      <c r="C16260" s="36"/>
      <c r="D16260" s="37"/>
      <c r="E16260" s="36"/>
      <c r="F16260" s="42"/>
      <c r="G16260" s="42"/>
      <c r="H16260" s="42"/>
      <c r="AG16260" s="19"/>
    </row>
    <row r="16261" spans="1:33" ht="14.5" x14ac:dyDescent="0.35">
      <c r="A16261" s="34"/>
      <c r="B16261" s="35"/>
      <c r="C16261" s="36"/>
      <c r="D16261" s="37"/>
      <c r="E16261" s="36"/>
      <c r="F16261" s="42"/>
      <c r="G16261" s="42"/>
      <c r="H16261" s="42"/>
      <c r="AG16261" s="19"/>
    </row>
    <row r="16262" spans="1:33" ht="14.5" x14ac:dyDescent="0.35">
      <c r="A16262" s="34"/>
      <c r="B16262" s="35"/>
      <c r="C16262" s="36"/>
      <c r="D16262" s="37"/>
      <c r="E16262" s="36"/>
      <c r="F16262" s="42"/>
      <c r="G16262" s="42"/>
      <c r="H16262" s="42"/>
      <c r="AG16262" s="19"/>
    </row>
    <row r="16263" spans="1:33" ht="14.5" x14ac:dyDescent="0.35">
      <c r="A16263" s="34"/>
      <c r="B16263" s="35"/>
      <c r="C16263" s="36"/>
      <c r="D16263" s="37"/>
      <c r="E16263" s="36"/>
      <c r="F16263" s="42"/>
      <c r="G16263" s="42"/>
      <c r="H16263" s="42"/>
      <c r="AG16263" s="19"/>
    </row>
    <row r="16264" spans="1:33" ht="14.5" x14ac:dyDescent="0.35">
      <c r="A16264" s="34"/>
      <c r="B16264" s="35"/>
      <c r="C16264" s="36"/>
      <c r="D16264" s="37"/>
      <c r="E16264" s="36"/>
      <c r="F16264" s="42"/>
      <c r="G16264" s="42"/>
      <c r="H16264" s="42"/>
      <c r="AG16264" s="19"/>
    </row>
    <row r="16265" spans="1:33" ht="14.5" x14ac:dyDescent="0.35">
      <c r="A16265" s="34"/>
      <c r="B16265" s="35"/>
      <c r="C16265" s="36"/>
      <c r="D16265" s="37"/>
      <c r="E16265" s="36"/>
      <c r="F16265" s="42"/>
      <c r="G16265" s="42"/>
      <c r="H16265" s="42"/>
      <c r="AG16265" s="19"/>
    </row>
    <row r="16266" spans="1:33" ht="14.5" x14ac:dyDescent="0.35">
      <c r="A16266" s="34"/>
      <c r="B16266" s="35"/>
      <c r="C16266" s="36"/>
      <c r="D16266" s="37"/>
      <c r="E16266" s="36"/>
      <c r="F16266" s="42"/>
      <c r="G16266" s="42"/>
      <c r="H16266" s="42"/>
      <c r="AG16266" s="19"/>
    </row>
    <row r="16267" spans="1:33" ht="14.5" x14ac:dyDescent="0.35">
      <c r="A16267" s="34"/>
      <c r="B16267" s="35"/>
      <c r="C16267" s="36"/>
      <c r="D16267" s="37"/>
      <c r="E16267" s="36"/>
      <c r="F16267" s="42"/>
      <c r="G16267" s="42"/>
      <c r="H16267" s="42"/>
      <c r="AG16267" s="19"/>
    </row>
    <row r="16268" spans="1:33" ht="14.5" x14ac:dyDescent="0.35">
      <c r="A16268" s="34"/>
      <c r="B16268" s="35"/>
      <c r="C16268" s="36"/>
      <c r="D16268" s="37"/>
      <c r="E16268" s="36"/>
      <c r="F16268" s="42"/>
      <c r="G16268" s="42"/>
      <c r="H16268" s="42"/>
      <c r="AG16268" s="19"/>
    </row>
    <row r="16269" spans="1:33" ht="14.5" x14ac:dyDescent="0.35">
      <c r="A16269" s="34"/>
      <c r="B16269" s="35"/>
      <c r="C16269" s="36"/>
      <c r="D16269" s="37"/>
      <c r="E16269" s="36"/>
      <c r="F16269" s="42"/>
      <c r="G16269" s="42"/>
      <c r="H16269" s="42"/>
      <c r="AG16269" s="19"/>
    </row>
    <row r="16270" spans="1:33" ht="14.5" x14ac:dyDescent="0.35">
      <c r="A16270" s="34"/>
      <c r="B16270" s="35"/>
      <c r="C16270" s="36"/>
      <c r="D16270" s="37"/>
      <c r="E16270" s="36"/>
      <c r="F16270" s="42"/>
      <c r="G16270" s="42"/>
      <c r="H16270" s="42"/>
      <c r="AG16270" s="19"/>
    </row>
    <row r="16271" spans="1:33" ht="14.5" x14ac:dyDescent="0.35">
      <c r="A16271" s="34"/>
      <c r="B16271" s="35"/>
      <c r="C16271" s="36"/>
      <c r="D16271" s="37"/>
      <c r="E16271" s="36"/>
      <c r="F16271" s="42"/>
      <c r="G16271" s="42"/>
      <c r="H16271" s="42"/>
      <c r="AG16271" s="19"/>
    </row>
    <row r="16272" spans="1:33" ht="14.5" x14ac:dyDescent="0.35">
      <c r="A16272" s="34"/>
      <c r="B16272" s="35"/>
      <c r="C16272" s="36"/>
      <c r="D16272" s="37"/>
      <c r="E16272" s="36"/>
      <c r="F16272" s="42"/>
      <c r="G16272" s="42"/>
      <c r="H16272" s="42"/>
      <c r="AG16272" s="19"/>
    </row>
    <row r="16273" spans="1:33" ht="14.5" x14ac:dyDescent="0.35">
      <c r="A16273" s="34"/>
      <c r="B16273" s="35"/>
      <c r="C16273" s="36"/>
      <c r="D16273" s="37"/>
      <c r="E16273" s="36"/>
      <c r="F16273" s="42"/>
      <c r="G16273" s="42"/>
      <c r="H16273" s="42"/>
      <c r="AG16273" s="19"/>
    </row>
    <row r="16274" spans="1:33" ht="14.5" x14ac:dyDescent="0.35">
      <c r="A16274" s="34"/>
      <c r="B16274" s="35"/>
      <c r="C16274" s="36"/>
      <c r="D16274" s="37"/>
      <c r="E16274" s="36"/>
      <c r="F16274" s="42"/>
      <c r="G16274" s="42"/>
      <c r="H16274" s="42"/>
      <c r="AG16274" s="19"/>
    </row>
    <row r="16275" spans="1:33" ht="14.5" x14ac:dyDescent="0.35">
      <c r="A16275" s="34"/>
      <c r="B16275" s="35"/>
      <c r="C16275" s="36"/>
      <c r="D16275" s="37"/>
      <c r="E16275" s="36"/>
      <c r="F16275" s="42"/>
      <c r="G16275" s="42"/>
      <c r="H16275" s="42"/>
      <c r="AG16275" s="19"/>
    </row>
    <row r="16276" spans="1:33" ht="14.5" x14ac:dyDescent="0.35">
      <c r="A16276" s="34"/>
      <c r="B16276" s="35"/>
      <c r="C16276" s="36"/>
      <c r="D16276" s="37"/>
      <c r="E16276" s="36"/>
      <c r="F16276" s="42"/>
      <c r="G16276" s="42"/>
      <c r="H16276" s="42"/>
      <c r="AG16276" s="19"/>
    </row>
    <row r="16277" spans="1:33" ht="14.5" x14ac:dyDescent="0.35">
      <c r="A16277" s="34"/>
      <c r="B16277" s="35"/>
      <c r="C16277" s="36"/>
      <c r="D16277" s="37"/>
      <c r="E16277" s="36"/>
      <c r="F16277" s="42"/>
      <c r="G16277" s="42"/>
      <c r="H16277" s="42"/>
      <c r="AG16277" s="19"/>
    </row>
    <row r="16278" spans="1:33" ht="14.5" x14ac:dyDescent="0.35">
      <c r="A16278" s="34"/>
      <c r="B16278" s="35"/>
      <c r="C16278" s="36"/>
      <c r="D16278" s="37"/>
      <c r="E16278" s="36"/>
      <c r="F16278" s="42"/>
      <c r="G16278" s="42"/>
      <c r="H16278" s="42"/>
      <c r="AG16278" s="19"/>
    </row>
    <row r="16279" spans="1:33" ht="14.5" x14ac:dyDescent="0.35">
      <c r="A16279" s="34"/>
      <c r="B16279" s="35"/>
      <c r="C16279" s="36"/>
      <c r="D16279" s="37"/>
      <c r="E16279" s="36"/>
      <c r="F16279" s="42"/>
      <c r="G16279" s="42"/>
      <c r="H16279" s="42"/>
      <c r="AG16279" s="19"/>
    </row>
    <row r="16280" spans="1:33" ht="14.5" x14ac:dyDescent="0.35">
      <c r="A16280" s="34"/>
      <c r="B16280" s="35"/>
      <c r="C16280" s="36"/>
      <c r="D16280" s="37"/>
      <c r="E16280" s="36"/>
      <c r="F16280" s="42"/>
      <c r="G16280" s="42"/>
      <c r="H16280" s="42"/>
      <c r="AG16280" s="19"/>
    </row>
    <row r="16281" spans="1:33" ht="14.5" x14ac:dyDescent="0.35">
      <c r="A16281" s="34"/>
      <c r="B16281" s="35"/>
      <c r="C16281" s="36"/>
      <c r="D16281" s="37"/>
      <c r="E16281" s="36"/>
      <c r="F16281" s="42"/>
      <c r="G16281" s="42"/>
      <c r="H16281" s="42"/>
      <c r="AG16281" s="19"/>
    </row>
    <row r="16282" spans="1:33" ht="14.5" x14ac:dyDescent="0.35">
      <c r="A16282" s="34"/>
      <c r="B16282" s="35"/>
      <c r="C16282" s="36"/>
      <c r="D16282" s="37"/>
      <c r="E16282" s="36"/>
      <c r="F16282" s="42"/>
      <c r="G16282" s="42"/>
      <c r="H16282" s="42"/>
      <c r="AG16282" s="19"/>
    </row>
    <row r="16283" spans="1:33" ht="14.5" x14ac:dyDescent="0.35">
      <c r="A16283" s="34"/>
      <c r="B16283" s="35"/>
      <c r="C16283" s="36"/>
      <c r="D16283" s="37"/>
      <c r="E16283" s="36"/>
      <c r="F16283" s="42"/>
      <c r="G16283" s="42"/>
      <c r="H16283" s="42"/>
      <c r="AG16283" s="19"/>
    </row>
    <row r="16284" spans="1:33" ht="14.5" x14ac:dyDescent="0.35">
      <c r="A16284" s="34"/>
      <c r="B16284" s="35"/>
      <c r="C16284" s="36"/>
      <c r="D16284" s="37"/>
      <c r="E16284" s="36"/>
      <c r="F16284" s="42"/>
      <c r="G16284" s="42"/>
      <c r="H16284" s="42"/>
      <c r="AG16284" s="19"/>
    </row>
    <row r="16285" spans="1:33" ht="14.5" x14ac:dyDescent="0.35">
      <c r="A16285" s="34"/>
      <c r="B16285" s="35"/>
      <c r="C16285" s="36"/>
      <c r="D16285" s="37"/>
      <c r="E16285" s="36"/>
      <c r="F16285" s="42"/>
      <c r="G16285" s="42"/>
      <c r="H16285" s="42"/>
      <c r="AG16285" s="19"/>
    </row>
    <row r="16286" spans="1:33" ht="14.5" x14ac:dyDescent="0.35">
      <c r="A16286" s="34"/>
      <c r="B16286" s="35"/>
      <c r="C16286" s="36"/>
      <c r="D16286" s="37"/>
      <c r="E16286" s="36"/>
      <c r="F16286" s="42"/>
      <c r="G16286" s="42"/>
      <c r="H16286" s="42"/>
      <c r="AG16286" s="19"/>
    </row>
    <row r="16287" spans="1:33" ht="14.5" x14ac:dyDescent="0.35">
      <c r="A16287" s="34"/>
      <c r="B16287" s="35"/>
      <c r="C16287" s="36"/>
      <c r="D16287" s="37"/>
      <c r="E16287" s="36"/>
      <c r="F16287" s="42"/>
      <c r="G16287" s="42"/>
      <c r="H16287" s="42"/>
      <c r="AG16287" s="19"/>
    </row>
    <row r="16288" spans="1:33" ht="14.5" x14ac:dyDescent="0.35">
      <c r="A16288" s="34"/>
      <c r="B16288" s="35"/>
      <c r="C16288" s="36"/>
      <c r="D16288" s="37"/>
      <c r="E16288" s="36"/>
      <c r="F16288" s="42"/>
      <c r="G16288" s="42"/>
      <c r="H16288" s="42"/>
      <c r="AG16288" s="19"/>
    </row>
    <row r="16289" spans="1:33" ht="14.5" x14ac:dyDescent="0.35">
      <c r="A16289" s="34"/>
      <c r="B16289" s="35"/>
      <c r="C16289" s="36"/>
      <c r="D16289" s="37"/>
      <c r="E16289" s="36"/>
      <c r="F16289" s="42"/>
      <c r="G16289" s="42"/>
      <c r="H16289" s="42"/>
      <c r="AG16289" s="19"/>
    </row>
    <row r="16290" spans="1:33" ht="14.5" x14ac:dyDescent="0.35">
      <c r="A16290" s="34"/>
      <c r="B16290" s="35"/>
      <c r="C16290" s="36"/>
      <c r="D16290" s="37"/>
      <c r="E16290" s="36"/>
      <c r="F16290" s="42"/>
      <c r="G16290" s="42"/>
      <c r="H16290" s="42"/>
      <c r="AG16290" s="19"/>
    </row>
    <row r="16291" spans="1:33" ht="14.5" x14ac:dyDescent="0.35">
      <c r="A16291" s="34"/>
      <c r="B16291" s="35"/>
      <c r="C16291" s="36"/>
      <c r="D16291" s="37"/>
      <c r="E16291" s="36"/>
      <c r="F16291" s="42"/>
      <c r="G16291" s="42"/>
      <c r="H16291" s="42"/>
      <c r="AG16291" s="19"/>
    </row>
    <row r="16292" spans="1:33" ht="14.5" x14ac:dyDescent="0.35">
      <c r="A16292" s="34"/>
      <c r="B16292" s="35"/>
      <c r="C16292" s="36"/>
      <c r="D16292" s="37"/>
      <c r="E16292" s="36"/>
      <c r="F16292" s="42"/>
      <c r="G16292" s="42"/>
      <c r="H16292" s="42"/>
      <c r="AG16292" s="19"/>
    </row>
    <row r="16293" spans="1:33" ht="14.5" x14ac:dyDescent="0.35">
      <c r="A16293" s="34"/>
      <c r="B16293" s="35"/>
      <c r="C16293" s="36"/>
      <c r="D16293" s="37"/>
      <c r="E16293" s="36"/>
      <c r="F16293" s="42"/>
      <c r="G16293" s="42"/>
      <c r="H16293" s="42"/>
      <c r="AG16293" s="19"/>
    </row>
    <row r="16294" spans="1:33" ht="14.5" x14ac:dyDescent="0.35">
      <c r="A16294" s="34"/>
      <c r="B16294" s="35"/>
      <c r="C16294" s="36"/>
      <c r="D16294" s="37"/>
      <c r="E16294" s="36"/>
      <c r="F16294" s="42"/>
      <c r="G16294" s="42"/>
      <c r="H16294" s="42"/>
      <c r="AG16294" s="19"/>
    </row>
    <row r="16295" spans="1:33" ht="14.5" x14ac:dyDescent="0.35">
      <c r="A16295" s="34"/>
      <c r="B16295" s="35"/>
      <c r="C16295" s="36"/>
      <c r="D16295" s="37"/>
      <c r="E16295" s="36"/>
      <c r="F16295" s="42"/>
      <c r="G16295" s="42"/>
      <c r="H16295" s="42"/>
      <c r="AG16295" s="19"/>
    </row>
    <row r="16296" spans="1:33" ht="14.5" x14ac:dyDescent="0.35">
      <c r="A16296" s="34"/>
      <c r="B16296" s="35"/>
      <c r="C16296" s="36"/>
      <c r="D16296" s="37"/>
      <c r="E16296" s="36"/>
      <c r="F16296" s="42"/>
      <c r="G16296" s="42"/>
      <c r="H16296" s="42"/>
      <c r="AG16296" s="19"/>
    </row>
    <row r="16297" spans="1:33" ht="14.5" x14ac:dyDescent="0.35">
      <c r="A16297" s="34"/>
      <c r="B16297" s="35"/>
      <c r="C16297" s="36"/>
      <c r="D16297" s="37"/>
      <c r="E16297" s="36"/>
      <c r="F16297" s="42"/>
      <c r="G16297" s="42"/>
      <c r="H16297" s="42"/>
      <c r="AG16297" s="19"/>
    </row>
    <row r="16298" spans="1:33" ht="14.5" x14ac:dyDescent="0.35">
      <c r="A16298" s="34"/>
      <c r="B16298" s="35"/>
      <c r="C16298" s="36"/>
      <c r="D16298" s="37"/>
      <c r="E16298" s="36"/>
      <c r="F16298" s="42"/>
      <c r="G16298" s="42"/>
      <c r="H16298" s="42"/>
      <c r="AG16298" s="19"/>
    </row>
    <row r="16299" spans="1:33" ht="14.5" x14ac:dyDescent="0.35">
      <c r="A16299" s="34"/>
      <c r="B16299" s="35"/>
      <c r="C16299" s="36"/>
      <c r="D16299" s="37"/>
      <c r="E16299" s="36"/>
      <c r="F16299" s="42"/>
      <c r="G16299" s="42"/>
      <c r="H16299" s="42"/>
      <c r="AG16299" s="19"/>
    </row>
    <row r="16300" spans="1:33" ht="14.5" x14ac:dyDescent="0.35">
      <c r="A16300" s="34"/>
      <c r="B16300" s="35"/>
      <c r="C16300" s="36"/>
      <c r="D16300" s="37"/>
      <c r="E16300" s="36"/>
      <c r="F16300" s="42"/>
      <c r="G16300" s="42"/>
      <c r="H16300" s="42"/>
      <c r="AG16300" s="19"/>
    </row>
    <row r="16301" spans="1:33" ht="14.5" x14ac:dyDescent="0.35">
      <c r="A16301" s="34"/>
      <c r="B16301" s="35"/>
      <c r="C16301" s="36"/>
      <c r="D16301" s="37"/>
      <c r="E16301" s="36"/>
      <c r="F16301" s="42"/>
      <c r="G16301" s="42"/>
      <c r="H16301" s="42"/>
      <c r="AG16301" s="19"/>
    </row>
    <row r="16302" spans="1:33" ht="14.5" x14ac:dyDescent="0.35">
      <c r="A16302" s="34"/>
      <c r="B16302" s="35"/>
      <c r="C16302" s="36"/>
      <c r="D16302" s="37"/>
      <c r="E16302" s="36"/>
      <c r="F16302" s="42"/>
      <c r="G16302" s="42"/>
      <c r="H16302" s="42"/>
      <c r="AG16302" s="19"/>
    </row>
    <row r="16303" spans="1:33" ht="14.5" x14ac:dyDescent="0.35">
      <c r="A16303" s="34"/>
      <c r="B16303" s="35"/>
      <c r="C16303" s="36"/>
      <c r="D16303" s="37"/>
      <c r="E16303" s="36"/>
      <c r="F16303" s="42"/>
      <c r="G16303" s="42"/>
      <c r="H16303" s="42"/>
      <c r="AG16303" s="19"/>
    </row>
    <row r="16304" spans="1:33" ht="14.5" x14ac:dyDescent="0.35">
      <c r="A16304" s="34"/>
      <c r="B16304" s="35"/>
      <c r="C16304" s="36"/>
      <c r="D16304" s="37"/>
      <c r="E16304" s="36"/>
      <c r="F16304" s="42"/>
      <c r="G16304" s="42"/>
      <c r="H16304" s="42"/>
      <c r="AG16304" s="19"/>
    </row>
    <row r="16305" spans="1:33" ht="14.5" x14ac:dyDescent="0.35">
      <c r="A16305" s="34"/>
      <c r="B16305" s="35"/>
      <c r="C16305" s="36"/>
      <c r="D16305" s="37"/>
      <c r="E16305" s="36"/>
      <c r="F16305" s="42"/>
      <c r="G16305" s="42"/>
      <c r="H16305" s="42"/>
      <c r="AG16305" s="19"/>
    </row>
    <row r="16306" spans="1:33" ht="14.5" x14ac:dyDescent="0.35">
      <c r="A16306" s="34"/>
      <c r="B16306" s="35"/>
      <c r="C16306" s="36"/>
      <c r="D16306" s="37"/>
      <c r="E16306" s="36"/>
      <c r="F16306" s="42"/>
      <c r="G16306" s="42"/>
      <c r="H16306" s="42"/>
      <c r="AG16306" s="19"/>
    </row>
    <row r="16307" spans="1:33" ht="14.5" x14ac:dyDescent="0.35">
      <c r="A16307" s="34"/>
      <c r="B16307" s="35"/>
      <c r="C16307" s="36"/>
      <c r="D16307" s="37"/>
      <c r="E16307" s="36"/>
      <c r="F16307" s="42"/>
      <c r="G16307" s="42"/>
      <c r="H16307" s="42"/>
      <c r="AG16307" s="19"/>
    </row>
    <row r="16308" spans="1:33" ht="14.5" x14ac:dyDescent="0.35">
      <c r="A16308" s="34"/>
      <c r="B16308" s="35"/>
      <c r="C16308" s="36"/>
      <c r="D16308" s="37"/>
      <c r="E16308" s="36"/>
      <c r="F16308" s="42"/>
      <c r="G16308" s="42"/>
      <c r="H16308" s="42"/>
      <c r="AG16308" s="19"/>
    </row>
    <row r="16309" spans="1:33" ht="14.5" x14ac:dyDescent="0.35">
      <c r="A16309" s="34"/>
      <c r="B16309" s="35"/>
      <c r="C16309" s="36"/>
      <c r="D16309" s="37"/>
      <c r="E16309" s="36"/>
      <c r="F16309" s="42"/>
      <c r="G16309" s="42"/>
      <c r="H16309" s="42"/>
      <c r="AG16309" s="19"/>
    </row>
    <row r="16310" spans="1:33" ht="14.5" x14ac:dyDescent="0.35">
      <c r="A16310" s="34"/>
      <c r="B16310" s="35"/>
      <c r="C16310" s="36"/>
      <c r="D16310" s="37"/>
      <c r="E16310" s="36"/>
      <c r="F16310" s="42"/>
      <c r="G16310" s="42"/>
      <c r="H16310" s="42"/>
      <c r="AG16310" s="19"/>
    </row>
    <row r="16311" spans="1:33" ht="14.5" x14ac:dyDescent="0.35">
      <c r="A16311" s="34"/>
      <c r="B16311" s="35"/>
      <c r="C16311" s="36"/>
      <c r="D16311" s="37"/>
      <c r="E16311" s="36"/>
      <c r="F16311" s="42"/>
      <c r="G16311" s="42"/>
      <c r="H16311" s="42"/>
      <c r="AG16311" s="19"/>
    </row>
    <row r="16312" spans="1:33" ht="14.5" x14ac:dyDescent="0.35">
      <c r="A16312" s="34"/>
      <c r="B16312" s="35"/>
      <c r="C16312" s="36"/>
      <c r="D16312" s="37"/>
      <c r="E16312" s="36"/>
      <c r="F16312" s="42"/>
      <c r="G16312" s="42"/>
      <c r="H16312" s="42"/>
      <c r="AG16312" s="19"/>
    </row>
    <row r="16313" spans="1:33" ht="14.5" x14ac:dyDescent="0.35">
      <c r="A16313" s="34"/>
      <c r="B16313" s="35"/>
      <c r="C16313" s="36"/>
      <c r="D16313" s="37"/>
      <c r="E16313" s="36"/>
      <c r="F16313" s="42"/>
      <c r="G16313" s="42"/>
      <c r="H16313" s="42"/>
      <c r="AG16313" s="19"/>
    </row>
    <row r="16314" spans="1:33" ht="14.5" x14ac:dyDescent="0.35">
      <c r="A16314" s="34"/>
      <c r="B16314" s="35"/>
      <c r="C16314" s="36"/>
      <c r="D16314" s="37"/>
      <c r="E16314" s="36"/>
      <c r="F16314" s="42"/>
      <c r="G16314" s="42"/>
      <c r="H16314" s="42"/>
      <c r="AG16314" s="19"/>
    </row>
    <row r="16315" spans="1:33" ht="14.5" x14ac:dyDescent="0.35">
      <c r="A16315" s="34"/>
      <c r="B16315" s="35"/>
      <c r="C16315" s="36"/>
      <c r="D16315" s="37"/>
      <c r="E16315" s="36"/>
      <c r="F16315" s="42"/>
      <c r="G16315" s="42"/>
      <c r="H16315" s="42"/>
      <c r="AG16315" s="19"/>
    </row>
    <row r="16316" spans="1:33" ht="14.5" x14ac:dyDescent="0.35">
      <c r="A16316" s="34"/>
      <c r="B16316" s="35"/>
      <c r="C16316" s="36"/>
      <c r="D16316" s="37"/>
      <c r="E16316" s="36"/>
      <c r="F16316" s="42"/>
      <c r="G16316" s="42"/>
      <c r="H16316" s="42"/>
      <c r="AG16316" s="19"/>
    </row>
    <row r="16317" spans="1:33" ht="14.5" x14ac:dyDescent="0.35">
      <c r="A16317" s="34"/>
      <c r="B16317" s="35"/>
      <c r="C16317" s="36"/>
      <c r="D16317" s="37"/>
      <c r="E16317" s="36"/>
      <c r="F16317" s="42"/>
      <c r="G16317" s="42"/>
      <c r="H16317" s="42"/>
      <c r="AG16317" s="19"/>
    </row>
    <row r="16318" spans="1:33" ht="14.5" x14ac:dyDescent="0.35">
      <c r="A16318" s="34"/>
      <c r="B16318" s="35"/>
      <c r="C16318" s="36"/>
      <c r="D16318" s="37"/>
      <c r="E16318" s="36"/>
      <c r="F16318" s="42"/>
      <c r="G16318" s="42"/>
      <c r="H16318" s="42"/>
      <c r="AG16318" s="19"/>
    </row>
    <row r="16319" spans="1:33" ht="14.5" x14ac:dyDescent="0.35">
      <c r="A16319" s="34"/>
      <c r="B16319" s="35"/>
      <c r="C16319" s="36"/>
      <c r="D16319" s="37"/>
      <c r="E16319" s="36"/>
      <c r="F16319" s="42"/>
      <c r="G16319" s="42"/>
      <c r="H16319" s="42"/>
      <c r="AG16319" s="19"/>
    </row>
    <row r="16320" spans="1:33" ht="14.5" x14ac:dyDescent="0.35">
      <c r="A16320" s="34"/>
      <c r="B16320" s="35"/>
      <c r="C16320" s="36"/>
      <c r="D16320" s="37"/>
      <c r="E16320" s="36"/>
      <c r="F16320" s="42"/>
      <c r="G16320" s="42"/>
      <c r="H16320" s="42"/>
      <c r="AG16320" s="19"/>
    </row>
    <row r="16321" spans="1:33" ht="14.5" x14ac:dyDescent="0.35">
      <c r="A16321" s="34"/>
      <c r="B16321" s="35"/>
      <c r="C16321" s="36"/>
      <c r="D16321" s="37"/>
      <c r="E16321" s="36"/>
      <c r="F16321" s="42"/>
      <c r="G16321" s="42"/>
      <c r="H16321" s="42"/>
      <c r="AG16321" s="19"/>
    </row>
    <row r="16322" spans="1:33" ht="14.5" x14ac:dyDescent="0.35">
      <c r="A16322" s="34"/>
      <c r="B16322" s="35"/>
      <c r="C16322" s="36"/>
      <c r="D16322" s="37"/>
      <c r="E16322" s="36"/>
      <c r="F16322" s="42"/>
      <c r="G16322" s="42"/>
      <c r="H16322" s="42"/>
      <c r="AG16322" s="19"/>
    </row>
    <row r="16323" spans="1:33" ht="14.5" x14ac:dyDescent="0.35">
      <c r="A16323" s="34"/>
      <c r="B16323" s="35"/>
      <c r="C16323" s="36"/>
      <c r="D16323" s="37"/>
      <c r="E16323" s="36"/>
      <c r="F16323" s="42"/>
      <c r="G16323" s="42"/>
      <c r="H16323" s="42"/>
      <c r="AG16323" s="19"/>
    </row>
    <row r="16324" spans="1:33" ht="14.5" x14ac:dyDescent="0.35">
      <c r="A16324" s="34"/>
      <c r="B16324" s="35"/>
      <c r="C16324" s="36"/>
      <c r="D16324" s="37"/>
      <c r="E16324" s="36"/>
      <c r="F16324" s="42"/>
      <c r="G16324" s="42"/>
      <c r="H16324" s="42"/>
      <c r="AG16324" s="19"/>
    </row>
    <row r="16325" spans="1:33" ht="14.5" x14ac:dyDescent="0.35">
      <c r="A16325" s="34"/>
      <c r="B16325" s="35"/>
      <c r="C16325" s="36"/>
      <c r="D16325" s="37"/>
      <c r="E16325" s="36"/>
      <c r="F16325" s="42"/>
      <c r="G16325" s="42"/>
      <c r="H16325" s="42"/>
      <c r="AG16325" s="19"/>
    </row>
    <row r="16326" spans="1:33" ht="14.5" x14ac:dyDescent="0.35">
      <c r="A16326" s="34"/>
      <c r="B16326" s="35"/>
      <c r="C16326" s="36"/>
      <c r="D16326" s="37"/>
      <c r="E16326" s="36"/>
      <c r="F16326" s="42"/>
      <c r="G16326" s="42"/>
      <c r="H16326" s="42"/>
      <c r="AG16326" s="19"/>
    </row>
    <row r="16327" spans="1:33" ht="14.5" x14ac:dyDescent="0.35">
      <c r="A16327" s="34"/>
      <c r="B16327" s="35"/>
      <c r="C16327" s="36"/>
      <c r="D16327" s="37"/>
      <c r="E16327" s="36"/>
      <c r="F16327" s="42"/>
      <c r="G16327" s="42"/>
      <c r="H16327" s="42"/>
      <c r="AG16327" s="19"/>
    </row>
    <row r="16328" spans="1:33" ht="14.5" x14ac:dyDescent="0.35">
      <c r="A16328" s="34"/>
      <c r="B16328" s="35"/>
      <c r="C16328" s="36"/>
      <c r="D16328" s="37"/>
      <c r="E16328" s="36"/>
      <c r="F16328" s="42"/>
      <c r="G16328" s="42"/>
      <c r="H16328" s="42"/>
      <c r="AG16328" s="19"/>
    </row>
    <row r="16329" spans="1:33" ht="14.5" x14ac:dyDescent="0.35">
      <c r="A16329" s="34"/>
      <c r="B16329" s="35"/>
      <c r="C16329" s="36"/>
      <c r="D16329" s="37"/>
      <c r="E16329" s="36"/>
      <c r="F16329" s="42"/>
      <c r="G16329" s="42"/>
      <c r="H16329" s="42"/>
      <c r="AG16329" s="19"/>
    </row>
    <row r="16330" spans="1:33" ht="14.5" x14ac:dyDescent="0.35">
      <c r="A16330" s="34"/>
      <c r="B16330" s="35"/>
      <c r="C16330" s="36"/>
      <c r="D16330" s="37"/>
      <c r="E16330" s="36"/>
      <c r="F16330" s="42"/>
      <c r="G16330" s="42"/>
      <c r="H16330" s="42"/>
      <c r="AG16330" s="19"/>
    </row>
    <row r="16331" spans="1:33" ht="14.5" x14ac:dyDescent="0.35">
      <c r="A16331" s="34"/>
      <c r="B16331" s="35"/>
      <c r="C16331" s="36"/>
      <c r="D16331" s="37"/>
      <c r="E16331" s="36"/>
      <c r="F16331" s="42"/>
      <c r="G16331" s="42"/>
      <c r="H16331" s="42"/>
      <c r="AG16331" s="19"/>
    </row>
    <row r="16332" spans="1:33" ht="14.5" x14ac:dyDescent="0.35">
      <c r="A16332" s="34"/>
      <c r="B16332" s="35"/>
      <c r="C16332" s="36"/>
      <c r="D16332" s="37"/>
      <c r="E16332" s="36"/>
      <c r="F16332" s="42"/>
      <c r="G16332" s="42"/>
      <c r="H16332" s="42"/>
      <c r="AG16332" s="19"/>
    </row>
    <row r="16333" spans="1:33" ht="14.5" x14ac:dyDescent="0.35">
      <c r="A16333" s="34"/>
      <c r="B16333" s="35"/>
      <c r="C16333" s="36"/>
      <c r="D16333" s="37"/>
      <c r="E16333" s="36"/>
      <c r="F16333" s="42"/>
      <c r="G16333" s="42"/>
      <c r="H16333" s="42"/>
      <c r="AG16333" s="19"/>
    </row>
    <row r="16334" spans="1:33" ht="14.5" x14ac:dyDescent="0.35">
      <c r="A16334" s="34"/>
      <c r="B16334" s="35"/>
      <c r="C16334" s="36"/>
      <c r="D16334" s="37"/>
      <c r="E16334" s="36"/>
      <c r="F16334" s="42"/>
      <c r="G16334" s="42"/>
      <c r="H16334" s="42"/>
      <c r="AG16334" s="19"/>
    </row>
    <row r="16335" spans="1:33" ht="14.5" x14ac:dyDescent="0.35">
      <c r="A16335" s="34"/>
      <c r="B16335" s="35"/>
      <c r="C16335" s="36"/>
      <c r="D16335" s="37"/>
      <c r="E16335" s="36"/>
      <c r="F16335" s="42"/>
      <c r="G16335" s="42"/>
      <c r="H16335" s="42"/>
      <c r="AG16335" s="19"/>
    </row>
    <row r="16336" spans="1:33" ht="14.5" x14ac:dyDescent="0.35">
      <c r="A16336" s="34"/>
      <c r="B16336" s="35"/>
      <c r="C16336" s="36"/>
      <c r="D16336" s="37"/>
      <c r="E16336" s="36"/>
      <c r="F16336" s="42"/>
      <c r="G16336" s="42"/>
      <c r="H16336" s="42"/>
      <c r="AG16336" s="19"/>
    </row>
    <row r="16337" spans="1:33" ht="14.5" x14ac:dyDescent="0.35">
      <c r="A16337" s="34"/>
      <c r="B16337" s="35"/>
      <c r="C16337" s="36"/>
      <c r="D16337" s="37"/>
      <c r="E16337" s="36"/>
      <c r="F16337" s="42"/>
      <c r="G16337" s="42"/>
      <c r="H16337" s="42"/>
      <c r="AG16337" s="19"/>
    </row>
    <row r="16338" spans="1:33" ht="14.5" x14ac:dyDescent="0.35">
      <c r="A16338" s="34"/>
      <c r="B16338" s="35"/>
      <c r="C16338" s="36"/>
      <c r="D16338" s="37"/>
      <c r="E16338" s="36"/>
      <c r="F16338" s="42"/>
      <c r="G16338" s="42"/>
      <c r="H16338" s="42"/>
      <c r="AG16338" s="19"/>
    </row>
    <row r="16339" spans="1:33" ht="14.5" x14ac:dyDescent="0.35">
      <c r="A16339" s="34"/>
      <c r="B16339" s="35"/>
      <c r="C16339" s="36"/>
      <c r="D16339" s="37"/>
      <c r="E16339" s="36"/>
      <c r="F16339" s="42"/>
      <c r="G16339" s="42"/>
      <c r="H16339" s="42"/>
      <c r="AG16339" s="19"/>
    </row>
    <row r="16340" spans="1:33" ht="14.5" x14ac:dyDescent="0.35">
      <c r="A16340" s="34"/>
      <c r="B16340" s="35"/>
      <c r="C16340" s="36"/>
      <c r="D16340" s="37"/>
      <c r="E16340" s="36"/>
      <c r="F16340" s="42"/>
      <c r="G16340" s="42"/>
      <c r="H16340" s="42"/>
      <c r="AG16340" s="19"/>
    </row>
    <row r="16341" spans="1:33" ht="14.5" x14ac:dyDescent="0.35">
      <c r="A16341" s="34"/>
      <c r="B16341" s="35"/>
      <c r="C16341" s="36"/>
      <c r="D16341" s="37"/>
      <c r="E16341" s="36"/>
      <c r="F16341" s="42"/>
      <c r="G16341" s="42"/>
      <c r="H16341" s="42"/>
      <c r="AG16341" s="19"/>
    </row>
    <row r="16342" spans="1:33" ht="14.5" x14ac:dyDescent="0.35">
      <c r="A16342" s="34"/>
      <c r="B16342" s="35"/>
      <c r="C16342" s="36"/>
      <c r="D16342" s="37"/>
      <c r="E16342" s="36"/>
      <c r="F16342" s="42"/>
      <c r="G16342" s="42"/>
      <c r="H16342" s="42"/>
      <c r="AG16342" s="19"/>
    </row>
    <row r="16343" spans="1:33" ht="14.5" x14ac:dyDescent="0.35">
      <c r="A16343" s="34"/>
      <c r="B16343" s="35"/>
      <c r="C16343" s="36"/>
      <c r="D16343" s="37"/>
      <c r="E16343" s="36"/>
      <c r="F16343" s="42"/>
      <c r="G16343" s="42"/>
      <c r="H16343" s="42"/>
      <c r="AG16343" s="19"/>
    </row>
    <row r="16344" spans="1:33" ht="14.5" x14ac:dyDescent="0.35">
      <c r="A16344" s="34"/>
      <c r="B16344" s="35"/>
      <c r="C16344" s="36"/>
      <c r="D16344" s="37"/>
      <c r="E16344" s="36"/>
      <c r="F16344" s="42"/>
      <c r="G16344" s="42"/>
      <c r="H16344" s="42"/>
      <c r="AG16344" s="19"/>
    </row>
    <row r="16345" spans="1:33" ht="14.5" x14ac:dyDescent="0.35">
      <c r="A16345" s="34"/>
      <c r="B16345" s="35"/>
      <c r="C16345" s="36"/>
      <c r="D16345" s="37"/>
      <c r="E16345" s="36"/>
      <c r="F16345" s="42"/>
      <c r="G16345" s="42"/>
      <c r="H16345" s="42"/>
      <c r="AG16345" s="19"/>
    </row>
    <row r="16346" spans="1:33" ht="14.5" x14ac:dyDescent="0.35">
      <c r="A16346" s="34"/>
      <c r="B16346" s="35"/>
      <c r="C16346" s="36"/>
      <c r="D16346" s="37"/>
      <c r="E16346" s="36"/>
      <c r="F16346" s="42"/>
      <c r="G16346" s="42"/>
      <c r="H16346" s="42"/>
      <c r="AG16346" s="19"/>
    </row>
    <row r="16347" spans="1:33" ht="14.5" x14ac:dyDescent="0.35">
      <c r="A16347" s="34"/>
      <c r="B16347" s="35"/>
      <c r="C16347" s="36"/>
      <c r="D16347" s="37"/>
      <c r="E16347" s="36"/>
      <c r="F16347" s="42"/>
      <c r="G16347" s="42"/>
      <c r="H16347" s="42"/>
      <c r="AG16347" s="19"/>
    </row>
    <row r="16348" spans="1:33" ht="14.5" x14ac:dyDescent="0.35">
      <c r="A16348" s="34"/>
      <c r="B16348" s="35"/>
      <c r="C16348" s="36"/>
      <c r="D16348" s="37"/>
      <c r="E16348" s="36"/>
      <c r="F16348" s="42"/>
      <c r="G16348" s="42"/>
      <c r="H16348" s="42"/>
      <c r="AG16348" s="19"/>
    </row>
    <row r="16349" spans="1:33" ht="14.5" x14ac:dyDescent="0.35">
      <c r="A16349" s="34"/>
      <c r="B16349" s="35"/>
      <c r="C16349" s="36"/>
      <c r="D16349" s="37"/>
      <c r="E16349" s="36"/>
      <c r="F16349" s="42"/>
      <c r="G16349" s="42"/>
      <c r="H16349" s="42"/>
      <c r="AG16349" s="19"/>
    </row>
    <row r="16350" spans="1:33" ht="14.5" x14ac:dyDescent="0.35">
      <c r="A16350" s="34"/>
      <c r="B16350" s="35"/>
      <c r="C16350" s="36"/>
      <c r="D16350" s="37"/>
      <c r="E16350" s="36"/>
      <c r="F16350" s="42"/>
      <c r="G16350" s="42"/>
      <c r="H16350" s="42"/>
      <c r="AG16350" s="19"/>
    </row>
    <row r="16351" spans="1:33" ht="14.5" x14ac:dyDescent="0.35">
      <c r="A16351" s="34"/>
      <c r="B16351" s="35"/>
      <c r="C16351" s="36"/>
      <c r="D16351" s="37"/>
      <c r="E16351" s="36"/>
      <c r="F16351" s="42"/>
      <c r="G16351" s="42"/>
      <c r="H16351" s="42"/>
      <c r="AG16351" s="19"/>
    </row>
    <row r="16352" spans="1:33" ht="14.5" x14ac:dyDescent="0.35">
      <c r="A16352" s="34"/>
      <c r="B16352" s="35"/>
      <c r="C16352" s="36"/>
      <c r="D16352" s="37"/>
      <c r="E16352" s="36"/>
      <c r="F16352" s="42"/>
      <c r="G16352" s="42"/>
      <c r="H16352" s="42"/>
      <c r="AG16352" s="19"/>
    </row>
    <row r="16353" spans="1:33" ht="14.5" x14ac:dyDescent="0.35">
      <c r="A16353" s="34"/>
      <c r="B16353" s="35"/>
      <c r="C16353" s="36"/>
      <c r="D16353" s="37"/>
      <c r="E16353" s="36"/>
      <c r="F16353" s="42"/>
      <c r="G16353" s="42"/>
      <c r="H16353" s="42"/>
      <c r="AG16353" s="19"/>
    </row>
    <row r="16354" spans="1:33" ht="14.5" x14ac:dyDescent="0.35">
      <c r="A16354" s="34"/>
      <c r="B16354" s="35"/>
      <c r="C16354" s="36"/>
      <c r="D16354" s="37"/>
      <c r="E16354" s="36"/>
      <c r="F16354" s="42"/>
      <c r="G16354" s="42"/>
      <c r="H16354" s="42"/>
      <c r="AG16354" s="19"/>
    </row>
    <row r="16355" spans="1:33" ht="14.5" x14ac:dyDescent="0.35">
      <c r="A16355" s="34"/>
      <c r="B16355" s="35"/>
      <c r="C16355" s="36"/>
      <c r="D16355" s="37"/>
      <c r="E16355" s="36"/>
      <c r="F16355" s="42"/>
      <c r="G16355" s="42"/>
      <c r="H16355" s="42"/>
      <c r="AG16355" s="19"/>
    </row>
    <row r="16356" spans="1:33" ht="14.5" x14ac:dyDescent="0.35">
      <c r="A16356" s="34"/>
      <c r="B16356" s="35"/>
      <c r="C16356" s="36"/>
      <c r="D16356" s="37"/>
      <c r="E16356" s="36"/>
      <c r="F16356" s="42"/>
      <c r="G16356" s="42"/>
      <c r="H16356" s="42"/>
      <c r="AG16356" s="19"/>
    </row>
    <row r="16357" spans="1:33" ht="14.5" x14ac:dyDescent="0.35">
      <c r="A16357" s="34"/>
      <c r="B16357" s="35"/>
      <c r="C16357" s="36"/>
      <c r="D16357" s="37"/>
      <c r="E16357" s="36"/>
      <c r="F16357" s="42"/>
      <c r="G16357" s="42"/>
      <c r="H16357" s="42"/>
      <c r="AG16357" s="19"/>
    </row>
    <row r="16358" spans="1:33" ht="14.5" x14ac:dyDescent="0.35">
      <c r="A16358" s="34"/>
      <c r="B16358" s="35"/>
      <c r="C16358" s="36"/>
      <c r="D16358" s="37"/>
      <c r="E16358" s="36"/>
      <c r="F16358" s="42"/>
      <c r="G16358" s="42"/>
      <c r="H16358" s="42"/>
      <c r="AG16358" s="19"/>
    </row>
    <row r="16359" spans="1:33" ht="14.5" x14ac:dyDescent="0.35">
      <c r="A16359" s="34"/>
      <c r="B16359" s="35"/>
      <c r="C16359" s="36"/>
      <c r="D16359" s="37"/>
      <c r="E16359" s="36"/>
      <c r="F16359" s="42"/>
      <c r="G16359" s="42"/>
      <c r="H16359" s="42"/>
      <c r="AG16359" s="19"/>
    </row>
    <row r="16360" spans="1:33" ht="14.5" x14ac:dyDescent="0.35">
      <c r="A16360" s="34"/>
      <c r="B16360" s="35"/>
      <c r="C16360" s="36"/>
      <c r="D16360" s="37"/>
      <c r="E16360" s="36"/>
      <c r="F16360" s="42"/>
      <c r="G16360" s="42"/>
      <c r="H16360" s="42"/>
      <c r="AG16360" s="19"/>
    </row>
    <row r="16361" spans="1:33" ht="14.5" x14ac:dyDescent="0.35">
      <c r="A16361" s="34"/>
      <c r="B16361" s="35"/>
      <c r="C16361" s="36"/>
      <c r="D16361" s="37"/>
      <c r="E16361" s="36"/>
      <c r="F16361" s="42"/>
      <c r="G16361" s="42"/>
      <c r="H16361" s="42"/>
      <c r="AG16361" s="19"/>
    </row>
    <row r="16362" spans="1:33" ht="14.5" x14ac:dyDescent="0.35">
      <c r="A16362" s="34"/>
      <c r="B16362" s="35"/>
      <c r="C16362" s="36"/>
      <c r="D16362" s="37"/>
      <c r="E16362" s="36"/>
      <c r="F16362" s="42"/>
      <c r="G16362" s="42"/>
      <c r="H16362" s="42"/>
      <c r="AG16362" s="19"/>
    </row>
    <row r="16363" spans="1:33" ht="14.5" x14ac:dyDescent="0.35">
      <c r="A16363" s="34"/>
      <c r="B16363" s="35"/>
      <c r="C16363" s="36"/>
      <c r="D16363" s="37"/>
      <c r="E16363" s="36"/>
      <c r="F16363" s="42"/>
      <c r="G16363" s="42"/>
      <c r="H16363" s="42"/>
      <c r="AG16363" s="19"/>
    </row>
    <row r="16364" spans="1:33" ht="14.5" x14ac:dyDescent="0.35">
      <c r="A16364" s="34"/>
      <c r="B16364" s="35"/>
      <c r="C16364" s="36"/>
      <c r="D16364" s="37"/>
      <c r="E16364" s="36"/>
      <c r="F16364" s="42"/>
      <c r="G16364" s="42"/>
      <c r="H16364" s="42"/>
      <c r="AG16364" s="19"/>
    </row>
    <row r="16365" spans="1:33" ht="14.5" x14ac:dyDescent="0.35">
      <c r="A16365" s="34"/>
      <c r="B16365" s="35"/>
      <c r="C16365" s="36"/>
      <c r="D16365" s="37"/>
      <c r="E16365" s="36"/>
      <c r="F16365" s="42"/>
      <c r="G16365" s="42"/>
      <c r="H16365" s="42"/>
      <c r="AG16365" s="19"/>
    </row>
    <row r="16366" spans="1:33" ht="14.5" x14ac:dyDescent="0.35">
      <c r="A16366" s="34"/>
      <c r="B16366" s="35"/>
      <c r="C16366" s="36"/>
      <c r="D16366" s="37"/>
      <c r="E16366" s="36"/>
      <c r="F16366" s="42"/>
      <c r="G16366" s="42"/>
      <c r="H16366" s="42"/>
      <c r="AG16366" s="19"/>
    </row>
    <row r="16367" spans="1:33" ht="14.5" x14ac:dyDescent="0.35">
      <c r="A16367" s="34"/>
      <c r="B16367" s="35"/>
      <c r="C16367" s="36"/>
      <c r="D16367" s="37"/>
      <c r="E16367" s="36"/>
      <c r="F16367" s="42"/>
      <c r="G16367" s="42"/>
      <c r="H16367" s="42"/>
      <c r="AG16367" s="19"/>
    </row>
    <row r="16368" spans="1:33" ht="14.5" x14ac:dyDescent="0.35">
      <c r="A16368" s="34"/>
      <c r="B16368" s="35"/>
      <c r="C16368" s="36"/>
      <c r="D16368" s="37"/>
      <c r="E16368" s="36"/>
      <c r="F16368" s="42"/>
      <c r="G16368" s="42"/>
      <c r="H16368" s="42"/>
      <c r="AG16368" s="19"/>
    </row>
    <row r="16369" spans="1:33" ht="14.5" x14ac:dyDescent="0.35">
      <c r="A16369" s="34"/>
      <c r="B16369" s="35"/>
      <c r="C16369" s="36"/>
      <c r="D16369" s="37"/>
      <c r="E16369" s="36"/>
      <c r="F16369" s="42"/>
      <c r="G16369" s="42"/>
      <c r="H16369" s="42"/>
      <c r="AG16369" s="19"/>
    </row>
    <row r="16370" spans="1:33" ht="14.5" x14ac:dyDescent="0.35">
      <c r="A16370" s="34"/>
      <c r="B16370" s="35"/>
      <c r="C16370" s="36"/>
      <c r="D16370" s="37"/>
      <c r="E16370" s="36"/>
      <c r="F16370" s="42"/>
      <c r="G16370" s="42"/>
      <c r="H16370" s="42"/>
      <c r="AG16370" s="19"/>
    </row>
    <row r="16371" spans="1:33" ht="14.5" x14ac:dyDescent="0.35">
      <c r="A16371" s="34"/>
      <c r="B16371" s="35"/>
      <c r="C16371" s="36"/>
      <c r="D16371" s="37"/>
      <c r="E16371" s="36"/>
      <c r="F16371" s="42"/>
      <c r="G16371" s="42"/>
      <c r="H16371" s="42"/>
      <c r="AG16371" s="19"/>
    </row>
    <row r="16372" spans="1:33" ht="14.5" x14ac:dyDescent="0.35">
      <c r="A16372" s="34"/>
      <c r="B16372" s="35"/>
      <c r="C16372" s="36"/>
      <c r="D16372" s="37"/>
      <c r="E16372" s="36"/>
      <c r="F16372" s="42"/>
      <c r="G16372" s="42"/>
      <c r="H16372" s="42"/>
      <c r="AG16372" s="19"/>
    </row>
    <row r="16373" spans="1:33" ht="14.5" x14ac:dyDescent="0.35">
      <c r="A16373" s="34"/>
      <c r="B16373" s="35"/>
      <c r="C16373" s="36"/>
      <c r="D16373" s="37"/>
      <c r="E16373" s="36"/>
      <c r="F16373" s="42"/>
      <c r="G16373" s="42"/>
      <c r="H16373" s="42"/>
      <c r="AG16373" s="19"/>
    </row>
    <row r="16374" spans="1:33" ht="14.5" x14ac:dyDescent="0.35">
      <c r="A16374" s="34"/>
      <c r="B16374" s="35"/>
      <c r="C16374" s="36"/>
      <c r="D16374" s="37"/>
      <c r="E16374" s="36"/>
      <c r="F16374" s="42"/>
      <c r="G16374" s="42"/>
      <c r="H16374" s="42"/>
      <c r="AG16374" s="19"/>
    </row>
    <row r="16375" spans="1:33" ht="14.5" x14ac:dyDescent="0.35">
      <c r="A16375" s="34"/>
      <c r="B16375" s="35"/>
      <c r="C16375" s="36"/>
      <c r="D16375" s="37"/>
      <c r="E16375" s="36"/>
      <c r="F16375" s="42"/>
      <c r="G16375" s="42"/>
      <c r="H16375" s="42"/>
      <c r="AG16375" s="19"/>
    </row>
    <row r="16376" spans="1:33" ht="14.5" x14ac:dyDescent="0.35">
      <c r="A16376" s="34"/>
      <c r="B16376" s="35"/>
      <c r="C16376" s="36"/>
      <c r="D16376" s="37"/>
      <c r="E16376" s="36"/>
      <c r="F16376" s="42"/>
      <c r="G16376" s="42"/>
      <c r="H16376" s="42"/>
      <c r="AG16376" s="19"/>
    </row>
    <row r="16377" spans="1:33" ht="14.5" x14ac:dyDescent="0.35">
      <c r="A16377" s="34"/>
      <c r="B16377" s="35"/>
      <c r="C16377" s="36"/>
      <c r="D16377" s="37"/>
      <c r="E16377" s="36"/>
      <c r="F16377" s="42"/>
      <c r="G16377" s="42"/>
      <c r="H16377" s="42"/>
      <c r="AG16377" s="19"/>
    </row>
    <row r="16378" spans="1:33" ht="14.5" x14ac:dyDescent="0.35">
      <c r="A16378" s="34"/>
      <c r="B16378" s="35"/>
      <c r="C16378" s="36"/>
      <c r="D16378" s="37"/>
      <c r="E16378" s="36"/>
      <c r="F16378" s="42"/>
      <c r="G16378" s="42"/>
      <c r="H16378" s="42"/>
      <c r="AG16378" s="19"/>
    </row>
    <row r="16379" spans="1:33" ht="14.5" x14ac:dyDescent="0.35">
      <c r="A16379" s="34"/>
      <c r="B16379" s="35"/>
      <c r="C16379" s="36"/>
      <c r="D16379" s="37"/>
      <c r="E16379" s="36"/>
      <c r="F16379" s="42"/>
      <c r="G16379" s="42"/>
      <c r="H16379" s="42"/>
      <c r="AG16379" s="19"/>
    </row>
    <row r="16380" spans="1:33" ht="14.5" x14ac:dyDescent="0.35">
      <c r="A16380" s="34"/>
      <c r="B16380" s="35"/>
      <c r="C16380" s="36"/>
      <c r="D16380" s="37"/>
      <c r="E16380" s="36"/>
      <c r="F16380" s="42"/>
      <c r="G16380" s="42"/>
      <c r="H16380" s="42"/>
      <c r="AG16380" s="19"/>
    </row>
    <row r="16381" spans="1:33" ht="14.5" x14ac:dyDescent="0.35">
      <c r="A16381" s="34"/>
      <c r="B16381" s="35"/>
      <c r="C16381" s="36"/>
      <c r="D16381" s="37"/>
      <c r="E16381" s="36"/>
      <c r="F16381" s="42"/>
      <c r="G16381" s="42"/>
      <c r="H16381" s="42"/>
      <c r="AG16381" s="19"/>
    </row>
    <row r="16382" spans="1:33" ht="14.5" x14ac:dyDescent="0.35">
      <c r="A16382" s="34"/>
      <c r="B16382" s="35"/>
      <c r="C16382" s="36"/>
      <c r="D16382" s="37"/>
      <c r="E16382" s="36"/>
      <c r="F16382" s="42"/>
      <c r="G16382" s="42"/>
      <c r="H16382" s="42"/>
      <c r="AG16382" s="19"/>
    </row>
    <row r="16383" spans="1:33" ht="14.5" x14ac:dyDescent="0.35">
      <c r="A16383" s="34"/>
      <c r="B16383" s="35"/>
      <c r="C16383" s="36"/>
      <c r="D16383" s="37"/>
      <c r="E16383" s="36"/>
      <c r="F16383" s="42"/>
      <c r="G16383" s="42"/>
      <c r="H16383" s="42"/>
      <c r="AG16383" s="19"/>
    </row>
    <row r="16384" spans="1:33" ht="14.5" x14ac:dyDescent="0.35">
      <c r="A16384" s="34"/>
      <c r="B16384" s="35"/>
      <c r="C16384" s="36"/>
      <c r="D16384" s="37"/>
      <c r="E16384" s="36"/>
      <c r="F16384" s="42"/>
      <c r="G16384" s="42"/>
      <c r="H16384" s="42"/>
      <c r="AG16384" s="19"/>
    </row>
    <row r="16385" spans="1:33" ht="14.5" x14ac:dyDescent="0.35">
      <c r="A16385" s="34"/>
      <c r="B16385" s="35"/>
      <c r="C16385" s="36"/>
      <c r="D16385" s="37"/>
      <c r="E16385" s="36"/>
      <c r="F16385" s="42"/>
      <c r="G16385" s="42"/>
      <c r="H16385" s="42"/>
      <c r="AG16385" s="19"/>
    </row>
    <row r="16386" spans="1:33" ht="14.5" x14ac:dyDescent="0.35">
      <c r="A16386" s="34"/>
      <c r="B16386" s="35"/>
      <c r="C16386" s="36"/>
      <c r="D16386" s="37"/>
      <c r="E16386" s="36"/>
      <c r="F16386" s="42"/>
      <c r="G16386" s="42"/>
      <c r="H16386" s="42"/>
      <c r="AG16386" s="19"/>
    </row>
    <row r="16387" spans="1:33" ht="14.5" x14ac:dyDescent="0.35">
      <c r="A16387" s="34"/>
      <c r="B16387" s="35"/>
      <c r="C16387" s="36"/>
      <c r="D16387" s="37"/>
      <c r="E16387" s="36"/>
      <c r="F16387" s="42"/>
      <c r="G16387" s="42"/>
      <c r="H16387" s="42"/>
      <c r="AG16387" s="19"/>
    </row>
    <row r="16388" spans="1:33" ht="14.5" x14ac:dyDescent="0.35">
      <c r="A16388" s="34"/>
      <c r="B16388" s="35"/>
      <c r="C16388" s="36"/>
      <c r="D16388" s="37"/>
      <c r="E16388" s="36"/>
      <c r="F16388" s="42"/>
      <c r="G16388" s="42"/>
      <c r="H16388" s="42"/>
      <c r="AG16388" s="19"/>
    </row>
    <row r="16389" spans="1:33" ht="14.5" x14ac:dyDescent="0.35">
      <c r="A16389" s="34"/>
      <c r="B16389" s="35"/>
      <c r="C16389" s="36"/>
      <c r="D16389" s="37"/>
      <c r="E16389" s="36"/>
      <c r="F16389" s="42"/>
      <c r="G16389" s="42"/>
      <c r="H16389" s="42"/>
      <c r="AG16389" s="19"/>
    </row>
    <row r="16390" spans="1:33" ht="14.5" x14ac:dyDescent="0.35">
      <c r="A16390" s="34"/>
      <c r="B16390" s="35"/>
      <c r="C16390" s="36"/>
      <c r="D16390" s="37"/>
      <c r="E16390" s="36"/>
      <c r="F16390" s="42"/>
      <c r="G16390" s="42"/>
      <c r="H16390" s="42"/>
      <c r="AG16390" s="19"/>
    </row>
    <row r="16391" spans="1:33" ht="14.5" x14ac:dyDescent="0.35">
      <c r="A16391" s="34"/>
      <c r="B16391" s="35"/>
      <c r="C16391" s="36"/>
      <c r="D16391" s="37"/>
      <c r="E16391" s="36"/>
      <c r="F16391" s="42"/>
      <c r="G16391" s="42"/>
      <c r="H16391" s="42"/>
      <c r="AG16391" s="19"/>
    </row>
    <row r="16392" spans="1:33" ht="14.5" x14ac:dyDescent="0.35">
      <c r="A16392" s="34"/>
      <c r="B16392" s="35"/>
      <c r="C16392" s="36"/>
      <c r="D16392" s="37"/>
      <c r="E16392" s="36"/>
      <c r="F16392" s="42"/>
      <c r="G16392" s="42"/>
      <c r="H16392" s="42"/>
      <c r="AG16392" s="19"/>
    </row>
    <row r="16393" spans="1:33" ht="14.5" x14ac:dyDescent="0.35">
      <c r="A16393" s="34"/>
      <c r="B16393" s="35"/>
      <c r="C16393" s="36"/>
      <c r="D16393" s="37"/>
      <c r="E16393" s="36"/>
      <c r="F16393" s="42"/>
      <c r="G16393" s="42"/>
      <c r="H16393" s="42"/>
      <c r="AG16393" s="19"/>
    </row>
    <row r="16394" spans="1:33" ht="14.5" x14ac:dyDescent="0.35">
      <c r="A16394" s="34"/>
      <c r="B16394" s="35"/>
      <c r="C16394" s="36"/>
      <c r="D16394" s="37"/>
      <c r="E16394" s="36"/>
      <c r="F16394" s="42"/>
      <c r="G16394" s="42"/>
      <c r="H16394" s="42"/>
      <c r="AG16394" s="19"/>
    </row>
    <row r="16395" spans="1:33" ht="14.5" x14ac:dyDescent="0.35">
      <c r="A16395" s="34"/>
      <c r="B16395" s="35"/>
      <c r="C16395" s="36"/>
      <c r="D16395" s="37"/>
      <c r="E16395" s="36"/>
      <c r="F16395" s="42"/>
      <c r="G16395" s="42"/>
      <c r="H16395" s="42"/>
      <c r="AG16395" s="19"/>
    </row>
    <row r="16396" spans="1:33" ht="14.5" x14ac:dyDescent="0.35">
      <c r="A16396" s="34"/>
      <c r="B16396" s="35"/>
      <c r="C16396" s="36"/>
      <c r="D16396" s="37"/>
      <c r="E16396" s="36"/>
      <c r="F16396" s="42"/>
      <c r="G16396" s="42"/>
      <c r="H16396" s="42"/>
      <c r="AG16396" s="19"/>
    </row>
    <row r="16397" spans="1:33" ht="14.5" x14ac:dyDescent="0.35">
      <c r="A16397" s="34"/>
      <c r="B16397" s="35"/>
      <c r="C16397" s="36"/>
      <c r="D16397" s="37"/>
      <c r="E16397" s="36"/>
      <c r="F16397" s="42"/>
      <c r="G16397" s="42"/>
      <c r="H16397" s="42"/>
      <c r="AG16397" s="19"/>
    </row>
    <row r="16398" spans="1:33" ht="14.5" x14ac:dyDescent="0.35">
      <c r="A16398" s="34"/>
      <c r="B16398" s="35"/>
      <c r="C16398" s="36"/>
      <c r="D16398" s="37"/>
      <c r="E16398" s="36"/>
      <c r="F16398" s="42"/>
      <c r="G16398" s="42"/>
      <c r="H16398" s="42"/>
      <c r="AG16398" s="19"/>
    </row>
    <row r="16399" spans="1:33" ht="14.5" x14ac:dyDescent="0.35">
      <c r="A16399" s="34"/>
      <c r="B16399" s="35"/>
      <c r="C16399" s="36"/>
      <c r="D16399" s="37"/>
      <c r="E16399" s="36"/>
      <c r="F16399" s="42"/>
      <c r="G16399" s="42"/>
      <c r="H16399" s="42"/>
      <c r="AG16399" s="19"/>
    </row>
    <row r="16400" spans="1:33" ht="14.5" x14ac:dyDescent="0.35">
      <c r="A16400" s="34"/>
      <c r="B16400" s="35"/>
      <c r="C16400" s="36"/>
      <c r="D16400" s="37"/>
      <c r="E16400" s="36"/>
      <c r="F16400" s="42"/>
      <c r="G16400" s="42"/>
      <c r="H16400" s="42"/>
      <c r="AG16400" s="19"/>
    </row>
    <row r="16401" spans="1:33" ht="14.5" x14ac:dyDescent="0.35">
      <c r="A16401" s="34"/>
      <c r="B16401" s="35"/>
      <c r="C16401" s="36"/>
      <c r="D16401" s="37"/>
      <c r="E16401" s="36"/>
      <c r="F16401" s="42"/>
      <c r="G16401" s="42"/>
      <c r="H16401" s="42"/>
      <c r="AG16401" s="19"/>
    </row>
    <row r="16402" spans="1:33" ht="14.5" x14ac:dyDescent="0.35">
      <c r="A16402" s="34"/>
      <c r="B16402" s="35"/>
      <c r="C16402" s="36"/>
      <c r="D16402" s="37"/>
      <c r="E16402" s="36"/>
      <c r="F16402" s="42"/>
      <c r="G16402" s="42"/>
      <c r="H16402" s="42"/>
      <c r="AG16402" s="19"/>
    </row>
    <row r="16403" spans="1:33" ht="14.5" x14ac:dyDescent="0.35">
      <c r="A16403" s="34"/>
      <c r="B16403" s="35"/>
      <c r="C16403" s="36"/>
      <c r="D16403" s="37"/>
      <c r="E16403" s="36"/>
      <c r="F16403" s="42"/>
      <c r="G16403" s="42"/>
      <c r="H16403" s="42"/>
      <c r="AG16403" s="19"/>
    </row>
    <row r="16404" spans="1:33" ht="14.5" x14ac:dyDescent="0.35">
      <c r="A16404" s="34"/>
      <c r="B16404" s="35"/>
      <c r="C16404" s="36"/>
      <c r="D16404" s="37"/>
      <c r="E16404" s="36"/>
      <c r="F16404" s="42"/>
      <c r="G16404" s="42"/>
      <c r="H16404" s="42"/>
      <c r="AG16404" s="19"/>
    </row>
    <row r="16405" spans="1:33" ht="14.5" x14ac:dyDescent="0.35">
      <c r="A16405" s="34"/>
      <c r="B16405" s="35"/>
      <c r="C16405" s="36"/>
      <c r="D16405" s="37"/>
      <c r="E16405" s="36"/>
      <c r="F16405" s="42"/>
      <c r="G16405" s="42"/>
      <c r="H16405" s="42"/>
      <c r="AG16405" s="19"/>
    </row>
    <row r="16406" spans="1:33" ht="14.5" x14ac:dyDescent="0.35">
      <c r="A16406" s="34"/>
      <c r="B16406" s="35"/>
      <c r="C16406" s="36"/>
      <c r="D16406" s="37"/>
      <c r="E16406" s="36"/>
      <c r="F16406" s="42"/>
      <c r="G16406" s="42"/>
      <c r="H16406" s="42"/>
      <c r="AG16406" s="19"/>
    </row>
    <row r="16407" spans="1:33" ht="14.5" x14ac:dyDescent="0.35">
      <c r="A16407" s="34"/>
      <c r="B16407" s="35"/>
      <c r="C16407" s="36"/>
      <c r="D16407" s="37"/>
      <c r="E16407" s="36"/>
      <c r="F16407" s="42"/>
      <c r="G16407" s="42"/>
      <c r="H16407" s="42"/>
      <c r="AG16407" s="19"/>
    </row>
    <row r="16408" spans="1:33" ht="14.5" x14ac:dyDescent="0.35">
      <c r="A16408" s="34"/>
      <c r="B16408" s="35"/>
      <c r="C16408" s="36"/>
      <c r="D16408" s="37"/>
      <c r="E16408" s="36"/>
      <c r="F16408" s="42"/>
      <c r="G16408" s="42"/>
      <c r="H16408" s="42"/>
      <c r="AG16408" s="19"/>
    </row>
    <row r="16409" spans="1:33" ht="14.5" x14ac:dyDescent="0.35">
      <c r="A16409" s="34"/>
      <c r="B16409" s="35"/>
      <c r="C16409" s="36"/>
      <c r="D16409" s="37"/>
      <c r="E16409" s="36"/>
      <c r="F16409" s="42"/>
      <c r="G16409" s="42"/>
      <c r="H16409" s="42"/>
      <c r="AG16409" s="19"/>
    </row>
    <row r="16410" spans="1:33" ht="14.5" x14ac:dyDescent="0.35">
      <c r="A16410" s="34"/>
      <c r="B16410" s="35"/>
      <c r="C16410" s="36"/>
      <c r="D16410" s="37"/>
      <c r="E16410" s="36"/>
      <c r="F16410" s="42"/>
      <c r="G16410" s="42"/>
      <c r="H16410" s="42"/>
      <c r="AG16410" s="19"/>
    </row>
    <row r="16411" spans="1:33" ht="14.5" x14ac:dyDescent="0.35">
      <c r="A16411" s="34"/>
      <c r="B16411" s="35"/>
      <c r="C16411" s="36"/>
      <c r="D16411" s="37"/>
      <c r="E16411" s="36"/>
      <c r="F16411" s="42"/>
      <c r="G16411" s="42"/>
      <c r="H16411" s="42"/>
      <c r="AG16411" s="19"/>
    </row>
    <row r="16412" spans="1:33" ht="14.5" x14ac:dyDescent="0.35">
      <c r="A16412" s="34"/>
      <c r="B16412" s="35"/>
      <c r="C16412" s="36"/>
      <c r="D16412" s="37"/>
      <c r="E16412" s="36"/>
      <c r="F16412" s="42"/>
      <c r="G16412" s="42"/>
      <c r="H16412" s="42"/>
      <c r="AG16412" s="19"/>
    </row>
    <row r="16413" spans="1:33" ht="14.5" x14ac:dyDescent="0.35">
      <c r="A16413" s="34"/>
      <c r="B16413" s="35"/>
      <c r="C16413" s="36"/>
      <c r="D16413" s="37"/>
      <c r="E16413" s="36"/>
      <c r="F16413" s="42"/>
      <c r="G16413" s="42"/>
      <c r="H16413" s="42"/>
      <c r="AG16413" s="19"/>
    </row>
    <row r="16414" spans="1:33" ht="14.5" x14ac:dyDescent="0.35">
      <c r="A16414" s="34"/>
      <c r="B16414" s="35"/>
      <c r="C16414" s="36"/>
      <c r="D16414" s="37"/>
      <c r="E16414" s="36"/>
      <c r="F16414" s="42"/>
      <c r="G16414" s="42"/>
      <c r="H16414" s="42"/>
      <c r="AG16414" s="19"/>
    </row>
    <row r="16415" spans="1:33" ht="14.5" x14ac:dyDescent="0.35">
      <c r="A16415" s="34"/>
      <c r="B16415" s="35"/>
      <c r="C16415" s="36"/>
      <c r="D16415" s="37"/>
      <c r="E16415" s="36"/>
      <c r="F16415" s="42"/>
      <c r="G16415" s="42"/>
      <c r="H16415" s="42"/>
      <c r="AG16415" s="19"/>
    </row>
    <row r="16416" spans="1:33" ht="14.5" x14ac:dyDescent="0.35">
      <c r="A16416" s="34"/>
      <c r="B16416" s="35"/>
      <c r="C16416" s="36"/>
      <c r="D16416" s="37"/>
      <c r="E16416" s="36"/>
      <c r="F16416" s="42"/>
      <c r="G16416" s="42"/>
      <c r="H16416" s="42"/>
      <c r="AG16416" s="19"/>
    </row>
    <row r="16417" spans="1:33" ht="14.5" x14ac:dyDescent="0.35">
      <c r="A16417" s="34"/>
      <c r="B16417" s="35"/>
      <c r="C16417" s="36"/>
      <c r="D16417" s="37"/>
      <c r="E16417" s="36"/>
      <c r="F16417" s="42"/>
      <c r="G16417" s="42"/>
      <c r="H16417" s="42"/>
      <c r="AG16417" s="19"/>
    </row>
    <row r="16418" spans="1:33" ht="14.5" x14ac:dyDescent="0.35">
      <c r="A16418" s="34"/>
      <c r="B16418" s="35"/>
      <c r="C16418" s="36"/>
      <c r="D16418" s="37"/>
      <c r="E16418" s="36"/>
      <c r="F16418" s="42"/>
      <c r="G16418" s="42"/>
      <c r="H16418" s="42"/>
      <c r="AG16418" s="19"/>
    </row>
    <row r="16419" spans="1:33" ht="14.5" x14ac:dyDescent="0.35">
      <c r="A16419" s="34"/>
      <c r="B16419" s="35"/>
      <c r="C16419" s="36"/>
      <c r="D16419" s="37"/>
      <c r="E16419" s="36"/>
      <c r="F16419" s="42"/>
      <c r="G16419" s="42"/>
      <c r="H16419" s="42"/>
      <c r="AG16419" s="19"/>
    </row>
    <row r="16420" spans="1:33" ht="14.5" x14ac:dyDescent="0.35">
      <c r="A16420" s="34"/>
      <c r="B16420" s="35"/>
      <c r="C16420" s="36"/>
      <c r="D16420" s="37"/>
      <c r="E16420" s="36"/>
      <c r="F16420" s="42"/>
      <c r="G16420" s="42"/>
      <c r="H16420" s="42"/>
      <c r="AG16420" s="19"/>
    </row>
    <row r="16421" spans="1:33" ht="14.5" x14ac:dyDescent="0.35">
      <c r="A16421" s="34"/>
      <c r="B16421" s="35"/>
      <c r="C16421" s="36"/>
      <c r="D16421" s="37"/>
      <c r="E16421" s="36"/>
      <c r="F16421" s="42"/>
      <c r="G16421" s="42"/>
      <c r="H16421" s="42"/>
      <c r="AG16421" s="19"/>
    </row>
    <row r="16422" spans="1:33" ht="14.5" x14ac:dyDescent="0.35">
      <c r="A16422" s="34"/>
      <c r="B16422" s="35"/>
      <c r="C16422" s="36"/>
      <c r="D16422" s="37"/>
      <c r="E16422" s="36"/>
      <c r="F16422" s="42"/>
      <c r="G16422" s="42"/>
      <c r="H16422" s="42"/>
      <c r="AG16422" s="19"/>
    </row>
    <row r="16423" spans="1:33" ht="14.5" x14ac:dyDescent="0.35">
      <c r="A16423" s="34"/>
      <c r="B16423" s="35"/>
      <c r="C16423" s="36"/>
      <c r="D16423" s="37"/>
      <c r="E16423" s="36"/>
      <c r="F16423" s="42"/>
      <c r="G16423" s="42"/>
      <c r="H16423" s="42"/>
      <c r="AG16423" s="19"/>
    </row>
    <row r="16424" spans="1:33" ht="14.5" x14ac:dyDescent="0.35">
      <c r="A16424" s="34"/>
      <c r="B16424" s="35"/>
      <c r="C16424" s="36"/>
      <c r="D16424" s="37"/>
      <c r="E16424" s="36"/>
      <c r="F16424" s="42"/>
      <c r="G16424" s="42"/>
      <c r="H16424" s="42"/>
      <c r="AG16424" s="19"/>
    </row>
    <row r="16425" spans="1:33" ht="14.5" x14ac:dyDescent="0.35">
      <c r="A16425" s="34"/>
      <c r="B16425" s="35"/>
      <c r="C16425" s="36"/>
      <c r="D16425" s="37"/>
      <c r="E16425" s="36"/>
      <c r="F16425" s="42"/>
      <c r="G16425" s="42"/>
      <c r="H16425" s="42"/>
      <c r="AG16425" s="19"/>
    </row>
    <row r="16426" spans="1:33" ht="14.5" x14ac:dyDescent="0.35">
      <c r="A16426" s="34"/>
      <c r="B16426" s="35"/>
      <c r="C16426" s="36"/>
      <c r="D16426" s="37"/>
      <c r="E16426" s="36"/>
      <c r="F16426" s="42"/>
      <c r="G16426" s="42"/>
      <c r="H16426" s="42"/>
      <c r="AG16426" s="19"/>
    </row>
    <row r="16427" spans="1:33" ht="14.5" x14ac:dyDescent="0.35">
      <c r="A16427" s="34"/>
      <c r="B16427" s="35"/>
      <c r="C16427" s="36"/>
      <c r="D16427" s="37"/>
      <c r="E16427" s="36"/>
      <c r="F16427" s="42"/>
      <c r="G16427" s="42"/>
      <c r="H16427" s="42"/>
      <c r="AG16427" s="19"/>
    </row>
    <row r="16428" spans="1:33" ht="14.5" x14ac:dyDescent="0.35">
      <c r="A16428" s="34"/>
      <c r="B16428" s="35"/>
      <c r="C16428" s="36"/>
      <c r="D16428" s="37"/>
      <c r="E16428" s="36"/>
      <c r="F16428" s="42"/>
      <c r="G16428" s="42"/>
      <c r="H16428" s="42"/>
      <c r="AG16428" s="19"/>
    </row>
    <row r="16429" spans="1:33" ht="14.5" x14ac:dyDescent="0.35">
      <c r="A16429" s="34"/>
      <c r="B16429" s="35"/>
      <c r="C16429" s="36"/>
      <c r="D16429" s="37"/>
      <c r="E16429" s="36"/>
      <c r="F16429" s="42"/>
      <c r="G16429" s="42"/>
      <c r="H16429" s="42"/>
      <c r="AG16429" s="19"/>
    </row>
    <row r="16430" spans="1:33" ht="14.5" x14ac:dyDescent="0.35">
      <c r="A16430" s="34"/>
      <c r="B16430" s="35"/>
      <c r="C16430" s="36"/>
      <c r="D16430" s="37"/>
      <c r="E16430" s="36"/>
      <c r="F16430" s="42"/>
      <c r="G16430" s="42"/>
      <c r="H16430" s="42"/>
      <c r="AG16430" s="19"/>
    </row>
    <row r="16431" spans="1:33" ht="14.5" x14ac:dyDescent="0.35">
      <c r="A16431" s="34"/>
      <c r="B16431" s="35"/>
      <c r="C16431" s="36"/>
      <c r="D16431" s="37"/>
      <c r="E16431" s="36"/>
      <c r="F16431" s="42"/>
      <c r="G16431" s="42"/>
      <c r="H16431" s="42"/>
      <c r="AG16431" s="19"/>
    </row>
    <row r="16432" spans="1:33" ht="14.5" x14ac:dyDescent="0.35">
      <c r="A16432" s="34"/>
      <c r="B16432" s="35"/>
      <c r="C16432" s="36"/>
      <c r="D16432" s="37"/>
      <c r="E16432" s="36"/>
      <c r="F16432" s="42"/>
      <c r="G16432" s="42"/>
      <c r="H16432" s="42"/>
      <c r="AG16432" s="19"/>
    </row>
    <row r="16433" spans="1:33" ht="14.5" x14ac:dyDescent="0.35">
      <c r="A16433" s="34"/>
      <c r="B16433" s="35"/>
      <c r="C16433" s="36"/>
      <c r="D16433" s="37"/>
      <c r="E16433" s="36"/>
      <c r="F16433" s="42"/>
      <c r="G16433" s="42"/>
      <c r="H16433" s="42"/>
      <c r="AG16433" s="19"/>
    </row>
    <row r="16434" spans="1:33" ht="14.5" x14ac:dyDescent="0.35">
      <c r="A16434" s="34"/>
      <c r="B16434" s="35"/>
      <c r="C16434" s="36"/>
      <c r="D16434" s="37"/>
      <c r="E16434" s="36"/>
      <c r="F16434" s="42"/>
      <c r="G16434" s="42"/>
      <c r="H16434" s="42"/>
      <c r="AG16434" s="19"/>
    </row>
    <row r="16435" spans="1:33" ht="14.5" x14ac:dyDescent="0.35">
      <c r="A16435" s="34"/>
      <c r="B16435" s="35"/>
      <c r="C16435" s="36"/>
      <c r="D16435" s="37"/>
      <c r="E16435" s="36"/>
      <c r="F16435" s="42"/>
      <c r="G16435" s="42"/>
      <c r="H16435" s="42"/>
      <c r="AG16435" s="19"/>
    </row>
    <row r="16436" spans="1:33" ht="14.5" x14ac:dyDescent="0.35">
      <c r="A16436" s="34"/>
      <c r="B16436" s="35"/>
      <c r="C16436" s="36"/>
      <c r="D16436" s="37"/>
      <c r="E16436" s="36"/>
      <c r="F16436" s="42"/>
      <c r="G16436" s="42"/>
      <c r="H16436" s="42"/>
      <c r="AG16436" s="19"/>
    </row>
    <row r="16437" spans="1:33" ht="14.5" x14ac:dyDescent="0.35">
      <c r="A16437" s="34"/>
      <c r="B16437" s="35"/>
      <c r="C16437" s="36"/>
      <c r="D16437" s="37"/>
      <c r="E16437" s="36"/>
      <c r="F16437" s="42"/>
      <c r="G16437" s="42"/>
      <c r="H16437" s="42"/>
      <c r="AG16437" s="19"/>
    </row>
    <row r="16438" spans="1:33" ht="14.5" x14ac:dyDescent="0.35">
      <c r="A16438" s="34"/>
      <c r="B16438" s="35"/>
      <c r="C16438" s="36"/>
      <c r="D16438" s="37"/>
      <c r="E16438" s="36"/>
      <c r="F16438" s="42"/>
      <c r="G16438" s="42"/>
      <c r="H16438" s="42"/>
      <c r="AG16438" s="19"/>
    </row>
    <row r="16439" spans="1:33" ht="14.5" x14ac:dyDescent="0.35">
      <c r="A16439" s="34"/>
      <c r="B16439" s="35"/>
      <c r="C16439" s="36"/>
      <c r="D16439" s="37"/>
      <c r="E16439" s="36"/>
      <c r="F16439" s="42"/>
      <c r="G16439" s="42"/>
      <c r="H16439" s="42"/>
      <c r="AG16439" s="19"/>
    </row>
    <row r="16440" spans="1:33" ht="14.5" x14ac:dyDescent="0.35">
      <c r="A16440" s="34"/>
      <c r="B16440" s="35"/>
      <c r="C16440" s="36"/>
      <c r="D16440" s="37"/>
      <c r="E16440" s="36"/>
      <c r="F16440" s="42"/>
      <c r="G16440" s="42"/>
      <c r="H16440" s="42"/>
      <c r="AG16440" s="19"/>
    </row>
    <row r="16441" spans="1:33" ht="14.5" x14ac:dyDescent="0.35">
      <c r="A16441" s="34"/>
      <c r="B16441" s="35"/>
      <c r="C16441" s="36"/>
      <c r="D16441" s="37"/>
      <c r="E16441" s="36"/>
      <c r="F16441" s="42"/>
      <c r="G16441" s="42"/>
      <c r="H16441" s="42"/>
      <c r="AG16441" s="19"/>
    </row>
    <row r="16442" spans="1:33" ht="14.5" x14ac:dyDescent="0.35">
      <c r="A16442" s="34"/>
      <c r="B16442" s="35"/>
      <c r="C16442" s="36"/>
      <c r="D16442" s="37"/>
      <c r="E16442" s="36"/>
      <c r="F16442" s="42"/>
      <c r="G16442" s="42"/>
      <c r="H16442" s="42"/>
      <c r="AG16442" s="19"/>
    </row>
    <row r="16443" spans="1:33" ht="14.5" x14ac:dyDescent="0.35">
      <c r="A16443" s="34"/>
      <c r="B16443" s="35"/>
      <c r="C16443" s="36"/>
      <c r="D16443" s="37"/>
      <c r="E16443" s="36"/>
      <c r="F16443" s="42"/>
      <c r="G16443" s="42"/>
      <c r="H16443" s="42"/>
      <c r="AG16443" s="19"/>
    </row>
    <row r="16444" spans="1:33" ht="14.5" x14ac:dyDescent="0.35">
      <c r="A16444" s="34"/>
      <c r="B16444" s="35"/>
      <c r="C16444" s="36"/>
      <c r="D16444" s="37"/>
      <c r="E16444" s="36"/>
      <c r="F16444" s="42"/>
      <c r="G16444" s="42"/>
      <c r="H16444" s="42"/>
      <c r="AG16444" s="19"/>
    </row>
    <row r="16445" spans="1:33" ht="14.5" x14ac:dyDescent="0.35">
      <c r="A16445" s="34"/>
      <c r="B16445" s="35"/>
      <c r="C16445" s="36"/>
      <c r="D16445" s="37"/>
      <c r="E16445" s="36"/>
      <c r="F16445" s="42"/>
      <c r="G16445" s="42"/>
      <c r="H16445" s="42"/>
      <c r="AG16445" s="19"/>
    </row>
    <row r="16446" spans="1:33" ht="14.5" x14ac:dyDescent="0.35">
      <c r="A16446" s="34"/>
      <c r="B16446" s="35"/>
      <c r="C16446" s="36"/>
      <c r="D16446" s="37"/>
      <c r="E16446" s="36"/>
      <c r="F16446" s="42"/>
      <c r="G16446" s="42"/>
      <c r="H16446" s="42"/>
      <c r="AG16446" s="19"/>
    </row>
    <row r="16447" spans="1:33" ht="14.5" x14ac:dyDescent="0.35">
      <c r="A16447" s="34"/>
      <c r="B16447" s="35"/>
      <c r="C16447" s="36"/>
      <c r="D16447" s="37"/>
      <c r="E16447" s="36"/>
      <c r="F16447" s="42"/>
      <c r="G16447" s="42"/>
      <c r="H16447" s="42"/>
      <c r="AG16447" s="19"/>
    </row>
    <row r="16448" spans="1:33" ht="14.5" x14ac:dyDescent="0.35">
      <c r="A16448" s="34"/>
      <c r="B16448" s="35"/>
      <c r="C16448" s="36"/>
      <c r="D16448" s="37"/>
      <c r="E16448" s="36"/>
      <c r="F16448" s="42"/>
      <c r="G16448" s="42"/>
      <c r="H16448" s="42"/>
      <c r="AG16448" s="19"/>
    </row>
    <row r="16449" spans="1:33" ht="14.5" x14ac:dyDescent="0.35">
      <c r="A16449" s="34"/>
      <c r="B16449" s="35"/>
      <c r="C16449" s="36"/>
      <c r="D16449" s="37"/>
      <c r="E16449" s="36"/>
      <c r="F16449" s="42"/>
      <c r="G16449" s="42"/>
      <c r="H16449" s="42"/>
      <c r="AG16449" s="19"/>
    </row>
    <row r="16450" spans="1:33" ht="14.5" x14ac:dyDescent="0.35">
      <c r="A16450" s="34"/>
      <c r="B16450" s="35"/>
      <c r="C16450" s="36"/>
      <c r="D16450" s="37"/>
      <c r="E16450" s="36"/>
      <c r="F16450" s="42"/>
      <c r="G16450" s="42"/>
      <c r="H16450" s="42"/>
      <c r="AG16450" s="19"/>
    </row>
    <row r="16451" spans="1:33" ht="14.5" x14ac:dyDescent="0.35">
      <c r="A16451" s="34"/>
      <c r="B16451" s="35"/>
      <c r="C16451" s="36"/>
      <c r="D16451" s="37"/>
      <c r="E16451" s="36"/>
      <c r="F16451" s="42"/>
      <c r="G16451" s="42"/>
      <c r="H16451" s="42"/>
      <c r="AG16451" s="19"/>
    </row>
    <row r="16452" spans="1:33" ht="14.5" x14ac:dyDescent="0.35">
      <c r="A16452" s="34"/>
      <c r="B16452" s="35"/>
      <c r="C16452" s="36"/>
      <c r="D16452" s="37"/>
      <c r="E16452" s="36"/>
      <c r="F16452" s="42"/>
      <c r="G16452" s="42"/>
      <c r="H16452" s="42"/>
      <c r="AG16452" s="19"/>
    </row>
    <row r="16453" spans="1:33" ht="14.5" x14ac:dyDescent="0.35">
      <c r="A16453" s="34"/>
      <c r="B16453" s="35"/>
      <c r="C16453" s="36"/>
      <c r="D16453" s="37"/>
      <c r="E16453" s="36"/>
      <c r="F16453" s="42"/>
      <c r="G16453" s="42"/>
      <c r="H16453" s="42"/>
      <c r="AG16453" s="19"/>
    </row>
    <row r="16454" spans="1:33" ht="14.5" x14ac:dyDescent="0.35">
      <c r="A16454" s="34"/>
      <c r="B16454" s="35"/>
      <c r="C16454" s="36"/>
      <c r="D16454" s="37"/>
      <c r="E16454" s="36"/>
      <c r="F16454" s="42"/>
      <c r="G16454" s="42"/>
      <c r="H16454" s="42"/>
      <c r="AG16454" s="19"/>
    </row>
    <row r="16455" spans="1:33" ht="14.5" x14ac:dyDescent="0.35">
      <c r="A16455" s="34"/>
      <c r="B16455" s="35"/>
      <c r="C16455" s="36"/>
      <c r="D16455" s="37"/>
      <c r="E16455" s="36"/>
      <c r="F16455" s="42"/>
      <c r="G16455" s="42"/>
      <c r="H16455" s="42"/>
      <c r="AG16455" s="19"/>
    </row>
    <row r="16456" spans="1:33" ht="14.5" x14ac:dyDescent="0.35">
      <c r="A16456" s="34"/>
      <c r="B16456" s="35"/>
      <c r="C16456" s="36"/>
      <c r="D16456" s="37"/>
      <c r="E16456" s="36"/>
      <c r="F16456" s="42"/>
      <c r="G16456" s="42"/>
      <c r="H16456" s="42"/>
      <c r="AG16456" s="19"/>
    </row>
    <row r="16457" spans="1:33" ht="14.5" x14ac:dyDescent="0.35">
      <c r="A16457" s="34"/>
      <c r="B16457" s="35"/>
      <c r="C16457" s="36"/>
      <c r="D16457" s="37"/>
      <c r="E16457" s="36"/>
      <c r="F16457" s="42"/>
      <c r="G16457" s="42"/>
      <c r="H16457" s="42"/>
      <c r="AG16457" s="19"/>
    </row>
    <row r="16458" spans="1:33" ht="14.5" x14ac:dyDescent="0.35">
      <c r="A16458" s="34"/>
      <c r="B16458" s="35"/>
      <c r="C16458" s="36"/>
      <c r="D16458" s="37"/>
      <c r="E16458" s="36"/>
      <c r="F16458" s="42"/>
      <c r="G16458" s="42"/>
      <c r="H16458" s="42"/>
      <c r="AG16458" s="19"/>
    </row>
    <row r="16459" spans="1:33" ht="14.5" x14ac:dyDescent="0.35">
      <c r="A16459" s="34"/>
      <c r="B16459" s="35"/>
      <c r="C16459" s="36"/>
      <c r="D16459" s="37"/>
      <c r="E16459" s="36"/>
      <c r="F16459" s="42"/>
      <c r="G16459" s="42"/>
      <c r="H16459" s="42"/>
      <c r="AG16459" s="19"/>
    </row>
    <row r="16460" spans="1:33" ht="14.5" x14ac:dyDescent="0.35">
      <c r="A16460" s="34"/>
      <c r="B16460" s="35"/>
      <c r="C16460" s="36"/>
      <c r="D16460" s="37"/>
      <c r="E16460" s="36"/>
      <c r="F16460" s="42"/>
      <c r="G16460" s="42"/>
      <c r="H16460" s="42"/>
      <c r="AG16460" s="19"/>
    </row>
    <row r="16461" spans="1:33" ht="14.5" x14ac:dyDescent="0.35">
      <c r="A16461" s="34"/>
      <c r="B16461" s="35"/>
      <c r="C16461" s="36"/>
      <c r="D16461" s="37"/>
      <c r="E16461" s="36"/>
      <c r="F16461" s="42"/>
      <c r="G16461" s="42"/>
      <c r="H16461" s="42"/>
      <c r="AG16461" s="19"/>
    </row>
    <row r="16462" spans="1:33" ht="14.5" x14ac:dyDescent="0.35">
      <c r="A16462" s="34"/>
      <c r="B16462" s="35"/>
      <c r="C16462" s="36"/>
      <c r="D16462" s="37"/>
      <c r="E16462" s="36"/>
      <c r="F16462" s="42"/>
      <c r="G16462" s="42"/>
      <c r="H16462" s="42"/>
      <c r="AG16462" s="19"/>
    </row>
    <row r="16463" spans="1:33" ht="14.5" x14ac:dyDescent="0.35">
      <c r="A16463" s="34"/>
      <c r="B16463" s="35"/>
      <c r="C16463" s="36"/>
      <c r="D16463" s="37"/>
      <c r="E16463" s="36"/>
      <c r="F16463" s="42"/>
      <c r="G16463" s="42"/>
      <c r="H16463" s="42"/>
      <c r="AG16463" s="19"/>
    </row>
    <row r="16464" spans="1:33" ht="14.5" x14ac:dyDescent="0.35">
      <c r="A16464" s="34"/>
      <c r="B16464" s="35"/>
      <c r="C16464" s="36"/>
      <c r="D16464" s="37"/>
      <c r="E16464" s="36"/>
      <c r="F16464" s="42"/>
      <c r="G16464" s="42"/>
      <c r="H16464" s="42"/>
      <c r="AG16464" s="19"/>
    </row>
    <row r="16465" spans="1:33" ht="14.5" x14ac:dyDescent="0.35">
      <c r="A16465" s="34"/>
      <c r="B16465" s="35"/>
      <c r="C16465" s="36"/>
      <c r="D16465" s="37"/>
      <c r="E16465" s="36"/>
      <c r="F16465" s="42"/>
      <c r="G16465" s="42"/>
      <c r="H16465" s="42"/>
      <c r="AG16465" s="19"/>
    </row>
    <row r="16466" spans="1:33" ht="14.5" x14ac:dyDescent="0.35">
      <c r="A16466" s="34"/>
      <c r="B16466" s="35"/>
      <c r="C16466" s="36"/>
      <c r="D16466" s="37"/>
      <c r="E16466" s="36"/>
      <c r="F16466" s="42"/>
      <c r="G16466" s="42"/>
      <c r="H16466" s="42"/>
      <c r="AG16466" s="19"/>
    </row>
    <row r="16467" spans="1:33" ht="14.5" x14ac:dyDescent="0.35">
      <c r="A16467" s="34"/>
      <c r="B16467" s="35"/>
      <c r="C16467" s="36"/>
      <c r="D16467" s="37"/>
      <c r="E16467" s="36"/>
      <c r="F16467" s="42"/>
      <c r="G16467" s="42"/>
      <c r="H16467" s="42"/>
      <c r="AG16467" s="19"/>
    </row>
    <row r="16468" spans="1:33" ht="14.5" x14ac:dyDescent="0.35">
      <c r="A16468" s="34"/>
      <c r="B16468" s="35"/>
      <c r="C16468" s="36"/>
      <c r="D16468" s="37"/>
      <c r="E16468" s="36"/>
      <c r="F16468" s="42"/>
      <c r="G16468" s="42"/>
      <c r="H16468" s="42"/>
      <c r="AG16468" s="19"/>
    </row>
    <row r="16469" spans="1:33" ht="14.5" x14ac:dyDescent="0.35">
      <c r="A16469" s="34"/>
      <c r="B16469" s="35"/>
      <c r="C16469" s="36"/>
      <c r="D16469" s="37"/>
      <c r="E16469" s="36"/>
      <c r="F16469" s="42"/>
      <c r="G16469" s="42"/>
      <c r="H16469" s="42"/>
      <c r="AG16469" s="19"/>
    </row>
    <row r="16470" spans="1:33" ht="14.5" x14ac:dyDescent="0.35">
      <c r="A16470" s="34"/>
      <c r="B16470" s="35"/>
      <c r="C16470" s="36"/>
      <c r="D16470" s="37"/>
      <c r="E16470" s="36"/>
      <c r="F16470" s="42"/>
      <c r="G16470" s="42"/>
      <c r="H16470" s="42"/>
      <c r="AG16470" s="19"/>
    </row>
    <row r="16471" spans="1:33" ht="14.5" x14ac:dyDescent="0.35">
      <c r="A16471" s="34"/>
      <c r="B16471" s="35"/>
      <c r="C16471" s="36"/>
      <c r="D16471" s="37"/>
      <c r="E16471" s="36"/>
      <c r="F16471" s="42"/>
      <c r="G16471" s="42"/>
      <c r="H16471" s="42"/>
      <c r="AG16471" s="19"/>
    </row>
    <row r="16472" spans="1:33" ht="14.5" x14ac:dyDescent="0.35">
      <c r="A16472" s="34"/>
      <c r="B16472" s="35"/>
      <c r="C16472" s="36"/>
      <c r="D16472" s="37"/>
      <c r="E16472" s="36"/>
      <c r="F16472" s="42"/>
      <c r="G16472" s="42"/>
      <c r="H16472" s="42"/>
      <c r="AG16472" s="19"/>
    </row>
    <row r="16473" spans="1:33" ht="14.5" x14ac:dyDescent="0.35">
      <c r="A16473" s="34"/>
      <c r="B16473" s="35"/>
      <c r="C16473" s="36"/>
      <c r="D16473" s="37"/>
      <c r="E16473" s="36"/>
      <c r="F16473" s="42"/>
      <c r="G16473" s="42"/>
      <c r="H16473" s="42"/>
      <c r="AG16473" s="19"/>
    </row>
    <row r="16474" spans="1:33" ht="14.5" x14ac:dyDescent="0.35">
      <c r="A16474" s="34"/>
      <c r="B16474" s="35"/>
      <c r="C16474" s="36"/>
      <c r="D16474" s="37"/>
      <c r="E16474" s="36"/>
      <c r="F16474" s="42"/>
      <c r="G16474" s="42"/>
      <c r="H16474" s="42"/>
      <c r="AG16474" s="19"/>
    </row>
    <row r="16475" spans="1:33" ht="14.5" x14ac:dyDescent="0.35">
      <c r="A16475" s="34"/>
      <c r="B16475" s="35"/>
      <c r="C16475" s="36"/>
      <c r="D16475" s="37"/>
      <c r="E16475" s="36"/>
      <c r="F16475" s="42"/>
      <c r="G16475" s="42"/>
      <c r="H16475" s="42"/>
      <c r="AG16475" s="19"/>
    </row>
    <row r="16476" spans="1:33" ht="14.5" x14ac:dyDescent="0.35">
      <c r="A16476" s="34"/>
      <c r="B16476" s="35"/>
      <c r="C16476" s="36"/>
      <c r="D16476" s="37"/>
      <c r="E16476" s="36"/>
      <c r="F16476" s="42"/>
      <c r="G16476" s="42"/>
      <c r="H16476" s="42"/>
      <c r="AG16476" s="19"/>
    </row>
    <row r="16477" spans="1:33" ht="14.5" x14ac:dyDescent="0.35">
      <c r="A16477" s="34"/>
      <c r="B16477" s="35"/>
      <c r="C16477" s="36"/>
      <c r="D16477" s="37"/>
      <c r="E16477" s="36"/>
      <c r="F16477" s="42"/>
      <c r="G16477" s="42"/>
      <c r="H16477" s="42"/>
      <c r="AG16477" s="19"/>
    </row>
    <row r="16478" spans="1:33" ht="14.5" x14ac:dyDescent="0.35">
      <c r="A16478" s="34"/>
      <c r="B16478" s="35"/>
      <c r="C16478" s="36"/>
      <c r="D16478" s="37"/>
      <c r="E16478" s="36"/>
      <c r="F16478" s="42"/>
      <c r="G16478" s="42"/>
      <c r="H16478" s="42"/>
      <c r="AG16478" s="19"/>
    </row>
    <row r="16479" spans="1:33" ht="14.5" x14ac:dyDescent="0.35">
      <c r="A16479" s="34"/>
      <c r="B16479" s="35"/>
      <c r="C16479" s="36"/>
      <c r="D16479" s="37"/>
      <c r="E16479" s="36"/>
      <c r="F16479" s="42"/>
      <c r="G16479" s="42"/>
      <c r="H16479" s="42"/>
      <c r="AG16479" s="19"/>
    </row>
    <row r="16480" spans="1:33" ht="14.5" x14ac:dyDescent="0.35">
      <c r="A16480" s="34"/>
      <c r="B16480" s="35"/>
      <c r="C16480" s="36"/>
      <c r="D16480" s="37"/>
      <c r="E16480" s="36"/>
      <c r="F16480" s="42"/>
      <c r="G16480" s="42"/>
      <c r="H16480" s="42"/>
      <c r="AG16480" s="19"/>
    </row>
    <row r="16481" spans="1:33" ht="14.5" x14ac:dyDescent="0.35">
      <c r="A16481" s="34"/>
      <c r="B16481" s="35"/>
      <c r="C16481" s="36"/>
      <c r="D16481" s="37"/>
      <c r="E16481" s="36"/>
      <c r="F16481" s="42"/>
      <c r="G16481" s="42"/>
      <c r="H16481" s="42"/>
      <c r="AG16481" s="19"/>
    </row>
    <row r="16482" spans="1:33" ht="14.5" x14ac:dyDescent="0.35">
      <c r="A16482" s="34"/>
      <c r="B16482" s="35"/>
      <c r="C16482" s="36"/>
      <c r="D16482" s="37"/>
      <c r="E16482" s="36"/>
      <c r="F16482" s="42"/>
      <c r="G16482" s="42"/>
      <c r="H16482" s="42"/>
      <c r="AG16482" s="19"/>
    </row>
    <row r="16483" spans="1:33" ht="14.5" x14ac:dyDescent="0.35">
      <c r="A16483" s="34"/>
      <c r="B16483" s="35"/>
      <c r="C16483" s="36"/>
      <c r="D16483" s="37"/>
      <c r="E16483" s="36"/>
      <c r="F16483" s="42"/>
      <c r="G16483" s="42"/>
      <c r="H16483" s="42"/>
      <c r="AG16483" s="19"/>
    </row>
    <row r="16484" spans="1:33" ht="14.5" x14ac:dyDescent="0.35">
      <c r="A16484" s="34"/>
      <c r="B16484" s="35"/>
      <c r="C16484" s="36"/>
      <c r="D16484" s="37"/>
      <c r="E16484" s="36"/>
      <c r="F16484" s="42"/>
      <c r="G16484" s="42"/>
      <c r="H16484" s="42"/>
      <c r="AG16484" s="19"/>
    </row>
    <row r="16485" spans="1:33" ht="14.5" x14ac:dyDescent="0.35">
      <c r="A16485" s="34"/>
      <c r="B16485" s="35"/>
      <c r="C16485" s="36"/>
      <c r="D16485" s="37"/>
      <c r="E16485" s="36"/>
      <c r="F16485" s="42"/>
      <c r="G16485" s="42"/>
      <c r="H16485" s="42"/>
      <c r="AG16485" s="19"/>
    </row>
    <row r="16486" spans="1:33" ht="14.5" x14ac:dyDescent="0.35">
      <c r="A16486" s="34"/>
      <c r="B16486" s="35"/>
      <c r="C16486" s="36"/>
      <c r="D16486" s="37"/>
      <c r="E16486" s="36"/>
      <c r="F16486" s="42"/>
      <c r="G16486" s="42"/>
      <c r="H16486" s="42"/>
      <c r="AG16486" s="19"/>
    </row>
    <row r="16487" spans="1:33" ht="14.5" x14ac:dyDescent="0.35">
      <c r="A16487" s="34"/>
      <c r="B16487" s="35"/>
      <c r="C16487" s="36"/>
      <c r="D16487" s="37"/>
      <c r="E16487" s="36"/>
      <c r="F16487" s="42"/>
      <c r="G16487" s="42"/>
      <c r="H16487" s="42"/>
      <c r="AG16487" s="19"/>
    </row>
    <row r="16488" spans="1:33" ht="14.5" x14ac:dyDescent="0.35">
      <c r="A16488" s="34"/>
      <c r="B16488" s="35"/>
      <c r="C16488" s="36"/>
      <c r="D16488" s="37"/>
      <c r="E16488" s="36"/>
      <c r="F16488" s="42"/>
      <c r="G16488" s="42"/>
      <c r="H16488" s="42"/>
      <c r="AG16488" s="19"/>
    </row>
    <row r="16489" spans="1:33" ht="14.5" x14ac:dyDescent="0.35">
      <c r="A16489" s="34"/>
      <c r="B16489" s="35"/>
      <c r="C16489" s="36"/>
      <c r="D16489" s="37"/>
      <c r="E16489" s="36"/>
      <c r="F16489" s="42"/>
      <c r="G16489" s="42"/>
      <c r="H16489" s="42"/>
      <c r="AG16489" s="19"/>
    </row>
    <row r="16490" spans="1:33" ht="14.5" x14ac:dyDescent="0.35">
      <c r="A16490" s="34"/>
      <c r="B16490" s="35"/>
      <c r="C16490" s="36"/>
      <c r="D16490" s="37"/>
      <c r="E16490" s="36"/>
      <c r="F16490" s="42"/>
      <c r="G16490" s="42"/>
      <c r="H16490" s="42"/>
      <c r="AG16490" s="19"/>
    </row>
    <row r="16491" spans="1:33" ht="14.5" x14ac:dyDescent="0.35">
      <c r="A16491" s="34"/>
      <c r="B16491" s="35"/>
      <c r="C16491" s="36"/>
      <c r="D16491" s="37"/>
      <c r="E16491" s="36"/>
      <c r="F16491" s="42"/>
      <c r="G16491" s="42"/>
      <c r="H16491" s="42"/>
      <c r="AG16491" s="19"/>
    </row>
    <row r="16492" spans="1:33" ht="14.5" x14ac:dyDescent="0.35">
      <c r="A16492" s="34"/>
      <c r="B16492" s="35"/>
      <c r="C16492" s="36"/>
      <c r="D16492" s="37"/>
      <c r="E16492" s="36"/>
      <c r="F16492" s="42"/>
      <c r="G16492" s="42"/>
      <c r="H16492" s="42"/>
      <c r="AG16492" s="19"/>
    </row>
    <row r="16493" spans="1:33" ht="14.5" x14ac:dyDescent="0.35">
      <c r="A16493" s="34"/>
      <c r="B16493" s="35"/>
      <c r="C16493" s="36"/>
      <c r="D16493" s="37"/>
      <c r="E16493" s="36"/>
      <c r="F16493" s="42"/>
      <c r="G16493" s="42"/>
      <c r="H16493" s="42"/>
      <c r="AG16493" s="19"/>
    </row>
    <row r="16494" spans="1:33" ht="14.5" x14ac:dyDescent="0.35">
      <c r="A16494" s="34"/>
      <c r="B16494" s="35"/>
      <c r="C16494" s="36"/>
      <c r="D16494" s="37"/>
      <c r="E16494" s="36"/>
      <c r="F16494" s="42"/>
      <c r="G16494" s="42"/>
      <c r="H16494" s="42"/>
      <c r="AG16494" s="19"/>
    </row>
    <row r="16495" spans="1:33" ht="14.5" x14ac:dyDescent="0.35">
      <c r="A16495" s="34"/>
      <c r="B16495" s="35"/>
      <c r="C16495" s="36"/>
      <c r="D16495" s="37"/>
      <c r="E16495" s="36"/>
      <c r="F16495" s="42"/>
      <c r="G16495" s="42"/>
      <c r="H16495" s="42"/>
      <c r="AG16495" s="19"/>
    </row>
    <row r="16496" spans="1:33" ht="14.5" x14ac:dyDescent="0.35">
      <c r="A16496" s="34"/>
      <c r="B16496" s="35"/>
      <c r="C16496" s="36"/>
      <c r="D16496" s="37"/>
      <c r="E16496" s="36"/>
      <c r="F16496" s="42"/>
      <c r="G16496" s="42"/>
      <c r="H16496" s="42"/>
      <c r="AG16496" s="19"/>
    </row>
    <row r="16497" spans="1:33" ht="14.5" x14ac:dyDescent="0.35">
      <c r="A16497" s="34"/>
      <c r="B16497" s="35"/>
      <c r="C16497" s="36"/>
      <c r="D16497" s="37"/>
      <c r="E16497" s="36"/>
      <c r="F16497" s="42"/>
      <c r="G16497" s="42"/>
      <c r="H16497" s="42"/>
      <c r="AG16497" s="19"/>
    </row>
    <row r="16498" spans="1:33" ht="14.5" x14ac:dyDescent="0.35">
      <c r="A16498" s="34"/>
      <c r="B16498" s="35"/>
      <c r="C16498" s="36"/>
      <c r="D16498" s="37"/>
      <c r="E16498" s="36"/>
      <c r="F16498" s="42"/>
      <c r="G16498" s="42"/>
      <c r="H16498" s="42"/>
      <c r="AG16498" s="19"/>
    </row>
    <row r="16499" spans="1:33" ht="14.5" x14ac:dyDescent="0.35">
      <c r="A16499" s="34"/>
      <c r="B16499" s="35"/>
      <c r="C16499" s="36"/>
      <c r="D16499" s="37"/>
      <c r="E16499" s="36"/>
      <c r="F16499" s="42"/>
      <c r="G16499" s="42"/>
      <c r="H16499" s="42"/>
      <c r="AG16499" s="19"/>
    </row>
    <row r="16500" spans="1:33" ht="14.5" x14ac:dyDescent="0.35">
      <c r="A16500" s="34"/>
      <c r="B16500" s="35"/>
      <c r="C16500" s="36"/>
      <c r="D16500" s="37"/>
      <c r="E16500" s="36"/>
      <c r="F16500" s="42"/>
      <c r="G16500" s="42"/>
      <c r="H16500" s="42"/>
      <c r="AG16500" s="19"/>
    </row>
    <row r="16501" spans="1:33" ht="14.5" x14ac:dyDescent="0.35">
      <c r="A16501" s="34"/>
      <c r="B16501" s="35"/>
      <c r="C16501" s="36"/>
      <c r="D16501" s="37"/>
      <c r="E16501" s="36"/>
      <c r="F16501" s="42"/>
      <c r="G16501" s="42"/>
      <c r="H16501" s="42"/>
      <c r="AG16501" s="19"/>
    </row>
    <row r="16502" spans="1:33" ht="14.5" x14ac:dyDescent="0.35">
      <c r="A16502" s="34"/>
      <c r="B16502" s="35"/>
      <c r="C16502" s="36"/>
      <c r="D16502" s="37"/>
      <c r="E16502" s="36"/>
      <c r="F16502" s="42"/>
      <c r="G16502" s="42"/>
      <c r="H16502" s="42"/>
      <c r="AG16502" s="19"/>
    </row>
    <row r="16503" spans="1:33" ht="14.5" x14ac:dyDescent="0.35">
      <c r="A16503" s="34"/>
      <c r="B16503" s="35"/>
      <c r="C16503" s="36"/>
      <c r="D16503" s="37"/>
      <c r="E16503" s="36"/>
      <c r="F16503" s="42"/>
      <c r="G16503" s="42"/>
      <c r="H16503" s="42"/>
      <c r="AG16503" s="19"/>
    </row>
    <row r="16504" spans="1:33" ht="14.5" x14ac:dyDescent="0.35">
      <c r="A16504" s="34"/>
      <c r="B16504" s="35"/>
      <c r="C16504" s="36"/>
      <c r="D16504" s="37"/>
      <c r="E16504" s="36"/>
      <c r="F16504" s="42"/>
      <c r="G16504" s="42"/>
      <c r="H16504" s="42"/>
      <c r="AG16504" s="19"/>
    </row>
    <row r="16505" spans="1:33" ht="14.5" x14ac:dyDescent="0.35">
      <c r="A16505" s="34"/>
      <c r="B16505" s="35"/>
      <c r="C16505" s="36"/>
      <c r="D16505" s="37"/>
      <c r="E16505" s="36"/>
      <c r="F16505" s="42"/>
      <c r="G16505" s="42"/>
      <c r="H16505" s="42"/>
      <c r="AG16505" s="19"/>
    </row>
    <row r="16506" spans="1:33" ht="14.5" x14ac:dyDescent="0.35">
      <c r="A16506" s="34"/>
      <c r="B16506" s="35"/>
      <c r="C16506" s="36"/>
      <c r="D16506" s="37"/>
      <c r="E16506" s="36"/>
      <c r="F16506" s="42"/>
      <c r="G16506" s="42"/>
      <c r="H16506" s="42"/>
      <c r="AG16506" s="19"/>
    </row>
    <row r="16507" spans="1:33" ht="14.5" x14ac:dyDescent="0.35">
      <c r="A16507" s="34"/>
      <c r="B16507" s="35"/>
      <c r="C16507" s="36"/>
      <c r="D16507" s="37"/>
      <c r="E16507" s="36"/>
      <c r="F16507" s="42"/>
      <c r="G16507" s="42"/>
      <c r="H16507" s="42"/>
      <c r="AG16507" s="19"/>
    </row>
    <row r="16508" spans="1:33" ht="14.5" x14ac:dyDescent="0.35">
      <c r="A16508" s="34"/>
      <c r="B16508" s="35"/>
      <c r="C16508" s="36"/>
      <c r="D16508" s="37"/>
      <c r="E16508" s="36"/>
      <c r="F16508" s="42"/>
      <c r="G16508" s="42"/>
      <c r="H16508" s="42"/>
      <c r="AG16508" s="19"/>
    </row>
    <row r="16509" spans="1:33" ht="14.5" x14ac:dyDescent="0.35">
      <c r="A16509" s="34"/>
      <c r="B16509" s="35"/>
      <c r="C16509" s="36"/>
      <c r="D16509" s="37"/>
      <c r="E16509" s="36"/>
      <c r="F16509" s="42"/>
      <c r="G16509" s="42"/>
      <c r="H16509" s="42"/>
      <c r="AG16509" s="19"/>
    </row>
    <row r="16510" spans="1:33" ht="14.5" x14ac:dyDescent="0.35">
      <c r="A16510" s="34"/>
      <c r="B16510" s="35"/>
      <c r="C16510" s="36"/>
      <c r="D16510" s="37"/>
      <c r="E16510" s="36"/>
      <c r="F16510" s="42"/>
      <c r="G16510" s="42"/>
      <c r="H16510" s="42"/>
      <c r="AG16510" s="19"/>
    </row>
    <row r="16511" spans="1:33" ht="14.5" x14ac:dyDescent="0.35">
      <c r="A16511" s="34"/>
      <c r="B16511" s="35"/>
      <c r="C16511" s="36"/>
      <c r="D16511" s="37"/>
      <c r="E16511" s="36"/>
      <c r="F16511" s="42"/>
      <c r="G16511" s="42"/>
      <c r="H16511" s="42"/>
      <c r="AG16511" s="19"/>
    </row>
    <row r="16512" spans="1:33" ht="14.5" x14ac:dyDescent="0.35">
      <c r="A16512" s="34"/>
      <c r="B16512" s="35"/>
      <c r="C16512" s="36"/>
      <c r="D16512" s="37"/>
      <c r="E16512" s="36"/>
      <c r="F16512" s="42"/>
      <c r="G16512" s="42"/>
      <c r="H16512" s="42"/>
      <c r="AG16512" s="19"/>
    </row>
    <row r="16513" spans="1:33" ht="14.5" x14ac:dyDescent="0.35">
      <c r="A16513" s="34"/>
      <c r="B16513" s="35"/>
      <c r="C16513" s="36"/>
      <c r="D16513" s="37"/>
      <c r="E16513" s="36"/>
      <c r="F16513" s="42"/>
      <c r="G16513" s="42"/>
      <c r="H16513" s="42"/>
      <c r="AG16513" s="19"/>
    </row>
    <row r="16514" spans="1:33" ht="14.5" x14ac:dyDescent="0.35">
      <c r="A16514" s="34"/>
      <c r="B16514" s="35"/>
      <c r="C16514" s="36"/>
      <c r="D16514" s="37"/>
      <c r="E16514" s="36"/>
      <c r="F16514" s="42"/>
      <c r="G16514" s="42"/>
      <c r="H16514" s="42"/>
      <c r="AG16514" s="19"/>
    </row>
    <row r="16515" spans="1:33" ht="14.5" x14ac:dyDescent="0.35">
      <c r="A16515" s="34"/>
      <c r="B16515" s="35"/>
      <c r="C16515" s="36"/>
      <c r="D16515" s="37"/>
      <c r="E16515" s="36"/>
      <c r="F16515" s="42"/>
      <c r="G16515" s="42"/>
      <c r="H16515" s="42"/>
      <c r="AG16515" s="19"/>
    </row>
    <row r="16516" spans="1:33" ht="14.5" x14ac:dyDescent="0.35">
      <c r="A16516" s="34"/>
      <c r="B16516" s="35"/>
      <c r="C16516" s="36"/>
      <c r="D16516" s="37"/>
      <c r="E16516" s="36"/>
      <c r="F16516" s="42"/>
      <c r="G16516" s="42"/>
      <c r="H16516" s="42"/>
      <c r="AG16516" s="19"/>
    </row>
    <row r="16517" spans="1:33" ht="14.5" x14ac:dyDescent="0.35">
      <c r="A16517" s="34"/>
      <c r="B16517" s="35"/>
      <c r="C16517" s="36"/>
      <c r="D16517" s="37"/>
      <c r="E16517" s="36"/>
      <c r="F16517" s="42"/>
      <c r="G16517" s="42"/>
      <c r="H16517" s="42"/>
      <c r="AG16517" s="19"/>
    </row>
    <row r="16518" spans="1:33" ht="14.5" x14ac:dyDescent="0.35">
      <c r="A16518" s="34"/>
      <c r="B16518" s="35"/>
      <c r="C16518" s="36"/>
      <c r="D16518" s="37"/>
      <c r="E16518" s="36"/>
      <c r="F16518" s="42"/>
      <c r="G16518" s="42"/>
      <c r="H16518" s="42"/>
      <c r="AG16518" s="19"/>
    </row>
    <row r="16519" spans="1:33" ht="14.5" x14ac:dyDescent="0.35">
      <c r="A16519" s="34"/>
      <c r="B16519" s="35"/>
      <c r="C16519" s="36"/>
      <c r="D16519" s="37"/>
      <c r="E16519" s="36"/>
      <c r="F16519" s="42"/>
      <c r="G16519" s="42"/>
      <c r="H16519" s="42"/>
      <c r="AG16519" s="19"/>
    </row>
    <row r="16520" spans="1:33" ht="14.5" x14ac:dyDescent="0.35">
      <c r="A16520" s="34"/>
      <c r="B16520" s="35"/>
      <c r="C16520" s="36"/>
      <c r="D16520" s="37"/>
      <c r="E16520" s="36"/>
      <c r="F16520" s="42"/>
      <c r="G16520" s="42"/>
      <c r="H16520" s="42"/>
      <c r="AG16520" s="19"/>
    </row>
    <row r="16521" spans="1:33" ht="14.5" x14ac:dyDescent="0.35">
      <c r="A16521" s="34"/>
      <c r="B16521" s="35"/>
      <c r="C16521" s="36"/>
      <c r="D16521" s="37"/>
      <c r="E16521" s="36"/>
      <c r="F16521" s="42"/>
      <c r="G16521" s="42"/>
      <c r="H16521" s="42"/>
      <c r="AG16521" s="19"/>
    </row>
    <row r="16522" spans="1:33" ht="14.5" x14ac:dyDescent="0.35">
      <c r="A16522" s="34"/>
      <c r="B16522" s="35"/>
      <c r="C16522" s="36"/>
      <c r="D16522" s="37"/>
      <c r="E16522" s="36"/>
      <c r="F16522" s="42"/>
      <c r="G16522" s="42"/>
      <c r="H16522" s="42"/>
      <c r="AG16522" s="19"/>
    </row>
    <row r="16523" spans="1:33" ht="14.5" x14ac:dyDescent="0.35">
      <c r="A16523" s="34"/>
      <c r="B16523" s="35"/>
      <c r="C16523" s="36"/>
      <c r="D16523" s="37"/>
      <c r="E16523" s="36"/>
      <c r="F16523" s="42"/>
      <c r="G16523" s="42"/>
      <c r="H16523" s="42"/>
      <c r="AG16523" s="19"/>
    </row>
    <row r="16524" spans="1:33" ht="14.5" x14ac:dyDescent="0.35">
      <c r="A16524" s="34"/>
      <c r="B16524" s="35"/>
      <c r="C16524" s="36"/>
      <c r="D16524" s="37"/>
      <c r="E16524" s="36"/>
      <c r="F16524" s="42"/>
      <c r="G16524" s="42"/>
      <c r="H16524" s="42"/>
      <c r="AG16524" s="19"/>
    </row>
    <row r="16525" spans="1:33" ht="14.5" x14ac:dyDescent="0.35">
      <c r="A16525" s="34"/>
      <c r="B16525" s="35"/>
      <c r="C16525" s="36"/>
      <c r="D16525" s="37"/>
      <c r="E16525" s="36"/>
      <c r="F16525" s="42"/>
      <c r="G16525" s="42"/>
      <c r="H16525" s="42"/>
      <c r="AG16525" s="19"/>
    </row>
    <row r="16526" spans="1:33" ht="14.5" x14ac:dyDescent="0.35">
      <c r="A16526" s="34"/>
      <c r="B16526" s="35"/>
      <c r="C16526" s="36"/>
      <c r="D16526" s="37"/>
      <c r="E16526" s="36"/>
      <c r="F16526" s="42"/>
      <c r="G16526" s="42"/>
      <c r="H16526" s="42"/>
      <c r="AG16526" s="19"/>
    </row>
    <row r="16527" spans="1:33" ht="14.5" x14ac:dyDescent="0.35">
      <c r="A16527" s="34"/>
      <c r="B16527" s="35"/>
      <c r="C16527" s="36"/>
      <c r="D16527" s="37"/>
      <c r="E16527" s="36"/>
      <c r="F16527" s="42"/>
      <c r="G16527" s="42"/>
      <c r="H16527" s="42"/>
      <c r="AG16527" s="19"/>
    </row>
    <row r="16528" spans="1:33" ht="14.5" x14ac:dyDescent="0.35">
      <c r="A16528" s="34"/>
      <c r="B16528" s="35"/>
      <c r="C16528" s="36"/>
      <c r="D16528" s="37"/>
      <c r="E16528" s="36"/>
      <c r="F16528" s="42"/>
      <c r="G16528" s="42"/>
      <c r="H16528" s="42"/>
      <c r="AG16528" s="19"/>
    </row>
    <row r="16529" spans="1:33" ht="14.5" x14ac:dyDescent="0.35">
      <c r="A16529" s="34"/>
      <c r="B16529" s="35"/>
      <c r="C16529" s="36"/>
      <c r="D16529" s="37"/>
      <c r="E16529" s="36"/>
      <c r="F16529" s="42"/>
      <c r="G16529" s="42"/>
      <c r="H16529" s="42"/>
      <c r="AG16529" s="19"/>
    </row>
    <row r="16530" spans="1:33" ht="14.5" x14ac:dyDescent="0.35">
      <c r="A16530" s="34"/>
      <c r="B16530" s="35"/>
      <c r="C16530" s="36"/>
      <c r="D16530" s="37"/>
      <c r="E16530" s="36"/>
      <c r="F16530" s="42"/>
      <c r="G16530" s="42"/>
      <c r="H16530" s="42"/>
      <c r="AG16530" s="19"/>
    </row>
    <row r="16531" spans="1:33" ht="14.5" x14ac:dyDescent="0.35">
      <c r="A16531" s="34"/>
      <c r="B16531" s="35"/>
      <c r="C16531" s="36"/>
      <c r="D16531" s="37"/>
      <c r="E16531" s="36"/>
      <c r="F16531" s="42"/>
      <c r="G16531" s="42"/>
      <c r="H16531" s="42"/>
      <c r="AG16531" s="19"/>
    </row>
    <row r="16532" spans="1:33" ht="14.5" x14ac:dyDescent="0.35">
      <c r="A16532" s="34"/>
      <c r="B16532" s="35"/>
      <c r="C16532" s="36"/>
      <c r="D16532" s="37"/>
      <c r="E16532" s="36"/>
      <c r="F16532" s="42"/>
      <c r="G16532" s="42"/>
      <c r="H16532" s="42"/>
      <c r="AG16532" s="19"/>
    </row>
    <row r="16533" spans="1:33" ht="14.5" x14ac:dyDescent="0.35">
      <c r="A16533" s="34"/>
      <c r="B16533" s="35"/>
      <c r="C16533" s="36"/>
      <c r="D16533" s="37"/>
      <c r="E16533" s="36"/>
      <c r="F16533" s="42"/>
      <c r="G16533" s="42"/>
      <c r="H16533" s="42"/>
      <c r="AG16533" s="19"/>
    </row>
    <row r="16534" spans="1:33" ht="14.5" x14ac:dyDescent="0.35">
      <c r="A16534" s="34"/>
      <c r="B16534" s="35"/>
      <c r="C16534" s="36"/>
      <c r="D16534" s="37"/>
      <c r="E16534" s="36"/>
      <c r="F16534" s="42"/>
      <c r="G16534" s="42"/>
      <c r="H16534" s="42"/>
      <c r="AG16534" s="19"/>
    </row>
    <row r="16535" spans="1:33" ht="14.5" x14ac:dyDescent="0.35">
      <c r="A16535" s="34"/>
      <c r="B16535" s="35"/>
      <c r="C16535" s="36"/>
      <c r="D16535" s="37"/>
      <c r="E16535" s="36"/>
      <c r="F16535" s="42"/>
      <c r="G16535" s="42"/>
      <c r="H16535" s="42"/>
      <c r="AG16535" s="19"/>
    </row>
    <row r="16536" spans="1:33" ht="14.5" x14ac:dyDescent="0.35">
      <c r="A16536" s="34"/>
      <c r="B16536" s="35"/>
      <c r="C16536" s="36"/>
      <c r="D16536" s="37"/>
      <c r="E16536" s="36"/>
      <c r="F16536" s="42"/>
      <c r="G16536" s="42"/>
      <c r="H16536" s="42"/>
      <c r="AG16536" s="19"/>
    </row>
    <row r="16537" spans="1:33" ht="14.5" x14ac:dyDescent="0.35">
      <c r="A16537" s="34"/>
      <c r="B16537" s="35"/>
      <c r="C16537" s="36"/>
      <c r="D16537" s="37"/>
      <c r="E16537" s="36"/>
      <c r="F16537" s="42"/>
      <c r="G16537" s="42"/>
      <c r="H16537" s="42"/>
      <c r="AG16537" s="19"/>
    </row>
    <row r="16538" spans="1:33" ht="14.5" x14ac:dyDescent="0.35">
      <c r="A16538" s="34"/>
      <c r="B16538" s="35"/>
      <c r="C16538" s="36"/>
      <c r="D16538" s="37"/>
      <c r="E16538" s="36"/>
      <c r="F16538" s="42"/>
      <c r="G16538" s="42"/>
      <c r="H16538" s="42"/>
      <c r="AG16538" s="19"/>
    </row>
    <row r="16539" spans="1:33" ht="14.5" x14ac:dyDescent="0.35">
      <c r="A16539" s="34"/>
      <c r="B16539" s="35"/>
      <c r="C16539" s="36"/>
      <c r="D16539" s="37"/>
      <c r="E16539" s="36"/>
      <c r="F16539" s="42"/>
      <c r="G16539" s="42"/>
      <c r="H16539" s="42"/>
      <c r="AG16539" s="19"/>
    </row>
    <row r="16540" spans="1:33" ht="14.5" x14ac:dyDescent="0.35">
      <c r="A16540" s="34"/>
      <c r="B16540" s="35"/>
      <c r="C16540" s="36"/>
      <c r="D16540" s="37"/>
      <c r="E16540" s="36"/>
      <c r="F16540" s="42"/>
      <c r="G16540" s="42"/>
      <c r="H16540" s="42"/>
      <c r="AG16540" s="19"/>
    </row>
    <row r="16541" spans="1:33" ht="14.5" x14ac:dyDescent="0.35">
      <c r="A16541" s="34"/>
      <c r="B16541" s="35"/>
      <c r="C16541" s="36"/>
      <c r="D16541" s="37"/>
      <c r="E16541" s="36"/>
      <c r="F16541" s="42"/>
      <c r="G16541" s="42"/>
      <c r="H16541" s="42"/>
      <c r="AG16541" s="19"/>
    </row>
    <row r="16542" spans="1:33" ht="14.5" x14ac:dyDescent="0.35">
      <c r="A16542" s="34"/>
      <c r="B16542" s="35"/>
      <c r="C16542" s="36"/>
      <c r="D16542" s="37"/>
      <c r="E16542" s="36"/>
      <c r="F16542" s="42"/>
      <c r="G16542" s="42"/>
      <c r="H16542" s="42"/>
      <c r="AG16542" s="19"/>
    </row>
    <row r="16543" spans="1:33" ht="14.5" x14ac:dyDescent="0.35">
      <c r="A16543" s="34"/>
      <c r="B16543" s="35"/>
      <c r="C16543" s="36"/>
      <c r="D16543" s="37"/>
      <c r="E16543" s="36"/>
      <c r="F16543" s="42"/>
      <c r="G16543" s="42"/>
      <c r="H16543" s="42"/>
      <c r="AG16543" s="19"/>
    </row>
    <row r="16544" spans="1:33" ht="14.5" x14ac:dyDescent="0.35">
      <c r="A16544" s="34"/>
      <c r="B16544" s="35"/>
      <c r="C16544" s="36"/>
      <c r="D16544" s="37"/>
      <c r="E16544" s="36"/>
      <c r="F16544" s="42"/>
      <c r="G16544" s="42"/>
      <c r="H16544" s="42"/>
      <c r="AG16544" s="19"/>
    </row>
    <row r="16545" spans="1:33" ht="14.5" x14ac:dyDescent="0.35">
      <c r="A16545" s="34"/>
      <c r="B16545" s="35"/>
      <c r="C16545" s="36"/>
      <c r="D16545" s="37"/>
      <c r="E16545" s="36"/>
      <c r="F16545" s="42"/>
      <c r="G16545" s="42"/>
      <c r="H16545" s="42"/>
      <c r="AG16545" s="19"/>
    </row>
    <row r="16546" spans="1:33" ht="14.5" x14ac:dyDescent="0.35">
      <c r="A16546" s="34"/>
      <c r="B16546" s="35"/>
      <c r="C16546" s="36"/>
      <c r="D16546" s="37"/>
      <c r="E16546" s="36"/>
      <c r="F16546" s="42"/>
      <c r="G16546" s="42"/>
      <c r="H16546" s="42"/>
      <c r="AG16546" s="19"/>
    </row>
    <row r="16547" spans="1:33" ht="14.5" x14ac:dyDescent="0.35">
      <c r="A16547" s="34"/>
      <c r="B16547" s="35"/>
      <c r="C16547" s="36"/>
      <c r="D16547" s="37"/>
      <c r="E16547" s="36"/>
      <c r="F16547" s="42"/>
      <c r="G16547" s="42"/>
      <c r="H16547" s="42"/>
      <c r="AG16547" s="19"/>
    </row>
    <row r="16548" spans="1:33" ht="14.5" x14ac:dyDescent="0.35">
      <c r="A16548" s="34"/>
      <c r="B16548" s="35"/>
      <c r="C16548" s="36"/>
      <c r="D16548" s="37"/>
      <c r="E16548" s="36"/>
      <c r="F16548" s="42"/>
      <c r="G16548" s="42"/>
      <c r="H16548" s="42"/>
      <c r="AG16548" s="19"/>
    </row>
    <row r="16549" spans="1:33" ht="14.5" x14ac:dyDescent="0.35">
      <c r="A16549" s="34"/>
      <c r="B16549" s="35"/>
      <c r="C16549" s="36"/>
      <c r="D16549" s="37"/>
      <c r="E16549" s="36"/>
      <c r="F16549" s="42"/>
      <c r="G16549" s="42"/>
      <c r="H16549" s="42"/>
      <c r="AG16549" s="19"/>
    </row>
    <row r="16550" spans="1:33" ht="14.5" x14ac:dyDescent="0.35">
      <c r="A16550" s="34"/>
      <c r="B16550" s="35"/>
      <c r="C16550" s="36"/>
      <c r="D16550" s="37"/>
      <c r="E16550" s="36"/>
      <c r="F16550" s="42"/>
      <c r="G16550" s="42"/>
      <c r="H16550" s="42"/>
      <c r="AG16550" s="19"/>
    </row>
    <row r="16551" spans="1:33" ht="14.5" x14ac:dyDescent="0.35">
      <c r="A16551" s="34"/>
      <c r="B16551" s="35"/>
      <c r="C16551" s="36"/>
      <c r="D16551" s="37"/>
      <c r="E16551" s="36"/>
      <c r="F16551" s="42"/>
      <c r="G16551" s="42"/>
      <c r="H16551" s="42"/>
      <c r="AG16551" s="19"/>
    </row>
    <row r="16552" spans="1:33" ht="14.5" x14ac:dyDescent="0.35">
      <c r="A16552" s="34"/>
      <c r="B16552" s="35"/>
      <c r="C16552" s="36"/>
      <c r="D16552" s="37"/>
      <c r="E16552" s="36"/>
      <c r="F16552" s="42"/>
      <c r="G16552" s="42"/>
      <c r="H16552" s="42"/>
      <c r="AG16552" s="19"/>
    </row>
    <row r="16553" spans="1:33" ht="14.5" x14ac:dyDescent="0.35">
      <c r="A16553" s="34"/>
      <c r="B16553" s="35"/>
      <c r="C16553" s="36"/>
      <c r="D16553" s="37"/>
      <c r="E16553" s="36"/>
      <c r="F16553" s="42"/>
      <c r="G16553" s="42"/>
      <c r="H16553" s="42"/>
      <c r="AG16553" s="19"/>
    </row>
    <row r="16554" spans="1:33" ht="14.5" x14ac:dyDescent="0.35">
      <c r="A16554" s="34"/>
      <c r="B16554" s="35"/>
      <c r="C16554" s="36"/>
      <c r="D16554" s="37"/>
      <c r="E16554" s="36"/>
      <c r="F16554" s="42"/>
      <c r="G16554" s="42"/>
      <c r="H16554" s="42"/>
      <c r="AG16554" s="19"/>
    </row>
    <row r="16555" spans="1:33" ht="14.5" x14ac:dyDescent="0.35">
      <c r="A16555" s="34"/>
      <c r="B16555" s="35"/>
      <c r="C16555" s="36"/>
      <c r="D16555" s="37"/>
      <c r="E16555" s="36"/>
      <c r="F16555" s="42"/>
      <c r="G16555" s="42"/>
      <c r="H16555" s="42"/>
      <c r="AG16555" s="19"/>
    </row>
    <row r="16556" spans="1:33" ht="14.5" x14ac:dyDescent="0.35">
      <c r="A16556" s="34"/>
      <c r="B16556" s="35"/>
      <c r="C16556" s="36"/>
      <c r="D16556" s="37"/>
      <c r="E16556" s="36"/>
      <c r="F16556" s="42"/>
      <c r="G16556" s="42"/>
      <c r="H16556" s="42"/>
      <c r="AG16556" s="19"/>
    </row>
    <row r="16557" spans="1:33" ht="14.5" x14ac:dyDescent="0.35">
      <c r="A16557" s="34"/>
      <c r="B16557" s="35"/>
      <c r="C16557" s="36"/>
      <c r="D16557" s="37"/>
      <c r="E16557" s="36"/>
      <c r="F16557" s="42"/>
      <c r="G16557" s="42"/>
      <c r="H16557" s="42"/>
      <c r="AG16557" s="19"/>
    </row>
    <row r="16558" spans="1:33" ht="14.5" x14ac:dyDescent="0.35">
      <c r="A16558" s="34"/>
      <c r="B16558" s="35"/>
      <c r="C16558" s="36"/>
      <c r="D16558" s="37"/>
      <c r="E16558" s="36"/>
      <c r="F16558" s="42"/>
      <c r="G16558" s="42"/>
      <c r="H16558" s="42"/>
      <c r="AG16558" s="19"/>
    </row>
    <row r="16559" spans="1:33" ht="14.5" x14ac:dyDescent="0.35">
      <c r="A16559" s="34"/>
      <c r="B16559" s="35"/>
      <c r="C16559" s="36"/>
      <c r="D16559" s="37"/>
      <c r="E16559" s="36"/>
      <c r="F16559" s="42"/>
      <c r="G16559" s="42"/>
      <c r="H16559" s="42"/>
      <c r="AG16559" s="19"/>
    </row>
    <row r="16560" spans="1:33" ht="14.5" x14ac:dyDescent="0.35">
      <c r="A16560" s="34"/>
      <c r="B16560" s="35"/>
      <c r="C16560" s="36"/>
      <c r="D16560" s="37"/>
      <c r="E16560" s="36"/>
      <c r="F16560" s="42"/>
      <c r="G16560" s="42"/>
      <c r="H16560" s="42"/>
      <c r="AG16560" s="19"/>
    </row>
    <row r="16561" spans="1:33" ht="14.5" x14ac:dyDescent="0.35">
      <c r="A16561" s="34"/>
      <c r="B16561" s="35"/>
      <c r="C16561" s="36"/>
      <c r="D16561" s="37"/>
      <c r="E16561" s="36"/>
      <c r="F16561" s="42"/>
      <c r="G16561" s="42"/>
      <c r="H16561" s="42"/>
      <c r="AG16561" s="19"/>
    </row>
    <row r="16562" spans="1:33" ht="14.5" x14ac:dyDescent="0.35">
      <c r="A16562" s="34"/>
      <c r="B16562" s="35"/>
      <c r="C16562" s="36"/>
      <c r="D16562" s="37"/>
      <c r="E16562" s="36"/>
      <c r="F16562" s="42"/>
      <c r="G16562" s="42"/>
      <c r="H16562" s="42"/>
      <c r="AG16562" s="19"/>
    </row>
    <row r="16563" spans="1:33" ht="14.5" x14ac:dyDescent="0.35">
      <c r="A16563" s="34"/>
      <c r="B16563" s="35"/>
      <c r="C16563" s="36"/>
      <c r="D16563" s="37"/>
      <c r="E16563" s="36"/>
      <c r="F16563" s="42"/>
      <c r="G16563" s="42"/>
      <c r="H16563" s="42"/>
      <c r="AG16563" s="19"/>
    </row>
    <row r="16564" spans="1:33" ht="14.5" x14ac:dyDescent="0.35">
      <c r="A16564" s="34"/>
      <c r="B16564" s="35"/>
      <c r="C16564" s="36"/>
      <c r="D16564" s="37"/>
      <c r="E16564" s="36"/>
      <c r="F16564" s="42"/>
      <c r="G16564" s="42"/>
      <c r="H16564" s="42"/>
      <c r="AG16564" s="19"/>
    </row>
    <row r="16565" spans="1:33" ht="14.5" x14ac:dyDescent="0.35">
      <c r="A16565" s="34"/>
      <c r="B16565" s="35"/>
      <c r="C16565" s="36"/>
      <c r="D16565" s="37"/>
      <c r="E16565" s="36"/>
      <c r="F16565" s="42"/>
      <c r="G16565" s="42"/>
      <c r="H16565" s="42"/>
      <c r="AG16565" s="19"/>
    </row>
    <row r="16566" spans="1:33" ht="14.5" x14ac:dyDescent="0.35">
      <c r="A16566" s="34"/>
      <c r="B16566" s="35"/>
      <c r="C16566" s="36"/>
      <c r="D16566" s="37"/>
      <c r="E16566" s="36"/>
      <c r="F16566" s="42"/>
      <c r="G16566" s="42"/>
      <c r="H16566" s="42"/>
      <c r="AG16566" s="19"/>
    </row>
    <row r="16567" spans="1:33" ht="14.5" x14ac:dyDescent="0.35">
      <c r="A16567" s="34"/>
      <c r="B16567" s="35"/>
      <c r="C16567" s="36"/>
      <c r="D16567" s="37"/>
      <c r="E16567" s="36"/>
      <c r="F16567" s="42"/>
      <c r="G16567" s="42"/>
      <c r="H16567" s="42"/>
      <c r="AG16567" s="19"/>
    </row>
    <row r="16568" spans="1:33" ht="14.5" x14ac:dyDescent="0.35">
      <c r="A16568" s="34"/>
      <c r="B16568" s="35"/>
      <c r="C16568" s="36"/>
      <c r="D16568" s="37"/>
      <c r="E16568" s="36"/>
      <c r="F16568" s="42"/>
      <c r="G16568" s="42"/>
      <c r="H16568" s="42"/>
      <c r="AG16568" s="19"/>
    </row>
    <row r="16569" spans="1:33" ht="14.5" x14ac:dyDescent="0.35">
      <c r="A16569" s="34"/>
      <c r="B16569" s="35"/>
      <c r="C16569" s="36"/>
      <c r="D16569" s="37"/>
      <c r="E16569" s="36"/>
      <c r="F16569" s="42"/>
      <c r="G16569" s="42"/>
      <c r="H16569" s="42"/>
      <c r="AG16569" s="19"/>
    </row>
    <row r="16570" spans="1:33" ht="14.5" x14ac:dyDescent="0.35">
      <c r="A16570" s="34"/>
      <c r="B16570" s="35"/>
      <c r="C16570" s="36"/>
      <c r="D16570" s="37"/>
      <c r="E16570" s="36"/>
      <c r="F16570" s="42"/>
      <c r="G16570" s="42"/>
      <c r="H16570" s="42"/>
      <c r="AG16570" s="19"/>
    </row>
    <row r="16571" spans="1:33" ht="14.5" x14ac:dyDescent="0.35">
      <c r="A16571" s="34"/>
      <c r="B16571" s="35"/>
      <c r="C16571" s="36"/>
      <c r="D16571" s="37"/>
      <c r="E16571" s="36"/>
      <c r="F16571" s="42"/>
      <c r="G16571" s="42"/>
      <c r="H16571" s="42"/>
      <c r="AG16571" s="19"/>
    </row>
    <row r="16572" spans="1:33" ht="14.5" x14ac:dyDescent="0.35">
      <c r="A16572" s="34"/>
      <c r="B16572" s="35"/>
      <c r="C16572" s="36"/>
      <c r="D16572" s="37"/>
      <c r="E16572" s="36"/>
      <c r="F16572" s="42"/>
      <c r="G16572" s="42"/>
      <c r="H16572" s="42"/>
      <c r="AG16572" s="19"/>
    </row>
    <row r="16573" spans="1:33" ht="14.5" x14ac:dyDescent="0.35">
      <c r="A16573" s="34"/>
      <c r="B16573" s="35"/>
      <c r="C16573" s="36"/>
      <c r="D16573" s="37"/>
      <c r="E16573" s="36"/>
      <c r="F16573" s="42"/>
      <c r="G16573" s="42"/>
      <c r="H16573" s="42"/>
      <c r="AG16573" s="19"/>
    </row>
    <row r="16574" spans="1:33" ht="14.5" x14ac:dyDescent="0.35">
      <c r="A16574" s="34"/>
      <c r="B16574" s="35"/>
      <c r="C16574" s="36"/>
      <c r="D16574" s="37"/>
      <c r="E16574" s="36"/>
      <c r="F16574" s="42"/>
      <c r="G16574" s="42"/>
      <c r="H16574" s="42"/>
      <c r="AG16574" s="19"/>
    </row>
    <row r="16575" spans="1:33" ht="14.5" x14ac:dyDescent="0.35">
      <c r="A16575" s="34"/>
      <c r="B16575" s="35"/>
      <c r="C16575" s="36"/>
      <c r="D16575" s="37"/>
      <c r="E16575" s="36"/>
      <c r="F16575" s="42"/>
      <c r="G16575" s="42"/>
      <c r="H16575" s="42"/>
      <c r="AG16575" s="19"/>
    </row>
    <row r="16576" spans="1:33" ht="14.5" x14ac:dyDescent="0.35">
      <c r="A16576" s="34"/>
      <c r="B16576" s="35"/>
      <c r="C16576" s="36"/>
      <c r="D16576" s="37"/>
      <c r="E16576" s="36"/>
      <c r="F16576" s="42"/>
      <c r="G16576" s="42"/>
      <c r="H16576" s="42"/>
      <c r="AG16576" s="19"/>
    </row>
    <row r="16577" spans="1:33" ht="14.5" x14ac:dyDescent="0.35">
      <c r="A16577" s="34"/>
      <c r="B16577" s="35"/>
      <c r="C16577" s="36"/>
      <c r="D16577" s="37"/>
      <c r="E16577" s="36"/>
      <c r="F16577" s="42"/>
      <c r="G16577" s="42"/>
      <c r="H16577" s="42"/>
      <c r="AG16577" s="19"/>
    </row>
    <row r="16578" spans="1:33" ht="14.5" x14ac:dyDescent="0.35">
      <c r="A16578" s="34"/>
      <c r="B16578" s="35"/>
      <c r="C16578" s="36"/>
      <c r="D16578" s="37"/>
      <c r="E16578" s="36"/>
      <c r="F16578" s="42"/>
      <c r="G16578" s="42"/>
      <c r="H16578" s="42"/>
      <c r="AG16578" s="19"/>
    </row>
    <row r="16579" spans="1:33" ht="14.5" x14ac:dyDescent="0.35">
      <c r="A16579" s="34"/>
      <c r="B16579" s="35"/>
      <c r="C16579" s="36"/>
      <c r="D16579" s="37"/>
      <c r="E16579" s="36"/>
      <c r="F16579" s="42"/>
      <c r="G16579" s="42"/>
      <c r="H16579" s="42"/>
      <c r="AG16579" s="19"/>
    </row>
    <row r="16580" spans="1:33" ht="14.5" x14ac:dyDescent="0.35">
      <c r="A16580" s="34"/>
      <c r="B16580" s="35"/>
      <c r="C16580" s="36"/>
      <c r="D16580" s="37"/>
      <c r="E16580" s="36"/>
      <c r="F16580" s="42"/>
      <c r="G16580" s="42"/>
      <c r="H16580" s="42"/>
      <c r="AG16580" s="19"/>
    </row>
    <row r="16581" spans="1:33" ht="14.5" x14ac:dyDescent="0.35">
      <c r="A16581" s="34"/>
      <c r="B16581" s="35"/>
      <c r="C16581" s="36"/>
      <c r="D16581" s="37"/>
      <c r="E16581" s="36"/>
      <c r="F16581" s="42"/>
      <c r="G16581" s="42"/>
      <c r="H16581" s="42"/>
      <c r="AG16581" s="19"/>
    </row>
    <row r="16582" spans="1:33" ht="14.5" x14ac:dyDescent="0.35">
      <c r="A16582" s="34"/>
      <c r="B16582" s="35"/>
      <c r="C16582" s="36"/>
      <c r="D16582" s="37"/>
      <c r="E16582" s="36"/>
      <c r="F16582" s="42"/>
      <c r="G16582" s="42"/>
      <c r="H16582" s="42"/>
      <c r="AG16582" s="19"/>
    </row>
    <row r="16583" spans="1:33" ht="14.5" x14ac:dyDescent="0.35">
      <c r="A16583" s="34"/>
      <c r="B16583" s="35"/>
      <c r="C16583" s="36"/>
      <c r="D16583" s="37"/>
      <c r="E16583" s="36"/>
      <c r="F16583" s="42"/>
      <c r="G16583" s="42"/>
      <c r="H16583" s="42"/>
      <c r="AG16583" s="19"/>
    </row>
    <row r="16584" spans="1:33" ht="14.5" x14ac:dyDescent="0.35">
      <c r="A16584" s="34"/>
      <c r="B16584" s="35"/>
      <c r="C16584" s="36"/>
      <c r="D16584" s="37"/>
      <c r="E16584" s="36"/>
      <c r="F16584" s="42"/>
      <c r="G16584" s="42"/>
      <c r="H16584" s="42"/>
      <c r="AG16584" s="19"/>
    </row>
    <row r="16585" spans="1:33" ht="14.5" x14ac:dyDescent="0.35">
      <c r="A16585" s="34"/>
      <c r="B16585" s="35"/>
      <c r="C16585" s="36"/>
      <c r="D16585" s="37"/>
      <c r="E16585" s="36"/>
      <c r="F16585" s="42"/>
      <c r="G16585" s="42"/>
      <c r="H16585" s="42"/>
      <c r="AG16585" s="19"/>
    </row>
    <row r="16586" spans="1:33" ht="14.5" x14ac:dyDescent="0.35">
      <c r="A16586" s="34"/>
      <c r="B16586" s="35"/>
      <c r="C16586" s="36"/>
      <c r="D16586" s="37"/>
      <c r="E16586" s="36"/>
      <c r="F16586" s="42"/>
      <c r="G16586" s="42"/>
      <c r="H16586" s="42"/>
      <c r="AG16586" s="19"/>
    </row>
    <row r="16587" spans="1:33" ht="14.5" x14ac:dyDescent="0.35">
      <c r="A16587" s="34"/>
      <c r="B16587" s="35"/>
      <c r="C16587" s="36"/>
      <c r="D16587" s="37"/>
      <c r="E16587" s="36"/>
      <c r="F16587" s="42"/>
      <c r="G16587" s="42"/>
      <c r="H16587" s="42"/>
      <c r="AG16587" s="19"/>
    </row>
    <row r="16588" spans="1:33" ht="14.5" x14ac:dyDescent="0.35">
      <c r="A16588" s="34"/>
      <c r="B16588" s="35"/>
      <c r="C16588" s="36"/>
      <c r="D16588" s="37"/>
      <c r="E16588" s="36"/>
      <c r="F16588" s="42"/>
      <c r="G16588" s="42"/>
      <c r="H16588" s="42"/>
      <c r="AG16588" s="19"/>
    </row>
    <row r="16589" spans="1:33" ht="14.5" x14ac:dyDescent="0.35">
      <c r="A16589" s="34"/>
      <c r="B16589" s="35"/>
      <c r="C16589" s="36"/>
      <c r="D16589" s="37"/>
      <c r="E16589" s="36"/>
      <c r="F16589" s="42"/>
      <c r="G16589" s="42"/>
      <c r="H16589" s="42"/>
      <c r="AG16589" s="19"/>
    </row>
    <row r="16590" spans="1:33" ht="14.5" x14ac:dyDescent="0.35">
      <c r="A16590" s="34"/>
      <c r="B16590" s="35"/>
      <c r="C16590" s="36"/>
      <c r="D16590" s="37"/>
      <c r="E16590" s="36"/>
      <c r="F16590" s="42"/>
      <c r="G16590" s="42"/>
      <c r="H16590" s="42"/>
      <c r="AG16590" s="19"/>
    </row>
    <row r="16591" spans="1:33" ht="14.5" x14ac:dyDescent="0.35">
      <c r="A16591" s="34"/>
      <c r="B16591" s="35"/>
      <c r="C16591" s="36"/>
      <c r="D16591" s="37"/>
      <c r="E16591" s="36"/>
      <c r="F16591" s="42"/>
      <c r="G16591" s="42"/>
      <c r="H16591" s="42"/>
      <c r="AG16591" s="19"/>
    </row>
    <row r="16592" spans="1:33" ht="14.5" x14ac:dyDescent="0.35">
      <c r="A16592" s="34"/>
      <c r="B16592" s="35"/>
      <c r="C16592" s="36"/>
      <c r="D16592" s="37"/>
      <c r="E16592" s="36"/>
      <c r="F16592" s="42"/>
      <c r="G16592" s="42"/>
      <c r="H16592" s="42"/>
      <c r="AG16592" s="19"/>
    </row>
    <row r="16593" spans="1:33" ht="14.5" x14ac:dyDescent="0.35">
      <c r="A16593" s="34"/>
      <c r="B16593" s="35"/>
      <c r="C16593" s="36"/>
      <c r="D16593" s="37"/>
      <c r="E16593" s="36"/>
      <c r="F16593" s="42"/>
      <c r="G16593" s="42"/>
      <c r="H16593" s="42"/>
      <c r="AG16593" s="19"/>
    </row>
    <row r="16594" spans="1:33" ht="14.5" x14ac:dyDescent="0.35">
      <c r="A16594" s="34"/>
      <c r="B16594" s="35"/>
      <c r="C16594" s="36"/>
      <c r="D16594" s="37"/>
      <c r="E16594" s="36"/>
      <c r="F16594" s="42"/>
      <c r="G16594" s="42"/>
      <c r="H16594" s="42"/>
      <c r="AG16594" s="19"/>
    </row>
    <row r="16595" spans="1:33" ht="14.5" x14ac:dyDescent="0.35">
      <c r="A16595" s="34"/>
      <c r="B16595" s="35"/>
      <c r="C16595" s="36"/>
      <c r="D16595" s="37"/>
      <c r="E16595" s="36"/>
      <c r="F16595" s="42"/>
      <c r="G16595" s="42"/>
      <c r="H16595" s="42"/>
      <c r="AG16595" s="19"/>
    </row>
    <row r="16596" spans="1:33" ht="14.5" x14ac:dyDescent="0.35">
      <c r="A16596" s="34"/>
      <c r="B16596" s="35"/>
      <c r="C16596" s="36"/>
      <c r="D16596" s="37"/>
      <c r="E16596" s="36"/>
      <c r="F16596" s="42"/>
      <c r="G16596" s="42"/>
      <c r="H16596" s="42"/>
      <c r="AG16596" s="19"/>
    </row>
    <row r="16597" spans="1:33" ht="14.5" x14ac:dyDescent="0.35">
      <c r="A16597" s="34"/>
      <c r="B16597" s="35"/>
      <c r="C16597" s="36"/>
      <c r="D16597" s="37"/>
      <c r="E16597" s="36"/>
      <c r="F16597" s="42"/>
      <c r="G16597" s="42"/>
      <c r="H16597" s="42"/>
      <c r="AG16597" s="19"/>
    </row>
    <row r="16598" spans="1:33" ht="14.5" x14ac:dyDescent="0.35">
      <c r="A16598" s="34"/>
      <c r="B16598" s="35"/>
      <c r="C16598" s="36"/>
      <c r="D16598" s="37"/>
      <c r="E16598" s="36"/>
      <c r="F16598" s="42"/>
      <c r="G16598" s="42"/>
      <c r="H16598" s="42"/>
      <c r="AG16598" s="19"/>
    </row>
    <row r="16599" spans="1:33" ht="14.5" x14ac:dyDescent="0.35">
      <c r="A16599" s="34"/>
      <c r="B16599" s="35"/>
      <c r="C16599" s="36"/>
      <c r="D16599" s="37"/>
      <c r="E16599" s="36"/>
      <c r="F16599" s="42"/>
      <c r="G16599" s="42"/>
      <c r="H16599" s="42"/>
      <c r="AG16599" s="19"/>
    </row>
    <row r="16600" spans="1:33" ht="14.5" x14ac:dyDescent="0.35">
      <c r="A16600" s="34"/>
      <c r="B16600" s="35"/>
      <c r="C16600" s="36"/>
      <c r="D16600" s="37"/>
      <c r="E16600" s="36"/>
      <c r="F16600" s="42"/>
      <c r="G16600" s="42"/>
      <c r="H16600" s="42"/>
      <c r="AG16600" s="19"/>
    </row>
    <row r="16601" spans="1:33" ht="14.5" x14ac:dyDescent="0.35">
      <c r="A16601" s="34"/>
      <c r="B16601" s="35"/>
      <c r="C16601" s="36"/>
      <c r="D16601" s="37"/>
      <c r="E16601" s="36"/>
      <c r="F16601" s="42"/>
      <c r="G16601" s="42"/>
      <c r="H16601" s="42"/>
      <c r="AG16601" s="19"/>
    </row>
    <row r="16602" spans="1:33" ht="14.5" x14ac:dyDescent="0.35">
      <c r="A16602" s="34"/>
      <c r="B16602" s="35"/>
      <c r="C16602" s="36"/>
      <c r="D16602" s="37"/>
      <c r="E16602" s="36"/>
      <c r="F16602" s="42"/>
      <c r="G16602" s="42"/>
      <c r="H16602" s="42"/>
      <c r="AG16602" s="19"/>
    </row>
    <row r="16603" spans="1:33" ht="14.5" x14ac:dyDescent="0.35">
      <c r="A16603" s="34"/>
      <c r="B16603" s="35"/>
      <c r="C16603" s="36"/>
      <c r="D16603" s="37"/>
      <c r="E16603" s="36"/>
      <c r="F16603" s="42"/>
      <c r="G16603" s="42"/>
      <c r="H16603" s="42"/>
      <c r="AG16603" s="19"/>
    </row>
    <row r="16604" spans="1:33" ht="14.5" x14ac:dyDescent="0.35">
      <c r="A16604" s="34"/>
      <c r="B16604" s="35"/>
      <c r="C16604" s="36"/>
      <c r="D16604" s="37"/>
      <c r="E16604" s="36"/>
      <c r="F16604" s="42"/>
      <c r="G16604" s="42"/>
      <c r="H16604" s="42"/>
      <c r="AG16604" s="19"/>
    </row>
    <row r="16605" spans="1:33" ht="14.5" x14ac:dyDescent="0.35">
      <c r="A16605" s="34"/>
      <c r="B16605" s="35"/>
      <c r="C16605" s="36"/>
      <c r="D16605" s="37"/>
      <c r="E16605" s="36"/>
      <c r="F16605" s="42"/>
      <c r="G16605" s="42"/>
      <c r="H16605" s="42"/>
      <c r="AG16605" s="19"/>
    </row>
    <row r="16606" spans="1:33" ht="14.5" x14ac:dyDescent="0.35">
      <c r="A16606" s="34"/>
      <c r="B16606" s="35"/>
      <c r="C16606" s="36"/>
      <c r="D16606" s="37"/>
      <c r="E16606" s="36"/>
      <c r="F16606" s="42"/>
      <c r="G16606" s="42"/>
      <c r="H16606" s="42"/>
      <c r="AG16606" s="19"/>
    </row>
    <row r="16607" spans="1:33" ht="14.5" x14ac:dyDescent="0.35">
      <c r="A16607" s="34"/>
      <c r="B16607" s="35"/>
      <c r="C16607" s="36"/>
      <c r="D16607" s="37"/>
      <c r="E16607" s="36"/>
      <c r="F16607" s="42"/>
      <c r="G16607" s="42"/>
      <c r="H16607" s="42"/>
      <c r="AG16607" s="19"/>
    </row>
    <row r="16608" spans="1:33" ht="14.5" x14ac:dyDescent="0.35">
      <c r="A16608" s="34"/>
      <c r="B16608" s="35"/>
      <c r="C16608" s="36"/>
      <c r="D16608" s="37"/>
      <c r="E16608" s="36"/>
      <c r="F16608" s="42"/>
      <c r="G16608" s="42"/>
      <c r="H16608" s="42"/>
      <c r="AG16608" s="19"/>
    </row>
    <row r="16609" spans="1:33" ht="14.5" x14ac:dyDescent="0.35">
      <c r="A16609" s="34"/>
      <c r="B16609" s="35"/>
      <c r="C16609" s="36"/>
      <c r="D16609" s="37"/>
      <c r="E16609" s="36"/>
      <c r="F16609" s="42"/>
      <c r="G16609" s="42"/>
      <c r="H16609" s="42"/>
      <c r="AG16609" s="19"/>
    </row>
    <row r="16610" spans="1:33" ht="14.5" x14ac:dyDescent="0.35">
      <c r="A16610" s="34"/>
      <c r="B16610" s="35"/>
      <c r="C16610" s="36"/>
      <c r="D16610" s="37"/>
      <c r="E16610" s="36"/>
      <c r="F16610" s="42"/>
      <c r="G16610" s="42"/>
      <c r="H16610" s="42"/>
      <c r="AG16610" s="19"/>
    </row>
    <row r="16611" spans="1:33" ht="14.5" x14ac:dyDescent="0.35">
      <c r="A16611" s="34"/>
      <c r="B16611" s="35"/>
      <c r="C16611" s="36"/>
      <c r="D16611" s="37"/>
      <c r="E16611" s="36"/>
      <c r="F16611" s="42"/>
      <c r="G16611" s="42"/>
      <c r="H16611" s="42"/>
      <c r="AG16611" s="19"/>
    </row>
    <row r="16612" spans="1:33" ht="14.5" x14ac:dyDescent="0.35">
      <c r="A16612" s="34"/>
      <c r="B16612" s="35"/>
      <c r="C16612" s="36"/>
      <c r="D16612" s="37"/>
      <c r="E16612" s="36"/>
      <c r="F16612" s="42"/>
      <c r="G16612" s="42"/>
      <c r="H16612" s="42"/>
      <c r="AG16612" s="19"/>
    </row>
    <row r="16613" spans="1:33" ht="14.5" x14ac:dyDescent="0.35">
      <c r="A16613" s="34"/>
      <c r="B16613" s="35"/>
      <c r="C16613" s="36"/>
      <c r="D16613" s="37"/>
      <c r="E16613" s="36"/>
      <c r="F16613" s="42"/>
      <c r="G16613" s="42"/>
      <c r="H16613" s="42"/>
      <c r="AG16613" s="19"/>
    </row>
    <row r="16614" spans="1:33" ht="14.5" x14ac:dyDescent="0.35">
      <c r="A16614" s="34"/>
      <c r="B16614" s="35"/>
      <c r="C16614" s="36"/>
      <c r="D16614" s="37"/>
      <c r="E16614" s="36"/>
      <c r="F16614" s="42"/>
      <c r="G16614" s="42"/>
      <c r="H16614" s="42"/>
      <c r="AG16614" s="19"/>
    </row>
    <row r="16615" spans="1:33" ht="14.5" x14ac:dyDescent="0.35">
      <c r="A16615" s="34"/>
      <c r="B16615" s="35"/>
      <c r="C16615" s="36"/>
      <c r="D16615" s="37"/>
      <c r="E16615" s="36"/>
      <c r="F16615" s="42"/>
      <c r="G16615" s="42"/>
      <c r="H16615" s="42"/>
      <c r="AG16615" s="19"/>
    </row>
    <row r="16616" spans="1:33" ht="14.5" x14ac:dyDescent="0.35">
      <c r="A16616" s="34"/>
      <c r="B16616" s="35"/>
      <c r="C16616" s="36"/>
      <c r="D16616" s="37"/>
      <c r="E16616" s="36"/>
      <c r="F16616" s="42"/>
      <c r="G16616" s="42"/>
      <c r="H16616" s="42"/>
      <c r="AG16616" s="19"/>
    </row>
    <row r="16617" spans="1:33" ht="14.5" x14ac:dyDescent="0.35">
      <c r="A16617" s="34"/>
      <c r="B16617" s="35"/>
      <c r="C16617" s="36"/>
      <c r="D16617" s="37"/>
      <c r="E16617" s="36"/>
      <c r="F16617" s="42"/>
      <c r="G16617" s="42"/>
      <c r="H16617" s="42"/>
      <c r="AG16617" s="19"/>
    </row>
    <row r="16618" spans="1:33" ht="14.5" x14ac:dyDescent="0.35">
      <c r="A16618" s="34"/>
      <c r="B16618" s="35"/>
      <c r="C16618" s="36"/>
      <c r="D16618" s="37"/>
      <c r="E16618" s="36"/>
      <c r="F16618" s="42"/>
      <c r="G16618" s="42"/>
      <c r="H16618" s="42"/>
      <c r="AG16618" s="19"/>
    </row>
    <row r="16619" spans="1:33" ht="14.5" x14ac:dyDescent="0.35">
      <c r="A16619" s="34"/>
      <c r="B16619" s="35"/>
      <c r="C16619" s="36"/>
      <c r="D16619" s="37"/>
      <c r="E16619" s="36"/>
      <c r="F16619" s="42"/>
      <c r="G16619" s="42"/>
      <c r="H16619" s="42"/>
      <c r="AG16619" s="19"/>
    </row>
    <row r="16620" spans="1:33" ht="14.5" x14ac:dyDescent="0.35">
      <c r="A16620" s="34"/>
      <c r="B16620" s="35"/>
      <c r="C16620" s="36"/>
      <c r="D16620" s="37"/>
      <c r="E16620" s="36"/>
      <c r="F16620" s="42"/>
      <c r="G16620" s="42"/>
      <c r="H16620" s="42"/>
      <c r="AG16620" s="19"/>
    </row>
    <row r="16621" spans="1:33" ht="14.5" x14ac:dyDescent="0.35">
      <c r="A16621" s="34"/>
      <c r="B16621" s="35"/>
      <c r="C16621" s="36"/>
      <c r="D16621" s="37"/>
      <c r="E16621" s="36"/>
      <c r="F16621" s="42"/>
      <c r="G16621" s="42"/>
      <c r="H16621" s="42"/>
      <c r="AG16621" s="19"/>
    </row>
    <row r="16622" spans="1:33" ht="14.5" x14ac:dyDescent="0.35">
      <c r="A16622" s="34"/>
      <c r="B16622" s="35"/>
      <c r="C16622" s="36"/>
      <c r="D16622" s="37"/>
      <c r="E16622" s="36"/>
      <c r="F16622" s="42"/>
      <c r="G16622" s="42"/>
      <c r="H16622" s="42"/>
      <c r="AG16622" s="19"/>
    </row>
    <row r="16623" spans="1:33" ht="14.5" x14ac:dyDescent="0.35">
      <c r="A16623" s="34"/>
      <c r="B16623" s="35"/>
      <c r="C16623" s="36"/>
      <c r="D16623" s="37"/>
      <c r="E16623" s="36"/>
      <c r="F16623" s="42"/>
      <c r="G16623" s="42"/>
      <c r="H16623" s="42"/>
      <c r="AG16623" s="19"/>
    </row>
    <row r="16624" spans="1:33" ht="14.5" x14ac:dyDescent="0.35">
      <c r="A16624" s="34"/>
      <c r="B16624" s="35"/>
      <c r="C16624" s="36"/>
      <c r="D16624" s="37"/>
      <c r="E16624" s="36"/>
      <c r="F16624" s="42"/>
      <c r="G16624" s="42"/>
      <c r="H16624" s="42"/>
      <c r="AG16624" s="19"/>
    </row>
    <row r="16625" spans="1:33" ht="14.5" x14ac:dyDescent="0.35">
      <c r="A16625" s="34"/>
      <c r="B16625" s="35"/>
      <c r="C16625" s="36"/>
      <c r="D16625" s="37"/>
      <c r="E16625" s="36"/>
      <c r="F16625" s="42"/>
      <c r="G16625" s="42"/>
      <c r="H16625" s="42"/>
      <c r="AG16625" s="19"/>
    </row>
    <row r="16626" spans="1:33" ht="14.5" x14ac:dyDescent="0.35">
      <c r="A16626" s="34"/>
      <c r="B16626" s="35"/>
      <c r="C16626" s="36"/>
      <c r="D16626" s="37"/>
      <c r="E16626" s="36"/>
      <c r="F16626" s="42"/>
      <c r="G16626" s="42"/>
      <c r="H16626" s="42"/>
      <c r="AG16626" s="19"/>
    </row>
    <row r="16627" spans="1:33" ht="14.5" x14ac:dyDescent="0.35">
      <c r="A16627" s="34"/>
      <c r="B16627" s="35"/>
      <c r="C16627" s="36"/>
      <c r="D16627" s="37"/>
      <c r="E16627" s="36"/>
      <c r="F16627" s="42"/>
      <c r="G16627" s="42"/>
      <c r="H16627" s="42"/>
      <c r="AG16627" s="19"/>
    </row>
    <row r="16628" spans="1:33" ht="14.5" x14ac:dyDescent="0.35">
      <c r="A16628" s="34"/>
      <c r="B16628" s="35"/>
      <c r="C16628" s="36"/>
      <c r="D16628" s="37"/>
      <c r="E16628" s="36"/>
      <c r="F16628" s="42"/>
      <c r="G16628" s="42"/>
      <c r="H16628" s="42"/>
      <c r="AG16628" s="19"/>
    </row>
    <row r="16629" spans="1:33" ht="14.5" x14ac:dyDescent="0.35">
      <c r="A16629" s="34"/>
      <c r="B16629" s="35"/>
      <c r="C16629" s="36"/>
      <c r="D16629" s="37"/>
      <c r="E16629" s="36"/>
      <c r="F16629" s="42"/>
      <c r="G16629" s="42"/>
      <c r="H16629" s="42"/>
      <c r="AG16629" s="19"/>
    </row>
    <row r="16630" spans="1:33" ht="14.5" x14ac:dyDescent="0.35">
      <c r="A16630" s="34"/>
      <c r="B16630" s="35"/>
      <c r="C16630" s="36"/>
      <c r="D16630" s="37"/>
      <c r="E16630" s="36"/>
      <c r="F16630" s="42"/>
      <c r="G16630" s="42"/>
      <c r="H16630" s="42"/>
      <c r="AG16630" s="19"/>
    </row>
    <row r="16631" spans="1:33" ht="14.5" x14ac:dyDescent="0.35">
      <c r="A16631" s="34"/>
      <c r="B16631" s="35"/>
      <c r="C16631" s="36"/>
      <c r="D16631" s="37"/>
      <c r="E16631" s="36"/>
      <c r="F16631" s="42"/>
      <c r="G16631" s="42"/>
      <c r="H16631" s="42"/>
      <c r="AG16631" s="19"/>
    </row>
    <row r="16632" spans="1:33" ht="14.5" x14ac:dyDescent="0.35">
      <c r="A16632" s="34"/>
      <c r="B16632" s="35"/>
      <c r="C16632" s="36"/>
      <c r="D16632" s="37"/>
      <c r="E16632" s="36"/>
      <c r="F16632" s="42"/>
      <c r="G16632" s="42"/>
      <c r="H16632" s="42"/>
      <c r="AG16632" s="19"/>
    </row>
    <row r="16633" spans="1:33" ht="14.5" x14ac:dyDescent="0.35">
      <c r="A16633" s="34"/>
      <c r="B16633" s="35"/>
      <c r="C16633" s="36"/>
      <c r="D16633" s="37"/>
      <c r="E16633" s="36"/>
      <c r="F16633" s="42"/>
      <c r="G16633" s="42"/>
      <c r="H16633" s="42"/>
      <c r="AG16633" s="19"/>
    </row>
    <row r="16634" spans="1:33" ht="14.5" x14ac:dyDescent="0.35">
      <c r="A16634" s="34"/>
      <c r="B16634" s="35"/>
      <c r="C16634" s="36"/>
      <c r="D16634" s="37"/>
      <c r="E16634" s="36"/>
      <c r="F16634" s="42"/>
      <c r="G16634" s="42"/>
      <c r="H16634" s="42"/>
      <c r="AG16634" s="19"/>
    </row>
    <row r="16635" spans="1:33" ht="14.5" x14ac:dyDescent="0.35">
      <c r="A16635" s="34"/>
      <c r="B16635" s="35"/>
      <c r="C16635" s="36"/>
      <c r="D16635" s="37"/>
      <c r="E16635" s="36"/>
      <c r="F16635" s="42"/>
      <c r="G16635" s="42"/>
      <c r="H16635" s="42"/>
      <c r="AG16635" s="19"/>
    </row>
    <row r="16636" spans="1:33" ht="14.5" x14ac:dyDescent="0.35">
      <c r="A16636" s="34"/>
      <c r="B16636" s="35"/>
      <c r="C16636" s="36"/>
      <c r="D16636" s="37"/>
      <c r="E16636" s="36"/>
      <c r="F16636" s="42"/>
      <c r="G16636" s="42"/>
      <c r="H16636" s="42"/>
      <c r="AG16636" s="19"/>
    </row>
    <row r="16637" spans="1:33" ht="14.5" x14ac:dyDescent="0.35">
      <c r="A16637" s="34"/>
      <c r="B16637" s="35"/>
      <c r="C16637" s="36"/>
      <c r="D16637" s="37"/>
      <c r="E16637" s="36"/>
      <c r="F16637" s="42"/>
      <c r="G16637" s="42"/>
      <c r="H16637" s="42"/>
      <c r="AG16637" s="19"/>
    </row>
    <row r="16638" spans="1:33" ht="14.5" x14ac:dyDescent="0.35">
      <c r="A16638" s="34"/>
      <c r="B16638" s="35"/>
      <c r="C16638" s="36"/>
      <c r="D16638" s="37"/>
      <c r="E16638" s="36"/>
      <c r="F16638" s="42"/>
      <c r="G16638" s="42"/>
      <c r="H16638" s="42"/>
      <c r="AG16638" s="19"/>
    </row>
    <row r="16639" spans="1:33" ht="14.5" x14ac:dyDescent="0.35">
      <c r="A16639" s="34"/>
      <c r="B16639" s="35"/>
      <c r="C16639" s="36"/>
      <c r="D16639" s="37"/>
      <c r="E16639" s="36"/>
      <c r="F16639" s="42"/>
      <c r="G16639" s="42"/>
      <c r="H16639" s="42"/>
      <c r="AG16639" s="19"/>
    </row>
    <row r="16640" spans="1:33" ht="14.5" x14ac:dyDescent="0.35">
      <c r="A16640" s="34"/>
      <c r="B16640" s="35"/>
      <c r="C16640" s="36"/>
      <c r="D16640" s="37"/>
      <c r="E16640" s="36"/>
      <c r="F16640" s="42"/>
      <c r="G16640" s="42"/>
      <c r="H16640" s="42"/>
      <c r="AG16640" s="19"/>
    </row>
    <row r="16641" spans="1:33" ht="14.5" x14ac:dyDescent="0.35">
      <c r="A16641" s="34"/>
      <c r="B16641" s="35"/>
      <c r="C16641" s="36"/>
      <c r="D16641" s="37"/>
      <c r="E16641" s="36"/>
      <c r="F16641" s="42"/>
      <c r="G16641" s="42"/>
      <c r="H16641" s="42"/>
      <c r="AG16641" s="19"/>
    </row>
    <row r="16642" spans="1:33" ht="14.5" x14ac:dyDescent="0.35">
      <c r="A16642" s="34"/>
      <c r="B16642" s="35"/>
      <c r="C16642" s="36"/>
      <c r="D16642" s="37"/>
      <c r="E16642" s="36"/>
      <c r="F16642" s="42"/>
      <c r="G16642" s="42"/>
      <c r="H16642" s="42"/>
      <c r="AG16642" s="19"/>
    </row>
    <row r="16643" spans="1:33" ht="14.5" x14ac:dyDescent="0.35">
      <c r="A16643" s="34"/>
      <c r="B16643" s="35"/>
      <c r="C16643" s="36"/>
      <c r="D16643" s="37"/>
      <c r="E16643" s="36"/>
      <c r="F16643" s="42"/>
      <c r="G16643" s="42"/>
      <c r="H16643" s="42"/>
      <c r="AG16643" s="19"/>
    </row>
    <row r="16644" spans="1:33" ht="14.5" x14ac:dyDescent="0.35">
      <c r="A16644" s="34"/>
      <c r="B16644" s="35"/>
      <c r="C16644" s="36"/>
      <c r="D16644" s="37"/>
      <c r="E16644" s="36"/>
      <c r="F16644" s="42"/>
      <c r="G16644" s="42"/>
      <c r="H16644" s="42"/>
      <c r="AG16644" s="19"/>
    </row>
    <row r="16645" spans="1:33" ht="14.5" x14ac:dyDescent="0.35">
      <c r="A16645" s="34"/>
      <c r="B16645" s="35"/>
      <c r="C16645" s="36"/>
      <c r="D16645" s="37"/>
      <c r="E16645" s="36"/>
      <c r="F16645" s="42"/>
      <c r="G16645" s="42"/>
      <c r="H16645" s="42"/>
      <c r="AG16645" s="19"/>
    </row>
    <row r="16646" spans="1:33" ht="14.5" x14ac:dyDescent="0.35">
      <c r="A16646" s="34"/>
      <c r="B16646" s="35"/>
      <c r="C16646" s="36"/>
      <c r="D16646" s="37"/>
      <c r="E16646" s="36"/>
      <c r="F16646" s="42"/>
      <c r="G16646" s="42"/>
      <c r="H16646" s="42"/>
      <c r="AG16646" s="19"/>
    </row>
    <row r="16647" spans="1:33" ht="14.5" x14ac:dyDescent="0.35">
      <c r="A16647" s="34"/>
      <c r="B16647" s="35"/>
      <c r="C16647" s="36"/>
      <c r="D16647" s="37"/>
      <c r="E16647" s="36"/>
      <c r="F16647" s="42"/>
      <c r="G16647" s="42"/>
      <c r="H16647" s="42"/>
      <c r="AG16647" s="19"/>
    </row>
    <row r="16648" spans="1:33" ht="14.5" x14ac:dyDescent="0.35">
      <c r="A16648" s="34"/>
      <c r="B16648" s="35"/>
      <c r="C16648" s="36"/>
      <c r="D16648" s="37"/>
      <c r="E16648" s="36"/>
      <c r="F16648" s="42"/>
      <c r="G16648" s="42"/>
      <c r="H16648" s="42"/>
      <c r="AG16648" s="19"/>
    </row>
    <row r="16649" spans="1:33" ht="14.5" x14ac:dyDescent="0.35">
      <c r="A16649" s="34"/>
      <c r="B16649" s="35"/>
      <c r="C16649" s="36"/>
      <c r="D16649" s="37"/>
      <c r="E16649" s="36"/>
      <c r="F16649" s="42"/>
      <c r="G16649" s="42"/>
      <c r="H16649" s="42"/>
      <c r="AG16649" s="19"/>
    </row>
    <row r="16650" spans="1:33" ht="14.5" x14ac:dyDescent="0.35">
      <c r="A16650" s="34"/>
      <c r="B16650" s="35"/>
      <c r="C16650" s="36"/>
      <c r="D16650" s="37"/>
      <c r="E16650" s="36"/>
      <c r="F16650" s="42"/>
      <c r="G16650" s="42"/>
      <c r="H16650" s="42"/>
      <c r="AG16650" s="19"/>
    </row>
    <row r="16651" spans="1:33" ht="14.5" x14ac:dyDescent="0.35">
      <c r="A16651" s="34"/>
      <c r="B16651" s="35"/>
      <c r="C16651" s="36"/>
      <c r="D16651" s="37"/>
      <c r="E16651" s="36"/>
      <c r="F16651" s="42"/>
      <c r="G16651" s="42"/>
      <c r="H16651" s="42"/>
      <c r="AG16651" s="19"/>
    </row>
    <row r="16652" spans="1:33" ht="14.5" x14ac:dyDescent="0.35">
      <c r="A16652" s="34"/>
      <c r="B16652" s="35"/>
      <c r="C16652" s="36"/>
      <c r="D16652" s="37"/>
      <c r="E16652" s="36"/>
      <c r="F16652" s="42"/>
      <c r="G16652" s="42"/>
      <c r="H16652" s="42"/>
      <c r="AG16652" s="19"/>
    </row>
    <row r="16653" spans="1:33" ht="14.5" x14ac:dyDescent="0.35">
      <c r="A16653" s="34"/>
      <c r="B16653" s="35"/>
      <c r="C16653" s="36"/>
      <c r="D16653" s="37"/>
      <c r="E16653" s="36"/>
      <c r="F16653" s="42"/>
      <c r="G16653" s="42"/>
      <c r="H16653" s="42"/>
      <c r="AG16653" s="19"/>
    </row>
    <row r="16654" spans="1:33" ht="14.5" x14ac:dyDescent="0.35">
      <c r="A16654" s="34"/>
      <c r="B16654" s="35"/>
      <c r="C16654" s="36"/>
      <c r="D16654" s="37"/>
      <c r="E16654" s="36"/>
      <c r="F16654" s="42"/>
      <c r="G16654" s="42"/>
      <c r="H16654" s="42"/>
      <c r="AG16654" s="19"/>
    </row>
    <row r="16655" spans="1:33" ht="14.5" x14ac:dyDescent="0.35">
      <c r="A16655" s="34"/>
      <c r="B16655" s="35"/>
      <c r="C16655" s="36"/>
      <c r="D16655" s="37"/>
      <c r="E16655" s="36"/>
      <c r="F16655" s="42"/>
      <c r="G16655" s="42"/>
      <c r="H16655" s="42"/>
      <c r="AG16655" s="19"/>
    </row>
    <row r="16656" spans="1:33" ht="14.5" x14ac:dyDescent="0.35">
      <c r="A16656" s="34"/>
      <c r="B16656" s="35"/>
      <c r="C16656" s="36"/>
      <c r="D16656" s="37"/>
      <c r="E16656" s="36"/>
      <c r="F16656" s="42"/>
      <c r="G16656" s="42"/>
      <c r="H16656" s="42"/>
      <c r="AG16656" s="19"/>
    </row>
    <row r="16657" spans="1:33" ht="14.5" x14ac:dyDescent="0.35">
      <c r="A16657" s="34"/>
      <c r="B16657" s="35"/>
      <c r="C16657" s="36"/>
      <c r="D16657" s="37"/>
      <c r="E16657" s="36"/>
      <c r="F16657" s="42"/>
      <c r="G16657" s="42"/>
      <c r="H16657" s="42"/>
      <c r="AG16657" s="19"/>
    </row>
    <row r="16658" spans="1:33" ht="14.5" x14ac:dyDescent="0.35">
      <c r="A16658" s="34"/>
      <c r="B16658" s="35"/>
      <c r="C16658" s="36"/>
      <c r="D16658" s="37"/>
      <c r="E16658" s="36"/>
      <c r="F16658" s="42"/>
      <c r="G16658" s="42"/>
      <c r="H16658" s="42"/>
      <c r="AG16658" s="19"/>
    </row>
    <row r="16659" spans="1:33" ht="14.5" x14ac:dyDescent="0.35">
      <c r="A16659" s="34"/>
      <c r="B16659" s="35"/>
      <c r="C16659" s="36"/>
      <c r="D16659" s="37"/>
      <c r="E16659" s="36"/>
      <c r="F16659" s="42"/>
      <c r="G16659" s="42"/>
      <c r="H16659" s="42"/>
      <c r="AG16659" s="19"/>
    </row>
    <row r="16660" spans="1:33" ht="14.5" x14ac:dyDescent="0.35">
      <c r="A16660" s="34"/>
      <c r="B16660" s="35"/>
      <c r="C16660" s="36"/>
      <c r="D16660" s="37"/>
      <c r="E16660" s="36"/>
      <c r="F16660" s="42"/>
      <c r="G16660" s="42"/>
      <c r="H16660" s="42"/>
      <c r="AG16660" s="19"/>
    </row>
    <row r="16661" spans="1:33" ht="14.5" x14ac:dyDescent="0.35">
      <c r="A16661" s="34"/>
      <c r="B16661" s="35"/>
      <c r="C16661" s="36"/>
      <c r="D16661" s="37"/>
      <c r="E16661" s="36"/>
      <c r="F16661" s="42"/>
      <c r="G16661" s="42"/>
      <c r="H16661" s="42"/>
      <c r="AG16661" s="19"/>
    </row>
    <row r="16662" spans="1:33" ht="14.5" x14ac:dyDescent="0.35">
      <c r="A16662" s="34"/>
      <c r="B16662" s="35"/>
      <c r="C16662" s="36"/>
      <c r="D16662" s="37"/>
      <c r="E16662" s="36"/>
      <c r="F16662" s="42"/>
      <c r="G16662" s="42"/>
      <c r="H16662" s="42"/>
      <c r="AG16662" s="19"/>
    </row>
    <row r="16663" spans="1:33" ht="14.5" x14ac:dyDescent="0.35">
      <c r="A16663" s="34"/>
      <c r="B16663" s="35"/>
      <c r="C16663" s="36"/>
      <c r="D16663" s="37"/>
      <c r="E16663" s="36"/>
      <c r="F16663" s="42"/>
      <c r="G16663" s="42"/>
      <c r="H16663" s="42"/>
      <c r="AG16663" s="19"/>
    </row>
    <row r="16664" spans="1:33" ht="14.5" x14ac:dyDescent="0.35">
      <c r="A16664" s="34"/>
      <c r="B16664" s="35"/>
      <c r="C16664" s="36"/>
      <c r="D16664" s="37"/>
      <c r="E16664" s="36"/>
      <c r="F16664" s="42"/>
      <c r="G16664" s="42"/>
      <c r="H16664" s="42"/>
      <c r="AG16664" s="19"/>
    </row>
    <row r="16665" spans="1:33" ht="14.5" x14ac:dyDescent="0.35">
      <c r="A16665" s="34"/>
      <c r="B16665" s="35"/>
      <c r="C16665" s="36"/>
      <c r="D16665" s="37"/>
      <c r="E16665" s="36"/>
      <c r="F16665" s="42"/>
      <c r="G16665" s="42"/>
      <c r="H16665" s="42"/>
      <c r="AG16665" s="19"/>
    </row>
    <row r="16666" spans="1:33" ht="14.5" x14ac:dyDescent="0.35">
      <c r="A16666" s="34"/>
      <c r="B16666" s="35"/>
      <c r="C16666" s="36"/>
      <c r="D16666" s="37"/>
      <c r="E16666" s="36"/>
      <c r="F16666" s="42"/>
      <c r="G16666" s="42"/>
      <c r="H16666" s="42"/>
      <c r="AG16666" s="19"/>
    </row>
    <row r="16667" spans="1:33" ht="14.5" x14ac:dyDescent="0.35">
      <c r="A16667" s="34"/>
      <c r="B16667" s="35"/>
      <c r="C16667" s="36"/>
      <c r="D16667" s="37"/>
      <c r="E16667" s="36"/>
      <c r="F16667" s="42"/>
      <c r="G16667" s="42"/>
      <c r="H16667" s="42"/>
      <c r="AG16667" s="19"/>
    </row>
    <row r="16668" spans="1:33" ht="14.5" x14ac:dyDescent="0.35">
      <c r="A16668" s="34"/>
      <c r="B16668" s="35"/>
      <c r="C16668" s="36"/>
      <c r="D16668" s="37"/>
      <c r="E16668" s="36"/>
      <c r="F16668" s="42"/>
      <c r="G16668" s="42"/>
      <c r="H16668" s="42"/>
      <c r="AG16668" s="19"/>
    </row>
    <row r="16669" spans="1:33" ht="14.5" x14ac:dyDescent="0.35">
      <c r="A16669" s="34"/>
      <c r="B16669" s="35"/>
      <c r="C16669" s="36"/>
      <c r="D16669" s="37"/>
      <c r="E16669" s="36"/>
      <c r="F16669" s="42"/>
      <c r="G16669" s="42"/>
      <c r="H16669" s="42"/>
      <c r="AG16669" s="19"/>
    </row>
    <row r="16670" spans="1:33" ht="14.5" x14ac:dyDescent="0.35">
      <c r="A16670" s="34"/>
      <c r="B16670" s="35"/>
      <c r="C16670" s="36"/>
      <c r="D16670" s="37"/>
      <c r="E16670" s="36"/>
      <c r="F16670" s="42"/>
      <c r="G16670" s="42"/>
      <c r="H16670" s="42"/>
      <c r="AG16670" s="19"/>
    </row>
    <row r="16671" spans="1:33" ht="14.5" x14ac:dyDescent="0.35">
      <c r="A16671" s="34"/>
      <c r="B16671" s="35"/>
      <c r="C16671" s="36"/>
      <c r="D16671" s="37"/>
      <c r="E16671" s="36"/>
      <c r="F16671" s="42"/>
      <c r="G16671" s="42"/>
      <c r="H16671" s="42"/>
      <c r="AG16671" s="19"/>
    </row>
    <row r="16672" spans="1:33" ht="14.5" x14ac:dyDescent="0.35">
      <c r="A16672" s="34"/>
      <c r="B16672" s="35"/>
      <c r="C16672" s="36"/>
      <c r="D16672" s="37"/>
      <c r="E16672" s="36"/>
      <c r="F16672" s="42"/>
      <c r="G16672" s="42"/>
      <c r="H16672" s="42"/>
      <c r="AG16672" s="19"/>
    </row>
    <row r="16673" spans="1:33" ht="14.5" x14ac:dyDescent="0.35">
      <c r="A16673" s="34"/>
      <c r="B16673" s="35"/>
      <c r="C16673" s="36"/>
      <c r="D16673" s="37"/>
      <c r="E16673" s="36"/>
      <c r="F16673" s="42"/>
      <c r="G16673" s="42"/>
      <c r="H16673" s="42"/>
      <c r="AG16673" s="19"/>
    </row>
    <row r="16674" spans="1:33" ht="14.5" x14ac:dyDescent="0.35">
      <c r="A16674" s="34"/>
      <c r="B16674" s="35"/>
      <c r="C16674" s="36"/>
      <c r="D16674" s="37"/>
      <c r="E16674" s="36"/>
      <c r="F16674" s="42"/>
      <c r="G16674" s="42"/>
      <c r="H16674" s="42"/>
      <c r="AG16674" s="19"/>
    </row>
    <row r="16675" spans="1:33" ht="14.5" x14ac:dyDescent="0.35">
      <c r="A16675" s="34"/>
      <c r="B16675" s="35"/>
      <c r="C16675" s="36"/>
      <c r="D16675" s="37"/>
      <c r="E16675" s="36"/>
      <c r="F16675" s="42"/>
      <c r="G16675" s="42"/>
      <c r="H16675" s="42"/>
      <c r="AG16675" s="19"/>
    </row>
    <row r="16676" spans="1:33" ht="14.5" x14ac:dyDescent="0.35">
      <c r="A16676" s="34"/>
      <c r="B16676" s="35"/>
      <c r="C16676" s="36"/>
      <c r="D16676" s="37"/>
      <c r="E16676" s="36"/>
      <c r="F16676" s="42"/>
      <c r="G16676" s="42"/>
      <c r="H16676" s="42"/>
      <c r="AG16676" s="19"/>
    </row>
    <row r="16677" spans="1:33" ht="14.5" x14ac:dyDescent="0.35">
      <c r="A16677" s="34"/>
      <c r="B16677" s="35"/>
      <c r="C16677" s="36"/>
      <c r="D16677" s="37"/>
      <c r="E16677" s="36"/>
      <c r="F16677" s="42"/>
      <c r="G16677" s="42"/>
      <c r="H16677" s="42"/>
      <c r="AG16677" s="19"/>
    </row>
    <row r="16678" spans="1:33" ht="14.5" x14ac:dyDescent="0.35">
      <c r="A16678" s="34"/>
      <c r="B16678" s="35"/>
      <c r="C16678" s="36"/>
      <c r="D16678" s="37"/>
      <c r="E16678" s="36"/>
      <c r="F16678" s="42"/>
      <c r="G16678" s="42"/>
      <c r="H16678" s="42"/>
      <c r="AG16678" s="19"/>
    </row>
    <row r="16679" spans="1:33" ht="14.5" x14ac:dyDescent="0.35">
      <c r="A16679" s="34"/>
      <c r="B16679" s="35"/>
      <c r="C16679" s="36"/>
      <c r="D16679" s="37"/>
      <c r="E16679" s="36"/>
      <c r="F16679" s="42"/>
      <c r="G16679" s="42"/>
      <c r="H16679" s="42"/>
      <c r="AG16679" s="19"/>
    </row>
    <row r="16680" spans="1:33" ht="14.5" x14ac:dyDescent="0.35">
      <c r="A16680" s="34"/>
      <c r="B16680" s="35"/>
      <c r="C16680" s="36"/>
      <c r="D16680" s="37"/>
      <c r="E16680" s="36"/>
      <c r="F16680" s="42"/>
      <c r="G16680" s="42"/>
      <c r="H16680" s="42"/>
      <c r="AG16680" s="19"/>
    </row>
    <row r="16681" spans="1:33" ht="14.5" x14ac:dyDescent="0.35">
      <c r="A16681" s="34"/>
      <c r="B16681" s="35"/>
      <c r="C16681" s="36"/>
      <c r="D16681" s="37"/>
      <c r="E16681" s="36"/>
      <c r="F16681" s="42"/>
      <c r="G16681" s="42"/>
      <c r="H16681" s="42"/>
      <c r="AG16681" s="19"/>
    </row>
    <row r="16682" spans="1:33" ht="14.5" x14ac:dyDescent="0.35">
      <c r="A16682" s="34"/>
      <c r="B16682" s="35"/>
      <c r="C16682" s="36"/>
      <c r="D16682" s="37"/>
      <c r="E16682" s="36"/>
      <c r="F16682" s="42"/>
      <c r="G16682" s="42"/>
      <c r="H16682" s="42"/>
      <c r="AG16682" s="19"/>
    </row>
    <row r="16683" spans="1:33" ht="14.5" x14ac:dyDescent="0.35">
      <c r="A16683" s="34"/>
      <c r="B16683" s="35"/>
      <c r="C16683" s="36"/>
      <c r="D16683" s="37"/>
      <c r="E16683" s="36"/>
      <c r="F16683" s="42"/>
      <c r="G16683" s="42"/>
      <c r="H16683" s="42"/>
      <c r="AG16683" s="19"/>
    </row>
    <row r="16684" spans="1:33" ht="14.5" x14ac:dyDescent="0.35">
      <c r="A16684" s="34"/>
      <c r="B16684" s="35"/>
      <c r="C16684" s="36"/>
      <c r="D16684" s="37"/>
      <c r="E16684" s="36"/>
      <c r="F16684" s="42"/>
      <c r="G16684" s="42"/>
      <c r="H16684" s="42"/>
      <c r="AG16684" s="19"/>
    </row>
    <row r="16685" spans="1:33" ht="14.5" x14ac:dyDescent="0.35">
      <c r="A16685" s="34"/>
      <c r="B16685" s="35"/>
      <c r="C16685" s="36"/>
      <c r="D16685" s="37"/>
      <c r="E16685" s="36"/>
      <c r="F16685" s="42"/>
      <c r="G16685" s="42"/>
      <c r="H16685" s="42"/>
      <c r="AG16685" s="19"/>
    </row>
    <row r="16686" spans="1:33" ht="14.5" x14ac:dyDescent="0.35">
      <c r="A16686" s="34"/>
      <c r="B16686" s="35"/>
      <c r="C16686" s="36"/>
      <c r="D16686" s="37"/>
      <c r="E16686" s="36"/>
      <c r="F16686" s="42"/>
      <c r="G16686" s="42"/>
      <c r="H16686" s="42"/>
      <c r="AG16686" s="19"/>
    </row>
    <row r="16687" spans="1:33" ht="14.5" x14ac:dyDescent="0.35">
      <c r="A16687" s="34"/>
      <c r="B16687" s="35"/>
      <c r="C16687" s="36"/>
      <c r="D16687" s="37"/>
      <c r="E16687" s="36"/>
      <c r="F16687" s="42"/>
      <c r="G16687" s="42"/>
      <c r="H16687" s="42"/>
      <c r="AG16687" s="19"/>
    </row>
    <row r="16688" spans="1:33" ht="14.5" x14ac:dyDescent="0.35">
      <c r="A16688" s="34"/>
      <c r="B16688" s="35"/>
      <c r="C16688" s="36"/>
      <c r="D16688" s="37"/>
      <c r="E16688" s="36"/>
      <c r="F16688" s="42"/>
      <c r="G16688" s="42"/>
      <c r="H16688" s="42"/>
      <c r="AG16688" s="19"/>
    </row>
    <row r="16689" spans="1:33" ht="14.5" x14ac:dyDescent="0.35">
      <c r="A16689" s="34"/>
      <c r="B16689" s="35"/>
      <c r="C16689" s="36"/>
      <c r="D16689" s="37"/>
      <c r="E16689" s="36"/>
      <c r="F16689" s="42"/>
      <c r="G16689" s="42"/>
      <c r="H16689" s="42"/>
      <c r="AG16689" s="19"/>
    </row>
    <row r="16690" spans="1:33" ht="14.5" x14ac:dyDescent="0.35">
      <c r="A16690" s="34"/>
      <c r="B16690" s="35"/>
      <c r="C16690" s="36"/>
      <c r="D16690" s="37"/>
      <c r="E16690" s="36"/>
      <c r="F16690" s="42"/>
      <c r="G16690" s="42"/>
      <c r="H16690" s="42"/>
      <c r="AG16690" s="19"/>
    </row>
    <row r="16691" spans="1:33" ht="14.5" x14ac:dyDescent="0.35">
      <c r="A16691" s="34"/>
      <c r="B16691" s="35"/>
      <c r="C16691" s="36"/>
      <c r="D16691" s="37"/>
      <c r="E16691" s="36"/>
      <c r="F16691" s="42"/>
      <c r="G16691" s="42"/>
      <c r="H16691" s="42"/>
      <c r="AG16691" s="19"/>
    </row>
    <row r="16692" spans="1:33" ht="14.5" x14ac:dyDescent="0.35">
      <c r="A16692" s="34"/>
      <c r="B16692" s="35"/>
      <c r="C16692" s="36"/>
      <c r="D16692" s="37"/>
      <c r="E16692" s="36"/>
      <c r="F16692" s="42"/>
      <c r="G16692" s="42"/>
      <c r="H16692" s="42"/>
      <c r="AG16692" s="19"/>
    </row>
    <row r="16693" spans="1:33" ht="14.5" x14ac:dyDescent="0.35">
      <c r="A16693" s="34"/>
      <c r="B16693" s="35"/>
      <c r="C16693" s="36"/>
      <c r="D16693" s="37"/>
      <c r="E16693" s="36"/>
      <c r="F16693" s="42"/>
      <c r="G16693" s="42"/>
      <c r="H16693" s="42"/>
      <c r="AG16693" s="19"/>
    </row>
    <row r="16694" spans="1:33" ht="14.5" x14ac:dyDescent="0.35">
      <c r="A16694" s="34"/>
      <c r="B16694" s="35"/>
      <c r="C16694" s="36"/>
      <c r="D16694" s="37"/>
      <c r="E16694" s="36"/>
      <c r="F16694" s="42"/>
      <c r="G16694" s="42"/>
      <c r="H16694" s="42"/>
      <c r="AG16694" s="19"/>
    </row>
    <row r="16695" spans="1:33" ht="14.5" x14ac:dyDescent="0.35">
      <c r="A16695" s="34"/>
      <c r="B16695" s="35"/>
      <c r="C16695" s="36"/>
      <c r="D16695" s="37"/>
      <c r="E16695" s="36"/>
      <c r="F16695" s="42"/>
      <c r="G16695" s="42"/>
      <c r="H16695" s="42"/>
      <c r="AG16695" s="19"/>
    </row>
    <row r="16696" spans="1:33" ht="14.5" x14ac:dyDescent="0.35">
      <c r="A16696" s="34"/>
      <c r="B16696" s="35"/>
      <c r="C16696" s="36"/>
      <c r="D16696" s="37"/>
      <c r="E16696" s="36"/>
      <c r="F16696" s="42"/>
      <c r="G16696" s="42"/>
      <c r="H16696" s="42"/>
      <c r="AG16696" s="19"/>
    </row>
    <row r="16697" spans="1:33" ht="14.5" x14ac:dyDescent="0.35">
      <c r="A16697" s="34"/>
      <c r="B16697" s="35"/>
      <c r="C16697" s="36"/>
      <c r="D16697" s="37"/>
      <c r="E16697" s="36"/>
      <c r="F16697" s="42"/>
      <c r="G16697" s="42"/>
      <c r="H16697" s="42"/>
      <c r="AG16697" s="19"/>
    </row>
    <row r="16698" spans="1:33" ht="14.5" x14ac:dyDescent="0.35">
      <c r="A16698" s="34"/>
      <c r="B16698" s="35"/>
      <c r="C16698" s="36"/>
      <c r="D16698" s="37"/>
      <c r="E16698" s="36"/>
      <c r="F16698" s="42"/>
      <c r="G16698" s="42"/>
      <c r="H16698" s="42"/>
      <c r="AG16698" s="19"/>
    </row>
    <row r="16699" spans="1:33" ht="14.5" x14ac:dyDescent="0.35">
      <c r="A16699" s="34"/>
      <c r="B16699" s="35"/>
      <c r="C16699" s="36"/>
      <c r="D16699" s="37"/>
      <c r="E16699" s="36"/>
      <c r="F16699" s="42"/>
      <c r="G16699" s="42"/>
      <c r="H16699" s="42"/>
      <c r="AG16699" s="19"/>
    </row>
    <row r="16700" spans="1:33" ht="14.5" x14ac:dyDescent="0.35">
      <c r="A16700" s="34"/>
      <c r="B16700" s="35"/>
      <c r="C16700" s="36"/>
      <c r="D16700" s="37"/>
      <c r="E16700" s="36"/>
      <c r="F16700" s="42"/>
      <c r="G16700" s="42"/>
      <c r="H16700" s="42"/>
      <c r="AG16700" s="19"/>
    </row>
    <row r="16701" spans="1:33" ht="14.5" x14ac:dyDescent="0.35">
      <c r="A16701" s="34"/>
      <c r="B16701" s="35"/>
      <c r="C16701" s="36"/>
      <c r="D16701" s="37"/>
      <c r="E16701" s="36"/>
      <c r="F16701" s="42"/>
      <c r="G16701" s="42"/>
      <c r="H16701" s="42"/>
      <c r="AG16701" s="19"/>
    </row>
    <row r="16702" spans="1:33" ht="14.5" x14ac:dyDescent="0.35">
      <c r="A16702" s="34"/>
      <c r="B16702" s="35"/>
      <c r="C16702" s="36"/>
      <c r="D16702" s="37"/>
      <c r="E16702" s="36"/>
      <c r="F16702" s="42"/>
      <c r="G16702" s="42"/>
      <c r="H16702" s="42"/>
      <c r="AG16702" s="19"/>
    </row>
    <row r="16703" spans="1:33" ht="14.5" x14ac:dyDescent="0.35">
      <c r="A16703" s="34"/>
      <c r="B16703" s="35"/>
      <c r="C16703" s="36"/>
      <c r="D16703" s="37"/>
      <c r="E16703" s="36"/>
      <c r="F16703" s="42"/>
      <c r="G16703" s="42"/>
      <c r="H16703" s="42"/>
      <c r="AG16703" s="19"/>
    </row>
    <row r="16704" spans="1:33" ht="14.5" x14ac:dyDescent="0.35">
      <c r="A16704" s="34"/>
      <c r="B16704" s="35"/>
      <c r="C16704" s="36"/>
      <c r="D16704" s="37"/>
      <c r="E16704" s="36"/>
      <c r="F16704" s="42"/>
      <c r="G16704" s="42"/>
      <c r="H16704" s="42"/>
      <c r="AG16704" s="19"/>
    </row>
    <row r="16705" spans="1:33" ht="14.5" x14ac:dyDescent="0.35">
      <c r="A16705" s="34"/>
      <c r="B16705" s="35"/>
      <c r="C16705" s="36"/>
      <c r="D16705" s="37"/>
      <c r="E16705" s="36"/>
      <c r="F16705" s="42"/>
      <c r="G16705" s="42"/>
      <c r="H16705" s="42"/>
      <c r="AG16705" s="19"/>
    </row>
    <row r="16706" spans="1:33" ht="14.5" x14ac:dyDescent="0.35">
      <c r="A16706" s="34"/>
      <c r="B16706" s="35"/>
      <c r="C16706" s="36"/>
      <c r="D16706" s="37"/>
      <c r="E16706" s="36"/>
      <c r="F16706" s="42"/>
      <c r="G16706" s="42"/>
      <c r="H16706" s="42"/>
      <c r="AG16706" s="19"/>
    </row>
    <row r="16707" spans="1:33" ht="14.5" x14ac:dyDescent="0.35">
      <c r="A16707" s="34"/>
      <c r="B16707" s="35"/>
      <c r="C16707" s="36"/>
      <c r="D16707" s="37"/>
      <c r="E16707" s="36"/>
      <c r="F16707" s="42"/>
      <c r="G16707" s="42"/>
      <c r="H16707" s="42"/>
      <c r="AG16707" s="19"/>
    </row>
    <row r="16708" spans="1:33" ht="14.5" x14ac:dyDescent="0.35">
      <c r="A16708" s="34"/>
      <c r="B16708" s="35"/>
      <c r="C16708" s="36"/>
      <c r="D16708" s="37"/>
      <c r="E16708" s="36"/>
      <c r="F16708" s="42"/>
      <c r="G16708" s="42"/>
      <c r="H16708" s="42"/>
      <c r="AG16708" s="19"/>
    </row>
    <row r="16709" spans="1:33" ht="14.5" x14ac:dyDescent="0.35">
      <c r="A16709" s="34"/>
      <c r="B16709" s="35"/>
      <c r="C16709" s="36"/>
      <c r="D16709" s="37"/>
      <c r="E16709" s="36"/>
      <c r="F16709" s="42"/>
      <c r="G16709" s="42"/>
      <c r="H16709" s="42"/>
      <c r="AG16709" s="19"/>
    </row>
    <row r="16710" spans="1:33" ht="14.5" x14ac:dyDescent="0.35">
      <c r="A16710" s="34"/>
      <c r="B16710" s="35"/>
      <c r="C16710" s="36"/>
      <c r="D16710" s="37"/>
      <c r="E16710" s="36"/>
      <c r="F16710" s="42"/>
      <c r="G16710" s="42"/>
      <c r="H16710" s="42"/>
      <c r="AG16710" s="19"/>
    </row>
    <row r="16711" spans="1:33" ht="14.5" x14ac:dyDescent="0.35">
      <c r="A16711" s="34"/>
      <c r="B16711" s="35"/>
      <c r="C16711" s="36"/>
      <c r="D16711" s="37"/>
      <c r="E16711" s="36"/>
      <c r="F16711" s="42"/>
      <c r="G16711" s="42"/>
      <c r="H16711" s="42"/>
      <c r="AG16711" s="19"/>
    </row>
    <row r="16712" spans="1:33" ht="14.5" x14ac:dyDescent="0.35">
      <c r="A16712" s="34"/>
      <c r="B16712" s="35"/>
      <c r="C16712" s="36"/>
      <c r="D16712" s="37"/>
      <c r="E16712" s="36"/>
      <c r="F16712" s="42"/>
      <c r="G16712" s="42"/>
      <c r="H16712" s="42"/>
      <c r="AG16712" s="19"/>
    </row>
    <row r="16713" spans="1:33" ht="14.5" x14ac:dyDescent="0.35">
      <c r="A16713" s="34"/>
      <c r="B16713" s="35"/>
      <c r="C16713" s="36"/>
      <c r="D16713" s="37"/>
      <c r="E16713" s="36"/>
      <c r="F16713" s="42"/>
      <c r="G16713" s="42"/>
      <c r="H16713" s="42"/>
      <c r="AG16713" s="19"/>
    </row>
    <row r="16714" spans="1:33" ht="14.5" x14ac:dyDescent="0.35">
      <c r="A16714" s="34"/>
      <c r="B16714" s="35"/>
      <c r="C16714" s="36"/>
      <c r="D16714" s="37"/>
      <c r="E16714" s="36"/>
      <c r="F16714" s="42"/>
      <c r="G16714" s="42"/>
      <c r="H16714" s="42"/>
      <c r="AG16714" s="19"/>
    </row>
    <row r="16715" spans="1:33" ht="14.5" x14ac:dyDescent="0.35">
      <c r="A16715" s="34"/>
      <c r="B16715" s="35"/>
      <c r="C16715" s="36"/>
      <c r="D16715" s="37"/>
      <c r="E16715" s="36"/>
      <c r="F16715" s="42"/>
      <c r="G16715" s="42"/>
      <c r="H16715" s="42"/>
      <c r="AG16715" s="19"/>
    </row>
    <row r="16716" spans="1:33" ht="14.5" x14ac:dyDescent="0.35">
      <c r="A16716" s="34"/>
      <c r="B16716" s="35"/>
      <c r="C16716" s="36"/>
      <c r="D16716" s="37"/>
      <c r="E16716" s="36"/>
      <c r="F16716" s="42"/>
      <c r="G16716" s="42"/>
      <c r="H16716" s="42"/>
      <c r="AG16716" s="19"/>
    </row>
    <row r="16717" spans="1:33" ht="14.5" x14ac:dyDescent="0.35">
      <c r="A16717" s="34"/>
      <c r="B16717" s="35"/>
      <c r="C16717" s="36"/>
      <c r="D16717" s="37"/>
      <c r="E16717" s="36"/>
      <c r="F16717" s="42"/>
      <c r="G16717" s="42"/>
      <c r="H16717" s="42"/>
      <c r="AG16717" s="19"/>
    </row>
    <row r="16718" spans="1:33" ht="14.5" x14ac:dyDescent="0.35">
      <c r="A16718" s="34"/>
      <c r="B16718" s="35"/>
      <c r="C16718" s="36"/>
      <c r="D16718" s="37"/>
      <c r="E16718" s="36"/>
      <c r="F16718" s="42"/>
      <c r="G16718" s="42"/>
      <c r="H16718" s="42"/>
      <c r="AG16718" s="19"/>
    </row>
    <row r="16719" spans="1:33" ht="14.5" x14ac:dyDescent="0.35">
      <c r="A16719" s="34"/>
      <c r="B16719" s="35"/>
      <c r="C16719" s="36"/>
      <c r="D16719" s="37"/>
      <c r="E16719" s="36"/>
      <c r="F16719" s="42"/>
      <c r="G16719" s="42"/>
      <c r="H16719" s="42"/>
      <c r="AG16719" s="19"/>
    </row>
    <row r="16720" spans="1:33" ht="14.5" x14ac:dyDescent="0.35">
      <c r="A16720" s="34"/>
      <c r="B16720" s="35"/>
      <c r="C16720" s="36"/>
      <c r="D16720" s="37"/>
      <c r="E16720" s="36"/>
      <c r="F16720" s="42"/>
      <c r="G16720" s="42"/>
      <c r="H16720" s="42"/>
      <c r="AG16720" s="19"/>
    </row>
    <row r="16721" spans="1:33" ht="14.5" x14ac:dyDescent="0.35">
      <c r="A16721" s="34"/>
      <c r="B16721" s="35"/>
      <c r="C16721" s="36"/>
      <c r="D16721" s="37"/>
      <c r="E16721" s="36"/>
      <c r="F16721" s="42"/>
      <c r="G16721" s="42"/>
      <c r="H16721" s="42"/>
      <c r="AG16721" s="19"/>
    </row>
    <row r="16722" spans="1:33" ht="14.5" x14ac:dyDescent="0.35">
      <c r="A16722" s="34"/>
      <c r="B16722" s="35"/>
      <c r="C16722" s="36"/>
      <c r="D16722" s="37"/>
      <c r="E16722" s="36"/>
      <c r="F16722" s="42"/>
      <c r="G16722" s="42"/>
      <c r="H16722" s="42"/>
      <c r="AG16722" s="19"/>
    </row>
    <row r="16723" spans="1:33" ht="14.5" x14ac:dyDescent="0.35">
      <c r="A16723" s="34"/>
      <c r="B16723" s="35"/>
      <c r="C16723" s="36"/>
      <c r="D16723" s="37"/>
      <c r="E16723" s="36"/>
      <c r="F16723" s="42"/>
      <c r="G16723" s="42"/>
      <c r="H16723" s="42"/>
      <c r="AG16723" s="19"/>
    </row>
    <row r="16724" spans="1:33" ht="14.5" x14ac:dyDescent="0.35">
      <c r="A16724" s="34"/>
      <c r="B16724" s="35"/>
      <c r="C16724" s="36"/>
      <c r="D16724" s="37"/>
      <c r="E16724" s="36"/>
      <c r="F16724" s="42"/>
      <c r="G16724" s="42"/>
      <c r="H16724" s="42"/>
      <c r="AG16724" s="19"/>
    </row>
    <row r="16725" spans="1:33" ht="14.5" x14ac:dyDescent="0.35">
      <c r="A16725" s="34"/>
      <c r="B16725" s="35"/>
      <c r="C16725" s="36"/>
      <c r="D16725" s="37"/>
      <c r="E16725" s="36"/>
      <c r="F16725" s="42"/>
      <c r="G16725" s="42"/>
      <c r="H16725" s="42"/>
      <c r="AG16725" s="19"/>
    </row>
    <row r="16726" spans="1:33" ht="14.5" x14ac:dyDescent="0.35">
      <c r="A16726" s="34"/>
      <c r="B16726" s="35"/>
      <c r="C16726" s="36"/>
      <c r="D16726" s="37"/>
      <c r="E16726" s="36"/>
      <c r="F16726" s="42"/>
      <c r="G16726" s="42"/>
      <c r="H16726" s="42"/>
      <c r="AG16726" s="19"/>
    </row>
    <row r="16727" spans="1:33" ht="14.5" x14ac:dyDescent="0.35">
      <c r="A16727" s="34"/>
      <c r="B16727" s="35"/>
      <c r="C16727" s="36"/>
      <c r="D16727" s="37"/>
      <c r="E16727" s="36"/>
      <c r="F16727" s="42"/>
      <c r="G16727" s="42"/>
      <c r="H16727" s="42"/>
      <c r="AG16727" s="19"/>
    </row>
    <row r="16728" spans="1:33" ht="14.5" x14ac:dyDescent="0.35">
      <c r="A16728" s="34"/>
      <c r="B16728" s="35"/>
      <c r="C16728" s="36"/>
      <c r="D16728" s="37"/>
      <c r="E16728" s="36"/>
      <c r="F16728" s="42"/>
      <c r="G16728" s="42"/>
      <c r="H16728" s="42"/>
      <c r="AG16728" s="19"/>
    </row>
    <row r="16729" spans="1:33" ht="14.5" x14ac:dyDescent="0.35">
      <c r="A16729" s="34"/>
      <c r="B16729" s="35"/>
      <c r="C16729" s="36"/>
      <c r="D16729" s="37"/>
      <c r="E16729" s="36"/>
      <c r="F16729" s="42"/>
      <c r="G16729" s="42"/>
      <c r="H16729" s="42"/>
      <c r="AG16729" s="19"/>
    </row>
    <row r="16730" spans="1:33" ht="14.5" x14ac:dyDescent="0.35">
      <c r="A16730" s="34"/>
      <c r="B16730" s="35"/>
      <c r="C16730" s="36"/>
      <c r="D16730" s="37"/>
      <c r="E16730" s="36"/>
      <c r="F16730" s="42"/>
      <c r="G16730" s="42"/>
      <c r="H16730" s="42"/>
      <c r="AG16730" s="19"/>
    </row>
    <row r="16731" spans="1:33" ht="14.5" x14ac:dyDescent="0.35">
      <c r="A16731" s="34"/>
      <c r="B16731" s="35"/>
      <c r="C16731" s="36"/>
      <c r="D16731" s="37"/>
      <c r="E16731" s="36"/>
      <c r="F16731" s="42"/>
      <c r="G16731" s="42"/>
      <c r="H16731" s="42"/>
      <c r="AG16731" s="19"/>
    </row>
    <row r="16732" spans="1:33" ht="14.5" x14ac:dyDescent="0.35">
      <c r="A16732" s="34"/>
      <c r="B16732" s="35"/>
      <c r="C16732" s="36"/>
      <c r="D16732" s="37"/>
      <c r="E16732" s="36"/>
      <c r="F16732" s="42"/>
      <c r="G16732" s="42"/>
      <c r="H16732" s="42"/>
      <c r="AG16732" s="19"/>
    </row>
    <row r="16733" spans="1:33" ht="14.5" x14ac:dyDescent="0.35">
      <c r="A16733" s="34"/>
      <c r="B16733" s="35"/>
      <c r="C16733" s="36"/>
      <c r="D16733" s="37"/>
      <c r="E16733" s="36"/>
      <c r="F16733" s="42"/>
      <c r="G16733" s="42"/>
      <c r="H16733" s="42"/>
      <c r="AG16733" s="19"/>
    </row>
    <row r="16734" spans="1:33" ht="14.5" x14ac:dyDescent="0.35">
      <c r="A16734" s="34"/>
      <c r="B16734" s="35"/>
      <c r="C16734" s="36"/>
      <c r="D16734" s="37"/>
      <c r="E16734" s="36"/>
      <c r="F16734" s="42"/>
      <c r="G16734" s="42"/>
      <c r="H16734" s="42"/>
      <c r="AG16734" s="19"/>
    </row>
    <row r="16735" spans="1:33" ht="14.5" x14ac:dyDescent="0.35">
      <c r="A16735" s="34"/>
      <c r="B16735" s="35"/>
      <c r="C16735" s="36"/>
      <c r="D16735" s="37"/>
      <c r="E16735" s="36"/>
      <c r="F16735" s="42"/>
      <c r="G16735" s="42"/>
      <c r="H16735" s="42"/>
      <c r="AG16735" s="19"/>
    </row>
    <row r="16736" spans="1:33" ht="14.5" x14ac:dyDescent="0.35">
      <c r="A16736" s="34"/>
      <c r="B16736" s="35"/>
      <c r="C16736" s="36"/>
      <c r="D16736" s="37"/>
      <c r="E16736" s="36"/>
      <c r="F16736" s="42"/>
      <c r="G16736" s="42"/>
      <c r="H16736" s="42"/>
      <c r="AG16736" s="19"/>
    </row>
    <row r="16737" spans="1:33" ht="14.5" x14ac:dyDescent="0.35">
      <c r="A16737" s="34"/>
      <c r="B16737" s="35"/>
      <c r="C16737" s="36"/>
      <c r="D16737" s="37"/>
      <c r="E16737" s="36"/>
      <c r="F16737" s="42"/>
      <c r="G16737" s="42"/>
      <c r="H16737" s="42"/>
      <c r="AG16737" s="19"/>
    </row>
    <row r="16738" spans="1:33" ht="14.5" x14ac:dyDescent="0.35">
      <c r="A16738" s="34"/>
      <c r="B16738" s="35"/>
      <c r="C16738" s="36"/>
      <c r="D16738" s="37"/>
      <c r="E16738" s="36"/>
      <c r="F16738" s="42"/>
      <c r="G16738" s="42"/>
      <c r="H16738" s="42"/>
      <c r="AG16738" s="19"/>
    </row>
    <row r="16739" spans="1:33" ht="14.5" x14ac:dyDescent="0.35">
      <c r="A16739" s="34"/>
      <c r="B16739" s="35"/>
      <c r="C16739" s="36"/>
      <c r="D16739" s="37"/>
      <c r="E16739" s="36"/>
      <c r="F16739" s="42"/>
      <c r="G16739" s="42"/>
      <c r="H16739" s="42"/>
      <c r="AG16739" s="19"/>
    </row>
    <row r="16740" spans="1:33" ht="14.5" x14ac:dyDescent="0.35">
      <c r="A16740" s="34"/>
      <c r="B16740" s="35"/>
      <c r="C16740" s="36"/>
      <c r="D16740" s="37"/>
      <c r="E16740" s="36"/>
      <c r="F16740" s="42"/>
      <c r="G16740" s="42"/>
      <c r="H16740" s="42"/>
      <c r="AG16740" s="19"/>
    </row>
    <row r="16741" spans="1:33" ht="14.5" x14ac:dyDescent="0.35">
      <c r="A16741" s="34"/>
      <c r="B16741" s="35"/>
      <c r="C16741" s="36"/>
      <c r="D16741" s="37"/>
      <c r="E16741" s="36"/>
      <c r="F16741" s="42"/>
      <c r="G16741" s="42"/>
      <c r="H16741" s="42"/>
      <c r="AG16741" s="19"/>
    </row>
    <row r="16742" spans="1:33" ht="14.5" x14ac:dyDescent="0.35">
      <c r="A16742" s="34"/>
      <c r="B16742" s="35"/>
      <c r="C16742" s="36"/>
      <c r="D16742" s="37"/>
      <c r="E16742" s="36"/>
      <c r="F16742" s="42"/>
      <c r="G16742" s="42"/>
      <c r="H16742" s="42"/>
      <c r="AG16742" s="19"/>
    </row>
    <row r="16743" spans="1:33" ht="14.5" x14ac:dyDescent="0.35">
      <c r="A16743" s="34"/>
      <c r="B16743" s="35"/>
      <c r="C16743" s="36"/>
      <c r="D16743" s="37"/>
      <c r="E16743" s="36"/>
      <c r="F16743" s="42"/>
      <c r="G16743" s="42"/>
      <c r="H16743" s="42"/>
      <c r="AG16743" s="19"/>
    </row>
    <row r="16744" spans="1:33" ht="14.5" x14ac:dyDescent="0.35">
      <c r="A16744" s="34"/>
      <c r="B16744" s="35"/>
      <c r="C16744" s="36"/>
      <c r="D16744" s="37"/>
      <c r="E16744" s="36"/>
      <c r="F16744" s="42"/>
      <c r="G16744" s="42"/>
      <c r="H16744" s="42"/>
      <c r="AG16744" s="19"/>
    </row>
    <row r="16745" spans="1:33" ht="14.5" x14ac:dyDescent="0.35">
      <c r="A16745" s="34"/>
      <c r="B16745" s="35"/>
      <c r="C16745" s="36"/>
      <c r="D16745" s="37"/>
      <c r="E16745" s="36"/>
      <c r="F16745" s="42"/>
      <c r="G16745" s="42"/>
      <c r="H16745" s="42"/>
      <c r="AG16745" s="19"/>
    </row>
    <row r="16746" spans="1:33" ht="14.5" x14ac:dyDescent="0.35">
      <c r="A16746" s="34"/>
      <c r="B16746" s="35"/>
      <c r="C16746" s="36"/>
      <c r="D16746" s="37"/>
      <c r="E16746" s="36"/>
      <c r="F16746" s="42"/>
      <c r="G16746" s="42"/>
      <c r="H16746" s="42"/>
      <c r="AG16746" s="19"/>
    </row>
    <row r="16747" spans="1:33" ht="14.5" x14ac:dyDescent="0.35">
      <c r="A16747" s="34"/>
      <c r="B16747" s="35"/>
      <c r="C16747" s="36"/>
      <c r="D16747" s="37"/>
      <c r="E16747" s="36"/>
      <c r="F16747" s="42"/>
      <c r="G16747" s="42"/>
      <c r="H16747" s="42"/>
      <c r="AG16747" s="19"/>
    </row>
    <row r="16748" spans="1:33" ht="14.5" x14ac:dyDescent="0.35">
      <c r="A16748" s="34"/>
      <c r="B16748" s="35"/>
      <c r="C16748" s="36"/>
      <c r="D16748" s="37"/>
      <c r="E16748" s="36"/>
      <c r="F16748" s="42"/>
      <c r="G16748" s="42"/>
      <c r="H16748" s="42"/>
      <c r="AG16748" s="19"/>
    </row>
    <row r="16749" spans="1:33" ht="14.5" x14ac:dyDescent="0.35">
      <c r="A16749" s="34"/>
      <c r="B16749" s="35"/>
      <c r="C16749" s="36"/>
      <c r="D16749" s="37"/>
      <c r="E16749" s="36"/>
      <c r="F16749" s="42"/>
      <c r="G16749" s="42"/>
      <c r="H16749" s="42"/>
      <c r="AG16749" s="19"/>
    </row>
    <row r="16750" spans="1:33" ht="14.5" x14ac:dyDescent="0.35">
      <c r="A16750" s="34"/>
      <c r="B16750" s="35"/>
      <c r="C16750" s="36"/>
      <c r="D16750" s="37"/>
      <c r="E16750" s="36"/>
      <c r="F16750" s="42"/>
      <c r="G16750" s="42"/>
      <c r="H16750" s="42"/>
      <c r="AG16750" s="19"/>
    </row>
    <row r="16751" spans="1:33" ht="14.5" x14ac:dyDescent="0.35">
      <c r="A16751" s="34"/>
      <c r="B16751" s="35"/>
      <c r="C16751" s="36"/>
      <c r="D16751" s="37"/>
      <c r="E16751" s="36"/>
      <c r="F16751" s="42"/>
      <c r="G16751" s="42"/>
      <c r="H16751" s="42"/>
      <c r="AG16751" s="19"/>
    </row>
    <row r="16752" spans="1:33" ht="14.5" x14ac:dyDescent="0.35">
      <c r="A16752" s="34"/>
      <c r="B16752" s="35"/>
      <c r="C16752" s="36"/>
      <c r="D16752" s="37"/>
      <c r="E16752" s="36"/>
      <c r="F16752" s="42"/>
      <c r="G16752" s="42"/>
      <c r="H16752" s="42"/>
      <c r="AG16752" s="19"/>
    </row>
    <row r="16753" spans="1:33" ht="14.5" x14ac:dyDescent="0.35">
      <c r="A16753" s="34"/>
      <c r="B16753" s="35"/>
      <c r="C16753" s="36"/>
      <c r="D16753" s="37"/>
      <c r="E16753" s="36"/>
      <c r="F16753" s="42"/>
      <c r="G16753" s="42"/>
      <c r="H16753" s="42"/>
      <c r="AG16753" s="19"/>
    </row>
    <row r="16754" spans="1:33" ht="14.5" x14ac:dyDescent="0.35">
      <c r="A16754" s="34"/>
      <c r="B16754" s="35"/>
      <c r="C16754" s="36"/>
      <c r="D16754" s="37"/>
      <c r="E16754" s="36"/>
      <c r="F16754" s="42"/>
      <c r="G16754" s="42"/>
      <c r="H16754" s="42"/>
      <c r="AG16754" s="19"/>
    </row>
    <row r="16755" spans="1:33" ht="14.5" x14ac:dyDescent="0.35">
      <c r="A16755" s="34"/>
      <c r="B16755" s="35"/>
      <c r="C16755" s="36"/>
      <c r="D16755" s="37"/>
      <c r="E16755" s="36"/>
      <c r="F16755" s="42"/>
      <c r="G16755" s="42"/>
      <c r="H16755" s="42"/>
      <c r="AG16755" s="19"/>
    </row>
    <row r="16756" spans="1:33" ht="14.5" x14ac:dyDescent="0.35">
      <c r="A16756" s="34"/>
      <c r="B16756" s="35"/>
      <c r="C16756" s="36"/>
      <c r="D16756" s="37"/>
      <c r="E16756" s="36"/>
      <c r="F16756" s="42"/>
      <c r="G16756" s="42"/>
      <c r="H16756" s="42"/>
      <c r="AG16756" s="19"/>
    </row>
    <row r="16757" spans="1:33" ht="14.5" x14ac:dyDescent="0.35">
      <c r="A16757" s="34"/>
      <c r="B16757" s="35"/>
      <c r="C16757" s="36"/>
      <c r="D16757" s="37"/>
      <c r="E16757" s="36"/>
      <c r="F16757" s="42"/>
      <c r="G16757" s="42"/>
      <c r="H16757" s="42"/>
      <c r="AG16757" s="19"/>
    </row>
    <row r="16758" spans="1:33" ht="14.5" x14ac:dyDescent="0.35">
      <c r="A16758" s="34"/>
      <c r="B16758" s="35"/>
      <c r="C16758" s="36"/>
      <c r="D16758" s="37"/>
      <c r="E16758" s="36"/>
      <c r="F16758" s="42"/>
      <c r="G16758" s="42"/>
      <c r="H16758" s="42"/>
      <c r="AG16758" s="19"/>
    </row>
    <row r="16759" spans="1:33" ht="14.5" x14ac:dyDescent="0.35">
      <c r="A16759" s="34"/>
      <c r="B16759" s="35"/>
      <c r="C16759" s="36"/>
      <c r="D16759" s="37"/>
      <c r="E16759" s="36"/>
      <c r="F16759" s="42"/>
      <c r="G16759" s="42"/>
      <c r="H16759" s="42"/>
      <c r="AG16759" s="19"/>
    </row>
    <row r="16760" spans="1:33" ht="14.5" x14ac:dyDescent="0.35">
      <c r="A16760" s="34"/>
      <c r="B16760" s="35"/>
      <c r="C16760" s="36"/>
      <c r="D16760" s="37"/>
      <c r="E16760" s="36"/>
      <c r="F16760" s="42"/>
      <c r="G16760" s="42"/>
      <c r="H16760" s="42"/>
      <c r="AG16760" s="19"/>
    </row>
    <row r="16761" spans="1:33" ht="14.5" x14ac:dyDescent="0.35">
      <c r="A16761" s="34"/>
      <c r="B16761" s="35"/>
      <c r="C16761" s="36"/>
      <c r="D16761" s="37"/>
      <c r="E16761" s="36"/>
      <c r="F16761" s="42"/>
      <c r="G16761" s="42"/>
      <c r="H16761" s="42"/>
      <c r="AG16761" s="19"/>
    </row>
    <row r="16762" spans="1:33" ht="14.5" x14ac:dyDescent="0.35">
      <c r="A16762" s="34"/>
      <c r="B16762" s="35"/>
      <c r="C16762" s="36"/>
      <c r="D16762" s="37"/>
      <c r="E16762" s="36"/>
      <c r="F16762" s="42"/>
      <c r="G16762" s="42"/>
      <c r="H16762" s="42"/>
      <c r="AG16762" s="19"/>
    </row>
    <row r="16763" spans="1:33" ht="14.5" x14ac:dyDescent="0.35">
      <c r="A16763" s="34"/>
      <c r="B16763" s="35"/>
      <c r="C16763" s="36"/>
      <c r="D16763" s="37"/>
      <c r="E16763" s="36"/>
      <c r="F16763" s="42"/>
      <c r="G16763" s="42"/>
      <c r="H16763" s="42"/>
      <c r="AG16763" s="19"/>
    </row>
    <row r="16764" spans="1:33" ht="14.5" x14ac:dyDescent="0.35">
      <c r="A16764" s="34"/>
      <c r="B16764" s="35"/>
      <c r="C16764" s="36"/>
      <c r="D16764" s="37"/>
      <c r="E16764" s="36"/>
      <c r="F16764" s="42"/>
      <c r="G16764" s="42"/>
      <c r="H16764" s="42"/>
      <c r="AG16764" s="19"/>
    </row>
    <row r="16765" spans="1:33" ht="14.5" x14ac:dyDescent="0.35">
      <c r="A16765" s="34"/>
      <c r="B16765" s="35"/>
      <c r="C16765" s="36"/>
      <c r="D16765" s="37"/>
      <c r="E16765" s="36"/>
      <c r="F16765" s="42"/>
      <c r="G16765" s="42"/>
      <c r="H16765" s="42"/>
      <c r="AG16765" s="19"/>
    </row>
    <row r="16766" spans="1:33" ht="14.5" x14ac:dyDescent="0.35">
      <c r="A16766" s="34"/>
      <c r="B16766" s="35"/>
      <c r="C16766" s="36"/>
      <c r="D16766" s="37"/>
      <c r="E16766" s="36"/>
      <c r="F16766" s="42"/>
      <c r="G16766" s="42"/>
      <c r="H16766" s="42"/>
      <c r="AG16766" s="19"/>
    </row>
    <row r="16767" spans="1:33" ht="14.5" x14ac:dyDescent="0.35">
      <c r="A16767" s="34"/>
      <c r="B16767" s="35"/>
      <c r="C16767" s="36"/>
      <c r="D16767" s="37"/>
      <c r="E16767" s="36"/>
      <c r="F16767" s="42"/>
      <c r="G16767" s="42"/>
      <c r="H16767" s="42"/>
      <c r="AG16767" s="19"/>
    </row>
    <row r="16768" spans="1:33" ht="14.5" x14ac:dyDescent="0.35">
      <c r="A16768" s="34"/>
      <c r="B16768" s="35"/>
      <c r="C16768" s="36"/>
      <c r="D16768" s="37"/>
      <c r="E16768" s="36"/>
      <c r="F16768" s="42"/>
      <c r="G16768" s="42"/>
      <c r="H16768" s="42"/>
      <c r="AG16768" s="19"/>
    </row>
    <row r="16769" spans="1:33" ht="14.5" x14ac:dyDescent="0.35">
      <c r="A16769" s="34"/>
      <c r="B16769" s="35"/>
      <c r="C16769" s="36"/>
      <c r="D16769" s="37"/>
      <c r="E16769" s="36"/>
      <c r="F16769" s="42"/>
      <c r="G16769" s="42"/>
      <c r="H16769" s="42"/>
      <c r="AG16769" s="19"/>
    </row>
    <row r="16770" spans="1:33" ht="14.5" x14ac:dyDescent="0.35">
      <c r="A16770" s="34"/>
      <c r="B16770" s="35"/>
      <c r="C16770" s="36"/>
      <c r="D16770" s="37"/>
      <c r="E16770" s="36"/>
      <c r="F16770" s="42"/>
      <c r="G16770" s="42"/>
      <c r="H16770" s="42"/>
      <c r="AG16770" s="19"/>
    </row>
    <row r="16771" spans="1:33" ht="14.5" x14ac:dyDescent="0.35">
      <c r="A16771" s="34"/>
      <c r="B16771" s="35"/>
      <c r="C16771" s="36"/>
      <c r="D16771" s="37"/>
      <c r="E16771" s="36"/>
      <c r="F16771" s="42"/>
      <c r="G16771" s="42"/>
      <c r="H16771" s="42"/>
      <c r="AG16771" s="19"/>
    </row>
    <row r="16772" spans="1:33" ht="14.5" x14ac:dyDescent="0.35">
      <c r="A16772" s="34"/>
      <c r="B16772" s="35"/>
      <c r="C16772" s="36"/>
      <c r="D16772" s="37"/>
      <c r="E16772" s="36"/>
      <c r="F16772" s="42"/>
      <c r="G16772" s="42"/>
      <c r="H16772" s="42"/>
      <c r="AG16772" s="19"/>
    </row>
    <row r="16773" spans="1:33" ht="14.5" x14ac:dyDescent="0.35">
      <c r="A16773" s="34"/>
      <c r="B16773" s="35"/>
      <c r="C16773" s="36"/>
      <c r="D16773" s="37"/>
      <c r="E16773" s="36"/>
      <c r="F16773" s="42"/>
      <c r="G16773" s="42"/>
      <c r="H16773" s="42"/>
      <c r="AG16773" s="19"/>
    </row>
    <row r="16774" spans="1:33" ht="14.5" x14ac:dyDescent="0.35">
      <c r="A16774" s="34"/>
      <c r="B16774" s="35"/>
      <c r="C16774" s="36"/>
      <c r="D16774" s="37"/>
      <c r="E16774" s="36"/>
      <c r="F16774" s="42"/>
      <c r="G16774" s="42"/>
      <c r="H16774" s="42"/>
      <c r="AG16774" s="19"/>
    </row>
    <row r="16775" spans="1:33" ht="14.5" x14ac:dyDescent="0.35">
      <c r="A16775" s="34"/>
      <c r="B16775" s="35"/>
      <c r="C16775" s="36"/>
      <c r="D16775" s="37"/>
      <c r="E16775" s="36"/>
      <c r="F16775" s="42"/>
      <c r="G16775" s="42"/>
      <c r="H16775" s="42"/>
      <c r="AG16775" s="19"/>
    </row>
    <row r="16776" spans="1:33" ht="14.5" x14ac:dyDescent="0.35">
      <c r="A16776" s="34"/>
      <c r="B16776" s="35"/>
      <c r="C16776" s="36"/>
      <c r="D16776" s="37"/>
      <c r="E16776" s="36"/>
      <c r="F16776" s="42"/>
      <c r="G16776" s="42"/>
      <c r="H16776" s="42"/>
      <c r="AG16776" s="19"/>
    </row>
    <row r="16777" spans="1:33" ht="14.5" x14ac:dyDescent="0.35">
      <c r="A16777" s="34"/>
      <c r="B16777" s="35"/>
      <c r="C16777" s="36"/>
      <c r="D16777" s="37"/>
      <c r="E16777" s="36"/>
      <c r="F16777" s="42"/>
      <c r="G16777" s="42"/>
      <c r="H16777" s="42"/>
      <c r="AG16777" s="19"/>
    </row>
    <row r="16778" spans="1:33" ht="14.5" x14ac:dyDescent="0.35">
      <c r="A16778" s="34"/>
      <c r="B16778" s="35"/>
      <c r="C16778" s="36"/>
      <c r="D16778" s="37"/>
      <c r="E16778" s="36"/>
      <c r="F16778" s="42"/>
      <c r="G16778" s="42"/>
      <c r="H16778" s="42"/>
      <c r="AG16778" s="19"/>
    </row>
    <row r="16779" spans="1:33" ht="14.5" x14ac:dyDescent="0.35">
      <c r="A16779" s="34"/>
      <c r="B16779" s="35"/>
      <c r="C16779" s="36"/>
      <c r="D16779" s="37"/>
      <c r="E16779" s="36"/>
      <c r="F16779" s="42"/>
      <c r="G16779" s="42"/>
      <c r="H16779" s="42"/>
      <c r="AG16779" s="19"/>
    </row>
    <row r="16780" spans="1:33" ht="14.5" x14ac:dyDescent="0.35">
      <c r="A16780" s="34"/>
      <c r="B16780" s="35"/>
      <c r="C16780" s="36"/>
      <c r="D16780" s="37"/>
      <c r="E16780" s="36"/>
      <c r="F16780" s="42"/>
      <c r="G16780" s="42"/>
      <c r="H16780" s="42"/>
      <c r="AG16780" s="19"/>
    </row>
    <row r="16781" spans="1:33" ht="14.5" x14ac:dyDescent="0.35">
      <c r="A16781" s="34"/>
      <c r="B16781" s="35"/>
      <c r="C16781" s="36"/>
      <c r="D16781" s="37"/>
      <c r="E16781" s="36"/>
      <c r="F16781" s="42"/>
      <c r="G16781" s="42"/>
      <c r="H16781" s="42"/>
      <c r="AG16781" s="19"/>
    </row>
    <row r="16782" spans="1:33" ht="14.5" x14ac:dyDescent="0.35">
      <c r="A16782" s="34"/>
      <c r="B16782" s="35"/>
      <c r="C16782" s="36"/>
      <c r="D16782" s="37"/>
      <c r="E16782" s="36"/>
      <c r="F16782" s="42"/>
      <c r="G16782" s="42"/>
      <c r="H16782" s="42"/>
      <c r="AG16782" s="19"/>
    </row>
    <row r="16783" spans="1:33" ht="14.5" x14ac:dyDescent="0.35">
      <c r="A16783" s="34"/>
      <c r="B16783" s="35"/>
      <c r="C16783" s="36"/>
      <c r="D16783" s="37"/>
      <c r="E16783" s="36"/>
      <c r="F16783" s="42"/>
      <c r="G16783" s="42"/>
      <c r="H16783" s="42"/>
      <c r="AG16783" s="19"/>
    </row>
    <row r="16784" spans="1:33" ht="14.5" x14ac:dyDescent="0.35">
      <c r="A16784" s="34"/>
      <c r="B16784" s="35"/>
      <c r="C16784" s="36"/>
      <c r="D16784" s="37"/>
      <c r="E16784" s="36"/>
      <c r="F16784" s="42"/>
      <c r="G16784" s="42"/>
      <c r="H16784" s="42"/>
      <c r="AG16784" s="19"/>
    </row>
    <row r="16785" spans="1:33" ht="14.5" x14ac:dyDescent="0.35">
      <c r="A16785" s="34"/>
      <c r="B16785" s="35"/>
      <c r="C16785" s="36"/>
      <c r="D16785" s="37"/>
      <c r="E16785" s="36"/>
      <c r="F16785" s="42"/>
      <c r="G16785" s="42"/>
      <c r="H16785" s="42"/>
      <c r="AG16785" s="19"/>
    </row>
    <row r="16786" spans="1:33" ht="14.5" x14ac:dyDescent="0.35">
      <c r="A16786" s="34"/>
      <c r="B16786" s="35"/>
      <c r="C16786" s="36"/>
      <c r="D16786" s="37"/>
      <c r="E16786" s="36"/>
      <c r="F16786" s="42"/>
      <c r="G16786" s="42"/>
      <c r="H16786" s="42"/>
      <c r="AG16786" s="19"/>
    </row>
    <row r="16787" spans="1:33" ht="14.5" x14ac:dyDescent="0.35">
      <c r="A16787" s="34"/>
      <c r="B16787" s="35"/>
      <c r="C16787" s="36"/>
      <c r="D16787" s="37"/>
      <c r="E16787" s="36"/>
      <c r="F16787" s="42"/>
      <c r="G16787" s="42"/>
      <c r="H16787" s="42"/>
      <c r="AG16787" s="19"/>
    </row>
    <row r="16788" spans="1:33" ht="14.5" x14ac:dyDescent="0.35">
      <c r="A16788" s="34"/>
      <c r="B16788" s="35"/>
      <c r="C16788" s="36"/>
      <c r="D16788" s="37"/>
      <c r="E16788" s="36"/>
      <c r="F16788" s="42"/>
      <c r="G16788" s="42"/>
      <c r="H16788" s="42"/>
      <c r="AG16788" s="19"/>
    </row>
    <row r="16789" spans="1:33" ht="14.5" x14ac:dyDescent="0.35">
      <c r="A16789" s="34"/>
      <c r="B16789" s="35"/>
      <c r="C16789" s="36"/>
      <c r="D16789" s="37"/>
      <c r="E16789" s="36"/>
      <c r="F16789" s="42"/>
      <c r="G16789" s="42"/>
      <c r="H16789" s="42"/>
      <c r="AG16789" s="19"/>
    </row>
    <row r="16790" spans="1:33" ht="14.5" x14ac:dyDescent="0.35">
      <c r="A16790" s="34"/>
      <c r="B16790" s="35"/>
      <c r="C16790" s="36"/>
      <c r="D16790" s="37"/>
      <c r="E16790" s="36"/>
      <c r="F16790" s="42"/>
      <c r="G16790" s="42"/>
      <c r="H16790" s="42"/>
      <c r="AG16790" s="19"/>
    </row>
    <row r="16791" spans="1:33" ht="14.5" x14ac:dyDescent="0.35">
      <c r="A16791" s="34"/>
      <c r="B16791" s="35"/>
      <c r="C16791" s="36"/>
      <c r="D16791" s="37"/>
      <c r="E16791" s="36"/>
      <c r="F16791" s="42"/>
      <c r="G16791" s="42"/>
      <c r="H16791" s="42"/>
      <c r="AG16791" s="19"/>
    </row>
    <row r="16792" spans="1:33" ht="14.5" x14ac:dyDescent="0.35">
      <c r="A16792" s="34"/>
      <c r="B16792" s="35"/>
      <c r="C16792" s="36"/>
      <c r="D16792" s="37"/>
      <c r="E16792" s="36"/>
      <c r="F16792" s="42"/>
      <c r="G16792" s="42"/>
      <c r="H16792" s="42"/>
      <c r="AG16792" s="19"/>
    </row>
    <row r="16793" spans="1:33" ht="14.5" x14ac:dyDescent="0.35">
      <c r="A16793" s="34"/>
      <c r="B16793" s="35"/>
      <c r="C16793" s="36"/>
      <c r="D16793" s="37"/>
      <c r="E16793" s="36"/>
      <c r="F16793" s="42"/>
      <c r="G16793" s="42"/>
      <c r="H16793" s="42"/>
      <c r="AG16793" s="19"/>
    </row>
    <row r="16794" spans="1:33" ht="14.5" x14ac:dyDescent="0.35">
      <c r="A16794" s="34"/>
      <c r="B16794" s="35"/>
      <c r="C16794" s="36"/>
      <c r="D16794" s="37"/>
      <c r="E16794" s="36"/>
      <c r="F16794" s="42"/>
      <c r="G16794" s="42"/>
      <c r="H16794" s="42"/>
      <c r="AG16794" s="19"/>
    </row>
    <row r="16795" spans="1:33" ht="14.5" x14ac:dyDescent="0.35">
      <c r="A16795" s="34"/>
      <c r="B16795" s="35"/>
      <c r="C16795" s="36"/>
      <c r="D16795" s="37"/>
      <c r="E16795" s="36"/>
      <c r="F16795" s="42"/>
      <c r="G16795" s="42"/>
      <c r="H16795" s="42"/>
      <c r="AG16795" s="19"/>
    </row>
    <row r="16796" spans="1:33" ht="14.5" x14ac:dyDescent="0.35">
      <c r="A16796" s="34"/>
      <c r="B16796" s="35"/>
      <c r="C16796" s="36"/>
      <c r="D16796" s="37"/>
      <c r="E16796" s="36"/>
      <c r="F16796" s="42"/>
      <c r="G16796" s="42"/>
      <c r="H16796" s="42"/>
      <c r="AG16796" s="19"/>
    </row>
    <row r="16797" spans="1:33" ht="14.5" x14ac:dyDescent="0.35">
      <c r="A16797" s="34"/>
      <c r="B16797" s="35"/>
      <c r="C16797" s="36"/>
      <c r="D16797" s="37"/>
      <c r="E16797" s="36"/>
      <c r="F16797" s="42"/>
      <c r="G16797" s="42"/>
      <c r="H16797" s="42"/>
      <c r="AG16797" s="19"/>
    </row>
    <row r="16798" spans="1:33" ht="14.5" x14ac:dyDescent="0.35">
      <c r="A16798" s="34"/>
      <c r="B16798" s="35"/>
      <c r="C16798" s="36"/>
      <c r="D16798" s="37"/>
      <c r="E16798" s="36"/>
      <c r="F16798" s="42"/>
      <c r="G16798" s="42"/>
      <c r="H16798" s="42"/>
      <c r="AG16798" s="19"/>
    </row>
    <row r="16799" spans="1:33" ht="14.5" x14ac:dyDescent="0.35">
      <c r="A16799" s="34"/>
      <c r="B16799" s="35"/>
      <c r="C16799" s="36"/>
      <c r="D16799" s="37"/>
      <c r="E16799" s="36"/>
      <c r="F16799" s="42"/>
      <c r="G16799" s="42"/>
      <c r="H16799" s="42"/>
      <c r="AG16799" s="19"/>
    </row>
    <row r="16800" spans="1:33" ht="14.5" x14ac:dyDescent="0.35">
      <c r="A16800" s="34"/>
      <c r="B16800" s="35"/>
      <c r="C16800" s="36"/>
      <c r="D16800" s="37"/>
      <c r="E16800" s="36"/>
      <c r="F16800" s="42"/>
      <c r="G16800" s="42"/>
      <c r="H16800" s="42"/>
      <c r="AG16800" s="19"/>
    </row>
    <row r="16801" spans="1:33" ht="14.5" x14ac:dyDescent="0.35">
      <c r="A16801" s="34"/>
      <c r="B16801" s="35"/>
      <c r="C16801" s="36"/>
      <c r="D16801" s="37"/>
      <c r="E16801" s="36"/>
      <c r="F16801" s="42"/>
      <c r="G16801" s="42"/>
      <c r="H16801" s="42"/>
      <c r="AG16801" s="19"/>
    </row>
    <row r="16802" spans="1:33" ht="14.5" x14ac:dyDescent="0.35">
      <c r="A16802" s="34"/>
      <c r="B16802" s="35"/>
      <c r="C16802" s="36"/>
      <c r="D16802" s="37"/>
      <c r="E16802" s="36"/>
      <c r="F16802" s="42"/>
      <c r="G16802" s="42"/>
      <c r="H16802" s="42"/>
      <c r="AG16802" s="19"/>
    </row>
    <row r="16803" spans="1:33" ht="14.5" x14ac:dyDescent="0.35">
      <c r="A16803" s="34"/>
      <c r="B16803" s="35"/>
      <c r="C16803" s="36"/>
      <c r="D16803" s="37"/>
      <c r="E16803" s="36"/>
      <c r="F16803" s="42"/>
      <c r="G16803" s="42"/>
      <c r="H16803" s="42"/>
      <c r="AG16803" s="19"/>
    </row>
    <row r="16804" spans="1:33" ht="14.5" x14ac:dyDescent="0.35">
      <c r="A16804" s="34"/>
      <c r="B16804" s="35"/>
      <c r="C16804" s="36"/>
      <c r="D16804" s="37"/>
      <c r="E16804" s="36"/>
      <c r="F16804" s="42"/>
      <c r="G16804" s="42"/>
      <c r="H16804" s="42"/>
      <c r="AG16804" s="19"/>
    </row>
    <row r="16805" spans="1:33" ht="14.5" x14ac:dyDescent="0.35">
      <c r="A16805" s="34"/>
      <c r="B16805" s="35"/>
      <c r="C16805" s="36"/>
      <c r="D16805" s="37"/>
      <c r="E16805" s="36"/>
      <c r="F16805" s="42"/>
      <c r="G16805" s="42"/>
      <c r="H16805" s="42"/>
      <c r="AG16805" s="19"/>
    </row>
    <row r="16806" spans="1:33" ht="14.5" x14ac:dyDescent="0.35">
      <c r="A16806" s="34"/>
      <c r="B16806" s="35"/>
      <c r="C16806" s="36"/>
      <c r="D16806" s="37"/>
      <c r="E16806" s="36"/>
      <c r="F16806" s="42"/>
      <c r="G16806" s="42"/>
      <c r="H16806" s="42"/>
      <c r="AG16806" s="19"/>
    </row>
    <row r="16807" spans="1:33" ht="14.5" x14ac:dyDescent="0.35">
      <c r="A16807" s="34"/>
      <c r="B16807" s="35"/>
      <c r="C16807" s="36"/>
      <c r="D16807" s="37"/>
      <c r="E16807" s="36"/>
      <c r="F16807" s="42"/>
      <c r="G16807" s="42"/>
      <c r="H16807" s="42"/>
      <c r="AG16807" s="19"/>
    </row>
    <row r="16808" spans="1:33" ht="14.5" x14ac:dyDescent="0.35">
      <c r="A16808" s="34"/>
      <c r="B16808" s="35"/>
      <c r="C16808" s="36"/>
      <c r="D16808" s="37"/>
      <c r="E16808" s="36"/>
      <c r="F16808" s="42"/>
      <c r="G16808" s="42"/>
      <c r="H16808" s="42"/>
      <c r="AG16808" s="19"/>
    </row>
    <row r="16809" spans="1:33" ht="14.5" x14ac:dyDescent="0.35">
      <c r="A16809" s="34"/>
      <c r="B16809" s="35"/>
      <c r="C16809" s="36"/>
      <c r="D16809" s="37"/>
      <c r="E16809" s="36"/>
      <c r="F16809" s="42"/>
      <c r="G16809" s="42"/>
      <c r="H16809" s="42"/>
      <c r="AG16809" s="19"/>
    </row>
    <row r="16810" spans="1:33" ht="14.5" x14ac:dyDescent="0.35">
      <c r="A16810" s="34"/>
      <c r="B16810" s="35"/>
      <c r="C16810" s="36"/>
      <c r="D16810" s="37"/>
      <c r="E16810" s="36"/>
      <c r="F16810" s="42"/>
      <c r="G16810" s="42"/>
      <c r="H16810" s="42"/>
      <c r="AG16810" s="19"/>
    </row>
    <row r="16811" spans="1:33" ht="14.5" x14ac:dyDescent="0.35">
      <c r="A16811" s="34"/>
      <c r="B16811" s="35"/>
      <c r="C16811" s="36"/>
      <c r="D16811" s="37"/>
      <c r="E16811" s="36"/>
      <c r="F16811" s="42"/>
      <c r="G16811" s="42"/>
      <c r="H16811" s="42"/>
      <c r="AG16811" s="19"/>
    </row>
    <row r="16812" spans="1:33" ht="14.5" x14ac:dyDescent="0.35">
      <c r="A16812" s="34"/>
      <c r="B16812" s="35"/>
      <c r="C16812" s="36"/>
      <c r="D16812" s="37"/>
      <c r="E16812" s="36"/>
      <c r="F16812" s="42"/>
      <c r="G16812" s="42"/>
      <c r="H16812" s="42"/>
      <c r="AG16812" s="19"/>
    </row>
    <row r="16813" spans="1:33" ht="14.5" x14ac:dyDescent="0.35">
      <c r="A16813" s="34"/>
      <c r="B16813" s="35"/>
      <c r="C16813" s="36"/>
      <c r="D16813" s="37"/>
      <c r="E16813" s="36"/>
      <c r="F16813" s="42"/>
      <c r="G16813" s="42"/>
      <c r="H16813" s="42"/>
      <c r="AG16813" s="19"/>
    </row>
    <row r="16814" spans="1:33" ht="14.5" x14ac:dyDescent="0.35">
      <c r="A16814" s="34"/>
      <c r="B16814" s="35"/>
      <c r="C16814" s="36"/>
      <c r="D16814" s="37"/>
      <c r="E16814" s="36"/>
      <c r="F16814" s="42"/>
      <c r="G16814" s="42"/>
      <c r="H16814" s="42"/>
      <c r="AG16814" s="19"/>
    </row>
    <row r="16815" spans="1:33" ht="14.5" x14ac:dyDescent="0.35">
      <c r="A16815" s="34"/>
      <c r="B16815" s="35"/>
      <c r="C16815" s="36"/>
      <c r="D16815" s="37"/>
      <c r="E16815" s="36"/>
      <c r="F16815" s="42"/>
      <c r="G16815" s="42"/>
      <c r="H16815" s="42"/>
      <c r="AG16815" s="19"/>
    </row>
    <row r="16816" spans="1:33" ht="14.5" x14ac:dyDescent="0.35">
      <c r="A16816" s="34"/>
      <c r="B16816" s="35"/>
      <c r="C16816" s="36"/>
      <c r="D16816" s="37"/>
      <c r="E16816" s="36"/>
      <c r="F16816" s="42"/>
      <c r="G16816" s="42"/>
      <c r="H16816" s="42"/>
      <c r="AG16816" s="19"/>
    </row>
    <row r="16817" spans="1:33" ht="14.5" x14ac:dyDescent="0.35">
      <c r="A16817" s="34"/>
      <c r="B16817" s="35"/>
      <c r="C16817" s="36"/>
      <c r="D16817" s="37"/>
      <c r="E16817" s="36"/>
      <c r="F16817" s="42"/>
      <c r="G16817" s="42"/>
      <c r="H16817" s="42"/>
      <c r="AG16817" s="19"/>
    </row>
    <row r="16818" spans="1:33" ht="14.5" x14ac:dyDescent="0.35">
      <c r="A16818" s="34"/>
      <c r="B16818" s="35"/>
      <c r="C16818" s="36"/>
      <c r="D16818" s="37"/>
      <c r="E16818" s="36"/>
      <c r="F16818" s="42"/>
      <c r="G16818" s="42"/>
      <c r="H16818" s="42"/>
      <c r="AG16818" s="19"/>
    </row>
    <row r="16819" spans="1:33" ht="14.5" x14ac:dyDescent="0.35">
      <c r="A16819" s="34"/>
      <c r="B16819" s="35"/>
      <c r="C16819" s="36"/>
      <c r="D16819" s="37"/>
      <c r="E16819" s="36"/>
      <c r="F16819" s="42"/>
      <c r="G16819" s="42"/>
      <c r="H16819" s="42"/>
      <c r="AG16819" s="19"/>
    </row>
    <row r="16820" spans="1:33" ht="14.5" x14ac:dyDescent="0.35">
      <c r="A16820" s="34"/>
      <c r="B16820" s="35"/>
      <c r="C16820" s="36"/>
      <c r="D16820" s="37"/>
      <c r="E16820" s="36"/>
      <c r="F16820" s="42"/>
      <c r="G16820" s="42"/>
      <c r="H16820" s="42"/>
      <c r="AG16820" s="19"/>
    </row>
    <row r="16821" spans="1:33" ht="14.5" x14ac:dyDescent="0.35">
      <c r="A16821" s="34"/>
      <c r="B16821" s="35"/>
      <c r="C16821" s="36"/>
      <c r="D16821" s="37"/>
      <c r="E16821" s="36"/>
      <c r="F16821" s="42"/>
      <c r="G16821" s="42"/>
      <c r="H16821" s="42"/>
      <c r="AG16821" s="19"/>
    </row>
    <row r="16822" spans="1:33" ht="14.5" x14ac:dyDescent="0.35">
      <c r="A16822" s="34"/>
      <c r="B16822" s="35"/>
      <c r="C16822" s="36"/>
      <c r="D16822" s="37"/>
      <c r="E16822" s="36"/>
      <c r="F16822" s="42"/>
      <c r="G16822" s="42"/>
      <c r="H16822" s="42"/>
      <c r="AG16822" s="19"/>
    </row>
    <row r="16823" spans="1:33" ht="14.5" x14ac:dyDescent="0.35">
      <c r="A16823" s="34"/>
      <c r="B16823" s="35"/>
      <c r="C16823" s="36"/>
      <c r="D16823" s="37"/>
      <c r="E16823" s="36"/>
      <c r="F16823" s="42"/>
      <c r="G16823" s="42"/>
      <c r="H16823" s="42"/>
      <c r="AG16823" s="19"/>
    </row>
    <row r="16824" spans="1:33" ht="14.5" x14ac:dyDescent="0.35">
      <c r="A16824" s="34"/>
      <c r="B16824" s="35"/>
      <c r="C16824" s="36"/>
      <c r="D16824" s="37"/>
      <c r="E16824" s="36"/>
      <c r="F16824" s="42"/>
      <c r="G16824" s="42"/>
      <c r="H16824" s="42"/>
      <c r="AG16824" s="19"/>
    </row>
    <row r="16825" spans="1:33" ht="14.5" x14ac:dyDescent="0.35">
      <c r="A16825" s="34"/>
      <c r="B16825" s="35"/>
      <c r="C16825" s="36"/>
      <c r="D16825" s="37"/>
      <c r="E16825" s="36"/>
      <c r="F16825" s="42"/>
      <c r="G16825" s="42"/>
      <c r="H16825" s="42"/>
      <c r="AG16825" s="19"/>
    </row>
    <row r="16826" spans="1:33" ht="14.5" x14ac:dyDescent="0.35">
      <c r="A16826" s="34"/>
      <c r="B16826" s="35"/>
      <c r="C16826" s="36"/>
      <c r="D16826" s="37"/>
      <c r="E16826" s="36"/>
      <c r="F16826" s="42"/>
      <c r="G16826" s="42"/>
      <c r="H16826" s="42"/>
      <c r="AG16826" s="19"/>
    </row>
    <row r="16827" spans="1:33" ht="14.5" x14ac:dyDescent="0.35">
      <c r="A16827" s="34"/>
      <c r="B16827" s="35"/>
      <c r="C16827" s="36"/>
      <c r="D16827" s="37"/>
      <c r="E16827" s="36"/>
      <c r="F16827" s="42"/>
      <c r="G16827" s="42"/>
      <c r="H16827" s="42"/>
      <c r="AG16827" s="19"/>
    </row>
    <row r="16828" spans="1:33" ht="14.5" x14ac:dyDescent="0.35">
      <c r="A16828" s="34"/>
      <c r="B16828" s="35"/>
      <c r="C16828" s="36"/>
      <c r="D16828" s="37"/>
      <c r="E16828" s="36"/>
      <c r="F16828" s="42"/>
      <c r="G16828" s="42"/>
      <c r="H16828" s="42"/>
      <c r="AG16828" s="19"/>
    </row>
    <row r="16829" spans="1:33" ht="14.5" x14ac:dyDescent="0.35">
      <c r="A16829" s="34"/>
      <c r="B16829" s="35"/>
      <c r="C16829" s="36"/>
      <c r="D16829" s="37"/>
      <c r="E16829" s="36"/>
      <c r="F16829" s="42"/>
      <c r="G16829" s="42"/>
      <c r="H16829" s="42"/>
      <c r="AG16829" s="19"/>
    </row>
    <row r="16830" spans="1:33" ht="14.5" x14ac:dyDescent="0.35">
      <c r="A16830" s="34"/>
      <c r="B16830" s="35"/>
      <c r="C16830" s="36"/>
      <c r="D16830" s="37"/>
      <c r="E16830" s="36"/>
      <c r="F16830" s="42"/>
      <c r="G16830" s="42"/>
      <c r="H16830" s="42"/>
      <c r="AG16830" s="19"/>
    </row>
    <row r="16831" spans="1:33" ht="14.5" x14ac:dyDescent="0.35">
      <c r="A16831" s="34"/>
      <c r="B16831" s="35"/>
      <c r="C16831" s="36"/>
      <c r="D16831" s="37"/>
      <c r="E16831" s="36"/>
      <c r="F16831" s="42"/>
      <c r="G16831" s="42"/>
      <c r="H16831" s="42"/>
      <c r="AG16831" s="19"/>
    </row>
    <row r="16832" spans="1:33" ht="14.5" x14ac:dyDescent="0.35">
      <c r="A16832" s="34"/>
      <c r="B16832" s="35"/>
      <c r="C16832" s="36"/>
      <c r="D16832" s="37"/>
      <c r="E16832" s="36"/>
      <c r="F16832" s="42"/>
      <c r="G16832" s="42"/>
      <c r="H16832" s="42"/>
      <c r="AG16832" s="19"/>
    </row>
    <row r="16833" spans="1:33" ht="14.5" x14ac:dyDescent="0.35">
      <c r="A16833" s="34"/>
      <c r="B16833" s="35"/>
      <c r="C16833" s="36"/>
      <c r="D16833" s="37"/>
      <c r="E16833" s="36"/>
      <c r="F16833" s="42"/>
      <c r="G16833" s="42"/>
      <c r="H16833" s="42"/>
      <c r="AG16833" s="19"/>
    </row>
    <row r="16834" spans="1:33" ht="14.5" x14ac:dyDescent="0.35">
      <c r="A16834" s="34"/>
      <c r="B16834" s="35"/>
      <c r="C16834" s="36"/>
      <c r="D16834" s="37"/>
      <c r="E16834" s="36"/>
      <c r="F16834" s="42"/>
      <c r="G16834" s="42"/>
      <c r="H16834" s="42"/>
      <c r="AG16834" s="19"/>
    </row>
    <row r="16835" spans="1:33" ht="14.5" x14ac:dyDescent="0.35">
      <c r="A16835" s="34"/>
      <c r="B16835" s="35"/>
      <c r="C16835" s="36"/>
      <c r="D16835" s="37"/>
      <c r="E16835" s="36"/>
      <c r="F16835" s="42"/>
      <c r="G16835" s="42"/>
      <c r="H16835" s="42"/>
      <c r="AG16835" s="19"/>
    </row>
    <row r="16836" spans="1:33" ht="14.5" x14ac:dyDescent="0.35">
      <c r="A16836" s="34"/>
      <c r="B16836" s="35"/>
      <c r="C16836" s="36"/>
      <c r="D16836" s="37"/>
      <c r="E16836" s="36"/>
      <c r="F16836" s="42"/>
      <c r="G16836" s="42"/>
      <c r="H16836" s="42"/>
      <c r="AG16836" s="19"/>
    </row>
    <row r="16837" spans="1:33" ht="14.5" x14ac:dyDescent="0.35">
      <c r="A16837" s="34"/>
      <c r="B16837" s="35"/>
      <c r="C16837" s="36"/>
      <c r="D16837" s="37"/>
      <c r="E16837" s="36"/>
      <c r="F16837" s="42"/>
      <c r="G16837" s="42"/>
      <c r="H16837" s="42"/>
      <c r="AG16837" s="19"/>
    </row>
    <row r="16838" spans="1:33" ht="14.5" x14ac:dyDescent="0.35">
      <c r="A16838" s="34"/>
      <c r="B16838" s="35"/>
      <c r="C16838" s="36"/>
      <c r="D16838" s="37"/>
      <c r="E16838" s="36"/>
      <c r="F16838" s="42"/>
      <c r="G16838" s="42"/>
      <c r="H16838" s="42"/>
      <c r="AG16838" s="19"/>
    </row>
    <row r="16839" spans="1:33" ht="14.5" x14ac:dyDescent="0.35">
      <c r="A16839" s="34"/>
      <c r="B16839" s="35"/>
      <c r="C16839" s="36"/>
      <c r="D16839" s="37"/>
      <c r="E16839" s="36"/>
      <c r="F16839" s="42"/>
      <c r="G16839" s="42"/>
      <c r="H16839" s="42"/>
      <c r="AG16839" s="19"/>
    </row>
    <row r="16840" spans="1:33" ht="14.5" x14ac:dyDescent="0.35">
      <c r="A16840" s="34"/>
      <c r="B16840" s="35"/>
      <c r="C16840" s="36"/>
      <c r="D16840" s="37"/>
      <c r="E16840" s="36"/>
      <c r="F16840" s="42"/>
      <c r="G16840" s="42"/>
      <c r="H16840" s="42"/>
      <c r="AG16840" s="19"/>
    </row>
    <row r="16841" spans="1:33" ht="14.5" x14ac:dyDescent="0.35">
      <c r="A16841" s="34"/>
      <c r="B16841" s="35"/>
      <c r="C16841" s="36"/>
      <c r="D16841" s="37"/>
      <c r="E16841" s="36"/>
      <c r="F16841" s="42"/>
      <c r="G16841" s="42"/>
      <c r="H16841" s="42"/>
      <c r="AG16841" s="19"/>
    </row>
    <row r="16842" spans="1:33" ht="14.5" x14ac:dyDescent="0.35">
      <c r="A16842" s="34"/>
      <c r="B16842" s="35"/>
      <c r="C16842" s="36"/>
      <c r="D16842" s="37"/>
      <c r="E16842" s="36"/>
      <c r="F16842" s="42"/>
      <c r="G16842" s="42"/>
      <c r="H16842" s="42"/>
      <c r="AG16842" s="19"/>
    </row>
    <row r="16843" spans="1:33" ht="14.5" x14ac:dyDescent="0.35">
      <c r="A16843" s="34"/>
      <c r="B16843" s="35"/>
      <c r="C16843" s="36"/>
      <c r="D16843" s="37"/>
      <c r="E16843" s="36"/>
      <c r="F16843" s="42"/>
      <c r="G16843" s="42"/>
      <c r="H16843" s="42"/>
      <c r="AG16843" s="19"/>
    </row>
    <row r="16844" spans="1:33" ht="14.5" x14ac:dyDescent="0.35">
      <c r="A16844" s="34"/>
      <c r="B16844" s="35"/>
      <c r="C16844" s="36"/>
      <c r="D16844" s="37"/>
      <c r="E16844" s="36"/>
      <c r="F16844" s="42"/>
      <c r="G16844" s="42"/>
      <c r="H16844" s="42"/>
      <c r="AG16844" s="19"/>
    </row>
    <row r="16845" spans="1:33" ht="14.5" x14ac:dyDescent="0.35">
      <c r="A16845" s="34"/>
      <c r="B16845" s="35"/>
      <c r="C16845" s="36"/>
      <c r="D16845" s="37"/>
      <c r="E16845" s="36"/>
      <c r="F16845" s="42"/>
      <c r="G16845" s="42"/>
      <c r="H16845" s="42"/>
      <c r="AG16845" s="19"/>
    </row>
    <row r="16846" spans="1:33" ht="14.5" x14ac:dyDescent="0.35">
      <c r="A16846" s="34"/>
      <c r="B16846" s="35"/>
      <c r="C16846" s="36"/>
      <c r="D16846" s="37"/>
      <c r="E16846" s="36"/>
      <c r="F16846" s="42"/>
      <c r="G16846" s="42"/>
      <c r="H16846" s="42"/>
      <c r="AG16846" s="19"/>
    </row>
    <row r="16847" spans="1:33" ht="14.5" x14ac:dyDescent="0.35">
      <c r="A16847" s="34"/>
      <c r="B16847" s="35"/>
      <c r="C16847" s="36"/>
      <c r="D16847" s="37"/>
      <c r="E16847" s="36"/>
      <c r="F16847" s="42"/>
      <c r="G16847" s="42"/>
      <c r="H16847" s="42"/>
      <c r="AG16847" s="19"/>
    </row>
    <row r="16848" spans="1:33" ht="14.5" x14ac:dyDescent="0.35">
      <c r="A16848" s="34"/>
      <c r="B16848" s="35"/>
      <c r="C16848" s="36"/>
      <c r="D16848" s="37"/>
      <c r="E16848" s="36"/>
      <c r="F16848" s="42"/>
      <c r="G16848" s="42"/>
      <c r="H16848" s="42"/>
      <c r="AG16848" s="19"/>
    </row>
    <row r="16849" spans="1:33" ht="14.5" x14ac:dyDescent="0.35">
      <c r="A16849" s="34"/>
      <c r="B16849" s="35"/>
      <c r="C16849" s="36"/>
      <c r="D16849" s="37"/>
      <c r="E16849" s="36"/>
      <c r="F16849" s="42"/>
      <c r="G16849" s="42"/>
      <c r="H16849" s="42"/>
      <c r="AG16849" s="19"/>
    </row>
    <row r="16850" spans="1:33" ht="14.5" x14ac:dyDescent="0.35">
      <c r="A16850" s="34"/>
      <c r="B16850" s="35"/>
      <c r="C16850" s="36"/>
      <c r="D16850" s="37"/>
      <c r="E16850" s="36"/>
      <c r="F16850" s="42"/>
      <c r="G16850" s="42"/>
      <c r="H16850" s="42"/>
      <c r="AG16850" s="19"/>
    </row>
    <row r="16851" spans="1:33" ht="14.5" x14ac:dyDescent="0.35">
      <c r="A16851" s="34"/>
      <c r="B16851" s="35"/>
      <c r="C16851" s="36"/>
      <c r="D16851" s="37"/>
      <c r="E16851" s="36"/>
      <c r="F16851" s="42"/>
      <c r="G16851" s="42"/>
      <c r="H16851" s="42"/>
      <c r="AG16851" s="19"/>
    </row>
    <row r="16852" spans="1:33" ht="14.5" x14ac:dyDescent="0.35">
      <c r="A16852" s="34"/>
      <c r="B16852" s="35"/>
      <c r="C16852" s="36"/>
      <c r="D16852" s="37"/>
      <c r="E16852" s="36"/>
      <c r="F16852" s="42"/>
      <c r="G16852" s="42"/>
      <c r="H16852" s="42"/>
      <c r="AG16852" s="19"/>
    </row>
    <row r="16853" spans="1:33" ht="14.5" x14ac:dyDescent="0.35">
      <c r="A16853" s="34"/>
      <c r="B16853" s="35"/>
      <c r="C16853" s="36"/>
      <c r="D16853" s="37"/>
      <c r="E16853" s="36"/>
      <c r="F16853" s="42"/>
      <c r="G16853" s="42"/>
      <c r="H16853" s="42"/>
      <c r="AG16853" s="19"/>
    </row>
    <row r="16854" spans="1:33" ht="14.5" x14ac:dyDescent="0.35">
      <c r="A16854" s="34"/>
      <c r="B16854" s="35"/>
      <c r="C16854" s="36"/>
      <c r="D16854" s="37"/>
      <c r="E16854" s="36"/>
      <c r="F16854" s="42"/>
      <c r="G16854" s="42"/>
      <c r="H16854" s="42"/>
      <c r="AG16854" s="19"/>
    </row>
    <row r="16855" spans="1:33" ht="14.5" x14ac:dyDescent="0.35">
      <c r="A16855" s="34"/>
      <c r="B16855" s="35"/>
      <c r="C16855" s="36"/>
      <c r="D16855" s="37"/>
      <c r="E16855" s="36"/>
      <c r="F16855" s="42"/>
      <c r="G16855" s="42"/>
      <c r="H16855" s="42"/>
      <c r="AG16855" s="19"/>
    </row>
    <row r="16856" spans="1:33" ht="14.5" x14ac:dyDescent="0.35">
      <c r="A16856" s="34"/>
      <c r="B16856" s="35"/>
      <c r="C16856" s="36"/>
      <c r="D16856" s="37"/>
      <c r="E16856" s="36"/>
      <c r="F16856" s="42"/>
      <c r="G16856" s="42"/>
      <c r="H16856" s="42"/>
      <c r="AG16856" s="19"/>
    </row>
    <row r="16857" spans="1:33" ht="14.5" x14ac:dyDescent="0.35">
      <c r="A16857" s="34"/>
      <c r="B16857" s="35"/>
      <c r="C16857" s="36"/>
      <c r="D16857" s="37"/>
      <c r="E16857" s="36"/>
      <c r="F16857" s="42"/>
      <c r="G16857" s="42"/>
      <c r="H16857" s="42"/>
      <c r="AG16857" s="19"/>
    </row>
    <row r="16858" spans="1:33" ht="14.5" x14ac:dyDescent="0.35">
      <c r="A16858" s="34"/>
      <c r="B16858" s="35"/>
      <c r="C16858" s="36"/>
      <c r="D16858" s="37"/>
      <c r="E16858" s="36"/>
      <c r="F16858" s="42"/>
      <c r="G16858" s="42"/>
      <c r="H16858" s="42"/>
      <c r="AG16858" s="19"/>
    </row>
    <row r="16859" spans="1:33" ht="14.5" x14ac:dyDescent="0.35">
      <c r="A16859" s="34"/>
      <c r="B16859" s="35"/>
      <c r="C16859" s="36"/>
      <c r="D16859" s="37"/>
      <c r="E16859" s="36"/>
      <c r="F16859" s="42"/>
      <c r="G16859" s="42"/>
      <c r="H16859" s="42"/>
      <c r="AG16859" s="19"/>
    </row>
    <row r="16860" spans="1:33" ht="14.5" x14ac:dyDescent="0.35">
      <c r="A16860" s="34"/>
      <c r="B16860" s="35"/>
      <c r="C16860" s="36"/>
      <c r="D16860" s="37"/>
      <c r="E16860" s="36"/>
      <c r="F16860" s="42"/>
      <c r="G16860" s="42"/>
      <c r="H16860" s="42"/>
      <c r="AG16860" s="19"/>
    </row>
    <row r="16861" spans="1:33" ht="14.5" x14ac:dyDescent="0.35">
      <c r="A16861" s="34"/>
      <c r="B16861" s="35"/>
      <c r="C16861" s="36"/>
      <c r="D16861" s="37"/>
      <c r="E16861" s="36"/>
      <c r="F16861" s="42"/>
      <c r="G16861" s="42"/>
      <c r="H16861" s="42"/>
      <c r="AG16861" s="19"/>
    </row>
    <row r="16862" spans="1:33" ht="14.5" x14ac:dyDescent="0.35">
      <c r="A16862" s="34"/>
      <c r="B16862" s="35"/>
      <c r="C16862" s="36"/>
      <c r="D16862" s="37"/>
      <c r="E16862" s="36"/>
      <c r="F16862" s="42"/>
      <c r="G16862" s="42"/>
      <c r="H16862" s="42"/>
      <c r="AG16862" s="19"/>
    </row>
    <row r="16863" spans="1:33" ht="14.5" x14ac:dyDescent="0.35">
      <c r="A16863" s="34"/>
      <c r="B16863" s="35"/>
      <c r="C16863" s="36"/>
      <c r="D16863" s="37"/>
      <c r="E16863" s="36"/>
      <c r="F16863" s="42"/>
      <c r="G16863" s="42"/>
      <c r="H16863" s="42"/>
      <c r="AG16863" s="19"/>
    </row>
    <row r="16864" spans="1:33" ht="14.5" x14ac:dyDescent="0.35">
      <c r="A16864" s="34"/>
      <c r="B16864" s="35"/>
      <c r="C16864" s="36"/>
      <c r="D16864" s="37"/>
      <c r="E16864" s="36"/>
      <c r="F16864" s="42"/>
      <c r="G16864" s="42"/>
      <c r="H16864" s="42"/>
      <c r="AG16864" s="19"/>
    </row>
    <row r="16865" spans="1:33" ht="14.5" x14ac:dyDescent="0.35">
      <c r="A16865" s="34"/>
      <c r="B16865" s="35"/>
      <c r="C16865" s="36"/>
      <c r="D16865" s="37"/>
      <c r="E16865" s="36"/>
      <c r="F16865" s="42"/>
      <c r="G16865" s="42"/>
      <c r="H16865" s="42"/>
      <c r="AG16865" s="19"/>
    </row>
    <row r="16866" spans="1:33" ht="14.5" x14ac:dyDescent="0.35">
      <c r="A16866" s="34"/>
      <c r="B16866" s="35"/>
      <c r="C16866" s="36"/>
      <c r="D16866" s="37"/>
      <c r="E16866" s="36"/>
      <c r="F16866" s="42"/>
      <c r="G16866" s="42"/>
      <c r="H16866" s="42"/>
      <c r="AG16866" s="19"/>
    </row>
    <row r="16867" spans="1:33" ht="14.5" x14ac:dyDescent="0.35">
      <c r="A16867" s="34"/>
      <c r="B16867" s="35"/>
      <c r="C16867" s="36"/>
      <c r="D16867" s="37"/>
      <c r="E16867" s="36"/>
      <c r="F16867" s="42"/>
      <c r="G16867" s="42"/>
      <c r="H16867" s="42"/>
      <c r="AG16867" s="19"/>
    </row>
    <row r="16868" spans="1:33" ht="14.5" x14ac:dyDescent="0.35">
      <c r="A16868" s="34"/>
      <c r="B16868" s="35"/>
      <c r="C16868" s="36"/>
      <c r="D16868" s="37"/>
      <c r="E16868" s="36"/>
      <c r="F16868" s="42"/>
      <c r="G16868" s="42"/>
      <c r="H16868" s="42"/>
      <c r="AG16868" s="19"/>
    </row>
    <row r="16869" spans="1:33" ht="14.5" x14ac:dyDescent="0.35">
      <c r="A16869" s="34"/>
      <c r="B16869" s="35"/>
      <c r="C16869" s="36"/>
      <c r="D16869" s="37"/>
      <c r="E16869" s="36"/>
      <c r="F16869" s="42"/>
      <c r="G16869" s="42"/>
      <c r="H16869" s="42"/>
      <c r="AG16869" s="19"/>
    </row>
    <row r="16870" spans="1:33" ht="14.5" x14ac:dyDescent="0.35">
      <c r="A16870" s="34"/>
      <c r="B16870" s="35"/>
      <c r="C16870" s="36"/>
      <c r="D16870" s="37"/>
      <c r="E16870" s="36"/>
      <c r="F16870" s="42"/>
      <c r="G16870" s="42"/>
      <c r="H16870" s="42"/>
      <c r="AG16870" s="19"/>
    </row>
    <row r="16871" spans="1:33" ht="14.5" x14ac:dyDescent="0.35">
      <c r="A16871" s="34"/>
      <c r="B16871" s="35"/>
      <c r="C16871" s="36"/>
      <c r="D16871" s="37"/>
      <c r="E16871" s="36"/>
      <c r="F16871" s="42"/>
      <c r="G16871" s="42"/>
      <c r="H16871" s="42"/>
      <c r="AG16871" s="19"/>
    </row>
    <row r="16872" spans="1:33" ht="14.5" x14ac:dyDescent="0.35">
      <c r="A16872" s="34"/>
      <c r="B16872" s="35"/>
      <c r="C16872" s="36"/>
      <c r="D16872" s="37"/>
      <c r="E16872" s="36"/>
      <c r="F16872" s="42"/>
      <c r="G16872" s="42"/>
      <c r="H16872" s="42"/>
      <c r="AG16872" s="19"/>
    </row>
    <row r="16873" spans="1:33" ht="14.5" x14ac:dyDescent="0.35">
      <c r="A16873" s="34"/>
      <c r="B16873" s="35"/>
      <c r="C16873" s="36"/>
      <c r="D16873" s="37"/>
      <c r="E16873" s="36"/>
      <c r="F16873" s="42"/>
      <c r="G16873" s="42"/>
      <c r="H16873" s="42"/>
      <c r="AG16873" s="19"/>
    </row>
    <row r="16874" spans="1:33" ht="14.5" x14ac:dyDescent="0.35">
      <c r="A16874" s="34"/>
      <c r="B16874" s="35"/>
      <c r="C16874" s="36"/>
      <c r="D16874" s="37"/>
      <c r="E16874" s="36"/>
      <c r="F16874" s="42"/>
      <c r="G16874" s="42"/>
      <c r="H16874" s="42"/>
      <c r="AG16874" s="19"/>
    </row>
    <row r="16875" spans="1:33" ht="14.5" x14ac:dyDescent="0.35">
      <c r="A16875" s="34"/>
      <c r="B16875" s="35"/>
      <c r="C16875" s="36"/>
      <c r="D16875" s="37"/>
      <c r="E16875" s="36"/>
      <c r="F16875" s="42"/>
      <c r="G16875" s="42"/>
      <c r="H16875" s="42"/>
      <c r="AG16875" s="19"/>
    </row>
    <row r="16876" spans="1:33" ht="14.5" x14ac:dyDescent="0.35">
      <c r="A16876" s="34"/>
      <c r="B16876" s="35"/>
      <c r="C16876" s="36"/>
      <c r="D16876" s="37"/>
      <c r="E16876" s="36"/>
      <c r="F16876" s="42"/>
      <c r="G16876" s="42"/>
      <c r="H16876" s="42"/>
      <c r="AG16876" s="19"/>
    </row>
    <row r="16877" spans="1:33" ht="14.5" x14ac:dyDescent="0.35">
      <c r="A16877" s="34"/>
      <c r="B16877" s="35"/>
      <c r="C16877" s="36"/>
      <c r="D16877" s="37"/>
      <c r="E16877" s="36"/>
      <c r="F16877" s="42"/>
      <c r="G16877" s="42"/>
      <c r="H16877" s="42"/>
      <c r="AG16877" s="19"/>
    </row>
    <row r="16878" spans="1:33" ht="14.5" x14ac:dyDescent="0.35">
      <c r="A16878" s="34"/>
      <c r="B16878" s="35"/>
      <c r="C16878" s="36"/>
      <c r="D16878" s="37"/>
      <c r="E16878" s="36"/>
      <c r="F16878" s="42"/>
      <c r="G16878" s="42"/>
      <c r="H16878" s="42"/>
      <c r="AG16878" s="19"/>
    </row>
    <row r="16879" spans="1:33" ht="14.5" x14ac:dyDescent="0.35">
      <c r="A16879" s="34"/>
      <c r="B16879" s="35"/>
      <c r="C16879" s="36"/>
      <c r="D16879" s="37"/>
      <c r="E16879" s="36"/>
      <c r="F16879" s="42"/>
      <c r="G16879" s="42"/>
      <c r="H16879" s="42"/>
      <c r="AG16879" s="19"/>
    </row>
    <row r="16880" spans="1:33" ht="14.5" x14ac:dyDescent="0.35">
      <c r="A16880" s="34"/>
      <c r="B16880" s="35"/>
      <c r="C16880" s="36"/>
      <c r="D16880" s="37"/>
      <c r="E16880" s="36"/>
      <c r="F16880" s="42"/>
      <c r="G16880" s="42"/>
      <c r="H16880" s="42"/>
      <c r="AG16880" s="19"/>
    </row>
    <row r="16881" spans="1:33" ht="14.5" x14ac:dyDescent="0.35">
      <c r="A16881" s="34"/>
      <c r="B16881" s="35"/>
      <c r="C16881" s="36"/>
      <c r="D16881" s="37"/>
      <c r="E16881" s="36"/>
      <c r="F16881" s="42"/>
      <c r="G16881" s="42"/>
      <c r="H16881" s="42"/>
      <c r="AG16881" s="19"/>
    </row>
    <row r="16882" spans="1:33" ht="14.5" x14ac:dyDescent="0.35">
      <c r="A16882" s="34"/>
      <c r="B16882" s="35"/>
      <c r="C16882" s="36"/>
      <c r="D16882" s="37"/>
      <c r="E16882" s="36"/>
      <c r="F16882" s="42"/>
      <c r="G16882" s="42"/>
      <c r="H16882" s="42"/>
      <c r="AG16882" s="19"/>
    </row>
    <row r="16883" spans="1:33" ht="14.5" x14ac:dyDescent="0.35">
      <c r="A16883" s="34"/>
      <c r="B16883" s="35"/>
      <c r="C16883" s="36"/>
      <c r="D16883" s="37"/>
      <c r="E16883" s="36"/>
      <c r="F16883" s="42"/>
      <c r="G16883" s="42"/>
      <c r="H16883" s="42"/>
      <c r="AG16883" s="19"/>
    </row>
    <row r="16884" spans="1:33" ht="14.5" x14ac:dyDescent="0.35">
      <c r="A16884" s="34"/>
      <c r="B16884" s="35"/>
      <c r="C16884" s="36"/>
      <c r="D16884" s="37"/>
      <c r="E16884" s="36"/>
      <c r="F16884" s="42"/>
      <c r="G16884" s="42"/>
      <c r="H16884" s="42"/>
      <c r="AG16884" s="19"/>
    </row>
    <row r="16885" spans="1:33" ht="14.5" x14ac:dyDescent="0.35">
      <c r="A16885" s="34"/>
      <c r="B16885" s="35"/>
      <c r="C16885" s="36"/>
      <c r="D16885" s="37"/>
      <c r="E16885" s="36"/>
      <c r="F16885" s="42"/>
      <c r="G16885" s="42"/>
      <c r="H16885" s="42"/>
      <c r="AG16885" s="19"/>
    </row>
    <row r="16886" spans="1:33" ht="14.5" x14ac:dyDescent="0.35">
      <c r="A16886" s="34"/>
      <c r="B16886" s="35"/>
      <c r="C16886" s="36"/>
      <c r="D16886" s="37"/>
      <c r="E16886" s="36"/>
      <c r="F16886" s="42"/>
      <c r="G16886" s="42"/>
      <c r="H16886" s="42"/>
      <c r="AG16886" s="19"/>
    </row>
    <row r="16887" spans="1:33" ht="14.5" x14ac:dyDescent="0.35">
      <c r="A16887" s="34"/>
      <c r="B16887" s="35"/>
      <c r="C16887" s="36"/>
      <c r="D16887" s="37"/>
      <c r="E16887" s="36"/>
      <c r="F16887" s="42"/>
      <c r="G16887" s="42"/>
      <c r="H16887" s="42"/>
      <c r="AG16887" s="19"/>
    </row>
    <row r="16888" spans="1:33" ht="14.5" x14ac:dyDescent="0.35">
      <c r="A16888" s="34"/>
      <c r="B16888" s="35"/>
      <c r="C16888" s="36"/>
      <c r="D16888" s="37"/>
      <c r="E16888" s="36"/>
      <c r="F16888" s="42"/>
      <c r="G16888" s="42"/>
      <c r="H16888" s="42"/>
      <c r="AG16888" s="19"/>
    </row>
    <row r="16889" spans="1:33" ht="14.5" x14ac:dyDescent="0.35">
      <c r="A16889" s="34"/>
      <c r="B16889" s="35"/>
      <c r="C16889" s="36"/>
      <c r="D16889" s="37"/>
      <c r="E16889" s="36"/>
      <c r="F16889" s="42"/>
      <c r="G16889" s="42"/>
      <c r="H16889" s="42"/>
      <c r="AG16889" s="19"/>
    </row>
    <row r="16890" spans="1:33" ht="14.5" x14ac:dyDescent="0.35">
      <c r="A16890" s="34"/>
      <c r="B16890" s="35"/>
      <c r="C16890" s="36"/>
      <c r="D16890" s="37"/>
      <c r="E16890" s="36"/>
      <c r="F16890" s="42"/>
      <c r="G16890" s="42"/>
      <c r="H16890" s="42"/>
      <c r="AG16890" s="19"/>
    </row>
    <row r="16891" spans="1:33" ht="14.5" x14ac:dyDescent="0.35">
      <c r="A16891" s="34"/>
      <c r="B16891" s="35"/>
      <c r="C16891" s="36"/>
      <c r="D16891" s="37"/>
      <c r="E16891" s="36"/>
      <c r="F16891" s="42"/>
      <c r="G16891" s="42"/>
      <c r="H16891" s="42"/>
      <c r="AG16891" s="19"/>
    </row>
    <row r="16892" spans="1:33" ht="14.5" x14ac:dyDescent="0.35">
      <c r="A16892" s="34"/>
      <c r="B16892" s="35"/>
      <c r="C16892" s="36"/>
      <c r="D16892" s="37"/>
      <c r="E16892" s="36"/>
      <c r="F16892" s="42"/>
      <c r="G16892" s="42"/>
      <c r="H16892" s="42"/>
      <c r="AG16892" s="19"/>
    </row>
    <row r="16893" spans="1:33" ht="14.5" x14ac:dyDescent="0.35">
      <c r="A16893" s="34"/>
      <c r="B16893" s="35"/>
      <c r="C16893" s="36"/>
      <c r="D16893" s="37"/>
      <c r="E16893" s="36"/>
      <c r="F16893" s="42"/>
      <c r="G16893" s="42"/>
      <c r="H16893" s="42"/>
      <c r="AG16893" s="19"/>
    </row>
    <row r="16894" spans="1:33" ht="14.5" x14ac:dyDescent="0.35">
      <c r="A16894" s="34"/>
      <c r="B16894" s="35"/>
      <c r="C16894" s="36"/>
      <c r="D16894" s="37"/>
      <c r="E16894" s="36"/>
      <c r="F16894" s="42"/>
      <c r="G16894" s="42"/>
      <c r="H16894" s="42"/>
      <c r="AG16894" s="19"/>
    </row>
    <row r="16895" spans="1:33" ht="14.5" x14ac:dyDescent="0.35">
      <c r="A16895" s="34"/>
      <c r="B16895" s="35"/>
      <c r="C16895" s="36"/>
      <c r="D16895" s="37"/>
      <c r="E16895" s="36"/>
      <c r="F16895" s="42"/>
      <c r="G16895" s="42"/>
      <c r="H16895" s="42"/>
      <c r="AG16895" s="19"/>
    </row>
    <row r="16896" spans="1:33" ht="14.5" x14ac:dyDescent="0.35">
      <c r="A16896" s="34"/>
      <c r="B16896" s="35"/>
      <c r="C16896" s="36"/>
      <c r="D16896" s="37"/>
      <c r="E16896" s="36"/>
      <c r="F16896" s="42"/>
      <c r="G16896" s="42"/>
      <c r="H16896" s="42"/>
      <c r="AG16896" s="19"/>
    </row>
    <row r="16897" spans="1:33" ht="14.5" x14ac:dyDescent="0.35">
      <c r="A16897" s="34"/>
      <c r="B16897" s="35"/>
      <c r="C16897" s="36"/>
      <c r="D16897" s="37"/>
      <c r="E16897" s="36"/>
      <c r="F16897" s="42"/>
      <c r="G16897" s="42"/>
      <c r="H16897" s="42"/>
      <c r="AG16897" s="19"/>
    </row>
    <row r="16898" spans="1:33" ht="14.5" x14ac:dyDescent="0.35">
      <c r="A16898" s="34"/>
      <c r="B16898" s="35"/>
      <c r="C16898" s="36"/>
      <c r="D16898" s="37"/>
      <c r="E16898" s="36"/>
      <c r="F16898" s="42"/>
      <c r="G16898" s="42"/>
      <c r="H16898" s="42"/>
      <c r="AG16898" s="19"/>
    </row>
    <row r="16899" spans="1:33" ht="14.5" x14ac:dyDescent="0.35">
      <c r="A16899" s="34"/>
      <c r="B16899" s="35"/>
      <c r="C16899" s="36"/>
      <c r="D16899" s="37"/>
      <c r="E16899" s="36"/>
      <c r="F16899" s="42"/>
      <c r="G16899" s="42"/>
      <c r="H16899" s="42"/>
      <c r="AG16899" s="19"/>
    </row>
    <row r="16900" spans="1:33" ht="14.5" x14ac:dyDescent="0.35">
      <c r="A16900" s="34"/>
      <c r="B16900" s="35"/>
      <c r="C16900" s="36"/>
      <c r="D16900" s="37"/>
      <c r="E16900" s="36"/>
      <c r="F16900" s="42"/>
      <c r="G16900" s="42"/>
      <c r="H16900" s="42"/>
      <c r="AG16900" s="19"/>
    </row>
    <row r="16901" spans="1:33" ht="14.5" x14ac:dyDescent="0.35">
      <c r="A16901" s="34"/>
      <c r="B16901" s="35"/>
      <c r="C16901" s="36"/>
      <c r="D16901" s="37"/>
      <c r="E16901" s="36"/>
      <c r="F16901" s="42"/>
      <c r="G16901" s="42"/>
      <c r="H16901" s="42"/>
      <c r="AG16901" s="19"/>
    </row>
    <row r="16902" spans="1:33" ht="14.5" x14ac:dyDescent="0.35">
      <c r="A16902" s="34"/>
      <c r="B16902" s="35"/>
      <c r="C16902" s="36"/>
      <c r="D16902" s="37"/>
      <c r="E16902" s="36"/>
      <c r="F16902" s="42"/>
      <c r="G16902" s="42"/>
      <c r="H16902" s="42"/>
      <c r="AG16902" s="19"/>
    </row>
    <row r="16903" spans="1:33" ht="14.5" x14ac:dyDescent="0.35">
      <c r="A16903" s="34"/>
      <c r="B16903" s="35"/>
      <c r="C16903" s="36"/>
      <c r="D16903" s="37"/>
      <c r="E16903" s="36"/>
      <c r="F16903" s="42"/>
      <c r="G16903" s="42"/>
      <c r="H16903" s="42"/>
      <c r="AG16903" s="19"/>
    </row>
    <row r="16904" spans="1:33" ht="14.5" x14ac:dyDescent="0.35">
      <c r="A16904" s="34"/>
      <c r="B16904" s="35"/>
      <c r="C16904" s="36"/>
      <c r="D16904" s="37"/>
      <c r="E16904" s="36"/>
      <c r="F16904" s="42"/>
      <c r="G16904" s="42"/>
      <c r="H16904" s="42"/>
      <c r="AG16904" s="19"/>
    </row>
    <row r="16905" spans="1:33" ht="14.5" x14ac:dyDescent="0.35">
      <c r="A16905" s="34"/>
      <c r="B16905" s="35"/>
      <c r="C16905" s="36"/>
      <c r="D16905" s="37"/>
      <c r="E16905" s="36"/>
      <c r="F16905" s="42"/>
      <c r="G16905" s="42"/>
      <c r="H16905" s="42"/>
      <c r="AG16905" s="19"/>
    </row>
    <row r="16906" spans="1:33" ht="14.5" x14ac:dyDescent="0.35">
      <c r="A16906" s="34"/>
      <c r="B16906" s="35"/>
      <c r="C16906" s="36"/>
      <c r="D16906" s="37"/>
      <c r="E16906" s="36"/>
      <c r="F16906" s="42"/>
      <c r="G16906" s="42"/>
      <c r="H16906" s="42"/>
      <c r="AG16906" s="19"/>
    </row>
    <row r="16907" spans="1:33" ht="14.5" x14ac:dyDescent="0.35">
      <c r="A16907" s="34"/>
      <c r="B16907" s="35"/>
      <c r="C16907" s="36"/>
      <c r="D16907" s="37"/>
      <c r="E16907" s="36"/>
      <c r="F16907" s="42"/>
      <c r="G16907" s="42"/>
      <c r="H16907" s="42"/>
      <c r="AG16907" s="19"/>
    </row>
    <row r="16908" spans="1:33" ht="14.5" x14ac:dyDescent="0.35">
      <c r="A16908" s="34"/>
      <c r="B16908" s="35"/>
      <c r="C16908" s="36"/>
      <c r="D16908" s="37"/>
      <c r="E16908" s="36"/>
      <c r="F16908" s="42"/>
      <c r="G16908" s="42"/>
      <c r="H16908" s="42"/>
      <c r="AG16908" s="19"/>
    </row>
    <row r="16909" spans="1:33" ht="14.5" x14ac:dyDescent="0.35">
      <c r="A16909" s="34"/>
      <c r="B16909" s="35"/>
      <c r="C16909" s="36"/>
      <c r="D16909" s="37"/>
      <c r="E16909" s="36"/>
      <c r="F16909" s="42"/>
      <c r="G16909" s="42"/>
      <c r="H16909" s="42"/>
      <c r="AG16909" s="19"/>
    </row>
    <row r="16910" spans="1:33" ht="14.5" x14ac:dyDescent="0.35">
      <c r="A16910" s="34"/>
      <c r="B16910" s="35"/>
      <c r="C16910" s="36"/>
      <c r="D16910" s="37"/>
      <c r="E16910" s="36"/>
      <c r="F16910" s="42"/>
      <c r="G16910" s="42"/>
      <c r="H16910" s="42"/>
      <c r="AG16910" s="19"/>
    </row>
    <row r="16911" spans="1:33" ht="14.5" x14ac:dyDescent="0.35">
      <c r="A16911" s="34"/>
      <c r="B16911" s="35"/>
      <c r="C16911" s="36"/>
      <c r="D16911" s="37"/>
      <c r="E16911" s="36"/>
      <c r="F16911" s="42"/>
      <c r="G16911" s="42"/>
      <c r="H16911" s="42"/>
      <c r="AG16911" s="19"/>
    </row>
    <row r="16912" spans="1:33" ht="14.5" x14ac:dyDescent="0.35">
      <c r="A16912" s="34"/>
      <c r="B16912" s="35"/>
      <c r="C16912" s="36"/>
      <c r="D16912" s="37"/>
      <c r="E16912" s="36"/>
      <c r="F16912" s="42"/>
      <c r="G16912" s="42"/>
      <c r="H16912" s="42"/>
      <c r="AG16912" s="19"/>
    </row>
    <row r="16913" spans="1:33" ht="14.5" x14ac:dyDescent="0.35">
      <c r="A16913" s="34"/>
      <c r="B16913" s="35"/>
      <c r="C16913" s="36"/>
      <c r="D16913" s="37"/>
      <c r="E16913" s="36"/>
      <c r="F16913" s="42"/>
      <c r="G16913" s="42"/>
      <c r="H16913" s="42"/>
      <c r="AG16913" s="19"/>
    </row>
    <row r="16914" spans="1:33" ht="14.5" x14ac:dyDescent="0.35">
      <c r="A16914" s="34"/>
      <c r="B16914" s="35"/>
      <c r="C16914" s="36"/>
      <c r="D16914" s="37"/>
      <c r="E16914" s="36"/>
      <c r="F16914" s="42"/>
      <c r="G16914" s="42"/>
      <c r="H16914" s="42"/>
      <c r="AG16914" s="19"/>
    </row>
    <row r="16915" spans="1:33" ht="14.5" x14ac:dyDescent="0.35">
      <c r="A16915" s="34"/>
      <c r="B16915" s="35"/>
      <c r="C16915" s="36"/>
      <c r="D16915" s="37"/>
      <c r="E16915" s="36"/>
      <c r="F16915" s="42"/>
      <c r="G16915" s="42"/>
      <c r="H16915" s="42"/>
      <c r="AG16915" s="19"/>
    </row>
    <row r="16916" spans="1:33" ht="14.5" x14ac:dyDescent="0.35">
      <c r="A16916" s="34"/>
      <c r="B16916" s="35"/>
      <c r="C16916" s="36"/>
      <c r="D16916" s="37"/>
      <c r="E16916" s="36"/>
      <c r="F16916" s="42"/>
      <c r="G16916" s="42"/>
      <c r="H16916" s="42"/>
      <c r="AG16916" s="19"/>
    </row>
    <row r="16917" spans="1:33" ht="14.5" x14ac:dyDescent="0.35">
      <c r="A16917" s="34"/>
      <c r="B16917" s="35"/>
      <c r="C16917" s="36"/>
      <c r="D16917" s="37"/>
      <c r="E16917" s="36"/>
      <c r="F16917" s="42"/>
      <c r="G16917" s="42"/>
      <c r="H16917" s="42"/>
      <c r="AG16917" s="19"/>
    </row>
    <row r="16918" spans="1:33" ht="14.5" x14ac:dyDescent="0.35">
      <c r="A16918" s="34"/>
      <c r="B16918" s="35"/>
      <c r="C16918" s="36"/>
      <c r="D16918" s="37"/>
      <c r="E16918" s="36"/>
      <c r="F16918" s="42"/>
      <c r="G16918" s="42"/>
      <c r="H16918" s="42"/>
      <c r="AG16918" s="19"/>
    </row>
    <row r="16919" spans="1:33" ht="14.5" x14ac:dyDescent="0.35">
      <c r="A16919" s="34"/>
      <c r="B16919" s="35"/>
      <c r="C16919" s="36"/>
      <c r="D16919" s="37"/>
      <c r="E16919" s="36"/>
      <c r="F16919" s="42"/>
      <c r="G16919" s="42"/>
      <c r="H16919" s="42"/>
      <c r="AG16919" s="19"/>
    </row>
    <row r="16920" spans="1:33" ht="14.5" x14ac:dyDescent="0.35">
      <c r="A16920" s="34"/>
      <c r="B16920" s="35"/>
      <c r="C16920" s="36"/>
      <c r="D16920" s="37"/>
      <c r="E16920" s="36"/>
      <c r="F16920" s="42"/>
      <c r="G16920" s="42"/>
      <c r="H16920" s="42"/>
      <c r="AG16920" s="19"/>
    </row>
    <row r="16921" spans="1:33" ht="14.5" x14ac:dyDescent="0.35">
      <c r="A16921" s="34"/>
      <c r="B16921" s="35"/>
      <c r="C16921" s="36"/>
      <c r="D16921" s="37"/>
      <c r="E16921" s="36"/>
      <c r="F16921" s="42"/>
      <c r="G16921" s="42"/>
      <c r="H16921" s="42"/>
      <c r="AG16921" s="19"/>
    </row>
    <row r="16922" spans="1:33" ht="14.5" x14ac:dyDescent="0.35">
      <c r="A16922" s="34"/>
      <c r="B16922" s="35"/>
      <c r="C16922" s="36"/>
      <c r="D16922" s="37"/>
      <c r="E16922" s="36"/>
      <c r="F16922" s="42"/>
      <c r="G16922" s="42"/>
      <c r="H16922" s="42"/>
      <c r="AG16922" s="19"/>
    </row>
    <row r="16923" spans="1:33" ht="14.5" x14ac:dyDescent="0.35">
      <c r="A16923" s="34"/>
      <c r="B16923" s="35"/>
      <c r="C16923" s="36"/>
      <c r="D16923" s="37"/>
      <c r="E16923" s="36"/>
      <c r="F16923" s="42"/>
      <c r="G16923" s="42"/>
      <c r="H16923" s="42"/>
      <c r="AG16923" s="19"/>
    </row>
    <row r="16924" spans="1:33" ht="14.5" x14ac:dyDescent="0.35">
      <c r="A16924" s="34"/>
      <c r="B16924" s="35"/>
      <c r="C16924" s="36"/>
      <c r="D16924" s="37"/>
      <c r="E16924" s="36"/>
      <c r="F16924" s="42"/>
      <c r="G16924" s="42"/>
      <c r="H16924" s="42"/>
      <c r="AG16924" s="19"/>
    </row>
    <row r="16925" spans="1:33" ht="14.5" x14ac:dyDescent="0.35">
      <c r="A16925" s="34"/>
      <c r="B16925" s="35"/>
      <c r="C16925" s="36"/>
      <c r="D16925" s="37"/>
      <c r="E16925" s="36"/>
      <c r="F16925" s="42"/>
      <c r="G16925" s="42"/>
      <c r="H16925" s="42"/>
      <c r="AG16925" s="19"/>
    </row>
    <row r="16926" spans="1:33" ht="14.5" x14ac:dyDescent="0.35">
      <c r="A16926" s="34"/>
      <c r="B16926" s="35"/>
      <c r="C16926" s="36"/>
      <c r="D16926" s="37"/>
      <c r="E16926" s="36"/>
      <c r="F16926" s="42"/>
      <c r="G16926" s="42"/>
      <c r="H16926" s="42"/>
      <c r="AG16926" s="19"/>
    </row>
    <row r="16927" spans="1:33" ht="14.5" x14ac:dyDescent="0.35">
      <c r="A16927" s="34"/>
      <c r="B16927" s="35"/>
      <c r="C16927" s="36"/>
      <c r="D16927" s="37"/>
      <c r="E16927" s="36"/>
      <c r="F16927" s="42"/>
      <c r="G16927" s="42"/>
      <c r="H16927" s="42"/>
      <c r="AG16927" s="19"/>
    </row>
    <row r="16928" spans="1:33" ht="14.5" x14ac:dyDescent="0.35">
      <c r="A16928" s="34"/>
      <c r="B16928" s="35"/>
      <c r="C16928" s="36"/>
      <c r="D16928" s="37"/>
      <c r="E16928" s="36"/>
      <c r="F16928" s="42"/>
      <c r="G16928" s="42"/>
      <c r="H16928" s="42"/>
      <c r="AG16928" s="19"/>
    </row>
    <row r="16929" spans="1:33" ht="14.5" x14ac:dyDescent="0.35">
      <c r="A16929" s="34"/>
      <c r="B16929" s="35"/>
      <c r="C16929" s="36"/>
      <c r="D16929" s="37"/>
      <c r="E16929" s="36"/>
      <c r="F16929" s="42"/>
      <c r="G16929" s="42"/>
      <c r="H16929" s="42"/>
      <c r="AG16929" s="19"/>
    </row>
    <row r="16930" spans="1:33" ht="14.5" x14ac:dyDescent="0.35">
      <c r="A16930" s="34"/>
      <c r="B16930" s="35"/>
      <c r="C16930" s="36"/>
      <c r="D16930" s="37"/>
      <c r="E16930" s="36"/>
      <c r="F16930" s="42"/>
      <c r="G16930" s="42"/>
      <c r="H16930" s="42"/>
      <c r="AG16930" s="19"/>
    </row>
    <row r="16931" spans="1:33" ht="14.5" x14ac:dyDescent="0.35">
      <c r="A16931" s="34"/>
      <c r="B16931" s="35"/>
      <c r="C16931" s="36"/>
      <c r="D16931" s="37"/>
      <c r="E16931" s="36"/>
      <c r="F16931" s="42"/>
      <c r="G16931" s="42"/>
      <c r="H16931" s="42"/>
      <c r="AG16931" s="19"/>
    </row>
    <row r="16932" spans="1:33" ht="14.5" x14ac:dyDescent="0.35">
      <c r="A16932" s="34"/>
      <c r="B16932" s="35"/>
      <c r="C16932" s="36"/>
      <c r="D16932" s="37"/>
      <c r="E16932" s="36"/>
      <c r="F16932" s="42"/>
      <c r="G16932" s="42"/>
      <c r="H16932" s="42"/>
      <c r="AG16932" s="19"/>
    </row>
    <row r="16933" spans="1:33" ht="14.5" x14ac:dyDescent="0.35">
      <c r="A16933" s="34"/>
      <c r="B16933" s="35"/>
      <c r="C16933" s="36"/>
      <c r="D16933" s="37"/>
      <c r="E16933" s="36"/>
      <c r="F16933" s="42"/>
      <c r="G16933" s="42"/>
      <c r="H16933" s="42"/>
      <c r="AG16933" s="19"/>
    </row>
    <row r="16934" spans="1:33" ht="14.5" x14ac:dyDescent="0.35">
      <c r="A16934" s="34"/>
      <c r="B16934" s="35"/>
      <c r="C16934" s="36"/>
      <c r="D16934" s="37"/>
      <c r="E16934" s="36"/>
      <c r="F16934" s="42"/>
      <c r="G16934" s="42"/>
      <c r="H16934" s="42"/>
      <c r="AG16934" s="19"/>
    </row>
    <row r="16935" spans="1:33" ht="14.5" x14ac:dyDescent="0.35">
      <c r="A16935" s="34"/>
      <c r="B16935" s="35"/>
      <c r="C16935" s="36"/>
      <c r="D16935" s="37"/>
      <c r="E16935" s="36"/>
      <c r="F16935" s="42"/>
      <c r="G16935" s="42"/>
      <c r="H16935" s="42"/>
      <c r="AG16935" s="19"/>
    </row>
    <row r="16936" spans="1:33" ht="14.5" x14ac:dyDescent="0.35">
      <c r="A16936" s="34"/>
      <c r="B16936" s="35"/>
      <c r="C16936" s="36"/>
      <c r="D16936" s="37"/>
      <c r="E16936" s="36"/>
      <c r="F16936" s="42"/>
      <c r="G16936" s="42"/>
      <c r="H16936" s="42"/>
      <c r="AG16936" s="19"/>
    </row>
    <row r="16937" spans="1:33" ht="14.5" x14ac:dyDescent="0.35">
      <c r="A16937" s="34"/>
      <c r="B16937" s="35"/>
      <c r="C16937" s="36"/>
      <c r="D16937" s="37"/>
      <c r="E16937" s="36"/>
      <c r="F16937" s="42"/>
      <c r="G16937" s="42"/>
      <c r="H16937" s="42"/>
      <c r="AG16937" s="19"/>
    </row>
    <row r="16938" spans="1:33" ht="14.5" x14ac:dyDescent="0.35">
      <c r="A16938" s="34"/>
      <c r="B16938" s="35"/>
      <c r="C16938" s="36"/>
      <c r="D16938" s="37"/>
      <c r="E16938" s="36"/>
      <c r="F16938" s="42"/>
      <c r="G16938" s="42"/>
      <c r="H16938" s="42"/>
      <c r="AG16938" s="19"/>
    </row>
    <row r="16939" spans="1:33" ht="14.5" x14ac:dyDescent="0.35">
      <c r="A16939" s="34"/>
      <c r="B16939" s="35"/>
      <c r="C16939" s="36"/>
      <c r="D16939" s="37"/>
      <c r="E16939" s="36"/>
      <c r="F16939" s="42"/>
      <c r="G16939" s="42"/>
      <c r="H16939" s="42"/>
      <c r="AG16939" s="19"/>
    </row>
    <row r="16940" spans="1:33" ht="14.5" x14ac:dyDescent="0.35">
      <c r="A16940" s="34"/>
      <c r="B16940" s="35"/>
      <c r="C16940" s="36"/>
      <c r="D16940" s="37"/>
      <c r="E16940" s="36"/>
      <c r="F16940" s="42"/>
      <c r="G16940" s="42"/>
      <c r="H16940" s="42"/>
      <c r="AG16940" s="19"/>
    </row>
    <row r="16941" spans="1:33" ht="14.5" x14ac:dyDescent="0.35">
      <c r="A16941" s="34"/>
      <c r="B16941" s="35"/>
      <c r="C16941" s="36"/>
      <c r="D16941" s="37"/>
      <c r="E16941" s="36"/>
      <c r="F16941" s="42"/>
      <c r="G16941" s="42"/>
      <c r="H16941" s="42"/>
      <c r="AG16941" s="19"/>
    </row>
    <row r="16942" spans="1:33" ht="14.5" x14ac:dyDescent="0.35">
      <c r="A16942" s="34"/>
      <c r="B16942" s="35"/>
      <c r="C16942" s="36"/>
      <c r="D16942" s="37"/>
      <c r="E16942" s="36"/>
      <c r="F16942" s="42"/>
      <c r="G16942" s="42"/>
      <c r="H16942" s="42"/>
      <c r="AG16942" s="19"/>
    </row>
    <row r="16943" spans="1:33" ht="14.5" x14ac:dyDescent="0.35">
      <c r="A16943" s="34"/>
      <c r="B16943" s="35"/>
      <c r="C16943" s="36"/>
      <c r="D16943" s="37"/>
      <c r="E16943" s="36"/>
      <c r="F16943" s="42"/>
      <c r="G16943" s="42"/>
      <c r="H16943" s="42"/>
      <c r="AG16943" s="19"/>
    </row>
    <row r="16944" spans="1:33" ht="14.5" x14ac:dyDescent="0.35">
      <c r="A16944" s="34"/>
      <c r="B16944" s="35"/>
      <c r="C16944" s="36"/>
      <c r="D16944" s="37"/>
      <c r="E16944" s="36"/>
      <c r="F16944" s="42"/>
      <c r="G16944" s="42"/>
      <c r="H16944" s="42"/>
      <c r="AG16944" s="19"/>
    </row>
    <row r="16945" spans="1:33" ht="14.5" x14ac:dyDescent="0.35">
      <c r="A16945" s="34"/>
      <c r="B16945" s="35"/>
      <c r="C16945" s="36"/>
      <c r="D16945" s="37"/>
      <c r="E16945" s="36"/>
      <c r="F16945" s="42"/>
      <c r="G16945" s="42"/>
      <c r="H16945" s="42"/>
      <c r="AG16945" s="19"/>
    </row>
    <row r="16946" spans="1:33" ht="14.5" x14ac:dyDescent="0.35">
      <c r="A16946" s="34"/>
      <c r="B16946" s="35"/>
      <c r="C16946" s="36"/>
      <c r="D16946" s="37"/>
      <c r="E16946" s="36"/>
      <c r="F16946" s="42"/>
      <c r="G16946" s="42"/>
      <c r="H16946" s="42"/>
      <c r="AG16946" s="19"/>
    </row>
    <row r="16947" spans="1:33" ht="14.5" x14ac:dyDescent="0.35">
      <c r="A16947" s="34"/>
      <c r="B16947" s="35"/>
      <c r="C16947" s="36"/>
      <c r="D16947" s="37"/>
      <c r="E16947" s="36"/>
      <c r="F16947" s="42"/>
      <c r="G16947" s="42"/>
      <c r="H16947" s="42"/>
      <c r="AG16947" s="19"/>
    </row>
    <row r="16948" spans="1:33" ht="14.5" x14ac:dyDescent="0.35">
      <c r="A16948" s="34"/>
      <c r="B16948" s="35"/>
      <c r="C16948" s="36"/>
      <c r="D16948" s="37"/>
      <c r="E16948" s="36"/>
      <c r="F16948" s="42"/>
      <c r="G16948" s="42"/>
      <c r="H16948" s="42"/>
      <c r="AG16948" s="19"/>
    </row>
    <row r="16949" spans="1:33" ht="14.5" x14ac:dyDescent="0.35">
      <c r="A16949" s="34"/>
      <c r="B16949" s="35"/>
      <c r="C16949" s="36"/>
      <c r="D16949" s="37"/>
      <c r="E16949" s="36"/>
      <c r="F16949" s="42"/>
      <c r="G16949" s="42"/>
      <c r="H16949" s="42"/>
      <c r="AG16949" s="19"/>
    </row>
    <row r="16950" spans="1:33" ht="14.5" x14ac:dyDescent="0.35">
      <c r="A16950" s="34"/>
      <c r="B16950" s="35"/>
      <c r="C16950" s="36"/>
      <c r="D16950" s="37"/>
      <c r="E16950" s="36"/>
      <c r="F16950" s="42"/>
      <c r="G16950" s="42"/>
      <c r="H16950" s="42"/>
      <c r="AG16950" s="19"/>
    </row>
    <row r="16951" spans="1:33" ht="14.5" x14ac:dyDescent="0.35">
      <c r="A16951" s="34"/>
      <c r="B16951" s="35"/>
      <c r="C16951" s="36"/>
      <c r="D16951" s="37"/>
      <c r="E16951" s="36"/>
      <c r="F16951" s="42"/>
      <c r="G16951" s="42"/>
      <c r="H16951" s="42"/>
      <c r="AG16951" s="19"/>
    </row>
    <row r="16952" spans="1:33" ht="14.5" x14ac:dyDescent="0.35">
      <c r="A16952" s="34"/>
      <c r="B16952" s="35"/>
      <c r="C16952" s="36"/>
      <c r="D16952" s="37"/>
      <c r="E16952" s="36"/>
      <c r="F16952" s="42"/>
      <c r="G16952" s="42"/>
      <c r="H16952" s="42"/>
      <c r="AG16952" s="19"/>
    </row>
    <row r="16953" spans="1:33" ht="14.5" x14ac:dyDescent="0.35">
      <c r="A16953" s="34"/>
      <c r="B16953" s="35"/>
      <c r="C16953" s="36"/>
      <c r="D16953" s="37"/>
      <c r="E16953" s="36"/>
      <c r="F16953" s="42"/>
      <c r="G16953" s="42"/>
      <c r="H16953" s="42"/>
      <c r="AG16953" s="19"/>
    </row>
    <row r="16954" spans="1:33" ht="14.5" x14ac:dyDescent="0.35">
      <c r="A16954" s="34"/>
      <c r="B16954" s="35"/>
      <c r="C16954" s="36"/>
      <c r="D16954" s="37"/>
      <c r="E16954" s="36"/>
      <c r="F16954" s="42"/>
      <c r="G16954" s="42"/>
      <c r="H16954" s="42"/>
      <c r="AG16954" s="19"/>
    </row>
    <row r="16955" spans="1:33" ht="14.5" x14ac:dyDescent="0.35">
      <c r="A16955" s="34"/>
      <c r="B16955" s="35"/>
      <c r="C16955" s="36"/>
      <c r="D16955" s="37"/>
      <c r="E16955" s="36"/>
      <c r="F16955" s="42"/>
      <c r="G16955" s="42"/>
      <c r="H16955" s="42"/>
      <c r="AG16955" s="19"/>
    </row>
    <row r="16956" spans="1:33" ht="14.5" x14ac:dyDescent="0.35">
      <c r="A16956" s="34"/>
      <c r="B16956" s="35"/>
      <c r="C16956" s="36"/>
      <c r="D16956" s="37"/>
      <c r="E16956" s="36"/>
      <c r="F16956" s="42"/>
      <c r="G16956" s="42"/>
      <c r="H16956" s="42"/>
      <c r="AG16956" s="19"/>
    </row>
    <row r="16957" spans="1:33" ht="14.5" x14ac:dyDescent="0.35">
      <c r="A16957" s="34"/>
      <c r="B16957" s="35"/>
      <c r="C16957" s="36"/>
      <c r="D16957" s="37"/>
      <c r="E16957" s="36"/>
      <c r="F16957" s="42"/>
      <c r="G16957" s="42"/>
      <c r="H16957" s="42"/>
      <c r="AG16957" s="19"/>
    </row>
    <row r="16958" spans="1:33" ht="14.5" x14ac:dyDescent="0.35">
      <c r="A16958" s="34"/>
      <c r="B16958" s="35"/>
      <c r="C16958" s="36"/>
      <c r="D16958" s="37"/>
      <c r="E16958" s="36"/>
      <c r="F16958" s="42"/>
      <c r="G16958" s="42"/>
      <c r="H16958" s="42"/>
      <c r="AG16958" s="19"/>
    </row>
    <row r="16959" spans="1:33" ht="14.5" x14ac:dyDescent="0.35">
      <c r="A16959" s="34"/>
      <c r="B16959" s="35"/>
      <c r="C16959" s="36"/>
      <c r="D16959" s="37"/>
      <c r="E16959" s="36"/>
      <c r="F16959" s="42"/>
      <c r="G16959" s="42"/>
      <c r="H16959" s="42"/>
      <c r="AG16959" s="19"/>
    </row>
    <row r="16960" spans="1:33" ht="14.5" x14ac:dyDescent="0.35">
      <c r="A16960" s="34"/>
      <c r="B16960" s="35"/>
      <c r="C16960" s="36"/>
      <c r="D16960" s="37"/>
      <c r="E16960" s="36"/>
      <c r="F16960" s="42"/>
      <c r="G16960" s="42"/>
      <c r="H16960" s="42"/>
      <c r="AG16960" s="19"/>
    </row>
    <row r="16961" spans="1:33" ht="14.5" x14ac:dyDescent="0.35">
      <c r="A16961" s="34"/>
      <c r="B16961" s="35"/>
      <c r="C16961" s="36"/>
      <c r="D16961" s="37"/>
      <c r="E16961" s="36"/>
      <c r="F16961" s="42"/>
      <c r="G16961" s="42"/>
      <c r="H16961" s="42"/>
      <c r="AG16961" s="19"/>
    </row>
    <row r="16962" spans="1:33" ht="14.5" x14ac:dyDescent="0.35">
      <c r="A16962" s="34"/>
      <c r="B16962" s="35"/>
      <c r="C16962" s="36"/>
      <c r="D16962" s="37"/>
      <c r="E16962" s="36"/>
      <c r="F16962" s="42"/>
      <c r="G16962" s="42"/>
      <c r="H16962" s="42"/>
      <c r="AG16962" s="19"/>
    </row>
    <row r="16963" spans="1:33" ht="14.5" x14ac:dyDescent="0.35">
      <c r="A16963" s="34"/>
      <c r="B16963" s="35"/>
      <c r="C16963" s="36"/>
      <c r="D16963" s="37"/>
      <c r="E16963" s="36"/>
      <c r="F16963" s="42"/>
      <c r="G16963" s="42"/>
      <c r="H16963" s="42"/>
      <c r="AG16963" s="19"/>
    </row>
    <row r="16964" spans="1:33" ht="14.5" x14ac:dyDescent="0.35">
      <c r="A16964" s="34"/>
      <c r="B16964" s="35"/>
      <c r="C16964" s="36"/>
      <c r="D16964" s="37"/>
      <c r="E16964" s="36"/>
      <c r="F16964" s="42"/>
      <c r="G16964" s="42"/>
      <c r="H16964" s="42"/>
      <c r="AG16964" s="19"/>
    </row>
    <row r="16965" spans="1:33" ht="14.5" x14ac:dyDescent="0.35">
      <c r="A16965" s="34"/>
      <c r="B16965" s="35"/>
      <c r="C16965" s="36"/>
      <c r="D16965" s="37"/>
      <c r="E16965" s="36"/>
      <c r="F16965" s="42"/>
      <c r="G16965" s="42"/>
      <c r="H16965" s="42"/>
      <c r="AG16965" s="19"/>
    </row>
    <row r="16966" spans="1:33" ht="14.5" x14ac:dyDescent="0.35">
      <c r="A16966" s="34"/>
      <c r="B16966" s="35"/>
      <c r="C16966" s="36"/>
      <c r="D16966" s="37"/>
      <c r="E16966" s="36"/>
      <c r="F16966" s="42"/>
      <c r="G16966" s="42"/>
      <c r="H16966" s="42"/>
      <c r="AG16966" s="19"/>
    </row>
    <row r="16967" spans="1:33" ht="14.5" x14ac:dyDescent="0.35">
      <c r="A16967" s="34"/>
      <c r="B16967" s="35"/>
      <c r="C16967" s="36"/>
      <c r="D16967" s="37"/>
      <c r="E16967" s="36"/>
      <c r="F16967" s="42"/>
      <c r="G16967" s="42"/>
      <c r="H16967" s="42"/>
      <c r="AG16967" s="19"/>
    </row>
    <row r="16968" spans="1:33" ht="14.5" x14ac:dyDescent="0.35">
      <c r="A16968" s="34"/>
      <c r="B16968" s="35"/>
      <c r="C16968" s="36"/>
      <c r="D16968" s="37"/>
      <c r="E16968" s="36"/>
      <c r="F16968" s="42"/>
      <c r="G16968" s="42"/>
      <c r="H16968" s="42"/>
      <c r="AG16968" s="19"/>
    </row>
    <row r="16969" spans="1:33" ht="14.5" x14ac:dyDescent="0.35">
      <c r="A16969" s="34"/>
      <c r="B16969" s="35"/>
      <c r="C16969" s="36"/>
      <c r="D16969" s="37"/>
      <c r="E16969" s="36"/>
      <c r="F16969" s="42"/>
      <c r="G16969" s="42"/>
      <c r="H16969" s="42"/>
      <c r="AG16969" s="19"/>
    </row>
    <row r="16970" spans="1:33" ht="14.5" x14ac:dyDescent="0.35">
      <c r="A16970" s="34"/>
      <c r="B16970" s="35"/>
      <c r="C16970" s="36"/>
      <c r="D16970" s="37"/>
      <c r="E16970" s="36"/>
      <c r="F16970" s="42"/>
      <c r="G16970" s="42"/>
      <c r="H16970" s="42"/>
      <c r="AG16970" s="19"/>
    </row>
    <row r="16971" spans="1:33" ht="14.5" x14ac:dyDescent="0.35">
      <c r="A16971" s="34"/>
      <c r="B16971" s="35"/>
      <c r="C16971" s="36"/>
      <c r="D16971" s="37"/>
      <c r="E16971" s="36"/>
      <c r="F16971" s="42"/>
      <c r="G16971" s="42"/>
      <c r="H16971" s="42"/>
      <c r="AG16971" s="19"/>
    </row>
    <row r="16972" spans="1:33" ht="14.5" x14ac:dyDescent="0.35">
      <c r="A16972" s="34"/>
      <c r="B16972" s="35"/>
      <c r="C16972" s="36"/>
      <c r="D16972" s="37"/>
      <c r="E16972" s="36"/>
      <c r="F16972" s="42"/>
      <c r="G16972" s="42"/>
      <c r="H16972" s="42"/>
      <c r="AG16972" s="19"/>
    </row>
    <row r="16973" spans="1:33" ht="14.5" x14ac:dyDescent="0.35">
      <c r="A16973" s="34"/>
      <c r="B16973" s="35"/>
      <c r="C16973" s="36"/>
      <c r="D16973" s="37"/>
      <c r="E16973" s="36"/>
      <c r="F16973" s="42"/>
      <c r="G16973" s="42"/>
      <c r="H16973" s="42"/>
      <c r="AG16973" s="19"/>
    </row>
    <row r="16974" spans="1:33" ht="14.5" x14ac:dyDescent="0.35">
      <c r="A16974" s="34"/>
      <c r="B16974" s="35"/>
      <c r="C16974" s="36"/>
      <c r="D16974" s="37"/>
      <c r="E16974" s="36"/>
      <c r="F16974" s="42"/>
      <c r="G16974" s="42"/>
      <c r="H16974" s="42"/>
      <c r="AG16974" s="19"/>
    </row>
    <row r="16975" spans="1:33" ht="14.5" x14ac:dyDescent="0.35">
      <c r="A16975" s="34"/>
      <c r="B16975" s="35"/>
      <c r="C16975" s="36"/>
      <c r="D16975" s="37"/>
      <c r="E16975" s="36"/>
      <c r="F16975" s="42"/>
      <c r="G16975" s="42"/>
      <c r="H16975" s="42"/>
      <c r="AG16975" s="19"/>
    </row>
    <row r="16976" spans="1:33" ht="14.5" x14ac:dyDescent="0.35">
      <c r="A16976" s="34"/>
      <c r="B16976" s="35"/>
      <c r="C16976" s="36"/>
      <c r="D16976" s="37"/>
      <c r="E16976" s="36"/>
      <c r="F16976" s="42"/>
      <c r="G16976" s="42"/>
      <c r="H16976" s="42"/>
      <c r="AG16976" s="19"/>
    </row>
    <row r="16977" spans="1:33" ht="14.5" x14ac:dyDescent="0.35">
      <c r="A16977" s="34"/>
      <c r="B16977" s="35"/>
      <c r="C16977" s="36"/>
      <c r="D16977" s="37"/>
      <c r="E16977" s="36"/>
      <c r="F16977" s="42"/>
      <c r="G16977" s="42"/>
      <c r="H16977" s="42"/>
      <c r="AG16977" s="19"/>
    </row>
    <row r="16978" spans="1:33" ht="14.5" x14ac:dyDescent="0.35">
      <c r="A16978" s="34"/>
      <c r="B16978" s="35"/>
      <c r="C16978" s="36"/>
      <c r="D16978" s="37"/>
      <c r="E16978" s="36"/>
      <c r="F16978" s="42"/>
      <c r="G16978" s="42"/>
      <c r="H16978" s="42"/>
      <c r="AG16978" s="19"/>
    </row>
    <row r="16979" spans="1:33" ht="14.5" x14ac:dyDescent="0.35">
      <c r="A16979" s="34"/>
      <c r="B16979" s="35"/>
      <c r="C16979" s="36"/>
      <c r="D16979" s="37"/>
      <c r="E16979" s="36"/>
      <c r="F16979" s="42"/>
      <c r="G16979" s="42"/>
      <c r="H16979" s="42"/>
      <c r="AG16979" s="19"/>
    </row>
    <row r="16980" spans="1:33" ht="14.5" x14ac:dyDescent="0.35">
      <c r="A16980" s="34"/>
      <c r="B16980" s="35"/>
      <c r="C16980" s="36"/>
      <c r="D16980" s="37"/>
      <c r="E16980" s="36"/>
      <c r="F16980" s="42"/>
      <c r="G16980" s="42"/>
      <c r="H16980" s="42"/>
      <c r="AG16980" s="19"/>
    </row>
    <row r="16981" spans="1:33" ht="14.5" x14ac:dyDescent="0.35">
      <c r="A16981" s="34"/>
      <c r="B16981" s="35"/>
      <c r="C16981" s="36"/>
      <c r="D16981" s="37"/>
      <c r="E16981" s="36"/>
      <c r="F16981" s="42"/>
      <c r="G16981" s="42"/>
      <c r="H16981" s="42"/>
      <c r="AG16981" s="19"/>
    </row>
    <row r="16982" spans="1:33" ht="14.5" x14ac:dyDescent="0.35">
      <c r="A16982" s="34"/>
      <c r="B16982" s="35"/>
      <c r="C16982" s="36"/>
      <c r="D16982" s="37"/>
      <c r="E16982" s="36"/>
      <c r="F16982" s="42"/>
      <c r="G16982" s="42"/>
      <c r="H16982" s="42"/>
      <c r="AG16982" s="19"/>
    </row>
    <row r="16983" spans="1:33" ht="14.5" x14ac:dyDescent="0.35">
      <c r="A16983" s="34"/>
      <c r="B16983" s="35"/>
      <c r="C16983" s="36"/>
      <c r="D16983" s="37"/>
      <c r="E16983" s="36"/>
      <c r="F16983" s="42"/>
      <c r="G16983" s="42"/>
      <c r="H16983" s="42"/>
      <c r="AG16983" s="19"/>
    </row>
    <row r="16984" spans="1:33" ht="14.5" x14ac:dyDescent="0.35">
      <c r="A16984" s="34"/>
      <c r="B16984" s="35"/>
      <c r="C16984" s="36"/>
      <c r="D16984" s="37"/>
      <c r="E16984" s="36"/>
      <c r="F16984" s="42"/>
      <c r="G16984" s="42"/>
      <c r="H16984" s="42"/>
      <c r="AG16984" s="19"/>
    </row>
    <row r="16985" spans="1:33" ht="14.5" x14ac:dyDescent="0.35">
      <c r="A16985" s="34"/>
      <c r="B16985" s="35"/>
      <c r="C16985" s="36"/>
      <c r="D16985" s="37"/>
      <c r="E16985" s="36"/>
      <c r="F16985" s="42"/>
      <c r="G16985" s="42"/>
      <c r="H16985" s="42"/>
      <c r="AG16985" s="19"/>
    </row>
    <row r="16986" spans="1:33" ht="14.5" x14ac:dyDescent="0.35">
      <c r="A16986" s="34"/>
      <c r="B16986" s="35"/>
      <c r="C16986" s="36"/>
      <c r="D16986" s="37"/>
      <c r="E16986" s="36"/>
      <c r="F16986" s="42"/>
      <c r="G16986" s="42"/>
      <c r="H16986" s="42"/>
      <c r="AG16986" s="19"/>
    </row>
    <row r="16987" spans="1:33" ht="14.5" x14ac:dyDescent="0.35">
      <c r="A16987" s="34"/>
      <c r="B16987" s="35"/>
      <c r="C16987" s="36"/>
      <c r="D16987" s="37"/>
      <c r="E16987" s="36"/>
      <c r="F16987" s="42"/>
      <c r="G16987" s="42"/>
      <c r="H16987" s="42"/>
      <c r="AG16987" s="19"/>
    </row>
    <row r="16988" spans="1:33" ht="14.5" x14ac:dyDescent="0.35">
      <c r="A16988" s="34"/>
      <c r="B16988" s="35"/>
      <c r="C16988" s="36"/>
      <c r="D16988" s="37"/>
      <c r="E16988" s="36"/>
      <c r="F16988" s="42"/>
      <c r="G16988" s="42"/>
      <c r="H16988" s="42"/>
      <c r="AG16988" s="19"/>
    </row>
    <row r="16989" spans="1:33" ht="14.5" x14ac:dyDescent="0.35">
      <c r="A16989" s="34"/>
      <c r="B16989" s="35"/>
      <c r="C16989" s="36"/>
      <c r="D16989" s="37"/>
      <c r="E16989" s="36"/>
      <c r="F16989" s="42"/>
      <c r="G16989" s="42"/>
      <c r="H16989" s="42"/>
      <c r="AG16989" s="19"/>
    </row>
    <row r="16990" spans="1:33" ht="14.5" x14ac:dyDescent="0.35">
      <c r="A16990" s="34"/>
      <c r="B16990" s="35"/>
      <c r="C16990" s="36"/>
      <c r="D16990" s="37"/>
      <c r="E16990" s="36"/>
      <c r="F16990" s="42"/>
      <c r="G16990" s="42"/>
      <c r="H16990" s="42"/>
      <c r="AG16990" s="19"/>
    </row>
    <row r="16991" spans="1:33" ht="14.5" x14ac:dyDescent="0.35">
      <c r="A16991" s="34"/>
      <c r="B16991" s="35"/>
      <c r="C16991" s="36"/>
      <c r="D16991" s="37"/>
      <c r="E16991" s="36"/>
      <c r="F16991" s="42"/>
      <c r="G16991" s="42"/>
      <c r="H16991" s="42"/>
      <c r="AG16991" s="19"/>
    </row>
    <row r="16992" spans="1:33" ht="14.5" x14ac:dyDescent="0.35">
      <c r="A16992" s="34"/>
      <c r="B16992" s="35"/>
      <c r="C16992" s="36"/>
      <c r="D16992" s="37"/>
      <c r="E16992" s="36"/>
      <c r="F16992" s="42"/>
      <c r="G16992" s="42"/>
      <c r="H16992" s="42"/>
      <c r="AG16992" s="19"/>
    </row>
    <row r="16993" spans="1:33" ht="14.5" x14ac:dyDescent="0.35">
      <c r="A16993" s="34"/>
      <c r="B16993" s="35"/>
      <c r="C16993" s="36"/>
      <c r="D16993" s="37"/>
      <c r="E16993" s="36"/>
      <c r="F16993" s="42"/>
      <c r="G16993" s="42"/>
      <c r="H16993" s="42"/>
      <c r="AG16993" s="19"/>
    </row>
    <row r="16994" spans="1:33" ht="14.5" x14ac:dyDescent="0.35">
      <c r="A16994" s="34"/>
      <c r="B16994" s="35"/>
      <c r="C16994" s="36"/>
      <c r="D16994" s="37"/>
      <c r="E16994" s="36"/>
      <c r="F16994" s="42"/>
      <c r="G16994" s="42"/>
      <c r="H16994" s="42"/>
      <c r="AG16994" s="19"/>
    </row>
    <row r="16995" spans="1:33" ht="14.5" x14ac:dyDescent="0.35">
      <c r="A16995" s="34"/>
      <c r="B16995" s="35"/>
      <c r="C16995" s="36"/>
      <c r="D16995" s="37"/>
      <c r="E16995" s="36"/>
      <c r="F16995" s="42"/>
      <c r="G16995" s="42"/>
      <c r="H16995" s="42"/>
      <c r="AG16995" s="19"/>
    </row>
    <row r="16996" spans="1:33" ht="14.5" x14ac:dyDescent="0.35">
      <c r="A16996" s="34"/>
      <c r="B16996" s="35"/>
      <c r="C16996" s="36"/>
      <c r="D16996" s="37"/>
      <c r="E16996" s="36"/>
      <c r="F16996" s="42"/>
      <c r="G16996" s="42"/>
      <c r="H16996" s="42"/>
      <c r="AG16996" s="19"/>
    </row>
    <row r="16997" spans="1:33" ht="14.5" x14ac:dyDescent="0.35">
      <c r="A16997" s="34"/>
      <c r="B16997" s="35"/>
      <c r="C16997" s="36"/>
      <c r="D16997" s="37"/>
      <c r="E16997" s="36"/>
      <c r="F16997" s="42"/>
      <c r="G16997" s="42"/>
      <c r="H16997" s="42"/>
      <c r="AG16997" s="19"/>
    </row>
    <row r="16998" spans="1:33" ht="14.5" x14ac:dyDescent="0.35">
      <c r="A16998" s="34"/>
      <c r="B16998" s="35"/>
      <c r="C16998" s="36"/>
      <c r="D16998" s="37"/>
      <c r="E16998" s="36"/>
      <c r="F16998" s="42"/>
      <c r="G16998" s="42"/>
      <c r="H16998" s="42"/>
      <c r="AG16998" s="19"/>
    </row>
    <row r="16999" spans="1:33" ht="14.5" x14ac:dyDescent="0.35">
      <c r="A16999" s="34"/>
      <c r="B16999" s="35"/>
      <c r="C16999" s="36"/>
      <c r="D16999" s="37"/>
      <c r="E16999" s="36"/>
      <c r="F16999" s="42"/>
      <c r="G16999" s="42"/>
      <c r="H16999" s="42"/>
      <c r="AG16999" s="19"/>
    </row>
    <row r="17000" spans="1:33" ht="14.5" x14ac:dyDescent="0.35">
      <c r="A17000" s="34"/>
      <c r="B17000" s="35"/>
      <c r="C17000" s="36"/>
      <c r="D17000" s="37"/>
      <c r="E17000" s="36"/>
      <c r="F17000" s="42"/>
      <c r="G17000" s="42"/>
      <c r="H17000" s="42"/>
      <c r="AG17000" s="19"/>
    </row>
    <row r="17001" spans="1:33" ht="14.5" x14ac:dyDescent="0.35">
      <c r="A17001" s="34"/>
      <c r="B17001" s="35"/>
      <c r="C17001" s="36"/>
      <c r="D17001" s="37"/>
      <c r="E17001" s="36"/>
      <c r="F17001" s="42"/>
      <c r="G17001" s="42"/>
      <c r="H17001" s="42"/>
      <c r="AG17001" s="19"/>
    </row>
    <row r="17002" spans="1:33" ht="14.5" x14ac:dyDescent="0.35">
      <c r="A17002" s="34"/>
      <c r="B17002" s="35"/>
      <c r="C17002" s="36"/>
      <c r="D17002" s="37"/>
      <c r="E17002" s="36"/>
      <c r="F17002" s="42"/>
      <c r="G17002" s="42"/>
      <c r="H17002" s="42"/>
      <c r="AG17002" s="19"/>
    </row>
    <row r="17003" spans="1:33" ht="14.5" x14ac:dyDescent="0.35">
      <c r="A17003" s="34"/>
      <c r="B17003" s="35"/>
      <c r="C17003" s="36"/>
      <c r="D17003" s="37"/>
      <c r="E17003" s="36"/>
      <c r="F17003" s="42"/>
      <c r="G17003" s="42"/>
      <c r="H17003" s="42"/>
      <c r="AG17003" s="19"/>
    </row>
    <row r="17004" spans="1:33" ht="14.5" x14ac:dyDescent="0.35">
      <c r="A17004" s="34"/>
      <c r="B17004" s="35"/>
      <c r="C17004" s="36"/>
      <c r="D17004" s="37"/>
      <c r="E17004" s="36"/>
      <c r="F17004" s="42"/>
      <c r="G17004" s="42"/>
      <c r="H17004" s="42"/>
      <c r="AG17004" s="19"/>
    </row>
    <row r="17005" spans="1:33" ht="14.5" x14ac:dyDescent="0.35">
      <c r="A17005" s="34"/>
      <c r="B17005" s="35"/>
      <c r="C17005" s="36"/>
      <c r="D17005" s="37"/>
      <c r="E17005" s="36"/>
      <c r="F17005" s="42"/>
      <c r="G17005" s="42"/>
      <c r="H17005" s="42"/>
      <c r="AG17005" s="19"/>
    </row>
    <row r="17006" spans="1:33" ht="14.5" x14ac:dyDescent="0.35">
      <c r="A17006" s="34"/>
      <c r="B17006" s="35"/>
      <c r="C17006" s="36"/>
      <c r="D17006" s="37"/>
      <c r="E17006" s="36"/>
      <c r="F17006" s="42"/>
      <c r="G17006" s="42"/>
      <c r="H17006" s="42"/>
      <c r="AG17006" s="19"/>
    </row>
    <row r="17007" spans="1:33" ht="14.5" x14ac:dyDescent="0.35">
      <c r="A17007" s="34"/>
      <c r="B17007" s="35"/>
      <c r="C17007" s="36"/>
      <c r="D17007" s="37"/>
      <c r="E17007" s="36"/>
      <c r="F17007" s="42"/>
      <c r="G17007" s="42"/>
      <c r="H17007" s="42"/>
      <c r="AG17007" s="19"/>
    </row>
    <row r="17008" spans="1:33" ht="14.5" x14ac:dyDescent="0.35">
      <c r="A17008" s="34"/>
      <c r="B17008" s="35"/>
      <c r="C17008" s="36"/>
      <c r="D17008" s="37"/>
      <c r="E17008" s="36"/>
      <c r="F17008" s="42"/>
      <c r="G17008" s="42"/>
      <c r="H17008" s="42"/>
      <c r="AG17008" s="19"/>
    </row>
    <row r="17009" spans="1:33" ht="14.5" x14ac:dyDescent="0.35">
      <c r="A17009" s="34"/>
      <c r="B17009" s="35"/>
      <c r="C17009" s="36"/>
      <c r="D17009" s="37"/>
      <c r="E17009" s="36"/>
      <c r="F17009" s="42"/>
      <c r="G17009" s="42"/>
      <c r="H17009" s="42"/>
      <c r="AG17009" s="19"/>
    </row>
    <row r="17010" spans="1:33" ht="14.5" x14ac:dyDescent="0.35">
      <c r="A17010" s="34"/>
      <c r="B17010" s="35"/>
      <c r="C17010" s="36"/>
      <c r="D17010" s="37"/>
      <c r="E17010" s="36"/>
      <c r="F17010" s="42"/>
      <c r="G17010" s="42"/>
      <c r="H17010" s="42"/>
      <c r="AG17010" s="19"/>
    </row>
    <row r="17011" spans="1:33" ht="14.5" x14ac:dyDescent="0.35">
      <c r="A17011" s="34"/>
      <c r="B17011" s="35"/>
      <c r="C17011" s="36"/>
      <c r="D17011" s="37"/>
      <c r="E17011" s="36"/>
      <c r="F17011" s="42"/>
      <c r="G17011" s="42"/>
      <c r="H17011" s="42"/>
      <c r="AG17011" s="19"/>
    </row>
    <row r="17012" spans="1:33" ht="14.5" x14ac:dyDescent="0.35">
      <c r="A17012" s="34"/>
      <c r="B17012" s="35"/>
      <c r="C17012" s="36"/>
      <c r="D17012" s="37"/>
      <c r="E17012" s="36"/>
      <c r="F17012" s="42"/>
      <c r="G17012" s="42"/>
      <c r="H17012" s="42"/>
      <c r="AG17012" s="19"/>
    </row>
    <row r="17013" spans="1:33" ht="14.5" x14ac:dyDescent="0.35">
      <c r="A17013" s="34"/>
      <c r="B17013" s="35"/>
      <c r="C17013" s="36"/>
      <c r="D17013" s="37"/>
      <c r="E17013" s="36"/>
      <c r="F17013" s="42"/>
      <c r="G17013" s="42"/>
      <c r="H17013" s="42"/>
      <c r="AG17013" s="19"/>
    </row>
    <row r="17014" spans="1:33" ht="14.5" x14ac:dyDescent="0.35">
      <c r="A17014" s="34"/>
      <c r="B17014" s="35"/>
      <c r="C17014" s="36"/>
      <c r="D17014" s="37"/>
      <c r="E17014" s="36"/>
      <c r="F17014" s="42"/>
      <c r="G17014" s="42"/>
      <c r="H17014" s="42"/>
      <c r="AG17014" s="19"/>
    </row>
    <row r="17015" spans="1:33" ht="14.5" x14ac:dyDescent="0.35">
      <c r="A17015" s="34"/>
      <c r="B17015" s="35"/>
      <c r="C17015" s="36"/>
      <c r="D17015" s="37"/>
      <c r="E17015" s="36"/>
      <c r="F17015" s="42"/>
      <c r="G17015" s="42"/>
      <c r="H17015" s="42"/>
      <c r="AG17015" s="19"/>
    </row>
    <row r="17016" spans="1:33" ht="14.5" x14ac:dyDescent="0.35">
      <c r="A17016" s="34"/>
      <c r="B17016" s="35"/>
      <c r="C17016" s="36"/>
      <c r="D17016" s="37"/>
      <c r="E17016" s="36"/>
      <c r="F17016" s="42"/>
      <c r="G17016" s="42"/>
      <c r="H17016" s="42"/>
      <c r="AG17016" s="19"/>
    </row>
    <row r="17017" spans="1:33" ht="14.5" x14ac:dyDescent="0.35">
      <c r="A17017" s="34"/>
      <c r="B17017" s="35"/>
      <c r="C17017" s="36"/>
      <c r="D17017" s="37"/>
      <c r="E17017" s="36"/>
      <c r="F17017" s="42"/>
      <c r="G17017" s="42"/>
      <c r="H17017" s="42"/>
      <c r="AG17017" s="19"/>
    </row>
    <row r="17018" spans="1:33" ht="14.5" x14ac:dyDescent="0.35">
      <c r="A17018" s="34"/>
      <c r="B17018" s="35"/>
      <c r="C17018" s="36"/>
      <c r="D17018" s="37"/>
      <c r="E17018" s="36"/>
      <c r="F17018" s="42"/>
      <c r="G17018" s="42"/>
      <c r="H17018" s="42"/>
      <c r="AG17018" s="19"/>
    </row>
    <row r="17019" spans="1:33" ht="14.5" x14ac:dyDescent="0.35">
      <c r="A17019" s="34"/>
      <c r="B17019" s="35"/>
      <c r="C17019" s="36"/>
      <c r="D17019" s="37"/>
      <c r="E17019" s="36"/>
      <c r="F17019" s="42"/>
      <c r="G17019" s="42"/>
      <c r="H17019" s="42"/>
      <c r="AG17019" s="19"/>
    </row>
    <row r="17020" spans="1:33" ht="14.5" x14ac:dyDescent="0.35">
      <c r="A17020" s="34"/>
      <c r="B17020" s="35"/>
      <c r="C17020" s="36"/>
      <c r="D17020" s="37"/>
      <c r="E17020" s="36"/>
      <c r="F17020" s="42"/>
      <c r="G17020" s="42"/>
      <c r="H17020" s="42"/>
      <c r="AG17020" s="19"/>
    </row>
    <row r="17021" spans="1:33" ht="14.5" x14ac:dyDescent="0.35">
      <c r="A17021" s="34"/>
      <c r="B17021" s="35"/>
      <c r="C17021" s="36"/>
      <c r="D17021" s="37"/>
      <c r="E17021" s="36"/>
      <c r="F17021" s="42"/>
      <c r="G17021" s="42"/>
      <c r="H17021" s="42"/>
      <c r="AG17021" s="19"/>
    </row>
    <row r="17022" spans="1:33" ht="14.5" x14ac:dyDescent="0.35">
      <c r="A17022" s="34"/>
      <c r="B17022" s="35"/>
      <c r="C17022" s="36"/>
      <c r="D17022" s="37"/>
      <c r="E17022" s="36"/>
      <c r="F17022" s="42"/>
      <c r="G17022" s="42"/>
      <c r="H17022" s="42"/>
      <c r="AG17022" s="19"/>
    </row>
    <row r="17023" spans="1:33" ht="14.5" x14ac:dyDescent="0.35">
      <c r="A17023" s="34"/>
      <c r="B17023" s="35"/>
      <c r="C17023" s="36"/>
      <c r="D17023" s="37"/>
      <c r="E17023" s="36"/>
      <c r="F17023" s="42"/>
      <c r="G17023" s="42"/>
      <c r="H17023" s="42"/>
      <c r="AG17023" s="19"/>
    </row>
    <row r="17024" spans="1:33" ht="14.5" x14ac:dyDescent="0.35">
      <c r="A17024" s="34"/>
      <c r="B17024" s="35"/>
      <c r="C17024" s="36"/>
      <c r="D17024" s="37"/>
      <c r="E17024" s="36"/>
      <c r="F17024" s="42"/>
      <c r="G17024" s="42"/>
      <c r="H17024" s="42"/>
      <c r="AG17024" s="19"/>
    </row>
    <row r="17025" spans="1:33" ht="14.5" x14ac:dyDescent="0.35">
      <c r="A17025" s="34"/>
      <c r="B17025" s="35"/>
      <c r="C17025" s="36"/>
      <c r="D17025" s="37"/>
      <c r="E17025" s="36"/>
      <c r="F17025" s="42"/>
      <c r="G17025" s="42"/>
      <c r="H17025" s="42"/>
      <c r="AG17025" s="19"/>
    </row>
    <row r="17026" spans="1:33" ht="14.5" x14ac:dyDescent="0.35">
      <c r="A17026" s="34"/>
      <c r="B17026" s="35"/>
      <c r="C17026" s="36"/>
      <c r="D17026" s="37"/>
      <c r="E17026" s="36"/>
      <c r="F17026" s="42"/>
      <c r="G17026" s="42"/>
      <c r="H17026" s="42"/>
      <c r="AG17026" s="19"/>
    </row>
    <row r="17027" spans="1:33" ht="14.5" x14ac:dyDescent="0.35">
      <c r="A17027" s="34"/>
      <c r="B17027" s="35"/>
      <c r="C17027" s="36"/>
      <c r="D17027" s="37"/>
      <c r="E17027" s="36"/>
      <c r="F17027" s="42"/>
      <c r="G17027" s="42"/>
      <c r="H17027" s="42"/>
      <c r="AG17027" s="19"/>
    </row>
    <row r="17028" spans="1:33" ht="14.5" x14ac:dyDescent="0.35">
      <c r="A17028" s="34"/>
      <c r="B17028" s="35"/>
      <c r="C17028" s="36"/>
      <c r="D17028" s="37"/>
      <c r="E17028" s="36"/>
      <c r="F17028" s="42"/>
      <c r="G17028" s="42"/>
      <c r="H17028" s="42"/>
      <c r="AG17028" s="19"/>
    </row>
    <row r="17029" spans="1:33" ht="14.5" x14ac:dyDescent="0.35">
      <c r="A17029" s="34"/>
      <c r="B17029" s="35"/>
      <c r="C17029" s="36"/>
      <c r="D17029" s="37"/>
      <c r="E17029" s="36"/>
      <c r="F17029" s="42"/>
      <c r="G17029" s="42"/>
      <c r="H17029" s="42"/>
      <c r="AG17029" s="19"/>
    </row>
    <row r="17030" spans="1:33" ht="14.5" x14ac:dyDescent="0.35">
      <c r="A17030" s="34"/>
      <c r="B17030" s="35"/>
      <c r="C17030" s="36"/>
      <c r="D17030" s="37"/>
      <c r="E17030" s="36"/>
      <c r="F17030" s="42"/>
      <c r="G17030" s="42"/>
      <c r="H17030" s="42"/>
      <c r="AG17030" s="19"/>
    </row>
    <row r="17031" spans="1:33" ht="14.5" x14ac:dyDescent="0.35">
      <c r="A17031" s="34"/>
      <c r="B17031" s="35"/>
      <c r="C17031" s="36"/>
      <c r="D17031" s="37"/>
      <c r="E17031" s="36"/>
      <c r="F17031" s="42"/>
      <c r="G17031" s="42"/>
      <c r="H17031" s="42"/>
      <c r="AG17031" s="19"/>
    </row>
    <row r="17032" spans="1:33" ht="14.5" x14ac:dyDescent="0.35">
      <c r="A17032" s="34"/>
      <c r="B17032" s="35"/>
      <c r="C17032" s="36"/>
      <c r="D17032" s="37"/>
      <c r="E17032" s="36"/>
      <c r="F17032" s="42"/>
      <c r="G17032" s="42"/>
      <c r="H17032" s="42"/>
      <c r="AG17032" s="19"/>
    </row>
    <row r="17033" spans="1:33" ht="14.5" x14ac:dyDescent="0.35">
      <c r="A17033" s="34"/>
      <c r="B17033" s="35"/>
      <c r="C17033" s="36"/>
      <c r="D17033" s="37"/>
      <c r="E17033" s="36"/>
      <c r="F17033" s="42"/>
      <c r="G17033" s="42"/>
      <c r="H17033" s="42"/>
      <c r="AG17033" s="19"/>
    </row>
    <row r="17034" spans="1:33" ht="14.5" x14ac:dyDescent="0.35">
      <c r="A17034" s="34"/>
      <c r="B17034" s="35"/>
      <c r="C17034" s="36"/>
      <c r="D17034" s="37"/>
      <c r="E17034" s="36"/>
      <c r="F17034" s="42"/>
      <c r="G17034" s="42"/>
      <c r="H17034" s="42"/>
      <c r="AG17034" s="19"/>
    </row>
    <row r="17035" spans="1:33" ht="14.5" x14ac:dyDescent="0.35">
      <c r="A17035" s="34"/>
      <c r="B17035" s="35"/>
      <c r="C17035" s="36"/>
      <c r="D17035" s="37"/>
      <c r="E17035" s="36"/>
      <c r="F17035" s="42"/>
      <c r="G17035" s="42"/>
      <c r="H17035" s="42"/>
      <c r="AG17035" s="19"/>
    </row>
    <row r="17036" spans="1:33" ht="14.5" x14ac:dyDescent="0.35">
      <c r="A17036" s="34"/>
      <c r="B17036" s="35"/>
      <c r="C17036" s="36"/>
      <c r="D17036" s="37"/>
      <c r="E17036" s="36"/>
      <c r="F17036" s="42"/>
      <c r="G17036" s="42"/>
      <c r="H17036" s="42"/>
      <c r="AG17036" s="19"/>
    </row>
    <row r="17037" spans="1:33" ht="14.5" x14ac:dyDescent="0.35">
      <c r="A17037" s="34"/>
      <c r="B17037" s="35"/>
      <c r="C17037" s="36"/>
      <c r="D17037" s="37"/>
      <c r="E17037" s="36"/>
      <c r="F17037" s="42"/>
      <c r="G17037" s="42"/>
      <c r="H17037" s="42"/>
      <c r="AG17037" s="19"/>
    </row>
    <row r="17038" spans="1:33" ht="14.5" x14ac:dyDescent="0.35">
      <c r="A17038" s="34"/>
      <c r="B17038" s="35"/>
      <c r="C17038" s="36"/>
      <c r="D17038" s="37"/>
      <c r="E17038" s="36"/>
      <c r="F17038" s="42"/>
      <c r="G17038" s="42"/>
      <c r="H17038" s="42"/>
      <c r="AG17038" s="19"/>
    </row>
    <row r="17039" spans="1:33" ht="14.5" x14ac:dyDescent="0.35">
      <c r="A17039" s="34"/>
      <c r="B17039" s="35"/>
      <c r="C17039" s="36"/>
      <c r="D17039" s="37"/>
      <c r="E17039" s="36"/>
      <c r="F17039" s="42"/>
      <c r="G17039" s="42"/>
      <c r="H17039" s="42"/>
      <c r="AG17039" s="19"/>
    </row>
    <row r="17040" spans="1:33" ht="14.5" x14ac:dyDescent="0.35">
      <c r="A17040" s="34"/>
      <c r="B17040" s="35"/>
      <c r="C17040" s="36"/>
      <c r="D17040" s="37"/>
      <c r="E17040" s="36"/>
      <c r="F17040" s="42"/>
      <c r="G17040" s="42"/>
      <c r="H17040" s="42"/>
      <c r="AG17040" s="19"/>
    </row>
    <row r="17041" spans="1:33" ht="14.5" x14ac:dyDescent="0.35">
      <c r="A17041" s="34"/>
      <c r="B17041" s="35"/>
      <c r="C17041" s="36"/>
      <c r="D17041" s="37"/>
      <c r="E17041" s="36"/>
      <c r="F17041" s="42"/>
      <c r="G17041" s="42"/>
      <c r="H17041" s="42"/>
      <c r="AG17041" s="19"/>
    </row>
    <row r="17042" spans="1:33" ht="14.5" x14ac:dyDescent="0.35">
      <c r="A17042" s="34"/>
      <c r="B17042" s="35"/>
      <c r="C17042" s="36"/>
      <c r="D17042" s="37"/>
      <c r="E17042" s="36"/>
      <c r="F17042" s="42"/>
      <c r="G17042" s="42"/>
      <c r="H17042" s="42"/>
      <c r="AG17042" s="19"/>
    </row>
    <row r="17043" spans="1:33" ht="14.5" x14ac:dyDescent="0.35">
      <c r="A17043" s="34"/>
      <c r="B17043" s="35"/>
      <c r="C17043" s="36"/>
      <c r="D17043" s="37"/>
      <c r="E17043" s="36"/>
      <c r="F17043" s="42"/>
      <c r="G17043" s="42"/>
      <c r="H17043" s="42"/>
      <c r="AG17043" s="19"/>
    </row>
    <row r="17044" spans="1:33" ht="14.5" x14ac:dyDescent="0.35">
      <c r="A17044" s="34"/>
      <c r="B17044" s="35"/>
      <c r="C17044" s="36"/>
      <c r="D17044" s="37"/>
      <c r="E17044" s="36"/>
      <c r="F17044" s="42"/>
      <c r="G17044" s="42"/>
      <c r="H17044" s="42"/>
      <c r="AG17044" s="19"/>
    </row>
    <row r="17045" spans="1:33" ht="14.5" x14ac:dyDescent="0.35">
      <c r="A17045" s="34"/>
      <c r="B17045" s="35"/>
      <c r="C17045" s="36"/>
      <c r="D17045" s="37"/>
      <c r="E17045" s="36"/>
      <c r="F17045" s="42"/>
      <c r="G17045" s="42"/>
      <c r="H17045" s="42"/>
      <c r="AG17045" s="19"/>
    </row>
    <row r="17046" spans="1:33" ht="14.5" x14ac:dyDescent="0.35">
      <c r="A17046" s="34"/>
      <c r="B17046" s="35"/>
      <c r="C17046" s="36"/>
      <c r="D17046" s="37"/>
      <c r="E17046" s="36"/>
      <c r="F17046" s="42"/>
      <c r="G17046" s="42"/>
      <c r="H17046" s="42"/>
      <c r="AG17046" s="19"/>
    </row>
    <row r="17047" spans="1:33" ht="14.5" x14ac:dyDescent="0.35">
      <c r="A17047" s="34"/>
      <c r="B17047" s="35"/>
      <c r="C17047" s="36"/>
      <c r="D17047" s="37"/>
      <c r="E17047" s="36"/>
      <c r="F17047" s="42"/>
      <c r="G17047" s="42"/>
      <c r="H17047" s="42"/>
      <c r="AG17047" s="19"/>
    </row>
    <row r="17048" spans="1:33" ht="14.5" x14ac:dyDescent="0.35">
      <c r="A17048" s="34"/>
      <c r="B17048" s="35"/>
      <c r="C17048" s="36"/>
      <c r="D17048" s="37"/>
      <c r="E17048" s="36"/>
      <c r="F17048" s="42"/>
      <c r="G17048" s="42"/>
      <c r="H17048" s="42"/>
      <c r="AG17048" s="19"/>
    </row>
    <row r="17049" spans="1:33" ht="14.5" x14ac:dyDescent="0.35">
      <c r="A17049" s="34"/>
      <c r="B17049" s="35"/>
      <c r="C17049" s="36"/>
      <c r="D17049" s="37"/>
      <c r="E17049" s="36"/>
      <c r="F17049" s="42"/>
      <c r="G17049" s="42"/>
      <c r="H17049" s="42"/>
      <c r="AG17049" s="19"/>
    </row>
    <row r="17050" spans="1:33" ht="14.5" x14ac:dyDescent="0.35">
      <c r="A17050" s="34"/>
      <c r="B17050" s="35"/>
      <c r="C17050" s="36"/>
      <c r="D17050" s="37"/>
      <c r="E17050" s="36"/>
      <c r="F17050" s="42"/>
      <c r="G17050" s="42"/>
      <c r="H17050" s="42"/>
      <c r="AG17050" s="19"/>
    </row>
    <row r="17051" spans="1:33" ht="14.5" x14ac:dyDescent="0.35">
      <c r="A17051" s="34"/>
      <c r="B17051" s="35"/>
      <c r="C17051" s="36"/>
      <c r="D17051" s="37"/>
      <c r="E17051" s="36"/>
      <c r="F17051" s="42"/>
      <c r="G17051" s="42"/>
      <c r="H17051" s="42"/>
      <c r="AG17051" s="19"/>
    </row>
    <row r="17052" spans="1:33" ht="14.5" x14ac:dyDescent="0.35">
      <c r="A17052" s="34"/>
      <c r="B17052" s="35"/>
      <c r="C17052" s="36"/>
      <c r="D17052" s="37"/>
      <c r="E17052" s="36"/>
      <c r="F17052" s="42"/>
      <c r="G17052" s="42"/>
      <c r="H17052" s="42"/>
      <c r="AG17052" s="19"/>
    </row>
    <row r="17053" spans="1:33" ht="14.5" x14ac:dyDescent="0.35">
      <c r="A17053" s="34"/>
      <c r="B17053" s="35"/>
      <c r="C17053" s="36"/>
      <c r="D17053" s="37"/>
      <c r="E17053" s="36"/>
      <c r="F17053" s="42"/>
      <c r="G17053" s="42"/>
      <c r="H17053" s="42"/>
      <c r="AG17053" s="19"/>
    </row>
    <row r="17054" spans="1:33" ht="14.5" x14ac:dyDescent="0.35">
      <c r="A17054" s="34"/>
      <c r="B17054" s="35"/>
      <c r="C17054" s="36"/>
      <c r="D17054" s="37"/>
      <c r="E17054" s="36"/>
      <c r="F17054" s="42"/>
      <c r="G17054" s="42"/>
      <c r="H17054" s="42"/>
      <c r="AG17054" s="19"/>
    </row>
    <row r="17055" spans="1:33" ht="14.5" x14ac:dyDescent="0.35">
      <c r="A17055" s="34"/>
      <c r="B17055" s="35"/>
      <c r="C17055" s="36"/>
      <c r="D17055" s="37"/>
      <c r="E17055" s="36"/>
      <c r="F17055" s="42"/>
      <c r="G17055" s="42"/>
      <c r="H17055" s="42"/>
      <c r="AG17055" s="19"/>
    </row>
    <row r="17056" spans="1:33" ht="14.5" x14ac:dyDescent="0.35">
      <c r="A17056" s="34"/>
      <c r="B17056" s="35"/>
      <c r="C17056" s="36"/>
      <c r="D17056" s="37"/>
      <c r="E17056" s="36"/>
      <c r="F17056" s="42"/>
      <c r="G17056" s="42"/>
      <c r="H17056" s="42"/>
      <c r="AG17056" s="19"/>
    </row>
    <row r="17057" spans="1:33" ht="14.5" x14ac:dyDescent="0.35">
      <c r="A17057" s="34"/>
      <c r="B17057" s="35"/>
      <c r="C17057" s="36"/>
      <c r="D17057" s="37"/>
      <c r="E17057" s="36"/>
      <c r="F17057" s="42"/>
      <c r="G17057" s="42"/>
      <c r="H17057" s="42"/>
      <c r="AG17057" s="19"/>
    </row>
    <row r="17058" spans="1:33" ht="14.5" x14ac:dyDescent="0.35">
      <c r="A17058" s="34"/>
      <c r="B17058" s="35"/>
      <c r="C17058" s="36"/>
      <c r="D17058" s="37"/>
      <c r="E17058" s="36"/>
      <c r="F17058" s="42"/>
      <c r="G17058" s="42"/>
      <c r="H17058" s="42"/>
      <c r="AG17058" s="19"/>
    </row>
    <row r="17059" spans="1:33" ht="14.5" x14ac:dyDescent="0.35">
      <c r="A17059" s="34"/>
      <c r="B17059" s="35"/>
      <c r="C17059" s="36"/>
      <c r="D17059" s="37"/>
      <c r="E17059" s="36"/>
      <c r="F17059" s="42"/>
      <c r="G17059" s="42"/>
      <c r="H17059" s="42"/>
      <c r="AG17059" s="19"/>
    </row>
    <row r="17060" spans="1:33" ht="14.5" x14ac:dyDescent="0.35">
      <c r="A17060" s="34"/>
      <c r="B17060" s="35"/>
      <c r="C17060" s="36"/>
      <c r="D17060" s="37"/>
      <c r="E17060" s="36"/>
      <c r="F17060" s="42"/>
      <c r="G17060" s="42"/>
      <c r="H17060" s="42"/>
      <c r="AG17060" s="19"/>
    </row>
    <row r="17061" spans="1:33" ht="14.5" x14ac:dyDescent="0.35">
      <c r="A17061" s="34"/>
      <c r="B17061" s="35"/>
      <c r="C17061" s="36"/>
      <c r="D17061" s="37"/>
      <c r="E17061" s="36"/>
      <c r="F17061" s="42"/>
      <c r="G17061" s="42"/>
      <c r="H17061" s="42"/>
      <c r="AG17061" s="19"/>
    </row>
    <row r="17062" spans="1:33" ht="14.5" x14ac:dyDescent="0.35">
      <c r="A17062" s="34"/>
      <c r="B17062" s="35"/>
      <c r="C17062" s="36"/>
      <c r="D17062" s="37"/>
      <c r="E17062" s="36"/>
      <c r="F17062" s="42"/>
      <c r="G17062" s="42"/>
      <c r="H17062" s="42"/>
      <c r="AG17062" s="19"/>
    </row>
    <row r="17063" spans="1:33" ht="14.5" x14ac:dyDescent="0.35">
      <c r="A17063" s="34"/>
      <c r="B17063" s="35"/>
      <c r="C17063" s="36"/>
      <c r="D17063" s="37"/>
      <c r="E17063" s="36"/>
      <c r="F17063" s="42"/>
      <c r="G17063" s="42"/>
      <c r="H17063" s="42"/>
      <c r="AG17063" s="19"/>
    </row>
    <row r="17064" spans="1:33" ht="14.5" x14ac:dyDescent="0.35">
      <c r="A17064" s="34"/>
      <c r="B17064" s="35"/>
      <c r="C17064" s="36"/>
      <c r="D17064" s="37"/>
      <c r="E17064" s="36"/>
      <c r="F17064" s="42"/>
      <c r="G17064" s="42"/>
      <c r="H17064" s="42"/>
      <c r="AG17064" s="19"/>
    </row>
    <row r="17065" spans="1:33" ht="14.5" x14ac:dyDescent="0.35">
      <c r="A17065" s="34"/>
      <c r="B17065" s="35"/>
      <c r="C17065" s="36"/>
      <c r="D17065" s="37"/>
      <c r="E17065" s="36"/>
      <c r="F17065" s="42"/>
      <c r="G17065" s="42"/>
      <c r="H17065" s="42"/>
      <c r="AG17065" s="19"/>
    </row>
    <row r="17066" spans="1:33" ht="14.5" x14ac:dyDescent="0.35">
      <c r="A17066" s="34"/>
      <c r="B17066" s="35"/>
      <c r="C17066" s="36"/>
      <c r="D17066" s="37"/>
      <c r="E17066" s="36"/>
      <c r="F17066" s="42"/>
      <c r="G17066" s="42"/>
      <c r="H17066" s="42"/>
      <c r="AG17066" s="19"/>
    </row>
    <row r="17067" spans="1:33" ht="14.5" x14ac:dyDescent="0.35">
      <c r="A17067" s="34"/>
      <c r="B17067" s="35"/>
      <c r="C17067" s="36"/>
      <c r="D17067" s="37"/>
      <c r="E17067" s="36"/>
      <c r="F17067" s="42"/>
      <c r="G17067" s="42"/>
      <c r="H17067" s="42"/>
      <c r="AG17067" s="19"/>
    </row>
    <row r="17068" spans="1:33" ht="14.5" x14ac:dyDescent="0.35">
      <c r="A17068" s="34"/>
      <c r="B17068" s="35"/>
      <c r="C17068" s="36"/>
      <c r="D17068" s="37"/>
      <c r="E17068" s="36"/>
      <c r="F17068" s="42"/>
      <c r="G17068" s="42"/>
      <c r="H17068" s="42"/>
      <c r="AG17068" s="19"/>
    </row>
    <row r="17069" spans="1:33" ht="14.5" x14ac:dyDescent="0.35">
      <c r="A17069" s="34"/>
      <c r="B17069" s="35"/>
      <c r="C17069" s="36"/>
      <c r="D17069" s="37"/>
      <c r="E17069" s="36"/>
      <c r="F17069" s="42"/>
      <c r="G17069" s="42"/>
      <c r="H17069" s="42"/>
      <c r="AG17069" s="19"/>
    </row>
    <row r="17070" spans="1:33" ht="14.5" x14ac:dyDescent="0.35">
      <c r="A17070" s="34"/>
      <c r="B17070" s="35"/>
      <c r="C17070" s="36"/>
      <c r="D17070" s="37"/>
      <c r="E17070" s="36"/>
      <c r="F17070" s="42"/>
      <c r="G17070" s="42"/>
      <c r="H17070" s="42"/>
      <c r="AG17070" s="19"/>
    </row>
    <row r="17071" spans="1:33" ht="14.5" x14ac:dyDescent="0.35">
      <c r="A17071" s="34"/>
      <c r="B17071" s="35"/>
      <c r="C17071" s="36"/>
      <c r="D17071" s="37"/>
      <c r="E17071" s="36"/>
      <c r="F17071" s="42"/>
      <c r="G17071" s="42"/>
      <c r="H17071" s="42"/>
      <c r="AG17071" s="19"/>
    </row>
    <row r="17072" spans="1:33" ht="14.5" x14ac:dyDescent="0.35">
      <c r="A17072" s="34"/>
      <c r="B17072" s="35"/>
      <c r="C17072" s="36"/>
      <c r="D17072" s="37"/>
      <c r="E17072" s="36"/>
      <c r="F17072" s="42"/>
      <c r="G17072" s="42"/>
      <c r="H17072" s="42"/>
      <c r="AG17072" s="19"/>
    </row>
    <row r="17073" spans="1:33" ht="14.5" x14ac:dyDescent="0.35">
      <c r="A17073" s="34"/>
      <c r="B17073" s="35"/>
      <c r="C17073" s="36"/>
      <c r="D17073" s="37"/>
      <c r="E17073" s="36"/>
      <c r="F17073" s="42"/>
      <c r="G17073" s="42"/>
      <c r="H17073" s="42"/>
      <c r="AG17073" s="19"/>
    </row>
    <row r="17074" spans="1:33" ht="14.5" x14ac:dyDescent="0.35">
      <c r="A17074" s="34"/>
      <c r="B17074" s="35"/>
      <c r="C17074" s="36"/>
      <c r="D17074" s="37"/>
      <c r="E17074" s="36"/>
      <c r="F17074" s="42"/>
      <c r="G17074" s="42"/>
      <c r="H17074" s="42"/>
      <c r="AG17074" s="19"/>
    </row>
    <row r="17075" spans="1:33" ht="14.5" x14ac:dyDescent="0.35">
      <c r="A17075" s="34"/>
      <c r="B17075" s="35"/>
      <c r="C17075" s="36"/>
      <c r="D17075" s="37"/>
      <c r="E17075" s="36"/>
      <c r="F17075" s="42"/>
      <c r="G17075" s="42"/>
      <c r="H17075" s="42"/>
      <c r="AG17075" s="19"/>
    </row>
    <row r="17076" spans="1:33" ht="14.5" x14ac:dyDescent="0.35">
      <c r="A17076" s="34"/>
      <c r="B17076" s="35"/>
      <c r="C17076" s="36"/>
      <c r="D17076" s="37"/>
      <c r="E17076" s="36"/>
      <c r="F17076" s="42"/>
      <c r="G17076" s="42"/>
      <c r="H17076" s="42"/>
      <c r="AG17076" s="19"/>
    </row>
    <row r="17077" spans="1:33" ht="14.5" x14ac:dyDescent="0.35">
      <c r="A17077" s="34"/>
      <c r="B17077" s="35"/>
      <c r="C17077" s="36"/>
      <c r="D17077" s="37"/>
      <c r="E17077" s="36"/>
      <c r="F17077" s="42"/>
      <c r="G17077" s="42"/>
      <c r="H17077" s="42"/>
      <c r="AG17077" s="19"/>
    </row>
    <row r="17078" spans="1:33" ht="14.5" x14ac:dyDescent="0.35">
      <c r="A17078" s="34"/>
      <c r="B17078" s="35"/>
      <c r="C17078" s="36"/>
      <c r="D17078" s="37"/>
      <c r="E17078" s="36"/>
      <c r="F17078" s="42"/>
      <c r="G17078" s="42"/>
      <c r="H17078" s="42"/>
      <c r="AG17078" s="19"/>
    </row>
    <row r="17079" spans="1:33" ht="14.5" x14ac:dyDescent="0.35">
      <c r="A17079" s="34"/>
      <c r="B17079" s="35"/>
      <c r="C17079" s="36"/>
      <c r="D17079" s="37"/>
      <c r="E17079" s="36"/>
      <c r="F17079" s="42"/>
      <c r="G17079" s="42"/>
      <c r="H17079" s="42"/>
      <c r="AG17079" s="19"/>
    </row>
    <row r="17080" spans="1:33" ht="14.5" x14ac:dyDescent="0.35">
      <c r="A17080" s="34"/>
      <c r="B17080" s="35"/>
      <c r="C17080" s="36"/>
      <c r="D17080" s="37"/>
      <c r="E17080" s="36"/>
      <c r="F17080" s="42"/>
      <c r="G17080" s="42"/>
      <c r="H17080" s="42"/>
      <c r="AG17080" s="19"/>
    </row>
    <row r="17081" spans="1:33" ht="14.5" x14ac:dyDescent="0.35">
      <c r="A17081" s="34"/>
      <c r="B17081" s="35"/>
      <c r="C17081" s="36"/>
      <c r="D17081" s="37"/>
      <c r="E17081" s="36"/>
      <c r="F17081" s="42"/>
      <c r="G17081" s="42"/>
      <c r="H17081" s="42"/>
      <c r="AG17081" s="19"/>
    </row>
    <row r="17082" spans="1:33" ht="14.5" x14ac:dyDescent="0.35">
      <c r="A17082" s="34"/>
      <c r="B17082" s="35"/>
      <c r="C17082" s="36"/>
      <c r="D17082" s="37"/>
      <c r="E17082" s="36"/>
      <c r="F17082" s="42"/>
      <c r="G17082" s="42"/>
      <c r="H17082" s="42"/>
      <c r="AG17082" s="19"/>
    </row>
    <row r="17083" spans="1:33" ht="14.5" x14ac:dyDescent="0.35">
      <c r="A17083" s="34"/>
      <c r="B17083" s="35"/>
      <c r="C17083" s="36"/>
      <c r="D17083" s="37"/>
      <c r="E17083" s="36"/>
      <c r="F17083" s="42"/>
      <c r="G17083" s="42"/>
      <c r="H17083" s="42"/>
      <c r="AG17083" s="19"/>
    </row>
    <row r="17084" spans="1:33" ht="14.5" x14ac:dyDescent="0.35">
      <c r="A17084" s="34"/>
      <c r="B17084" s="35"/>
      <c r="C17084" s="36"/>
      <c r="D17084" s="37"/>
      <c r="E17084" s="36"/>
      <c r="F17084" s="42"/>
      <c r="G17084" s="42"/>
      <c r="H17084" s="42"/>
      <c r="AG17084" s="19"/>
    </row>
    <row r="17085" spans="1:33" ht="14.5" x14ac:dyDescent="0.35">
      <c r="A17085" s="34"/>
      <c r="B17085" s="35"/>
      <c r="C17085" s="36"/>
      <c r="D17085" s="37"/>
      <c r="E17085" s="36"/>
      <c r="F17085" s="42"/>
      <c r="G17085" s="42"/>
      <c r="H17085" s="42"/>
      <c r="AG17085" s="19"/>
    </row>
    <row r="17086" spans="1:33" ht="14.5" x14ac:dyDescent="0.35">
      <c r="A17086" s="34"/>
      <c r="B17086" s="35"/>
      <c r="C17086" s="36"/>
      <c r="D17086" s="37"/>
      <c r="E17086" s="36"/>
      <c r="F17086" s="42"/>
      <c r="G17086" s="42"/>
      <c r="H17086" s="42"/>
      <c r="AG17086" s="19"/>
    </row>
    <row r="17087" spans="1:33" ht="14.5" x14ac:dyDescent="0.35">
      <c r="A17087" s="34"/>
      <c r="B17087" s="35"/>
      <c r="C17087" s="36"/>
      <c r="D17087" s="37"/>
      <c r="E17087" s="36"/>
      <c r="F17087" s="42"/>
      <c r="G17087" s="42"/>
      <c r="H17087" s="42"/>
      <c r="AG17087" s="19"/>
    </row>
    <row r="17088" spans="1:33" ht="14.5" x14ac:dyDescent="0.35">
      <c r="A17088" s="34"/>
      <c r="B17088" s="35"/>
      <c r="C17088" s="36"/>
      <c r="D17088" s="37"/>
      <c r="E17088" s="36"/>
      <c r="F17088" s="42"/>
      <c r="G17088" s="42"/>
      <c r="H17088" s="42"/>
      <c r="AG17088" s="19"/>
    </row>
    <row r="17089" spans="1:33" ht="14.5" x14ac:dyDescent="0.35">
      <c r="A17089" s="34"/>
      <c r="B17089" s="35"/>
      <c r="C17089" s="36"/>
      <c r="D17089" s="37"/>
      <c r="E17089" s="36"/>
      <c r="F17089" s="42"/>
      <c r="G17089" s="42"/>
      <c r="H17089" s="42"/>
      <c r="AG17089" s="19"/>
    </row>
    <row r="17090" spans="1:33" ht="14.5" x14ac:dyDescent="0.35">
      <c r="A17090" s="34"/>
      <c r="B17090" s="35"/>
      <c r="C17090" s="36"/>
      <c r="D17090" s="37"/>
      <c r="E17090" s="36"/>
      <c r="F17090" s="42"/>
      <c r="G17090" s="42"/>
      <c r="H17090" s="42"/>
      <c r="AG17090" s="19"/>
    </row>
    <row r="17091" spans="1:33" ht="14.5" x14ac:dyDescent="0.35">
      <c r="A17091" s="34"/>
      <c r="B17091" s="35"/>
      <c r="C17091" s="36"/>
      <c r="D17091" s="37"/>
      <c r="E17091" s="36"/>
      <c r="F17091" s="42"/>
      <c r="G17091" s="42"/>
      <c r="H17091" s="42"/>
      <c r="AG17091" s="19"/>
    </row>
    <row r="17092" spans="1:33" ht="14.5" x14ac:dyDescent="0.35">
      <c r="A17092" s="34"/>
      <c r="B17092" s="35"/>
      <c r="C17092" s="36"/>
      <c r="D17092" s="37"/>
      <c r="E17092" s="36"/>
      <c r="F17092" s="42"/>
      <c r="G17092" s="42"/>
      <c r="H17092" s="42"/>
      <c r="AG17092" s="19"/>
    </row>
    <row r="17093" spans="1:33" ht="14.5" x14ac:dyDescent="0.35">
      <c r="A17093" s="34"/>
      <c r="B17093" s="35"/>
      <c r="C17093" s="36"/>
      <c r="D17093" s="37"/>
      <c r="E17093" s="36"/>
      <c r="F17093" s="42"/>
      <c r="G17093" s="42"/>
      <c r="H17093" s="42"/>
      <c r="AG17093" s="19"/>
    </row>
    <row r="17094" spans="1:33" ht="14.5" x14ac:dyDescent="0.35">
      <c r="A17094" s="34"/>
      <c r="B17094" s="35"/>
      <c r="C17094" s="36"/>
      <c r="D17094" s="37"/>
      <c r="E17094" s="36"/>
      <c r="F17094" s="42"/>
      <c r="G17094" s="42"/>
      <c r="H17094" s="42"/>
      <c r="AG17094" s="19"/>
    </row>
    <row r="17095" spans="1:33" ht="14.5" x14ac:dyDescent="0.35">
      <c r="A17095" s="34"/>
      <c r="B17095" s="35"/>
      <c r="C17095" s="36"/>
      <c r="D17095" s="37"/>
      <c r="E17095" s="36"/>
      <c r="F17095" s="42"/>
      <c r="G17095" s="42"/>
      <c r="H17095" s="42"/>
      <c r="AG17095" s="19"/>
    </row>
    <row r="17096" spans="1:33" ht="14.5" x14ac:dyDescent="0.35">
      <c r="A17096" s="34"/>
      <c r="B17096" s="35"/>
      <c r="C17096" s="36"/>
      <c r="D17096" s="37"/>
      <c r="E17096" s="36"/>
      <c r="F17096" s="42"/>
      <c r="G17096" s="42"/>
      <c r="H17096" s="42"/>
      <c r="AG17096" s="19"/>
    </row>
    <row r="17097" spans="1:33" ht="14.5" x14ac:dyDescent="0.35">
      <c r="A17097" s="34"/>
      <c r="B17097" s="35"/>
      <c r="C17097" s="36"/>
      <c r="D17097" s="37"/>
      <c r="E17097" s="36"/>
      <c r="F17097" s="42"/>
      <c r="G17097" s="42"/>
      <c r="H17097" s="42"/>
      <c r="AG17097" s="19"/>
    </row>
    <row r="17098" spans="1:33" ht="14.5" x14ac:dyDescent="0.35">
      <c r="A17098" s="34"/>
      <c r="B17098" s="35"/>
      <c r="C17098" s="36"/>
      <c r="D17098" s="37"/>
      <c r="E17098" s="36"/>
      <c r="F17098" s="42"/>
      <c r="G17098" s="42"/>
      <c r="H17098" s="42"/>
      <c r="AG17098" s="19"/>
    </row>
    <row r="17099" spans="1:33" ht="14.5" x14ac:dyDescent="0.35">
      <c r="A17099" s="34"/>
      <c r="B17099" s="35"/>
      <c r="C17099" s="36"/>
      <c r="D17099" s="37"/>
      <c r="E17099" s="36"/>
      <c r="F17099" s="42"/>
      <c r="G17099" s="42"/>
      <c r="H17099" s="42"/>
      <c r="AG17099" s="19"/>
    </row>
    <row r="17100" spans="1:33" ht="14.5" x14ac:dyDescent="0.35">
      <c r="A17100" s="34"/>
      <c r="B17100" s="35"/>
      <c r="C17100" s="36"/>
      <c r="D17100" s="37"/>
      <c r="E17100" s="36"/>
      <c r="F17100" s="42"/>
      <c r="G17100" s="42"/>
      <c r="H17100" s="42"/>
      <c r="AG17100" s="19"/>
    </row>
    <row r="17101" spans="1:33" ht="14.5" x14ac:dyDescent="0.35">
      <c r="A17101" s="34"/>
      <c r="B17101" s="35"/>
      <c r="C17101" s="36"/>
      <c r="D17101" s="37"/>
      <c r="E17101" s="36"/>
      <c r="F17101" s="42"/>
      <c r="G17101" s="42"/>
      <c r="H17101" s="42"/>
      <c r="AG17101" s="19"/>
    </row>
    <row r="17102" spans="1:33" ht="14.5" x14ac:dyDescent="0.35">
      <c r="A17102" s="34"/>
      <c r="B17102" s="35"/>
      <c r="C17102" s="36"/>
      <c r="D17102" s="37"/>
      <c r="E17102" s="36"/>
      <c r="F17102" s="42"/>
      <c r="G17102" s="42"/>
      <c r="H17102" s="42"/>
      <c r="AG17102" s="19"/>
    </row>
    <row r="17103" spans="1:33" ht="14.5" x14ac:dyDescent="0.35">
      <c r="A17103" s="34"/>
      <c r="B17103" s="35"/>
      <c r="C17103" s="36"/>
      <c r="D17103" s="37"/>
      <c r="E17103" s="36"/>
      <c r="F17103" s="42"/>
      <c r="G17103" s="42"/>
      <c r="H17103" s="42"/>
      <c r="AG17103" s="19"/>
    </row>
    <row r="17104" spans="1:33" ht="14.5" x14ac:dyDescent="0.35">
      <c r="A17104" s="34"/>
      <c r="B17104" s="35"/>
      <c r="C17104" s="36"/>
      <c r="D17104" s="37"/>
      <c r="E17104" s="36"/>
      <c r="F17104" s="42"/>
      <c r="G17104" s="42"/>
      <c r="H17104" s="42"/>
      <c r="AG17104" s="19"/>
    </row>
    <row r="17105" spans="1:33" ht="14.5" x14ac:dyDescent="0.35">
      <c r="A17105" s="34"/>
      <c r="B17105" s="35"/>
      <c r="C17105" s="36"/>
      <c r="D17105" s="37"/>
      <c r="E17105" s="36"/>
      <c r="F17105" s="42"/>
      <c r="G17105" s="42"/>
      <c r="H17105" s="42"/>
      <c r="AG17105" s="19"/>
    </row>
    <row r="17106" spans="1:33" ht="14.5" x14ac:dyDescent="0.35">
      <c r="A17106" s="34"/>
      <c r="B17106" s="35"/>
      <c r="C17106" s="36"/>
      <c r="D17106" s="37"/>
      <c r="E17106" s="36"/>
      <c r="F17106" s="42"/>
      <c r="G17106" s="42"/>
      <c r="H17106" s="42"/>
      <c r="AG17106" s="19"/>
    </row>
    <row r="17107" spans="1:33" ht="14.5" x14ac:dyDescent="0.35">
      <c r="A17107" s="34"/>
      <c r="B17107" s="35"/>
      <c r="C17107" s="36"/>
      <c r="D17107" s="37"/>
      <c r="E17107" s="36"/>
      <c r="F17107" s="42"/>
      <c r="G17107" s="42"/>
      <c r="H17107" s="42"/>
      <c r="AG17107" s="19"/>
    </row>
    <row r="17108" spans="1:33" ht="14.5" x14ac:dyDescent="0.35">
      <c r="A17108" s="34"/>
      <c r="B17108" s="35"/>
      <c r="C17108" s="36"/>
      <c r="D17108" s="37"/>
      <c r="E17108" s="36"/>
      <c r="F17108" s="42"/>
      <c r="G17108" s="42"/>
      <c r="H17108" s="42"/>
      <c r="AG17108" s="19"/>
    </row>
    <row r="17109" spans="1:33" ht="14.5" x14ac:dyDescent="0.35">
      <c r="A17109" s="34"/>
      <c r="B17109" s="35"/>
      <c r="C17109" s="36"/>
      <c r="D17109" s="37"/>
      <c r="E17109" s="36"/>
      <c r="F17109" s="42"/>
      <c r="G17109" s="42"/>
      <c r="H17109" s="42"/>
      <c r="AG17109" s="19"/>
    </row>
    <row r="17110" spans="1:33" ht="14.5" x14ac:dyDescent="0.35">
      <c r="A17110" s="34"/>
      <c r="B17110" s="35"/>
      <c r="C17110" s="36"/>
      <c r="D17110" s="37"/>
      <c r="E17110" s="36"/>
      <c r="F17110" s="42"/>
      <c r="G17110" s="42"/>
      <c r="H17110" s="42"/>
      <c r="AG17110" s="19"/>
    </row>
    <row r="17111" spans="1:33" ht="14.5" x14ac:dyDescent="0.35">
      <c r="A17111" s="34"/>
      <c r="B17111" s="35"/>
      <c r="C17111" s="36"/>
      <c r="D17111" s="37"/>
      <c r="E17111" s="36"/>
      <c r="F17111" s="42"/>
      <c r="G17111" s="42"/>
      <c r="H17111" s="42"/>
      <c r="AG17111" s="19"/>
    </row>
    <row r="17112" spans="1:33" ht="14.5" x14ac:dyDescent="0.35">
      <c r="A17112" s="34"/>
      <c r="B17112" s="35"/>
      <c r="C17112" s="36"/>
      <c r="D17112" s="37"/>
      <c r="E17112" s="36"/>
      <c r="F17112" s="42"/>
      <c r="G17112" s="42"/>
      <c r="H17112" s="42"/>
      <c r="AG17112" s="19"/>
    </row>
    <row r="17113" spans="1:33" ht="14.5" x14ac:dyDescent="0.35">
      <c r="A17113" s="34"/>
      <c r="B17113" s="35"/>
      <c r="C17113" s="36"/>
      <c r="D17113" s="37"/>
      <c r="E17113" s="36"/>
      <c r="F17113" s="42"/>
      <c r="G17113" s="42"/>
      <c r="H17113" s="42"/>
      <c r="AG17113" s="19"/>
    </row>
    <row r="17114" spans="1:33" ht="14.5" x14ac:dyDescent="0.35">
      <c r="A17114" s="34"/>
      <c r="B17114" s="35"/>
      <c r="C17114" s="36"/>
      <c r="D17114" s="37"/>
      <c r="E17114" s="36"/>
      <c r="F17114" s="42"/>
      <c r="G17114" s="42"/>
      <c r="H17114" s="42"/>
      <c r="AG17114" s="19"/>
    </row>
    <row r="17115" spans="1:33" ht="14.5" x14ac:dyDescent="0.35">
      <c r="A17115" s="34"/>
      <c r="B17115" s="35"/>
      <c r="C17115" s="36"/>
      <c r="D17115" s="37"/>
      <c r="E17115" s="36"/>
      <c r="F17115" s="42"/>
      <c r="G17115" s="42"/>
      <c r="H17115" s="42"/>
      <c r="AG17115" s="19"/>
    </row>
    <row r="17116" spans="1:33" ht="14.5" x14ac:dyDescent="0.35">
      <c r="A17116" s="34"/>
      <c r="B17116" s="35"/>
      <c r="C17116" s="36"/>
      <c r="D17116" s="37"/>
      <c r="E17116" s="36"/>
      <c r="F17116" s="42"/>
      <c r="G17116" s="42"/>
      <c r="H17116" s="42"/>
      <c r="AG17116" s="19"/>
    </row>
    <row r="17117" spans="1:33" ht="14.5" x14ac:dyDescent="0.35">
      <c r="A17117" s="34"/>
      <c r="B17117" s="35"/>
      <c r="C17117" s="36"/>
      <c r="D17117" s="37"/>
      <c r="E17117" s="36"/>
      <c r="F17117" s="42"/>
      <c r="G17117" s="42"/>
      <c r="H17117" s="42"/>
      <c r="AG17117" s="19"/>
    </row>
    <row r="17118" spans="1:33" ht="14.5" x14ac:dyDescent="0.35">
      <c r="A17118" s="34"/>
      <c r="B17118" s="35"/>
      <c r="C17118" s="36"/>
      <c r="D17118" s="37"/>
      <c r="E17118" s="36"/>
      <c r="F17118" s="42"/>
      <c r="G17118" s="42"/>
      <c r="H17118" s="42"/>
      <c r="AG17118" s="19"/>
    </row>
    <row r="17119" spans="1:33" ht="14.5" x14ac:dyDescent="0.35">
      <c r="A17119" s="34"/>
      <c r="B17119" s="35"/>
      <c r="C17119" s="36"/>
      <c r="D17119" s="37"/>
      <c r="E17119" s="36"/>
      <c r="F17119" s="42"/>
      <c r="G17119" s="42"/>
      <c r="H17119" s="42"/>
      <c r="AG17119" s="19"/>
    </row>
    <row r="17120" spans="1:33" ht="14.5" x14ac:dyDescent="0.35">
      <c r="A17120" s="34"/>
      <c r="B17120" s="35"/>
      <c r="C17120" s="36"/>
      <c r="D17120" s="37"/>
      <c r="E17120" s="36"/>
      <c r="F17120" s="42"/>
      <c r="G17120" s="42"/>
      <c r="H17120" s="42"/>
      <c r="AG17120" s="19"/>
    </row>
    <row r="17121" spans="1:33" ht="14.5" x14ac:dyDescent="0.35">
      <c r="A17121" s="34"/>
      <c r="B17121" s="35"/>
      <c r="C17121" s="36"/>
      <c r="D17121" s="37"/>
      <c r="E17121" s="36"/>
      <c r="F17121" s="42"/>
      <c r="G17121" s="42"/>
      <c r="H17121" s="42"/>
      <c r="AG17121" s="19"/>
    </row>
    <row r="17122" spans="1:33" ht="14.5" x14ac:dyDescent="0.35">
      <c r="A17122" s="34"/>
      <c r="B17122" s="35"/>
      <c r="C17122" s="36"/>
      <c r="D17122" s="37"/>
      <c r="E17122" s="36"/>
      <c r="F17122" s="42"/>
      <c r="G17122" s="42"/>
      <c r="H17122" s="42"/>
      <c r="AG17122" s="19"/>
    </row>
    <row r="17123" spans="1:33" ht="14.5" x14ac:dyDescent="0.35">
      <c r="A17123" s="34"/>
      <c r="B17123" s="35"/>
      <c r="C17123" s="36"/>
      <c r="D17123" s="37"/>
      <c r="E17123" s="36"/>
      <c r="F17123" s="42"/>
      <c r="G17123" s="42"/>
      <c r="H17123" s="42"/>
      <c r="AG17123" s="19"/>
    </row>
    <row r="17124" spans="1:33" ht="14.5" x14ac:dyDescent="0.35">
      <c r="A17124" s="34"/>
      <c r="B17124" s="35"/>
      <c r="C17124" s="36"/>
      <c r="D17124" s="37"/>
      <c r="E17124" s="36"/>
      <c r="F17124" s="42"/>
      <c r="G17124" s="42"/>
      <c r="H17124" s="42"/>
      <c r="AG17124" s="19"/>
    </row>
    <row r="17125" spans="1:33" ht="14.5" x14ac:dyDescent="0.35">
      <c r="A17125" s="34"/>
      <c r="B17125" s="35"/>
      <c r="C17125" s="36"/>
      <c r="D17125" s="37"/>
      <c r="E17125" s="36"/>
      <c r="F17125" s="42"/>
      <c r="G17125" s="42"/>
      <c r="H17125" s="42"/>
      <c r="AG17125" s="19"/>
    </row>
    <row r="17126" spans="1:33" ht="14.5" x14ac:dyDescent="0.35">
      <c r="A17126" s="34"/>
      <c r="B17126" s="35"/>
      <c r="C17126" s="36"/>
      <c r="D17126" s="37"/>
      <c r="E17126" s="36"/>
      <c r="F17126" s="42"/>
      <c r="G17126" s="42"/>
      <c r="H17126" s="42"/>
      <c r="AG17126" s="19"/>
    </row>
    <row r="17127" spans="1:33" ht="14.5" x14ac:dyDescent="0.35">
      <c r="A17127" s="34"/>
      <c r="B17127" s="35"/>
      <c r="C17127" s="36"/>
      <c r="D17127" s="37"/>
      <c r="E17127" s="36"/>
      <c r="F17127" s="42"/>
      <c r="G17127" s="42"/>
      <c r="H17127" s="42"/>
      <c r="AG17127" s="19"/>
    </row>
    <row r="17128" spans="1:33" ht="14.5" x14ac:dyDescent="0.35">
      <c r="A17128" s="34"/>
      <c r="B17128" s="35"/>
      <c r="C17128" s="36"/>
      <c r="D17128" s="37"/>
      <c r="E17128" s="36"/>
      <c r="F17128" s="42"/>
      <c r="G17128" s="42"/>
      <c r="H17128" s="42"/>
      <c r="AG17128" s="19"/>
    </row>
    <row r="17129" spans="1:33" ht="14.5" x14ac:dyDescent="0.35">
      <c r="A17129" s="34"/>
      <c r="B17129" s="35"/>
      <c r="C17129" s="36"/>
      <c r="D17129" s="37"/>
      <c r="E17129" s="36"/>
      <c r="F17129" s="42"/>
      <c r="G17129" s="42"/>
      <c r="H17129" s="42"/>
      <c r="AG17129" s="19"/>
    </row>
    <row r="17130" spans="1:33" ht="14.5" x14ac:dyDescent="0.35">
      <c r="A17130" s="34"/>
      <c r="B17130" s="35"/>
      <c r="C17130" s="36"/>
      <c r="D17130" s="37"/>
      <c r="E17130" s="36"/>
      <c r="F17130" s="42"/>
      <c r="G17130" s="42"/>
      <c r="H17130" s="42"/>
      <c r="AG17130" s="19"/>
    </row>
    <row r="17131" spans="1:33" ht="14.5" x14ac:dyDescent="0.35">
      <c r="A17131" s="34"/>
      <c r="B17131" s="35"/>
      <c r="C17131" s="36"/>
      <c r="D17131" s="37"/>
      <c r="E17131" s="36"/>
      <c r="F17131" s="42"/>
      <c r="G17131" s="42"/>
      <c r="H17131" s="42"/>
      <c r="AG17131" s="19"/>
    </row>
    <row r="17132" spans="1:33" ht="14.5" x14ac:dyDescent="0.35">
      <c r="A17132" s="34"/>
      <c r="B17132" s="35"/>
      <c r="C17132" s="36"/>
      <c r="D17132" s="37"/>
      <c r="E17132" s="36"/>
      <c r="F17132" s="42"/>
      <c r="G17132" s="42"/>
      <c r="H17132" s="42"/>
      <c r="AG17132" s="19"/>
    </row>
    <row r="17133" spans="1:33" ht="14.5" x14ac:dyDescent="0.35">
      <c r="A17133" s="34"/>
      <c r="B17133" s="35"/>
      <c r="C17133" s="36"/>
      <c r="D17133" s="37"/>
      <c r="E17133" s="36"/>
      <c r="F17133" s="42"/>
      <c r="G17133" s="42"/>
      <c r="H17133" s="42"/>
      <c r="AG17133" s="19"/>
    </row>
    <row r="17134" spans="1:33" ht="14.5" x14ac:dyDescent="0.35">
      <c r="A17134" s="34"/>
      <c r="B17134" s="35"/>
      <c r="C17134" s="36"/>
      <c r="D17134" s="37"/>
      <c r="E17134" s="36"/>
      <c r="F17134" s="42"/>
      <c r="G17134" s="42"/>
      <c r="H17134" s="42"/>
      <c r="AG17134" s="19"/>
    </row>
    <row r="17135" spans="1:33" ht="14.5" x14ac:dyDescent="0.35">
      <c r="A17135" s="34"/>
      <c r="B17135" s="35"/>
      <c r="C17135" s="36"/>
      <c r="D17135" s="37"/>
      <c r="E17135" s="36"/>
      <c r="F17135" s="42"/>
      <c r="G17135" s="42"/>
      <c r="H17135" s="42"/>
      <c r="AG17135" s="19"/>
    </row>
    <row r="17136" spans="1:33" ht="14.5" x14ac:dyDescent="0.35">
      <c r="A17136" s="34"/>
      <c r="B17136" s="35"/>
      <c r="C17136" s="36"/>
      <c r="D17136" s="37"/>
      <c r="E17136" s="36"/>
      <c r="F17136" s="42"/>
      <c r="G17136" s="42"/>
      <c r="H17136" s="42"/>
      <c r="AG17136" s="19"/>
    </row>
    <row r="17137" spans="1:33" ht="14.5" x14ac:dyDescent="0.35">
      <c r="A17137" s="34"/>
      <c r="B17137" s="35"/>
      <c r="C17137" s="36"/>
      <c r="D17137" s="37"/>
      <c r="E17137" s="36"/>
      <c r="F17137" s="42"/>
      <c r="G17137" s="42"/>
      <c r="H17137" s="42"/>
      <c r="AG17137" s="19"/>
    </row>
    <row r="17138" spans="1:33" ht="14.5" x14ac:dyDescent="0.35">
      <c r="A17138" s="34"/>
      <c r="B17138" s="35"/>
      <c r="C17138" s="36"/>
      <c r="D17138" s="37"/>
      <c r="E17138" s="36"/>
      <c r="F17138" s="42"/>
      <c r="G17138" s="42"/>
      <c r="H17138" s="42"/>
      <c r="AG17138" s="19"/>
    </row>
    <row r="17139" spans="1:33" ht="14.5" x14ac:dyDescent="0.35">
      <c r="A17139" s="34"/>
      <c r="B17139" s="35"/>
      <c r="C17139" s="36"/>
      <c r="D17139" s="37"/>
      <c r="E17139" s="36"/>
      <c r="F17139" s="42"/>
      <c r="G17139" s="42"/>
      <c r="H17139" s="42"/>
      <c r="AG17139" s="19"/>
    </row>
    <row r="17140" spans="1:33" ht="14.5" x14ac:dyDescent="0.35">
      <c r="A17140" s="34"/>
      <c r="B17140" s="35"/>
      <c r="C17140" s="36"/>
      <c r="D17140" s="37"/>
      <c r="E17140" s="36"/>
      <c r="F17140" s="42"/>
      <c r="G17140" s="42"/>
      <c r="H17140" s="42"/>
      <c r="AG17140" s="19"/>
    </row>
    <row r="17141" spans="1:33" ht="14.5" x14ac:dyDescent="0.35">
      <c r="A17141" s="34"/>
      <c r="B17141" s="35"/>
      <c r="C17141" s="36"/>
      <c r="D17141" s="37"/>
      <c r="E17141" s="36"/>
      <c r="F17141" s="42"/>
      <c r="G17141" s="42"/>
      <c r="H17141" s="42"/>
      <c r="AG17141" s="19"/>
    </row>
    <row r="17142" spans="1:33" ht="14.5" x14ac:dyDescent="0.35">
      <c r="A17142" s="34"/>
      <c r="B17142" s="35"/>
      <c r="C17142" s="36"/>
      <c r="D17142" s="37"/>
      <c r="E17142" s="36"/>
      <c r="F17142" s="42"/>
      <c r="G17142" s="42"/>
      <c r="H17142" s="42"/>
      <c r="AG17142" s="19"/>
    </row>
    <row r="17143" spans="1:33" ht="14.5" x14ac:dyDescent="0.35">
      <c r="A17143" s="34"/>
      <c r="B17143" s="35"/>
      <c r="C17143" s="36"/>
      <c r="D17143" s="37"/>
      <c r="E17143" s="36"/>
      <c r="F17143" s="42"/>
      <c r="G17143" s="42"/>
      <c r="H17143" s="42"/>
      <c r="AG17143" s="19"/>
    </row>
    <row r="17144" spans="1:33" ht="14.5" x14ac:dyDescent="0.35">
      <c r="A17144" s="34"/>
      <c r="B17144" s="35"/>
      <c r="C17144" s="36"/>
      <c r="D17144" s="37"/>
      <c r="E17144" s="36"/>
      <c r="F17144" s="42"/>
      <c r="G17144" s="42"/>
      <c r="H17144" s="42"/>
      <c r="AG17144" s="19"/>
    </row>
    <row r="17145" spans="1:33" ht="14.5" x14ac:dyDescent="0.35">
      <c r="A17145" s="34"/>
      <c r="B17145" s="35"/>
      <c r="C17145" s="36"/>
      <c r="D17145" s="37"/>
      <c r="E17145" s="36"/>
      <c r="F17145" s="42"/>
      <c r="G17145" s="42"/>
      <c r="H17145" s="42"/>
      <c r="AG17145" s="19"/>
    </row>
    <row r="17146" spans="1:33" ht="14.5" x14ac:dyDescent="0.35">
      <c r="A17146" s="34"/>
      <c r="B17146" s="35"/>
      <c r="C17146" s="36"/>
      <c r="D17146" s="37"/>
      <c r="E17146" s="36"/>
      <c r="F17146" s="42"/>
      <c r="G17146" s="42"/>
      <c r="H17146" s="42"/>
      <c r="AG17146" s="19"/>
    </row>
    <row r="17147" spans="1:33" ht="14.5" x14ac:dyDescent="0.35">
      <c r="A17147" s="34"/>
      <c r="B17147" s="35"/>
      <c r="C17147" s="36"/>
      <c r="D17147" s="37"/>
      <c r="E17147" s="36"/>
      <c r="F17147" s="42"/>
      <c r="G17147" s="42"/>
      <c r="H17147" s="42"/>
      <c r="AG17147" s="19"/>
    </row>
    <row r="17148" spans="1:33" ht="14.5" x14ac:dyDescent="0.35">
      <c r="A17148" s="34"/>
      <c r="B17148" s="35"/>
      <c r="C17148" s="36"/>
      <c r="D17148" s="37"/>
      <c r="E17148" s="36"/>
      <c r="F17148" s="42"/>
      <c r="G17148" s="42"/>
      <c r="H17148" s="42"/>
      <c r="AG17148" s="19"/>
    </row>
    <row r="17149" spans="1:33" ht="14.5" x14ac:dyDescent="0.35">
      <c r="A17149" s="34"/>
      <c r="B17149" s="35"/>
      <c r="C17149" s="36"/>
      <c r="D17149" s="37"/>
      <c r="E17149" s="36"/>
      <c r="F17149" s="42"/>
      <c r="G17149" s="42"/>
      <c r="H17149" s="42"/>
      <c r="AG17149" s="19"/>
    </row>
    <row r="17150" spans="1:33" ht="14.5" x14ac:dyDescent="0.35">
      <c r="A17150" s="34"/>
      <c r="B17150" s="35"/>
      <c r="C17150" s="36"/>
      <c r="D17150" s="37"/>
      <c r="E17150" s="36"/>
      <c r="F17150" s="42"/>
      <c r="G17150" s="42"/>
      <c r="H17150" s="42"/>
      <c r="AG17150" s="19"/>
    </row>
    <row r="17151" spans="1:33" ht="14.5" x14ac:dyDescent="0.35">
      <c r="A17151" s="34"/>
      <c r="B17151" s="35"/>
      <c r="C17151" s="36"/>
      <c r="D17151" s="37"/>
      <c r="E17151" s="36"/>
      <c r="F17151" s="42"/>
      <c r="G17151" s="42"/>
      <c r="H17151" s="42"/>
      <c r="AG17151" s="19"/>
    </row>
    <row r="17152" spans="1:33" ht="14.5" x14ac:dyDescent="0.35">
      <c r="A17152" s="34"/>
      <c r="B17152" s="35"/>
      <c r="C17152" s="36"/>
      <c r="D17152" s="37"/>
      <c r="E17152" s="36"/>
      <c r="F17152" s="42"/>
      <c r="G17152" s="42"/>
      <c r="H17152" s="42"/>
      <c r="AG17152" s="19"/>
    </row>
    <row r="17153" spans="1:33" ht="14.5" x14ac:dyDescent="0.35">
      <c r="A17153" s="34"/>
      <c r="B17153" s="35"/>
      <c r="C17153" s="36"/>
      <c r="D17153" s="37"/>
      <c r="E17153" s="36"/>
      <c r="F17153" s="42"/>
      <c r="G17153" s="42"/>
      <c r="H17153" s="42"/>
      <c r="AG17153" s="19"/>
    </row>
    <row r="17154" spans="1:33" ht="14.5" x14ac:dyDescent="0.35">
      <c r="A17154" s="34"/>
      <c r="B17154" s="35"/>
      <c r="C17154" s="36"/>
      <c r="D17154" s="37"/>
      <c r="E17154" s="36"/>
      <c r="F17154" s="42"/>
      <c r="G17154" s="42"/>
      <c r="H17154" s="42"/>
      <c r="AG17154" s="19"/>
    </row>
    <row r="17155" spans="1:33" ht="14.5" x14ac:dyDescent="0.35">
      <c r="A17155" s="34"/>
      <c r="B17155" s="35"/>
      <c r="C17155" s="36"/>
      <c r="D17155" s="37"/>
      <c r="E17155" s="36"/>
      <c r="F17155" s="42"/>
      <c r="G17155" s="42"/>
      <c r="H17155" s="42"/>
      <c r="AG17155" s="19"/>
    </row>
    <row r="17156" spans="1:33" ht="14.5" x14ac:dyDescent="0.35">
      <c r="A17156" s="34"/>
      <c r="B17156" s="35"/>
      <c r="C17156" s="36"/>
      <c r="D17156" s="37"/>
      <c r="E17156" s="36"/>
      <c r="F17156" s="42"/>
      <c r="G17156" s="42"/>
      <c r="H17156" s="42"/>
      <c r="AG17156" s="19"/>
    </row>
    <row r="17157" spans="1:33" ht="14.5" x14ac:dyDescent="0.35">
      <c r="A17157" s="34"/>
      <c r="B17157" s="35"/>
      <c r="C17157" s="36"/>
      <c r="D17157" s="37"/>
      <c r="E17157" s="36"/>
      <c r="F17157" s="42"/>
      <c r="G17157" s="42"/>
      <c r="H17157" s="42"/>
      <c r="AG17157" s="19"/>
    </row>
    <row r="17158" spans="1:33" ht="14.5" x14ac:dyDescent="0.35">
      <c r="A17158" s="34"/>
      <c r="B17158" s="35"/>
      <c r="C17158" s="36"/>
      <c r="D17158" s="37"/>
      <c r="E17158" s="36"/>
      <c r="F17158" s="42"/>
      <c r="G17158" s="42"/>
      <c r="H17158" s="42"/>
      <c r="AG17158" s="19"/>
    </row>
    <row r="17159" spans="1:33" ht="14.5" x14ac:dyDescent="0.35">
      <c r="A17159" s="34"/>
      <c r="B17159" s="35"/>
      <c r="C17159" s="36"/>
      <c r="D17159" s="37"/>
      <c r="E17159" s="36"/>
      <c r="F17159" s="42"/>
      <c r="G17159" s="42"/>
      <c r="H17159" s="42"/>
      <c r="AG17159" s="19"/>
    </row>
    <row r="17160" spans="1:33" ht="14.5" x14ac:dyDescent="0.35">
      <c r="A17160" s="34"/>
      <c r="B17160" s="35"/>
      <c r="C17160" s="36"/>
      <c r="D17160" s="37"/>
      <c r="E17160" s="36"/>
      <c r="F17160" s="42"/>
      <c r="G17160" s="42"/>
      <c r="H17160" s="42"/>
      <c r="AG17160" s="19"/>
    </row>
    <row r="17161" spans="1:33" ht="14.5" x14ac:dyDescent="0.35">
      <c r="A17161" s="34"/>
      <c r="B17161" s="35"/>
      <c r="C17161" s="36"/>
      <c r="D17161" s="37"/>
      <c r="E17161" s="36"/>
      <c r="F17161" s="42"/>
      <c r="G17161" s="42"/>
      <c r="H17161" s="42"/>
      <c r="AG17161" s="19"/>
    </row>
    <row r="17162" spans="1:33" ht="14.5" x14ac:dyDescent="0.35">
      <c r="A17162" s="34"/>
      <c r="B17162" s="35"/>
      <c r="C17162" s="36"/>
      <c r="D17162" s="37"/>
      <c r="E17162" s="36"/>
      <c r="F17162" s="42"/>
      <c r="G17162" s="42"/>
      <c r="H17162" s="42"/>
      <c r="AG17162" s="19"/>
    </row>
    <row r="17163" spans="1:33" ht="14.5" x14ac:dyDescent="0.35">
      <c r="A17163" s="34"/>
      <c r="B17163" s="35"/>
      <c r="C17163" s="36"/>
      <c r="D17163" s="37"/>
      <c r="E17163" s="36"/>
      <c r="F17163" s="42"/>
      <c r="G17163" s="42"/>
      <c r="H17163" s="42"/>
      <c r="AG17163" s="19"/>
    </row>
    <row r="17164" spans="1:33" ht="14.5" x14ac:dyDescent="0.35">
      <c r="A17164" s="34"/>
      <c r="B17164" s="35"/>
      <c r="C17164" s="36"/>
      <c r="D17164" s="37"/>
      <c r="E17164" s="36"/>
      <c r="F17164" s="42"/>
      <c r="G17164" s="42"/>
      <c r="H17164" s="42"/>
      <c r="AG17164" s="19"/>
    </row>
    <row r="17165" spans="1:33" ht="14.5" x14ac:dyDescent="0.35">
      <c r="A17165" s="34"/>
      <c r="B17165" s="35"/>
      <c r="C17165" s="36"/>
      <c r="D17165" s="37"/>
      <c r="E17165" s="36"/>
      <c r="F17165" s="42"/>
      <c r="G17165" s="42"/>
      <c r="H17165" s="42"/>
      <c r="AG17165" s="19"/>
    </row>
    <row r="17166" spans="1:33" ht="14.5" x14ac:dyDescent="0.35">
      <c r="A17166" s="34"/>
      <c r="B17166" s="35"/>
      <c r="C17166" s="36"/>
      <c r="D17166" s="37"/>
      <c r="E17166" s="36"/>
      <c r="F17166" s="42"/>
      <c r="G17166" s="42"/>
      <c r="H17166" s="42"/>
      <c r="AG17166" s="19"/>
    </row>
    <row r="17167" spans="1:33" ht="14.5" x14ac:dyDescent="0.35">
      <c r="A17167" s="34"/>
      <c r="B17167" s="35"/>
      <c r="C17167" s="36"/>
      <c r="D17167" s="37"/>
      <c r="E17167" s="36"/>
      <c r="F17167" s="42"/>
      <c r="G17167" s="42"/>
      <c r="H17167" s="42"/>
      <c r="AG17167" s="19"/>
    </row>
    <row r="17168" spans="1:33" ht="14.5" x14ac:dyDescent="0.35">
      <c r="A17168" s="34"/>
      <c r="B17168" s="35"/>
      <c r="C17168" s="36"/>
      <c r="D17168" s="37"/>
      <c r="E17168" s="36"/>
      <c r="F17168" s="42"/>
      <c r="G17168" s="42"/>
      <c r="H17168" s="42"/>
      <c r="AG17168" s="19"/>
    </row>
    <row r="17169" spans="1:33" ht="14.5" x14ac:dyDescent="0.35">
      <c r="A17169" s="34"/>
      <c r="B17169" s="35"/>
      <c r="C17169" s="36"/>
      <c r="D17169" s="37"/>
      <c r="E17169" s="36"/>
      <c r="F17169" s="42"/>
      <c r="G17169" s="42"/>
      <c r="H17169" s="42"/>
      <c r="AG17169" s="19"/>
    </row>
    <row r="17170" spans="1:33" ht="14.5" x14ac:dyDescent="0.35">
      <c r="A17170" s="34"/>
      <c r="B17170" s="35"/>
      <c r="C17170" s="36"/>
      <c r="D17170" s="37"/>
      <c r="E17170" s="36"/>
      <c r="F17170" s="42"/>
      <c r="G17170" s="42"/>
      <c r="H17170" s="42"/>
      <c r="AG17170" s="19"/>
    </row>
    <row r="17171" spans="1:33" ht="14.5" x14ac:dyDescent="0.35">
      <c r="A17171" s="34"/>
      <c r="B17171" s="35"/>
      <c r="C17171" s="36"/>
      <c r="D17171" s="37"/>
      <c r="E17171" s="36"/>
      <c r="F17171" s="42"/>
      <c r="G17171" s="42"/>
      <c r="H17171" s="42"/>
      <c r="AG17171" s="19"/>
    </row>
    <row r="17172" spans="1:33" ht="14.5" x14ac:dyDescent="0.35">
      <c r="A17172" s="34"/>
      <c r="B17172" s="35"/>
      <c r="C17172" s="36"/>
      <c r="D17172" s="37"/>
      <c r="E17172" s="36"/>
      <c r="F17172" s="42"/>
      <c r="G17172" s="42"/>
      <c r="H17172" s="42"/>
      <c r="AG17172" s="19"/>
    </row>
    <row r="17173" spans="1:33" ht="14.5" x14ac:dyDescent="0.35">
      <c r="A17173" s="34"/>
      <c r="B17173" s="35"/>
      <c r="C17173" s="36"/>
      <c r="D17173" s="37"/>
      <c r="E17173" s="36"/>
      <c r="F17173" s="42"/>
      <c r="G17173" s="42"/>
      <c r="H17173" s="42"/>
      <c r="AG17173" s="19"/>
    </row>
    <row r="17174" spans="1:33" ht="14.5" x14ac:dyDescent="0.35">
      <c r="A17174" s="34"/>
      <c r="B17174" s="35"/>
      <c r="C17174" s="36"/>
      <c r="D17174" s="37"/>
      <c r="E17174" s="36"/>
      <c r="F17174" s="42"/>
      <c r="G17174" s="42"/>
      <c r="H17174" s="42"/>
      <c r="AG17174" s="19"/>
    </row>
    <row r="17175" spans="1:33" ht="14.5" x14ac:dyDescent="0.35">
      <c r="A17175" s="34"/>
      <c r="B17175" s="35"/>
      <c r="C17175" s="36"/>
      <c r="D17175" s="37"/>
      <c r="E17175" s="36"/>
      <c r="F17175" s="42"/>
      <c r="G17175" s="42"/>
      <c r="H17175" s="42"/>
      <c r="AG17175" s="19"/>
    </row>
    <row r="17176" spans="1:33" ht="14.5" x14ac:dyDescent="0.35">
      <c r="A17176" s="34"/>
      <c r="B17176" s="35"/>
      <c r="C17176" s="36"/>
      <c r="D17176" s="37"/>
      <c r="E17176" s="36"/>
      <c r="F17176" s="42"/>
      <c r="G17176" s="42"/>
      <c r="H17176" s="42"/>
      <c r="AG17176" s="19"/>
    </row>
    <row r="17177" spans="1:33" ht="14.5" x14ac:dyDescent="0.35">
      <c r="A17177" s="34"/>
      <c r="B17177" s="35"/>
      <c r="C17177" s="36"/>
      <c r="D17177" s="37"/>
      <c r="E17177" s="36"/>
      <c r="F17177" s="42"/>
      <c r="G17177" s="42"/>
      <c r="H17177" s="42"/>
      <c r="AG17177" s="19"/>
    </row>
    <row r="17178" spans="1:33" ht="14.5" x14ac:dyDescent="0.35">
      <c r="A17178" s="34"/>
      <c r="B17178" s="35"/>
      <c r="C17178" s="36"/>
      <c r="D17178" s="37"/>
      <c r="E17178" s="36"/>
      <c r="F17178" s="42"/>
      <c r="G17178" s="42"/>
      <c r="H17178" s="42"/>
      <c r="AG17178" s="19"/>
    </row>
    <row r="17179" spans="1:33" ht="14.5" x14ac:dyDescent="0.35">
      <c r="A17179" s="34"/>
      <c r="B17179" s="35"/>
      <c r="C17179" s="36"/>
      <c r="D17179" s="37"/>
      <c r="E17179" s="36"/>
      <c r="F17179" s="42"/>
      <c r="G17179" s="42"/>
      <c r="H17179" s="42"/>
      <c r="AG17179" s="19"/>
    </row>
    <row r="17180" spans="1:33" ht="14.5" x14ac:dyDescent="0.35">
      <c r="A17180" s="34"/>
      <c r="B17180" s="35"/>
      <c r="C17180" s="36"/>
      <c r="D17180" s="37"/>
      <c r="E17180" s="36"/>
      <c r="F17180" s="42"/>
      <c r="G17180" s="42"/>
      <c r="H17180" s="42"/>
      <c r="AG17180" s="19"/>
    </row>
    <row r="17181" spans="1:33" ht="14.5" x14ac:dyDescent="0.35">
      <c r="A17181" s="34"/>
      <c r="B17181" s="35"/>
      <c r="C17181" s="36"/>
      <c r="D17181" s="37"/>
      <c r="E17181" s="36"/>
      <c r="F17181" s="42"/>
      <c r="G17181" s="42"/>
      <c r="H17181" s="42"/>
      <c r="AG17181" s="19"/>
    </row>
    <row r="17182" spans="1:33" ht="14.5" x14ac:dyDescent="0.35">
      <c r="A17182" s="34"/>
      <c r="B17182" s="35"/>
      <c r="C17182" s="36"/>
      <c r="D17182" s="37"/>
      <c r="E17182" s="36"/>
      <c r="F17182" s="42"/>
      <c r="G17182" s="42"/>
      <c r="H17182" s="42"/>
      <c r="AG17182" s="19"/>
    </row>
    <row r="17183" spans="1:33" ht="14.5" x14ac:dyDescent="0.35">
      <c r="A17183" s="34"/>
      <c r="B17183" s="35"/>
      <c r="C17183" s="36"/>
      <c r="D17183" s="37"/>
      <c r="E17183" s="36"/>
      <c r="F17183" s="42"/>
      <c r="G17183" s="42"/>
      <c r="H17183" s="42"/>
      <c r="AG17183" s="19"/>
    </row>
    <row r="17184" spans="1:33" ht="14.5" x14ac:dyDescent="0.35">
      <c r="A17184" s="34"/>
      <c r="B17184" s="35"/>
      <c r="C17184" s="36"/>
      <c r="D17184" s="37"/>
      <c r="E17184" s="36"/>
      <c r="F17184" s="42"/>
      <c r="G17184" s="42"/>
      <c r="H17184" s="42"/>
      <c r="AG17184" s="19"/>
    </row>
    <row r="17185" spans="1:33" ht="14.5" x14ac:dyDescent="0.35">
      <c r="A17185" s="34"/>
      <c r="B17185" s="35"/>
      <c r="C17185" s="36"/>
      <c r="D17185" s="37"/>
      <c r="E17185" s="36"/>
      <c r="F17185" s="42"/>
      <c r="G17185" s="42"/>
      <c r="H17185" s="42"/>
      <c r="AG17185" s="19"/>
    </row>
    <row r="17186" spans="1:33" ht="14.5" x14ac:dyDescent="0.35">
      <c r="A17186" s="34"/>
      <c r="B17186" s="35"/>
      <c r="C17186" s="36"/>
      <c r="D17186" s="37"/>
      <c r="E17186" s="36"/>
      <c r="F17186" s="42"/>
      <c r="G17186" s="42"/>
      <c r="H17186" s="42"/>
      <c r="AG17186" s="19"/>
    </row>
    <row r="17187" spans="1:33" ht="14.5" x14ac:dyDescent="0.35">
      <c r="A17187" s="34"/>
      <c r="B17187" s="35"/>
      <c r="C17187" s="36"/>
      <c r="D17187" s="37"/>
      <c r="E17187" s="36"/>
      <c r="F17187" s="42"/>
      <c r="G17187" s="42"/>
      <c r="H17187" s="42"/>
      <c r="AG17187" s="19"/>
    </row>
    <row r="17188" spans="1:33" ht="14.5" x14ac:dyDescent="0.35">
      <c r="A17188" s="34"/>
      <c r="B17188" s="35"/>
      <c r="C17188" s="36"/>
      <c r="D17188" s="37"/>
      <c r="E17188" s="36"/>
      <c r="F17188" s="42"/>
      <c r="G17188" s="42"/>
      <c r="H17188" s="42"/>
      <c r="AG17188" s="19"/>
    </row>
    <row r="17189" spans="1:33" ht="14.5" x14ac:dyDescent="0.35">
      <c r="A17189" s="34"/>
      <c r="B17189" s="35"/>
      <c r="C17189" s="36"/>
      <c r="D17189" s="37"/>
      <c r="E17189" s="36"/>
      <c r="F17189" s="42"/>
      <c r="G17189" s="42"/>
      <c r="H17189" s="42"/>
      <c r="AG17189" s="19"/>
    </row>
    <row r="17190" spans="1:33" ht="14.5" x14ac:dyDescent="0.35">
      <c r="A17190" s="34"/>
      <c r="B17190" s="35"/>
      <c r="C17190" s="36"/>
      <c r="D17190" s="37"/>
      <c r="E17190" s="36"/>
      <c r="F17190" s="42"/>
      <c r="G17190" s="42"/>
      <c r="H17190" s="42"/>
      <c r="AG17190" s="19"/>
    </row>
    <row r="17191" spans="1:33" ht="14.5" x14ac:dyDescent="0.35">
      <c r="A17191" s="34"/>
      <c r="B17191" s="35"/>
      <c r="C17191" s="36"/>
      <c r="D17191" s="37"/>
      <c r="E17191" s="36"/>
      <c r="F17191" s="42"/>
      <c r="G17191" s="42"/>
      <c r="H17191" s="42"/>
      <c r="AG17191" s="19"/>
    </row>
    <row r="17192" spans="1:33" ht="14.5" x14ac:dyDescent="0.35">
      <c r="A17192" s="34"/>
      <c r="B17192" s="35"/>
      <c r="C17192" s="36"/>
      <c r="D17192" s="37"/>
      <c r="E17192" s="36"/>
      <c r="F17192" s="42"/>
      <c r="G17192" s="42"/>
      <c r="H17192" s="42"/>
      <c r="AG17192" s="19"/>
    </row>
    <row r="17193" spans="1:33" ht="14.5" x14ac:dyDescent="0.35">
      <c r="A17193" s="34"/>
      <c r="B17193" s="35"/>
      <c r="C17193" s="36"/>
      <c r="D17193" s="37"/>
      <c r="E17193" s="36"/>
      <c r="F17193" s="42"/>
      <c r="G17193" s="42"/>
      <c r="H17193" s="42"/>
      <c r="AG17193" s="19"/>
    </row>
    <row r="17194" spans="1:33" ht="14.5" x14ac:dyDescent="0.35">
      <c r="A17194" s="34"/>
      <c r="B17194" s="35"/>
      <c r="C17194" s="36"/>
      <c r="D17194" s="37"/>
      <c r="E17194" s="36"/>
      <c r="F17194" s="42"/>
      <c r="G17194" s="42"/>
      <c r="H17194" s="42"/>
      <c r="AG17194" s="19"/>
    </row>
    <row r="17195" spans="1:33" ht="14.5" x14ac:dyDescent="0.35">
      <c r="A17195" s="34"/>
      <c r="B17195" s="35"/>
      <c r="C17195" s="36"/>
      <c r="D17195" s="37"/>
      <c r="E17195" s="36"/>
      <c r="F17195" s="42"/>
      <c r="G17195" s="42"/>
      <c r="H17195" s="42"/>
      <c r="AG17195" s="19"/>
    </row>
    <row r="17196" spans="1:33" ht="14.5" x14ac:dyDescent="0.35">
      <c r="A17196" s="34"/>
      <c r="B17196" s="35"/>
      <c r="C17196" s="36"/>
      <c r="D17196" s="37"/>
      <c r="E17196" s="36"/>
      <c r="F17196" s="42"/>
      <c r="G17196" s="42"/>
      <c r="H17196" s="42"/>
      <c r="AG17196" s="19"/>
    </row>
    <row r="17197" spans="1:33" ht="14.5" x14ac:dyDescent="0.35">
      <c r="A17197" s="34"/>
      <c r="B17197" s="35"/>
      <c r="C17197" s="36"/>
      <c r="D17197" s="37"/>
      <c r="E17197" s="36"/>
      <c r="F17197" s="42"/>
      <c r="G17197" s="42"/>
      <c r="H17197" s="42"/>
      <c r="AG17197" s="19"/>
    </row>
    <row r="17198" spans="1:33" ht="14.5" x14ac:dyDescent="0.35">
      <c r="A17198" s="34"/>
      <c r="B17198" s="35"/>
      <c r="C17198" s="36"/>
      <c r="D17198" s="37"/>
      <c r="E17198" s="36"/>
      <c r="F17198" s="42"/>
      <c r="G17198" s="42"/>
      <c r="H17198" s="42"/>
      <c r="AG17198" s="19"/>
    </row>
    <row r="17199" spans="1:33" ht="14.5" x14ac:dyDescent="0.35">
      <c r="A17199" s="34"/>
      <c r="B17199" s="35"/>
      <c r="C17199" s="36"/>
      <c r="D17199" s="37"/>
      <c r="E17199" s="36"/>
      <c r="F17199" s="42"/>
      <c r="G17199" s="42"/>
      <c r="H17199" s="42"/>
      <c r="AG17199" s="19"/>
    </row>
    <row r="17200" spans="1:33" ht="14.5" x14ac:dyDescent="0.35">
      <c r="A17200" s="34"/>
      <c r="B17200" s="35"/>
      <c r="C17200" s="36"/>
      <c r="D17200" s="37"/>
      <c r="E17200" s="36"/>
      <c r="F17200" s="42"/>
      <c r="G17200" s="42"/>
      <c r="H17200" s="42"/>
      <c r="AG17200" s="19"/>
    </row>
    <row r="17201" spans="1:33" ht="14.5" x14ac:dyDescent="0.35">
      <c r="A17201" s="34"/>
      <c r="B17201" s="35"/>
      <c r="C17201" s="36"/>
      <c r="D17201" s="37"/>
      <c r="E17201" s="36"/>
      <c r="F17201" s="42"/>
      <c r="G17201" s="42"/>
      <c r="H17201" s="42"/>
      <c r="AG17201" s="19"/>
    </row>
    <row r="17202" spans="1:33" ht="14.5" x14ac:dyDescent="0.35">
      <c r="A17202" s="34"/>
      <c r="B17202" s="35"/>
      <c r="C17202" s="36"/>
      <c r="D17202" s="37"/>
      <c r="E17202" s="36"/>
      <c r="F17202" s="42"/>
      <c r="G17202" s="42"/>
      <c r="H17202" s="42"/>
      <c r="AG17202" s="19"/>
    </row>
    <row r="17203" spans="1:33" ht="14.5" x14ac:dyDescent="0.35">
      <c r="A17203" s="34"/>
      <c r="B17203" s="35"/>
      <c r="C17203" s="36"/>
      <c r="D17203" s="37"/>
      <c r="E17203" s="36"/>
      <c r="F17203" s="42"/>
      <c r="G17203" s="42"/>
      <c r="H17203" s="42"/>
      <c r="AG17203" s="19"/>
    </row>
    <row r="17204" spans="1:33" ht="14.5" x14ac:dyDescent="0.35">
      <c r="A17204" s="34"/>
      <c r="B17204" s="35"/>
      <c r="C17204" s="36"/>
      <c r="D17204" s="37"/>
      <c r="E17204" s="36"/>
      <c r="F17204" s="42"/>
      <c r="G17204" s="42"/>
      <c r="H17204" s="42"/>
      <c r="AG17204" s="19"/>
    </row>
    <row r="17205" spans="1:33" ht="14.5" x14ac:dyDescent="0.35">
      <c r="A17205" s="34"/>
      <c r="B17205" s="35"/>
      <c r="C17205" s="36"/>
      <c r="D17205" s="37"/>
      <c r="E17205" s="36"/>
      <c r="F17205" s="42"/>
      <c r="G17205" s="42"/>
      <c r="H17205" s="42"/>
      <c r="AG17205" s="19"/>
    </row>
    <row r="17206" spans="1:33" ht="14.5" x14ac:dyDescent="0.35">
      <c r="A17206" s="34"/>
      <c r="B17206" s="35"/>
      <c r="C17206" s="36"/>
      <c r="D17206" s="37"/>
      <c r="E17206" s="36"/>
      <c r="F17206" s="42"/>
      <c r="G17206" s="42"/>
      <c r="H17206" s="42"/>
      <c r="AG17206" s="19"/>
    </row>
    <row r="17207" spans="1:33" ht="14.5" x14ac:dyDescent="0.35">
      <c r="A17207" s="34"/>
      <c r="B17207" s="35"/>
      <c r="C17207" s="36"/>
      <c r="D17207" s="37"/>
      <c r="E17207" s="36"/>
      <c r="F17207" s="42"/>
      <c r="G17207" s="42"/>
      <c r="H17207" s="42"/>
      <c r="AG17207" s="19"/>
    </row>
    <row r="17208" spans="1:33" ht="14.5" x14ac:dyDescent="0.35">
      <c r="A17208" s="34"/>
      <c r="B17208" s="35"/>
      <c r="C17208" s="36"/>
      <c r="D17208" s="37"/>
      <c r="E17208" s="36"/>
      <c r="F17208" s="42"/>
      <c r="G17208" s="42"/>
      <c r="H17208" s="42"/>
      <c r="AG17208" s="19"/>
    </row>
    <row r="17209" spans="1:33" ht="14.5" x14ac:dyDescent="0.35">
      <c r="A17209" s="34"/>
      <c r="B17209" s="35"/>
      <c r="C17209" s="36"/>
      <c r="D17209" s="37"/>
      <c r="E17209" s="36"/>
      <c r="F17209" s="42"/>
      <c r="G17209" s="42"/>
      <c r="H17209" s="42"/>
      <c r="AG17209" s="19"/>
    </row>
    <row r="17210" spans="1:33" ht="14.5" x14ac:dyDescent="0.35">
      <c r="A17210" s="34"/>
      <c r="B17210" s="35"/>
      <c r="C17210" s="36"/>
      <c r="D17210" s="37"/>
      <c r="E17210" s="36"/>
      <c r="F17210" s="42"/>
      <c r="G17210" s="42"/>
      <c r="H17210" s="42"/>
      <c r="AG17210" s="19"/>
    </row>
    <row r="17211" spans="1:33" ht="14.5" x14ac:dyDescent="0.35">
      <c r="A17211" s="34"/>
      <c r="B17211" s="35"/>
      <c r="C17211" s="36"/>
      <c r="D17211" s="37"/>
      <c r="E17211" s="36"/>
      <c r="F17211" s="42"/>
      <c r="G17211" s="42"/>
      <c r="H17211" s="42"/>
      <c r="AG17211" s="19"/>
    </row>
    <row r="17212" spans="1:33" ht="14.5" x14ac:dyDescent="0.35">
      <c r="A17212" s="34"/>
      <c r="B17212" s="35"/>
      <c r="C17212" s="36"/>
      <c r="D17212" s="37"/>
      <c r="E17212" s="36"/>
      <c r="F17212" s="42"/>
      <c r="G17212" s="42"/>
      <c r="H17212" s="42"/>
      <c r="AG17212" s="19"/>
    </row>
    <row r="17213" spans="1:33" ht="14.5" x14ac:dyDescent="0.35">
      <c r="A17213" s="34"/>
      <c r="B17213" s="35"/>
      <c r="C17213" s="36"/>
      <c r="D17213" s="37"/>
      <c r="E17213" s="36"/>
      <c r="F17213" s="42"/>
      <c r="G17213" s="42"/>
      <c r="H17213" s="42"/>
      <c r="AG17213" s="19"/>
    </row>
    <row r="17214" spans="1:33" ht="14.5" x14ac:dyDescent="0.35">
      <c r="A17214" s="34"/>
      <c r="B17214" s="35"/>
      <c r="C17214" s="36"/>
      <c r="D17214" s="37"/>
      <c r="E17214" s="36"/>
      <c r="F17214" s="42"/>
      <c r="G17214" s="42"/>
      <c r="H17214" s="42"/>
      <c r="AG17214" s="19"/>
    </row>
    <row r="17215" spans="1:33" ht="14.5" x14ac:dyDescent="0.35">
      <c r="A17215" s="34"/>
      <c r="B17215" s="35"/>
      <c r="C17215" s="36"/>
      <c r="D17215" s="37"/>
      <c r="E17215" s="36"/>
      <c r="F17215" s="42"/>
      <c r="G17215" s="42"/>
      <c r="H17215" s="42"/>
      <c r="AG17215" s="19"/>
    </row>
    <row r="17216" spans="1:33" ht="14.5" x14ac:dyDescent="0.35">
      <c r="A17216" s="34"/>
      <c r="B17216" s="35"/>
      <c r="C17216" s="36"/>
      <c r="D17216" s="37"/>
      <c r="E17216" s="36"/>
      <c r="F17216" s="42"/>
      <c r="G17216" s="42"/>
      <c r="H17216" s="42"/>
      <c r="AG17216" s="19"/>
    </row>
    <row r="17217" spans="1:33" ht="14.5" x14ac:dyDescent="0.35">
      <c r="A17217" s="34"/>
      <c r="B17217" s="35"/>
      <c r="C17217" s="36"/>
      <c r="D17217" s="37"/>
      <c r="E17217" s="36"/>
      <c r="F17217" s="42"/>
      <c r="G17217" s="42"/>
      <c r="H17217" s="42"/>
      <c r="AG17217" s="19"/>
    </row>
    <row r="17218" spans="1:33" ht="14.5" x14ac:dyDescent="0.35">
      <c r="A17218" s="34"/>
      <c r="B17218" s="35"/>
      <c r="C17218" s="36"/>
      <c r="D17218" s="37"/>
      <c r="E17218" s="36"/>
      <c r="F17218" s="42"/>
      <c r="G17218" s="42"/>
      <c r="H17218" s="42"/>
      <c r="AG17218" s="19"/>
    </row>
    <row r="17219" spans="1:33" ht="14.5" x14ac:dyDescent="0.35">
      <c r="A17219" s="34"/>
      <c r="B17219" s="35"/>
      <c r="C17219" s="36"/>
      <c r="D17219" s="37"/>
      <c r="E17219" s="36"/>
      <c r="F17219" s="42"/>
      <c r="G17219" s="42"/>
      <c r="H17219" s="42"/>
      <c r="AG17219" s="19"/>
    </row>
    <row r="17220" spans="1:33" ht="14.5" x14ac:dyDescent="0.35">
      <c r="A17220" s="34"/>
      <c r="B17220" s="35"/>
      <c r="C17220" s="36"/>
      <c r="D17220" s="37"/>
      <c r="E17220" s="36"/>
      <c r="F17220" s="42"/>
      <c r="G17220" s="42"/>
      <c r="H17220" s="42"/>
      <c r="AG17220" s="19"/>
    </row>
    <row r="17221" spans="1:33" ht="14.5" x14ac:dyDescent="0.35">
      <c r="A17221" s="34"/>
      <c r="B17221" s="35"/>
      <c r="C17221" s="36"/>
      <c r="D17221" s="37"/>
      <c r="E17221" s="36"/>
      <c r="F17221" s="42"/>
      <c r="G17221" s="42"/>
      <c r="H17221" s="42"/>
      <c r="AG17221" s="19"/>
    </row>
    <row r="17222" spans="1:33" ht="14.5" x14ac:dyDescent="0.35">
      <c r="A17222" s="34"/>
      <c r="B17222" s="35"/>
      <c r="C17222" s="36"/>
      <c r="D17222" s="37"/>
      <c r="E17222" s="36"/>
      <c r="F17222" s="42"/>
      <c r="G17222" s="42"/>
      <c r="H17222" s="42"/>
      <c r="AG17222" s="19"/>
    </row>
    <row r="17223" spans="1:33" ht="14.5" x14ac:dyDescent="0.35">
      <c r="A17223" s="34"/>
      <c r="B17223" s="35"/>
      <c r="C17223" s="36"/>
      <c r="D17223" s="37"/>
      <c r="E17223" s="36"/>
      <c r="F17223" s="42"/>
      <c r="G17223" s="42"/>
      <c r="H17223" s="42"/>
      <c r="AG17223" s="19"/>
    </row>
    <row r="17224" spans="1:33" ht="14.5" x14ac:dyDescent="0.35">
      <c r="A17224" s="34"/>
      <c r="B17224" s="35"/>
      <c r="C17224" s="36"/>
      <c r="D17224" s="37"/>
      <c r="E17224" s="36"/>
      <c r="F17224" s="42"/>
      <c r="G17224" s="42"/>
      <c r="H17224" s="42"/>
      <c r="AG17224" s="19"/>
    </row>
    <row r="17225" spans="1:33" ht="14.5" x14ac:dyDescent="0.35">
      <c r="A17225" s="34"/>
      <c r="B17225" s="35"/>
      <c r="C17225" s="36"/>
      <c r="D17225" s="37"/>
      <c r="E17225" s="36"/>
      <c r="F17225" s="42"/>
      <c r="G17225" s="42"/>
      <c r="H17225" s="42"/>
      <c r="AG17225" s="19"/>
    </row>
    <row r="17226" spans="1:33" ht="14.5" x14ac:dyDescent="0.35">
      <c r="A17226" s="34"/>
      <c r="B17226" s="35"/>
      <c r="C17226" s="36"/>
      <c r="D17226" s="37"/>
      <c r="E17226" s="36"/>
      <c r="F17226" s="42"/>
      <c r="G17226" s="42"/>
      <c r="H17226" s="42"/>
      <c r="AG17226" s="19"/>
    </row>
    <row r="17227" spans="1:33" ht="14.5" x14ac:dyDescent="0.35">
      <c r="A17227" s="34"/>
      <c r="B17227" s="35"/>
      <c r="C17227" s="36"/>
      <c r="D17227" s="37"/>
      <c r="E17227" s="36"/>
      <c r="F17227" s="42"/>
      <c r="G17227" s="42"/>
      <c r="H17227" s="42"/>
      <c r="AG17227" s="19"/>
    </row>
    <row r="17228" spans="1:33" ht="14.5" x14ac:dyDescent="0.35">
      <c r="A17228" s="34"/>
      <c r="B17228" s="35"/>
      <c r="C17228" s="36"/>
      <c r="D17228" s="37"/>
      <c r="E17228" s="36"/>
      <c r="F17228" s="42"/>
      <c r="G17228" s="42"/>
      <c r="H17228" s="42"/>
      <c r="AG17228" s="19"/>
    </row>
    <row r="17229" spans="1:33" ht="14.5" x14ac:dyDescent="0.35">
      <c r="A17229" s="34"/>
      <c r="B17229" s="35"/>
      <c r="C17229" s="36"/>
      <c r="D17229" s="37"/>
      <c r="E17229" s="36"/>
      <c r="F17229" s="42"/>
      <c r="G17229" s="42"/>
      <c r="H17229" s="42"/>
      <c r="AG17229" s="19"/>
    </row>
    <row r="17230" spans="1:33" ht="14.5" x14ac:dyDescent="0.35">
      <c r="A17230" s="34"/>
      <c r="B17230" s="35"/>
      <c r="C17230" s="36"/>
      <c r="D17230" s="37"/>
      <c r="E17230" s="36"/>
      <c r="F17230" s="42"/>
      <c r="G17230" s="42"/>
      <c r="H17230" s="42"/>
      <c r="AG17230" s="19"/>
    </row>
    <row r="17231" spans="1:33" ht="14.5" x14ac:dyDescent="0.35">
      <c r="A17231" s="34"/>
      <c r="B17231" s="35"/>
      <c r="C17231" s="36"/>
      <c r="D17231" s="37"/>
      <c r="E17231" s="36"/>
      <c r="F17231" s="42"/>
      <c r="G17231" s="42"/>
      <c r="H17231" s="42"/>
      <c r="AG17231" s="19"/>
    </row>
    <row r="17232" spans="1:33" ht="14.5" x14ac:dyDescent="0.35">
      <c r="A17232" s="34"/>
      <c r="B17232" s="35"/>
      <c r="C17232" s="36"/>
      <c r="D17232" s="37"/>
      <c r="E17232" s="36"/>
      <c r="F17232" s="42"/>
      <c r="G17232" s="42"/>
      <c r="H17232" s="42"/>
      <c r="AG17232" s="19"/>
    </row>
    <row r="17233" spans="1:33" ht="14.5" x14ac:dyDescent="0.35">
      <c r="A17233" s="34"/>
      <c r="B17233" s="35"/>
      <c r="C17233" s="36"/>
      <c r="D17233" s="37"/>
      <c r="E17233" s="36"/>
      <c r="F17233" s="42"/>
      <c r="G17233" s="42"/>
      <c r="H17233" s="42"/>
      <c r="AG17233" s="19"/>
    </row>
    <row r="17234" spans="1:33" ht="14.5" x14ac:dyDescent="0.35">
      <c r="A17234" s="34"/>
      <c r="B17234" s="35"/>
      <c r="C17234" s="36"/>
      <c r="D17234" s="37"/>
      <c r="E17234" s="36"/>
      <c r="F17234" s="42"/>
      <c r="G17234" s="42"/>
      <c r="H17234" s="42"/>
      <c r="AG17234" s="19"/>
    </row>
    <row r="17235" spans="1:33" ht="14.5" x14ac:dyDescent="0.35">
      <c r="A17235" s="34"/>
      <c r="B17235" s="35"/>
      <c r="C17235" s="36"/>
      <c r="D17235" s="37"/>
      <c r="E17235" s="36"/>
      <c r="F17235" s="42"/>
      <c r="G17235" s="42"/>
      <c r="H17235" s="42"/>
      <c r="AG17235" s="19"/>
    </row>
    <row r="17236" spans="1:33" ht="14.5" x14ac:dyDescent="0.35">
      <c r="A17236" s="34"/>
      <c r="B17236" s="35"/>
      <c r="C17236" s="36"/>
      <c r="D17236" s="37"/>
      <c r="E17236" s="36"/>
      <c r="F17236" s="42"/>
      <c r="G17236" s="42"/>
      <c r="H17236" s="42"/>
      <c r="AG17236" s="19"/>
    </row>
    <row r="17237" spans="1:33" ht="14.5" x14ac:dyDescent="0.35">
      <c r="A17237" s="34"/>
      <c r="B17237" s="35"/>
      <c r="C17237" s="36"/>
      <c r="D17237" s="37"/>
      <c r="E17237" s="36"/>
      <c r="F17237" s="42"/>
      <c r="G17237" s="42"/>
      <c r="H17237" s="42"/>
      <c r="AG17237" s="19"/>
    </row>
    <row r="17238" spans="1:33" ht="14.5" x14ac:dyDescent="0.35">
      <c r="A17238" s="34"/>
      <c r="B17238" s="35"/>
      <c r="C17238" s="36"/>
      <c r="D17238" s="37"/>
      <c r="E17238" s="36"/>
      <c r="F17238" s="42"/>
      <c r="G17238" s="42"/>
      <c r="H17238" s="42"/>
      <c r="AG17238" s="19"/>
    </row>
    <row r="17239" spans="1:33" ht="14.5" x14ac:dyDescent="0.35">
      <c r="A17239" s="34"/>
      <c r="B17239" s="35"/>
      <c r="C17239" s="36"/>
      <c r="D17239" s="37"/>
      <c r="E17239" s="36"/>
      <c r="F17239" s="42"/>
      <c r="G17239" s="42"/>
      <c r="H17239" s="42"/>
      <c r="AG17239" s="19"/>
    </row>
    <row r="17240" spans="1:33" ht="14.5" x14ac:dyDescent="0.35">
      <c r="A17240" s="34"/>
      <c r="B17240" s="35"/>
      <c r="C17240" s="36"/>
      <c r="D17240" s="37"/>
      <c r="E17240" s="36"/>
      <c r="F17240" s="42"/>
      <c r="G17240" s="42"/>
      <c r="H17240" s="42"/>
      <c r="AG17240" s="19"/>
    </row>
    <row r="17241" spans="1:33" ht="14.5" x14ac:dyDescent="0.35">
      <c r="A17241" s="34"/>
      <c r="B17241" s="35"/>
      <c r="C17241" s="36"/>
      <c r="D17241" s="37"/>
      <c r="E17241" s="36"/>
      <c r="F17241" s="42"/>
      <c r="G17241" s="42"/>
      <c r="H17241" s="42"/>
      <c r="AG17241" s="19"/>
    </row>
    <row r="17242" spans="1:33" ht="14.5" x14ac:dyDescent="0.35">
      <c r="A17242" s="34"/>
      <c r="B17242" s="35"/>
      <c r="C17242" s="36"/>
      <c r="D17242" s="37"/>
      <c r="E17242" s="36"/>
      <c r="F17242" s="42"/>
      <c r="G17242" s="42"/>
      <c r="H17242" s="42"/>
      <c r="AG17242" s="19"/>
    </row>
    <row r="17243" spans="1:33" ht="14.5" x14ac:dyDescent="0.35">
      <c r="A17243" s="34"/>
      <c r="B17243" s="35"/>
      <c r="C17243" s="36"/>
      <c r="D17243" s="37"/>
      <c r="E17243" s="36"/>
      <c r="F17243" s="42"/>
      <c r="G17243" s="42"/>
      <c r="H17243" s="42"/>
      <c r="AG17243" s="19"/>
    </row>
    <row r="17244" spans="1:33" ht="14.5" x14ac:dyDescent="0.35">
      <c r="A17244" s="34"/>
      <c r="B17244" s="35"/>
      <c r="C17244" s="36"/>
      <c r="D17244" s="37"/>
      <c r="E17244" s="36"/>
      <c r="F17244" s="42"/>
      <c r="G17244" s="42"/>
      <c r="H17244" s="42"/>
      <c r="AG17244" s="19"/>
    </row>
    <row r="17245" spans="1:33" ht="14.5" x14ac:dyDescent="0.35">
      <c r="A17245" s="34"/>
      <c r="B17245" s="35"/>
      <c r="C17245" s="36"/>
      <c r="D17245" s="37"/>
      <c r="E17245" s="36"/>
      <c r="F17245" s="42"/>
      <c r="G17245" s="42"/>
      <c r="H17245" s="42"/>
      <c r="AG17245" s="19"/>
    </row>
    <row r="17246" spans="1:33" ht="14.5" x14ac:dyDescent="0.35">
      <c r="A17246" s="34"/>
      <c r="B17246" s="35"/>
      <c r="C17246" s="36"/>
      <c r="D17246" s="37"/>
      <c r="E17246" s="36"/>
      <c r="F17246" s="42"/>
      <c r="G17246" s="42"/>
      <c r="H17246" s="42"/>
      <c r="AG17246" s="19"/>
    </row>
    <row r="17247" spans="1:33" ht="14.5" x14ac:dyDescent="0.35">
      <c r="A17247" s="34"/>
      <c r="B17247" s="35"/>
      <c r="C17247" s="36"/>
      <c r="D17247" s="37"/>
      <c r="E17247" s="36"/>
      <c r="F17247" s="42"/>
      <c r="G17247" s="42"/>
      <c r="H17247" s="42"/>
      <c r="AG17247" s="19"/>
    </row>
    <row r="17248" spans="1:33" ht="14.5" x14ac:dyDescent="0.35">
      <c r="A17248" s="34"/>
      <c r="B17248" s="35"/>
      <c r="C17248" s="36"/>
      <c r="D17248" s="37"/>
      <c r="E17248" s="36"/>
      <c r="F17248" s="42"/>
      <c r="G17248" s="42"/>
      <c r="H17248" s="42"/>
      <c r="AG17248" s="19"/>
    </row>
    <row r="17249" spans="1:33" ht="14.5" x14ac:dyDescent="0.35">
      <c r="A17249" s="34"/>
      <c r="B17249" s="35"/>
      <c r="C17249" s="36"/>
      <c r="D17249" s="37"/>
      <c r="E17249" s="36"/>
      <c r="F17249" s="42"/>
      <c r="G17249" s="42"/>
      <c r="H17249" s="42"/>
      <c r="AG17249" s="19"/>
    </row>
    <row r="17250" spans="1:33" ht="14.5" x14ac:dyDescent="0.35">
      <c r="A17250" s="34"/>
      <c r="B17250" s="35"/>
      <c r="C17250" s="36"/>
      <c r="D17250" s="37"/>
      <c r="E17250" s="36"/>
      <c r="F17250" s="42"/>
      <c r="G17250" s="42"/>
      <c r="H17250" s="42"/>
      <c r="AG17250" s="19"/>
    </row>
    <row r="17251" spans="1:33" ht="14.5" x14ac:dyDescent="0.35">
      <c r="A17251" s="34"/>
      <c r="B17251" s="35"/>
      <c r="C17251" s="36"/>
      <c r="D17251" s="37"/>
      <c r="E17251" s="36"/>
      <c r="F17251" s="42"/>
      <c r="G17251" s="42"/>
      <c r="H17251" s="42"/>
      <c r="AG17251" s="19"/>
    </row>
    <row r="17252" spans="1:33" ht="14.5" x14ac:dyDescent="0.35">
      <c r="A17252" s="34"/>
      <c r="B17252" s="35"/>
      <c r="C17252" s="36"/>
      <c r="D17252" s="37"/>
      <c r="E17252" s="36"/>
      <c r="F17252" s="42"/>
      <c r="G17252" s="42"/>
      <c r="H17252" s="42"/>
      <c r="AG17252" s="19"/>
    </row>
    <row r="17253" spans="1:33" ht="14.5" x14ac:dyDescent="0.35">
      <c r="A17253" s="34"/>
      <c r="B17253" s="35"/>
      <c r="C17253" s="36"/>
      <c r="D17253" s="37"/>
      <c r="E17253" s="36"/>
      <c r="F17253" s="42"/>
      <c r="G17253" s="42"/>
      <c r="H17253" s="42"/>
      <c r="AG17253" s="19"/>
    </row>
    <row r="17254" spans="1:33" ht="14.5" x14ac:dyDescent="0.35">
      <c r="A17254" s="34"/>
      <c r="B17254" s="35"/>
      <c r="C17254" s="36"/>
      <c r="D17254" s="37"/>
      <c r="E17254" s="36"/>
      <c r="F17254" s="42"/>
      <c r="G17254" s="42"/>
      <c r="H17254" s="42"/>
      <c r="AG17254" s="19"/>
    </row>
    <row r="17255" spans="1:33" ht="14.5" x14ac:dyDescent="0.35">
      <c r="A17255" s="34"/>
      <c r="B17255" s="35"/>
      <c r="C17255" s="36"/>
      <c r="D17255" s="37"/>
      <c r="E17255" s="36"/>
      <c r="F17255" s="42"/>
      <c r="G17255" s="42"/>
      <c r="H17255" s="42"/>
      <c r="AG17255" s="19"/>
    </row>
    <row r="17256" spans="1:33" ht="14.5" x14ac:dyDescent="0.35">
      <c r="A17256" s="34"/>
      <c r="B17256" s="35"/>
      <c r="C17256" s="36"/>
      <c r="D17256" s="37"/>
      <c r="E17256" s="36"/>
      <c r="F17256" s="42"/>
      <c r="G17256" s="42"/>
      <c r="H17256" s="42"/>
      <c r="AG17256" s="19"/>
    </row>
    <row r="17257" spans="1:33" ht="14.5" x14ac:dyDescent="0.35">
      <c r="A17257" s="34"/>
      <c r="B17257" s="35"/>
      <c r="C17257" s="36"/>
      <c r="D17257" s="37"/>
      <c r="E17257" s="36"/>
      <c r="F17257" s="42"/>
      <c r="G17257" s="42"/>
      <c r="H17257" s="42"/>
      <c r="AG17257" s="19"/>
    </row>
    <row r="17258" spans="1:33" ht="14.5" x14ac:dyDescent="0.35">
      <c r="A17258" s="34"/>
      <c r="B17258" s="35"/>
      <c r="C17258" s="36"/>
      <c r="D17258" s="37"/>
      <c r="E17258" s="36"/>
      <c r="F17258" s="42"/>
      <c r="G17258" s="42"/>
      <c r="H17258" s="42"/>
      <c r="AG17258" s="19"/>
    </row>
    <row r="17259" spans="1:33" ht="14.5" x14ac:dyDescent="0.35">
      <c r="A17259" s="34"/>
      <c r="B17259" s="35"/>
      <c r="C17259" s="36"/>
      <c r="D17259" s="37"/>
      <c r="E17259" s="36"/>
      <c r="F17259" s="42"/>
      <c r="G17259" s="42"/>
      <c r="H17259" s="42"/>
      <c r="AG17259" s="19"/>
    </row>
    <row r="17260" spans="1:33" ht="14.5" x14ac:dyDescent="0.35">
      <c r="A17260" s="34"/>
      <c r="B17260" s="35"/>
      <c r="C17260" s="36"/>
      <c r="D17260" s="37"/>
      <c r="E17260" s="36"/>
      <c r="F17260" s="42"/>
      <c r="G17260" s="42"/>
      <c r="H17260" s="42"/>
      <c r="AG17260" s="19"/>
    </row>
    <row r="17261" spans="1:33" ht="14.5" x14ac:dyDescent="0.35">
      <c r="A17261" s="34"/>
      <c r="B17261" s="35"/>
      <c r="C17261" s="36"/>
      <c r="D17261" s="37"/>
      <c r="E17261" s="36"/>
      <c r="F17261" s="42"/>
      <c r="G17261" s="42"/>
      <c r="H17261" s="42"/>
      <c r="AG17261" s="19"/>
    </row>
    <row r="17262" spans="1:33" ht="14.5" x14ac:dyDescent="0.35">
      <c r="A17262" s="34"/>
      <c r="B17262" s="35"/>
      <c r="C17262" s="36"/>
      <c r="D17262" s="37"/>
      <c r="E17262" s="36"/>
      <c r="F17262" s="42"/>
      <c r="G17262" s="42"/>
      <c r="H17262" s="42"/>
      <c r="AG17262" s="19"/>
    </row>
    <row r="17263" spans="1:33" ht="14.5" x14ac:dyDescent="0.35">
      <c r="A17263" s="34"/>
      <c r="B17263" s="35"/>
      <c r="C17263" s="36"/>
      <c r="D17263" s="37"/>
      <c r="E17263" s="36"/>
      <c r="F17263" s="42"/>
      <c r="G17263" s="42"/>
      <c r="H17263" s="42"/>
      <c r="AG17263" s="19"/>
    </row>
    <row r="17264" spans="1:33" ht="14.5" x14ac:dyDescent="0.35">
      <c r="A17264" s="34"/>
      <c r="B17264" s="35"/>
      <c r="C17264" s="36"/>
      <c r="D17264" s="37"/>
      <c r="E17264" s="36"/>
      <c r="F17264" s="42"/>
      <c r="G17264" s="42"/>
      <c r="H17264" s="42"/>
      <c r="AG17264" s="19"/>
    </row>
    <row r="17265" spans="1:33" ht="14.5" x14ac:dyDescent="0.35">
      <c r="A17265" s="34"/>
      <c r="B17265" s="35"/>
      <c r="C17265" s="36"/>
      <c r="D17265" s="37"/>
      <c r="E17265" s="36"/>
      <c r="F17265" s="42"/>
      <c r="G17265" s="42"/>
      <c r="H17265" s="42"/>
      <c r="AG17265" s="19"/>
    </row>
    <row r="17266" spans="1:33" ht="14.5" x14ac:dyDescent="0.35">
      <c r="A17266" s="34"/>
      <c r="B17266" s="35"/>
      <c r="C17266" s="36"/>
      <c r="D17266" s="37"/>
      <c r="E17266" s="36"/>
      <c r="F17266" s="42"/>
      <c r="G17266" s="42"/>
      <c r="H17266" s="42"/>
      <c r="AG17266" s="19"/>
    </row>
    <row r="17267" spans="1:33" ht="14.5" x14ac:dyDescent="0.35">
      <c r="A17267" s="34"/>
      <c r="B17267" s="35"/>
      <c r="C17267" s="36"/>
      <c r="D17267" s="37"/>
      <c r="E17267" s="36"/>
      <c r="F17267" s="42"/>
      <c r="G17267" s="42"/>
      <c r="H17267" s="42"/>
      <c r="AG17267" s="19"/>
    </row>
    <row r="17268" spans="1:33" ht="14.5" x14ac:dyDescent="0.35">
      <c r="A17268" s="34"/>
      <c r="B17268" s="35"/>
      <c r="C17268" s="36"/>
      <c r="D17268" s="37"/>
      <c r="E17268" s="36"/>
      <c r="F17268" s="42"/>
      <c r="G17268" s="42"/>
      <c r="H17268" s="42"/>
      <c r="AG17268" s="19"/>
    </row>
    <row r="17269" spans="1:33" ht="14.5" x14ac:dyDescent="0.35">
      <c r="A17269" s="34"/>
      <c r="B17269" s="35"/>
      <c r="C17269" s="36"/>
      <c r="D17269" s="37"/>
      <c r="E17269" s="36"/>
      <c r="F17269" s="42"/>
      <c r="G17269" s="42"/>
      <c r="H17269" s="42"/>
      <c r="AG17269" s="19"/>
    </row>
    <row r="17270" spans="1:33" ht="14.5" x14ac:dyDescent="0.35">
      <c r="A17270" s="34"/>
      <c r="B17270" s="35"/>
      <c r="C17270" s="36"/>
      <c r="D17270" s="37"/>
      <c r="E17270" s="36"/>
      <c r="F17270" s="42"/>
      <c r="G17270" s="42"/>
      <c r="H17270" s="42"/>
      <c r="AG17270" s="19"/>
    </row>
    <row r="17271" spans="1:33" ht="14.5" x14ac:dyDescent="0.35">
      <c r="A17271" s="34"/>
      <c r="B17271" s="35"/>
      <c r="C17271" s="36"/>
      <c r="D17271" s="37"/>
      <c r="E17271" s="36"/>
      <c r="F17271" s="42"/>
      <c r="G17271" s="42"/>
      <c r="H17271" s="42"/>
      <c r="AG17271" s="19"/>
    </row>
    <row r="17272" spans="1:33" ht="14.5" x14ac:dyDescent="0.35">
      <c r="A17272" s="34"/>
      <c r="B17272" s="35"/>
      <c r="C17272" s="36"/>
      <c r="D17272" s="37"/>
      <c r="E17272" s="36"/>
      <c r="F17272" s="42"/>
      <c r="G17272" s="42"/>
      <c r="H17272" s="42"/>
      <c r="AG17272" s="19"/>
    </row>
    <row r="17273" spans="1:33" ht="14.5" x14ac:dyDescent="0.35">
      <c r="A17273" s="34"/>
      <c r="B17273" s="35"/>
      <c r="C17273" s="36"/>
      <c r="D17273" s="37"/>
      <c r="E17273" s="36"/>
      <c r="F17273" s="42"/>
      <c r="G17273" s="42"/>
      <c r="H17273" s="42"/>
      <c r="AG17273" s="19"/>
    </row>
    <row r="17274" spans="1:33" ht="14.5" x14ac:dyDescent="0.35">
      <c r="A17274" s="34"/>
      <c r="B17274" s="35"/>
      <c r="C17274" s="36"/>
      <c r="D17274" s="37"/>
      <c r="E17274" s="36"/>
      <c r="F17274" s="42"/>
      <c r="G17274" s="42"/>
      <c r="H17274" s="42"/>
      <c r="AG17274" s="19"/>
    </row>
    <row r="17275" spans="1:33" ht="14.5" x14ac:dyDescent="0.35">
      <c r="A17275" s="34"/>
      <c r="B17275" s="35"/>
      <c r="C17275" s="36"/>
      <c r="D17275" s="37"/>
      <c r="E17275" s="36"/>
      <c r="F17275" s="42"/>
      <c r="G17275" s="42"/>
      <c r="H17275" s="42"/>
      <c r="AG17275" s="19"/>
    </row>
    <row r="17276" spans="1:33" ht="14.5" x14ac:dyDescent="0.35">
      <c r="A17276" s="34"/>
      <c r="B17276" s="35"/>
      <c r="C17276" s="36"/>
      <c r="D17276" s="37"/>
      <c r="E17276" s="36"/>
      <c r="F17276" s="42"/>
      <c r="G17276" s="42"/>
      <c r="H17276" s="42"/>
      <c r="AG17276" s="19"/>
    </row>
    <row r="17277" spans="1:33" ht="14.5" x14ac:dyDescent="0.35">
      <c r="A17277" s="34"/>
      <c r="B17277" s="35"/>
      <c r="C17277" s="36"/>
      <c r="D17277" s="37"/>
      <c r="E17277" s="36"/>
      <c r="F17277" s="42"/>
      <c r="G17277" s="42"/>
      <c r="H17277" s="42"/>
      <c r="AG17277" s="19"/>
    </row>
    <row r="17278" spans="1:33" ht="14.5" x14ac:dyDescent="0.35">
      <c r="A17278" s="34"/>
      <c r="B17278" s="35"/>
      <c r="C17278" s="36"/>
      <c r="D17278" s="37"/>
      <c r="E17278" s="36"/>
      <c r="F17278" s="42"/>
      <c r="G17278" s="42"/>
      <c r="H17278" s="42"/>
      <c r="AG17278" s="19"/>
    </row>
    <row r="17279" spans="1:33" ht="14.5" x14ac:dyDescent="0.35">
      <c r="A17279" s="34"/>
      <c r="B17279" s="35"/>
      <c r="C17279" s="36"/>
      <c r="D17279" s="37"/>
      <c r="E17279" s="36"/>
      <c r="F17279" s="42"/>
      <c r="G17279" s="42"/>
      <c r="H17279" s="42"/>
      <c r="AG17279" s="19"/>
    </row>
    <row r="17280" spans="1:33" ht="14.5" x14ac:dyDescent="0.35">
      <c r="A17280" s="34"/>
      <c r="B17280" s="35"/>
      <c r="C17280" s="36"/>
      <c r="D17280" s="37"/>
      <c r="E17280" s="36"/>
      <c r="F17280" s="42"/>
      <c r="G17280" s="42"/>
      <c r="H17280" s="42"/>
      <c r="AG17280" s="19"/>
    </row>
    <row r="17281" spans="1:33" ht="14.5" x14ac:dyDescent="0.35">
      <c r="A17281" s="34"/>
      <c r="B17281" s="35"/>
      <c r="C17281" s="36"/>
      <c r="D17281" s="37"/>
      <c r="E17281" s="36"/>
      <c r="F17281" s="42"/>
      <c r="G17281" s="42"/>
      <c r="H17281" s="42"/>
      <c r="AG17281" s="19"/>
    </row>
    <row r="17282" spans="1:33" ht="14.5" x14ac:dyDescent="0.35">
      <c r="A17282" s="34"/>
      <c r="B17282" s="35"/>
      <c r="C17282" s="36"/>
      <c r="D17282" s="37"/>
      <c r="E17282" s="36"/>
      <c r="F17282" s="42"/>
      <c r="G17282" s="42"/>
      <c r="H17282" s="42"/>
      <c r="AG17282" s="19"/>
    </row>
    <row r="17283" spans="1:33" ht="14.5" x14ac:dyDescent="0.35">
      <c r="A17283" s="34"/>
      <c r="B17283" s="35"/>
      <c r="C17283" s="36"/>
      <c r="D17283" s="37"/>
      <c r="E17283" s="36"/>
      <c r="F17283" s="42"/>
      <c r="G17283" s="42"/>
      <c r="H17283" s="42"/>
      <c r="AG17283" s="19"/>
    </row>
    <row r="17284" spans="1:33" ht="14.5" x14ac:dyDescent="0.35">
      <c r="A17284" s="34"/>
      <c r="B17284" s="35"/>
      <c r="C17284" s="36"/>
      <c r="D17284" s="37"/>
      <c r="E17284" s="36"/>
      <c r="F17284" s="42"/>
      <c r="G17284" s="42"/>
      <c r="H17284" s="42"/>
      <c r="AG17284" s="19"/>
    </row>
    <row r="17285" spans="1:33" ht="14.5" x14ac:dyDescent="0.35">
      <c r="A17285" s="34"/>
      <c r="B17285" s="35"/>
      <c r="C17285" s="36"/>
      <c r="D17285" s="37"/>
      <c r="E17285" s="36"/>
      <c r="F17285" s="42"/>
      <c r="G17285" s="42"/>
      <c r="H17285" s="42"/>
      <c r="AG17285" s="19"/>
    </row>
    <row r="17286" spans="1:33" ht="14.5" x14ac:dyDescent="0.35">
      <c r="A17286" s="34"/>
      <c r="B17286" s="35"/>
      <c r="C17286" s="36"/>
      <c r="D17286" s="37"/>
      <c r="E17286" s="36"/>
      <c r="F17286" s="42"/>
      <c r="G17286" s="42"/>
      <c r="H17286" s="42"/>
      <c r="AG17286" s="19"/>
    </row>
    <row r="17287" spans="1:33" ht="14.5" x14ac:dyDescent="0.35">
      <c r="A17287" s="34"/>
      <c r="B17287" s="35"/>
      <c r="C17287" s="36"/>
      <c r="D17287" s="37"/>
      <c r="E17287" s="36"/>
      <c r="F17287" s="42"/>
      <c r="G17287" s="42"/>
      <c r="H17287" s="42"/>
      <c r="AG17287" s="19"/>
    </row>
    <row r="17288" spans="1:33" ht="14.5" x14ac:dyDescent="0.35">
      <c r="A17288" s="34"/>
      <c r="B17288" s="35"/>
      <c r="C17288" s="36"/>
      <c r="D17288" s="37"/>
      <c r="E17288" s="36"/>
      <c r="F17288" s="42"/>
      <c r="G17288" s="42"/>
      <c r="H17288" s="42"/>
      <c r="AG17288" s="19"/>
    </row>
    <row r="17289" spans="1:33" ht="14.5" x14ac:dyDescent="0.35">
      <c r="A17289" s="34"/>
      <c r="B17289" s="35"/>
      <c r="C17289" s="36"/>
      <c r="D17289" s="37"/>
      <c r="E17289" s="36"/>
      <c r="F17289" s="42"/>
      <c r="G17289" s="42"/>
      <c r="H17289" s="42"/>
      <c r="AG17289" s="19"/>
    </row>
    <row r="17290" spans="1:33" ht="14.5" x14ac:dyDescent="0.35">
      <c r="A17290" s="34"/>
      <c r="B17290" s="35"/>
      <c r="C17290" s="36"/>
      <c r="D17290" s="37"/>
      <c r="E17290" s="36"/>
      <c r="F17290" s="42"/>
      <c r="G17290" s="42"/>
      <c r="H17290" s="42"/>
      <c r="AG17290" s="19"/>
    </row>
    <row r="17291" spans="1:33" ht="14.5" x14ac:dyDescent="0.35">
      <c r="A17291" s="34"/>
      <c r="B17291" s="35"/>
      <c r="C17291" s="36"/>
      <c r="D17291" s="37"/>
      <c r="E17291" s="36"/>
      <c r="F17291" s="42"/>
      <c r="G17291" s="42"/>
      <c r="H17291" s="42"/>
      <c r="AG17291" s="19"/>
    </row>
    <row r="17292" spans="1:33" ht="14.5" x14ac:dyDescent="0.35">
      <c r="A17292" s="34"/>
      <c r="B17292" s="35"/>
      <c r="C17292" s="36"/>
      <c r="D17292" s="37"/>
      <c r="E17292" s="36"/>
      <c r="F17292" s="42"/>
      <c r="G17292" s="42"/>
      <c r="H17292" s="42"/>
      <c r="AG17292" s="19"/>
    </row>
    <row r="17293" spans="1:33" ht="14.5" x14ac:dyDescent="0.35">
      <c r="A17293" s="34"/>
      <c r="B17293" s="35"/>
      <c r="C17293" s="36"/>
      <c r="D17293" s="37"/>
      <c r="E17293" s="36"/>
      <c r="F17293" s="42"/>
      <c r="G17293" s="42"/>
      <c r="H17293" s="42"/>
      <c r="AG17293" s="19"/>
    </row>
    <row r="17294" spans="1:33" ht="14.5" x14ac:dyDescent="0.35">
      <c r="A17294" s="34"/>
      <c r="B17294" s="35"/>
      <c r="C17294" s="36"/>
      <c r="D17294" s="37"/>
      <c r="E17294" s="36"/>
      <c r="F17294" s="42"/>
      <c r="G17294" s="42"/>
      <c r="H17294" s="42"/>
      <c r="AG17294" s="19"/>
    </row>
    <row r="17295" spans="1:33" ht="14.5" x14ac:dyDescent="0.35">
      <c r="A17295" s="34"/>
      <c r="B17295" s="35"/>
      <c r="C17295" s="36"/>
      <c r="D17295" s="37"/>
      <c r="E17295" s="36"/>
      <c r="F17295" s="42"/>
      <c r="G17295" s="42"/>
      <c r="H17295" s="42"/>
      <c r="AG17295" s="19"/>
    </row>
    <row r="17296" spans="1:33" ht="14.5" x14ac:dyDescent="0.35">
      <c r="A17296" s="34"/>
      <c r="B17296" s="35"/>
      <c r="C17296" s="36"/>
      <c r="D17296" s="37"/>
      <c r="E17296" s="36"/>
      <c r="F17296" s="42"/>
      <c r="G17296" s="42"/>
      <c r="H17296" s="42"/>
      <c r="AG17296" s="19"/>
    </row>
    <row r="17297" spans="1:33" ht="14.5" x14ac:dyDescent="0.35">
      <c r="A17297" s="34"/>
      <c r="B17297" s="35"/>
      <c r="C17297" s="36"/>
      <c r="D17297" s="37"/>
      <c r="E17297" s="36"/>
      <c r="F17297" s="42"/>
      <c r="G17297" s="42"/>
      <c r="H17297" s="42"/>
      <c r="AG17297" s="19"/>
    </row>
    <row r="17298" spans="1:33" ht="14.5" x14ac:dyDescent="0.35">
      <c r="A17298" s="34"/>
      <c r="B17298" s="35"/>
      <c r="C17298" s="36"/>
      <c r="D17298" s="37"/>
      <c r="E17298" s="36"/>
      <c r="F17298" s="42"/>
      <c r="G17298" s="42"/>
      <c r="H17298" s="42"/>
      <c r="AG17298" s="19"/>
    </row>
    <row r="17299" spans="1:33" ht="14.5" x14ac:dyDescent="0.35">
      <c r="A17299" s="34"/>
      <c r="B17299" s="35"/>
      <c r="C17299" s="36"/>
      <c r="D17299" s="37"/>
      <c r="E17299" s="36"/>
      <c r="F17299" s="42"/>
      <c r="G17299" s="42"/>
      <c r="H17299" s="42"/>
      <c r="AG17299" s="19"/>
    </row>
    <row r="17300" spans="1:33" ht="14.5" x14ac:dyDescent="0.35">
      <c r="A17300" s="34"/>
      <c r="B17300" s="35"/>
      <c r="C17300" s="36"/>
      <c r="D17300" s="37"/>
      <c r="E17300" s="36"/>
      <c r="F17300" s="42"/>
      <c r="G17300" s="42"/>
      <c r="H17300" s="42"/>
      <c r="AG17300" s="19"/>
    </row>
    <row r="17301" spans="1:33" ht="14.5" x14ac:dyDescent="0.35">
      <c r="A17301" s="34"/>
      <c r="B17301" s="35"/>
      <c r="C17301" s="36"/>
      <c r="D17301" s="37"/>
      <c r="E17301" s="36"/>
      <c r="F17301" s="42"/>
      <c r="G17301" s="42"/>
      <c r="H17301" s="42"/>
      <c r="AG17301" s="19"/>
    </row>
    <row r="17302" spans="1:33" ht="14.5" x14ac:dyDescent="0.35">
      <c r="A17302" s="34"/>
      <c r="B17302" s="35"/>
      <c r="C17302" s="36"/>
      <c r="D17302" s="37"/>
      <c r="E17302" s="36"/>
      <c r="F17302" s="42"/>
      <c r="G17302" s="42"/>
      <c r="H17302" s="42"/>
      <c r="AG17302" s="19"/>
    </row>
    <row r="17303" spans="1:33" ht="14.5" x14ac:dyDescent="0.35">
      <c r="A17303" s="34"/>
      <c r="B17303" s="35"/>
      <c r="C17303" s="36"/>
      <c r="D17303" s="37"/>
      <c r="E17303" s="36"/>
      <c r="F17303" s="42"/>
      <c r="G17303" s="42"/>
      <c r="H17303" s="42"/>
      <c r="AG17303" s="19"/>
    </row>
    <row r="17304" spans="1:33" ht="14.5" x14ac:dyDescent="0.35">
      <c r="A17304" s="34"/>
      <c r="B17304" s="35"/>
      <c r="C17304" s="36"/>
      <c r="D17304" s="37"/>
      <c r="E17304" s="36"/>
      <c r="F17304" s="42"/>
      <c r="G17304" s="42"/>
      <c r="H17304" s="42"/>
      <c r="AG17304" s="19"/>
    </row>
    <row r="17305" spans="1:33" ht="14.5" x14ac:dyDescent="0.35">
      <c r="A17305" s="34"/>
      <c r="B17305" s="35"/>
      <c r="C17305" s="36"/>
      <c r="D17305" s="37"/>
      <c r="E17305" s="36"/>
      <c r="F17305" s="42"/>
      <c r="G17305" s="42"/>
      <c r="H17305" s="42"/>
      <c r="AG17305" s="19"/>
    </row>
    <row r="17306" spans="1:33" ht="14.5" x14ac:dyDescent="0.35">
      <c r="A17306" s="34"/>
      <c r="B17306" s="35"/>
      <c r="C17306" s="36"/>
      <c r="D17306" s="37"/>
      <c r="E17306" s="36"/>
      <c r="F17306" s="42"/>
      <c r="G17306" s="42"/>
      <c r="H17306" s="42"/>
      <c r="AG17306" s="19"/>
    </row>
    <row r="17307" spans="1:33" ht="14.5" x14ac:dyDescent="0.35">
      <c r="A17307" s="34"/>
      <c r="B17307" s="35"/>
      <c r="C17307" s="36"/>
      <c r="D17307" s="37"/>
      <c r="E17307" s="36"/>
      <c r="F17307" s="42"/>
      <c r="G17307" s="42"/>
      <c r="H17307" s="42"/>
      <c r="AG17307" s="19"/>
    </row>
    <row r="17308" spans="1:33" ht="14.5" x14ac:dyDescent="0.35">
      <c r="A17308" s="34"/>
      <c r="B17308" s="35"/>
      <c r="C17308" s="36"/>
      <c r="D17308" s="37"/>
      <c r="E17308" s="36"/>
      <c r="F17308" s="42"/>
      <c r="G17308" s="42"/>
      <c r="H17308" s="42"/>
      <c r="AG17308" s="19"/>
    </row>
    <row r="17309" spans="1:33" ht="14.5" x14ac:dyDescent="0.35">
      <c r="A17309" s="34"/>
      <c r="B17309" s="35"/>
      <c r="C17309" s="36"/>
      <c r="D17309" s="37"/>
      <c r="E17309" s="36"/>
      <c r="F17309" s="42"/>
      <c r="G17309" s="42"/>
      <c r="H17309" s="42"/>
      <c r="AG17309" s="19"/>
    </row>
    <row r="17310" spans="1:33" ht="14.5" x14ac:dyDescent="0.35">
      <c r="A17310" s="34"/>
      <c r="B17310" s="35"/>
      <c r="C17310" s="36"/>
      <c r="D17310" s="37"/>
      <c r="E17310" s="36"/>
      <c r="F17310" s="42"/>
      <c r="G17310" s="42"/>
      <c r="H17310" s="42"/>
      <c r="AG17310" s="19"/>
    </row>
    <row r="17311" spans="1:33" ht="14.5" x14ac:dyDescent="0.35">
      <c r="A17311" s="34"/>
      <c r="B17311" s="35"/>
      <c r="C17311" s="36"/>
      <c r="D17311" s="37"/>
      <c r="E17311" s="36"/>
      <c r="F17311" s="42"/>
      <c r="G17311" s="42"/>
      <c r="H17311" s="42"/>
      <c r="AG17311" s="19"/>
    </row>
    <row r="17312" spans="1:33" ht="14.5" x14ac:dyDescent="0.35">
      <c r="A17312" s="34"/>
      <c r="B17312" s="35"/>
      <c r="C17312" s="36"/>
      <c r="D17312" s="37"/>
      <c r="E17312" s="36"/>
      <c r="F17312" s="42"/>
      <c r="G17312" s="42"/>
      <c r="H17312" s="42"/>
      <c r="AG17312" s="19"/>
    </row>
    <row r="17313" spans="1:33" ht="14.5" x14ac:dyDescent="0.35">
      <c r="A17313" s="34"/>
      <c r="B17313" s="35"/>
      <c r="C17313" s="36"/>
      <c r="D17313" s="37"/>
      <c r="E17313" s="36"/>
      <c r="F17313" s="42"/>
      <c r="G17313" s="42"/>
      <c r="H17313" s="42"/>
      <c r="AG17313" s="19"/>
    </row>
    <row r="17314" spans="1:33" ht="14.5" x14ac:dyDescent="0.35">
      <c r="A17314" s="34"/>
      <c r="B17314" s="35"/>
      <c r="C17314" s="36"/>
      <c r="D17314" s="37"/>
      <c r="E17314" s="36"/>
      <c r="F17314" s="42"/>
      <c r="G17314" s="42"/>
      <c r="H17314" s="42"/>
      <c r="AG17314" s="19"/>
    </row>
    <row r="17315" spans="1:33" ht="14.5" x14ac:dyDescent="0.35">
      <c r="A17315" s="34"/>
      <c r="B17315" s="35"/>
      <c r="C17315" s="36"/>
      <c r="D17315" s="37"/>
      <c r="E17315" s="36"/>
      <c r="F17315" s="42"/>
      <c r="G17315" s="42"/>
      <c r="H17315" s="42"/>
      <c r="AG17315" s="19"/>
    </row>
    <row r="17316" spans="1:33" ht="14.5" x14ac:dyDescent="0.35">
      <c r="A17316" s="34"/>
      <c r="B17316" s="35"/>
      <c r="C17316" s="36"/>
      <c r="D17316" s="37"/>
      <c r="E17316" s="36"/>
      <c r="F17316" s="42"/>
      <c r="G17316" s="42"/>
      <c r="H17316" s="42"/>
      <c r="AG17316" s="19"/>
    </row>
    <row r="17317" spans="1:33" ht="14.5" x14ac:dyDescent="0.35">
      <c r="A17317" s="34"/>
      <c r="B17317" s="35"/>
      <c r="C17317" s="36"/>
      <c r="D17317" s="37"/>
      <c r="E17317" s="36"/>
      <c r="F17317" s="42"/>
      <c r="G17317" s="42"/>
      <c r="H17317" s="42"/>
      <c r="AG17317" s="19"/>
    </row>
    <row r="17318" spans="1:33" ht="14.5" x14ac:dyDescent="0.35">
      <c r="A17318" s="34"/>
      <c r="B17318" s="35"/>
      <c r="C17318" s="36"/>
      <c r="D17318" s="37"/>
      <c r="E17318" s="36"/>
      <c r="F17318" s="42"/>
      <c r="G17318" s="42"/>
      <c r="H17318" s="42"/>
      <c r="AG17318" s="19"/>
    </row>
    <row r="17319" spans="1:33" ht="14.5" x14ac:dyDescent="0.35">
      <c r="A17319" s="34"/>
      <c r="B17319" s="35"/>
      <c r="C17319" s="36"/>
      <c r="D17319" s="37"/>
      <c r="E17319" s="36"/>
      <c r="F17319" s="42"/>
      <c r="G17319" s="42"/>
      <c r="H17319" s="42"/>
      <c r="AG17319" s="19"/>
    </row>
    <row r="17320" spans="1:33" ht="14.5" x14ac:dyDescent="0.35">
      <c r="A17320" s="34"/>
      <c r="B17320" s="35"/>
      <c r="C17320" s="36"/>
      <c r="D17320" s="37"/>
      <c r="E17320" s="36"/>
      <c r="F17320" s="42"/>
      <c r="G17320" s="42"/>
      <c r="H17320" s="42"/>
      <c r="AG17320" s="19"/>
    </row>
    <row r="17321" spans="1:33" ht="14.5" x14ac:dyDescent="0.35">
      <c r="A17321" s="34"/>
      <c r="B17321" s="35"/>
      <c r="C17321" s="36"/>
      <c r="D17321" s="37"/>
      <c r="E17321" s="36"/>
      <c r="F17321" s="42"/>
      <c r="G17321" s="42"/>
      <c r="H17321" s="42"/>
      <c r="AG17321" s="19"/>
    </row>
    <row r="17322" spans="1:33" ht="14.5" x14ac:dyDescent="0.35">
      <c r="A17322" s="34"/>
      <c r="B17322" s="35"/>
      <c r="C17322" s="36"/>
      <c r="D17322" s="37"/>
      <c r="E17322" s="36"/>
      <c r="F17322" s="42"/>
      <c r="G17322" s="42"/>
      <c r="H17322" s="42"/>
      <c r="AG17322" s="19"/>
    </row>
    <row r="17323" spans="1:33" ht="14.5" x14ac:dyDescent="0.35">
      <c r="A17323" s="34"/>
      <c r="B17323" s="35"/>
      <c r="C17323" s="36"/>
      <c r="D17323" s="37"/>
      <c r="E17323" s="36"/>
      <c r="F17323" s="42"/>
      <c r="G17323" s="42"/>
      <c r="H17323" s="42"/>
      <c r="AG17323" s="19"/>
    </row>
    <row r="17324" spans="1:33" ht="14.5" x14ac:dyDescent="0.35">
      <c r="A17324" s="34"/>
      <c r="B17324" s="35"/>
      <c r="C17324" s="36"/>
      <c r="D17324" s="37"/>
      <c r="E17324" s="36"/>
      <c r="F17324" s="42"/>
      <c r="G17324" s="42"/>
      <c r="H17324" s="42"/>
      <c r="AG17324" s="19"/>
    </row>
    <row r="17325" spans="1:33" ht="14.5" x14ac:dyDescent="0.35">
      <c r="A17325" s="34"/>
      <c r="B17325" s="35"/>
      <c r="C17325" s="36"/>
      <c r="D17325" s="37"/>
      <c r="E17325" s="36"/>
      <c r="F17325" s="42"/>
      <c r="G17325" s="42"/>
      <c r="H17325" s="42"/>
      <c r="AG17325" s="19"/>
    </row>
    <row r="17326" spans="1:33" ht="14.5" x14ac:dyDescent="0.35">
      <c r="A17326" s="34"/>
      <c r="B17326" s="35"/>
      <c r="C17326" s="36"/>
      <c r="D17326" s="37"/>
      <c r="E17326" s="36"/>
      <c r="F17326" s="42"/>
      <c r="G17326" s="42"/>
      <c r="H17326" s="42"/>
      <c r="AG17326" s="19"/>
    </row>
    <row r="17327" spans="1:33" ht="14.5" x14ac:dyDescent="0.35">
      <c r="A17327" s="34"/>
      <c r="B17327" s="35"/>
      <c r="C17327" s="36"/>
      <c r="D17327" s="37"/>
      <c r="E17327" s="36"/>
      <c r="F17327" s="42"/>
      <c r="G17327" s="42"/>
      <c r="H17327" s="42"/>
      <c r="AG17327" s="19"/>
    </row>
    <row r="17328" spans="1:33" ht="14.5" x14ac:dyDescent="0.35">
      <c r="A17328" s="34"/>
      <c r="B17328" s="35"/>
      <c r="C17328" s="36"/>
      <c r="D17328" s="37"/>
      <c r="E17328" s="36"/>
      <c r="F17328" s="42"/>
      <c r="G17328" s="42"/>
      <c r="H17328" s="42"/>
      <c r="AG17328" s="19"/>
    </row>
    <row r="17329" spans="1:33" ht="14.5" x14ac:dyDescent="0.35">
      <c r="A17329" s="34"/>
      <c r="B17329" s="35"/>
      <c r="C17329" s="36"/>
      <c r="D17329" s="37"/>
      <c r="E17329" s="36"/>
      <c r="F17329" s="42"/>
      <c r="G17329" s="42"/>
      <c r="H17329" s="42"/>
      <c r="AG17329" s="19"/>
    </row>
    <row r="17330" spans="1:33" ht="14.5" x14ac:dyDescent="0.35">
      <c r="A17330" s="34"/>
      <c r="B17330" s="35"/>
      <c r="C17330" s="36"/>
      <c r="D17330" s="37"/>
      <c r="E17330" s="36"/>
      <c r="F17330" s="42"/>
      <c r="G17330" s="42"/>
      <c r="H17330" s="42"/>
      <c r="AG17330" s="19"/>
    </row>
    <row r="17331" spans="1:33" ht="14.5" x14ac:dyDescent="0.35">
      <c r="A17331" s="34"/>
      <c r="B17331" s="35"/>
      <c r="C17331" s="36"/>
      <c r="D17331" s="37"/>
      <c r="E17331" s="36"/>
      <c r="F17331" s="42"/>
      <c r="G17331" s="42"/>
      <c r="H17331" s="42"/>
      <c r="AG17331" s="19"/>
    </row>
    <row r="17332" spans="1:33" ht="14.5" x14ac:dyDescent="0.35">
      <c r="A17332" s="34"/>
      <c r="B17332" s="35"/>
      <c r="C17332" s="36"/>
      <c r="D17332" s="37"/>
      <c r="E17332" s="36"/>
      <c r="F17332" s="42"/>
      <c r="G17332" s="42"/>
      <c r="H17332" s="42"/>
      <c r="AG17332" s="19"/>
    </row>
    <row r="17333" spans="1:33" ht="14.5" x14ac:dyDescent="0.35">
      <c r="A17333" s="34"/>
      <c r="B17333" s="35"/>
      <c r="C17333" s="36"/>
      <c r="D17333" s="37"/>
      <c r="E17333" s="36"/>
      <c r="F17333" s="42"/>
      <c r="G17333" s="42"/>
      <c r="H17333" s="42"/>
      <c r="AG17333" s="19"/>
    </row>
    <row r="17334" spans="1:33" ht="14.5" x14ac:dyDescent="0.35">
      <c r="A17334" s="34"/>
      <c r="B17334" s="35"/>
      <c r="C17334" s="36"/>
      <c r="D17334" s="37"/>
      <c r="E17334" s="36"/>
      <c r="F17334" s="42"/>
      <c r="G17334" s="42"/>
      <c r="H17334" s="42"/>
      <c r="AG17334" s="19"/>
    </row>
    <row r="17335" spans="1:33" ht="14.5" x14ac:dyDescent="0.35">
      <c r="A17335" s="34"/>
      <c r="B17335" s="35"/>
      <c r="C17335" s="36"/>
      <c r="D17335" s="37"/>
      <c r="E17335" s="36"/>
      <c r="F17335" s="42"/>
      <c r="G17335" s="42"/>
      <c r="H17335" s="42"/>
      <c r="AG17335" s="19"/>
    </row>
    <row r="17336" spans="1:33" ht="14.5" x14ac:dyDescent="0.35">
      <c r="A17336" s="34"/>
      <c r="B17336" s="35"/>
      <c r="C17336" s="36"/>
      <c r="D17336" s="37"/>
      <c r="E17336" s="36"/>
      <c r="F17336" s="42"/>
      <c r="G17336" s="42"/>
      <c r="H17336" s="42"/>
      <c r="AG17336" s="19"/>
    </row>
    <row r="17337" spans="1:33" ht="14.5" x14ac:dyDescent="0.35">
      <c r="A17337" s="34"/>
      <c r="B17337" s="35"/>
      <c r="C17337" s="36"/>
      <c r="D17337" s="37"/>
      <c r="E17337" s="36"/>
      <c r="F17337" s="42"/>
      <c r="G17337" s="42"/>
      <c r="H17337" s="42"/>
      <c r="AG17337" s="19"/>
    </row>
    <row r="17338" spans="1:33" ht="14.5" x14ac:dyDescent="0.35">
      <c r="A17338" s="34"/>
      <c r="B17338" s="35"/>
      <c r="C17338" s="36"/>
      <c r="D17338" s="37"/>
      <c r="E17338" s="36"/>
      <c r="F17338" s="42"/>
      <c r="G17338" s="42"/>
      <c r="H17338" s="42"/>
      <c r="AG17338" s="19"/>
    </row>
    <row r="17339" spans="1:33" ht="14.5" x14ac:dyDescent="0.35">
      <c r="A17339" s="34"/>
      <c r="B17339" s="35"/>
      <c r="C17339" s="36"/>
      <c r="D17339" s="37"/>
      <c r="E17339" s="36"/>
      <c r="F17339" s="42"/>
      <c r="G17339" s="42"/>
      <c r="H17339" s="42"/>
      <c r="AG17339" s="19"/>
    </row>
    <row r="17340" spans="1:33" ht="14.5" x14ac:dyDescent="0.35">
      <c r="A17340" s="34"/>
      <c r="B17340" s="35"/>
      <c r="C17340" s="36"/>
      <c r="D17340" s="37"/>
      <c r="E17340" s="36"/>
      <c r="F17340" s="42"/>
      <c r="G17340" s="42"/>
      <c r="H17340" s="42"/>
      <c r="AG17340" s="19"/>
    </row>
    <row r="17341" spans="1:33" ht="14.5" x14ac:dyDescent="0.35">
      <c r="A17341" s="34"/>
      <c r="B17341" s="35"/>
      <c r="C17341" s="36"/>
      <c r="D17341" s="37"/>
      <c r="E17341" s="36"/>
      <c r="F17341" s="42"/>
      <c r="G17341" s="42"/>
      <c r="H17341" s="42"/>
      <c r="AG17341" s="19"/>
    </row>
    <row r="17342" spans="1:33" ht="14.5" x14ac:dyDescent="0.35">
      <c r="A17342" s="34"/>
      <c r="B17342" s="35"/>
      <c r="C17342" s="36"/>
      <c r="D17342" s="37"/>
      <c r="E17342" s="36"/>
      <c r="F17342" s="42"/>
      <c r="G17342" s="42"/>
      <c r="H17342" s="42"/>
      <c r="AG17342" s="19"/>
    </row>
    <row r="17343" spans="1:33" ht="14.5" x14ac:dyDescent="0.35">
      <c r="A17343" s="34"/>
      <c r="B17343" s="35"/>
      <c r="C17343" s="36"/>
      <c r="D17343" s="37"/>
      <c r="E17343" s="36"/>
      <c r="F17343" s="42"/>
      <c r="G17343" s="42"/>
      <c r="H17343" s="42"/>
      <c r="AG17343" s="19"/>
    </row>
    <row r="17344" spans="1:33" ht="14.5" x14ac:dyDescent="0.35">
      <c r="A17344" s="34"/>
      <c r="B17344" s="35"/>
      <c r="C17344" s="36"/>
      <c r="D17344" s="37"/>
      <c r="E17344" s="36"/>
      <c r="F17344" s="42"/>
      <c r="G17344" s="42"/>
      <c r="H17344" s="42"/>
      <c r="AG17344" s="19"/>
    </row>
    <row r="17345" spans="1:33" ht="14.5" x14ac:dyDescent="0.35">
      <c r="A17345" s="34"/>
      <c r="B17345" s="35"/>
      <c r="C17345" s="36"/>
      <c r="D17345" s="37"/>
      <c r="E17345" s="36"/>
      <c r="F17345" s="42"/>
      <c r="G17345" s="42"/>
      <c r="H17345" s="42"/>
      <c r="AG17345" s="19"/>
    </row>
    <row r="17346" spans="1:33" ht="14.5" x14ac:dyDescent="0.35">
      <c r="A17346" s="34"/>
      <c r="B17346" s="35"/>
      <c r="C17346" s="36"/>
      <c r="D17346" s="37"/>
      <c r="E17346" s="36"/>
      <c r="F17346" s="42"/>
      <c r="G17346" s="42"/>
      <c r="H17346" s="42"/>
      <c r="AG17346" s="19"/>
    </row>
    <row r="17347" spans="1:33" ht="14.5" x14ac:dyDescent="0.35">
      <c r="A17347" s="34"/>
      <c r="B17347" s="35"/>
      <c r="C17347" s="36"/>
      <c r="D17347" s="37"/>
      <c r="E17347" s="36"/>
      <c r="F17347" s="42"/>
      <c r="G17347" s="42"/>
      <c r="H17347" s="42"/>
      <c r="AG17347" s="19"/>
    </row>
    <row r="17348" spans="1:33" ht="14.5" x14ac:dyDescent="0.35">
      <c r="A17348" s="34"/>
      <c r="B17348" s="35"/>
      <c r="C17348" s="36"/>
      <c r="D17348" s="37"/>
      <c r="E17348" s="36"/>
      <c r="F17348" s="42"/>
      <c r="G17348" s="42"/>
      <c r="H17348" s="42"/>
      <c r="AG17348" s="19"/>
    </row>
    <row r="17349" spans="1:33" ht="14.5" x14ac:dyDescent="0.35">
      <c r="A17349" s="34"/>
      <c r="B17349" s="35"/>
      <c r="C17349" s="36"/>
      <c r="D17349" s="37"/>
      <c r="E17349" s="36"/>
      <c r="F17349" s="42"/>
      <c r="G17349" s="42"/>
      <c r="H17349" s="42"/>
      <c r="AG17349" s="19"/>
    </row>
    <row r="17350" spans="1:33" ht="14.5" x14ac:dyDescent="0.35">
      <c r="A17350" s="34"/>
      <c r="B17350" s="35"/>
      <c r="C17350" s="36"/>
      <c r="D17350" s="37"/>
      <c r="E17350" s="36"/>
      <c r="F17350" s="42"/>
      <c r="G17350" s="42"/>
      <c r="H17350" s="42"/>
      <c r="AG17350" s="19"/>
    </row>
    <row r="17351" spans="1:33" ht="14.5" x14ac:dyDescent="0.35">
      <c r="A17351" s="34"/>
      <c r="B17351" s="35"/>
      <c r="C17351" s="36"/>
      <c r="D17351" s="37"/>
      <c r="E17351" s="36"/>
      <c r="F17351" s="42"/>
      <c r="G17351" s="42"/>
      <c r="H17351" s="42"/>
      <c r="AG17351" s="19"/>
    </row>
    <row r="17352" spans="1:33" ht="14.5" x14ac:dyDescent="0.35">
      <c r="A17352" s="34"/>
      <c r="B17352" s="35"/>
      <c r="C17352" s="36"/>
      <c r="D17352" s="37"/>
      <c r="E17352" s="36"/>
      <c r="F17352" s="42"/>
      <c r="G17352" s="42"/>
      <c r="H17352" s="42"/>
      <c r="AG17352" s="19"/>
    </row>
    <row r="17353" spans="1:33" ht="14.5" x14ac:dyDescent="0.35">
      <c r="A17353" s="34"/>
      <c r="B17353" s="35"/>
      <c r="C17353" s="36"/>
      <c r="D17353" s="37"/>
      <c r="E17353" s="36"/>
      <c r="F17353" s="42"/>
      <c r="G17353" s="42"/>
      <c r="H17353" s="42"/>
      <c r="AG17353" s="19"/>
    </row>
    <row r="17354" spans="1:33" ht="14.5" x14ac:dyDescent="0.35">
      <c r="A17354" s="34"/>
      <c r="B17354" s="35"/>
      <c r="C17354" s="36"/>
      <c r="D17354" s="37"/>
      <c r="E17354" s="36"/>
      <c r="F17354" s="42"/>
      <c r="G17354" s="42"/>
      <c r="H17354" s="42"/>
      <c r="AG17354" s="19"/>
    </row>
    <row r="17355" spans="1:33" ht="14.5" x14ac:dyDescent="0.35">
      <c r="A17355" s="34"/>
      <c r="B17355" s="35"/>
      <c r="C17355" s="36"/>
      <c r="D17355" s="37"/>
      <c r="E17355" s="36"/>
      <c r="F17355" s="42"/>
      <c r="G17355" s="42"/>
      <c r="H17355" s="42"/>
      <c r="AG17355" s="19"/>
    </row>
    <row r="17356" spans="1:33" ht="14.5" x14ac:dyDescent="0.35">
      <c r="A17356" s="34"/>
      <c r="B17356" s="35"/>
      <c r="C17356" s="36"/>
      <c r="D17356" s="37"/>
      <c r="E17356" s="36"/>
      <c r="F17356" s="42"/>
      <c r="G17356" s="42"/>
      <c r="H17356" s="42"/>
      <c r="AG17356" s="19"/>
    </row>
    <row r="17357" spans="1:33" ht="14.5" x14ac:dyDescent="0.35">
      <c r="A17357" s="34"/>
      <c r="B17357" s="35"/>
      <c r="C17357" s="36"/>
      <c r="D17357" s="37"/>
      <c r="E17357" s="36"/>
      <c r="F17357" s="42"/>
      <c r="G17357" s="42"/>
      <c r="H17357" s="42"/>
      <c r="AG17357" s="19"/>
    </row>
    <row r="17358" spans="1:33" ht="14.5" x14ac:dyDescent="0.35">
      <c r="A17358" s="34"/>
      <c r="B17358" s="35"/>
      <c r="C17358" s="36"/>
      <c r="D17358" s="37"/>
      <c r="E17358" s="36"/>
      <c r="F17358" s="42"/>
      <c r="G17358" s="42"/>
      <c r="H17358" s="42"/>
      <c r="AG17358" s="19"/>
    </row>
    <row r="17359" spans="1:33" ht="14.5" x14ac:dyDescent="0.35">
      <c r="A17359" s="34"/>
      <c r="B17359" s="35"/>
      <c r="C17359" s="36"/>
      <c r="D17359" s="37"/>
      <c r="E17359" s="36"/>
      <c r="F17359" s="42"/>
      <c r="G17359" s="42"/>
      <c r="H17359" s="42"/>
      <c r="AG17359" s="19"/>
    </row>
    <row r="17360" spans="1:33" ht="14.5" x14ac:dyDescent="0.35">
      <c r="A17360" s="34"/>
      <c r="B17360" s="35"/>
      <c r="C17360" s="36"/>
      <c r="D17360" s="37"/>
      <c r="E17360" s="36"/>
      <c r="F17360" s="42"/>
      <c r="G17360" s="42"/>
      <c r="H17360" s="42"/>
      <c r="AG17360" s="19"/>
    </row>
    <row r="17361" spans="1:33" ht="14.5" x14ac:dyDescent="0.35">
      <c r="A17361" s="34"/>
      <c r="B17361" s="35"/>
      <c r="C17361" s="36"/>
      <c r="D17361" s="37"/>
      <c r="E17361" s="36"/>
      <c r="F17361" s="42"/>
      <c r="G17361" s="42"/>
      <c r="H17361" s="42"/>
      <c r="AG17361" s="19"/>
    </row>
    <row r="17362" spans="1:33" ht="14.5" x14ac:dyDescent="0.35">
      <c r="A17362" s="34"/>
      <c r="B17362" s="35"/>
      <c r="C17362" s="36"/>
      <c r="D17362" s="37"/>
      <c r="E17362" s="36"/>
      <c r="F17362" s="42"/>
      <c r="G17362" s="42"/>
      <c r="H17362" s="42"/>
      <c r="AG17362" s="19"/>
    </row>
    <row r="17363" spans="1:33" ht="14.5" x14ac:dyDescent="0.35">
      <c r="A17363" s="34"/>
      <c r="B17363" s="35"/>
      <c r="C17363" s="36"/>
      <c r="D17363" s="37"/>
      <c r="E17363" s="36"/>
      <c r="F17363" s="42"/>
      <c r="G17363" s="42"/>
      <c r="H17363" s="42"/>
      <c r="AG17363" s="19"/>
    </row>
    <row r="17364" spans="1:33" ht="14.5" x14ac:dyDescent="0.35">
      <c r="A17364" s="34"/>
      <c r="B17364" s="35"/>
      <c r="C17364" s="36"/>
      <c r="D17364" s="37"/>
      <c r="E17364" s="36"/>
      <c r="F17364" s="42"/>
      <c r="G17364" s="42"/>
      <c r="H17364" s="42"/>
      <c r="AG17364" s="19"/>
    </row>
    <row r="17365" spans="1:33" ht="14.5" x14ac:dyDescent="0.35">
      <c r="A17365" s="34"/>
      <c r="B17365" s="35"/>
      <c r="C17365" s="36"/>
      <c r="D17365" s="37"/>
      <c r="E17365" s="36"/>
      <c r="F17365" s="42"/>
      <c r="G17365" s="42"/>
      <c r="H17365" s="42"/>
      <c r="AG17365" s="19"/>
    </row>
    <row r="17366" spans="1:33" ht="14.5" x14ac:dyDescent="0.35">
      <c r="A17366" s="34"/>
      <c r="B17366" s="35"/>
      <c r="C17366" s="36"/>
      <c r="D17366" s="37"/>
      <c r="E17366" s="36"/>
      <c r="F17366" s="42"/>
      <c r="G17366" s="42"/>
      <c r="H17366" s="42"/>
      <c r="AG17366" s="19"/>
    </row>
    <row r="17367" spans="1:33" ht="14.5" x14ac:dyDescent="0.35">
      <c r="A17367" s="34"/>
      <c r="B17367" s="35"/>
      <c r="C17367" s="36"/>
      <c r="D17367" s="37"/>
      <c r="E17367" s="36"/>
      <c r="F17367" s="42"/>
      <c r="G17367" s="42"/>
      <c r="H17367" s="42"/>
      <c r="AG17367" s="19"/>
    </row>
    <row r="17368" spans="1:33" ht="14.5" x14ac:dyDescent="0.35">
      <c r="A17368" s="34"/>
      <c r="B17368" s="35"/>
      <c r="C17368" s="36"/>
      <c r="D17368" s="37"/>
      <c r="E17368" s="36"/>
      <c r="F17368" s="42"/>
      <c r="G17368" s="42"/>
      <c r="H17368" s="42"/>
      <c r="AG17368" s="19"/>
    </row>
    <row r="17369" spans="1:33" ht="14.5" x14ac:dyDescent="0.35">
      <c r="A17369" s="34"/>
      <c r="B17369" s="35"/>
      <c r="C17369" s="36"/>
      <c r="D17369" s="37"/>
      <c r="E17369" s="36"/>
      <c r="F17369" s="42"/>
      <c r="G17369" s="42"/>
      <c r="H17369" s="42"/>
      <c r="AG17369" s="19"/>
    </row>
    <row r="17370" spans="1:33" ht="14.5" x14ac:dyDescent="0.35">
      <c r="A17370" s="34"/>
      <c r="B17370" s="35"/>
      <c r="C17370" s="36"/>
      <c r="D17370" s="37"/>
      <c r="E17370" s="36"/>
      <c r="F17370" s="42"/>
      <c r="G17370" s="42"/>
      <c r="H17370" s="42"/>
      <c r="AG17370" s="19"/>
    </row>
    <row r="17371" spans="1:33" ht="14.5" x14ac:dyDescent="0.35">
      <c r="A17371" s="34"/>
      <c r="B17371" s="35"/>
      <c r="C17371" s="36"/>
      <c r="D17371" s="37"/>
      <c r="E17371" s="36"/>
      <c r="F17371" s="42"/>
      <c r="G17371" s="42"/>
      <c r="H17371" s="42"/>
      <c r="AG17371" s="19"/>
    </row>
    <row r="17372" spans="1:33" ht="14.5" x14ac:dyDescent="0.35">
      <c r="A17372" s="34"/>
      <c r="B17372" s="35"/>
      <c r="C17372" s="36"/>
      <c r="D17372" s="37"/>
      <c r="E17372" s="36"/>
      <c r="F17372" s="42"/>
      <c r="G17372" s="42"/>
      <c r="H17372" s="42"/>
      <c r="AG17372" s="19"/>
    </row>
    <row r="17373" spans="1:33" ht="14.5" x14ac:dyDescent="0.35">
      <c r="A17373" s="34"/>
      <c r="B17373" s="35"/>
      <c r="C17373" s="36"/>
      <c r="D17373" s="37"/>
      <c r="E17373" s="36"/>
      <c r="F17373" s="42"/>
      <c r="G17373" s="42"/>
      <c r="H17373" s="42"/>
      <c r="AG17373" s="19"/>
    </row>
    <row r="17374" spans="1:33" ht="14.5" x14ac:dyDescent="0.35">
      <c r="A17374" s="34"/>
      <c r="B17374" s="35"/>
      <c r="C17374" s="36"/>
      <c r="D17374" s="37"/>
      <c r="E17374" s="36"/>
      <c r="F17374" s="42"/>
      <c r="G17374" s="42"/>
      <c r="H17374" s="42"/>
      <c r="AG17374" s="19"/>
    </row>
    <row r="17375" spans="1:33" ht="14.5" x14ac:dyDescent="0.35">
      <c r="A17375" s="34"/>
      <c r="B17375" s="35"/>
      <c r="C17375" s="36"/>
      <c r="D17375" s="37"/>
      <c r="E17375" s="36"/>
      <c r="F17375" s="42"/>
      <c r="G17375" s="42"/>
      <c r="H17375" s="42"/>
      <c r="AG17375" s="19"/>
    </row>
    <row r="17376" spans="1:33" ht="14.5" x14ac:dyDescent="0.35">
      <c r="A17376" s="34"/>
      <c r="B17376" s="35"/>
      <c r="C17376" s="36"/>
      <c r="D17376" s="37"/>
      <c r="E17376" s="36"/>
      <c r="F17376" s="42"/>
      <c r="G17376" s="42"/>
      <c r="H17376" s="42"/>
      <c r="AG17376" s="19"/>
    </row>
    <row r="17377" spans="1:33" ht="14.5" x14ac:dyDescent="0.35">
      <c r="A17377" s="34"/>
      <c r="B17377" s="35"/>
      <c r="C17377" s="36"/>
      <c r="D17377" s="37"/>
      <c r="E17377" s="36"/>
      <c r="F17377" s="42"/>
      <c r="G17377" s="42"/>
      <c r="H17377" s="42"/>
      <c r="AG17377" s="19"/>
    </row>
    <row r="17378" spans="1:33" ht="14.5" x14ac:dyDescent="0.35">
      <c r="A17378" s="34"/>
      <c r="B17378" s="35"/>
      <c r="C17378" s="36"/>
      <c r="D17378" s="37"/>
      <c r="E17378" s="36"/>
      <c r="F17378" s="42"/>
      <c r="G17378" s="42"/>
      <c r="H17378" s="42"/>
      <c r="AG17378" s="19"/>
    </row>
    <row r="17379" spans="1:33" ht="14.5" x14ac:dyDescent="0.35">
      <c r="A17379" s="34"/>
      <c r="B17379" s="35"/>
      <c r="C17379" s="36"/>
      <c r="D17379" s="37"/>
      <c r="E17379" s="36"/>
      <c r="F17379" s="42"/>
      <c r="G17379" s="42"/>
      <c r="H17379" s="42"/>
      <c r="AG17379" s="19"/>
    </row>
    <row r="17380" spans="1:33" ht="14.5" x14ac:dyDescent="0.35">
      <c r="A17380" s="34"/>
      <c r="B17380" s="35"/>
      <c r="C17380" s="36"/>
      <c r="D17380" s="37"/>
      <c r="E17380" s="36"/>
      <c r="F17380" s="42"/>
      <c r="G17380" s="42"/>
      <c r="H17380" s="42"/>
      <c r="AG17380" s="19"/>
    </row>
    <row r="17381" spans="1:33" ht="14.5" x14ac:dyDescent="0.35">
      <c r="A17381" s="34"/>
      <c r="B17381" s="35"/>
      <c r="C17381" s="36"/>
      <c r="D17381" s="37"/>
      <c r="E17381" s="36"/>
      <c r="F17381" s="42"/>
      <c r="G17381" s="42"/>
      <c r="H17381" s="42"/>
      <c r="AG17381" s="19"/>
    </row>
    <row r="17382" spans="1:33" ht="14.5" x14ac:dyDescent="0.35">
      <c r="A17382" s="34"/>
      <c r="B17382" s="35"/>
      <c r="C17382" s="36"/>
      <c r="D17382" s="37"/>
      <c r="E17382" s="36"/>
      <c r="F17382" s="42"/>
      <c r="G17382" s="42"/>
      <c r="H17382" s="42"/>
      <c r="AG17382" s="19"/>
    </row>
    <row r="17383" spans="1:33" ht="14.5" x14ac:dyDescent="0.35">
      <c r="A17383" s="34"/>
      <c r="B17383" s="35"/>
      <c r="C17383" s="36"/>
      <c r="D17383" s="37"/>
      <c r="E17383" s="36"/>
      <c r="F17383" s="42"/>
      <c r="G17383" s="42"/>
      <c r="H17383" s="42"/>
      <c r="AG17383" s="19"/>
    </row>
    <row r="17384" spans="1:33" ht="14.5" x14ac:dyDescent="0.35">
      <c r="A17384" s="34"/>
      <c r="B17384" s="35"/>
      <c r="C17384" s="36"/>
      <c r="D17384" s="37"/>
      <c r="E17384" s="36"/>
      <c r="F17384" s="42"/>
      <c r="G17384" s="42"/>
      <c r="H17384" s="42"/>
      <c r="AG17384" s="19"/>
    </row>
    <row r="17385" spans="1:33" ht="14.5" x14ac:dyDescent="0.35">
      <c r="A17385" s="34"/>
      <c r="B17385" s="35"/>
      <c r="C17385" s="36"/>
      <c r="D17385" s="37"/>
      <c r="E17385" s="36"/>
      <c r="F17385" s="42"/>
      <c r="G17385" s="42"/>
      <c r="H17385" s="42"/>
      <c r="AG17385" s="19"/>
    </row>
    <row r="17386" spans="1:33" ht="14.5" x14ac:dyDescent="0.35">
      <c r="A17386" s="34"/>
      <c r="B17386" s="35"/>
      <c r="C17386" s="36"/>
      <c r="D17386" s="37"/>
      <c r="E17386" s="36"/>
      <c r="F17386" s="42"/>
      <c r="G17386" s="42"/>
      <c r="H17386" s="42"/>
      <c r="AG17386" s="19"/>
    </row>
    <row r="17387" spans="1:33" ht="14.5" x14ac:dyDescent="0.35">
      <c r="A17387" s="34"/>
      <c r="B17387" s="35"/>
      <c r="C17387" s="36"/>
      <c r="D17387" s="37"/>
      <c r="E17387" s="36"/>
      <c r="F17387" s="42"/>
      <c r="G17387" s="42"/>
      <c r="H17387" s="42"/>
      <c r="AG17387" s="19"/>
    </row>
    <row r="17388" spans="1:33" ht="14.5" x14ac:dyDescent="0.35">
      <c r="A17388" s="34"/>
      <c r="B17388" s="35"/>
      <c r="C17388" s="36"/>
      <c r="D17388" s="37"/>
      <c r="E17388" s="36"/>
      <c r="F17388" s="42"/>
      <c r="G17388" s="42"/>
      <c r="H17388" s="42"/>
      <c r="AG17388" s="19"/>
    </row>
    <row r="17389" spans="1:33" ht="14.5" x14ac:dyDescent="0.35">
      <c r="A17389" s="34"/>
      <c r="B17389" s="35"/>
      <c r="C17389" s="36"/>
      <c r="D17389" s="37"/>
      <c r="E17389" s="36"/>
      <c r="F17389" s="42"/>
      <c r="G17389" s="42"/>
      <c r="H17389" s="42"/>
      <c r="AG17389" s="19"/>
    </row>
    <row r="17390" spans="1:33" ht="14.5" x14ac:dyDescent="0.35">
      <c r="A17390" s="34"/>
      <c r="B17390" s="35"/>
      <c r="C17390" s="36"/>
      <c r="D17390" s="37"/>
      <c r="E17390" s="36"/>
      <c r="F17390" s="42"/>
      <c r="G17390" s="42"/>
      <c r="H17390" s="42"/>
      <c r="AG17390" s="19"/>
    </row>
    <row r="17391" spans="1:33" ht="14.5" x14ac:dyDescent="0.35">
      <c r="A17391" s="34"/>
      <c r="B17391" s="35"/>
      <c r="C17391" s="36"/>
      <c r="D17391" s="37"/>
      <c r="E17391" s="36"/>
      <c r="F17391" s="42"/>
      <c r="G17391" s="42"/>
      <c r="H17391" s="42"/>
      <c r="AG17391" s="19"/>
    </row>
    <row r="17392" spans="1:33" ht="14.5" x14ac:dyDescent="0.35">
      <c r="A17392" s="34"/>
      <c r="B17392" s="35"/>
      <c r="C17392" s="36"/>
      <c r="D17392" s="37"/>
      <c r="E17392" s="36"/>
      <c r="F17392" s="42"/>
      <c r="G17392" s="42"/>
      <c r="H17392" s="42"/>
      <c r="AG17392" s="19"/>
    </row>
    <row r="17393" spans="1:33" ht="14.5" x14ac:dyDescent="0.35">
      <c r="A17393" s="34"/>
      <c r="B17393" s="35"/>
      <c r="C17393" s="36"/>
      <c r="D17393" s="37"/>
      <c r="E17393" s="36"/>
      <c r="F17393" s="42"/>
      <c r="G17393" s="42"/>
      <c r="H17393" s="42"/>
      <c r="AG17393" s="19"/>
    </row>
    <row r="17394" spans="1:33" ht="14.5" x14ac:dyDescent="0.35">
      <c r="A17394" s="34"/>
      <c r="B17394" s="35"/>
      <c r="C17394" s="36"/>
      <c r="D17394" s="37"/>
      <c r="E17394" s="36"/>
      <c r="F17394" s="42"/>
      <c r="G17394" s="42"/>
      <c r="H17394" s="42"/>
      <c r="AG17394" s="19"/>
    </row>
    <row r="17395" spans="1:33" ht="14.5" x14ac:dyDescent="0.35">
      <c r="A17395" s="34"/>
      <c r="B17395" s="35"/>
      <c r="C17395" s="36"/>
      <c r="D17395" s="37"/>
      <c r="E17395" s="36"/>
      <c r="F17395" s="42"/>
      <c r="G17395" s="42"/>
      <c r="H17395" s="42"/>
      <c r="AG17395" s="19"/>
    </row>
    <row r="17396" spans="1:33" ht="14.5" x14ac:dyDescent="0.35">
      <c r="A17396" s="34"/>
      <c r="B17396" s="35"/>
      <c r="C17396" s="36"/>
      <c r="D17396" s="37"/>
      <c r="E17396" s="36"/>
      <c r="F17396" s="42"/>
      <c r="G17396" s="42"/>
      <c r="H17396" s="42"/>
      <c r="AG17396" s="19"/>
    </row>
    <row r="17397" spans="1:33" ht="14.5" x14ac:dyDescent="0.35">
      <c r="A17397" s="34"/>
      <c r="B17397" s="35"/>
      <c r="C17397" s="36"/>
      <c r="D17397" s="37"/>
      <c r="E17397" s="36"/>
      <c r="F17397" s="42"/>
      <c r="G17397" s="42"/>
      <c r="H17397" s="42"/>
      <c r="AG17397" s="19"/>
    </row>
    <row r="17398" spans="1:33" ht="14.5" x14ac:dyDescent="0.35">
      <c r="A17398" s="34"/>
      <c r="B17398" s="35"/>
      <c r="C17398" s="36"/>
      <c r="D17398" s="37"/>
      <c r="E17398" s="36"/>
      <c r="F17398" s="42"/>
      <c r="G17398" s="42"/>
      <c r="H17398" s="42"/>
      <c r="AG17398" s="19"/>
    </row>
    <row r="17399" spans="1:33" ht="14.5" x14ac:dyDescent="0.35">
      <c r="A17399" s="34"/>
      <c r="B17399" s="35"/>
      <c r="C17399" s="36"/>
      <c r="D17399" s="37"/>
      <c r="E17399" s="36"/>
      <c r="F17399" s="42"/>
      <c r="G17399" s="42"/>
      <c r="H17399" s="42"/>
      <c r="AG17399" s="19"/>
    </row>
    <row r="17400" spans="1:33" ht="14.5" x14ac:dyDescent="0.35">
      <c r="A17400" s="34"/>
      <c r="B17400" s="35"/>
      <c r="C17400" s="36"/>
      <c r="D17400" s="37"/>
      <c r="E17400" s="36"/>
      <c r="F17400" s="42"/>
      <c r="G17400" s="42"/>
      <c r="H17400" s="42"/>
      <c r="AG17400" s="19"/>
    </row>
    <row r="17401" spans="1:33" ht="14.5" x14ac:dyDescent="0.35">
      <c r="A17401" s="34"/>
      <c r="B17401" s="35"/>
      <c r="C17401" s="36"/>
      <c r="D17401" s="37"/>
      <c r="E17401" s="36"/>
      <c r="F17401" s="42"/>
      <c r="G17401" s="42"/>
      <c r="H17401" s="42"/>
      <c r="AG17401" s="19"/>
    </row>
    <row r="17402" spans="1:33" ht="14.5" x14ac:dyDescent="0.35">
      <c r="A17402" s="34"/>
      <c r="B17402" s="35"/>
      <c r="C17402" s="36"/>
      <c r="D17402" s="37"/>
      <c r="E17402" s="36"/>
      <c r="F17402" s="42"/>
      <c r="G17402" s="42"/>
      <c r="H17402" s="42"/>
      <c r="AG17402" s="19"/>
    </row>
    <row r="17403" spans="1:33" ht="14.5" x14ac:dyDescent="0.35">
      <c r="A17403" s="34"/>
      <c r="B17403" s="35"/>
      <c r="C17403" s="36"/>
      <c r="D17403" s="37"/>
      <c r="E17403" s="36"/>
      <c r="F17403" s="42"/>
      <c r="G17403" s="42"/>
      <c r="H17403" s="42"/>
      <c r="AG17403" s="19"/>
    </row>
    <row r="17404" spans="1:33" ht="14.5" x14ac:dyDescent="0.35">
      <c r="A17404" s="34"/>
      <c r="B17404" s="35"/>
      <c r="C17404" s="36"/>
      <c r="D17404" s="37"/>
      <c r="E17404" s="36"/>
      <c r="F17404" s="42"/>
      <c r="G17404" s="42"/>
      <c r="H17404" s="42"/>
      <c r="AG17404" s="19"/>
    </row>
    <row r="17405" spans="1:33" ht="14.5" x14ac:dyDescent="0.35">
      <c r="A17405" s="34"/>
      <c r="B17405" s="35"/>
      <c r="C17405" s="36"/>
      <c r="D17405" s="37"/>
      <c r="E17405" s="36"/>
      <c r="F17405" s="42"/>
      <c r="G17405" s="42"/>
      <c r="H17405" s="42"/>
      <c r="AG17405" s="19"/>
    </row>
    <row r="17406" spans="1:33" ht="14.5" x14ac:dyDescent="0.35">
      <c r="A17406" s="34"/>
      <c r="B17406" s="35"/>
      <c r="C17406" s="36"/>
      <c r="D17406" s="37"/>
      <c r="E17406" s="36"/>
      <c r="F17406" s="42"/>
      <c r="G17406" s="42"/>
      <c r="H17406" s="42"/>
      <c r="AG17406" s="19"/>
    </row>
    <row r="17407" spans="1:33" ht="14.5" x14ac:dyDescent="0.35">
      <c r="A17407" s="34"/>
      <c r="B17407" s="35"/>
      <c r="C17407" s="36"/>
      <c r="D17407" s="37"/>
      <c r="E17407" s="36"/>
      <c r="F17407" s="42"/>
      <c r="G17407" s="42"/>
      <c r="H17407" s="42"/>
      <c r="AG17407" s="19"/>
    </row>
    <row r="17408" spans="1:33" ht="14.5" x14ac:dyDescent="0.35">
      <c r="A17408" s="34"/>
      <c r="B17408" s="35"/>
      <c r="C17408" s="36"/>
      <c r="D17408" s="37"/>
      <c r="E17408" s="36"/>
      <c r="F17408" s="42"/>
      <c r="G17408" s="42"/>
      <c r="H17408" s="42"/>
      <c r="AG17408" s="19"/>
    </row>
    <row r="17409" spans="1:33" ht="14.5" x14ac:dyDescent="0.35">
      <c r="A17409" s="34"/>
      <c r="B17409" s="35"/>
      <c r="C17409" s="36"/>
      <c r="D17409" s="37"/>
      <c r="E17409" s="36"/>
      <c r="F17409" s="42"/>
      <c r="G17409" s="42"/>
      <c r="H17409" s="42"/>
      <c r="AG17409" s="19"/>
    </row>
    <row r="17410" spans="1:33" ht="14.5" x14ac:dyDescent="0.35">
      <c r="A17410" s="34"/>
      <c r="B17410" s="35"/>
      <c r="C17410" s="36"/>
      <c r="D17410" s="37"/>
      <c r="E17410" s="36"/>
      <c r="F17410" s="42"/>
      <c r="G17410" s="42"/>
      <c r="H17410" s="42"/>
      <c r="AG17410" s="19"/>
    </row>
    <row r="17411" spans="1:33" ht="14.5" x14ac:dyDescent="0.35">
      <c r="A17411" s="34"/>
      <c r="B17411" s="35"/>
      <c r="C17411" s="36"/>
      <c r="D17411" s="37"/>
      <c r="E17411" s="36"/>
      <c r="F17411" s="42"/>
      <c r="G17411" s="42"/>
      <c r="H17411" s="42"/>
      <c r="AG17411" s="19"/>
    </row>
    <row r="17412" spans="1:33" ht="14.5" x14ac:dyDescent="0.35">
      <c r="A17412" s="34"/>
      <c r="B17412" s="35"/>
      <c r="C17412" s="36"/>
      <c r="D17412" s="37"/>
      <c r="E17412" s="36"/>
      <c r="F17412" s="42"/>
      <c r="G17412" s="42"/>
      <c r="H17412" s="42"/>
      <c r="AG17412" s="19"/>
    </row>
    <row r="17413" spans="1:33" ht="14.5" x14ac:dyDescent="0.35">
      <c r="A17413" s="34"/>
      <c r="B17413" s="35"/>
      <c r="C17413" s="36"/>
      <c r="D17413" s="37"/>
      <c r="E17413" s="36"/>
      <c r="F17413" s="42"/>
      <c r="G17413" s="42"/>
      <c r="H17413" s="42"/>
      <c r="AG17413" s="19"/>
    </row>
    <row r="17414" spans="1:33" ht="14.5" x14ac:dyDescent="0.35">
      <c r="A17414" s="34"/>
      <c r="B17414" s="35"/>
      <c r="C17414" s="36"/>
      <c r="D17414" s="37"/>
      <c r="E17414" s="36"/>
      <c r="F17414" s="42"/>
      <c r="G17414" s="42"/>
      <c r="H17414" s="42"/>
      <c r="AG17414" s="19"/>
    </row>
    <row r="17415" spans="1:33" ht="14.5" x14ac:dyDescent="0.35">
      <c r="A17415" s="34"/>
      <c r="B17415" s="35"/>
      <c r="C17415" s="36"/>
      <c r="D17415" s="37"/>
      <c r="E17415" s="36"/>
      <c r="F17415" s="42"/>
      <c r="G17415" s="42"/>
      <c r="H17415" s="42"/>
      <c r="AG17415" s="19"/>
    </row>
    <row r="17416" spans="1:33" ht="14.5" x14ac:dyDescent="0.35">
      <c r="A17416" s="34"/>
      <c r="B17416" s="35"/>
      <c r="C17416" s="36"/>
      <c r="D17416" s="37"/>
      <c r="E17416" s="36"/>
      <c r="F17416" s="42"/>
      <c r="G17416" s="42"/>
      <c r="H17416" s="42"/>
      <c r="AG17416" s="19"/>
    </row>
    <row r="17417" spans="1:33" ht="14.5" x14ac:dyDescent="0.35">
      <c r="A17417" s="34"/>
      <c r="B17417" s="35"/>
      <c r="C17417" s="36"/>
      <c r="D17417" s="37"/>
      <c r="E17417" s="36"/>
      <c r="F17417" s="42"/>
      <c r="G17417" s="42"/>
      <c r="H17417" s="42"/>
      <c r="AG17417" s="19"/>
    </row>
    <row r="17418" spans="1:33" ht="14.5" x14ac:dyDescent="0.35">
      <c r="A17418" s="34"/>
      <c r="B17418" s="35"/>
      <c r="C17418" s="36"/>
      <c r="D17418" s="37"/>
      <c r="E17418" s="36"/>
      <c r="F17418" s="42"/>
      <c r="G17418" s="42"/>
      <c r="H17418" s="42"/>
      <c r="AG17418" s="19"/>
    </row>
    <row r="17419" spans="1:33" ht="14.5" x14ac:dyDescent="0.35">
      <c r="A17419" s="34"/>
      <c r="B17419" s="35"/>
      <c r="C17419" s="36"/>
      <c r="D17419" s="37"/>
      <c r="E17419" s="36"/>
      <c r="F17419" s="42"/>
      <c r="G17419" s="42"/>
      <c r="H17419" s="42"/>
      <c r="AG17419" s="19"/>
    </row>
    <row r="17420" spans="1:33" ht="14.5" x14ac:dyDescent="0.35">
      <c r="A17420" s="34"/>
      <c r="B17420" s="35"/>
      <c r="C17420" s="36"/>
      <c r="D17420" s="37"/>
      <c r="E17420" s="36"/>
      <c r="F17420" s="42"/>
      <c r="G17420" s="42"/>
      <c r="H17420" s="42"/>
      <c r="AG17420" s="19"/>
    </row>
    <row r="17421" spans="1:33" ht="14.5" x14ac:dyDescent="0.35">
      <c r="A17421" s="34"/>
      <c r="B17421" s="35"/>
      <c r="C17421" s="36"/>
      <c r="D17421" s="37"/>
      <c r="E17421" s="36"/>
      <c r="F17421" s="42"/>
      <c r="G17421" s="42"/>
      <c r="H17421" s="42"/>
      <c r="AG17421" s="19"/>
    </row>
    <row r="17422" spans="1:33" ht="14.5" x14ac:dyDescent="0.35">
      <c r="A17422" s="34"/>
      <c r="B17422" s="35"/>
      <c r="C17422" s="36"/>
      <c r="D17422" s="37"/>
      <c r="E17422" s="36"/>
      <c r="F17422" s="42"/>
      <c r="G17422" s="42"/>
      <c r="H17422" s="42"/>
      <c r="AG17422" s="19"/>
    </row>
    <row r="17423" spans="1:33" ht="14.5" x14ac:dyDescent="0.35">
      <c r="A17423" s="34"/>
      <c r="B17423" s="35"/>
      <c r="C17423" s="36"/>
      <c r="D17423" s="37"/>
      <c r="E17423" s="36"/>
      <c r="F17423" s="42"/>
      <c r="G17423" s="42"/>
      <c r="H17423" s="42"/>
      <c r="AG17423" s="19"/>
    </row>
    <row r="17424" spans="1:33" ht="14.5" x14ac:dyDescent="0.35">
      <c r="A17424" s="34"/>
      <c r="B17424" s="35"/>
      <c r="C17424" s="36"/>
      <c r="D17424" s="37"/>
      <c r="E17424" s="36"/>
      <c r="F17424" s="42"/>
      <c r="G17424" s="42"/>
      <c r="H17424" s="42"/>
      <c r="AG17424" s="19"/>
    </row>
    <row r="17425" spans="1:33" ht="14.5" x14ac:dyDescent="0.35">
      <c r="A17425" s="34"/>
      <c r="B17425" s="35"/>
      <c r="C17425" s="36"/>
      <c r="D17425" s="37"/>
      <c r="E17425" s="36"/>
      <c r="F17425" s="42"/>
      <c r="G17425" s="42"/>
      <c r="H17425" s="42"/>
      <c r="AG17425" s="19"/>
    </row>
    <row r="17426" spans="1:33" ht="14.5" x14ac:dyDescent="0.35">
      <c r="A17426" s="34"/>
      <c r="B17426" s="35"/>
      <c r="C17426" s="36"/>
      <c r="D17426" s="37"/>
      <c r="E17426" s="36"/>
      <c r="F17426" s="42"/>
      <c r="G17426" s="42"/>
      <c r="H17426" s="42"/>
      <c r="AG17426" s="19"/>
    </row>
    <row r="17427" spans="1:33" ht="14.5" x14ac:dyDescent="0.35">
      <c r="A17427" s="34"/>
      <c r="B17427" s="35"/>
      <c r="C17427" s="36"/>
      <c r="D17427" s="37"/>
      <c r="E17427" s="36"/>
      <c r="F17427" s="42"/>
      <c r="G17427" s="42"/>
      <c r="H17427" s="42"/>
      <c r="AG17427" s="19"/>
    </row>
    <row r="17428" spans="1:33" ht="14.5" x14ac:dyDescent="0.35">
      <c r="A17428" s="34"/>
      <c r="B17428" s="35"/>
      <c r="C17428" s="36"/>
      <c r="D17428" s="37"/>
      <c r="E17428" s="36"/>
      <c r="F17428" s="42"/>
      <c r="G17428" s="42"/>
      <c r="H17428" s="42"/>
      <c r="AG17428" s="19"/>
    </row>
    <row r="17429" spans="1:33" ht="14.5" x14ac:dyDescent="0.35">
      <c r="A17429" s="34"/>
      <c r="B17429" s="35"/>
      <c r="C17429" s="36"/>
      <c r="D17429" s="37"/>
      <c r="E17429" s="36"/>
      <c r="F17429" s="42"/>
      <c r="G17429" s="42"/>
      <c r="H17429" s="42"/>
      <c r="AG17429" s="19"/>
    </row>
    <row r="17430" spans="1:33" ht="14.5" x14ac:dyDescent="0.35">
      <c r="A17430" s="34"/>
      <c r="B17430" s="35"/>
      <c r="C17430" s="36"/>
      <c r="D17430" s="37"/>
      <c r="E17430" s="36"/>
      <c r="F17430" s="42"/>
      <c r="G17430" s="42"/>
      <c r="H17430" s="42"/>
      <c r="AG17430" s="19"/>
    </row>
    <row r="17431" spans="1:33" ht="14.5" x14ac:dyDescent="0.35">
      <c r="A17431" s="34"/>
      <c r="B17431" s="35"/>
      <c r="C17431" s="36"/>
      <c r="D17431" s="37"/>
      <c r="E17431" s="36"/>
      <c r="F17431" s="42"/>
      <c r="G17431" s="42"/>
      <c r="H17431" s="42"/>
      <c r="AG17431" s="19"/>
    </row>
    <row r="17432" spans="1:33" ht="14.5" x14ac:dyDescent="0.35">
      <c r="A17432" s="34"/>
      <c r="B17432" s="35"/>
      <c r="C17432" s="36"/>
      <c r="D17432" s="37"/>
      <c r="E17432" s="36"/>
      <c r="F17432" s="42"/>
      <c r="G17432" s="42"/>
      <c r="H17432" s="42"/>
      <c r="AG17432" s="19"/>
    </row>
    <row r="17433" spans="1:33" ht="14.5" x14ac:dyDescent="0.35">
      <c r="A17433" s="34"/>
      <c r="B17433" s="35"/>
      <c r="C17433" s="36"/>
      <c r="D17433" s="37"/>
      <c r="E17433" s="36"/>
      <c r="F17433" s="42"/>
      <c r="G17433" s="42"/>
      <c r="H17433" s="42"/>
      <c r="AG17433" s="19"/>
    </row>
    <row r="17434" spans="1:33" ht="14.5" x14ac:dyDescent="0.35">
      <c r="A17434" s="34"/>
      <c r="B17434" s="35"/>
      <c r="C17434" s="36"/>
      <c r="D17434" s="37"/>
      <c r="E17434" s="36"/>
      <c r="F17434" s="42"/>
      <c r="G17434" s="42"/>
      <c r="H17434" s="42"/>
      <c r="AG17434" s="19"/>
    </row>
    <row r="17435" spans="1:33" ht="14.5" x14ac:dyDescent="0.35">
      <c r="A17435" s="34"/>
      <c r="B17435" s="35"/>
      <c r="C17435" s="36"/>
      <c r="D17435" s="37"/>
      <c r="E17435" s="36"/>
      <c r="F17435" s="42"/>
      <c r="G17435" s="42"/>
      <c r="H17435" s="42"/>
      <c r="AG17435" s="19"/>
    </row>
    <row r="17436" spans="1:33" ht="14.5" x14ac:dyDescent="0.35">
      <c r="A17436" s="34"/>
      <c r="B17436" s="35"/>
      <c r="C17436" s="36"/>
      <c r="D17436" s="37"/>
      <c r="E17436" s="36"/>
      <c r="F17436" s="42"/>
      <c r="G17436" s="42"/>
      <c r="H17436" s="42"/>
      <c r="AG17436" s="19"/>
    </row>
    <row r="17437" spans="1:33" ht="14.5" x14ac:dyDescent="0.35">
      <c r="A17437" s="34"/>
      <c r="B17437" s="35"/>
      <c r="C17437" s="36"/>
      <c r="D17437" s="37"/>
      <c r="E17437" s="36"/>
      <c r="F17437" s="42"/>
      <c r="G17437" s="42"/>
      <c r="H17437" s="42"/>
      <c r="AG17437" s="19"/>
    </row>
    <row r="17438" spans="1:33" ht="14.5" x14ac:dyDescent="0.35">
      <c r="A17438" s="34"/>
      <c r="B17438" s="35"/>
      <c r="C17438" s="36"/>
      <c r="D17438" s="37"/>
      <c r="E17438" s="36"/>
      <c r="F17438" s="42"/>
      <c r="G17438" s="42"/>
      <c r="H17438" s="42"/>
      <c r="AG17438" s="19"/>
    </row>
    <row r="17439" spans="1:33" ht="14.5" x14ac:dyDescent="0.35">
      <c r="A17439" s="34"/>
      <c r="B17439" s="35"/>
      <c r="C17439" s="36"/>
      <c r="D17439" s="37"/>
      <c r="E17439" s="36"/>
      <c r="F17439" s="42"/>
      <c r="G17439" s="42"/>
      <c r="H17439" s="42"/>
      <c r="AG17439" s="19"/>
    </row>
    <row r="17440" spans="1:33" ht="14.5" x14ac:dyDescent="0.35">
      <c r="A17440" s="34"/>
      <c r="B17440" s="35"/>
      <c r="C17440" s="36"/>
      <c r="D17440" s="37"/>
      <c r="E17440" s="36"/>
      <c r="F17440" s="42"/>
      <c r="G17440" s="42"/>
      <c r="H17440" s="42"/>
      <c r="AG17440" s="19"/>
    </row>
    <row r="17441" spans="1:33" ht="14.5" x14ac:dyDescent="0.35">
      <c r="A17441" s="34"/>
      <c r="B17441" s="35"/>
      <c r="C17441" s="36"/>
      <c r="D17441" s="37"/>
      <c r="E17441" s="36"/>
      <c r="F17441" s="42"/>
      <c r="G17441" s="42"/>
      <c r="H17441" s="42"/>
      <c r="AG17441" s="19"/>
    </row>
    <row r="17442" spans="1:33" ht="14.5" x14ac:dyDescent="0.35">
      <c r="A17442" s="34"/>
      <c r="B17442" s="35"/>
      <c r="C17442" s="36"/>
      <c r="D17442" s="37"/>
      <c r="E17442" s="36"/>
      <c r="F17442" s="42"/>
      <c r="G17442" s="42"/>
      <c r="H17442" s="42"/>
      <c r="AG17442" s="19"/>
    </row>
    <row r="17443" spans="1:33" ht="14.5" x14ac:dyDescent="0.35">
      <c r="A17443" s="34"/>
      <c r="B17443" s="35"/>
      <c r="C17443" s="36"/>
      <c r="D17443" s="37"/>
      <c r="E17443" s="36"/>
      <c r="F17443" s="42"/>
      <c r="G17443" s="42"/>
      <c r="H17443" s="42"/>
      <c r="AG17443" s="19"/>
    </row>
    <row r="17444" spans="1:33" ht="14.5" x14ac:dyDescent="0.35">
      <c r="A17444" s="34"/>
      <c r="B17444" s="35"/>
      <c r="C17444" s="36"/>
      <c r="D17444" s="37"/>
      <c r="E17444" s="36"/>
      <c r="F17444" s="42"/>
      <c r="G17444" s="42"/>
      <c r="H17444" s="42"/>
      <c r="AG17444" s="19"/>
    </row>
    <row r="17445" spans="1:33" ht="14.5" x14ac:dyDescent="0.35">
      <c r="A17445" s="34"/>
      <c r="B17445" s="35"/>
      <c r="C17445" s="36"/>
      <c r="D17445" s="37"/>
      <c r="E17445" s="36"/>
      <c r="F17445" s="42"/>
      <c r="G17445" s="42"/>
      <c r="H17445" s="42"/>
      <c r="AG17445" s="19"/>
    </row>
    <row r="17446" spans="1:33" ht="14.5" x14ac:dyDescent="0.35">
      <c r="A17446" s="34"/>
      <c r="B17446" s="35"/>
      <c r="C17446" s="36"/>
      <c r="D17446" s="37"/>
      <c r="E17446" s="36"/>
      <c r="F17446" s="42"/>
      <c r="G17446" s="42"/>
      <c r="H17446" s="42"/>
      <c r="AG17446" s="19"/>
    </row>
    <row r="17447" spans="1:33" ht="14.5" x14ac:dyDescent="0.35">
      <c r="A17447" s="34"/>
      <c r="B17447" s="35"/>
      <c r="C17447" s="36"/>
      <c r="D17447" s="37"/>
      <c r="E17447" s="36"/>
      <c r="F17447" s="42"/>
      <c r="G17447" s="42"/>
      <c r="H17447" s="42"/>
      <c r="AG17447" s="19"/>
    </row>
    <row r="17448" spans="1:33" ht="14.5" x14ac:dyDescent="0.35">
      <c r="A17448" s="34"/>
      <c r="B17448" s="35"/>
      <c r="C17448" s="36"/>
      <c r="D17448" s="37"/>
      <c r="E17448" s="36"/>
      <c r="F17448" s="42"/>
      <c r="G17448" s="42"/>
      <c r="H17448" s="42"/>
      <c r="AG17448" s="19"/>
    </row>
    <row r="17449" spans="1:33" ht="14.5" x14ac:dyDescent="0.35">
      <c r="A17449" s="34"/>
      <c r="B17449" s="35"/>
      <c r="C17449" s="36"/>
      <c r="D17449" s="37"/>
      <c r="E17449" s="36"/>
      <c r="F17449" s="42"/>
      <c r="G17449" s="42"/>
      <c r="H17449" s="42"/>
      <c r="AG17449" s="19"/>
    </row>
    <row r="17450" spans="1:33" ht="14.5" x14ac:dyDescent="0.35">
      <c r="A17450" s="34"/>
      <c r="B17450" s="35"/>
      <c r="C17450" s="36"/>
      <c r="D17450" s="37"/>
      <c r="E17450" s="36"/>
      <c r="F17450" s="42"/>
      <c r="G17450" s="42"/>
      <c r="H17450" s="42"/>
      <c r="AG17450" s="19"/>
    </row>
    <row r="17451" spans="1:33" ht="14.5" x14ac:dyDescent="0.35">
      <c r="A17451" s="34"/>
      <c r="B17451" s="35"/>
      <c r="C17451" s="36"/>
      <c r="D17451" s="37"/>
      <c r="E17451" s="36"/>
      <c r="F17451" s="42"/>
      <c r="G17451" s="42"/>
      <c r="H17451" s="42"/>
      <c r="AG17451" s="19"/>
    </row>
    <row r="17452" spans="1:33" ht="14.5" x14ac:dyDescent="0.35">
      <c r="A17452" s="34"/>
      <c r="B17452" s="35"/>
      <c r="C17452" s="36"/>
      <c r="D17452" s="37"/>
      <c r="E17452" s="36"/>
      <c r="F17452" s="42"/>
      <c r="G17452" s="42"/>
      <c r="H17452" s="42"/>
      <c r="AG17452" s="19"/>
    </row>
    <row r="17453" spans="1:33" ht="14.5" x14ac:dyDescent="0.35">
      <c r="A17453" s="34"/>
      <c r="B17453" s="35"/>
      <c r="C17453" s="36"/>
      <c r="D17453" s="37"/>
      <c r="E17453" s="36"/>
      <c r="F17453" s="42"/>
      <c r="G17453" s="42"/>
      <c r="H17453" s="42"/>
      <c r="AG17453" s="19"/>
    </row>
    <row r="17454" spans="1:33" ht="14.5" x14ac:dyDescent="0.35">
      <c r="A17454" s="34"/>
      <c r="B17454" s="35"/>
      <c r="C17454" s="36"/>
      <c r="D17454" s="37"/>
      <c r="E17454" s="36"/>
      <c r="F17454" s="42"/>
      <c r="G17454" s="42"/>
      <c r="H17454" s="42"/>
      <c r="AG17454" s="19"/>
    </row>
    <row r="17455" spans="1:33" ht="14.5" x14ac:dyDescent="0.35">
      <c r="A17455" s="34"/>
      <c r="B17455" s="35"/>
      <c r="C17455" s="36"/>
      <c r="D17455" s="37"/>
      <c r="E17455" s="36"/>
      <c r="F17455" s="42"/>
      <c r="G17455" s="42"/>
      <c r="H17455" s="42"/>
      <c r="AG17455" s="19"/>
    </row>
    <row r="17456" spans="1:33" ht="14.5" x14ac:dyDescent="0.35">
      <c r="A17456" s="34"/>
      <c r="B17456" s="35"/>
      <c r="C17456" s="36"/>
      <c r="D17456" s="37"/>
      <c r="E17456" s="36"/>
      <c r="F17456" s="42"/>
      <c r="G17456" s="42"/>
      <c r="H17456" s="42"/>
      <c r="AG17456" s="19"/>
    </row>
    <row r="17457" spans="1:33" ht="14.5" x14ac:dyDescent="0.35">
      <c r="A17457" s="34"/>
      <c r="B17457" s="35"/>
      <c r="C17457" s="36"/>
      <c r="D17457" s="37"/>
      <c r="E17457" s="36"/>
      <c r="F17457" s="42"/>
      <c r="G17457" s="42"/>
      <c r="H17457" s="42"/>
      <c r="AG17457" s="19"/>
    </row>
    <row r="17458" spans="1:33" ht="14.5" x14ac:dyDescent="0.35">
      <c r="A17458" s="34"/>
      <c r="B17458" s="35"/>
      <c r="C17458" s="36"/>
      <c r="D17458" s="37"/>
      <c r="E17458" s="36"/>
      <c r="F17458" s="42"/>
      <c r="G17458" s="42"/>
      <c r="H17458" s="42"/>
      <c r="AG17458" s="19"/>
    </row>
    <row r="17459" spans="1:33" ht="14.5" x14ac:dyDescent="0.35">
      <c r="A17459" s="34"/>
      <c r="B17459" s="35"/>
      <c r="C17459" s="36"/>
      <c r="D17459" s="37"/>
      <c r="E17459" s="36"/>
      <c r="F17459" s="42"/>
      <c r="G17459" s="42"/>
      <c r="H17459" s="42"/>
      <c r="AG17459" s="19"/>
    </row>
    <row r="17460" spans="1:33" ht="14.5" x14ac:dyDescent="0.35">
      <c r="A17460" s="34"/>
      <c r="B17460" s="35"/>
      <c r="C17460" s="36"/>
      <c r="D17460" s="37"/>
      <c r="E17460" s="36"/>
      <c r="F17460" s="42"/>
      <c r="G17460" s="42"/>
      <c r="H17460" s="42"/>
      <c r="AG17460" s="19"/>
    </row>
    <row r="17461" spans="1:33" ht="14.5" x14ac:dyDescent="0.35">
      <c r="A17461" s="34"/>
      <c r="B17461" s="35"/>
      <c r="C17461" s="36"/>
      <c r="D17461" s="37"/>
      <c r="E17461" s="36"/>
      <c r="F17461" s="42"/>
      <c r="G17461" s="42"/>
      <c r="H17461" s="42"/>
      <c r="AG17461" s="19"/>
    </row>
    <row r="17462" spans="1:33" ht="14.5" x14ac:dyDescent="0.35">
      <c r="A17462" s="34"/>
      <c r="B17462" s="35"/>
      <c r="C17462" s="36"/>
      <c r="D17462" s="37"/>
      <c r="E17462" s="36"/>
      <c r="F17462" s="42"/>
      <c r="G17462" s="42"/>
      <c r="H17462" s="42"/>
      <c r="AG17462" s="19"/>
    </row>
    <row r="17463" spans="1:33" ht="14.5" x14ac:dyDescent="0.35">
      <c r="A17463" s="34"/>
      <c r="B17463" s="35"/>
      <c r="C17463" s="36"/>
      <c r="D17463" s="37"/>
      <c r="E17463" s="36"/>
      <c r="F17463" s="42"/>
      <c r="G17463" s="42"/>
      <c r="H17463" s="42"/>
      <c r="AG17463" s="19"/>
    </row>
    <row r="17464" spans="1:33" ht="14.5" x14ac:dyDescent="0.35">
      <c r="A17464" s="34"/>
      <c r="B17464" s="35"/>
      <c r="C17464" s="36"/>
      <c r="D17464" s="37"/>
      <c r="E17464" s="36"/>
      <c r="F17464" s="42"/>
      <c r="G17464" s="42"/>
      <c r="H17464" s="42"/>
      <c r="AG17464" s="19"/>
    </row>
    <row r="17465" spans="1:33" ht="14.5" x14ac:dyDescent="0.35">
      <c r="A17465" s="34"/>
      <c r="B17465" s="35"/>
      <c r="C17465" s="36"/>
      <c r="D17465" s="37"/>
      <c r="E17465" s="36"/>
      <c r="F17465" s="42"/>
      <c r="G17465" s="42"/>
      <c r="H17465" s="42"/>
      <c r="AG17465" s="19"/>
    </row>
    <row r="17466" spans="1:33" ht="14.5" x14ac:dyDescent="0.35">
      <c r="A17466" s="34"/>
      <c r="B17466" s="35"/>
      <c r="C17466" s="36"/>
      <c r="D17466" s="37"/>
      <c r="E17466" s="36"/>
      <c r="F17466" s="42"/>
      <c r="G17466" s="42"/>
      <c r="H17466" s="42"/>
      <c r="AG17466" s="19"/>
    </row>
    <row r="17467" spans="1:33" ht="14.5" x14ac:dyDescent="0.35">
      <c r="A17467" s="34"/>
      <c r="B17467" s="35"/>
      <c r="C17467" s="36"/>
      <c r="D17467" s="37"/>
      <c r="E17467" s="36"/>
      <c r="F17467" s="42"/>
      <c r="G17467" s="42"/>
      <c r="H17467" s="42"/>
      <c r="AG17467" s="19"/>
    </row>
    <row r="17468" spans="1:33" ht="14.5" x14ac:dyDescent="0.35">
      <c r="A17468" s="34"/>
      <c r="B17468" s="35"/>
      <c r="C17468" s="36"/>
      <c r="D17468" s="37"/>
      <c r="E17468" s="36"/>
      <c r="F17468" s="42"/>
      <c r="G17468" s="42"/>
      <c r="H17468" s="42"/>
      <c r="AG17468" s="19"/>
    </row>
    <row r="17469" spans="1:33" ht="14.5" x14ac:dyDescent="0.35">
      <c r="A17469" s="34"/>
      <c r="B17469" s="35"/>
      <c r="C17469" s="36"/>
      <c r="D17469" s="37"/>
      <c r="E17469" s="36"/>
      <c r="F17469" s="42"/>
      <c r="G17469" s="42"/>
      <c r="H17469" s="42"/>
      <c r="AG17469" s="19"/>
    </row>
    <row r="17470" spans="1:33" ht="14.5" x14ac:dyDescent="0.35">
      <c r="A17470" s="34"/>
      <c r="B17470" s="35"/>
      <c r="C17470" s="36"/>
      <c r="D17470" s="37"/>
      <c r="E17470" s="36"/>
      <c r="F17470" s="42"/>
      <c r="G17470" s="42"/>
      <c r="H17470" s="42"/>
      <c r="AG17470" s="19"/>
    </row>
    <row r="17471" spans="1:33" ht="14.5" x14ac:dyDescent="0.35">
      <c r="A17471" s="34"/>
      <c r="B17471" s="35"/>
      <c r="C17471" s="36"/>
      <c r="D17471" s="37"/>
      <c r="E17471" s="36"/>
      <c r="F17471" s="42"/>
      <c r="G17471" s="42"/>
      <c r="H17471" s="42"/>
      <c r="AG17471" s="19"/>
    </row>
    <row r="17472" spans="1:33" ht="14.5" x14ac:dyDescent="0.35">
      <c r="A17472" s="34"/>
      <c r="B17472" s="35"/>
      <c r="C17472" s="36"/>
      <c r="D17472" s="37"/>
      <c r="E17472" s="36"/>
      <c r="F17472" s="42"/>
      <c r="G17472" s="42"/>
      <c r="H17472" s="42"/>
      <c r="AG17472" s="19"/>
    </row>
    <row r="17473" spans="1:33" ht="14.5" x14ac:dyDescent="0.35">
      <c r="A17473" s="34"/>
      <c r="B17473" s="35"/>
      <c r="C17473" s="36"/>
      <c r="D17473" s="37"/>
      <c r="E17473" s="36"/>
      <c r="F17473" s="42"/>
      <c r="G17473" s="42"/>
      <c r="H17473" s="42"/>
      <c r="AG17473" s="19"/>
    </row>
    <row r="17474" spans="1:33" ht="14.5" x14ac:dyDescent="0.35">
      <c r="A17474" s="34"/>
      <c r="B17474" s="35"/>
      <c r="C17474" s="36"/>
      <c r="D17474" s="37"/>
      <c r="E17474" s="36"/>
      <c r="F17474" s="42"/>
      <c r="G17474" s="42"/>
      <c r="H17474" s="42"/>
      <c r="AG17474" s="19"/>
    </row>
    <row r="17475" spans="1:33" ht="14.5" x14ac:dyDescent="0.35">
      <c r="A17475" s="34"/>
      <c r="B17475" s="35"/>
      <c r="C17475" s="36"/>
      <c r="D17475" s="37"/>
      <c r="E17475" s="36"/>
      <c r="F17475" s="42"/>
      <c r="G17475" s="42"/>
      <c r="H17475" s="42"/>
      <c r="AG17475" s="19"/>
    </row>
    <row r="17476" spans="1:33" ht="14.5" x14ac:dyDescent="0.35">
      <c r="A17476" s="34"/>
      <c r="B17476" s="35"/>
      <c r="C17476" s="36"/>
      <c r="D17476" s="37"/>
      <c r="E17476" s="36"/>
      <c r="F17476" s="42"/>
      <c r="G17476" s="42"/>
      <c r="H17476" s="42"/>
      <c r="AG17476" s="19"/>
    </row>
    <row r="17477" spans="1:33" ht="14.5" x14ac:dyDescent="0.35">
      <c r="A17477" s="34"/>
      <c r="B17477" s="35"/>
      <c r="C17477" s="36"/>
      <c r="D17477" s="37"/>
      <c r="E17477" s="36"/>
      <c r="F17477" s="42"/>
      <c r="G17477" s="42"/>
      <c r="H17477" s="42"/>
      <c r="AG17477" s="19"/>
    </row>
    <row r="17478" spans="1:33" ht="14.5" x14ac:dyDescent="0.35">
      <c r="A17478" s="34"/>
      <c r="B17478" s="35"/>
      <c r="C17478" s="36"/>
      <c r="D17478" s="37"/>
      <c r="E17478" s="36"/>
      <c r="F17478" s="42"/>
      <c r="G17478" s="42"/>
      <c r="H17478" s="42"/>
      <c r="AG17478" s="19"/>
    </row>
    <row r="17479" spans="1:33" ht="14.5" x14ac:dyDescent="0.35">
      <c r="A17479" s="34"/>
      <c r="B17479" s="35"/>
      <c r="C17479" s="36"/>
      <c r="D17479" s="37"/>
      <c r="E17479" s="36"/>
      <c r="F17479" s="42"/>
      <c r="G17479" s="42"/>
      <c r="H17479" s="42"/>
      <c r="AG17479" s="19"/>
    </row>
    <row r="17480" spans="1:33" ht="14.5" x14ac:dyDescent="0.35">
      <c r="A17480" s="34"/>
      <c r="B17480" s="35"/>
      <c r="C17480" s="36"/>
      <c r="D17480" s="37"/>
      <c r="E17480" s="36"/>
      <c r="F17480" s="42"/>
      <c r="G17480" s="42"/>
      <c r="H17480" s="42"/>
      <c r="AG17480" s="19"/>
    </row>
    <row r="17481" spans="1:33" ht="14.5" x14ac:dyDescent="0.35">
      <c r="A17481" s="34"/>
      <c r="B17481" s="35"/>
      <c r="C17481" s="36"/>
      <c r="D17481" s="37"/>
      <c r="E17481" s="36"/>
      <c r="F17481" s="42"/>
      <c r="G17481" s="42"/>
      <c r="H17481" s="42"/>
      <c r="AG17481" s="19"/>
    </row>
    <row r="17482" spans="1:33" ht="14.5" x14ac:dyDescent="0.35">
      <c r="A17482" s="34"/>
      <c r="B17482" s="35"/>
      <c r="C17482" s="36"/>
      <c r="D17482" s="37"/>
      <c r="E17482" s="36"/>
      <c r="F17482" s="42"/>
      <c r="G17482" s="42"/>
      <c r="H17482" s="42"/>
      <c r="AG17482" s="19"/>
    </row>
    <row r="17483" spans="1:33" ht="14.5" x14ac:dyDescent="0.35">
      <c r="A17483" s="34"/>
      <c r="B17483" s="35"/>
      <c r="C17483" s="36"/>
      <c r="D17483" s="37"/>
      <c r="E17483" s="36"/>
      <c r="F17483" s="42"/>
      <c r="G17483" s="42"/>
      <c r="H17483" s="42"/>
      <c r="AG17483" s="19"/>
    </row>
    <row r="17484" spans="1:33" ht="14.5" x14ac:dyDescent="0.35">
      <c r="A17484" s="34"/>
      <c r="B17484" s="35"/>
      <c r="C17484" s="36"/>
      <c r="D17484" s="37"/>
      <c r="E17484" s="36"/>
      <c r="F17484" s="42"/>
      <c r="G17484" s="42"/>
      <c r="H17484" s="42"/>
      <c r="AG17484" s="19"/>
    </row>
    <row r="17485" spans="1:33" ht="14.5" x14ac:dyDescent="0.35">
      <c r="A17485" s="34"/>
      <c r="B17485" s="35"/>
      <c r="C17485" s="36"/>
      <c r="D17485" s="37"/>
      <c r="E17485" s="36"/>
      <c r="F17485" s="42"/>
      <c r="G17485" s="42"/>
      <c r="H17485" s="42"/>
      <c r="AG17485" s="19"/>
    </row>
    <row r="17486" spans="1:33" ht="14.5" x14ac:dyDescent="0.35">
      <c r="A17486" s="34"/>
      <c r="B17486" s="35"/>
      <c r="C17486" s="36"/>
      <c r="D17486" s="37"/>
      <c r="E17486" s="36"/>
      <c r="F17486" s="42"/>
      <c r="G17486" s="42"/>
      <c r="H17486" s="42"/>
      <c r="AG17486" s="19"/>
    </row>
    <row r="17487" spans="1:33" ht="14.5" x14ac:dyDescent="0.35">
      <c r="A17487" s="34"/>
      <c r="B17487" s="35"/>
      <c r="C17487" s="36"/>
      <c r="D17487" s="37"/>
      <c r="E17487" s="36"/>
      <c r="F17487" s="42"/>
      <c r="G17487" s="42"/>
      <c r="H17487" s="42"/>
      <c r="AG17487" s="19"/>
    </row>
    <row r="17488" spans="1:33" ht="14.5" x14ac:dyDescent="0.35">
      <c r="A17488" s="34"/>
      <c r="B17488" s="35"/>
      <c r="C17488" s="36"/>
      <c r="D17488" s="37"/>
      <c r="E17488" s="36"/>
      <c r="F17488" s="42"/>
      <c r="G17488" s="42"/>
      <c r="H17488" s="42"/>
      <c r="AG17488" s="19"/>
    </row>
    <row r="17489" spans="1:33" ht="14.5" x14ac:dyDescent="0.35">
      <c r="A17489" s="34"/>
      <c r="B17489" s="35"/>
      <c r="C17489" s="36"/>
      <c r="D17489" s="37"/>
      <c r="E17489" s="36"/>
      <c r="F17489" s="42"/>
      <c r="G17489" s="42"/>
      <c r="H17489" s="42"/>
      <c r="AG17489" s="19"/>
    </row>
    <row r="17490" spans="1:33" ht="14.5" x14ac:dyDescent="0.35">
      <c r="A17490" s="34"/>
      <c r="B17490" s="35"/>
      <c r="C17490" s="36"/>
      <c r="D17490" s="37"/>
      <c r="E17490" s="36"/>
      <c r="F17490" s="42"/>
      <c r="G17490" s="42"/>
      <c r="H17490" s="42"/>
      <c r="AG17490" s="19"/>
    </row>
    <row r="17491" spans="1:33" ht="14.5" x14ac:dyDescent="0.35">
      <c r="A17491" s="34"/>
      <c r="B17491" s="35"/>
      <c r="C17491" s="36"/>
      <c r="D17491" s="37"/>
      <c r="E17491" s="36"/>
      <c r="F17491" s="42"/>
      <c r="G17491" s="42"/>
      <c r="H17491" s="42"/>
      <c r="AG17491" s="19"/>
    </row>
    <row r="17492" spans="1:33" ht="14.5" x14ac:dyDescent="0.35">
      <c r="A17492" s="34"/>
      <c r="B17492" s="35"/>
      <c r="C17492" s="36"/>
      <c r="D17492" s="37"/>
      <c r="E17492" s="36"/>
      <c r="F17492" s="42"/>
      <c r="G17492" s="42"/>
      <c r="H17492" s="42"/>
      <c r="AG17492" s="19"/>
    </row>
    <row r="17493" spans="1:33" ht="14.5" x14ac:dyDescent="0.35">
      <c r="A17493" s="34"/>
      <c r="B17493" s="35"/>
      <c r="C17493" s="36"/>
      <c r="D17493" s="37"/>
      <c r="E17493" s="36"/>
      <c r="F17493" s="42"/>
      <c r="G17493" s="42"/>
      <c r="H17493" s="42"/>
      <c r="AG17493" s="19"/>
    </row>
    <row r="17494" spans="1:33" ht="14.5" x14ac:dyDescent="0.35">
      <c r="A17494" s="34"/>
      <c r="B17494" s="35"/>
      <c r="C17494" s="36"/>
      <c r="D17494" s="37"/>
      <c r="E17494" s="36"/>
      <c r="F17494" s="42"/>
      <c r="G17494" s="42"/>
      <c r="H17494" s="42"/>
      <c r="AG17494" s="19"/>
    </row>
    <row r="17495" spans="1:33" ht="14.5" x14ac:dyDescent="0.35">
      <c r="A17495" s="34"/>
      <c r="B17495" s="35"/>
      <c r="C17495" s="36"/>
      <c r="D17495" s="37"/>
      <c r="E17495" s="36"/>
      <c r="F17495" s="42"/>
      <c r="G17495" s="42"/>
      <c r="H17495" s="42"/>
      <c r="AG17495" s="19"/>
    </row>
    <row r="17496" spans="1:33" ht="14.5" x14ac:dyDescent="0.35">
      <c r="A17496" s="34"/>
      <c r="B17496" s="35"/>
      <c r="C17496" s="36"/>
      <c r="D17496" s="37"/>
      <c r="E17496" s="36"/>
      <c r="F17496" s="42"/>
      <c r="G17496" s="42"/>
      <c r="H17496" s="42"/>
      <c r="AG17496" s="19"/>
    </row>
    <row r="17497" spans="1:33" ht="14.5" x14ac:dyDescent="0.35">
      <c r="A17497" s="34"/>
      <c r="B17497" s="35"/>
      <c r="C17497" s="36"/>
      <c r="D17497" s="37"/>
      <c r="E17497" s="36"/>
      <c r="F17497" s="42"/>
      <c r="G17497" s="42"/>
      <c r="H17497" s="42"/>
      <c r="AG17497" s="19"/>
    </row>
    <row r="17498" spans="1:33" ht="14.5" x14ac:dyDescent="0.35">
      <c r="A17498" s="34"/>
      <c r="B17498" s="35"/>
      <c r="C17498" s="36"/>
      <c r="D17498" s="37"/>
      <c r="E17498" s="36"/>
      <c r="F17498" s="42"/>
      <c r="G17498" s="42"/>
      <c r="H17498" s="42"/>
      <c r="AG17498" s="19"/>
    </row>
    <row r="17499" spans="1:33" ht="14.5" x14ac:dyDescent="0.35">
      <c r="A17499" s="34"/>
      <c r="B17499" s="35"/>
      <c r="C17499" s="36"/>
      <c r="D17499" s="37"/>
      <c r="E17499" s="36"/>
      <c r="F17499" s="42"/>
      <c r="G17499" s="42"/>
      <c r="H17499" s="42"/>
      <c r="AG17499" s="19"/>
    </row>
    <row r="17500" spans="1:33" ht="14.5" x14ac:dyDescent="0.35">
      <c r="A17500" s="34"/>
      <c r="B17500" s="35"/>
      <c r="C17500" s="36"/>
      <c r="D17500" s="37"/>
      <c r="E17500" s="36"/>
      <c r="F17500" s="42"/>
      <c r="G17500" s="42"/>
      <c r="H17500" s="42"/>
      <c r="AG17500" s="19"/>
    </row>
    <row r="17501" spans="1:33" ht="14.5" x14ac:dyDescent="0.35">
      <c r="A17501" s="34"/>
      <c r="B17501" s="35"/>
      <c r="C17501" s="36"/>
      <c r="D17501" s="37"/>
      <c r="E17501" s="36"/>
      <c r="F17501" s="42"/>
      <c r="G17501" s="42"/>
      <c r="H17501" s="42"/>
      <c r="AG17501" s="19"/>
    </row>
    <row r="17502" spans="1:33" ht="14.5" x14ac:dyDescent="0.35">
      <c r="A17502" s="34"/>
      <c r="B17502" s="35"/>
      <c r="C17502" s="36"/>
      <c r="D17502" s="37"/>
      <c r="E17502" s="36"/>
      <c r="F17502" s="42"/>
      <c r="G17502" s="42"/>
      <c r="H17502" s="42"/>
      <c r="AG17502" s="19"/>
    </row>
    <row r="17503" spans="1:33" ht="14.5" x14ac:dyDescent="0.35">
      <c r="A17503" s="34"/>
      <c r="B17503" s="35"/>
      <c r="C17503" s="36"/>
      <c r="D17503" s="37"/>
      <c r="E17503" s="36"/>
      <c r="F17503" s="42"/>
      <c r="G17503" s="42"/>
      <c r="H17503" s="42"/>
      <c r="AG17503" s="19"/>
    </row>
    <row r="17504" spans="1:33" ht="14.5" x14ac:dyDescent="0.35">
      <c r="A17504" s="34"/>
      <c r="B17504" s="35"/>
      <c r="C17504" s="36"/>
      <c r="D17504" s="37"/>
      <c r="E17504" s="36"/>
      <c r="F17504" s="42"/>
      <c r="G17504" s="42"/>
      <c r="H17504" s="42"/>
      <c r="AG17504" s="19"/>
    </row>
    <row r="17505" spans="1:33" ht="14.5" x14ac:dyDescent="0.35">
      <c r="A17505" s="34"/>
      <c r="B17505" s="35"/>
      <c r="C17505" s="36"/>
      <c r="D17505" s="37"/>
      <c r="E17505" s="36"/>
      <c r="F17505" s="42"/>
      <c r="G17505" s="42"/>
      <c r="H17505" s="42"/>
      <c r="AG17505" s="19"/>
    </row>
    <row r="17506" spans="1:33" ht="14.5" x14ac:dyDescent="0.35">
      <c r="A17506" s="34"/>
      <c r="B17506" s="35"/>
      <c r="C17506" s="36"/>
      <c r="D17506" s="37"/>
      <c r="E17506" s="36"/>
      <c r="F17506" s="42"/>
      <c r="G17506" s="42"/>
      <c r="H17506" s="42"/>
      <c r="AG17506" s="19"/>
    </row>
    <row r="17507" spans="1:33" ht="14.5" x14ac:dyDescent="0.35">
      <c r="A17507" s="34"/>
      <c r="B17507" s="35"/>
      <c r="C17507" s="36"/>
      <c r="D17507" s="37"/>
      <c r="E17507" s="36"/>
      <c r="F17507" s="42"/>
      <c r="G17507" s="42"/>
      <c r="H17507" s="42"/>
      <c r="AG17507" s="19"/>
    </row>
    <row r="17508" spans="1:33" ht="14.5" x14ac:dyDescent="0.35">
      <c r="A17508" s="34"/>
      <c r="B17508" s="35"/>
      <c r="C17508" s="36"/>
      <c r="D17508" s="37"/>
      <c r="E17508" s="36"/>
      <c r="F17508" s="42"/>
      <c r="G17508" s="42"/>
      <c r="H17508" s="42"/>
      <c r="AG17508" s="19"/>
    </row>
    <row r="17509" spans="1:33" ht="14.5" x14ac:dyDescent="0.35">
      <c r="A17509" s="34"/>
      <c r="B17509" s="35"/>
      <c r="C17509" s="36"/>
      <c r="D17509" s="37"/>
      <c r="E17509" s="36"/>
      <c r="F17509" s="42"/>
      <c r="G17509" s="42"/>
      <c r="H17509" s="42"/>
      <c r="AG17509" s="19"/>
    </row>
    <row r="17510" spans="1:33" ht="14.5" x14ac:dyDescent="0.35">
      <c r="A17510" s="34"/>
      <c r="B17510" s="35"/>
      <c r="C17510" s="36"/>
      <c r="D17510" s="37"/>
      <c r="E17510" s="36"/>
      <c r="F17510" s="42"/>
      <c r="G17510" s="42"/>
      <c r="H17510" s="42"/>
      <c r="AG17510" s="19"/>
    </row>
    <row r="17511" spans="1:33" ht="14.5" x14ac:dyDescent="0.35">
      <c r="A17511" s="34"/>
      <c r="B17511" s="35"/>
      <c r="C17511" s="36"/>
      <c r="D17511" s="37"/>
      <c r="E17511" s="36"/>
      <c r="F17511" s="42"/>
      <c r="G17511" s="42"/>
      <c r="H17511" s="42"/>
      <c r="AG17511" s="19"/>
    </row>
    <row r="17512" spans="1:33" ht="14.5" x14ac:dyDescent="0.35">
      <c r="A17512" s="34"/>
      <c r="B17512" s="35"/>
      <c r="C17512" s="36"/>
      <c r="D17512" s="37"/>
      <c r="E17512" s="36"/>
      <c r="F17512" s="42"/>
      <c r="G17512" s="42"/>
      <c r="H17512" s="42"/>
      <c r="AG17512" s="19"/>
    </row>
    <row r="17513" spans="1:33" ht="14.5" x14ac:dyDescent="0.35">
      <c r="A17513" s="34"/>
      <c r="B17513" s="35"/>
      <c r="C17513" s="36"/>
      <c r="D17513" s="37"/>
      <c r="E17513" s="36"/>
      <c r="F17513" s="42"/>
      <c r="G17513" s="42"/>
      <c r="H17513" s="42"/>
      <c r="AG17513" s="19"/>
    </row>
    <row r="17514" spans="1:33" ht="14.5" x14ac:dyDescent="0.35">
      <c r="A17514" s="34"/>
      <c r="B17514" s="35"/>
      <c r="C17514" s="36"/>
      <c r="D17514" s="37"/>
      <c r="E17514" s="36"/>
      <c r="F17514" s="42"/>
      <c r="G17514" s="42"/>
      <c r="H17514" s="42"/>
      <c r="AG17514" s="19"/>
    </row>
    <row r="17515" spans="1:33" ht="14.5" x14ac:dyDescent="0.35">
      <c r="A17515" s="34"/>
      <c r="B17515" s="35"/>
      <c r="C17515" s="36"/>
      <c r="D17515" s="37"/>
      <c r="E17515" s="36"/>
      <c r="F17515" s="42"/>
      <c r="G17515" s="42"/>
      <c r="H17515" s="42"/>
      <c r="AG17515" s="19"/>
    </row>
    <row r="17516" spans="1:33" ht="14.5" x14ac:dyDescent="0.35">
      <c r="A17516" s="34"/>
      <c r="B17516" s="35"/>
      <c r="C17516" s="36"/>
      <c r="D17516" s="37"/>
      <c r="E17516" s="36"/>
      <c r="F17516" s="42"/>
      <c r="G17516" s="42"/>
      <c r="H17516" s="42"/>
      <c r="AG17516" s="19"/>
    </row>
    <row r="17517" spans="1:33" ht="14.5" x14ac:dyDescent="0.35">
      <c r="A17517" s="34"/>
      <c r="B17517" s="35"/>
      <c r="C17517" s="36"/>
      <c r="D17517" s="37"/>
      <c r="E17517" s="36"/>
      <c r="F17517" s="42"/>
      <c r="G17517" s="42"/>
      <c r="H17517" s="42"/>
      <c r="AG17517" s="19"/>
    </row>
    <row r="17518" spans="1:33" ht="14.5" x14ac:dyDescent="0.35">
      <c r="A17518" s="34"/>
      <c r="B17518" s="35"/>
      <c r="C17518" s="36"/>
      <c r="D17518" s="37"/>
      <c r="E17518" s="36"/>
      <c r="F17518" s="42"/>
      <c r="G17518" s="42"/>
      <c r="H17518" s="42"/>
      <c r="AG17518" s="19"/>
    </row>
    <row r="17519" spans="1:33" ht="14.5" x14ac:dyDescent="0.35">
      <c r="A17519" s="34"/>
      <c r="B17519" s="35"/>
      <c r="C17519" s="36"/>
      <c r="D17519" s="37"/>
      <c r="E17519" s="36"/>
      <c r="F17519" s="42"/>
      <c r="G17519" s="42"/>
      <c r="H17519" s="42"/>
      <c r="AG17519" s="19"/>
    </row>
    <row r="17520" spans="1:33" ht="14.5" x14ac:dyDescent="0.35">
      <c r="A17520" s="34"/>
      <c r="B17520" s="35"/>
      <c r="C17520" s="36"/>
      <c r="D17520" s="37"/>
      <c r="E17520" s="36"/>
      <c r="F17520" s="42"/>
      <c r="G17520" s="42"/>
      <c r="H17520" s="42"/>
      <c r="AG17520" s="19"/>
    </row>
    <row r="17521" spans="1:33" ht="14.5" x14ac:dyDescent="0.35">
      <c r="A17521" s="34"/>
      <c r="B17521" s="35"/>
      <c r="C17521" s="36"/>
      <c r="D17521" s="37"/>
      <c r="E17521" s="36"/>
      <c r="F17521" s="42"/>
      <c r="G17521" s="42"/>
      <c r="H17521" s="42"/>
      <c r="AG17521" s="19"/>
    </row>
    <row r="17522" spans="1:33" ht="14.5" x14ac:dyDescent="0.35">
      <c r="A17522" s="34"/>
      <c r="B17522" s="35"/>
      <c r="C17522" s="36"/>
      <c r="D17522" s="37"/>
      <c r="E17522" s="36"/>
      <c r="F17522" s="42"/>
      <c r="G17522" s="42"/>
      <c r="H17522" s="42"/>
      <c r="AG17522" s="19"/>
    </row>
    <row r="17523" spans="1:33" ht="14.5" x14ac:dyDescent="0.35">
      <c r="A17523" s="34"/>
      <c r="B17523" s="35"/>
      <c r="C17523" s="36"/>
      <c r="D17523" s="37"/>
      <c r="E17523" s="36"/>
      <c r="F17523" s="42"/>
      <c r="G17523" s="42"/>
      <c r="H17523" s="42"/>
      <c r="AG17523" s="19"/>
    </row>
    <row r="17524" spans="1:33" ht="14.5" x14ac:dyDescent="0.35">
      <c r="A17524" s="34"/>
      <c r="B17524" s="35"/>
      <c r="C17524" s="36"/>
      <c r="D17524" s="37"/>
      <c r="E17524" s="36"/>
      <c r="F17524" s="42"/>
      <c r="G17524" s="42"/>
      <c r="H17524" s="42"/>
      <c r="AG17524" s="19"/>
    </row>
    <row r="17525" spans="1:33" ht="14.5" x14ac:dyDescent="0.35">
      <c r="A17525" s="34"/>
      <c r="B17525" s="35"/>
      <c r="C17525" s="36"/>
      <c r="D17525" s="37"/>
      <c r="E17525" s="36"/>
      <c r="F17525" s="42"/>
      <c r="G17525" s="42"/>
      <c r="H17525" s="42"/>
      <c r="AG17525" s="19"/>
    </row>
    <row r="17526" spans="1:33" ht="14.5" x14ac:dyDescent="0.35">
      <c r="A17526" s="34"/>
      <c r="B17526" s="35"/>
      <c r="C17526" s="36"/>
      <c r="D17526" s="37"/>
      <c r="E17526" s="36"/>
      <c r="F17526" s="42"/>
      <c r="G17526" s="42"/>
      <c r="H17526" s="42"/>
      <c r="AG17526" s="19"/>
    </row>
    <row r="17527" spans="1:33" ht="14.5" x14ac:dyDescent="0.35">
      <c r="A17527" s="34"/>
      <c r="B17527" s="35"/>
      <c r="C17527" s="36"/>
      <c r="D17527" s="37"/>
      <c r="E17527" s="36"/>
      <c r="F17527" s="42"/>
      <c r="G17527" s="42"/>
      <c r="H17527" s="42"/>
      <c r="AG17527" s="19"/>
    </row>
    <row r="17528" spans="1:33" ht="14.5" x14ac:dyDescent="0.35">
      <c r="A17528" s="34"/>
      <c r="B17528" s="35"/>
      <c r="C17528" s="36"/>
      <c r="D17528" s="37"/>
      <c r="E17528" s="36"/>
      <c r="F17528" s="42"/>
      <c r="G17528" s="42"/>
      <c r="H17528" s="42"/>
      <c r="AG17528" s="19"/>
    </row>
    <row r="17529" spans="1:33" ht="14.5" x14ac:dyDescent="0.35">
      <c r="A17529" s="34"/>
      <c r="B17529" s="35"/>
      <c r="C17529" s="36"/>
      <c r="D17529" s="37"/>
      <c r="E17529" s="36"/>
      <c r="F17529" s="42"/>
      <c r="G17529" s="42"/>
      <c r="H17529" s="42"/>
      <c r="AG17529" s="19"/>
    </row>
    <row r="17530" spans="1:33" ht="14.5" x14ac:dyDescent="0.35">
      <c r="A17530" s="34"/>
      <c r="B17530" s="35"/>
      <c r="C17530" s="36"/>
      <c r="D17530" s="37"/>
      <c r="E17530" s="36"/>
      <c r="F17530" s="42"/>
      <c r="G17530" s="42"/>
      <c r="H17530" s="42"/>
      <c r="AG17530" s="19"/>
    </row>
    <row r="17531" spans="1:33" ht="14.5" x14ac:dyDescent="0.35">
      <c r="A17531" s="34"/>
      <c r="B17531" s="35"/>
      <c r="C17531" s="36"/>
      <c r="D17531" s="37"/>
      <c r="E17531" s="36"/>
      <c r="F17531" s="42"/>
      <c r="G17531" s="42"/>
      <c r="H17531" s="42"/>
      <c r="AG17531" s="19"/>
    </row>
    <row r="17532" spans="1:33" ht="14.5" x14ac:dyDescent="0.35">
      <c r="A17532" s="34"/>
      <c r="B17532" s="35"/>
      <c r="C17532" s="36"/>
      <c r="D17532" s="37"/>
      <c r="E17532" s="36"/>
      <c r="F17532" s="42"/>
      <c r="G17532" s="42"/>
      <c r="H17532" s="42"/>
      <c r="AG17532" s="19"/>
    </row>
    <row r="17533" spans="1:33" ht="14.5" x14ac:dyDescent="0.35">
      <c r="A17533" s="34"/>
      <c r="B17533" s="35"/>
      <c r="C17533" s="36"/>
      <c r="D17533" s="37"/>
      <c r="E17533" s="36"/>
      <c r="F17533" s="42"/>
      <c r="G17533" s="42"/>
      <c r="H17533" s="42"/>
      <c r="AG17533" s="19"/>
    </row>
    <row r="17534" spans="1:33" ht="14.5" x14ac:dyDescent="0.35">
      <c r="A17534" s="34"/>
      <c r="B17534" s="35"/>
      <c r="C17534" s="36"/>
      <c r="D17534" s="37"/>
      <c r="E17534" s="36"/>
      <c r="F17534" s="42"/>
      <c r="G17534" s="42"/>
      <c r="H17534" s="42"/>
      <c r="AG17534" s="19"/>
    </row>
    <row r="17535" spans="1:33" ht="14.5" x14ac:dyDescent="0.35">
      <c r="A17535" s="34"/>
      <c r="B17535" s="35"/>
      <c r="C17535" s="36"/>
      <c r="D17535" s="37"/>
      <c r="E17535" s="36"/>
      <c r="F17535" s="42"/>
      <c r="G17535" s="42"/>
      <c r="H17535" s="42"/>
      <c r="AG17535" s="19"/>
    </row>
    <row r="17536" spans="1:33" ht="14.5" x14ac:dyDescent="0.35">
      <c r="A17536" s="34"/>
      <c r="B17536" s="35"/>
      <c r="C17536" s="36"/>
      <c r="D17536" s="37"/>
      <c r="E17536" s="36"/>
      <c r="F17536" s="42"/>
      <c r="G17536" s="42"/>
      <c r="H17536" s="42"/>
      <c r="AG17536" s="19"/>
    </row>
    <row r="17537" spans="1:33" ht="14.5" x14ac:dyDescent="0.35">
      <c r="A17537" s="34"/>
      <c r="B17537" s="35"/>
      <c r="C17537" s="36"/>
      <c r="D17537" s="37"/>
      <c r="E17537" s="36"/>
      <c r="F17537" s="42"/>
      <c r="G17537" s="42"/>
      <c r="H17537" s="42"/>
      <c r="AG17537" s="19"/>
    </row>
    <row r="17538" spans="1:33" ht="14.5" x14ac:dyDescent="0.35">
      <c r="A17538" s="34"/>
      <c r="B17538" s="35"/>
      <c r="C17538" s="36"/>
      <c r="D17538" s="37"/>
      <c r="E17538" s="36"/>
      <c r="F17538" s="42"/>
      <c r="G17538" s="42"/>
      <c r="H17538" s="42"/>
      <c r="AG17538" s="19"/>
    </row>
    <row r="17539" spans="1:33" ht="14.5" x14ac:dyDescent="0.35">
      <c r="A17539" s="34"/>
      <c r="B17539" s="35"/>
      <c r="C17539" s="36"/>
      <c r="D17539" s="37"/>
      <c r="E17539" s="36"/>
      <c r="F17539" s="42"/>
      <c r="G17539" s="42"/>
      <c r="H17539" s="42"/>
      <c r="AG17539" s="19"/>
    </row>
    <row r="17540" spans="1:33" ht="14.5" x14ac:dyDescent="0.35">
      <c r="A17540" s="34"/>
      <c r="B17540" s="35"/>
      <c r="C17540" s="36"/>
      <c r="D17540" s="37"/>
      <c r="E17540" s="36"/>
      <c r="F17540" s="42"/>
      <c r="G17540" s="42"/>
      <c r="H17540" s="42"/>
      <c r="AG17540" s="19"/>
    </row>
    <row r="17541" spans="1:33" ht="14.5" x14ac:dyDescent="0.35">
      <c r="A17541" s="34"/>
      <c r="B17541" s="35"/>
      <c r="C17541" s="36"/>
      <c r="D17541" s="37"/>
      <c r="E17541" s="36"/>
      <c r="F17541" s="42"/>
      <c r="G17541" s="42"/>
      <c r="H17541" s="42"/>
      <c r="AG17541" s="19"/>
    </row>
    <row r="17542" spans="1:33" ht="14.5" x14ac:dyDescent="0.35">
      <c r="A17542" s="34"/>
      <c r="B17542" s="35"/>
      <c r="C17542" s="36"/>
      <c r="D17542" s="37"/>
      <c r="E17542" s="36"/>
      <c r="F17542" s="42"/>
      <c r="G17542" s="42"/>
      <c r="H17542" s="42"/>
      <c r="AG17542" s="19"/>
    </row>
    <row r="17543" spans="1:33" ht="14.5" x14ac:dyDescent="0.35">
      <c r="A17543" s="34"/>
      <c r="B17543" s="35"/>
      <c r="C17543" s="36"/>
      <c r="D17543" s="37"/>
      <c r="E17543" s="36"/>
      <c r="F17543" s="42"/>
      <c r="G17543" s="42"/>
      <c r="H17543" s="42"/>
      <c r="AG17543" s="19"/>
    </row>
    <row r="17544" spans="1:33" ht="14.5" x14ac:dyDescent="0.35">
      <c r="A17544" s="34"/>
      <c r="B17544" s="35"/>
      <c r="C17544" s="36"/>
      <c r="D17544" s="37"/>
      <c r="E17544" s="36"/>
      <c r="F17544" s="42"/>
      <c r="G17544" s="42"/>
      <c r="H17544" s="42"/>
      <c r="AG17544" s="19"/>
    </row>
    <row r="17545" spans="1:33" ht="14.5" x14ac:dyDescent="0.35">
      <c r="A17545" s="34"/>
      <c r="B17545" s="35"/>
      <c r="C17545" s="36"/>
      <c r="D17545" s="37"/>
      <c r="E17545" s="36"/>
      <c r="F17545" s="42"/>
      <c r="G17545" s="42"/>
      <c r="H17545" s="42"/>
      <c r="AG17545" s="19"/>
    </row>
    <row r="17546" spans="1:33" ht="14.5" x14ac:dyDescent="0.35">
      <c r="A17546" s="34"/>
      <c r="B17546" s="35"/>
      <c r="C17546" s="36"/>
      <c r="D17546" s="37"/>
      <c r="E17546" s="36"/>
      <c r="F17546" s="42"/>
      <c r="G17546" s="42"/>
      <c r="H17546" s="42"/>
      <c r="AG17546" s="19"/>
    </row>
    <row r="17547" spans="1:33" ht="14.5" x14ac:dyDescent="0.35">
      <c r="A17547" s="34"/>
      <c r="B17547" s="35"/>
      <c r="C17547" s="36"/>
      <c r="D17547" s="37"/>
      <c r="E17547" s="36"/>
      <c r="F17547" s="42"/>
      <c r="G17547" s="42"/>
      <c r="H17547" s="42"/>
      <c r="AG17547" s="19"/>
    </row>
    <row r="17548" spans="1:33" ht="14.5" x14ac:dyDescent="0.35">
      <c r="A17548" s="34"/>
      <c r="B17548" s="35"/>
      <c r="C17548" s="36"/>
      <c r="D17548" s="37"/>
      <c r="E17548" s="36"/>
      <c r="F17548" s="42"/>
      <c r="G17548" s="42"/>
      <c r="H17548" s="42"/>
      <c r="AG17548" s="19"/>
    </row>
    <row r="17549" spans="1:33" ht="14.5" x14ac:dyDescent="0.35">
      <c r="A17549" s="34"/>
      <c r="B17549" s="35"/>
      <c r="C17549" s="36"/>
      <c r="D17549" s="37"/>
      <c r="E17549" s="36"/>
      <c r="F17549" s="42"/>
      <c r="G17549" s="42"/>
      <c r="H17549" s="42"/>
      <c r="AG17549" s="19"/>
    </row>
    <row r="17550" spans="1:33" ht="14.5" x14ac:dyDescent="0.35">
      <c r="A17550" s="34"/>
      <c r="B17550" s="35"/>
      <c r="C17550" s="36"/>
      <c r="D17550" s="37"/>
      <c r="E17550" s="36"/>
      <c r="F17550" s="42"/>
      <c r="G17550" s="42"/>
      <c r="H17550" s="42"/>
      <c r="AG17550" s="19"/>
    </row>
    <row r="17551" spans="1:33" ht="14.5" x14ac:dyDescent="0.35">
      <c r="A17551" s="34"/>
      <c r="B17551" s="35"/>
      <c r="C17551" s="36"/>
      <c r="D17551" s="37"/>
      <c r="E17551" s="36"/>
      <c r="F17551" s="42"/>
      <c r="G17551" s="42"/>
      <c r="H17551" s="42"/>
      <c r="AG17551" s="19"/>
    </row>
    <row r="17552" spans="1:33" ht="14.5" x14ac:dyDescent="0.35">
      <c r="A17552" s="34"/>
      <c r="B17552" s="35"/>
      <c r="C17552" s="36"/>
      <c r="D17552" s="37"/>
      <c r="E17552" s="36"/>
      <c r="F17552" s="42"/>
      <c r="G17552" s="42"/>
      <c r="H17552" s="42"/>
      <c r="AG17552" s="19"/>
    </row>
    <row r="17553" spans="1:33" ht="14.5" x14ac:dyDescent="0.35">
      <c r="A17553" s="34"/>
      <c r="B17553" s="35"/>
      <c r="C17553" s="36"/>
      <c r="D17553" s="37"/>
      <c r="E17553" s="36"/>
      <c r="F17553" s="42"/>
      <c r="G17553" s="42"/>
      <c r="H17553" s="42"/>
      <c r="AG17553" s="19"/>
    </row>
    <row r="17554" spans="1:33" ht="14.5" x14ac:dyDescent="0.35">
      <c r="A17554" s="34"/>
      <c r="B17554" s="35"/>
      <c r="C17554" s="36"/>
      <c r="D17554" s="37"/>
      <c r="E17554" s="36"/>
      <c r="F17554" s="42"/>
      <c r="G17554" s="42"/>
      <c r="H17554" s="42"/>
      <c r="AG17554" s="19"/>
    </row>
    <row r="17555" spans="1:33" ht="14.5" x14ac:dyDescent="0.35">
      <c r="A17555" s="34"/>
      <c r="B17555" s="35"/>
      <c r="C17555" s="36"/>
      <c r="D17555" s="37"/>
      <c r="E17555" s="36"/>
      <c r="F17555" s="42"/>
      <c r="G17555" s="42"/>
      <c r="H17555" s="42"/>
      <c r="AG17555" s="19"/>
    </row>
    <row r="17556" spans="1:33" ht="14.5" x14ac:dyDescent="0.35">
      <c r="A17556" s="34"/>
      <c r="B17556" s="35"/>
      <c r="C17556" s="36"/>
      <c r="D17556" s="37"/>
      <c r="E17556" s="36"/>
      <c r="F17556" s="42"/>
      <c r="G17556" s="42"/>
      <c r="H17556" s="42"/>
      <c r="AG17556" s="19"/>
    </row>
    <row r="17557" spans="1:33" ht="14.5" x14ac:dyDescent="0.35">
      <c r="A17557" s="34"/>
      <c r="B17557" s="35"/>
      <c r="C17557" s="36"/>
      <c r="D17557" s="37"/>
      <c r="E17557" s="36"/>
      <c r="F17557" s="42"/>
      <c r="G17557" s="42"/>
      <c r="H17557" s="42"/>
      <c r="AG17557" s="19"/>
    </row>
    <row r="17558" spans="1:33" ht="14.5" x14ac:dyDescent="0.35">
      <c r="A17558" s="34"/>
      <c r="B17558" s="35"/>
      <c r="C17558" s="36"/>
      <c r="D17558" s="37"/>
      <c r="E17558" s="36"/>
      <c r="F17558" s="42"/>
      <c r="G17558" s="42"/>
      <c r="H17558" s="42"/>
      <c r="AG17558" s="19"/>
    </row>
    <row r="17559" spans="1:33" ht="14.5" x14ac:dyDescent="0.35">
      <c r="A17559" s="34"/>
      <c r="B17559" s="35"/>
      <c r="C17559" s="36"/>
      <c r="D17559" s="37"/>
      <c r="E17559" s="36"/>
      <c r="F17559" s="42"/>
      <c r="G17559" s="42"/>
      <c r="H17559" s="42"/>
      <c r="AG17559" s="19"/>
    </row>
    <row r="17560" spans="1:33" ht="14.5" x14ac:dyDescent="0.35">
      <c r="A17560" s="34"/>
      <c r="B17560" s="35"/>
      <c r="C17560" s="36"/>
      <c r="D17560" s="37"/>
      <c r="E17560" s="36"/>
      <c r="F17560" s="42"/>
      <c r="G17560" s="42"/>
      <c r="H17560" s="42"/>
      <c r="AG17560" s="19"/>
    </row>
    <row r="17561" spans="1:33" ht="14.5" x14ac:dyDescent="0.35">
      <c r="A17561" s="34"/>
      <c r="B17561" s="35"/>
      <c r="C17561" s="36"/>
      <c r="D17561" s="37"/>
      <c r="E17561" s="36"/>
      <c r="F17561" s="42"/>
      <c r="G17561" s="42"/>
      <c r="H17561" s="42"/>
      <c r="AG17561" s="19"/>
    </row>
    <row r="17562" spans="1:33" ht="14.5" x14ac:dyDescent="0.35">
      <c r="A17562" s="34"/>
      <c r="B17562" s="35"/>
      <c r="C17562" s="36"/>
      <c r="D17562" s="37"/>
      <c r="E17562" s="36"/>
      <c r="F17562" s="42"/>
      <c r="G17562" s="42"/>
      <c r="H17562" s="42"/>
      <c r="AG17562" s="19"/>
    </row>
    <row r="17563" spans="1:33" ht="14.5" x14ac:dyDescent="0.35">
      <c r="A17563" s="34"/>
      <c r="B17563" s="35"/>
      <c r="C17563" s="36"/>
      <c r="D17563" s="37"/>
      <c r="E17563" s="36"/>
      <c r="F17563" s="42"/>
      <c r="G17563" s="42"/>
      <c r="H17563" s="42"/>
      <c r="AG17563" s="19"/>
    </row>
    <row r="17564" spans="1:33" ht="14.5" x14ac:dyDescent="0.35">
      <c r="A17564" s="34"/>
      <c r="B17564" s="35"/>
      <c r="C17564" s="36"/>
      <c r="D17564" s="37"/>
      <c r="E17564" s="36"/>
      <c r="F17564" s="42"/>
      <c r="G17564" s="42"/>
      <c r="H17564" s="42"/>
      <c r="AG17564" s="19"/>
    </row>
    <row r="17565" spans="1:33" ht="14.5" x14ac:dyDescent="0.35">
      <c r="A17565" s="34"/>
      <c r="B17565" s="35"/>
      <c r="C17565" s="36"/>
      <c r="D17565" s="37"/>
      <c r="E17565" s="36"/>
      <c r="F17565" s="42"/>
      <c r="G17565" s="42"/>
      <c r="H17565" s="42"/>
      <c r="AG17565" s="19"/>
    </row>
    <row r="17566" spans="1:33" ht="14.5" x14ac:dyDescent="0.35">
      <c r="A17566" s="34"/>
      <c r="B17566" s="35"/>
      <c r="C17566" s="36"/>
      <c r="D17566" s="37"/>
      <c r="E17566" s="36"/>
      <c r="F17566" s="42"/>
      <c r="G17566" s="42"/>
      <c r="H17566" s="42"/>
      <c r="AG17566" s="19"/>
    </row>
    <row r="17567" spans="1:33" ht="14.5" x14ac:dyDescent="0.35">
      <c r="A17567" s="34"/>
      <c r="B17567" s="35"/>
      <c r="C17567" s="36"/>
      <c r="D17567" s="37"/>
      <c r="E17567" s="36"/>
      <c r="F17567" s="42"/>
      <c r="G17567" s="42"/>
      <c r="H17567" s="42"/>
      <c r="AG17567" s="19"/>
    </row>
    <row r="17568" spans="1:33" ht="14.5" x14ac:dyDescent="0.35">
      <c r="A17568" s="34"/>
      <c r="B17568" s="35"/>
      <c r="C17568" s="36"/>
      <c r="D17568" s="37"/>
      <c r="E17568" s="36"/>
      <c r="F17568" s="42"/>
      <c r="G17568" s="42"/>
      <c r="H17568" s="42"/>
      <c r="AG17568" s="19"/>
    </row>
    <row r="17569" spans="1:33" ht="14.5" x14ac:dyDescent="0.35">
      <c r="A17569" s="34"/>
      <c r="B17569" s="35"/>
      <c r="C17569" s="36"/>
      <c r="D17569" s="37"/>
      <c r="E17569" s="36"/>
      <c r="F17569" s="42"/>
      <c r="G17569" s="42"/>
      <c r="H17569" s="42"/>
      <c r="AG17569" s="19"/>
    </row>
    <row r="17570" spans="1:33" ht="14.5" x14ac:dyDescent="0.35">
      <c r="A17570" s="34"/>
      <c r="B17570" s="35"/>
      <c r="C17570" s="36"/>
      <c r="D17570" s="37"/>
      <c r="E17570" s="36"/>
      <c r="F17570" s="42"/>
      <c r="G17570" s="42"/>
      <c r="H17570" s="42"/>
      <c r="AG17570" s="19"/>
    </row>
    <row r="17571" spans="1:33" ht="14.5" x14ac:dyDescent="0.35">
      <c r="A17571" s="34"/>
      <c r="B17571" s="35"/>
      <c r="C17571" s="36"/>
      <c r="D17571" s="37"/>
      <c r="E17571" s="36"/>
      <c r="F17571" s="42"/>
      <c r="G17571" s="42"/>
      <c r="H17571" s="42"/>
      <c r="AG17571" s="19"/>
    </row>
    <row r="17572" spans="1:33" ht="14.5" x14ac:dyDescent="0.35">
      <c r="A17572" s="34"/>
      <c r="B17572" s="35"/>
      <c r="C17572" s="36"/>
      <c r="D17572" s="37"/>
      <c r="E17572" s="36"/>
      <c r="F17572" s="42"/>
      <c r="G17572" s="42"/>
      <c r="H17572" s="42"/>
      <c r="AG17572" s="19"/>
    </row>
    <row r="17573" spans="1:33" ht="14.5" x14ac:dyDescent="0.35">
      <c r="A17573" s="34"/>
      <c r="B17573" s="35"/>
      <c r="C17573" s="36"/>
      <c r="D17573" s="37"/>
      <c r="E17573" s="36"/>
      <c r="F17573" s="42"/>
      <c r="G17573" s="42"/>
      <c r="H17573" s="42"/>
      <c r="AG17573" s="19"/>
    </row>
    <row r="17574" spans="1:33" ht="14.5" x14ac:dyDescent="0.35">
      <c r="A17574" s="34"/>
      <c r="B17574" s="35"/>
      <c r="C17574" s="36"/>
      <c r="D17574" s="37"/>
      <c r="E17574" s="36"/>
      <c r="F17574" s="42"/>
      <c r="G17574" s="42"/>
      <c r="H17574" s="42"/>
      <c r="AG17574" s="19"/>
    </row>
    <row r="17575" spans="1:33" ht="14.5" x14ac:dyDescent="0.35">
      <c r="A17575" s="34"/>
      <c r="B17575" s="35"/>
      <c r="C17575" s="36"/>
      <c r="D17575" s="37"/>
      <c r="E17575" s="36"/>
      <c r="F17575" s="42"/>
      <c r="G17575" s="42"/>
      <c r="H17575" s="42"/>
      <c r="AG17575" s="19"/>
    </row>
    <row r="17576" spans="1:33" ht="14.5" x14ac:dyDescent="0.35">
      <c r="A17576" s="34"/>
      <c r="B17576" s="35"/>
      <c r="C17576" s="36"/>
      <c r="D17576" s="37"/>
      <c r="E17576" s="36"/>
      <c r="F17576" s="42"/>
      <c r="G17576" s="42"/>
      <c r="H17576" s="42"/>
      <c r="AG17576" s="19"/>
    </row>
    <row r="17577" spans="1:33" ht="14.5" x14ac:dyDescent="0.35">
      <c r="A17577" s="34"/>
      <c r="B17577" s="35"/>
      <c r="C17577" s="36"/>
      <c r="D17577" s="37"/>
      <c r="E17577" s="36"/>
      <c r="F17577" s="42"/>
      <c r="G17577" s="42"/>
      <c r="H17577" s="42"/>
      <c r="AG17577" s="19"/>
    </row>
    <row r="17578" spans="1:33" ht="14.5" x14ac:dyDescent="0.35">
      <c r="A17578" s="34"/>
      <c r="B17578" s="35"/>
      <c r="C17578" s="36"/>
      <c r="D17578" s="37"/>
      <c r="E17578" s="36"/>
      <c r="F17578" s="42"/>
      <c r="G17578" s="42"/>
      <c r="H17578" s="42"/>
      <c r="AG17578" s="19"/>
    </row>
    <row r="17579" spans="1:33" ht="14.5" x14ac:dyDescent="0.35">
      <c r="A17579" s="34"/>
      <c r="B17579" s="35"/>
      <c r="C17579" s="36"/>
      <c r="D17579" s="37"/>
      <c r="E17579" s="36"/>
      <c r="F17579" s="42"/>
      <c r="G17579" s="42"/>
      <c r="H17579" s="42"/>
      <c r="AG17579" s="19"/>
    </row>
    <row r="17580" spans="1:33" ht="14.5" x14ac:dyDescent="0.35">
      <c r="A17580" s="34"/>
      <c r="B17580" s="35"/>
      <c r="C17580" s="36"/>
      <c r="D17580" s="37"/>
      <c r="E17580" s="36"/>
      <c r="F17580" s="42"/>
      <c r="G17580" s="42"/>
      <c r="H17580" s="42"/>
      <c r="AG17580" s="19"/>
    </row>
    <row r="17581" spans="1:33" ht="14.5" x14ac:dyDescent="0.35">
      <c r="A17581" s="34"/>
      <c r="B17581" s="35"/>
      <c r="C17581" s="36"/>
      <c r="D17581" s="37"/>
      <c r="E17581" s="36"/>
      <c r="F17581" s="42"/>
      <c r="G17581" s="42"/>
      <c r="H17581" s="42"/>
      <c r="AG17581" s="19"/>
    </row>
    <row r="17582" spans="1:33" ht="14.5" x14ac:dyDescent="0.35">
      <c r="A17582" s="34"/>
      <c r="B17582" s="35"/>
      <c r="C17582" s="36"/>
      <c r="D17582" s="37"/>
      <c r="E17582" s="36"/>
      <c r="F17582" s="42"/>
      <c r="G17582" s="42"/>
      <c r="H17582" s="42"/>
      <c r="AG17582" s="19"/>
    </row>
    <row r="17583" spans="1:33" ht="14.5" x14ac:dyDescent="0.35">
      <c r="A17583" s="34"/>
      <c r="B17583" s="35"/>
      <c r="C17583" s="36"/>
      <c r="D17583" s="37"/>
      <c r="E17583" s="36"/>
      <c r="F17583" s="42"/>
      <c r="G17583" s="42"/>
      <c r="H17583" s="42"/>
      <c r="AG17583" s="19"/>
    </row>
    <row r="17584" spans="1:33" ht="14.5" x14ac:dyDescent="0.35">
      <c r="A17584" s="34"/>
      <c r="B17584" s="35"/>
      <c r="C17584" s="36"/>
      <c r="D17584" s="37"/>
      <c r="E17584" s="36"/>
      <c r="F17584" s="42"/>
      <c r="G17584" s="42"/>
      <c r="H17584" s="42"/>
      <c r="AG17584" s="19"/>
    </row>
    <row r="17585" spans="1:33" ht="14.5" x14ac:dyDescent="0.35">
      <c r="A17585" s="34"/>
      <c r="B17585" s="35"/>
      <c r="C17585" s="36"/>
      <c r="D17585" s="37"/>
      <c r="E17585" s="36"/>
      <c r="F17585" s="42"/>
      <c r="G17585" s="42"/>
      <c r="H17585" s="42"/>
      <c r="AG17585" s="19"/>
    </row>
    <row r="17586" spans="1:33" ht="14.5" x14ac:dyDescent="0.35">
      <c r="A17586" s="34"/>
      <c r="B17586" s="35"/>
      <c r="C17586" s="36"/>
      <c r="D17586" s="37"/>
      <c r="E17586" s="36"/>
      <c r="F17586" s="42"/>
      <c r="G17586" s="42"/>
      <c r="H17586" s="42"/>
      <c r="AG17586" s="19"/>
    </row>
    <row r="17587" spans="1:33" ht="14.5" x14ac:dyDescent="0.35">
      <c r="A17587" s="34"/>
      <c r="B17587" s="35"/>
      <c r="C17587" s="36"/>
      <c r="D17587" s="37"/>
      <c r="E17587" s="36"/>
      <c r="F17587" s="42"/>
      <c r="G17587" s="42"/>
      <c r="H17587" s="42"/>
      <c r="AG17587" s="19"/>
    </row>
    <row r="17588" spans="1:33" ht="14.5" x14ac:dyDescent="0.35">
      <c r="A17588" s="34"/>
      <c r="B17588" s="35"/>
      <c r="C17588" s="36"/>
      <c r="D17588" s="37"/>
      <c r="E17588" s="36"/>
      <c r="F17588" s="42"/>
      <c r="G17588" s="42"/>
      <c r="H17588" s="42"/>
      <c r="AG17588" s="19"/>
    </row>
    <row r="17589" spans="1:33" ht="14.5" x14ac:dyDescent="0.35">
      <c r="A17589" s="34"/>
      <c r="B17589" s="35"/>
      <c r="C17589" s="36"/>
      <c r="D17589" s="37"/>
      <c r="E17589" s="36"/>
      <c r="F17589" s="42"/>
      <c r="G17589" s="42"/>
      <c r="H17589" s="42"/>
      <c r="AG17589" s="19"/>
    </row>
    <row r="17590" spans="1:33" ht="14.5" x14ac:dyDescent="0.35">
      <c r="A17590" s="34"/>
      <c r="B17590" s="35"/>
      <c r="C17590" s="36"/>
      <c r="D17590" s="37"/>
      <c r="E17590" s="36"/>
      <c r="F17590" s="42"/>
      <c r="G17590" s="42"/>
      <c r="H17590" s="42"/>
      <c r="AG17590" s="19"/>
    </row>
    <row r="17591" spans="1:33" ht="14.5" x14ac:dyDescent="0.35">
      <c r="A17591" s="34"/>
      <c r="B17591" s="35"/>
      <c r="C17591" s="36"/>
      <c r="D17591" s="37"/>
      <c r="E17591" s="36"/>
      <c r="F17591" s="42"/>
      <c r="G17591" s="42"/>
      <c r="H17591" s="42"/>
      <c r="AG17591" s="19"/>
    </row>
    <row r="17592" spans="1:33" ht="14.5" x14ac:dyDescent="0.35">
      <c r="A17592" s="34"/>
      <c r="B17592" s="35"/>
      <c r="C17592" s="36"/>
      <c r="D17592" s="37"/>
      <c r="E17592" s="36"/>
      <c r="F17592" s="42"/>
      <c r="G17592" s="42"/>
      <c r="H17592" s="42"/>
      <c r="AG17592" s="19"/>
    </row>
    <row r="17593" spans="1:33" ht="14.5" x14ac:dyDescent="0.35">
      <c r="A17593" s="34"/>
      <c r="B17593" s="35"/>
      <c r="C17593" s="36"/>
      <c r="D17593" s="37"/>
      <c r="E17593" s="36"/>
      <c r="F17593" s="42"/>
      <c r="G17593" s="42"/>
      <c r="H17593" s="42"/>
      <c r="AG17593" s="19"/>
    </row>
    <row r="17594" spans="1:33" ht="14.5" x14ac:dyDescent="0.35">
      <c r="A17594" s="34"/>
      <c r="B17594" s="35"/>
      <c r="C17594" s="36"/>
      <c r="D17594" s="37"/>
      <c r="E17594" s="36"/>
      <c r="F17594" s="42"/>
      <c r="G17594" s="42"/>
      <c r="H17594" s="42"/>
      <c r="AG17594" s="19"/>
    </row>
    <row r="17595" spans="1:33" ht="14.5" x14ac:dyDescent="0.35">
      <c r="A17595" s="34"/>
      <c r="B17595" s="35"/>
      <c r="C17595" s="36"/>
      <c r="D17595" s="37"/>
      <c r="E17595" s="36"/>
      <c r="F17595" s="42"/>
      <c r="G17595" s="42"/>
      <c r="H17595" s="42"/>
      <c r="AG17595" s="19"/>
    </row>
    <row r="17596" spans="1:33" ht="14.5" x14ac:dyDescent="0.35">
      <c r="A17596" s="34"/>
      <c r="B17596" s="35"/>
      <c r="C17596" s="36"/>
      <c r="D17596" s="37"/>
      <c r="E17596" s="36"/>
      <c r="F17596" s="42"/>
      <c r="G17596" s="42"/>
      <c r="H17596" s="42"/>
      <c r="AG17596" s="19"/>
    </row>
    <row r="17597" spans="1:33" ht="14.5" x14ac:dyDescent="0.35">
      <c r="A17597" s="34"/>
      <c r="B17597" s="35"/>
      <c r="C17597" s="36"/>
      <c r="D17597" s="37"/>
      <c r="E17597" s="36"/>
      <c r="F17597" s="42"/>
      <c r="G17597" s="42"/>
      <c r="H17597" s="42"/>
      <c r="AG17597" s="19"/>
    </row>
    <row r="17598" spans="1:33" ht="14.5" x14ac:dyDescent="0.35">
      <c r="A17598" s="34"/>
      <c r="B17598" s="35"/>
      <c r="C17598" s="36"/>
      <c r="D17598" s="37"/>
      <c r="E17598" s="36"/>
      <c r="F17598" s="42"/>
      <c r="G17598" s="42"/>
      <c r="H17598" s="42"/>
      <c r="AG17598" s="19"/>
    </row>
    <row r="17599" spans="1:33" ht="14.5" x14ac:dyDescent="0.35">
      <c r="A17599" s="34"/>
      <c r="B17599" s="35"/>
      <c r="C17599" s="36"/>
      <c r="D17599" s="37"/>
      <c r="E17599" s="36"/>
      <c r="F17599" s="42"/>
      <c r="G17599" s="42"/>
      <c r="H17599" s="42"/>
      <c r="AG17599" s="19"/>
    </row>
    <row r="17600" spans="1:33" ht="14.5" x14ac:dyDescent="0.35">
      <c r="A17600" s="34"/>
      <c r="B17600" s="35"/>
      <c r="C17600" s="36"/>
      <c r="D17600" s="37"/>
      <c r="E17600" s="36"/>
      <c r="F17600" s="42"/>
      <c r="G17600" s="42"/>
      <c r="H17600" s="42"/>
      <c r="AG17600" s="19"/>
    </row>
    <row r="17601" spans="1:33" ht="14.5" x14ac:dyDescent="0.35">
      <c r="A17601" s="34"/>
      <c r="B17601" s="35"/>
      <c r="C17601" s="36"/>
      <c r="D17601" s="37"/>
      <c r="E17601" s="36"/>
      <c r="F17601" s="42"/>
      <c r="G17601" s="42"/>
      <c r="H17601" s="42"/>
      <c r="AG17601" s="19"/>
    </row>
    <row r="17602" spans="1:33" ht="14.5" x14ac:dyDescent="0.35">
      <c r="A17602" s="34"/>
      <c r="B17602" s="35"/>
      <c r="C17602" s="36"/>
      <c r="D17602" s="37"/>
      <c r="E17602" s="36"/>
      <c r="F17602" s="42"/>
      <c r="G17602" s="42"/>
      <c r="H17602" s="42"/>
      <c r="AG17602" s="19"/>
    </row>
    <row r="17603" spans="1:33" ht="14.5" x14ac:dyDescent="0.35">
      <c r="A17603" s="34"/>
      <c r="B17603" s="35"/>
      <c r="C17603" s="36"/>
      <c r="D17603" s="37"/>
      <c r="E17603" s="36"/>
      <c r="F17603" s="42"/>
      <c r="G17603" s="42"/>
      <c r="H17603" s="42"/>
      <c r="AG17603" s="19"/>
    </row>
    <row r="17604" spans="1:33" ht="14.5" x14ac:dyDescent="0.35">
      <c r="A17604" s="34"/>
      <c r="B17604" s="35"/>
      <c r="C17604" s="36"/>
      <c r="D17604" s="37"/>
      <c r="E17604" s="36"/>
      <c r="F17604" s="42"/>
      <c r="G17604" s="42"/>
      <c r="H17604" s="42"/>
      <c r="AG17604" s="19"/>
    </row>
    <row r="17605" spans="1:33" ht="14.5" x14ac:dyDescent="0.35">
      <c r="A17605" s="34"/>
      <c r="B17605" s="35"/>
      <c r="C17605" s="36"/>
      <c r="D17605" s="37"/>
      <c r="E17605" s="36"/>
      <c r="F17605" s="42"/>
      <c r="G17605" s="42"/>
      <c r="H17605" s="42"/>
      <c r="AG17605" s="19"/>
    </row>
    <row r="17606" spans="1:33" ht="14.5" x14ac:dyDescent="0.35">
      <c r="A17606" s="34"/>
      <c r="B17606" s="35"/>
      <c r="C17606" s="36"/>
      <c r="D17606" s="37"/>
      <c r="E17606" s="36"/>
      <c r="F17606" s="42"/>
      <c r="G17606" s="42"/>
      <c r="H17606" s="42"/>
      <c r="AG17606" s="19"/>
    </row>
    <row r="17607" spans="1:33" ht="14.5" x14ac:dyDescent="0.35">
      <c r="A17607" s="34"/>
      <c r="B17607" s="35"/>
      <c r="C17607" s="36"/>
      <c r="D17607" s="37"/>
      <c r="E17607" s="36"/>
      <c r="F17607" s="42"/>
      <c r="G17607" s="42"/>
      <c r="H17607" s="42"/>
      <c r="AG17607" s="19"/>
    </row>
    <row r="17608" spans="1:33" ht="14.5" x14ac:dyDescent="0.35">
      <c r="A17608" s="34"/>
      <c r="B17608" s="35"/>
      <c r="C17608" s="36"/>
      <c r="D17608" s="37"/>
      <c r="E17608" s="36"/>
      <c r="F17608" s="42"/>
      <c r="G17608" s="42"/>
      <c r="H17608" s="42"/>
      <c r="AG17608" s="19"/>
    </row>
    <row r="17609" spans="1:33" ht="14.5" x14ac:dyDescent="0.35">
      <c r="A17609" s="34"/>
      <c r="B17609" s="35"/>
      <c r="C17609" s="36"/>
      <c r="D17609" s="37"/>
      <c r="E17609" s="36"/>
      <c r="F17609" s="42"/>
      <c r="G17609" s="42"/>
      <c r="H17609" s="42"/>
      <c r="AG17609" s="19"/>
    </row>
    <row r="17610" spans="1:33" ht="14.5" x14ac:dyDescent="0.35">
      <c r="A17610" s="34"/>
      <c r="B17610" s="35"/>
      <c r="C17610" s="36"/>
      <c r="D17610" s="37"/>
      <c r="E17610" s="36"/>
      <c r="F17610" s="42"/>
      <c r="G17610" s="42"/>
      <c r="H17610" s="42"/>
      <c r="AG17610" s="19"/>
    </row>
    <row r="17611" spans="1:33" ht="14.5" x14ac:dyDescent="0.35">
      <c r="A17611" s="34"/>
      <c r="B17611" s="35"/>
      <c r="C17611" s="36"/>
      <c r="D17611" s="37"/>
      <c r="E17611" s="36"/>
      <c r="F17611" s="42"/>
      <c r="G17611" s="42"/>
      <c r="H17611" s="42"/>
      <c r="AG17611" s="19"/>
    </row>
    <row r="17612" spans="1:33" ht="14.5" x14ac:dyDescent="0.35">
      <c r="A17612" s="34"/>
      <c r="B17612" s="35"/>
      <c r="C17612" s="36"/>
      <c r="D17612" s="37"/>
      <c r="E17612" s="36"/>
      <c r="F17612" s="42"/>
      <c r="G17612" s="42"/>
      <c r="H17612" s="42"/>
      <c r="AG17612" s="19"/>
    </row>
    <row r="17613" spans="1:33" ht="14.5" x14ac:dyDescent="0.35">
      <c r="A17613" s="34"/>
      <c r="B17613" s="35"/>
      <c r="C17613" s="36"/>
      <c r="D17613" s="37"/>
      <c r="E17613" s="36"/>
      <c r="F17613" s="42"/>
      <c r="G17613" s="42"/>
      <c r="H17613" s="42"/>
      <c r="AG17613" s="19"/>
    </row>
    <row r="17614" spans="1:33" ht="14.5" x14ac:dyDescent="0.35">
      <c r="A17614" s="34"/>
      <c r="B17614" s="35"/>
      <c r="C17614" s="36"/>
      <c r="D17614" s="37"/>
      <c r="E17614" s="36"/>
      <c r="F17614" s="42"/>
      <c r="G17614" s="42"/>
      <c r="H17614" s="42"/>
      <c r="AG17614" s="19"/>
    </row>
    <row r="17615" spans="1:33" ht="14.5" x14ac:dyDescent="0.35">
      <c r="A17615" s="34"/>
      <c r="B17615" s="35"/>
      <c r="C17615" s="36"/>
      <c r="D17615" s="37"/>
      <c r="E17615" s="36"/>
      <c r="F17615" s="42"/>
      <c r="G17615" s="42"/>
      <c r="H17615" s="42"/>
      <c r="AG17615" s="19"/>
    </row>
    <row r="17616" spans="1:33" ht="14.5" x14ac:dyDescent="0.35">
      <c r="A17616" s="34"/>
      <c r="B17616" s="35"/>
      <c r="C17616" s="36"/>
      <c r="D17616" s="37"/>
      <c r="E17616" s="36"/>
      <c r="F17616" s="42"/>
      <c r="G17616" s="42"/>
      <c r="H17616" s="42"/>
      <c r="AG17616" s="19"/>
    </row>
    <row r="17617" spans="1:33" ht="14.5" x14ac:dyDescent="0.35">
      <c r="A17617" s="34"/>
      <c r="B17617" s="35"/>
      <c r="C17617" s="36"/>
      <c r="D17617" s="37"/>
      <c r="E17617" s="36"/>
      <c r="F17617" s="42"/>
      <c r="G17617" s="42"/>
      <c r="H17617" s="42"/>
      <c r="AG17617" s="19"/>
    </row>
    <row r="17618" spans="1:33" ht="14.5" x14ac:dyDescent="0.35">
      <c r="A17618" s="34"/>
      <c r="B17618" s="35"/>
      <c r="C17618" s="36"/>
      <c r="D17618" s="37"/>
      <c r="E17618" s="36"/>
      <c r="F17618" s="42"/>
      <c r="G17618" s="42"/>
      <c r="H17618" s="42"/>
      <c r="AG17618" s="19"/>
    </row>
    <row r="17619" spans="1:33" ht="14.5" x14ac:dyDescent="0.35">
      <c r="A17619" s="34"/>
      <c r="B17619" s="35"/>
      <c r="C17619" s="36"/>
      <c r="D17619" s="37"/>
      <c r="E17619" s="36"/>
      <c r="F17619" s="42"/>
      <c r="G17619" s="42"/>
      <c r="H17619" s="42"/>
      <c r="AG17619" s="19"/>
    </row>
    <row r="17620" spans="1:33" ht="14.5" x14ac:dyDescent="0.35">
      <c r="A17620" s="34"/>
      <c r="B17620" s="35"/>
      <c r="C17620" s="36"/>
      <c r="D17620" s="37"/>
      <c r="E17620" s="36"/>
      <c r="F17620" s="42"/>
      <c r="G17620" s="42"/>
      <c r="H17620" s="42"/>
      <c r="AG17620" s="19"/>
    </row>
    <row r="17621" spans="1:33" ht="14.5" x14ac:dyDescent="0.35">
      <c r="A17621" s="34"/>
      <c r="B17621" s="35"/>
      <c r="C17621" s="36"/>
      <c r="D17621" s="37"/>
      <c r="E17621" s="36"/>
      <c r="F17621" s="42"/>
      <c r="G17621" s="42"/>
      <c r="H17621" s="42"/>
      <c r="AG17621" s="19"/>
    </row>
    <row r="17622" spans="1:33" ht="14.5" x14ac:dyDescent="0.35">
      <c r="A17622" s="34"/>
      <c r="B17622" s="35"/>
      <c r="C17622" s="36"/>
      <c r="D17622" s="37"/>
      <c r="E17622" s="36"/>
      <c r="F17622" s="42"/>
      <c r="G17622" s="42"/>
      <c r="H17622" s="42"/>
      <c r="AG17622" s="19"/>
    </row>
    <row r="17623" spans="1:33" ht="14.5" x14ac:dyDescent="0.35">
      <c r="A17623" s="34"/>
      <c r="B17623" s="35"/>
      <c r="C17623" s="36"/>
      <c r="D17623" s="37"/>
      <c r="E17623" s="36"/>
      <c r="F17623" s="42"/>
      <c r="G17623" s="42"/>
      <c r="H17623" s="42"/>
      <c r="AG17623" s="19"/>
    </row>
    <row r="17624" spans="1:33" ht="14.5" x14ac:dyDescent="0.35">
      <c r="A17624" s="34"/>
      <c r="B17624" s="35"/>
      <c r="C17624" s="36"/>
      <c r="D17624" s="37"/>
      <c r="E17624" s="36"/>
      <c r="F17624" s="42"/>
      <c r="G17624" s="42"/>
      <c r="H17624" s="42"/>
      <c r="AG17624" s="19"/>
    </row>
    <row r="17625" spans="1:33" ht="14.5" x14ac:dyDescent="0.35">
      <c r="A17625" s="34"/>
      <c r="B17625" s="35"/>
      <c r="C17625" s="36"/>
      <c r="D17625" s="37"/>
      <c r="E17625" s="36"/>
      <c r="F17625" s="42"/>
      <c r="G17625" s="42"/>
      <c r="H17625" s="42"/>
      <c r="AG17625" s="19"/>
    </row>
    <row r="17626" spans="1:33" ht="14.5" x14ac:dyDescent="0.35">
      <c r="A17626" s="34"/>
      <c r="B17626" s="35"/>
      <c r="C17626" s="36"/>
      <c r="D17626" s="37"/>
      <c r="E17626" s="36"/>
      <c r="F17626" s="42"/>
      <c r="G17626" s="42"/>
      <c r="H17626" s="42"/>
      <c r="AG17626" s="19"/>
    </row>
    <row r="17627" spans="1:33" ht="14.5" x14ac:dyDescent="0.35">
      <c r="A17627" s="34"/>
      <c r="B17627" s="35"/>
      <c r="C17627" s="36"/>
      <c r="D17627" s="37"/>
      <c r="E17627" s="36"/>
      <c r="F17627" s="42"/>
      <c r="G17627" s="42"/>
      <c r="H17627" s="42"/>
      <c r="AG17627" s="19"/>
    </row>
    <row r="17628" spans="1:33" ht="14.5" x14ac:dyDescent="0.35">
      <c r="A17628" s="34"/>
      <c r="B17628" s="35"/>
      <c r="C17628" s="36"/>
      <c r="D17628" s="37"/>
      <c r="E17628" s="36"/>
      <c r="F17628" s="42"/>
      <c r="G17628" s="42"/>
      <c r="H17628" s="42"/>
      <c r="AG17628" s="19"/>
    </row>
    <row r="17629" spans="1:33" ht="14.5" x14ac:dyDescent="0.35">
      <c r="A17629" s="34"/>
      <c r="B17629" s="35"/>
      <c r="C17629" s="36"/>
      <c r="D17629" s="37"/>
      <c r="E17629" s="36"/>
      <c r="F17629" s="42"/>
      <c r="G17629" s="42"/>
      <c r="H17629" s="42"/>
      <c r="AG17629" s="19"/>
    </row>
    <row r="17630" spans="1:33" ht="14.5" x14ac:dyDescent="0.35">
      <c r="A17630" s="34"/>
      <c r="B17630" s="35"/>
      <c r="C17630" s="36"/>
      <c r="D17630" s="37"/>
      <c r="E17630" s="36"/>
      <c r="F17630" s="42"/>
      <c r="G17630" s="42"/>
      <c r="H17630" s="42"/>
      <c r="AG17630" s="19"/>
    </row>
    <row r="17631" spans="1:33" ht="14.5" x14ac:dyDescent="0.35">
      <c r="A17631" s="34"/>
      <c r="B17631" s="35"/>
      <c r="C17631" s="36"/>
      <c r="D17631" s="37"/>
      <c r="E17631" s="36"/>
      <c r="F17631" s="42"/>
      <c r="G17631" s="42"/>
      <c r="H17631" s="42"/>
      <c r="AG17631" s="19"/>
    </row>
    <row r="17632" spans="1:33" ht="14.5" x14ac:dyDescent="0.35">
      <c r="A17632" s="34"/>
      <c r="B17632" s="35"/>
      <c r="C17632" s="36"/>
      <c r="D17632" s="37"/>
      <c r="E17632" s="36"/>
      <c r="F17632" s="42"/>
      <c r="G17632" s="42"/>
      <c r="H17632" s="42"/>
      <c r="AG17632" s="19"/>
    </row>
    <row r="17633" spans="1:33" ht="14.5" x14ac:dyDescent="0.35">
      <c r="A17633" s="34"/>
      <c r="B17633" s="35"/>
      <c r="C17633" s="36"/>
      <c r="D17633" s="37"/>
      <c r="E17633" s="36"/>
      <c r="F17633" s="42"/>
      <c r="G17633" s="42"/>
      <c r="H17633" s="42"/>
      <c r="AG17633" s="19"/>
    </row>
    <row r="17634" spans="1:33" ht="14.5" x14ac:dyDescent="0.35">
      <c r="A17634" s="34"/>
      <c r="B17634" s="35"/>
      <c r="C17634" s="36"/>
      <c r="D17634" s="37"/>
      <c r="E17634" s="36"/>
      <c r="F17634" s="42"/>
      <c r="G17634" s="42"/>
      <c r="H17634" s="42"/>
      <c r="AG17634" s="19"/>
    </row>
    <row r="17635" spans="1:33" ht="14.5" x14ac:dyDescent="0.35">
      <c r="A17635" s="34"/>
      <c r="B17635" s="35"/>
      <c r="C17635" s="36"/>
      <c r="D17635" s="37"/>
      <c r="E17635" s="36"/>
      <c r="F17635" s="42"/>
      <c r="G17635" s="42"/>
      <c r="H17635" s="42"/>
      <c r="AG17635" s="19"/>
    </row>
    <row r="17636" spans="1:33" ht="14.5" x14ac:dyDescent="0.35">
      <c r="A17636" s="34"/>
      <c r="B17636" s="35"/>
      <c r="C17636" s="36"/>
      <c r="D17636" s="37"/>
      <c r="E17636" s="36"/>
      <c r="F17636" s="42"/>
      <c r="G17636" s="42"/>
      <c r="H17636" s="42"/>
      <c r="AG17636" s="19"/>
    </row>
    <row r="17637" spans="1:33" ht="14.5" x14ac:dyDescent="0.35">
      <c r="A17637" s="34"/>
      <c r="B17637" s="35"/>
      <c r="C17637" s="36"/>
      <c r="D17637" s="37"/>
      <c r="E17637" s="36"/>
      <c r="F17637" s="42"/>
      <c r="G17637" s="42"/>
      <c r="H17637" s="42"/>
      <c r="AG17637" s="19"/>
    </row>
    <row r="17638" spans="1:33" ht="14.5" x14ac:dyDescent="0.35">
      <c r="A17638" s="34"/>
      <c r="B17638" s="35"/>
      <c r="C17638" s="36"/>
      <c r="D17638" s="37"/>
      <c r="E17638" s="36"/>
      <c r="F17638" s="42"/>
      <c r="G17638" s="42"/>
      <c r="H17638" s="42"/>
      <c r="AG17638" s="19"/>
    </row>
    <row r="17639" spans="1:33" ht="14.5" x14ac:dyDescent="0.35">
      <c r="A17639" s="34"/>
      <c r="B17639" s="35"/>
      <c r="C17639" s="36"/>
      <c r="D17639" s="37"/>
      <c r="E17639" s="36"/>
      <c r="F17639" s="42"/>
      <c r="G17639" s="42"/>
      <c r="H17639" s="42"/>
      <c r="AG17639" s="19"/>
    </row>
    <row r="17640" spans="1:33" ht="14.5" x14ac:dyDescent="0.35">
      <c r="A17640" s="34"/>
      <c r="B17640" s="35"/>
      <c r="C17640" s="36"/>
      <c r="D17640" s="37"/>
      <c r="E17640" s="36"/>
      <c r="F17640" s="42"/>
      <c r="G17640" s="42"/>
      <c r="H17640" s="42"/>
      <c r="AG17640" s="19"/>
    </row>
    <row r="17641" spans="1:33" ht="14.5" x14ac:dyDescent="0.35">
      <c r="A17641" s="34"/>
      <c r="B17641" s="35"/>
      <c r="C17641" s="36"/>
      <c r="D17641" s="37"/>
      <c r="E17641" s="36"/>
      <c r="F17641" s="42"/>
      <c r="G17641" s="42"/>
      <c r="H17641" s="42"/>
      <c r="AG17641" s="19"/>
    </row>
    <row r="17642" spans="1:33" ht="14.5" x14ac:dyDescent="0.35">
      <c r="A17642" s="34"/>
      <c r="B17642" s="35"/>
      <c r="C17642" s="36"/>
      <c r="D17642" s="37"/>
      <c r="E17642" s="36"/>
      <c r="F17642" s="42"/>
      <c r="G17642" s="42"/>
      <c r="H17642" s="42"/>
      <c r="AG17642" s="19"/>
    </row>
    <row r="17643" spans="1:33" ht="14.5" x14ac:dyDescent="0.35">
      <c r="A17643" s="34"/>
      <c r="B17643" s="35"/>
      <c r="C17643" s="36"/>
      <c r="D17643" s="37"/>
      <c r="E17643" s="36"/>
      <c r="F17643" s="42"/>
      <c r="G17643" s="42"/>
      <c r="H17643" s="42"/>
      <c r="AG17643" s="19"/>
    </row>
    <row r="17644" spans="1:33" ht="14.5" x14ac:dyDescent="0.35">
      <c r="A17644" s="34"/>
      <c r="B17644" s="35"/>
      <c r="C17644" s="36"/>
      <c r="D17644" s="37"/>
      <c r="E17644" s="36"/>
      <c r="F17644" s="42"/>
      <c r="G17644" s="42"/>
      <c r="H17644" s="42"/>
      <c r="AG17644" s="19"/>
    </row>
    <row r="17645" spans="1:33" ht="14.5" x14ac:dyDescent="0.35">
      <c r="A17645" s="34"/>
      <c r="B17645" s="35"/>
      <c r="C17645" s="36"/>
      <c r="D17645" s="37"/>
      <c r="E17645" s="36"/>
      <c r="F17645" s="42"/>
      <c r="G17645" s="42"/>
      <c r="H17645" s="42"/>
      <c r="AG17645" s="19"/>
    </row>
    <row r="17646" spans="1:33" ht="14.5" x14ac:dyDescent="0.35">
      <c r="A17646" s="34"/>
      <c r="B17646" s="35"/>
      <c r="C17646" s="36"/>
      <c r="D17646" s="37"/>
      <c r="E17646" s="36"/>
      <c r="F17646" s="42"/>
      <c r="G17646" s="42"/>
      <c r="H17646" s="42"/>
      <c r="AG17646" s="19"/>
    </row>
    <row r="17647" spans="1:33" ht="14.5" x14ac:dyDescent="0.35">
      <c r="A17647" s="34"/>
      <c r="B17647" s="35"/>
      <c r="C17647" s="36"/>
      <c r="D17647" s="37"/>
      <c r="E17647" s="36"/>
      <c r="F17647" s="42"/>
      <c r="G17647" s="42"/>
      <c r="H17647" s="42"/>
      <c r="AG17647" s="19"/>
    </row>
    <row r="17648" spans="1:33" ht="14.5" x14ac:dyDescent="0.35">
      <c r="A17648" s="34"/>
      <c r="B17648" s="35"/>
      <c r="C17648" s="36"/>
      <c r="D17648" s="37"/>
      <c r="E17648" s="36"/>
      <c r="F17648" s="42"/>
      <c r="G17648" s="42"/>
      <c r="H17648" s="42"/>
      <c r="AG17648" s="19"/>
    </row>
    <row r="17649" spans="1:33" ht="14.5" x14ac:dyDescent="0.35">
      <c r="A17649" s="34"/>
      <c r="B17649" s="35"/>
      <c r="C17649" s="36"/>
      <c r="D17649" s="37"/>
      <c r="E17649" s="36"/>
      <c r="F17649" s="42"/>
      <c r="G17649" s="42"/>
      <c r="H17649" s="42"/>
      <c r="AG17649" s="19"/>
    </row>
    <row r="17650" spans="1:33" ht="14.5" x14ac:dyDescent="0.35">
      <c r="A17650" s="34"/>
      <c r="B17650" s="35"/>
      <c r="C17650" s="36"/>
      <c r="D17650" s="37"/>
      <c r="E17650" s="36"/>
      <c r="F17650" s="42"/>
      <c r="G17650" s="42"/>
      <c r="H17650" s="42"/>
      <c r="AG17650" s="19"/>
    </row>
    <row r="17651" spans="1:33" ht="14.5" x14ac:dyDescent="0.35">
      <c r="A17651" s="34"/>
      <c r="B17651" s="35"/>
      <c r="C17651" s="36"/>
      <c r="D17651" s="37"/>
      <c r="E17651" s="36"/>
      <c r="F17651" s="42"/>
      <c r="G17651" s="42"/>
      <c r="H17651" s="42"/>
      <c r="AG17651" s="19"/>
    </row>
    <row r="17652" spans="1:33" ht="14.5" x14ac:dyDescent="0.35">
      <c r="A17652" s="34"/>
      <c r="B17652" s="35"/>
      <c r="C17652" s="36"/>
      <c r="D17652" s="37"/>
      <c r="E17652" s="36"/>
      <c r="F17652" s="42"/>
      <c r="G17652" s="42"/>
      <c r="H17652" s="42"/>
      <c r="AG17652" s="19"/>
    </row>
    <row r="17653" spans="1:33" ht="14.5" x14ac:dyDescent="0.35">
      <c r="A17653" s="34"/>
      <c r="B17653" s="35"/>
      <c r="C17653" s="36"/>
      <c r="D17653" s="37"/>
      <c r="E17653" s="36"/>
      <c r="F17653" s="42"/>
      <c r="G17653" s="42"/>
      <c r="H17653" s="42"/>
      <c r="AG17653" s="19"/>
    </row>
    <row r="17654" spans="1:33" ht="14.5" x14ac:dyDescent="0.35">
      <c r="A17654" s="34"/>
      <c r="B17654" s="35"/>
      <c r="C17654" s="36"/>
      <c r="D17654" s="37"/>
      <c r="E17654" s="36"/>
      <c r="F17654" s="42"/>
      <c r="G17654" s="42"/>
      <c r="H17654" s="42"/>
      <c r="AG17654" s="19"/>
    </row>
    <row r="17655" spans="1:33" ht="14.5" x14ac:dyDescent="0.35">
      <c r="A17655" s="34"/>
      <c r="B17655" s="35"/>
      <c r="C17655" s="36"/>
      <c r="D17655" s="37"/>
      <c r="E17655" s="36"/>
      <c r="F17655" s="42"/>
      <c r="G17655" s="42"/>
      <c r="H17655" s="42"/>
      <c r="AG17655" s="19"/>
    </row>
    <row r="17656" spans="1:33" ht="14.5" x14ac:dyDescent="0.35">
      <c r="A17656" s="34"/>
      <c r="B17656" s="35"/>
      <c r="C17656" s="36"/>
      <c r="D17656" s="37"/>
      <c r="E17656" s="36"/>
      <c r="F17656" s="42"/>
      <c r="G17656" s="42"/>
      <c r="H17656" s="42"/>
      <c r="AG17656" s="19"/>
    </row>
    <row r="17657" spans="1:33" ht="14.5" x14ac:dyDescent="0.35">
      <c r="A17657" s="34"/>
      <c r="B17657" s="35"/>
      <c r="C17657" s="36"/>
      <c r="D17657" s="37"/>
      <c r="E17657" s="36"/>
      <c r="F17657" s="42"/>
      <c r="G17657" s="42"/>
      <c r="H17657" s="42"/>
      <c r="AG17657" s="19"/>
    </row>
    <row r="17658" spans="1:33" ht="14.5" x14ac:dyDescent="0.35">
      <c r="A17658" s="34"/>
      <c r="B17658" s="35"/>
      <c r="C17658" s="36"/>
      <c r="D17658" s="37"/>
      <c r="E17658" s="36"/>
      <c r="F17658" s="42"/>
      <c r="G17658" s="42"/>
      <c r="H17658" s="42"/>
      <c r="AG17658" s="19"/>
    </row>
    <row r="17659" spans="1:33" ht="14.5" x14ac:dyDescent="0.35">
      <c r="A17659" s="34"/>
      <c r="B17659" s="35"/>
      <c r="C17659" s="36"/>
      <c r="D17659" s="37"/>
      <c r="E17659" s="36"/>
      <c r="F17659" s="42"/>
      <c r="G17659" s="42"/>
      <c r="H17659" s="42"/>
      <c r="AG17659" s="19"/>
    </row>
    <row r="17660" spans="1:33" ht="14.5" x14ac:dyDescent="0.35">
      <c r="A17660" s="34"/>
      <c r="B17660" s="35"/>
      <c r="C17660" s="36"/>
      <c r="D17660" s="37"/>
      <c r="E17660" s="36"/>
      <c r="F17660" s="42"/>
      <c r="G17660" s="42"/>
      <c r="H17660" s="42"/>
      <c r="AG17660" s="19"/>
    </row>
    <row r="17661" spans="1:33" ht="14.5" x14ac:dyDescent="0.35">
      <c r="A17661" s="34"/>
      <c r="B17661" s="35"/>
      <c r="C17661" s="36"/>
      <c r="D17661" s="37"/>
      <c r="E17661" s="36"/>
      <c r="F17661" s="42"/>
      <c r="G17661" s="42"/>
      <c r="H17661" s="42"/>
      <c r="AG17661" s="19"/>
    </row>
    <row r="17662" spans="1:33" ht="14.5" x14ac:dyDescent="0.35">
      <c r="A17662" s="34"/>
      <c r="B17662" s="35"/>
      <c r="C17662" s="36"/>
      <c r="D17662" s="37"/>
      <c r="E17662" s="36"/>
      <c r="F17662" s="42"/>
      <c r="G17662" s="42"/>
      <c r="H17662" s="42"/>
      <c r="AG17662" s="19"/>
    </row>
    <row r="17663" spans="1:33" ht="14.5" x14ac:dyDescent="0.35">
      <c r="A17663" s="34"/>
      <c r="B17663" s="35"/>
      <c r="C17663" s="36"/>
      <c r="D17663" s="37"/>
      <c r="E17663" s="36"/>
      <c r="F17663" s="42"/>
      <c r="G17663" s="42"/>
      <c r="H17663" s="42"/>
      <c r="AG17663" s="19"/>
    </row>
    <row r="17664" spans="1:33" ht="14.5" x14ac:dyDescent="0.35">
      <c r="A17664" s="34"/>
      <c r="B17664" s="35"/>
      <c r="C17664" s="36"/>
      <c r="D17664" s="37"/>
      <c r="E17664" s="36"/>
      <c r="F17664" s="42"/>
      <c r="G17664" s="42"/>
      <c r="H17664" s="42"/>
      <c r="AG17664" s="19"/>
    </row>
    <row r="17665" spans="1:33" ht="14.5" x14ac:dyDescent="0.35">
      <c r="A17665" s="34"/>
      <c r="B17665" s="35"/>
      <c r="C17665" s="36"/>
      <c r="D17665" s="37"/>
      <c r="E17665" s="36"/>
      <c r="F17665" s="42"/>
      <c r="G17665" s="42"/>
      <c r="H17665" s="42"/>
      <c r="AG17665" s="19"/>
    </row>
    <row r="17666" spans="1:33" ht="14.5" x14ac:dyDescent="0.35">
      <c r="A17666" s="34"/>
      <c r="B17666" s="35"/>
      <c r="C17666" s="36"/>
      <c r="D17666" s="37"/>
      <c r="E17666" s="36"/>
      <c r="F17666" s="42"/>
      <c r="G17666" s="42"/>
      <c r="H17666" s="42"/>
      <c r="AG17666" s="19"/>
    </row>
    <row r="17667" spans="1:33" ht="14.5" x14ac:dyDescent="0.35">
      <c r="A17667" s="34"/>
      <c r="B17667" s="35"/>
      <c r="C17667" s="36"/>
      <c r="D17667" s="37"/>
      <c r="E17667" s="36"/>
      <c r="F17667" s="42"/>
      <c r="G17667" s="42"/>
      <c r="H17667" s="42"/>
      <c r="AG17667" s="19"/>
    </row>
    <row r="17668" spans="1:33" ht="14.5" x14ac:dyDescent="0.35">
      <c r="A17668" s="34"/>
      <c r="B17668" s="35"/>
      <c r="C17668" s="36"/>
      <c r="D17668" s="37"/>
      <c r="E17668" s="36"/>
      <c r="F17668" s="42"/>
      <c r="G17668" s="42"/>
      <c r="H17668" s="42"/>
      <c r="AG17668" s="19"/>
    </row>
    <row r="17669" spans="1:33" ht="14.5" x14ac:dyDescent="0.35">
      <c r="A17669" s="34"/>
      <c r="B17669" s="35"/>
      <c r="C17669" s="36"/>
      <c r="D17669" s="37"/>
      <c r="E17669" s="36"/>
      <c r="F17669" s="42"/>
      <c r="G17669" s="42"/>
      <c r="H17669" s="42"/>
      <c r="AG17669" s="19"/>
    </row>
    <row r="17670" spans="1:33" ht="14.5" x14ac:dyDescent="0.35">
      <c r="A17670" s="34"/>
      <c r="B17670" s="35"/>
      <c r="C17670" s="36"/>
      <c r="D17670" s="37"/>
      <c r="E17670" s="36"/>
      <c r="F17670" s="42"/>
      <c r="G17670" s="42"/>
      <c r="H17670" s="42"/>
      <c r="AG17670" s="19"/>
    </row>
    <row r="17671" spans="1:33" ht="14.5" x14ac:dyDescent="0.35">
      <c r="A17671" s="34"/>
      <c r="B17671" s="35"/>
      <c r="C17671" s="36"/>
      <c r="D17671" s="37"/>
      <c r="E17671" s="36"/>
      <c r="F17671" s="42"/>
      <c r="G17671" s="42"/>
      <c r="H17671" s="42"/>
      <c r="AG17671" s="19"/>
    </row>
    <row r="17672" spans="1:33" ht="14.5" x14ac:dyDescent="0.35">
      <c r="A17672" s="34"/>
      <c r="B17672" s="35"/>
      <c r="C17672" s="36"/>
      <c r="D17672" s="37"/>
      <c r="E17672" s="36"/>
      <c r="F17672" s="42"/>
      <c r="G17672" s="42"/>
      <c r="H17672" s="42"/>
      <c r="AG17672" s="19"/>
    </row>
    <row r="17673" spans="1:33" ht="14.5" x14ac:dyDescent="0.35">
      <c r="A17673" s="34"/>
      <c r="B17673" s="35"/>
      <c r="C17673" s="36"/>
      <c r="D17673" s="37"/>
      <c r="E17673" s="36"/>
      <c r="F17673" s="42"/>
      <c r="G17673" s="42"/>
      <c r="H17673" s="42"/>
      <c r="AG17673" s="19"/>
    </row>
    <row r="17674" spans="1:33" ht="14.5" x14ac:dyDescent="0.35">
      <c r="A17674" s="34"/>
      <c r="B17674" s="35"/>
      <c r="C17674" s="36"/>
      <c r="D17674" s="37"/>
      <c r="E17674" s="36"/>
      <c r="F17674" s="42"/>
      <c r="G17674" s="42"/>
      <c r="H17674" s="42"/>
      <c r="AG17674" s="19"/>
    </row>
    <row r="17675" spans="1:33" ht="14.5" x14ac:dyDescent="0.35">
      <c r="A17675" s="34"/>
      <c r="B17675" s="35"/>
      <c r="C17675" s="36"/>
      <c r="D17675" s="37"/>
      <c r="E17675" s="36"/>
      <c r="F17675" s="42"/>
      <c r="G17675" s="42"/>
      <c r="H17675" s="42"/>
      <c r="AG17675" s="19"/>
    </row>
    <row r="17676" spans="1:33" ht="14.5" x14ac:dyDescent="0.35">
      <c r="A17676" s="34"/>
      <c r="B17676" s="35"/>
      <c r="C17676" s="36"/>
      <c r="D17676" s="37"/>
      <c r="E17676" s="36"/>
      <c r="F17676" s="42"/>
      <c r="G17676" s="42"/>
      <c r="H17676" s="42"/>
      <c r="AG17676" s="19"/>
    </row>
    <row r="17677" spans="1:33" ht="14.5" x14ac:dyDescent="0.35">
      <c r="A17677" s="34"/>
      <c r="B17677" s="35"/>
      <c r="C17677" s="36"/>
      <c r="D17677" s="37"/>
      <c r="E17677" s="36"/>
      <c r="F17677" s="42"/>
      <c r="G17677" s="42"/>
      <c r="H17677" s="42"/>
      <c r="AG17677" s="19"/>
    </row>
    <row r="17678" spans="1:33" ht="14.5" x14ac:dyDescent="0.35">
      <c r="A17678" s="34"/>
      <c r="B17678" s="35"/>
      <c r="C17678" s="36"/>
      <c r="D17678" s="37"/>
      <c r="E17678" s="36"/>
      <c r="F17678" s="42"/>
      <c r="G17678" s="42"/>
      <c r="H17678" s="42"/>
      <c r="AG17678" s="19"/>
    </row>
    <row r="17679" spans="1:33" ht="14.5" x14ac:dyDescent="0.35">
      <c r="A17679" s="34"/>
      <c r="B17679" s="35"/>
      <c r="C17679" s="36"/>
      <c r="D17679" s="37"/>
      <c r="E17679" s="36"/>
      <c r="F17679" s="42"/>
      <c r="G17679" s="42"/>
      <c r="H17679" s="42"/>
      <c r="AG17679" s="19"/>
    </row>
    <row r="17680" spans="1:33" ht="14.5" x14ac:dyDescent="0.35">
      <c r="A17680" s="34"/>
      <c r="B17680" s="35"/>
      <c r="C17680" s="36"/>
      <c r="D17680" s="37"/>
      <c r="E17680" s="36"/>
      <c r="F17680" s="42"/>
      <c r="G17680" s="42"/>
      <c r="H17680" s="42"/>
      <c r="AG17680" s="19"/>
    </row>
    <row r="17681" spans="1:33" ht="14.5" x14ac:dyDescent="0.35">
      <c r="A17681" s="34"/>
      <c r="B17681" s="35"/>
      <c r="C17681" s="36"/>
      <c r="D17681" s="37"/>
      <c r="E17681" s="36"/>
      <c r="F17681" s="42"/>
      <c r="G17681" s="42"/>
      <c r="H17681" s="42"/>
      <c r="AG17681" s="19"/>
    </row>
    <row r="17682" spans="1:33" ht="14.5" x14ac:dyDescent="0.35">
      <c r="A17682" s="34"/>
      <c r="B17682" s="35"/>
      <c r="C17682" s="36"/>
      <c r="D17682" s="37"/>
      <c r="E17682" s="36"/>
      <c r="F17682" s="42"/>
      <c r="G17682" s="42"/>
      <c r="H17682" s="42"/>
      <c r="AG17682" s="19"/>
    </row>
    <row r="17683" spans="1:33" ht="14.5" x14ac:dyDescent="0.35">
      <c r="A17683" s="34"/>
      <c r="B17683" s="35"/>
      <c r="C17683" s="36"/>
      <c r="D17683" s="37"/>
      <c r="E17683" s="36"/>
      <c r="F17683" s="42"/>
      <c r="G17683" s="42"/>
      <c r="H17683" s="42"/>
      <c r="AG17683" s="19"/>
    </row>
    <row r="17684" spans="1:33" ht="14.5" x14ac:dyDescent="0.35">
      <c r="A17684" s="34"/>
      <c r="B17684" s="35"/>
      <c r="C17684" s="36"/>
      <c r="D17684" s="37"/>
      <c r="E17684" s="36"/>
      <c r="F17684" s="42"/>
      <c r="G17684" s="42"/>
      <c r="H17684" s="42"/>
      <c r="AG17684" s="19"/>
    </row>
    <row r="17685" spans="1:33" ht="14.5" x14ac:dyDescent="0.35">
      <c r="A17685" s="34"/>
      <c r="B17685" s="35"/>
      <c r="C17685" s="36"/>
      <c r="D17685" s="37"/>
      <c r="E17685" s="36"/>
      <c r="F17685" s="42"/>
      <c r="G17685" s="42"/>
      <c r="H17685" s="42"/>
      <c r="AG17685" s="19"/>
    </row>
    <row r="17686" spans="1:33" ht="14.5" x14ac:dyDescent="0.35">
      <c r="A17686" s="34"/>
      <c r="B17686" s="35"/>
      <c r="C17686" s="36"/>
      <c r="D17686" s="37"/>
      <c r="E17686" s="36"/>
      <c r="F17686" s="42"/>
      <c r="G17686" s="42"/>
      <c r="H17686" s="42"/>
      <c r="AG17686" s="19"/>
    </row>
    <row r="17687" spans="1:33" ht="14.5" x14ac:dyDescent="0.35">
      <c r="A17687" s="34"/>
      <c r="B17687" s="35"/>
      <c r="C17687" s="36"/>
      <c r="D17687" s="37"/>
      <c r="E17687" s="36"/>
      <c r="F17687" s="42"/>
      <c r="G17687" s="42"/>
      <c r="H17687" s="42"/>
      <c r="AG17687" s="19"/>
    </row>
    <row r="17688" spans="1:33" ht="14.5" x14ac:dyDescent="0.35">
      <c r="A17688" s="34"/>
      <c r="B17688" s="35"/>
      <c r="C17688" s="36"/>
      <c r="D17688" s="37"/>
      <c r="E17688" s="36"/>
      <c r="F17688" s="42"/>
      <c r="G17688" s="42"/>
      <c r="H17688" s="42"/>
      <c r="AG17688" s="19"/>
    </row>
    <row r="17689" spans="1:33" ht="14.5" x14ac:dyDescent="0.35">
      <c r="A17689" s="34"/>
      <c r="B17689" s="35"/>
      <c r="C17689" s="36"/>
      <c r="D17689" s="37"/>
      <c r="E17689" s="36"/>
      <c r="F17689" s="42"/>
      <c r="G17689" s="42"/>
      <c r="H17689" s="42"/>
      <c r="AG17689" s="19"/>
    </row>
    <row r="17690" spans="1:33" ht="14.5" x14ac:dyDescent="0.35">
      <c r="A17690" s="34"/>
      <c r="B17690" s="35"/>
      <c r="C17690" s="36"/>
      <c r="D17690" s="37"/>
      <c r="E17690" s="36"/>
      <c r="F17690" s="42"/>
      <c r="G17690" s="42"/>
      <c r="H17690" s="42"/>
      <c r="AG17690" s="19"/>
    </row>
    <row r="17691" spans="1:33" ht="14.5" x14ac:dyDescent="0.35">
      <c r="A17691" s="34"/>
      <c r="B17691" s="35"/>
      <c r="C17691" s="36"/>
      <c r="D17691" s="37"/>
      <c r="E17691" s="36"/>
      <c r="F17691" s="42"/>
      <c r="G17691" s="42"/>
      <c r="H17691" s="42"/>
      <c r="AG17691" s="19"/>
    </row>
    <row r="17692" spans="1:33" ht="14.5" x14ac:dyDescent="0.35">
      <c r="A17692" s="34"/>
      <c r="B17692" s="35"/>
      <c r="C17692" s="36"/>
      <c r="D17692" s="37"/>
      <c r="E17692" s="36"/>
      <c r="F17692" s="42"/>
      <c r="G17692" s="42"/>
      <c r="H17692" s="42"/>
      <c r="AG17692" s="19"/>
    </row>
    <row r="17693" spans="1:33" ht="14.5" x14ac:dyDescent="0.35">
      <c r="A17693" s="34"/>
      <c r="B17693" s="35"/>
      <c r="C17693" s="36"/>
      <c r="D17693" s="37"/>
      <c r="E17693" s="36"/>
      <c r="F17693" s="42"/>
      <c r="G17693" s="42"/>
      <c r="H17693" s="42"/>
      <c r="AG17693" s="19"/>
    </row>
    <row r="17694" spans="1:33" ht="14.5" x14ac:dyDescent="0.35">
      <c r="A17694" s="34"/>
      <c r="B17694" s="35"/>
      <c r="C17694" s="36"/>
      <c r="D17694" s="37"/>
      <c r="E17694" s="36"/>
      <c r="F17694" s="42"/>
      <c r="G17694" s="42"/>
      <c r="H17694" s="42"/>
      <c r="AG17694" s="19"/>
    </row>
    <row r="17695" spans="1:33" ht="14.5" x14ac:dyDescent="0.35">
      <c r="A17695" s="34"/>
      <c r="B17695" s="35"/>
      <c r="C17695" s="36"/>
      <c r="D17695" s="37"/>
      <c r="E17695" s="36"/>
      <c r="F17695" s="42"/>
      <c r="G17695" s="42"/>
      <c r="H17695" s="42"/>
      <c r="AG17695" s="19"/>
    </row>
    <row r="17696" spans="1:33" ht="14.5" x14ac:dyDescent="0.35">
      <c r="A17696" s="34"/>
      <c r="B17696" s="35"/>
      <c r="C17696" s="36"/>
      <c r="D17696" s="37"/>
      <c r="E17696" s="36"/>
      <c r="F17696" s="42"/>
      <c r="G17696" s="42"/>
      <c r="H17696" s="42"/>
      <c r="AG17696" s="19"/>
    </row>
    <row r="17697" spans="1:33" ht="14.5" x14ac:dyDescent="0.35">
      <c r="A17697" s="34"/>
      <c r="B17697" s="35"/>
      <c r="C17697" s="36"/>
      <c r="D17697" s="37"/>
      <c r="E17697" s="36"/>
      <c r="F17697" s="42"/>
      <c r="G17697" s="42"/>
      <c r="H17697" s="42"/>
      <c r="AG17697" s="19"/>
    </row>
    <row r="17698" spans="1:33" ht="14.5" x14ac:dyDescent="0.35">
      <c r="A17698" s="34"/>
      <c r="B17698" s="35"/>
      <c r="C17698" s="36"/>
      <c r="D17698" s="37"/>
      <c r="E17698" s="36"/>
      <c r="F17698" s="42"/>
      <c r="G17698" s="42"/>
      <c r="H17698" s="42"/>
      <c r="AG17698" s="19"/>
    </row>
    <row r="17699" spans="1:33" ht="14.5" x14ac:dyDescent="0.35">
      <c r="A17699" s="34"/>
      <c r="B17699" s="35"/>
      <c r="C17699" s="36"/>
      <c r="D17699" s="37"/>
      <c r="E17699" s="36"/>
      <c r="F17699" s="42"/>
      <c r="G17699" s="42"/>
      <c r="H17699" s="42"/>
      <c r="AG17699" s="19"/>
    </row>
    <row r="17700" spans="1:33" ht="14.5" x14ac:dyDescent="0.35">
      <c r="A17700" s="34"/>
      <c r="B17700" s="35"/>
      <c r="C17700" s="36"/>
      <c r="D17700" s="37"/>
      <c r="E17700" s="36"/>
      <c r="F17700" s="42"/>
      <c r="G17700" s="42"/>
      <c r="H17700" s="42"/>
      <c r="AG17700" s="19"/>
    </row>
    <row r="17701" spans="1:33" ht="14.5" x14ac:dyDescent="0.35">
      <c r="A17701" s="34"/>
      <c r="B17701" s="35"/>
      <c r="C17701" s="36"/>
      <c r="D17701" s="37"/>
      <c r="E17701" s="36"/>
      <c r="F17701" s="42"/>
      <c r="G17701" s="42"/>
      <c r="H17701" s="42"/>
      <c r="AG17701" s="19"/>
    </row>
    <row r="17702" spans="1:33" ht="14.5" x14ac:dyDescent="0.35">
      <c r="A17702" s="34"/>
      <c r="B17702" s="35"/>
      <c r="C17702" s="36"/>
      <c r="D17702" s="37"/>
      <c r="E17702" s="36"/>
      <c r="F17702" s="42"/>
      <c r="G17702" s="42"/>
      <c r="H17702" s="42"/>
      <c r="AG17702" s="19"/>
    </row>
    <row r="17703" spans="1:33" ht="14.5" x14ac:dyDescent="0.35">
      <c r="A17703" s="34"/>
      <c r="B17703" s="35"/>
      <c r="C17703" s="36"/>
      <c r="D17703" s="37"/>
      <c r="E17703" s="36"/>
      <c r="F17703" s="42"/>
      <c r="G17703" s="42"/>
      <c r="H17703" s="42"/>
      <c r="AG17703" s="19"/>
    </row>
    <row r="17704" spans="1:33" ht="14.5" x14ac:dyDescent="0.35">
      <c r="A17704" s="34"/>
      <c r="B17704" s="35"/>
      <c r="C17704" s="36"/>
      <c r="D17704" s="37"/>
      <c r="E17704" s="36"/>
      <c r="F17704" s="42"/>
      <c r="G17704" s="42"/>
      <c r="H17704" s="42"/>
      <c r="AG17704" s="19"/>
    </row>
    <row r="17705" spans="1:33" ht="14.5" x14ac:dyDescent="0.35">
      <c r="A17705" s="34"/>
      <c r="B17705" s="35"/>
      <c r="C17705" s="36"/>
      <c r="D17705" s="37"/>
      <c r="E17705" s="36"/>
      <c r="F17705" s="42"/>
      <c r="G17705" s="42"/>
      <c r="H17705" s="42"/>
      <c r="AG17705" s="19"/>
    </row>
    <row r="17706" spans="1:33" ht="14.5" x14ac:dyDescent="0.35">
      <c r="A17706" s="34"/>
      <c r="B17706" s="35"/>
      <c r="C17706" s="36"/>
      <c r="D17706" s="37"/>
      <c r="E17706" s="36"/>
      <c r="F17706" s="42"/>
      <c r="G17706" s="42"/>
      <c r="H17706" s="42"/>
      <c r="AG17706" s="19"/>
    </row>
    <row r="17707" spans="1:33" ht="14.5" x14ac:dyDescent="0.35">
      <c r="A17707" s="34"/>
      <c r="B17707" s="35"/>
      <c r="C17707" s="36"/>
      <c r="D17707" s="37"/>
      <c r="E17707" s="36"/>
      <c r="F17707" s="42"/>
      <c r="G17707" s="42"/>
      <c r="H17707" s="42"/>
      <c r="AG17707" s="19"/>
    </row>
    <row r="17708" spans="1:33" ht="14.5" x14ac:dyDescent="0.35">
      <c r="A17708" s="34"/>
      <c r="B17708" s="35"/>
      <c r="C17708" s="36"/>
      <c r="D17708" s="37"/>
      <c r="E17708" s="36"/>
      <c r="F17708" s="42"/>
      <c r="G17708" s="42"/>
      <c r="H17708" s="42"/>
      <c r="AG17708" s="19"/>
    </row>
    <row r="17709" spans="1:33" ht="14.5" x14ac:dyDescent="0.35">
      <c r="A17709" s="34"/>
      <c r="B17709" s="35"/>
      <c r="C17709" s="36"/>
      <c r="D17709" s="37"/>
      <c r="E17709" s="36"/>
      <c r="F17709" s="42"/>
      <c r="G17709" s="42"/>
      <c r="H17709" s="42"/>
      <c r="AG17709" s="19"/>
    </row>
    <row r="17710" spans="1:33" ht="14.5" x14ac:dyDescent="0.35">
      <c r="A17710" s="34"/>
      <c r="B17710" s="35"/>
      <c r="C17710" s="36"/>
      <c r="D17710" s="37"/>
      <c r="E17710" s="36"/>
      <c r="F17710" s="42"/>
      <c r="G17710" s="42"/>
      <c r="H17710" s="42"/>
      <c r="AG17710" s="19"/>
    </row>
    <row r="17711" spans="1:33" ht="14.5" x14ac:dyDescent="0.35">
      <c r="A17711" s="34"/>
      <c r="B17711" s="35"/>
      <c r="C17711" s="36"/>
      <c r="D17711" s="37"/>
      <c r="E17711" s="36"/>
      <c r="F17711" s="42"/>
      <c r="G17711" s="42"/>
      <c r="H17711" s="42"/>
      <c r="AG17711" s="19"/>
    </row>
    <row r="17712" spans="1:33" ht="14.5" x14ac:dyDescent="0.35">
      <c r="A17712" s="34"/>
      <c r="B17712" s="35"/>
      <c r="C17712" s="36"/>
      <c r="D17712" s="37"/>
      <c r="E17712" s="36"/>
      <c r="F17712" s="42"/>
      <c r="G17712" s="42"/>
      <c r="H17712" s="42"/>
      <c r="AG17712" s="19"/>
    </row>
    <row r="17713" spans="1:33" ht="14.5" x14ac:dyDescent="0.35">
      <c r="A17713" s="34"/>
      <c r="B17713" s="35"/>
      <c r="C17713" s="36"/>
      <c r="D17713" s="37"/>
      <c r="E17713" s="36"/>
      <c r="F17713" s="42"/>
      <c r="G17713" s="42"/>
      <c r="H17713" s="42"/>
      <c r="AG17713" s="19"/>
    </row>
    <row r="17714" spans="1:33" ht="14.5" x14ac:dyDescent="0.35">
      <c r="A17714" s="34"/>
      <c r="B17714" s="35"/>
      <c r="C17714" s="36"/>
      <c r="D17714" s="37"/>
      <c r="E17714" s="36"/>
      <c r="F17714" s="42"/>
      <c r="G17714" s="42"/>
      <c r="H17714" s="42"/>
      <c r="AG17714" s="19"/>
    </row>
    <row r="17715" spans="1:33" ht="14.5" x14ac:dyDescent="0.35">
      <c r="A17715" s="34"/>
      <c r="B17715" s="35"/>
      <c r="C17715" s="36"/>
      <c r="D17715" s="37"/>
      <c r="E17715" s="36"/>
      <c r="F17715" s="42"/>
      <c r="G17715" s="42"/>
      <c r="H17715" s="42"/>
      <c r="AG17715" s="19"/>
    </row>
    <row r="17716" spans="1:33" ht="14.5" x14ac:dyDescent="0.35">
      <c r="A17716" s="34"/>
      <c r="B17716" s="35"/>
      <c r="C17716" s="36"/>
      <c r="D17716" s="37"/>
      <c r="E17716" s="36"/>
      <c r="F17716" s="42"/>
      <c r="G17716" s="42"/>
      <c r="H17716" s="42"/>
      <c r="AG17716" s="19"/>
    </row>
    <row r="17717" spans="1:33" ht="14.5" x14ac:dyDescent="0.35">
      <c r="A17717" s="34"/>
      <c r="B17717" s="35"/>
      <c r="C17717" s="36"/>
      <c r="D17717" s="37"/>
      <c r="E17717" s="36"/>
      <c r="F17717" s="42"/>
      <c r="G17717" s="42"/>
      <c r="H17717" s="42"/>
      <c r="AG17717" s="19"/>
    </row>
    <row r="17718" spans="1:33" ht="14.5" x14ac:dyDescent="0.35">
      <c r="A17718" s="34"/>
      <c r="B17718" s="35"/>
      <c r="C17718" s="36"/>
      <c r="D17718" s="37"/>
      <c r="E17718" s="36"/>
      <c r="F17718" s="42"/>
      <c r="G17718" s="42"/>
      <c r="H17718" s="42"/>
      <c r="AG17718" s="19"/>
    </row>
    <row r="17719" spans="1:33" ht="14.5" x14ac:dyDescent="0.35">
      <c r="A17719" s="34"/>
      <c r="B17719" s="35"/>
      <c r="C17719" s="36"/>
      <c r="D17719" s="37"/>
      <c r="E17719" s="36"/>
      <c r="F17719" s="42"/>
      <c r="G17719" s="42"/>
      <c r="H17719" s="42"/>
      <c r="AG17719" s="19"/>
    </row>
    <row r="17720" spans="1:33" ht="14.5" x14ac:dyDescent="0.35">
      <c r="A17720" s="34"/>
      <c r="B17720" s="35"/>
      <c r="C17720" s="36"/>
      <c r="D17720" s="37"/>
      <c r="E17720" s="36"/>
      <c r="F17720" s="42"/>
      <c r="G17720" s="42"/>
      <c r="H17720" s="42"/>
      <c r="AG17720" s="19"/>
    </row>
    <row r="17721" spans="1:33" ht="14.5" x14ac:dyDescent="0.35">
      <c r="A17721" s="34"/>
      <c r="B17721" s="35"/>
      <c r="C17721" s="36"/>
      <c r="D17721" s="37"/>
      <c r="E17721" s="36"/>
      <c r="F17721" s="42"/>
      <c r="G17721" s="42"/>
      <c r="H17721" s="42"/>
      <c r="AG17721" s="19"/>
    </row>
    <row r="17722" spans="1:33" ht="14.5" x14ac:dyDescent="0.35">
      <c r="A17722" s="34"/>
      <c r="B17722" s="35"/>
      <c r="C17722" s="36"/>
      <c r="D17722" s="37"/>
      <c r="E17722" s="36"/>
      <c r="F17722" s="42"/>
      <c r="G17722" s="42"/>
      <c r="H17722" s="42"/>
      <c r="AG17722" s="19"/>
    </row>
    <row r="17723" spans="1:33" ht="14.5" x14ac:dyDescent="0.35">
      <c r="A17723" s="34"/>
      <c r="B17723" s="35"/>
      <c r="C17723" s="36"/>
      <c r="D17723" s="37"/>
      <c r="E17723" s="36"/>
      <c r="F17723" s="42"/>
      <c r="G17723" s="42"/>
      <c r="H17723" s="42"/>
      <c r="AG17723" s="19"/>
    </row>
    <row r="17724" spans="1:33" ht="14.5" x14ac:dyDescent="0.35">
      <c r="A17724" s="34"/>
      <c r="B17724" s="35"/>
      <c r="C17724" s="36"/>
      <c r="D17724" s="37"/>
      <c r="E17724" s="36"/>
      <c r="F17724" s="42"/>
      <c r="G17724" s="42"/>
      <c r="H17724" s="42"/>
      <c r="AG17724" s="19"/>
    </row>
    <row r="17725" spans="1:33" ht="14.5" x14ac:dyDescent="0.35">
      <c r="A17725" s="34"/>
      <c r="B17725" s="35"/>
      <c r="C17725" s="36"/>
      <c r="D17725" s="37"/>
      <c r="E17725" s="36"/>
      <c r="F17725" s="42"/>
      <c r="G17725" s="42"/>
      <c r="H17725" s="42"/>
      <c r="AG17725" s="19"/>
    </row>
    <row r="17726" spans="1:33" ht="14.5" x14ac:dyDescent="0.35">
      <c r="A17726" s="34"/>
      <c r="B17726" s="35"/>
      <c r="C17726" s="36"/>
      <c r="D17726" s="37"/>
      <c r="E17726" s="36"/>
      <c r="F17726" s="42"/>
      <c r="G17726" s="42"/>
      <c r="H17726" s="42"/>
      <c r="AG17726" s="19"/>
    </row>
    <row r="17727" spans="1:33" ht="14.5" x14ac:dyDescent="0.35">
      <c r="A17727" s="34"/>
      <c r="B17727" s="35"/>
      <c r="C17727" s="36"/>
      <c r="D17727" s="37"/>
      <c r="E17727" s="36"/>
      <c r="F17727" s="42"/>
      <c r="G17727" s="42"/>
      <c r="H17727" s="42"/>
      <c r="AG17727" s="19"/>
    </row>
    <row r="17728" spans="1:33" ht="14.5" x14ac:dyDescent="0.35">
      <c r="A17728" s="34"/>
      <c r="B17728" s="35"/>
      <c r="C17728" s="36"/>
      <c r="D17728" s="37"/>
      <c r="E17728" s="36"/>
      <c r="F17728" s="42"/>
      <c r="G17728" s="42"/>
      <c r="H17728" s="42"/>
      <c r="AG17728" s="19"/>
    </row>
    <row r="17729" spans="1:33" ht="14.5" x14ac:dyDescent="0.35">
      <c r="A17729" s="34"/>
      <c r="B17729" s="35"/>
      <c r="C17729" s="36"/>
      <c r="D17729" s="37"/>
      <c r="E17729" s="36"/>
      <c r="F17729" s="42"/>
      <c r="G17729" s="42"/>
      <c r="H17729" s="42"/>
      <c r="AG17729" s="19"/>
    </row>
    <row r="17730" spans="1:33" ht="14.5" x14ac:dyDescent="0.35">
      <c r="A17730" s="34"/>
      <c r="B17730" s="35"/>
      <c r="C17730" s="36"/>
      <c r="D17730" s="37"/>
      <c r="E17730" s="36"/>
      <c r="F17730" s="42"/>
      <c r="G17730" s="42"/>
      <c r="H17730" s="42"/>
      <c r="AG17730" s="19"/>
    </row>
    <row r="17731" spans="1:33" ht="14.5" x14ac:dyDescent="0.35">
      <c r="A17731" s="34"/>
      <c r="B17731" s="35"/>
      <c r="C17731" s="36"/>
      <c r="D17731" s="37"/>
      <c r="E17731" s="36"/>
      <c r="F17731" s="42"/>
      <c r="G17731" s="42"/>
      <c r="H17731" s="42"/>
      <c r="AG17731" s="19"/>
    </row>
    <row r="17732" spans="1:33" ht="14.5" x14ac:dyDescent="0.35">
      <c r="A17732" s="34"/>
      <c r="B17732" s="35"/>
      <c r="C17732" s="36"/>
      <c r="D17732" s="37"/>
      <c r="E17732" s="36"/>
      <c r="F17732" s="42"/>
      <c r="G17732" s="42"/>
      <c r="H17732" s="42"/>
      <c r="AG17732" s="19"/>
    </row>
    <row r="17733" spans="1:33" ht="14.5" x14ac:dyDescent="0.35">
      <c r="A17733" s="34"/>
      <c r="B17733" s="35"/>
      <c r="C17733" s="36"/>
      <c r="D17733" s="37"/>
      <c r="E17733" s="36"/>
      <c r="F17733" s="42"/>
      <c r="G17733" s="42"/>
      <c r="H17733" s="42"/>
      <c r="AG17733" s="19"/>
    </row>
    <row r="17734" spans="1:33" ht="14.5" x14ac:dyDescent="0.35">
      <c r="A17734" s="34"/>
      <c r="B17734" s="35"/>
      <c r="C17734" s="36"/>
      <c r="D17734" s="37"/>
      <c r="E17734" s="36"/>
      <c r="F17734" s="42"/>
      <c r="G17734" s="42"/>
      <c r="H17734" s="42"/>
      <c r="AG17734" s="19"/>
    </row>
    <row r="17735" spans="1:33" ht="14.5" x14ac:dyDescent="0.35">
      <c r="A17735" s="34"/>
      <c r="B17735" s="35"/>
      <c r="C17735" s="36"/>
      <c r="D17735" s="37"/>
      <c r="E17735" s="36"/>
      <c r="F17735" s="42"/>
      <c r="G17735" s="42"/>
      <c r="H17735" s="42"/>
      <c r="AG17735" s="19"/>
    </row>
    <row r="17736" spans="1:33" ht="14.5" x14ac:dyDescent="0.35">
      <c r="A17736" s="34"/>
      <c r="B17736" s="35"/>
      <c r="C17736" s="36"/>
      <c r="D17736" s="37"/>
      <c r="E17736" s="36"/>
      <c r="F17736" s="42"/>
      <c r="G17736" s="42"/>
      <c r="H17736" s="42"/>
      <c r="AG17736" s="19"/>
    </row>
    <row r="17737" spans="1:33" ht="14.5" x14ac:dyDescent="0.35">
      <c r="A17737" s="34"/>
      <c r="B17737" s="35"/>
      <c r="C17737" s="36"/>
      <c r="D17737" s="37"/>
      <c r="E17737" s="36"/>
      <c r="F17737" s="42"/>
      <c r="G17737" s="42"/>
      <c r="H17737" s="42"/>
      <c r="AG17737" s="19"/>
    </row>
    <row r="17738" spans="1:33" ht="14.5" x14ac:dyDescent="0.35">
      <c r="A17738" s="34"/>
      <c r="B17738" s="35"/>
      <c r="C17738" s="36"/>
      <c r="D17738" s="37"/>
      <c r="E17738" s="36"/>
      <c r="F17738" s="42"/>
      <c r="G17738" s="42"/>
      <c r="H17738" s="42"/>
      <c r="AG17738" s="19"/>
    </row>
    <row r="17739" spans="1:33" ht="14.5" x14ac:dyDescent="0.35">
      <c r="A17739" s="34"/>
      <c r="B17739" s="35"/>
      <c r="C17739" s="36"/>
      <c r="D17739" s="37"/>
      <c r="E17739" s="36"/>
      <c r="F17739" s="42"/>
      <c r="G17739" s="42"/>
      <c r="H17739" s="42"/>
      <c r="AG17739" s="19"/>
    </row>
    <row r="17740" spans="1:33" ht="14.5" x14ac:dyDescent="0.35">
      <c r="A17740" s="34"/>
      <c r="B17740" s="35"/>
      <c r="C17740" s="36"/>
      <c r="D17740" s="37"/>
      <c r="E17740" s="36"/>
      <c r="F17740" s="42"/>
      <c r="G17740" s="42"/>
      <c r="H17740" s="42"/>
      <c r="AG17740" s="19"/>
    </row>
    <row r="17741" spans="1:33" ht="14.5" x14ac:dyDescent="0.35">
      <c r="A17741" s="34"/>
      <c r="B17741" s="35"/>
      <c r="C17741" s="36"/>
      <c r="D17741" s="37"/>
      <c r="E17741" s="36"/>
      <c r="F17741" s="42"/>
      <c r="G17741" s="42"/>
      <c r="H17741" s="42"/>
      <c r="AG17741" s="19"/>
    </row>
    <row r="17742" spans="1:33" ht="14.5" x14ac:dyDescent="0.35">
      <c r="A17742" s="34"/>
      <c r="B17742" s="35"/>
      <c r="C17742" s="36"/>
      <c r="D17742" s="37"/>
      <c r="E17742" s="36"/>
      <c r="F17742" s="42"/>
      <c r="G17742" s="42"/>
      <c r="H17742" s="42"/>
      <c r="AG17742" s="19"/>
    </row>
    <row r="17743" spans="1:33" ht="14.5" x14ac:dyDescent="0.35">
      <c r="A17743" s="34"/>
      <c r="B17743" s="35"/>
      <c r="C17743" s="36"/>
      <c r="D17743" s="37"/>
      <c r="E17743" s="36"/>
      <c r="F17743" s="42"/>
      <c r="G17743" s="42"/>
      <c r="H17743" s="42"/>
      <c r="AG17743" s="19"/>
    </row>
    <row r="17744" spans="1:33" ht="14.5" x14ac:dyDescent="0.35">
      <c r="A17744" s="34"/>
      <c r="B17744" s="35"/>
      <c r="C17744" s="36"/>
      <c r="D17744" s="37"/>
      <c r="E17744" s="36"/>
      <c r="F17744" s="42"/>
      <c r="G17744" s="42"/>
      <c r="H17744" s="42"/>
      <c r="AG17744" s="19"/>
    </row>
    <row r="17745" spans="1:33" ht="14.5" x14ac:dyDescent="0.35">
      <c r="A17745" s="34"/>
      <c r="B17745" s="35"/>
      <c r="C17745" s="36"/>
      <c r="D17745" s="37"/>
      <c r="E17745" s="36"/>
      <c r="F17745" s="42"/>
      <c r="G17745" s="42"/>
      <c r="H17745" s="42"/>
      <c r="AG17745" s="19"/>
    </row>
    <row r="17746" spans="1:33" ht="14.5" x14ac:dyDescent="0.35">
      <c r="A17746" s="34"/>
      <c r="B17746" s="35"/>
      <c r="C17746" s="36"/>
      <c r="D17746" s="37"/>
      <c r="E17746" s="36"/>
      <c r="F17746" s="42"/>
      <c r="G17746" s="42"/>
      <c r="H17746" s="42"/>
      <c r="AG17746" s="19"/>
    </row>
    <row r="17747" spans="1:33" ht="14.5" x14ac:dyDescent="0.35">
      <c r="A17747" s="34"/>
      <c r="B17747" s="35"/>
      <c r="C17747" s="36"/>
      <c r="D17747" s="37"/>
      <c r="E17747" s="36"/>
      <c r="F17747" s="42"/>
      <c r="G17747" s="42"/>
      <c r="H17747" s="42"/>
      <c r="AG17747" s="19"/>
    </row>
    <row r="17748" spans="1:33" ht="14.5" x14ac:dyDescent="0.35">
      <c r="A17748" s="34"/>
      <c r="B17748" s="35"/>
      <c r="C17748" s="36"/>
      <c r="D17748" s="37"/>
      <c r="E17748" s="36"/>
      <c r="F17748" s="42"/>
      <c r="G17748" s="42"/>
      <c r="H17748" s="42"/>
      <c r="AG17748" s="19"/>
    </row>
    <row r="17749" spans="1:33" ht="14.5" x14ac:dyDescent="0.35">
      <c r="A17749" s="34"/>
      <c r="B17749" s="35"/>
      <c r="C17749" s="36"/>
      <c r="D17749" s="37"/>
      <c r="E17749" s="36"/>
      <c r="F17749" s="42"/>
      <c r="G17749" s="42"/>
      <c r="H17749" s="42"/>
      <c r="AG17749" s="19"/>
    </row>
    <row r="17750" spans="1:33" ht="14.5" x14ac:dyDescent="0.35">
      <c r="A17750" s="34"/>
      <c r="B17750" s="35"/>
      <c r="C17750" s="36"/>
      <c r="D17750" s="37"/>
      <c r="E17750" s="36"/>
      <c r="F17750" s="42"/>
      <c r="G17750" s="42"/>
      <c r="H17750" s="42"/>
      <c r="AG17750" s="19"/>
    </row>
    <row r="17751" spans="1:33" ht="14.5" x14ac:dyDescent="0.35">
      <c r="A17751" s="34"/>
      <c r="B17751" s="35"/>
      <c r="C17751" s="36"/>
      <c r="D17751" s="37"/>
      <c r="E17751" s="36"/>
      <c r="F17751" s="42"/>
      <c r="G17751" s="42"/>
      <c r="H17751" s="42"/>
      <c r="AG17751" s="19"/>
    </row>
    <row r="17752" spans="1:33" ht="14.5" x14ac:dyDescent="0.35">
      <c r="A17752" s="34"/>
      <c r="B17752" s="35"/>
      <c r="C17752" s="36"/>
      <c r="D17752" s="37"/>
      <c r="E17752" s="36"/>
      <c r="F17752" s="42"/>
      <c r="G17752" s="42"/>
      <c r="H17752" s="42"/>
      <c r="AG17752" s="19"/>
    </row>
    <row r="17753" spans="1:33" ht="14.5" x14ac:dyDescent="0.35">
      <c r="A17753" s="34"/>
      <c r="B17753" s="35"/>
      <c r="C17753" s="36"/>
      <c r="D17753" s="37"/>
      <c r="E17753" s="36"/>
      <c r="F17753" s="42"/>
      <c r="G17753" s="42"/>
      <c r="H17753" s="42"/>
      <c r="AG17753" s="19"/>
    </row>
    <row r="17754" spans="1:33" ht="14.5" x14ac:dyDescent="0.35">
      <c r="A17754" s="34"/>
      <c r="B17754" s="35"/>
      <c r="C17754" s="36"/>
      <c r="D17754" s="37"/>
      <c r="E17754" s="36"/>
      <c r="F17754" s="42"/>
      <c r="G17754" s="42"/>
      <c r="H17754" s="42"/>
      <c r="AG17754" s="19"/>
    </row>
    <row r="17755" spans="1:33" ht="14.5" x14ac:dyDescent="0.35">
      <c r="A17755" s="34"/>
      <c r="B17755" s="35"/>
      <c r="C17755" s="36"/>
      <c r="D17755" s="37"/>
      <c r="E17755" s="36"/>
      <c r="F17755" s="42"/>
      <c r="G17755" s="42"/>
      <c r="H17755" s="42"/>
      <c r="AG17755" s="19"/>
    </row>
    <row r="17756" spans="1:33" ht="14.5" x14ac:dyDescent="0.35">
      <c r="A17756" s="34"/>
      <c r="B17756" s="35"/>
      <c r="C17756" s="36"/>
      <c r="D17756" s="37"/>
      <c r="E17756" s="36"/>
      <c r="F17756" s="42"/>
      <c r="G17756" s="42"/>
      <c r="H17756" s="42"/>
      <c r="AG17756" s="19"/>
    </row>
    <row r="17757" spans="1:33" ht="14.5" x14ac:dyDescent="0.35">
      <c r="A17757" s="34"/>
      <c r="B17757" s="35"/>
      <c r="C17757" s="36"/>
      <c r="D17757" s="37"/>
      <c r="E17757" s="36"/>
      <c r="F17757" s="42"/>
      <c r="G17757" s="42"/>
      <c r="H17757" s="42"/>
      <c r="AG17757" s="19"/>
    </row>
    <row r="17758" spans="1:33" ht="14.5" x14ac:dyDescent="0.35">
      <c r="A17758" s="34"/>
      <c r="B17758" s="35"/>
      <c r="C17758" s="36"/>
      <c r="D17758" s="37"/>
      <c r="E17758" s="36"/>
      <c r="F17758" s="42"/>
      <c r="G17758" s="42"/>
      <c r="H17758" s="42"/>
      <c r="AG17758" s="19"/>
    </row>
    <row r="17759" spans="1:33" ht="14.5" x14ac:dyDescent="0.35">
      <c r="A17759" s="34"/>
      <c r="B17759" s="35"/>
      <c r="C17759" s="36"/>
      <c r="D17759" s="37"/>
      <c r="E17759" s="36"/>
      <c r="F17759" s="42"/>
      <c r="G17759" s="42"/>
      <c r="H17759" s="42"/>
      <c r="AG17759" s="19"/>
    </row>
    <row r="17760" spans="1:33" ht="14.5" x14ac:dyDescent="0.35">
      <c r="A17760" s="34"/>
      <c r="B17760" s="35"/>
      <c r="C17760" s="36"/>
      <c r="D17760" s="37"/>
      <c r="E17760" s="36"/>
      <c r="F17760" s="42"/>
      <c r="G17760" s="42"/>
      <c r="H17760" s="42"/>
      <c r="AG17760" s="19"/>
    </row>
    <row r="17761" spans="1:33" ht="14.5" x14ac:dyDescent="0.35">
      <c r="A17761" s="34"/>
      <c r="B17761" s="35"/>
      <c r="C17761" s="36"/>
      <c r="D17761" s="37"/>
      <c r="E17761" s="36"/>
      <c r="F17761" s="42"/>
      <c r="G17761" s="42"/>
      <c r="H17761" s="42"/>
      <c r="AG17761" s="19"/>
    </row>
    <row r="17762" spans="1:33" ht="14.5" x14ac:dyDescent="0.35">
      <c r="A17762" s="34"/>
      <c r="B17762" s="35"/>
      <c r="C17762" s="36"/>
      <c r="D17762" s="37"/>
      <c r="E17762" s="36"/>
      <c r="F17762" s="42"/>
      <c r="G17762" s="42"/>
      <c r="H17762" s="42"/>
      <c r="AG17762" s="19"/>
    </row>
    <row r="17763" spans="1:33" ht="14.5" x14ac:dyDescent="0.35">
      <c r="A17763" s="34"/>
      <c r="B17763" s="35"/>
      <c r="C17763" s="36"/>
      <c r="D17763" s="37"/>
      <c r="E17763" s="36"/>
      <c r="F17763" s="42"/>
      <c r="G17763" s="42"/>
      <c r="H17763" s="42"/>
      <c r="AG17763" s="19"/>
    </row>
    <row r="17764" spans="1:33" ht="14.5" x14ac:dyDescent="0.35">
      <c r="A17764" s="34"/>
      <c r="B17764" s="35"/>
      <c r="C17764" s="36"/>
      <c r="D17764" s="37"/>
      <c r="E17764" s="36"/>
      <c r="F17764" s="42"/>
      <c r="G17764" s="42"/>
      <c r="H17764" s="42"/>
      <c r="AG17764" s="19"/>
    </row>
    <row r="17765" spans="1:33" ht="14.5" x14ac:dyDescent="0.35">
      <c r="A17765" s="34"/>
      <c r="B17765" s="35"/>
      <c r="C17765" s="36"/>
      <c r="D17765" s="37"/>
      <c r="E17765" s="36"/>
      <c r="F17765" s="42"/>
      <c r="G17765" s="42"/>
      <c r="H17765" s="42"/>
      <c r="AG17765" s="19"/>
    </row>
    <row r="17766" spans="1:33" ht="14.5" x14ac:dyDescent="0.35">
      <c r="A17766" s="34"/>
      <c r="B17766" s="35"/>
      <c r="C17766" s="36"/>
      <c r="D17766" s="37"/>
      <c r="E17766" s="36"/>
      <c r="F17766" s="42"/>
      <c r="G17766" s="42"/>
      <c r="H17766" s="42"/>
      <c r="AG17766" s="19"/>
    </row>
    <row r="17767" spans="1:33" ht="14.5" x14ac:dyDescent="0.35">
      <c r="A17767" s="34"/>
      <c r="B17767" s="35"/>
      <c r="C17767" s="36"/>
      <c r="D17767" s="37"/>
      <c r="E17767" s="36"/>
      <c r="F17767" s="42"/>
      <c r="G17767" s="42"/>
      <c r="H17767" s="42"/>
      <c r="AG17767" s="19"/>
    </row>
    <row r="17768" spans="1:33" ht="14.5" x14ac:dyDescent="0.35">
      <c r="A17768" s="34"/>
      <c r="B17768" s="35"/>
      <c r="C17768" s="36"/>
      <c r="D17768" s="37"/>
      <c r="E17768" s="36"/>
      <c r="F17768" s="42"/>
      <c r="G17768" s="42"/>
      <c r="H17768" s="42"/>
      <c r="AG17768" s="19"/>
    </row>
    <row r="17769" spans="1:33" ht="14.5" x14ac:dyDescent="0.35">
      <c r="A17769" s="34"/>
      <c r="B17769" s="35"/>
      <c r="C17769" s="36"/>
      <c r="D17769" s="37"/>
      <c r="E17769" s="36"/>
      <c r="F17769" s="42"/>
      <c r="G17769" s="42"/>
      <c r="H17769" s="42"/>
      <c r="AG17769" s="19"/>
    </row>
    <row r="17770" spans="1:33" ht="14.5" x14ac:dyDescent="0.35">
      <c r="A17770" s="34"/>
      <c r="B17770" s="35"/>
      <c r="C17770" s="36"/>
      <c r="D17770" s="37"/>
      <c r="E17770" s="36"/>
      <c r="F17770" s="42"/>
      <c r="G17770" s="42"/>
      <c r="H17770" s="42"/>
      <c r="AG17770" s="19"/>
    </row>
    <row r="17771" spans="1:33" ht="14.5" x14ac:dyDescent="0.35">
      <c r="A17771" s="34"/>
      <c r="B17771" s="35"/>
      <c r="C17771" s="36"/>
      <c r="D17771" s="37"/>
      <c r="E17771" s="36"/>
      <c r="F17771" s="42"/>
      <c r="G17771" s="42"/>
      <c r="H17771" s="42"/>
      <c r="AG17771" s="19"/>
    </row>
    <row r="17772" spans="1:33" ht="14.5" x14ac:dyDescent="0.35">
      <c r="A17772" s="34"/>
      <c r="B17772" s="35"/>
      <c r="C17772" s="36"/>
      <c r="D17772" s="37"/>
      <c r="E17772" s="36"/>
      <c r="F17772" s="42"/>
      <c r="G17772" s="42"/>
      <c r="H17772" s="42"/>
      <c r="AG17772" s="19"/>
    </row>
    <row r="17773" spans="1:33" ht="14.5" x14ac:dyDescent="0.35">
      <c r="A17773" s="34"/>
      <c r="B17773" s="35"/>
      <c r="C17773" s="36"/>
      <c r="D17773" s="37"/>
      <c r="E17773" s="36"/>
      <c r="F17773" s="42"/>
      <c r="G17773" s="42"/>
      <c r="H17773" s="42"/>
      <c r="AG17773" s="19"/>
    </row>
    <row r="17774" spans="1:33" ht="14.5" x14ac:dyDescent="0.35">
      <c r="A17774" s="34"/>
      <c r="B17774" s="35"/>
      <c r="C17774" s="36"/>
      <c r="D17774" s="37"/>
      <c r="E17774" s="36"/>
      <c r="F17774" s="42"/>
      <c r="G17774" s="42"/>
      <c r="H17774" s="42"/>
      <c r="AG17774" s="19"/>
    </row>
    <row r="17775" spans="1:33" ht="14.5" x14ac:dyDescent="0.35">
      <c r="A17775" s="34"/>
      <c r="B17775" s="35"/>
      <c r="C17775" s="36"/>
      <c r="D17775" s="37"/>
      <c r="E17775" s="36"/>
      <c r="F17775" s="42"/>
      <c r="G17775" s="42"/>
      <c r="H17775" s="42"/>
      <c r="AG17775" s="19"/>
    </row>
    <row r="17776" spans="1:33" ht="14.5" x14ac:dyDescent="0.35">
      <c r="A17776" s="34"/>
      <c r="B17776" s="35"/>
      <c r="C17776" s="36"/>
      <c r="D17776" s="37"/>
      <c r="E17776" s="36"/>
      <c r="F17776" s="42"/>
      <c r="G17776" s="42"/>
      <c r="H17776" s="42"/>
      <c r="AG17776" s="19"/>
    </row>
    <row r="17777" spans="1:33" ht="14.5" x14ac:dyDescent="0.35">
      <c r="A17777" s="34"/>
      <c r="B17777" s="35"/>
      <c r="C17777" s="36"/>
      <c r="D17777" s="37"/>
      <c r="E17777" s="36"/>
      <c r="F17777" s="42"/>
      <c r="G17777" s="42"/>
      <c r="H17777" s="42"/>
      <c r="AG17777" s="19"/>
    </row>
    <row r="17778" spans="1:33" ht="14.5" x14ac:dyDescent="0.35">
      <c r="A17778" s="34"/>
      <c r="B17778" s="35"/>
      <c r="C17778" s="36"/>
      <c r="D17778" s="37"/>
      <c r="E17778" s="36"/>
      <c r="F17778" s="42"/>
      <c r="G17778" s="42"/>
      <c r="H17778" s="42"/>
      <c r="AG17778" s="19"/>
    </row>
    <row r="17779" spans="1:33" ht="14.5" x14ac:dyDescent="0.35">
      <c r="A17779" s="34"/>
      <c r="B17779" s="35"/>
      <c r="C17779" s="36"/>
      <c r="D17779" s="37"/>
      <c r="E17779" s="36"/>
      <c r="F17779" s="42"/>
      <c r="G17779" s="42"/>
      <c r="H17779" s="42"/>
      <c r="AG17779" s="19"/>
    </row>
    <row r="17780" spans="1:33" ht="14.5" x14ac:dyDescent="0.35">
      <c r="A17780" s="34"/>
      <c r="B17780" s="35"/>
      <c r="C17780" s="36"/>
      <c r="D17780" s="37"/>
      <c r="E17780" s="36"/>
      <c r="F17780" s="42"/>
      <c r="G17780" s="42"/>
      <c r="H17780" s="42"/>
      <c r="AG17780" s="19"/>
    </row>
    <row r="17781" spans="1:33" ht="14.5" x14ac:dyDescent="0.35">
      <c r="A17781" s="34"/>
      <c r="B17781" s="35"/>
      <c r="C17781" s="36"/>
      <c r="D17781" s="37"/>
      <c r="E17781" s="36"/>
      <c r="F17781" s="42"/>
      <c r="G17781" s="42"/>
      <c r="H17781" s="42"/>
      <c r="AG17781" s="19"/>
    </row>
    <row r="17782" spans="1:33" ht="14.5" x14ac:dyDescent="0.35">
      <c r="A17782" s="34"/>
      <c r="B17782" s="35"/>
      <c r="C17782" s="36"/>
      <c r="D17782" s="37"/>
      <c r="E17782" s="36"/>
      <c r="F17782" s="42"/>
      <c r="G17782" s="42"/>
      <c r="H17782" s="42"/>
      <c r="AG17782" s="19"/>
    </row>
    <row r="17783" spans="1:33" ht="14.5" x14ac:dyDescent="0.35">
      <c r="A17783" s="34"/>
      <c r="B17783" s="35"/>
      <c r="C17783" s="36"/>
      <c r="D17783" s="37"/>
      <c r="E17783" s="36"/>
      <c r="F17783" s="42"/>
      <c r="G17783" s="42"/>
      <c r="H17783" s="42"/>
      <c r="AG17783" s="19"/>
    </row>
    <row r="17784" spans="1:33" ht="14.5" x14ac:dyDescent="0.35">
      <c r="A17784" s="34"/>
      <c r="B17784" s="35"/>
      <c r="C17784" s="36"/>
      <c r="D17784" s="37"/>
      <c r="E17784" s="36"/>
      <c r="F17784" s="42"/>
      <c r="G17784" s="42"/>
      <c r="H17784" s="42"/>
      <c r="AG17784" s="19"/>
    </row>
    <row r="17785" spans="1:33" ht="14.5" x14ac:dyDescent="0.35">
      <c r="A17785" s="34"/>
      <c r="B17785" s="35"/>
      <c r="C17785" s="36"/>
      <c r="D17785" s="37"/>
      <c r="E17785" s="36"/>
      <c r="F17785" s="42"/>
      <c r="G17785" s="42"/>
      <c r="H17785" s="42"/>
      <c r="AG17785" s="19"/>
    </row>
    <row r="17786" spans="1:33" ht="14.5" x14ac:dyDescent="0.35">
      <c r="A17786" s="34"/>
      <c r="B17786" s="35"/>
      <c r="C17786" s="36"/>
      <c r="D17786" s="37"/>
      <c r="E17786" s="36"/>
      <c r="F17786" s="42"/>
      <c r="G17786" s="42"/>
      <c r="H17786" s="42"/>
      <c r="AG17786" s="19"/>
    </row>
    <row r="17787" spans="1:33" ht="14.5" x14ac:dyDescent="0.35">
      <c r="A17787" s="34"/>
      <c r="B17787" s="35"/>
      <c r="C17787" s="36"/>
      <c r="D17787" s="37"/>
      <c r="E17787" s="36"/>
      <c r="F17787" s="42"/>
      <c r="G17787" s="42"/>
      <c r="H17787" s="42"/>
      <c r="AG17787" s="19"/>
    </row>
    <row r="17788" spans="1:33" ht="14.5" x14ac:dyDescent="0.35">
      <c r="A17788" s="34"/>
      <c r="B17788" s="35"/>
      <c r="C17788" s="36"/>
      <c r="D17788" s="37"/>
      <c r="E17788" s="36"/>
      <c r="F17788" s="42"/>
      <c r="G17788" s="42"/>
      <c r="H17788" s="42"/>
      <c r="AG17788" s="19"/>
    </row>
    <row r="17789" spans="1:33" ht="14.5" x14ac:dyDescent="0.35">
      <c r="A17789" s="34"/>
      <c r="B17789" s="35"/>
      <c r="C17789" s="36"/>
      <c r="D17789" s="37"/>
      <c r="E17789" s="36"/>
      <c r="F17789" s="42"/>
      <c r="G17789" s="42"/>
      <c r="H17789" s="42"/>
      <c r="AG17789" s="19"/>
    </row>
    <row r="17790" spans="1:33" ht="14.5" x14ac:dyDescent="0.35">
      <c r="A17790" s="34"/>
      <c r="B17790" s="35"/>
      <c r="C17790" s="36"/>
      <c r="D17790" s="37"/>
      <c r="E17790" s="36"/>
      <c r="F17790" s="42"/>
      <c r="G17790" s="42"/>
      <c r="H17790" s="42"/>
      <c r="AG17790" s="19"/>
    </row>
    <row r="17791" spans="1:33" ht="14.5" x14ac:dyDescent="0.35">
      <c r="A17791" s="34"/>
      <c r="B17791" s="35"/>
      <c r="C17791" s="36"/>
      <c r="D17791" s="37"/>
      <c r="E17791" s="36"/>
      <c r="F17791" s="42"/>
      <c r="G17791" s="42"/>
      <c r="H17791" s="42"/>
      <c r="AG17791" s="19"/>
    </row>
    <row r="17792" spans="1:33" ht="14.5" x14ac:dyDescent="0.35">
      <c r="A17792" s="34"/>
      <c r="B17792" s="35"/>
      <c r="C17792" s="36"/>
      <c r="D17792" s="37"/>
      <c r="E17792" s="36"/>
      <c r="F17792" s="42"/>
      <c r="G17792" s="42"/>
      <c r="H17792" s="42"/>
      <c r="AG17792" s="19"/>
    </row>
    <row r="17793" spans="1:33" ht="14.5" x14ac:dyDescent="0.35">
      <c r="A17793" s="34"/>
      <c r="B17793" s="35"/>
      <c r="C17793" s="36"/>
      <c r="D17793" s="37"/>
      <c r="E17793" s="36"/>
      <c r="F17793" s="42"/>
      <c r="G17793" s="42"/>
      <c r="H17793" s="42"/>
      <c r="AG17793" s="19"/>
    </row>
    <row r="17794" spans="1:33" ht="14.5" x14ac:dyDescent="0.35">
      <c r="A17794" s="34"/>
      <c r="B17794" s="35"/>
      <c r="C17794" s="36"/>
      <c r="D17794" s="37"/>
      <c r="E17794" s="36"/>
      <c r="F17794" s="42"/>
      <c r="G17794" s="42"/>
      <c r="H17794" s="42"/>
      <c r="AG17794" s="19"/>
    </row>
    <row r="17795" spans="1:33" ht="14.5" x14ac:dyDescent="0.35">
      <c r="A17795" s="34"/>
      <c r="B17795" s="35"/>
      <c r="C17795" s="36"/>
      <c r="D17795" s="37"/>
      <c r="E17795" s="36"/>
      <c r="F17795" s="42"/>
      <c r="G17795" s="42"/>
      <c r="H17795" s="42"/>
      <c r="AG17795" s="19"/>
    </row>
    <row r="17796" spans="1:33" ht="14.5" x14ac:dyDescent="0.35">
      <c r="A17796" s="34"/>
      <c r="B17796" s="35"/>
      <c r="C17796" s="36"/>
      <c r="D17796" s="37"/>
      <c r="E17796" s="36"/>
      <c r="F17796" s="42"/>
      <c r="G17796" s="42"/>
      <c r="H17796" s="42"/>
      <c r="AG17796" s="19"/>
    </row>
    <row r="17797" spans="1:33" ht="14.5" x14ac:dyDescent="0.35">
      <c r="A17797" s="34"/>
      <c r="B17797" s="35"/>
      <c r="C17797" s="36"/>
      <c r="D17797" s="37"/>
      <c r="E17797" s="36"/>
      <c r="F17797" s="42"/>
      <c r="G17797" s="42"/>
      <c r="H17797" s="42"/>
      <c r="AG17797" s="19"/>
    </row>
    <row r="17798" spans="1:33" ht="14.5" x14ac:dyDescent="0.35">
      <c r="A17798" s="34"/>
      <c r="B17798" s="35"/>
      <c r="C17798" s="36"/>
      <c r="D17798" s="37"/>
      <c r="E17798" s="36"/>
      <c r="F17798" s="42"/>
      <c r="G17798" s="42"/>
      <c r="H17798" s="42"/>
      <c r="AG17798" s="19"/>
    </row>
    <row r="17799" spans="1:33" ht="14.5" x14ac:dyDescent="0.35">
      <c r="A17799" s="34"/>
      <c r="B17799" s="35"/>
      <c r="C17799" s="36"/>
      <c r="D17799" s="37"/>
      <c r="E17799" s="36"/>
      <c r="F17799" s="42"/>
      <c r="G17799" s="42"/>
      <c r="H17799" s="42"/>
      <c r="AG17799" s="19"/>
    </row>
    <row r="17800" spans="1:33" ht="14.5" x14ac:dyDescent="0.35">
      <c r="A17800" s="34"/>
      <c r="B17800" s="35"/>
      <c r="C17800" s="36"/>
      <c r="D17800" s="37"/>
      <c r="E17800" s="36"/>
      <c r="F17800" s="42"/>
      <c r="G17800" s="42"/>
      <c r="H17800" s="42"/>
      <c r="AG17800" s="19"/>
    </row>
    <row r="17801" spans="1:33" ht="14.5" x14ac:dyDescent="0.35">
      <c r="A17801" s="34"/>
      <c r="B17801" s="35"/>
      <c r="C17801" s="36"/>
      <c r="D17801" s="37"/>
      <c r="E17801" s="36"/>
      <c r="F17801" s="42"/>
      <c r="G17801" s="42"/>
      <c r="H17801" s="42"/>
      <c r="AG17801" s="19"/>
    </row>
    <row r="17802" spans="1:33" ht="14.5" x14ac:dyDescent="0.35">
      <c r="A17802" s="34"/>
      <c r="B17802" s="35"/>
      <c r="C17802" s="36"/>
      <c r="D17802" s="37"/>
      <c r="E17802" s="36"/>
      <c r="F17802" s="42"/>
      <c r="G17802" s="42"/>
      <c r="H17802" s="42"/>
      <c r="AG17802" s="19"/>
    </row>
    <row r="17803" spans="1:33" ht="14.5" x14ac:dyDescent="0.35">
      <c r="A17803" s="34"/>
      <c r="B17803" s="35"/>
      <c r="C17803" s="36"/>
      <c r="D17803" s="37"/>
      <c r="E17803" s="36"/>
      <c r="F17803" s="42"/>
      <c r="G17803" s="42"/>
      <c r="H17803" s="42"/>
      <c r="AG17803" s="19"/>
    </row>
    <row r="17804" spans="1:33" ht="14.5" x14ac:dyDescent="0.35">
      <c r="A17804" s="34"/>
      <c r="B17804" s="35"/>
      <c r="C17804" s="36"/>
      <c r="D17804" s="37"/>
      <c r="E17804" s="36"/>
      <c r="F17804" s="42"/>
      <c r="G17804" s="42"/>
      <c r="H17804" s="42"/>
      <c r="AG17804" s="19"/>
    </row>
    <row r="17805" spans="1:33" ht="14.5" x14ac:dyDescent="0.35">
      <c r="A17805" s="34"/>
      <c r="B17805" s="35"/>
      <c r="C17805" s="36"/>
      <c r="D17805" s="37"/>
      <c r="E17805" s="36"/>
      <c r="F17805" s="42"/>
      <c r="G17805" s="42"/>
      <c r="H17805" s="42"/>
      <c r="AG17805" s="19"/>
    </row>
    <row r="17806" spans="1:33" ht="14.5" x14ac:dyDescent="0.35">
      <c r="A17806" s="34"/>
      <c r="B17806" s="35"/>
      <c r="C17806" s="36"/>
      <c r="D17806" s="37"/>
      <c r="E17806" s="36"/>
      <c r="F17806" s="42"/>
      <c r="G17806" s="42"/>
      <c r="H17806" s="42"/>
      <c r="AG17806" s="19"/>
    </row>
    <row r="17807" spans="1:33" ht="14.5" x14ac:dyDescent="0.35">
      <c r="A17807" s="34"/>
      <c r="B17807" s="35"/>
      <c r="C17807" s="36"/>
      <c r="D17807" s="37"/>
      <c r="E17807" s="36"/>
      <c r="F17807" s="42"/>
      <c r="G17807" s="42"/>
      <c r="H17807" s="42"/>
      <c r="AG17807" s="19"/>
    </row>
    <row r="17808" spans="1:33" ht="14.5" x14ac:dyDescent="0.35">
      <c r="A17808" s="34"/>
      <c r="B17808" s="35"/>
      <c r="C17808" s="36"/>
      <c r="D17808" s="37"/>
      <c r="E17808" s="36"/>
      <c r="F17808" s="42"/>
      <c r="G17808" s="42"/>
      <c r="H17808" s="42"/>
      <c r="AG17808" s="19"/>
    </row>
    <row r="17809" spans="1:33" ht="14.5" x14ac:dyDescent="0.35">
      <c r="A17809" s="34"/>
      <c r="B17809" s="35"/>
      <c r="C17809" s="36"/>
      <c r="D17809" s="37"/>
      <c r="E17809" s="36"/>
      <c r="F17809" s="42"/>
      <c r="G17809" s="42"/>
      <c r="H17809" s="42"/>
      <c r="AG17809" s="19"/>
    </row>
    <row r="17810" spans="1:33" ht="14.5" x14ac:dyDescent="0.35">
      <c r="A17810" s="34"/>
      <c r="B17810" s="35"/>
      <c r="C17810" s="36"/>
      <c r="D17810" s="37"/>
      <c r="E17810" s="36"/>
      <c r="F17810" s="42"/>
      <c r="G17810" s="42"/>
      <c r="H17810" s="42"/>
      <c r="AG17810" s="19"/>
    </row>
    <row r="17811" spans="1:33" ht="14.5" x14ac:dyDescent="0.35">
      <c r="A17811" s="34"/>
      <c r="B17811" s="35"/>
      <c r="C17811" s="36"/>
      <c r="D17811" s="37"/>
      <c r="E17811" s="36"/>
      <c r="F17811" s="42"/>
      <c r="G17811" s="42"/>
      <c r="H17811" s="42"/>
      <c r="AG17811" s="19"/>
    </row>
    <row r="17812" spans="1:33" ht="14.5" x14ac:dyDescent="0.35">
      <c r="A17812" s="34"/>
      <c r="B17812" s="35"/>
      <c r="C17812" s="36"/>
      <c r="D17812" s="37"/>
      <c r="E17812" s="36"/>
      <c r="F17812" s="42"/>
      <c r="G17812" s="42"/>
      <c r="H17812" s="42"/>
      <c r="AG17812" s="19"/>
    </row>
    <row r="17813" spans="1:33" ht="14.5" x14ac:dyDescent="0.35">
      <c r="A17813" s="34"/>
      <c r="B17813" s="35"/>
      <c r="C17813" s="36"/>
      <c r="D17813" s="37"/>
      <c r="E17813" s="36"/>
      <c r="F17813" s="42"/>
      <c r="G17813" s="42"/>
      <c r="H17813" s="42"/>
      <c r="AG17813" s="19"/>
    </row>
    <row r="17814" spans="1:33" ht="14.5" x14ac:dyDescent="0.35">
      <c r="A17814" s="34"/>
      <c r="B17814" s="35"/>
      <c r="C17814" s="36"/>
      <c r="D17814" s="37"/>
      <c r="E17814" s="36"/>
      <c r="F17814" s="42"/>
      <c r="G17814" s="42"/>
      <c r="H17814" s="42"/>
      <c r="AG17814" s="19"/>
    </row>
    <row r="17815" spans="1:33" ht="14.5" x14ac:dyDescent="0.35">
      <c r="A17815" s="34"/>
      <c r="B17815" s="35"/>
      <c r="C17815" s="36"/>
      <c r="D17815" s="37"/>
      <c r="E17815" s="36"/>
      <c r="F17815" s="42"/>
      <c r="G17815" s="42"/>
      <c r="H17815" s="42"/>
      <c r="AG17815" s="19"/>
    </row>
    <row r="17816" spans="1:33" ht="14.5" x14ac:dyDescent="0.35">
      <c r="A17816" s="34"/>
      <c r="B17816" s="35"/>
      <c r="C17816" s="36"/>
      <c r="D17816" s="37"/>
      <c r="E17816" s="36"/>
      <c r="F17816" s="42"/>
      <c r="G17816" s="42"/>
      <c r="H17816" s="42"/>
      <c r="AG17816" s="19"/>
    </row>
    <row r="17817" spans="1:33" ht="14.5" x14ac:dyDescent="0.35">
      <c r="A17817" s="34"/>
      <c r="B17817" s="35"/>
      <c r="C17817" s="36"/>
      <c r="D17817" s="37"/>
      <c r="E17817" s="36"/>
      <c r="F17817" s="42"/>
      <c r="G17817" s="42"/>
      <c r="H17817" s="42"/>
      <c r="AG17817" s="19"/>
    </row>
    <row r="17818" spans="1:33" ht="14.5" x14ac:dyDescent="0.35">
      <c r="A17818" s="34"/>
      <c r="B17818" s="35"/>
      <c r="C17818" s="36"/>
      <c r="D17818" s="37"/>
      <c r="E17818" s="36"/>
      <c r="F17818" s="42"/>
      <c r="G17818" s="42"/>
      <c r="H17818" s="42"/>
      <c r="AG17818" s="19"/>
    </row>
    <row r="17819" spans="1:33" ht="14.5" x14ac:dyDescent="0.35">
      <c r="A17819" s="34"/>
      <c r="B17819" s="35"/>
      <c r="C17819" s="36"/>
      <c r="D17819" s="37"/>
      <c r="E17819" s="36"/>
      <c r="F17819" s="42"/>
      <c r="G17819" s="42"/>
      <c r="H17819" s="42"/>
      <c r="AG17819" s="19"/>
    </row>
    <row r="17820" spans="1:33" ht="14.5" x14ac:dyDescent="0.35">
      <c r="A17820" s="34"/>
      <c r="B17820" s="35"/>
      <c r="C17820" s="36"/>
      <c r="D17820" s="37"/>
      <c r="E17820" s="36"/>
      <c r="F17820" s="42"/>
      <c r="G17820" s="42"/>
      <c r="H17820" s="42"/>
      <c r="AG17820" s="19"/>
    </row>
    <row r="17821" spans="1:33" ht="14.5" x14ac:dyDescent="0.35">
      <c r="A17821" s="34"/>
      <c r="B17821" s="35"/>
      <c r="C17821" s="36"/>
      <c r="D17821" s="37"/>
      <c r="E17821" s="36"/>
      <c r="F17821" s="42"/>
      <c r="G17821" s="42"/>
      <c r="H17821" s="42"/>
      <c r="AG17821" s="19"/>
    </row>
    <row r="17822" spans="1:33" ht="14.5" x14ac:dyDescent="0.35">
      <c r="A17822" s="34"/>
      <c r="B17822" s="35"/>
      <c r="C17822" s="36"/>
      <c r="D17822" s="37"/>
      <c r="E17822" s="36"/>
      <c r="F17822" s="42"/>
      <c r="G17822" s="42"/>
      <c r="H17822" s="42"/>
      <c r="AG17822" s="19"/>
    </row>
    <row r="17823" spans="1:33" ht="14.5" x14ac:dyDescent="0.35">
      <c r="A17823" s="34"/>
      <c r="B17823" s="35"/>
      <c r="C17823" s="36"/>
      <c r="D17823" s="37"/>
      <c r="E17823" s="36"/>
      <c r="F17823" s="42"/>
      <c r="G17823" s="42"/>
      <c r="H17823" s="42"/>
      <c r="AG17823" s="19"/>
    </row>
    <row r="17824" spans="1:33" ht="14.5" x14ac:dyDescent="0.35">
      <c r="A17824" s="34"/>
      <c r="B17824" s="35"/>
      <c r="C17824" s="36"/>
      <c r="D17824" s="37"/>
      <c r="E17824" s="36"/>
      <c r="F17824" s="42"/>
      <c r="G17824" s="42"/>
      <c r="H17824" s="42"/>
      <c r="AG17824" s="19"/>
    </row>
    <row r="17825" spans="1:33" ht="14.5" x14ac:dyDescent="0.35">
      <c r="A17825" s="34"/>
      <c r="B17825" s="35"/>
      <c r="C17825" s="36"/>
      <c r="D17825" s="37"/>
      <c r="E17825" s="36"/>
      <c r="F17825" s="42"/>
      <c r="G17825" s="42"/>
      <c r="H17825" s="42"/>
      <c r="AG17825" s="19"/>
    </row>
    <row r="17826" spans="1:33" ht="14.5" x14ac:dyDescent="0.35">
      <c r="A17826" s="34"/>
      <c r="B17826" s="35"/>
      <c r="C17826" s="36"/>
      <c r="D17826" s="37"/>
      <c r="E17826" s="36"/>
      <c r="F17826" s="42"/>
      <c r="G17826" s="42"/>
      <c r="H17826" s="42"/>
      <c r="AG17826" s="19"/>
    </row>
    <row r="17827" spans="1:33" ht="14.5" x14ac:dyDescent="0.35">
      <c r="A17827" s="34"/>
      <c r="B17827" s="35"/>
      <c r="C17827" s="36"/>
      <c r="D17827" s="37"/>
      <c r="E17827" s="36"/>
      <c r="F17827" s="42"/>
      <c r="G17827" s="42"/>
      <c r="H17827" s="42"/>
      <c r="AG17827" s="19"/>
    </row>
    <row r="17828" spans="1:33" ht="14.5" x14ac:dyDescent="0.35">
      <c r="A17828" s="34"/>
      <c r="B17828" s="35"/>
      <c r="C17828" s="36"/>
      <c r="D17828" s="37"/>
      <c r="E17828" s="36"/>
      <c r="F17828" s="42"/>
      <c r="G17828" s="42"/>
      <c r="H17828" s="42"/>
      <c r="AG17828" s="19"/>
    </row>
    <row r="17829" spans="1:33" ht="14.5" x14ac:dyDescent="0.35">
      <c r="A17829" s="34"/>
      <c r="B17829" s="35"/>
      <c r="C17829" s="36"/>
      <c r="D17829" s="37"/>
      <c r="E17829" s="36"/>
      <c r="F17829" s="42"/>
      <c r="G17829" s="42"/>
      <c r="H17829" s="42"/>
      <c r="AG17829" s="19"/>
    </row>
    <row r="17830" spans="1:33" ht="14.5" x14ac:dyDescent="0.35">
      <c r="A17830" s="34"/>
      <c r="B17830" s="35"/>
      <c r="C17830" s="36"/>
      <c r="D17830" s="37"/>
      <c r="E17830" s="36"/>
      <c r="F17830" s="42"/>
      <c r="G17830" s="42"/>
      <c r="H17830" s="42"/>
      <c r="AG17830" s="19"/>
    </row>
    <row r="17831" spans="1:33" ht="14.5" x14ac:dyDescent="0.35">
      <c r="A17831" s="34"/>
      <c r="B17831" s="35"/>
      <c r="C17831" s="36"/>
      <c r="D17831" s="37"/>
      <c r="E17831" s="36"/>
      <c r="F17831" s="42"/>
      <c r="G17831" s="42"/>
      <c r="H17831" s="42"/>
      <c r="AG17831" s="19"/>
    </row>
    <row r="17832" spans="1:33" ht="14.5" x14ac:dyDescent="0.35">
      <c r="A17832" s="34"/>
      <c r="B17832" s="35"/>
      <c r="C17832" s="36"/>
      <c r="D17832" s="37"/>
      <c r="E17832" s="36"/>
      <c r="F17832" s="42"/>
      <c r="G17832" s="42"/>
      <c r="H17832" s="42"/>
      <c r="AG17832" s="19"/>
    </row>
    <row r="17833" spans="1:33" ht="14.5" x14ac:dyDescent="0.35">
      <c r="A17833" s="34"/>
      <c r="B17833" s="35"/>
      <c r="C17833" s="36"/>
      <c r="D17833" s="37"/>
      <c r="E17833" s="36"/>
      <c r="F17833" s="42"/>
      <c r="G17833" s="42"/>
      <c r="H17833" s="42"/>
      <c r="AG17833" s="19"/>
    </row>
    <row r="17834" spans="1:33" ht="14.5" x14ac:dyDescent="0.35">
      <c r="A17834" s="34"/>
      <c r="B17834" s="35"/>
      <c r="C17834" s="36"/>
      <c r="D17834" s="37"/>
      <c r="E17834" s="36"/>
      <c r="F17834" s="42"/>
      <c r="G17834" s="42"/>
      <c r="H17834" s="42"/>
      <c r="AG17834" s="19"/>
    </row>
    <row r="17835" spans="1:33" ht="14.5" x14ac:dyDescent="0.35">
      <c r="A17835" s="34"/>
      <c r="B17835" s="35"/>
      <c r="C17835" s="36"/>
      <c r="D17835" s="37"/>
      <c r="E17835" s="36"/>
      <c r="F17835" s="42"/>
      <c r="G17835" s="42"/>
      <c r="H17835" s="42"/>
      <c r="AG17835" s="19"/>
    </row>
    <row r="17836" spans="1:33" ht="14.5" x14ac:dyDescent="0.35">
      <c r="A17836" s="34"/>
      <c r="B17836" s="35"/>
      <c r="C17836" s="36"/>
      <c r="D17836" s="37"/>
      <c r="E17836" s="36"/>
      <c r="F17836" s="42"/>
      <c r="G17836" s="42"/>
      <c r="H17836" s="42"/>
      <c r="AG17836" s="19"/>
    </row>
    <row r="17837" spans="1:33" ht="14.5" x14ac:dyDescent="0.35">
      <c r="A17837" s="34"/>
      <c r="B17837" s="35"/>
      <c r="C17837" s="36"/>
      <c r="D17837" s="37"/>
      <c r="E17837" s="36"/>
      <c r="F17837" s="42"/>
      <c r="G17837" s="42"/>
      <c r="H17837" s="42"/>
      <c r="AG17837" s="19"/>
    </row>
    <row r="17838" spans="1:33" ht="14.5" x14ac:dyDescent="0.35">
      <c r="A17838" s="34"/>
      <c r="B17838" s="35"/>
      <c r="C17838" s="36"/>
      <c r="D17838" s="37"/>
      <c r="E17838" s="36"/>
      <c r="F17838" s="42"/>
      <c r="G17838" s="42"/>
      <c r="H17838" s="42"/>
      <c r="AG17838" s="19"/>
    </row>
    <row r="17839" spans="1:33" ht="14.5" x14ac:dyDescent="0.35">
      <c r="A17839" s="34"/>
      <c r="B17839" s="35"/>
      <c r="C17839" s="36"/>
      <c r="D17839" s="37"/>
      <c r="E17839" s="36"/>
      <c r="F17839" s="42"/>
      <c r="G17839" s="42"/>
      <c r="H17839" s="42"/>
      <c r="AG17839" s="19"/>
    </row>
    <row r="17840" spans="1:33" ht="14.5" x14ac:dyDescent="0.35">
      <c r="A17840" s="34"/>
      <c r="B17840" s="35"/>
      <c r="C17840" s="36"/>
      <c r="D17840" s="37"/>
      <c r="E17840" s="36"/>
      <c r="F17840" s="42"/>
      <c r="G17840" s="42"/>
      <c r="H17840" s="42"/>
      <c r="AG17840" s="19"/>
    </row>
    <row r="17841" spans="1:33" ht="14.5" x14ac:dyDescent="0.35">
      <c r="A17841" s="34"/>
      <c r="B17841" s="35"/>
      <c r="C17841" s="36"/>
      <c r="D17841" s="37"/>
      <c r="E17841" s="36"/>
      <c r="F17841" s="42"/>
      <c r="G17841" s="42"/>
      <c r="H17841" s="42"/>
      <c r="AG17841" s="19"/>
    </row>
    <row r="17842" spans="1:33" ht="14.5" x14ac:dyDescent="0.35">
      <c r="A17842" s="34"/>
      <c r="B17842" s="35"/>
      <c r="C17842" s="36"/>
      <c r="D17842" s="37"/>
      <c r="E17842" s="36"/>
      <c r="F17842" s="42"/>
      <c r="G17842" s="42"/>
      <c r="H17842" s="42"/>
      <c r="AG17842" s="19"/>
    </row>
    <row r="17843" spans="1:33" ht="14.5" x14ac:dyDescent="0.35">
      <c r="A17843" s="34"/>
      <c r="B17843" s="35"/>
      <c r="C17843" s="36"/>
      <c r="D17843" s="37"/>
      <c r="E17843" s="36"/>
      <c r="F17843" s="42"/>
      <c r="G17843" s="42"/>
      <c r="H17843" s="42"/>
      <c r="AG17843" s="19"/>
    </row>
    <row r="17844" spans="1:33" ht="14.5" x14ac:dyDescent="0.35">
      <c r="A17844" s="34"/>
      <c r="B17844" s="35"/>
      <c r="C17844" s="36"/>
      <c r="D17844" s="37"/>
      <c r="E17844" s="36"/>
      <c r="F17844" s="42"/>
      <c r="G17844" s="42"/>
      <c r="H17844" s="42"/>
      <c r="AG17844" s="19"/>
    </row>
    <row r="17845" spans="1:33" ht="14.5" x14ac:dyDescent="0.35">
      <c r="A17845" s="34"/>
      <c r="B17845" s="35"/>
      <c r="C17845" s="36"/>
      <c r="D17845" s="37"/>
      <c r="E17845" s="36"/>
      <c r="F17845" s="42"/>
      <c r="G17845" s="42"/>
      <c r="H17845" s="42"/>
      <c r="AG17845" s="19"/>
    </row>
    <row r="17846" spans="1:33" ht="14.5" x14ac:dyDescent="0.35">
      <c r="A17846" s="34"/>
      <c r="B17846" s="35"/>
      <c r="C17846" s="36"/>
      <c r="D17846" s="37"/>
      <c r="E17846" s="36"/>
      <c r="F17846" s="42"/>
      <c r="G17846" s="42"/>
      <c r="H17846" s="42"/>
      <c r="AG17846" s="19"/>
    </row>
    <row r="17847" spans="1:33" ht="14.5" x14ac:dyDescent="0.35">
      <c r="A17847" s="34"/>
      <c r="B17847" s="35"/>
      <c r="C17847" s="36"/>
      <c r="D17847" s="37"/>
      <c r="E17847" s="36"/>
      <c r="F17847" s="42"/>
      <c r="G17847" s="42"/>
      <c r="H17847" s="42"/>
      <c r="AG17847" s="19"/>
    </row>
    <row r="17848" spans="1:33" ht="14.5" x14ac:dyDescent="0.35">
      <c r="A17848" s="34"/>
      <c r="B17848" s="35"/>
      <c r="C17848" s="36"/>
      <c r="D17848" s="37"/>
      <c r="E17848" s="36"/>
      <c r="F17848" s="42"/>
      <c r="G17848" s="42"/>
      <c r="H17848" s="42"/>
      <c r="AG17848" s="19"/>
    </row>
    <row r="17849" spans="1:33" ht="14.5" x14ac:dyDescent="0.35">
      <c r="A17849" s="34"/>
      <c r="B17849" s="35"/>
      <c r="C17849" s="36"/>
      <c r="D17849" s="37"/>
      <c r="E17849" s="36"/>
      <c r="F17849" s="42"/>
      <c r="G17849" s="42"/>
      <c r="H17849" s="42"/>
      <c r="AG17849" s="19"/>
    </row>
    <row r="17850" spans="1:33" ht="14.5" x14ac:dyDescent="0.35">
      <c r="A17850" s="34"/>
      <c r="B17850" s="35"/>
      <c r="C17850" s="36"/>
      <c r="D17850" s="37"/>
      <c r="E17850" s="36"/>
      <c r="F17850" s="42"/>
      <c r="G17850" s="42"/>
      <c r="H17850" s="42"/>
      <c r="AG17850" s="19"/>
    </row>
    <row r="17851" spans="1:33" ht="14.5" x14ac:dyDescent="0.35">
      <c r="A17851" s="34"/>
      <c r="B17851" s="35"/>
      <c r="C17851" s="36"/>
      <c r="D17851" s="37"/>
      <c r="E17851" s="36"/>
      <c r="F17851" s="42"/>
      <c r="G17851" s="42"/>
      <c r="H17851" s="42"/>
      <c r="AG17851" s="19"/>
    </row>
    <row r="17852" spans="1:33" ht="14.5" x14ac:dyDescent="0.35">
      <c r="A17852" s="34"/>
      <c r="B17852" s="35"/>
      <c r="C17852" s="36"/>
      <c r="D17852" s="37"/>
      <c r="E17852" s="36"/>
      <c r="F17852" s="42"/>
      <c r="G17852" s="42"/>
      <c r="H17852" s="42"/>
      <c r="AG17852" s="19"/>
    </row>
    <row r="17853" spans="1:33" ht="14.5" x14ac:dyDescent="0.35">
      <c r="A17853" s="34"/>
      <c r="B17853" s="35"/>
      <c r="C17853" s="36"/>
      <c r="D17853" s="37"/>
      <c r="E17853" s="36"/>
      <c r="F17853" s="42"/>
      <c r="G17853" s="42"/>
      <c r="H17853" s="42"/>
      <c r="AG17853" s="19"/>
    </row>
    <row r="17854" spans="1:33" ht="14.5" x14ac:dyDescent="0.35">
      <c r="A17854" s="34"/>
      <c r="B17854" s="35"/>
      <c r="C17854" s="36"/>
      <c r="D17854" s="37"/>
      <c r="E17854" s="36"/>
      <c r="F17854" s="42"/>
      <c r="G17854" s="42"/>
      <c r="H17854" s="42"/>
      <c r="AG17854" s="19"/>
    </row>
    <row r="17855" spans="1:33" ht="14.5" x14ac:dyDescent="0.35">
      <c r="A17855" s="34"/>
      <c r="B17855" s="35"/>
      <c r="C17855" s="36"/>
      <c r="D17855" s="37"/>
      <c r="E17855" s="36"/>
      <c r="F17855" s="42"/>
      <c r="G17855" s="42"/>
      <c r="H17855" s="42"/>
      <c r="AG17855" s="19"/>
    </row>
    <row r="17856" spans="1:33" ht="14.5" x14ac:dyDescent="0.35">
      <c r="A17856" s="34"/>
      <c r="B17856" s="35"/>
      <c r="C17856" s="36"/>
      <c r="D17856" s="37"/>
      <c r="E17856" s="36"/>
      <c r="F17856" s="42"/>
      <c r="G17856" s="42"/>
      <c r="H17856" s="42"/>
      <c r="AG17856" s="19"/>
    </row>
    <row r="17857" spans="1:33" ht="14.5" x14ac:dyDescent="0.35">
      <c r="A17857" s="34"/>
      <c r="B17857" s="35"/>
      <c r="C17857" s="36"/>
      <c r="D17857" s="37"/>
      <c r="E17857" s="36"/>
      <c r="F17857" s="42"/>
      <c r="G17857" s="42"/>
      <c r="H17857" s="42"/>
      <c r="AG17857" s="19"/>
    </row>
    <row r="17858" spans="1:33" ht="14.5" x14ac:dyDescent="0.35">
      <c r="A17858" s="34"/>
      <c r="B17858" s="35"/>
      <c r="C17858" s="36"/>
      <c r="D17858" s="37"/>
      <c r="E17858" s="36"/>
      <c r="F17858" s="42"/>
      <c r="G17858" s="42"/>
      <c r="H17858" s="42"/>
      <c r="AG17858" s="19"/>
    </row>
    <row r="17859" spans="1:33" ht="14.5" x14ac:dyDescent="0.35">
      <c r="A17859" s="34"/>
      <c r="B17859" s="35"/>
      <c r="C17859" s="36"/>
      <c r="D17859" s="37"/>
      <c r="E17859" s="36"/>
      <c r="F17859" s="42"/>
      <c r="G17859" s="42"/>
      <c r="H17859" s="42"/>
      <c r="AG17859" s="19"/>
    </row>
    <row r="17860" spans="1:33" ht="14.5" x14ac:dyDescent="0.35">
      <c r="A17860" s="34"/>
      <c r="B17860" s="35"/>
      <c r="C17860" s="36"/>
      <c r="D17860" s="37"/>
      <c r="E17860" s="36"/>
      <c r="F17860" s="42"/>
      <c r="G17860" s="42"/>
      <c r="H17860" s="42"/>
      <c r="AG17860" s="19"/>
    </row>
    <row r="17861" spans="1:33" ht="14.5" x14ac:dyDescent="0.35">
      <c r="A17861" s="34"/>
      <c r="B17861" s="35"/>
      <c r="C17861" s="36"/>
      <c r="D17861" s="37"/>
      <c r="E17861" s="36"/>
      <c r="F17861" s="42"/>
      <c r="G17861" s="42"/>
      <c r="H17861" s="42"/>
      <c r="AG17861" s="19"/>
    </row>
    <row r="17862" spans="1:33" ht="14.5" x14ac:dyDescent="0.35">
      <c r="A17862" s="34"/>
      <c r="B17862" s="35"/>
      <c r="C17862" s="36"/>
      <c r="D17862" s="37"/>
      <c r="E17862" s="36"/>
      <c r="F17862" s="42"/>
      <c r="G17862" s="42"/>
      <c r="H17862" s="42"/>
      <c r="AG17862" s="19"/>
    </row>
    <row r="17863" spans="1:33" ht="14.5" x14ac:dyDescent="0.35">
      <c r="A17863" s="34"/>
      <c r="B17863" s="35"/>
      <c r="C17863" s="36"/>
      <c r="D17863" s="37"/>
      <c r="E17863" s="36"/>
      <c r="F17863" s="42"/>
      <c r="G17863" s="42"/>
      <c r="H17863" s="42"/>
      <c r="AG17863" s="19"/>
    </row>
    <row r="17864" spans="1:33" ht="14.5" x14ac:dyDescent="0.35">
      <c r="A17864" s="34"/>
      <c r="B17864" s="35"/>
      <c r="C17864" s="36"/>
      <c r="D17864" s="37"/>
      <c r="E17864" s="36"/>
      <c r="F17864" s="42"/>
      <c r="G17864" s="42"/>
      <c r="H17864" s="42"/>
      <c r="AG17864" s="19"/>
    </row>
    <row r="17865" spans="1:33" ht="14.5" x14ac:dyDescent="0.35">
      <c r="A17865" s="34"/>
      <c r="B17865" s="35"/>
      <c r="C17865" s="36"/>
      <c r="D17865" s="37"/>
      <c r="E17865" s="36"/>
      <c r="F17865" s="42"/>
      <c r="G17865" s="42"/>
      <c r="H17865" s="42"/>
      <c r="AG17865" s="19"/>
    </row>
    <row r="17866" spans="1:33" ht="14.5" x14ac:dyDescent="0.35">
      <c r="A17866" s="34"/>
      <c r="B17866" s="35"/>
      <c r="C17866" s="36"/>
      <c r="D17866" s="37"/>
      <c r="E17866" s="36"/>
      <c r="F17866" s="42"/>
      <c r="G17866" s="42"/>
      <c r="H17866" s="42"/>
      <c r="AG17866" s="19"/>
    </row>
    <row r="17867" spans="1:33" ht="14.5" x14ac:dyDescent="0.35">
      <c r="A17867" s="34"/>
      <c r="B17867" s="35"/>
      <c r="C17867" s="36"/>
      <c r="D17867" s="37"/>
      <c r="E17867" s="36"/>
      <c r="F17867" s="42"/>
      <c r="G17867" s="42"/>
      <c r="H17867" s="42"/>
      <c r="AG17867" s="19"/>
    </row>
    <row r="17868" spans="1:33" ht="14.5" x14ac:dyDescent="0.35">
      <c r="A17868" s="34"/>
      <c r="B17868" s="35"/>
      <c r="C17868" s="36"/>
      <c r="D17868" s="37"/>
      <c r="E17868" s="36"/>
      <c r="F17868" s="42"/>
      <c r="G17868" s="42"/>
      <c r="H17868" s="42"/>
      <c r="AG17868" s="19"/>
    </row>
    <row r="17869" spans="1:33" ht="14.5" x14ac:dyDescent="0.35">
      <c r="A17869" s="34"/>
      <c r="B17869" s="35"/>
      <c r="C17869" s="36"/>
      <c r="D17869" s="37"/>
      <c r="E17869" s="36"/>
      <c r="F17869" s="42"/>
      <c r="G17869" s="42"/>
      <c r="H17869" s="42"/>
      <c r="AG17869" s="19"/>
    </row>
    <row r="17870" spans="1:33" ht="14.5" x14ac:dyDescent="0.35">
      <c r="A17870" s="34"/>
      <c r="B17870" s="35"/>
      <c r="C17870" s="36"/>
      <c r="D17870" s="37"/>
      <c r="E17870" s="36"/>
      <c r="F17870" s="42"/>
      <c r="G17870" s="42"/>
      <c r="H17870" s="42"/>
      <c r="AG17870" s="19"/>
    </row>
    <row r="17871" spans="1:33" ht="14.5" x14ac:dyDescent="0.35">
      <c r="A17871" s="34"/>
      <c r="B17871" s="35"/>
      <c r="C17871" s="36"/>
      <c r="D17871" s="37"/>
      <c r="E17871" s="36"/>
      <c r="F17871" s="42"/>
      <c r="G17871" s="42"/>
      <c r="H17871" s="42"/>
      <c r="AG17871" s="19"/>
    </row>
    <row r="17872" spans="1:33" ht="14.5" x14ac:dyDescent="0.35">
      <c r="A17872" s="34"/>
      <c r="B17872" s="35"/>
      <c r="C17872" s="36"/>
      <c r="D17872" s="37"/>
      <c r="E17872" s="36"/>
      <c r="F17872" s="42"/>
      <c r="G17872" s="42"/>
      <c r="H17872" s="42"/>
      <c r="AG17872" s="19"/>
    </row>
    <row r="17873" spans="1:33" ht="14.5" x14ac:dyDescent="0.35">
      <c r="A17873" s="34"/>
      <c r="B17873" s="35"/>
      <c r="C17873" s="36"/>
      <c r="D17873" s="37"/>
      <c r="E17873" s="36"/>
      <c r="F17873" s="42"/>
      <c r="G17873" s="42"/>
      <c r="H17873" s="42"/>
      <c r="AG17873" s="19"/>
    </row>
    <row r="17874" spans="1:33" ht="14.5" x14ac:dyDescent="0.35">
      <c r="A17874" s="34"/>
      <c r="B17874" s="35"/>
      <c r="C17874" s="36"/>
      <c r="D17874" s="37"/>
      <c r="E17874" s="36"/>
      <c r="F17874" s="42"/>
      <c r="G17874" s="42"/>
      <c r="H17874" s="42"/>
      <c r="AG17874" s="19"/>
    </row>
    <row r="17875" spans="1:33" ht="14.5" x14ac:dyDescent="0.35">
      <c r="A17875" s="34"/>
      <c r="B17875" s="35"/>
      <c r="C17875" s="36"/>
      <c r="D17875" s="37"/>
      <c r="E17875" s="36"/>
      <c r="F17875" s="42"/>
      <c r="G17875" s="42"/>
      <c r="H17875" s="42"/>
      <c r="AG17875" s="19"/>
    </row>
    <row r="17876" spans="1:33" ht="14.5" x14ac:dyDescent="0.35">
      <c r="A17876" s="34"/>
      <c r="B17876" s="35"/>
      <c r="C17876" s="36"/>
      <c r="D17876" s="37"/>
      <c r="E17876" s="36"/>
      <c r="F17876" s="42"/>
      <c r="G17876" s="42"/>
      <c r="H17876" s="42"/>
      <c r="AG17876" s="19"/>
    </row>
    <row r="17877" spans="1:33" ht="14.5" x14ac:dyDescent="0.35">
      <c r="A17877" s="34"/>
      <c r="B17877" s="35"/>
      <c r="C17877" s="36"/>
      <c r="D17877" s="37"/>
      <c r="E17877" s="36"/>
      <c r="F17877" s="42"/>
      <c r="G17877" s="42"/>
      <c r="H17877" s="42"/>
      <c r="AG17877" s="19"/>
    </row>
    <row r="17878" spans="1:33" ht="14.5" x14ac:dyDescent="0.35">
      <c r="A17878" s="34"/>
      <c r="B17878" s="35"/>
      <c r="C17878" s="36"/>
      <c r="D17878" s="37"/>
      <c r="E17878" s="36"/>
      <c r="F17878" s="42"/>
      <c r="G17878" s="42"/>
      <c r="H17878" s="42"/>
      <c r="AG17878" s="19"/>
    </row>
    <row r="17879" spans="1:33" ht="14.5" x14ac:dyDescent="0.35">
      <c r="A17879" s="34"/>
      <c r="B17879" s="35"/>
      <c r="C17879" s="36"/>
      <c r="D17879" s="37"/>
      <c r="E17879" s="36"/>
      <c r="F17879" s="42"/>
      <c r="G17879" s="42"/>
      <c r="H17879" s="42"/>
      <c r="AG17879" s="19"/>
    </row>
    <row r="17880" spans="1:33" ht="14.5" x14ac:dyDescent="0.35">
      <c r="A17880" s="34"/>
      <c r="B17880" s="35"/>
      <c r="C17880" s="36"/>
      <c r="D17880" s="37"/>
      <c r="E17880" s="36"/>
      <c r="F17880" s="42"/>
      <c r="G17880" s="42"/>
      <c r="H17880" s="42"/>
      <c r="AG17880" s="19"/>
    </row>
    <row r="17881" spans="1:33" ht="14.5" x14ac:dyDescent="0.35">
      <c r="A17881" s="34"/>
      <c r="B17881" s="35"/>
      <c r="C17881" s="36"/>
      <c r="D17881" s="37"/>
      <c r="E17881" s="36"/>
      <c r="F17881" s="42"/>
      <c r="G17881" s="42"/>
      <c r="H17881" s="42"/>
      <c r="AG17881" s="19"/>
    </row>
    <row r="17882" spans="1:33" ht="14.5" x14ac:dyDescent="0.35">
      <c r="A17882" s="34"/>
      <c r="B17882" s="35"/>
      <c r="C17882" s="36"/>
      <c r="D17882" s="37"/>
      <c r="E17882" s="36"/>
      <c r="F17882" s="42"/>
      <c r="G17882" s="42"/>
      <c r="H17882" s="42"/>
      <c r="AG17882" s="19"/>
    </row>
    <row r="17883" spans="1:33" ht="14.5" x14ac:dyDescent="0.35">
      <c r="A17883" s="34"/>
      <c r="B17883" s="35"/>
      <c r="C17883" s="36"/>
      <c r="D17883" s="37"/>
      <c r="E17883" s="36"/>
      <c r="F17883" s="42"/>
      <c r="G17883" s="42"/>
      <c r="H17883" s="42"/>
      <c r="AG17883" s="19"/>
    </row>
    <row r="17884" spans="1:33" ht="14.5" x14ac:dyDescent="0.35">
      <c r="A17884" s="34"/>
      <c r="B17884" s="35"/>
      <c r="C17884" s="36"/>
      <c r="D17884" s="37"/>
      <c r="E17884" s="36"/>
      <c r="F17884" s="42"/>
      <c r="G17884" s="42"/>
      <c r="H17884" s="42"/>
      <c r="AG17884" s="19"/>
    </row>
    <row r="17885" spans="1:33" ht="14.5" x14ac:dyDescent="0.35">
      <c r="A17885" s="34"/>
      <c r="B17885" s="35"/>
      <c r="C17885" s="36"/>
      <c r="D17885" s="37"/>
      <c r="E17885" s="36"/>
      <c r="F17885" s="42"/>
      <c r="G17885" s="42"/>
      <c r="H17885" s="42"/>
      <c r="AG17885" s="19"/>
    </row>
    <row r="17886" spans="1:33" ht="14.5" x14ac:dyDescent="0.35">
      <c r="A17886" s="34"/>
      <c r="B17886" s="35"/>
      <c r="C17886" s="36"/>
      <c r="D17886" s="37"/>
      <c r="E17886" s="36"/>
      <c r="F17886" s="42"/>
      <c r="G17886" s="42"/>
      <c r="H17886" s="42"/>
      <c r="AG17886" s="19"/>
    </row>
    <row r="17887" spans="1:33" ht="14.5" x14ac:dyDescent="0.35">
      <c r="A17887" s="34"/>
      <c r="B17887" s="35"/>
      <c r="C17887" s="36"/>
      <c r="D17887" s="37"/>
      <c r="E17887" s="36"/>
      <c r="F17887" s="42"/>
      <c r="G17887" s="42"/>
      <c r="H17887" s="42"/>
      <c r="AG17887" s="19"/>
    </row>
    <row r="17888" spans="1:33" ht="14.5" x14ac:dyDescent="0.35">
      <c r="A17888" s="34"/>
      <c r="B17888" s="35"/>
      <c r="C17888" s="36"/>
      <c r="D17888" s="37"/>
      <c r="E17888" s="36"/>
      <c r="F17888" s="42"/>
      <c r="G17888" s="42"/>
      <c r="H17888" s="42"/>
      <c r="AG17888" s="19"/>
    </row>
    <row r="17889" spans="1:33" ht="14.5" x14ac:dyDescent="0.35">
      <c r="A17889" s="34"/>
      <c r="B17889" s="35"/>
      <c r="C17889" s="36"/>
      <c r="D17889" s="37"/>
      <c r="E17889" s="36"/>
      <c r="F17889" s="42"/>
      <c r="G17889" s="42"/>
      <c r="H17889" s="42"/>
      <c r="AG17889" s="19"/>
    </row>
    <row r="17890" spans="1:33" ht="14.5" x14ac:dyDescent="0.35">
      <c r="A17890" s="34"/>
      <c r="B17890" s="35"/>
      <c r="C17890" s="36"/>
      <c r="D17890" s="37"/>
      <c r="E17890" s="36"/>
      <c r="F17890" s="42"/>
      <c r="G17890" s="42"/>
      <c r="H17890" s="42"/>
      <c r="AG17890" s="19"/>
    </row>
    <row r="17891" spans="1:33" ht="14.5" x14ac:dyDescent="0.35">
      <c r="A17891" s="34"/>
      <c r="B17891" s="35"/>
      <c r="C17891" s="36"/>
      <c r="D17891" s="37"/>
      <c r="E17891" s="36"/>
      <c r="F17891" s="42"/>
      <c r="G17891" s="42"/>
      <c r="H17891" s="42"/>
      <c r="AG17891" s="19"/>
    </row>
    <row r="17892" spans="1:33" ht="14.5" x14ac:dyDescent="0.35">
      <c r="A17892" s="34"/>
      <c r="B17892" s="35"/>
      <c r="C17892" s="36"/>
      <c r="D17892" s="37"/>
      <c r="E17892" s="36"/>
      <c r="F17892" s="42"/>
      <c r="G17892" s="42"/>
      <c r="H17892" s="42"/>
      <c r="AG17892" s="19"/>
    </row>
    <row r="17893" spans="1:33" ht="14.5" x14ac:dyDescent="0.35">
      <c r="A17893" s="34"/>
      <c r="B17893" s="35"/>
      <c r="C17893" s="36"/>
      <c r="D17893" s="37"/>
      <c r="E17893" s="36"/>
      <c r="F17893" s="42"/>
      <c r="G17893" s="42"/>
      <c r="H17893" s="42"/>
      <c r="AG17893" s="19"/>
    </row>
    <row r="17894" spans="1:33" ht="14.5" x14ac:dyDescent="0.35">
      <c r="A17894" s="34"/>
      <c r="B17894" s="35"/>
      <c r="C17894" s="36"/>
      <c r="D17894" s="37"/>
      <c r="E17894" s="36"/>
      <c r="F17894" s="42"/>
      <c r="G17894" s="42"/>
      <c r="H17894" s="42"/>
      <c r="AG17894" s="19"/>
    </row>
    <row r="17895" spans="1:33" ht="14.5" x14ac:dyDescent="0.35">
      <c r="A17895" s="34"/>
      <c r="B17895" s="35"/>
      <c r="C17895" s="36"/>
      <c r="D17895" s="37"/>
      <c r="E17895" s="36"/>
      <c r="F17895" s="42"/>
      <c r="G17895" s="42"/>
      <c r="H17895" s="42"/>
      <c r="AG17895" s="19"/>
    </row>
    <row r="17896" spans="1:33" ht="14.5" x14ac:dyDescent="0.35">
      <c r="A17896" s="34"/>
      <c r="B17896" s="35"/>
      <c r="C17896" s="36"/>
      <c r="D17896" s="37"/>
      <c r="E17896" s="36"/>
      <c r="F17896" s="42"/>
      <c r="G17896" s="42"/>
      <c r="H17896" s="42"/>
      <c r="AG17896" s="19"/>
    </row>
    <row r="17897" spans="1:33" ht="14.5" x14ac:dyDescent="0.35">
      <c r="A17897" s="34"/>
      <c r="B17897" s="35"/>
      <c r="C17897" s="36"/>
      <c r="D17897" s="37"/>
      <c r="E17897" s="36"/>
      <c r="F17897" s="42"/>
      <c r="G17897" s="42"/>
      <c r="H17897" s="42"/>
      <c r="AG17897" s="19"/>
    </row>
    <row r="17898" spans="1:33" ht="14.5" x14ac:dyDescent="0.35">
      <c r="A17898" s="34"/>
      <c r="B17898" s="35"/>
      <c r="C17898" s="36"/>
      <c r="D17898" s="37"/>
      <c r="E17898" s="36"/>
      <c r="F17898" s="42"/>
      <c r="G17898" s="42"/>
      <c r="H17898" s="42"/>
      <c r="AG17898" s="19"/>
    </row>
    <row r="17899" spans="1:33" ht="14.5" x14ac:dyDescent="0.35">
      <c r="A17899" s="34"/>
      <c r="B17899" s="35"/>
      <c r="C17899" s="36"/>
      <c r="D17899" s="37"/>
      <c r="E17899" s="36"/>
      <c r="F17899" s="42"/>
      <c r="G17899" s="42"/>
      <c r="H17899" s="42"/>
      <c r="AG17899" s="19"/>
    </row>
    <row r="17900" spans="1:33" ht="14.5" x14ac:dyDescent="0.35">
      <c r="A17900" s="34"/>
      <c r="B17900" s="35"/>
      <c r="C17900" s="36"/>
      <c r="D17900" s="37"/>
      <c r="E17900" s="36"/>
      <c r="F17900" s="42"/>
      <c r="G17900" s="42"/>
      <c r="H17900" s="42"/>
      <c r="AG17900" s="19"/>
    </row>
    <row r="17901" spans="1:33" ht="14.5" x14ac:dyDescent="0.35">
      <c r="A17901" s="34"/>
      <c r="B17901" s="35"/>
      <c r="C17901" s="36"/>
      <c r="D17901" s="37"/>
      <c r="E17901" s="36"/>
      <c r="F17901" s="42"/>
      <c r="G17901" s="42"/>
      <c r="H17901" s="42"/>
      <c r="AG17901" s="19"/>
    </row>
    <row r="17902" spans="1:33" ht="14.5" x14ac:dyDescent="0.35">
      <c r="A17902" s="34"/>
      <c r="B17902" s="35"/>
      <c r="C17902" s="36"/>
      <c r="D17902" s="37"/>
      <c r="E17902" s="36"/>
      <c r="F17902" s="42"/>
      <c r="G17902" s="42"/>
      <c r="H17902" s="42"/>
      <c r="AG17902" s="19"/>
    </row>
    <row r="17903" spans="1:33" ht="14.5" x14ac:dyDescent="0.35">
      <c r="A17903" s="34"/>
      <c r="B17903" s="35"/>
      <c r="C17903" s="36"/>
      <c r="D17903" s="37"/>
      <c r="E17903" s="36"/>
      <c r="F17903" s="42"/>
      <c r="G17903" s="42"/>
      <c r="H17903" s="42"/>
      <c r="AG17903" s="19"/>
    </row>
    <row r="17904" spans="1:33" ht="14.5" x14ac:dyDescent="0.35">
      <c r="A17904" s="34"/>
      <c r="B17904" s="35"/>
      <c r="C17904" s="36"/>
      <c r="D17904" s="37"/>
      <c r="E17904" s="36"/>
      <c r="F17904" s="42"/>
      <c r="G17904" s="42"/>
      <c r="H17904" s="42"/>
      <c r="AG17904" s="19"/>
    </row>
    <row r="17905" spans="1:33" ht="14.5" x14ac:dyDescent="0.35">
      <c r="A17905" s="34"/>
      <c r="B17905" s="35"/>
      <c r="C17905" s="36"/>
      <c r="D17905" s="37"/>
      <c r="E17905" s="36"/>
      <c r="F17905" s="42"/>
      <c r="G17905" s="42"/>
      <c r="H17905" s="42"/>
      <c r="AG17905" s="19"/>
    </row>
    <row r="17906" spans="1:33" ht="14.5" x14ac:dyDescent="0.35">
      <c r="A17906" s="34"/>
      <c r="B17906" s="35"/>
      <c r="C17906" s="36"/>
      <c r="D17906" s="37"/>
      <c r="E17906" s="36"/>
      <c r="F17906" s="42"/>
      <c r="G17906" s="42"/>
      <c r="H17906" s="42"/>
      <c r="AG17906" s="19"/>
    </row>
    <row r="17907" spans="1:33" ht="14.5" x14ac:dyDescent="0.35">
      <c r="A17907" s="34"/>
      <c r="B17907" s="35"/>
      <c r="C17907" s="36"/>
      <c r="D17907" s="37"/>
      <c r="E17907" s="36"/>
      <c r="F17907" s="42"/>
      <c r="G17907" s="42"/>
      <c r="H17907" s="42"/>
      <c r="AG17907" s="19"/>
    </row>
    <row r="17908" spans="1:33" ht="14.5" x14ac:dyDescent="0.35">
      <c r="A17908" s="34"/>
      <c r="B17908" s="35"/>
      <c r="C17908" s="36"/>
      <c r="D17908" s="37"/>
      <c r="E17908" s="36"/>
      <c r="F17908" s="42"/>
      <c r="G17908" s="42"/>
      <c r="H17908" s="42"/>
      <c r="AG17908" s="19"/>
    </row>
    <row r="17909" spans="1:33" ht="14.5" x14ac:dyDescent="0.35">
      <c r="A17909" s="34"/>
      <c r="B17909" s="35"/>
      <c r="C17909" s="36"/>
      <c r="D17909" s="37"/>
      <c r="E17909" s="36"/>
      <c r="F17909" s="42"/>
      <c r="G17909" s="42"/>
      <c r="H17909" s="42"/>
      <c r="AG17909" s="19"/>
    </row>
    <row r="17910" spans="1:33" ht="14.5" x14ac:dyDescent="0.35">
      <c r="A17910" s="34"/>
      <c r="B17910" s="35"/>
      <c r="C17910" s="36"/>
      <c r="D17910" s="37"/>
      <c r="E17910" s="36"/>
      <c r="F17910" s="42"/>
      <c r="G17910" s="42"/>
      <c r="H17910" s="42"/>
      <c r="AG17910" s="19"/>
    </row>
    <row r="17911" spans="1:33" ht="14.5" x14ac:dyDescent="0.35">
      <c r="A17911" s="34"/>
      <c r="B17911" s="35"/>
      <c r="C17911" s="36"/>
      <c r="D17911" s="37"/>
      <c r="E17911" s="36"/>
      <c r="F17911" s="42"/>
      <c r="G17911" s="42"/>
      <c r="H17911" s="42"/>
      <c r="AG17911" s="19"/>
    </row>
    <row r="17912" spans="1:33" ht="14.5" x14ac:dyDescent="0.35">
      <c r="A17912" s="34"/>
      <c r="B17912" s="35"/>
      <c r="C17912" s="36"/>
      <c r="D17912" s="37"/>
      <c r="E17912" s="36"/>
      <c r="F17912" s="42"/>
      <c r="G17912" s="42"/>
      <c r="H17912" s="42"/>
      <c r="AG17912" s="19"/>
    </row>
    <row r="17913" spans="1:33" ht="14.5" x14ac:dyDescent="0.35">
      <c r="A17913" s="34"/>
      <c r="B17913" s="35"/>
      <c r="C17913" s="36"/>
      <c r="D17913" s="37"/>
      <c r="E17913" s="36"/>
      <c r="F17913" s="42"/>
      <c r="G17913" s="42"/>
      <c r="H17913" s="42"/>
      <c r="AG17913" s="19"/>
    </row>
    <row r="17914" spans="1:33" ht="14.5" x14ac:dyDescent="0.35">
      <c r="A17914" s="34"/>
      <c r="B17914" s="35"/>
      <c r="C17914" s="36"/>
      <c r="D17914" s="37"/>
      <c r="E17914" s="36"/>
      <c r="F17914" s="42"/>
      <c r="G17914" s="42"/>
      <c r="H17914" s="42"/>
      <c r="AG17914" s="19"/>
    </row>
    <row r="17915" spans="1:33" ht="14.5" x14ac:dyDescent="0.35">
      <c r="A17915" s="34"/>
      <c r="B17915" s="35"/>
      <c r="C17915" s="36"/>
      <c r="D17915" s="37"/>
      <c r="E17915" s="36"/>
      <c r="F17915" s="42"/>
      <c r="G17915" s="42"/>
      <c r="H17915" s="42"/>
      <c r="AG17915" s="19"/>
    </row>
    <row r="17916" spans="1:33" ht="14.5" x14ac:dyDescent="0.35">
      <c r="A17916" s="34"/>
      <c r="B17916" s="35"/>
      <c r="C17916" s="36"/>
      <c r="D17916" s="37"/>
      <c r="E17916" s="36"/>
      <c r="F17916" s="42"/>
      <c r="G17916" s="42"/>
      <c r="H17916" s="42"/>
      <c r="AG17916" s="19"/>
    </row>
    <row r="17917" spans="1:33" ht="14.5" x14ac:dyDescent="0.35">
      <c r="A17917" s="34"/>
      <c r="B17917" s="35"/>
      <c r="C17917" s="36"/>
      <c r="D17917" s="37"/>
      <c r="E17917" s="36"/>
      <c r="F17917" s="42"/>
      <c r="G17917" s="42"/>
      <c r="H17917" s="42"/>
      <c r="AG17917" s="19"/>
    </row>
    <row r="17918" spans="1:33" ht="14.5" x14ac:dyDescent="0.35">
      <c r="A17918" s="34"/>
      <c r="B17918" s="35"/>
      <c r="C17918" s="36"/>
      <c r="D17918" s="37"/>
      <c r="E17918" s="36"/>
      <c r="F17918" s="42"/>
      <c r="G17918" s="42"/>
      <c r="H17918" s="42"/>
      <c r="AG17918" s="19"/>
    </row>
    <row r="17919" spans="1:33" ht="14.5" x14ac:dyDescent="0.35">
      <c r="A17919" s="34"/>
      <c r="B17919" s="35"/>
      <c r="C17919" s="36"/>
      <c r="D17919" s="37"/>
      <c r="E17919" s="36"/>
      <c r="F17919" s="42"/>
      <c r="G17919" s="42"/>
      <c r="H17919" s="42"/>
      <c r="AG17919" s="19"/>
    </row>
    <row r="17920" spans="1:33" ht="14.5" x14ac:dyDescent="0.35">
      <c r="A17920" s="34"/>
      <c r="B17920" s="35"/>
      <c r="C17920" s="36"/>
      <c r="D17920" s="37"/>
      <c r="E17920" s="36"/>
      <c r="F17920" s="42"/>
      <c r="G17920" s="42"/>
      <c r="H17920" s="42"/>
      <c r="AG17920" s="19"/>
    </row>
    <row r="17921" spans="1:33" ht="14.5" x14ac:dyDescent="0.35">
      <c r="A17921" s="34"/>
      <c r="B17921" s="35"/>
      <c r="C17921" s="36"/>
      <c r="D17921" s="37"/>
      <c r="E17921" s="36"/>
      <c r="F17921" s="42"/>
      <c r="G17921" s="42"/>
      <c r="H17921" s="42"/>
      <c r="AG17921" s="19"/>
    </row>
    <row r="17922" spans="1:33" ht="14.5" x14ac:dyDescent="0.35">
      <c r="A17922" s="34"/>
      <c r="B17922" s="35"/>
      <c r="C17922" s="36"/>
      <c r="D17922" s="37"/>
      <c r="E17922" s="36"/>
      <c r="F17922" s="42"/>
      <c r="G17922" s="42"/>
      <c r="H17922" s="42"/>
      <c r="AG17922" s="19"/>
    </row>
    <row r="17923" spans="1:33" ht="14.5" x14ac:dyDescent="0.35">
      <c r="A17923" s="34"/>
      <c r="B17923" s="35"/>
      <c r="C17923" s="36"/>
      <c r="D17923" s="37"/>
      <c r="E17923" s="36"/>
      <c r="F17923" s="42"/>
      <c r="G17923" s="42"/>
      <c r="H17923" s="42"/>
      <c r="AG17923" s="19"/>
    </row>
    <row r="17924" spans="1:33" ht="14.5" x14ac:dyDescent="0.35">
      <c r="A17924" s="34"/>
      <c r="B17924" s="35"/>
      <c r="C17924" s="36"/>
      <c r="D17924" s="37"/>
      <c r="E17924" s="36"/>
      <c r="F17924" s="42"/>
      <c r="G17924" s="42"/>
      <c r="H17924" s="42"/>
      <c r="AG17924" s="19"/>
    </row>
    <row r="17925" spans="1:33" ht="14.5" x14ac:dyDescent="0.35">
      <c r="A17925" s="34"/>
      <c r="B17925" s="35"/>
      <c r="C17925" s="36"/>
      <c r="D17925" s="37"/>
      <c r="E17925" s="36"/>
      <c r="F17925" s="42"/>
      <c r="G17925" s="42"/>
      <c r="H17925" s="42"/>
      <c r="AG17925" s="19"/>
    </row>
    <row r="17926" spans="1:33" ht="14.5" x14ac:dyDescent="0.35">
      <c r="A17926" s="34"/>
      <c r="B17926" s="35"/>
      <c r="C17926" s="36"/>
      <c r="D17926" s="37"/>
      <c r="E17926" s="36"/>
      <c r="F17926" s="42"/>
      <c r="G17926" s="42"/>
      <c r="H17926" s="42"/>
      <c r="AG17926" s="19"/>
    </row>
    <row r="17927" spans="1:33" ht="14.5" x14ac:dyDescent="0.35">
      <c r="A17927" s="34"/>
      <c r="B17927" s="35"/>
      <c r="C17927" s="36"/>
      <c r="D17927" s="37"/>
      <c r="E17927" s="36"/>
      <c r="F17927" s="42"/>
      <c r="G17927" s="42"/>
      <c r="H17927" s="42"/>
      <c r="AG17927" s="19"/>
    </row>
    <row r="17928" spans="1:33" ht="14.5" x14ac:dyDescent="0.35">
      <c r="A17928" s="34"/>
      <c r="B17928" s="35"/>
      <c r="C17928" s="36"/>
      <c r="D17928" s="37"/>
      <c r="E17928" s="36"/>
      <c r="F17928" s="42"/>
      <c r="G17928" s="42"/>
      <c r="H17928" s="42"/>
      <c r="AG17928" s="19"/>
    </row>
    <row r="17929" spans="1:33" ht="14.5" x14ac:dyDescent="0.35">
      <c r="A17929" s="34"/>
      <c r="B17929" s="35"/>
      <c r="C17929" s="36"/>
      <c r="D17929" s="37"/>
      <c r="E17929" s="36"/>
      <c r="F17929" s="42"/>
      <c r="G17929" s="42"/>
      <c r="H17929" s="42"/>
      <c r="AG17929" s="19"/>
    </row>
    <row r="17930" spans="1:33" ht="14.5" x14ac:dyDescent="0.35">
      <c r="A17930" s="34"/>
      <c r="B17930" s="35"/>
      <c r="C17930" s="36"/>
      <c r="D17930" s="37"/>
      <c r="E17930" s="36"/>
      <c r="F17930" s="42"/>
      <c r="G17930" s="42"/>
      <c r="H17930" s="42"/>
      <c r="AG17930" s="19"/>
    </row>
    <row r="17931" spans="1:33" ht="14.5" x14ac:dyDescent="0.35">
      <c r="A17931" s="34"/>
      <c r="B17931" s="35"/>
      <c r="C17931" s="36"/>
      <c r="D17931" s="37"/>
      <c r="E17931" s="36"/>
      <c r="F17931" s="42"/>
      <c r="G17931" s="42"/>
      <c r="H17931" s="42"/>
      <c r="AG17931" s="19"/>
    </row>
    <row r="17932" spans="1:33" ht="14.5" x14ac:dyDescent="0.35">
      <c r="A17932" s="34"/>
      <c r="B17932" s="35"/>
      <c r="C17932" s="36"/>
      <c r="D17932" s="37"/>
      <c r="E17932" s="36"/>
      <c r="F17932" s="42"/>
      <c r="G17932" s="42"/>
      <c r="H17932" s="42"/>
      <c r="AG17932" s="19"/>
    </row>
    <row r="17933" spans="1:33" ht="14.5" x14ac:dyDescent="0.35">
      <c r="A17933" s="34"/>
      <c r="B17933" s="35"/>
      <c r="C17933" s="36"/>
      <c r="D17933" s="37"/>
      <c r="E17933" s="36"/>
      <c r="F17933" s="42"/>
      <c r="G17933" s="42"/>
      <c r="H17933" s="42"/>
      <c r="AG17933" s="19"/>
    </row>
    <row r="17934" spans="1:33" ht="14.5" x14ac:dyDescent="0.35">
      <c r="A17934" s="34"/>
      <c r="B17934" s="35"/>
      <c r="C17934" s="36"/>
      <c r="D17934" s="37"/>
      <c r="E17934" s="36"/>
      <c r="F17934" s="42"/>
      <c r="G17934" s="42"/>
      <c r="H17934" s="42"/>
      <c r="AG17934" s="19"/>
    </row>
    <row r="17935" spans="1:33" ht="14.5" x14ac:dyDescent="0.35">
      <c r="A17935" s="34"/>
      <c r="B17935" s="35"/>
      <c r="C17935" s="36"/>
      <c r="D17935" s="37"/>
      <c r="E17935" s="36"/>
      <c r="F17935" s="42"/>
      <c r="G17935" s="42"/>
      <c r="H17935" s="42"/>
      <c r="AG17935" s="19"/>
    </row>
    <row r="17936" spans="1:33" ht="14.5" x14ac:dyDescent="0.35">
      <c r="A17936" s="34"/>
      <c r="B17936" s="35"/>
      <c r="C17936" s="36"/>
      <c r="D17936" s="37"/>
      <c r="E17936" s="36"/>
      <c r="F17936" s="42"/>
      <c r="G17936" s="42"/>
      <c r="H17936" s="42"/>
      <c r="AG17936" s="19"/>
    </row>
    <row r="17937" spans="1:33" ht="14.5" x14ac:dyDescent="0.35">
      <c r="A17937" s="34"/>
      <c r="B17937" s="35"/>
      <c r="C17937" s="36"/>
      <c r="D17937" s="37"/>
      <c r="E17937" s="36"/>
      <c r="F17937" s="42"/>
      <c r="G17937" s="42"/>
      <c r="H17937" s="42"/>
      <c r="AG17937" s="19"/>
    </row>
    <row r="17938" spans="1:33" ht="14.5" x14ac:dyDescent="0.35">
      <c r="A17938" s="34"/>
      <c r="B17938" s="35"/>
      <c r="C17938" s="36"/>
      <c r="D17938" s="37"/>
      <c r="E17938" s="36"/>
      <c r="F17938" s="42"/>
      <c r="G17938" s="42"/>
      <c r="H17938" s="42"/>
      <c r="AG17938" s="19"/>
    </row>
    <row r="17939" spans="1:33" ht="14.5" x14ac:dyDescent="0.35">
      <c r="A17939" s="34"/>
      <c r="B17939" s="35"/>
      <c r="C17939" s="36"/>
      <c r="D17939" s="37"/>
      <c r="E17939" s="36"/>
      <c r="F17939" s="42"/>
      <c r="G17939" s="42"/>
      <c r="H17939" s="42"/>
      <c r="AG17939" s="19"/>
    </row>
    <row r="17940" spans="1:33" ht="14.5" x14ac:dyDescent="0.35">
      <c r="A17940" s="34"/>
      <c r="B17940" s="35"/>
      <c r="C17940" s="36"/>
      <c r="D17940" s="37"/>
      <c r="E17940" s="36"/>
      <c r="F17940" s="42"/>
      <c r="G17940" s="42"/>
      <c r="H17940" s="42"/>
      <c r="AG17940" s="19"/>
    </row>
    <row r="17941" spans="1:33" ht="14.5" x14ac:dyDescent="0.35">
      <c r="A17941" s="34"/>
      <c r="B17941" s="35"/>
      <c r="C17941" s="36"/>
      <c r="D17941" s="37"/>
      <c r="E17941" s="36"/>
      <c r="F17941" s="42"/>
      <c r="G17941" s="42"/>
      <c r="H17941" s="42"/>
      <c r="AG17941" s="19"/>
    </row>
    <row r="17942" spans="1:33" ht="14.5" x14ac:dyDescent="0.35">
      <c r="A17942" s="34"/>
      <c r="B17942" s="35"/>
      <c r="C17942" s="36"/>
      <c r="D17942" s="37"/>
      <c r="E17942" s="36"/>
      <c r="F17942" s="42"/>
      <c r="G17942" s="42"/>
      <c r="H17942" s="42"/>
      <c r="AG17942" s="19"/>
    </row>
    <row r="17943" spans="1:33" ht="14.5" x14ac:dyDescent="0.35">
      <c r="A17943" s="34"/>
      <c r="B17943" s="35"/>
      <c r="C17943" s="36"/>
      <c r="D17943" s="37"/>
      <c r="E17943" s="36"/>
      <c r="F17943" s="42"/>
      <c r="G17943" s="42"/>
      <c r="H17943" s="42"/>
      <c r="AG17943" s="19"/>
    </row>
    <row r="17944" spans="1:33" ht="14.5" x14ac:dyDescent="0.35">
      <c r="A17944" s="34"/>
      <c r="B17944" s="35"/>
      <c r="C17944" s="36"/>
      <c r="D17944" s="37"/>
      <c r="E17944" s="36"/>
      <c r="F17944" s="42"/>
      <c r="G17944" s="42"/>
      <c r="H17944" s="42"/>
      <c r="AG17944" s="19"/>
    </row>
    <row r="17945" spans="1:33" ht="14.5" x14ac:dyDescent="0.35">
      <c r="A17945" s="34"/>
      <c r="B17945" s="35"/>
      <c r="C17945" s="36"/>
      <c r="D17945" s="37"/>
      <c r="E17945" s="36"/>
      <c r="F17945" s="42"/>
      <c r="G17945" s="42"/>
      <c r="H17945" s="42"/>
      <c r="AG17945" s="19"/>
    </row>
    <row r="17946" spans="1:33" ht="14.5" x14ac:dyDescent="0.35">
      <c r="A17946" s="34"/>
      <c r="B17946" s="35"/>
      <c r="C17946" s="36"/>
      <c r="D17946" s="37"/>
      <c r="E17946" s="36"/>
      <c r="F17946" s="42"/>
      <c r="G17946" s="42"/>
      <c r="H17946" s="42"/>
      <c r="AG17946" s="19"/>
    </row>
    <row r="17947" spans="1:33" ht="14.5" x14ac:dyDescent="0.35">
      <c r="A17947" s="34"/>
      <c r="B17947" s="35"/>
      <c r="C17947" s="36"/>
      <c r="D17947" s="37"/>
      <c r="E17947" s="36"/>
      <c r="F17947" s="42"/>
      <c r="G17947" s="42"/>
      <c r="H17947" s="42"/>
      <c r="AG17947" s="19"/>
    </row>
    <row r="17948" spans="1:33" ht="14.5" x14ac:dyDescent="0.35">
      <c r="A17948" s="34"/>
      <c r="B17948" s="35"/>
      <c r="C17948" s="36"/>
      <c r="D17948" s="37"/>
      <c r="E17948" s="36"/>
      <c r="F17948" s="42"/>
      <c r="G17948" s="42"/>
      <c r="H17948" s="42"/>
      <c r="AG17948" s="19"/>
    </row>
    <row r="17949" spans="1:33" ht="14.5" x14ac:dyDescent="0.35">
      <c r="A17949" s="34"/>
      <c r="B17949" s="35"/>
      <c r="C17949" s="36"/>
      <c r="D17949" s="37"/>
      <c r="E17949" s="36"/>
      <c r="F17949" s="42"/>
      <c r="G17949" s="42"/>
      <c r="H17949" s="42"/>
      <c r="AG17949" s="19"/>
    </row>
    <row r="17950" spans="1:33" ht="14.5" x14ac:dyDescent="0.35">
      <c r="A17950" s="34"/>
      <c r="B17950" s="35"/>
      <c r="C17950" s="36"/>
      <c r="D17950" s="37"/>
      <c r="E17950" s="36"/>
      <c r="F17950" s="42"/>
      <c r="G17950" s="42"/>
      <c r="H17950" s="42"/>
      <c r="AG17950" s="19"/>
    </row>
    <row r="17951" spans="1:33" ht="14.5" x14ac:dyDescent="0.35">
      <c r="A17951" s="34"/>
      <c r="B17951" s="35"/>
      <c r="C17951" s="36"/>
      <c r="D17951" s="37"/>
      <c r="E17951" s="36"/>
      <c r="F17951" s="42"/>
      <c r="G17951" s="42"/>
      <c r="H17951" s="42"/>
      <c r="AG17951" s="19"/>
    </row>
    <row r="17952" spans="1:33" ht="14.5" x14ac:dyDescent="0.35">
      <c r="A17952" s="34"/>
      <c r="B17952" s="35"/>
      <c r="C17952" s="36"/>
      <c r="D17952" s="37"/>
      <c r="E17952" s="36"/>
      <c r="F17952" s="42"/>
      <c r="G17952" s="42"/>
      <c r="H17952" s="42"/>
      <c r="AG17952" s="19"/>
    </row>
    <row r="17953" spans="1:33" ht="14.5" x14ac:dyDescent="0.35">
      <c r="A17953" s="34"/>
      <c r="B17953" s="35"/>
      <c r="C17953" s="36"/>
      <c r="D17953" s="37"/>
      <c r="E17953" s="36"/>
      <c r="F17953" s="42"/>
      <c r="G17953" s="42"/>
      <c r="H17953" s="42"/>
      <c r="AG17953" s="19"/>
    </row>
    <row r="17954" spans="1:33" ht="14.5" x14ac:dyDescent="0.35">
      <c r="A17954" s="34"/>
      <c r="B17954" s="35"/>
      <c r="C17954" s="36"/>
      <c r="D17954" s="37"/>
      <c r="E17954" s="36"/>
      <c r="F17954" s="42"/>
      <c r="G17954" s="42"/>
      <c r="H17954" s="42"/>
      <c r="AG17954" s="19"/>
    </row>
    <row r="17955" spans="1:33" ht="14.5" x14ac:dyDescent="0.35">
      <c r="A17955" s="34"/>
      <c r="B17955" s="35"/>
      <c r="C17955" s="36"/>
      <c r="D17955" s="37"/>
      <c r="E17955" s="36"/>
      <c r="F17955" s="42"/>
      <c r="G17955" s="42"/>
      <c r="H17955" s="42"/>
      <c r="AG17955" s="19"/>
    </row>
    <row r="17956" spans="1:33" ht="14.5" x14ac:dyDescent="0.35">
      <c r="A17956" s="34"/>
      <c r="B17956" s="35"/>
      <c r="C17956" s="36"/>
      <c r="D17956" s="37"/>
      <c r="E17956" s="36"/>
      <c r="F17956" s="42"/>
      <c r="G17956" s="42"/>
      <c r="H17956" s="42"/>
      <c r="AG17956" s="19"/>
    </row>
    <row r="17957" spans="1:33" ht="14.5" x14ac:dyDescent="0.35">
      <c r="A17957" s="34"/>
      <c r="B17957" s="35"/>
      <c r="C17957" s="36"/>
      <c r="D17957" s="37"/>
      <c r="E17957" s="36"/>
      <c r="F17957" s="42"/>
      <c r="G17957" s="42"/>
      <c r="H17957" s="42"/>
      <c r="AG17957" s="19"/>
    </row>
    <row r="17958" spans="1:33" ht="14.5" x14ac:dyDescent="0.35">
      <c r="A17958" s="34"/>
      <c r="B17958" s="35"/>
      <c r="C17958" s="36"/>
      <c r="D17958" s="37"/>
      <c r="E17958" s="36"/>
      <c r="F17958" s="42"/>
      <c r="G17958" s="42"/>
      <c r="H17958" s="42"/>
      <c r="AG17958" s="19"/>
    </row>
    <row r="17959" spans="1:33" ht="14.5" x14ac:dyDescent="0.35">
      <c r="A17959" s="34"/>
      <c r="B17959" s="35"/>
      <c r="C17959" s="36"/>
      <c r="D17959" s="37"/>
      <c r="E17959" s="36"/>
      <c r="F17959" s="42"/>
      <c r="G17959" s="42"/>
      <c r="H17959" s="42"/>
      <c r="AG17959" s="19"/>
    </row>
    <row r="17960" spans="1:33" ht="14.5" x14ac:dyDescent="0.35">
      <c r="A17960" s="34"/>
      <c r="B17960" s="35"/>
      <c r="C17960" s="36"/>
      <c r="D17960" s="37"/>
      <c r="E17960" s="36"/>
      <c r="F17960" s="42"/>
      <c r="G17960" s="42"/>
      <c r="H17960" s="42"/>
      <c r="AG17960" s="19"/>
    </row>
    <row r="17961" spans="1:33" ht="14.5" x14ac:dyDescent="0.35">
      <c r="A17961" s="34"/>
      <c r="B17961" s="35"/>
      <c r="C17961" s="36"/>
      <c r="D17961" s="37"/>
      <c r="E17961" s="36"/>
      <c r="F17961" s="42"/>
      <c r="G17961" s="42"/>
      <c r="H17961" s="42"/>
      <c r="AG17961" s="19"/>
    </row>
    <row r="17962" spans="1:33" ht="14.5" x14ac:dyDescent="0.35">
      <c r="A17962" s="34"/>
      <c r="B17962" s="35"/>
      <c r="C17962" s="36"/>
      <c r="D17962" s="37"/>
      <c r="E17962" s="36"/>
      <c r="F17962" s="42"/>
      <c r="G17962" s="42"/>
      <c r="H17962" s="42"/>
      <c r="AG17962" s="19"/>
    </row>
    <row r="17963" spans="1:33" ht="14.5" x14ac:dyDescent="0.35">
      <c r="A17963" s="34"/>
      <c r="B17963" s="35"/>
      <c r="C17963" s="36"/>
      <c r="D17963" s="37"/>
      <c r="E17963" s="36"/>
      <c r="F17963" s="42"/>
      <c r="G17963" s="42"/>
      <c r="H17963" s="42"/>
      <c r="AG17963" s="19"/>
    </row>
    <row r="17964" spans="1:33" ht="14.5" x14ac:dyDescent="0.35">
      <c r="A17964" s="34"/>
      <c r="B17964" s="35"/>
      <c r="C17964" s="36"/>
      <c r="D17964" s="37"/>
      <c r="E17964" s="36"/>
      <c r="F17964" s="42"/>
      <c r="G17964" s="42"/>
      <c r="H17964" s="42"/>
      <c r="AG17964" s="19"/>
    </row>
    <row r="17965" spans="1:33" ht="14.5" x14ac:dyDescent="0.35">
      <c r="A17965" s="34"/>
      <c r="B17965" s="35"/>
      <c r="C17965" s="36"/>
      <c r="D17965" s="37"/>
      <c r="E17965" s="36"/>
      <c r="F17965" s="42"/>
      <c r="G17965" s="42"/>
      <c r="H17965" s="42"/>
      <c r="AG17965" s="19"/>
    </row>
    <row r="17966" spans="1:33" ht="14.5" x14ac:dyDescent="0.35">
      <c r="A17966" s="34"/>
      <c r="B17966" s="35"/>
      <c r="C17966" s="36"/>
      <c r="D17966" s="37"/>
      <c r="E17966" s="36"/>
      <c r="F17966" s="42"/>
      <c r="G17966" s="42"/>
      <c r="H17966" s="42"/>
      <c r="AG17966" s="19"/>
    </row>
    <row r="17967" spans="1:33" ht="14.5" x14ac:dyDescent="0.35">
      <c r="A17967" s="34"/>
      <c r="B17967" s="35"/>
      <c r="C17967" s="36"/>
      <c r="D17967" s="37"/>
      <c r="E17967" s="36"/>
      <c r="F17967" s="42"/>
      <c r="G17967" s="42"/>
      <c r="H17967" s="42"/>
      <c r="AG17967" s="19"/>
    </row>
    <row r="17968" spans="1:33" ht="14.5" x14ac:dyDescent="0.35">
      <c r="A17968" s="34"/>
      <c r="B17968" s="35"/>
      <c r="C17968" s="36"/>
      <c r="D17968" s="37"/>
      <c r="E17968" s="36"/>
      <c r="F17968" s="42"/>
      <c r="G17968" s="42"/>
      <c r="H17968" s="42"/>
      <c r="AG17968" s="19"/>
    </row>
    <row r="17969" spans="1:33" ht="14.5" x14ac:dyDescent="0.35">
      <c r="A17969" s="34"/>
      <c r="B17969" s="35"/>
      <c r="C17969" s="36"/>
      <c r="D17969" s="37"/>
      <c r="E17969" s="36"/>
      <c r="F17969" s="42"/>
      <c r="G17969" s="42"/>
      <c r="H17969" s="42"/>
      <c r="AG17969" s="19"/>
    </row>
    <row r="17970" spans="1:33" ht="14.5" x14ac:dyDescent="0.35">
      <c r="A17970" s="34"/>
      <c r="B17970" s="35"/>
      <c r="C17970" s="36"/>
      <c r="D17970" s="37"/>
      <c r="E17970" s="36"/>
      <c r="F17970" s="42"/>
      <c r="G17970" s="42"/>
      <c r="H17970" s="42"/>
      <c r="AG17970" s="19"/>
    </row>
    <row r="17971" spans="1:33" ht="14.5" x14ac:dyDescent="0.35">
      <c r="A17971" s="34"/>
      <c r="B17971" s="35"/>
      <c r="C17971" s="36"/>
      <c r="D17971" s="37"/>
      <c r="E17971" s="36"/>
      <c r="F17971" s="42"/>
      <c r="G17971" s="42"/>
      <c r="H17971" s="42"/>
      <c r="AG17971" s="19"/>
    </row>
    <row r="17972" spans="1:33" ht="14.5" x14ac:dyDescent="0.35">
      <c r="A17972" s="34"/>
      <c r="B17972" s="35"/>
      <c r="C17972" s="36"/>
      <c r="D17972" s="37"/>
      <c r="E17972" s="36"/>
      <c r="F17972" s="42"/>
      <c r="G17972" s="42"/>
      <c r="H17972" s="42"/>
      <c r="AG17972" s="19"/>
    </row>
    <row r="17973" spans="1:33" ht="14.5" x14ac:dyDescent="0.35">
      <c r="A17973" s="34"/>
      <c r="B17973" s="35"/>
      <c r="C17973" s="36"/>
      <c r="D17973" s="37"/>
      <c r="E17973" s="36"/>
      <c r="F17973" s="42"/>
      <c r="G17973" s="42"/>
      <c r="H17973" s="42"/>
      <c r="AG17973" s="19"/>
    </row>
    <row r="17974" spans="1:33" ht="14.5" x14ac:dyDescent="0.35">
      <c r="A17974" s="34"/>
      <c r="B17974" s="35"/>
      <c r="C17974" s="36"/>
      <c r="D17974" s="37"/>
      <c r="E17974" s="36"/>
      <c r="F17974" s="42"/>
      <c r="G17974" s="42"/>
      <c r="H17974" s="42"/>
      <c r="AG17974" s="19"/>
    </row>
    <row r="17975" spans="1:33" ht="14.5" x14ac:dyDescent="0.35">
      <c r="A17975" s="34"/>
      <c r="B17975" s="35"/>
      <c r="C17975" s="36"/>
      <c r="D17975" s="37"/>
      <c r="E17975" s="36"/>
      <c r="F17975" s="42"/>
      <c r="G17975" s="42"/>
      <c r="H17975" s="42"/>
      <c r="AG17975" s="19"/>
    </row>
    <row r="17976" spans="1:33" ht="14.5" x14ac:dyDescent="0.35">
      <c r="A17976" s="34"/>
      <c r="B17976" s="35"/>
      <c r="C17976" s="36"/>
      <c r="D17976" s="37"/>
      <c r="E17976" s="36"/>
      <c r="F17976" s="42"/>
      <c r="G17976" s="42"/>
      <c r="H17976" s="42"/>
      <c r="AG17976" s="19"/>
    </row>
    <row r="17977" spans="1:33" ht="14.5" x14ac:dyDescent="0.35">
      <c r="A17977" s="34"/>
      <c r="B17977" s="35"/>
      <c r="C17977" s="36"/>
      <c r="D17977" s="37"/>
      <c r="E17977" s="36"/>
      <c r="F17977" s="42"/>
      <c r="G17977" s="42"/>
      <c r="H17977" s="42"/>
      <c r="AG17977" s="19"/>
    </row>
    <row r="17978" spans="1:33" ht="14.5" x14ac:dyDescent="0.35">
      <c r="A17978" s="34"/>
      <c r="B17978" s="35"/>
      <c r="C17978" s="36"/>
      <c r="D17978" s="37"/>
      <c r="E17978" s="36"/>
      <c r="F17978" s="42"/>
      <c r="G17978" s="42"/>
      <c r="H17978" s="42"/>
      <c r="AG17978" s="19"/>
    </row>
    <row r="17979" spans="1:33" ht="14.5" x14ac:dyDescent="0.35">
      <c r="A17979" s="34"/>
      <c r="B17979" s="35"/>
      <c r="C17979" s="36"/>
      <c r="D17979" s="37"/>
      <c r="E17979" s="36"/>
      <c r="F17979" s="42"/>
      <c r="G17979" s="42"/>
      <c r="H17979" s="42"/>
      <c r="AG17979" s="19"/>
    </row>
    <row r="17980" spans="1:33" ht="14.5" x14ac:dyDescent="0.35">
      <c r="A17980" s="34"/>
      <c r="B17980" s="35"/>
      <c r="C17980" s="36"/>
      <c r="D17980" s="37"/>
      <c r="E17980" s="36"/>
      <c r="F17980" s="42"/>
      <c r="G17980" s="42"/>
      <c r="H17980" s="42"/>
      <c r="AG17980" s="19"/>
    </row>
    <row r="17981" spans="1:33" ht="14.5" x14ac:dyDescent="0.35">
      <c r="A17981" s="34"/>
      <c r="B17981" s="35"/>
      <c r="C17981" s="36"/>
      <c r="D17981" s="37"/>
      <c r="E17981" s="36"/>
      <c r="F17981" s="42"/>
      <c r="G17981" s="42"/>
      <c r="H17981" s="42"/>
      <c r="AG17981" s="19"/>
    </row>
    <row r="17982" spans="1:33" ht="14.5" x14ac:dyDescent="0.35">
      <c r="A17982" s="34"/>
      <c r="B17982" s="35"/>
      <c r="C17982" s="36"/>
      <c r="D17982" s="37"/>
      <c r="E17982" s="36"/>
      <c r="F17982" s="42"/>
      <c r="G17982" s="42"/>
      <c r="H17982" s="42"/>
      <c r="AG17982" s="19"/>
    </row>
    <row r="17983" spans="1:33" ht="14.5" x14ac:dyDescent="0.35">
      <c r="A17983" s="34"/>
      <c r="B17983" s="35"/>
      <c r="C17983" s="36"/>
      <c r="D17983" s="37"/>
      <c r="E17983" s="36"/>
      <c r="F17983" s="42"/>
      <c r="G17983" s="42"/>
      <c r="H17983" s="42"/>
      <c r="AG17983" s="19"/>
    </row>
    <row r="17984" spans="1:33" ht="14.5" x14ac:dyDescent="0.35">
      <c r="A17984" s="34"/>
      <c r="B17984" s="35"/>
      <c r="C17984" s="36"/>
      <c r="D17984" s="37"/>
      <c r="E17984" s="36"/>
      <c r="F17984" s="42"/>
      <c r="G17984" s="42"/>
      <c r="H17984" s="42"/>
      <c r="AG17984" s="19"/>
    </row>
    <row r="17985" spans="1:33" ht="14.5" x14ac:dyDescent="0.35">
      <c r="A17985" s="34"/>
      <c r="B17985" s="35"/>
      <c r="C17985" s="36"/>
      <c r="D17985" s="37"/>
      <c r="E17985" s="36"/>
      <c r="F17985" s="42"/>
      <c r="G17985" s="42"/>
      <c r="H17985" s="42"/>
      <c r="AG17985" s="19"/>
    </row>
    <row r="17986" spans="1:33" ht="14.5" x14ac:dyDescent="0.35">
      <c r="A17986" s="34"/>
      <c r="B17986" s="35"/>
      <c r="C17986" s="36"/>
      <c r="D17986" s="37"/>
      <c r="E17986" s="36"/>
      <c r="F17986" s="42"/>
      <c r="G17986" s="42"/>
      <c r="H17986" s="42"/>
      <c r="AG17986" s="19"/>
    </row>
    <row r="17987" spans="1:33" ht="14.5" x14ac:dyDescent="0.35">
      <c r="A17987" s="34"/>
      <c r="B17987" s="35"/>
      <c r="C17987" s="36"/>
      <c r="D17987" s="37"/>
      <c r="E17987" s="36"/>
      <c r="F17987" s="42"/>
      <c r="G17987" s="42"/>
      <c r="H17987" s="42"/>
      <c r="AG17987" s="19"/>
    </row>
    <row r="17988" spans="1:33" ht="14.5" x14ac:dyDescent="0.35">
      <c r="A17988" s="34"/>
      <c r="B17988" s="35"/>
      <c r="C17988" s="36"/>
      <c r="D17988" s="37"/>
      <c r="E17988" s="36"/>
      <c r="F17988" s="42"/>
      <c r="G17988" s="42"/>
      <c r="H17988" s="42"/>
      <c r="AG17988" s="19"/>
    </row>
    <row r="17989" spans="1:33" ht="14.5" x14ac:dyDescent="0.35">
      <c r="A17989" s="34"/>
      <c r="B17989" s="35"/>
      <c r="C17989" s="36"/>
      <c r="D17989" s="37"/>
      <c r="E17989" s="36"/>
      <c r="F17989" s="42"/>
      <c r="G17989" s="42"/>
      <c r="H17989" s="42"/>
      <c r="AG17989" s="19"/>
    </row>
    <row r="17990" spans="1:33" ht="14.5" x14ac:dyDescent="0.35">
      <c r="A17990" s="34"/>
      <c r="B17990" s="35"/>
      <c r="C17990" s="36"/>
      <c r="D17990" s="37"/>
      <c r="E17990" s="36"/>
      <c r="F17990" s="42"/>
      <c r="G17990" s="42"/>
      <c r="H17990" s="42"/>
      <c r="AG17990" s="19"/>
    </row>
    <row r="17991" spans="1:33" ht="14.5" x14ac:dyDescent="0.35">
      <c r="A17991" s="34"/>
      <c r="B17991" s="35"/>
      <c r="C17991" s="36"/>
      <c r="D17991" s="37"/>
      <c r="E17991" s="36"/>
      <c r="F17991" s="42"/>
      <c r="G17991" s="42"/>
      <c r="H17991" s="42"/>
      <c r="AG17991" s="19"/>
    </row>
    <row r="17992" spans="1:33" ht="14.5" x14ac:dyDescent="0.35">
      <c r="A17992" s="34"/>
      <c r="B17992" s="35"/>
      <c r="C17992" s="36"/>
      <c r="D17992" s="37"/>
      <c r="E17992" s="36"/>
      <c r="F17992" s="42"/>
      <c r="G17992" s="42"/>
      <c r="H17992" s="42"/>
      <c r="AG17992" s="19"/>
    </row>
    <row r="17993" spans="1:33" ht="14.5" x14ac:dyDescent="0.35">
      <c r="A17993" s="34"/>
      <c r="B17993" s="35"/>
      <c r="C17993" s="36"/>
      <c r="D17993" s="37"/>
      <c r="E17993" s="36"/>
      <c r="F17993" s="42"/>
      <c r="G17993" s="42"/>
      <c r="H17993" s="42"/>
      <c r="AG17993" s="19"/>
    </row>
    <row r="17994" spans="1:33" ht="14.5" x14ac:dyDescent="0.35">
      <c r="A17994" s="34"/>
      <c r="B17994" s="35"/>
      <c r="C17994" s="36"/>
      <c r="D17994" s="37"/>
      <c r="E17994" s="36"/>
      <c r="F17994" s="42"/>
      <c r="G17994" s="42"/>
      <c r="H17994" s="42"/>
      <c r="AG17994" s="19"/>
    </row>
    <row r="17995" spans="1:33" ht="14.5" x14ac:dyDescent="0.35">
      <c r="A17995" s="34"/>
      <c r="B17995" s="35"/>
      <c r="C17995" s="36"/>
      <c r="D17995" s="37"/>
      <c r="E17995" s="36"/>
      <c r="F17995" s="42"/>
      <c r="G17995" s="42"/>
      <c r="H17995" s="42"/>
      <c r="AG17995" s="19"/>
    </row>
    <row r="17996" spans="1:33" ht="14.5" x14ac:dyDescent="0.35">
      <c r="A17996" s="34"/>
      <c r="B17996" s="35"/>
      <c r="C17996" s="36"/>
      <c r="D17996" s="37"/>
      <c r="E17996" s="36"/>
      <c r="F17996" s="42"/>
      <c r="G17996" s="42"/>
      <c r="H17996" s="42"/>
      <c r="AG17996" s="19"/>
    </row>
    <row r="17997" spans="1:33" ht="14.5" x14ac:dyDescent="0.35">
      <c r="A17997" s="34"/>
      <c r="B17997" s="35"/>
      <c r="C17997" s="36"/>
      <c r="D17997" s="37"/>
      <c r="E17997" s="36"/>
      <c r="F17997" s="42"/>
      <c r="G17997" s="42"/>
      <c r="H17997" s="42"/>
      <c r="AG17997" s="19"/>
    </row>
    <row r="17998" spans="1:33" ht="14.5" x14ac:dyDescent="0.35">
      <c r="A17998" s="34"/>
      <c r="B17998" s="35"/>
      <c r="C17998" s="36"/>
      <c r="D17998" s="37"/>
      <c r="E17998" s="36"/>
      <c r="F17998" s="42"/>
      <c r="G17998" s="42"/>
      <c r="H17998" s="42"/>
      <c r="AG17998" s="19"/>
    </row>
    <row r="17999" spans="1:33" ht="14.5" x14ac:dyDescent="0.35">
      <c r="A17999" s="34"/>
      <c r="B17999" s="35"/>
      <c r="C17999" s="36"/>
      <c r="D17999" s="37"/>
      <c r="E17999" s="36"/>
      <c r="F17999" s="42"/>
      <c r="G17999" s="42"/>
      <c r="H17999" s="42"/>
      <c r="AG17999" s="19"/>
    </row>
    <row r="18000" spans="1:33" ht="14.5" x14ac:dyDescent="0.35">
      <c r="A18000" s="34"/>
      <c r="B18000" s="35"/>
      <c r="C18000" s="36"/>
      <c r="D18000" s="37"/>
      <c r="E18000" s="36"/>
      <c r="F18000" s="42"/>
      <c r="G18000" s="42"/>
      <c r="H18000" s="42"/>
      <c r="AG18000" s="19"/>
    </row>
  </sheetData>
  <mergeCells count="4">
    <mergeCell ref="I2:J2"/>
    <mergeCell ref="P2:Q2"/>
    <mergeCell ref="V2:W2"/>
    <mergeCell ref="I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Aprajeeta Singh</dc:creator>
  <cp:lastModifiedBy>Aprajeeta Singh</cp:lastModifiedBy>
  <dcterms:created xsi:type="dcterms:W3CDTF">2025-10-12T09:28:53Z</dcterms:created>
  <dcterms:modified xsi:type="dcterms:W3CDTF">2025-10-12T10:47:26Z</dcterms:modified>
</cp:coreProperties>
</file>